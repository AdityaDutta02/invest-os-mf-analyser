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drawings/drawing10.xml" ContentType="application/vnd.openxmlformats-officedocument.drawing+xml"/>
  <Override PartName="/xl/charts/chart11.xml" ContentType="application/vnd.openxmlformats-officedocument.drawingml.chart+xml"/>
  <Override PartName="/xl/drawings/drawing11.xml" ContentType="application/vnd.openxmlformats-officedocument.drawing+xml"/>
  <Override PartName="/xl/charts/chart12.xml" ContentType="application/vnd.openxmlformats-officedocument.drawingml.chart+xml"/>
  <Override PartName="/xl/drawings/drawing12.xml" ContentType="application/vnd.openxmlformats-officedocument.drawing+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drawings/drawing14.xml" ContentType="application/vnd.openxmlformats-officedocument.drawing+xml"/>
  <Override PartName="/xl/charts/chart15.xml" ContentType="application/vnd.openxmlformats-officedocument.drawingml.chart+xml"/>
  <Override PartName="/xl/drawings/drawing15.xml" ContentType="application/vnd.openxmlformats-officedocument.drawing+xml"/>
  <Override PartName="/xl/charts/chart16.xml" ContentType="application/vnd.openxmlformats-officedocument.drawingml.chart+xml"/>
  <Override PartName="/xl/drawings/drawing16.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17.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18.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19.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0.xml" ContentType="application/vnd.openxmlformats-officedocument.drawing+xml"/>
  <Override PartName="/xl/charts/chart26.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1.xml" ContentType="application/vnd.openxmlformats-officedocument.drawing+xml"/>
  <Override PartName="/xl/charts/chart27.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2.xml" ContentType="application/vnd.openxmlformats-officedocument.drawing+xml"/>
  <Override PartName="/xl/charts/chart28.xml" ContentType="application/vnd.openxmlformats-officedocument.drawingml.chart+xml"/>
  <Override PartName="/xl/drawings/drawing23.xml" ContentType="application/vnd.openxmlformats-officedocument.drawing+xml"/>
  <Override PartName="/xl/charts/chart29.xml" ContentType="application/vnd.openxmlformats-officedocument.drawingml.chart+xml"/>
  <Override PartName="/xl/drawings/drawing24.xml" ContentType="application/vnd.openxmlformats-officedocument.drawing+xml"/>
  <Override PartName="/xl/charts/chart30.xml" ContentType="application/vnd.openxmlformats-officedocument.drawingml.chart+xml"/>
  <Override PartName="/xl/drawings/drawing25.xml" ContentType="application/vnd.openxmlformats-officedocument.drawing+xml"/>
  <Override PartName="/xl/charts/chart31.xml" ContentType="application/vnd.openxmlformats-officedocument.drawingml.chart+xml"/>
  <Override PartName="/xl/drawings/drawing26.xml" ContentType="application/vnd.openxmlformats-officedocument.drawing+xml"/>
  <Override PartName="/xl/charts/chart32.xml" ContentType="application/vnd.openxmlformats-officedocument.drawingml.chart+xml"/>
  <Override PartName="/xl/drawings/drawing27.xml" ContentType="application/vnd.openxmlformats-officedocument.drawing+xml"/>
  <Override PartName="/xl/charts/chart33.xml" ContentType="application/vnd.openxmlformats-officedocument.drawingml.chart+xml"/>
  <Override PartName="/xl/drawings/drawing28.xml" ContentType="application/vnd.openxmlformats-officedocument.drawing+xml"/>
  <Override PartName="/xl/charts/chart3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9.xml" ContentType="application/vnd.openxmlformats-officedocument.drawing+xml"/>
  <Override PartName="/xl/charts/chart35.xml" ContentType="application/vnd.openxmlformats-officedocument.drawingml.chart+xml"/>
  <Override PartName="/xl/drawings/drawing30.xml" ContentType="application/vnd.openxmlformats-officedocument.drawing+xml"/>
  <Override PartName="/xl/charts/chart36.xml" ContentType="application/vnd.openxmlformats-officedocument.drawingml.chart+xml"/>
  <Override PartName="/xl/drawings/drawing31.xml" ContentType="application/vnd.openxmlformats-officedocument.drawing+xml"/>
  <Override PartName="/xl/charts/chart37.xml" ContentType="application/vnd.openxmlformats-officedocument.drawingml.chart+xml"/>
  <Override PartName="/xl/drawings/drawing32.xml" ContentType="application/vnd.openxmlformats-officedocument.drawing+xml"/>
  <Override PartName="/xl/charts/chart38.xml" ContentType="application/vnd.openxmlformats-officedocument.drawingml.chart+xml"/>
  <Override PartName="/xl/drawings/drawing33.xml" ContentType="application/vnd.openxmlformats-officedocument.drawing+xml"/>
  <Override PartName="/xl/charts/chart39.xml" ContentType="application/vnd.openxmlformats-officedocument.drawingml.chart+xml"/>
  <Override PartName="/xl/drawings/drawing34.xml" ContentType="application/vnd.openxmlformats-officedocument.drawing+xml"/>
  <Override PartName="/xl/charts/chart4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codeName="ThisWorkbook" defaultThemeVersion="124226"/>
  <mc:AlternateContent xmlns:mc="http://schemas.openxmlformats.org/markup-compatibility/2006">
    <mc:Choice Requires="x15">
      <x15ac:absPath xmlns:x15ac="http://schemas.microsoft.com/office/spreadsheetml/2010/11/ac" url="Y:\Product_Team\MONTH END DELIVERABLES-1\Portfolios_All\2024\Aug 2024\"/>
    </mc:Choice>
  </mc:AlternateContent>
  <xr:revisionPtr revIDLastSave="0" documentId="13_ncr:1_{0FF33DD8-4CCF-4A85-A172-590A6385C746}" xr6:coauthVersionLast="36" xr6:coauthVersionMax="47" xr10:uidLastSave="{00000000-0000-0000-0000-000000000000}"/>
  <bookViews>
    <workbookView xWindow="0" yWindow="0" windowWidth="20490" windowHeight="7545" tabRatio="876" xr2:uid="{00000000-000D-0000-FFFF-FFFF00000000}"/>
  </bookViews>
  <sheets>
    <sheet name="BANDHAN-USFOF" sheetId="29" r:id="rId1"/>
    <sheet name="BANDHAN CEF" sheetId="4" r:id="rId2"/>
    <sheet name="BANDHAN LCF" sheetId="6" r:id="rId3"/>
    <sheet name="BANDHAN FEF" sheetId="7" r:id="rId4"/>
    <sheet name="BANDHAN SVF" sheetId="12" r:id="rId5"/>
    <sheet name="BANDHAN-MCAP" sheetId="33" r:id="rId6"/>
    <sheet name="BANDHAN MCF" sheetId="30" r:id="rId7"/>
    <sheet name="BANDHAN FCF" sheetId="11" r:id="rId8"/>
    <sheet name="BANDHAN SCF" sheetId="28" r:id="rId9"/>
    <sheet name="BANDHAN IF" sheetId="8" r:id="rId10"/>
    <sheet name="BANDHAN TLF" sheetId="37" r:id="rId11"/>
    <sheet name="BANDHAN FSF" sheetId="39" r:id="rId12"/>
    <sheet name="BANDHAN INNOV" sheetId="46" r:id="rId13"/>
    <sheet name="BANDHAN-TAF" sheetId="13" r:id="rId14"/>
    <sheet name="BANDHAN-AF" sheetId="27" r:id="rId15"/>
    <sheet name="BANDHAN BAF" sheetId="5" r:id="rId16"/>
    <sheet name="BANDHAN-ESF" sheetId="25" r:id="rId17"/>
    <sheet name="BANDHAN CHF" sheetId="18" r:id="rId18"/>
    <sheet name="BANDHAN-HEF" sheetId="26" r:id="rId19"/>
    <sheet name="BANDHAN RF" sheetId="41" r:id="rId20"/>
    <sheet name="BANDHAN MAF" sheetId="45" r:id="rId21"/>
    <sheet name="BANDHAN AAF-AP" sheetId="19" r:id="rId22"/>
    <sheet name="BANDHANAAF-MP" sheetId="20" r:id="rId23"/>
    <sheet name="BANDHANAAF-CP" sheetId="21" r:id="rId24"/>
    <sheet name="BANDHAN-NIFTY 50 Index" sheetId="10" r:id="rId25"/>
    <sheet name="BANDHAN- S&amp;P BSE SENSEX ETF" sheetId="16" r:id="rId26"/>
    <sheet name="BANDHAN- Nifty 50 ETF" sheetId="17" r:id="rId27"/>
    <sheet name="BANDHAN-Nifty 100 Index" sheetId="31" r:id="rId28"/>
    <sheet name="BANDHAN-Nifty200 Mom30 Index" sheetId="34" r:id="rId29"/>
    <sheet name="BANDHAN NIF100LV30" sheetId="35" r:id="rId30"/>
    <sheet name="BANDHAN NIFTY IT INDEX" sheetId="40" r:id="rId31"/>
    <sheet name="Bandhan Nifty Alpha 50 Index" sheetId="42" r:id="rId32"/>
    <sheet name="Bandhan Nifty Smallcap 250 " sheetId="44" r:id="rId33"/>
    <sheet name="Bandhan Nifty Total Market " sheetId="47" r:id="rId34"/>
  </sheets>
  <definedNames>
    <definedName name="_xlnm._FilterDatabase" localSheetId="21" hidden="1">'BANDHAN AAF-AP'!$C$12:$D$15</definedName>
    <definedName name="_xlnm._FilterDatabase" localSheetId="15" hidden="1">'BANDHAN BAF'!$I$42:$J$47</definedName>
    <definedName name="_xlnm.Print_Area" localSheetId="14">'BANDHAN-AF'!$C$5:$E$19</definedName>
  </definedNames>
  <calcPr calcId="191029"/>
</workbook>
</file>

<file path=xl/calcChain.xml><?xml version="1.0" encoding="utf-8"?>
<calcChain xmlns="http://schemas.openxmlformats.org/spreadsheetml/2006/main">
  <c r="H8" i="18" l="1"/>
  <c r="H8" i="26"/>
  <c r="H10" i="26"/>
  <c r="H10" i="18"/>
  <c r="E24" i="47" l="1"/>
  <c r="E47" i="26"/>
  <c r="K13" i="26"/>
  <c r="K12" i="26"/>
  <c r="K9" i="26"/>
  <c r="K11" i="26"/>
  <c r="H9" i="18"/>
  <c r="E46" i="5"/>
  <c r="E23" i="27"/>
  <c r="E23" i="25" l="1"/>
  <c r="E24" i="46" l="1"/>
  <c r="K14" i="18" l="1"/>
  <c r="K16" i="25"/>
  <c r="E24" i="45" l="1"/>
  <c r="E42" i="45" s="1"/>
  <c r="E24" i="44" l="1"/>
  <c r="E24" i="42" l="1"/>
  <c r="E36" i="41" l="1"/>
  <c r="K15" i="25"/>
  <c r="K10" i="25"/>
  <c r="E19" i="40" l="1"/>
  <c r="J11" i="19" l="1"/>
  <c r="D11" i="19" l="1"/>
  <c r="E24" i="39"/>
  <c r="D15" i="29" l="1"/>
  <c r="K14" i="25" l="1"/>
  <c r="D11" i="21" l="1"/>
  <c r="E24" i="37" l="1"/>
  <c r="E24" i="35" l="1"/>
  <c r="E24" i="34" l="1"/>
  <c r="E24" i="33"/>
  <c r="E24" i="31" l="1"/>
  <c r="K9" i="18" l="1"/>
  <c r="D18" i="21" l="1"/>
  <c r="E24" i="30"/>
  <c r="D16" i="19" l="1"/>
  <c r="J10" i="29"/>
  <c r="J9" i="29"/>
  <c r="K12" i="18" l="1"/>
  <c r="E24" i="12" l="1"/>
  <c r="K9" i="25" l="1"/>
  <c r="S8" i="27"/>
  <c r="S9" i="27" s="1"/>
  <c r="E24" i="8"/>
  <c r="J8" i="29" l="1"/>
  <c r="I9" i="18" l="1"/>
  <c r="I10" i="18"/>
  <c r="K11" i="18" l="1"/>
  <c r="E24" i="28" l="1"/>
  <c r="E24" i="18" l="1"/>
  <c r="E51" i="18" s="1"/>
  <c r="K10" i="18" l="1"/>
  <c r="E24" i="26"/>
  <c r="I10" i="26"/>
  <c r="I9" i="26"/>
  <c r="I8" i="26"/>
  <c r="K10" i="26" l="1"/>
  <c r="J10" i="21"/>
  <c r="J9" i="21"/>
  <c r="D17" i="20"/>
  <c r="D11" i="20"/>
  <c r="J8" i="20" s="1"/>
  <c r="J9" i="20" l="1"/>
  <c r="J10" i="20"/>
  <c r="J8" i="21"/>
  <c r="K12" i="25"/>
  <c r="D21" i="20" l="1"/>
  <c r="I10" i="25" l="1"/>
  <c r="I9" i="25"/>
  <c r="I8" i="25"/>
  <c r="I8" i="18" l="1"/>
  <c r="E24" i="10" l="1"/>
  <c r="E24" i="7"/>
  <c r="E24" i="6"/>
  <c r="E24" i="4"/>
  <c r="E24" i="13"/>
  <c r="E24" i="17"/>
  <c r="E24" i="16"/>
  <c r="E24" i="11"/>
  <c r="J10" i="19" l="1"/>
  <c r="J9" i="19" l="1"/>
  <c r="D20" i="19"/>
</calcChain>
</file>

<file path=xl/sharedStrings.xml><?xml version="1.0" encoding="utf-8"?>
<sst xmlns="http://schemas.openxmlformats.org/spreadsheetml/2006/main" count="2179" uniqueCount="372">
  <si>
    <t>Company</t>
  </si>
  <si>
    <t>Industry</t>
  </si>
  <si>
    <t>(%) NAV</t>
  </si>
  <si>
    <t>Banks</t>
  </si>
  <si>
    <t>Finance</t>
  </si>
  <si>
    <t>Corporate Bond Total</t>
  </si>
  <si>
    <t>Petroleum Products</t>
  </si>
  <si>
    <t>Consumer Non Durables</t>
  </si>
  <si>
    <t>Construction Project</t>
  </si>
  <si>
    <t>Software</t>
  </si>
  <si>
    <t>Power</t>
  </si>
  <si>
    <t>Ferrous Metals</t>
  </si>
  <si>
    <t>Telecom - Services</t>
  </si>
  <si>
    <t>Oil</t>
  </si>
  <si>
    <t>Auto</t>
  </si>
  <si>
    <t>Non - Ferrous Metals</t>
  </si>
  <si>
    <t>Consumer Durables</t>
  </si>
  <si>
    <t>Chemicals</t>
  </si>
  <si>
    <t>Industrial Capital Goods</t>
  </si>
  <si>
    <t>Equity Total</t>
  </si>
  <si>
    <t>Net Current Asset</t>
  </si>
  <si>
    <t>Grand Total</t>
  </si>
  <si>
    <t>SECTOR</t>
  </si>
  <si>
    <t>Construction</t>
  </si>
  <si>
    <t>Industrial Products</t>
  </si>
  <si>
    <t>Gas</t>
  </si>
  <si>
    <t>Retailing</t>
  </si>
  <si>
    <t>Hotels, Resorts And Other Recreational Activities</t>
  </si>
  <si>
    <t>Infosys Limited</t>
  </si>
  <si>
    <t>HDFC Bank Limited</t>
  </si>
  <si>
    <t>ITC Limited</t>
  </si>
  <si>
    <t>Reliance Industries Limited</t>
  </si>
  <si>
    <t>ICICI Bank Limited</t>
  </si>
  <si>
    <t>Tata Consultancy Services Limited</t>
  </si>
  <si>
    <t>Larsen &amp; Toubro Limited</t>
  </si>
  <si>
    <t>Kotak Mahindra Bank Limited</t>
  </si>
  <si>
    <t>Axis Bank Limited</t>
  </si>
  <si>
    <t>Hindustan Unilever Limited</t>
  </si>
  <si>
    <t>Date</t>
  </si>
  <si>
    <t>Total Hedged Equity</t>
  </si>
  <si>
    <t>Total Debt</t>
  </si>
  <si>
    <t>Corporate Bond</t>
  </si>
  <si>
    <t>Government Bond</t>
  </si>
  <si>
    <t>Name</t>
  </si>
  <si>
    <t>Rating/Industry</t>
  </si>
  <si>
    <t>Total</t>
  </si>
  <si>
    <t>Asset Quality</t>
  </si>
  <si>
    <t>AAA Equivalent</t>
  </si>
  <si>
    <t>AA Equivalent</t>
  </si>
  <si>
    <t xml:space="preserve">Corporate Bond </t>
  </si>
  <si>
    <t>Asset Allocation</t>
  </si>
  <si>
    <t xml:space="preserve">Debt </t>
  </si>
  <si>
    <t>Debt Total</t>
  </si>
  <si>
    <t xml:space="preserve">Equity </t>
  </si>
  <si>
    <t>Net Assets</t>
  </si>
  <si>
    <t>Top 15 Equity Total</t>
  </si>
  <si>
    <t>Top 15 Equity Holdings</t>
  </si>
  <si>
    <t>AA+ Equivalent</t>
  </si>
  <si>
    <t>Arbitrage Position</t>
  </si>
  <si>
    <t>Other Active Equity Holdings</t>
  </si>
  <si>
    <t>Arbitrage</t>
  </si>
  <si>
    <t>SOV</t>
  </si>
  <si>
    <t>NTPC Limited</t>
  </si>
  <si>
    <t>AAA</t>
  </si>
  <si>
    <t>UltraTech Cement Limited</t>
  </si>
  <si>
    <t xml:space="preserve">Top 15 Active Equity Holdings </t>
  </si>
  <si>
    <t>Other Equity Holdings</t>
  </si>
  <si>
    <t>7.17% GOI (MD 08/01/2028)</t>
  </si>
  <si>
    <t>Net Cash and Cash Equivalent</t>
  </si>
  <si>
    <t>REC Limited</t>
  </si>
  <si>
    <t>Bharti Airtel Limited</t>
  </si>
  <si>
    <t>LIC Housing Finance Limited</t>
  </si>
  <si>
    <t>Torrent Power Limited</t>
  </si>
  <si>
    <t>8.24% GOI (MD 15/02/2027)</t>
  </si>
  <si>
    <t>6.79% GOI (MD 15/05/2027)</t>
  </si>
  <si>
    <t>National Bank For Agriculture and Rural Development</t>
  </si>
  <si>
    <t>Jindal Steel &amp; Power Limited</t>
  </si>
  <si>
    <t>Power Finance Corporation Limited</t>
  </si>
  <si>
    <t>Healthcare Services</t>
  </si>
  <si>
    <t>Shaily Engineering Plastics Limited</t>
  </si>
  <si>
    <t>State Bank of India</t>
  </si>
  <si>
    <t>Tata Motors Limited</t>
  </si>
  <si>
    <t>Bajaj Finance Limited</t>
  </si>
  <si>
    <t>Exchange Traded Fund</t>
  </si>
  <si>
    <t>Cement &amp; Cement Products</t>
  </si>
  <si>
    <t>Leisure Services</t>
  </si>
  <si>
    <t>Capital Markets</t>
  </si>
  <si>
    <t>Insurance</t>
  </si>
  <si>
    <t>Aerospace &amp; Defense</t>
  </si>
  <si>
    <t>Britannia Industries Limited</t>
  </si>
  <si>
    <t>Avenue Supermarts Limited</t>
  </si>
  <si>
    <t>Top 15 Net Equity Holdings</t>
  </si>
  <si>
    <t>Other Net Equity Holdings</t>
  </si>
  <si>
    <t>JPMorgan Funds - US Growth Fund 
Class: JPM US Growth I (acc) - USD</t>
  </si>
  <si>
    <t>International Mutual Fund Units</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</si>
  <si>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</si>
  <si>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The Indian Hotels Company Limited</t>
  </si>
  <si>
    <t>Entertainment</t>
  </si>
  <si>
    <t>Maruti Suzuki India Limited</t>
  </si>
  <si>
    <t>Equity + Nifty ETF</t>
  </si>
  <si>
    <t>CG Power and Industrial Solutions Limited</t>
  </si>
  <si>
    <t xml:space="preserve">Net Equity </t>
  </si>
  <si>
    <t>Average Maturity Years</t>
  </si>
  <si>
    <t>Clearing Corporation of India Ltd</t>
  </si>
  <si>
    <t>TRI Party Repo Total</t>
  </si>
  <si>
    <t>8.28% GOI (M/D 21/09/2027)</t>
  </si>
  <si>
    <t>Cipla Limited</t>
  </si>
  <si>
    <t>Cholamandalam Investment and Finance Company Ltd</t>
  </si>
  <si>
    <t>Beverages</t>
  </si>
  <si>
    <t>IT - Software</t>
  </si>
  <si>
    <t>Food Products</t>
  </si>
  <si>
    <t>Bosch Limited</t>
  </si>
  <si>
    <t>Auto Components</t>
  </si>
  <si>
    <t>Pharmaceuticals &amp; Biotechnology</t>
  </si>
  <si>
    <t>Automobiles</t>
  </si>
  <si>
    <t>Realty</t>
  </si>
  <si>
    <t>IT - Services</t>
  </si>
  <si>
    <t>Agricultural Food &amp; other Products</t>
  </si>
  <si>
    <t>Chemicals &amp; Petrochemicals</t>
  </si>
  <si>
    <t>Diversified FMCG</t>
  </si>
  <si>
    <t>Fertilizers &amp; Agrochemicals</t>
  </si>
  <si>
    <t>Electrical Equipment</t>
  </si>
  <si>
    <t>Mahindra &amp; Mahindra Limited</t>
  </si>
  <si>
    <t>Personal Products</t>
  </si>
  <si>
    <t>Textiles &amp; Apparels</t>
  </si>
  <si>
    <t>Diversified</t>
  </si>
  <si>
    <t>Transport Services</t>
  </si>
  <si>
    <t>Paper, Forest &amp; Jute Products</t>
  </si>
  <si>
    <t>Commercial Services &amp; Supplies</t>
  </si>
  <si>
    <t>Agricultural, Commercial &amp; Construction Vehicles</t>
  </si>
  <si>
    <t>Cigarettes &amp; Tobacco Products</t>
  </si>
  <si>
    <t>Bharat Electronics Limited</t>
  </si>
  <si>
    <t>Transport Infrastructure</t>
  </si>
  <si>
    <t>Consumable Fuels</t>
  </si>
  <si>
    <t>Metals &amp; Minerals Trading</t>
  </si>
  <si>
    <t>Diversified Metals</t>
  </si>
  <si>
    <t>TVS Motor Company Limited</t>
  </si>
  <si>
    <t>IndusInd Bank Limited</t>
  </si>
  <si>
    <t>UNO Minda Limited</t>
  </si>
  <si>
    <t>Industrial Manufacturing</t>
  </si>
  <si>
    <t>Trent Limited</t>
  </si>
  <si>
    <t>Cummins India Limited</t>
  </si>
  <si>
    <t>7.38% GOI (MD 20/06/2027)</t>
  </si>
  <si>
    <t>Net Equity</t>
  </si>
  <si>
    <t>Dr. Reddy's Laboratories Limited</t>
  </si>
  <si>
    <t>Bajaj Auto Limited</t>
  </si>
  <si>
    <t>Escorts Kubota Limited</t>
  </si>
  <si>
    <t>Hero MotoCorp Limited</t>
  </si>
  <si>
    <t>InterGlobe Aviation Limited</t>
  </si>
  <si>
    <t>Minerals &amp; Mining</t>
  </si>
  <si>
    <t>Ahluwalia Contracts (India) Limited</t>
  </si>
  <si>
    <t>LTIMindtree Limited</t>
  </si>
  <si>
    <t>Hindustan Aeronautics Limited</t>
  </si>
  <si>
    <t>Godrej Consumer Products Limited</t>
  </si>
  <si>
    <t>BANDHAN US EQUITY FUND OF FUND</t>
  </si>
  <si>
    <t xml:space="preserve"> BANDHAN NIFTY100 LOW VOLATILITY 30 INDEX FUND</t>
  </si>
  <si>
    <t xml:space="preserve">  BANDHAN NIFTY200 MOMENTUM 30 INDEX FUND</t>
  </si>
  <si>
    <t xml:space="preserve"> BANDHAN NIFTY 100 INDEX FUND</t>
  </si>
  <si>
    <t>BANDHAN NIFTY 50 Exchange Traded Fund</t>
  </si>
  <si>
    <t>BANDHAN S&amp;P BSE SENSEX Exchange Traded Fund</t>
  </si>
  <si>
    <t>BANDHAN NIFTY 50 INDEX FUND</t>
  </si>
  <si>
    <t>BANDHAN ASSET ALLOCATION FUND - MODERATE PLAN</t>
  </si>
  <si>
    <t>BANDHAN ASSET ALLOCATION FUND - AGGRESSIVE PLAN</t>
  </si>
  <si>
    <t>BANDHAN HYBRID EQUITY FUND</t>
  </si>
  <si>
    <t>BANDHAN EQUITY SAVINGS FUND</t>
  </si>
  <si>
    <t>BANDHAN BALANCED ADVANTAGE FUND</t>
  </si>
  <si>
    <t>BANDHAN ARBITRAGE FUND</t>
  </si>
  <si>
    <t>BANDHAN-AF</t>
  </si>
  <si>
    <t>BANDHAN TRANSPORTATION AND LOGISTICS FUND</t>
  </si>
  <si>
    <t>BANDHAN INFRASTRUCTURE FUND</t>
  </si>
  <si>
    <t>BANDHAN FLEXI CAP FUND</t>
  </si>
  <si>
    <t>BANDHAN MULTI CAP FUND</t>
  </si>
  <si>
    <t xml:space="preserve"> BANDHAN MIDCAP FUND</t>
  </si>
  <si>
    <t>BANDHAN STERLING VALUE FUND</t>
  </si>
  <si>
    <t>BANDHAN FOCUSED EQUITY FUND</t>
  </si>
  <si>
    <t>BANDHAN LARGE CAP FUND</t>
  </si>
  <si>
    <t>BANDHAN CORE EQUITY FUND</t>
  </si>
  <si>
    <t>Bandhan 50 Nifty ETF</t>
  </si>
  <si>
    <t xml:space="preserve">Bandhan ASSET ALLOCATION FUND - CONSERVATIVE PLAN </t>
  </si>
  <si>
    <t>Bandhan Low Duration Fund -Direct Pl-Growth</t>
  </si>
  <si>
    <t>Bandhan Bond Fund -Short Term Pl Direct Pl-Growth</t>
  </si>
  <si>
    <t>Bandhan  Focused Equity Fund-Direct Pl-Growth</t>
  </si>
  <si>
    <t>Bandhan Large Cap Fund-Direct Pl-Growth</t>
  </si>
  <si>
    <t>Bandhan Liquid Fund -Direct Plan-Growth</t>
  </si>
  <si>
    <t>Kirloskar Brothers Limited</t>
  </si>
  <si>
    <t>Kotak Mahindra Prime Limited</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</si>
  <si>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</si>
  <si>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Tube Investments of India Limited</t>
  </si>
  <si>
    <t>Astral Limited</t>
  </si>
  <si>
    <t>BANDHAN FINANCIAL SERVICES FUND</t>
  </si>
  <si>
    <t>Financial Technology (Fintech)</t>
  </si>
  <si>
    <t>Household Products</t>
  </si>
  <si>
    <t>The Phoenix Mills Limited</t>
  </si>
  <si>
    <t>NHPC Limited</t>
  </si>
  <si>
    <t>L&amp;T Technology Services Limited</t>
  </si>
  <si>
    <t>Persistent Systems Limited</t>
  </si>
  <si>
    <t>Cholamandalam Financial Holdings Limited</t>
  </si>
  <si>
    <t>Nitin Spinners Limited</t>
  </si>
  <si>
    <t>Wipro Limited</t>
  </si>
  <si>
    <t>Tech Mahindra Limited</t>
  </si>
  <si>
    <t>HCL Technologies Limited</t>
  </si>
  <si>
    <t>Coforge Limited</t>
  </si>
  <si>
    <t>BANDHAN NIFTY IT INDEX FUND</t>
  </si>
  <si>
    <t>7.18% GOI (MD 14/08/2033)</t>
  </si>
  <si>
    <t>Varun Beverages Limited</t>
  </si>
  <si>
    <t>Apar Industries Limited</t>
  </si>
  <si>
    <t>Arvind Limited</t>
  </si>
  <si>
    <t>7.06% GOI (MD 10/04/2028)</t>
  </si>
  <si>
    <t>7.18% GOI (MD 24/07/2037)</t>
  </si>
  <si>
    <t>Corporate Debt Market Development Fund</t>
  </si>
  <si>
    <t>BANDHAN RETIREMENT FUND</t>
  </si>
  <si>
    <t>Coal India Limited</t>
  </si>
  <si>
    <t>TVS Holdings Limited</t>
  </si>
  <si>
    <t>Exide Industries Limited</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</si>
  <si>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</si>
  <si>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Sandhar Technologies Limited</t>
  </si>
  <si>
    <t>Shriram Finance Limited</t>
  </si>
  <si>
    <t>Bandhan Nifty Alpha 50 Index Fund</t>
  </si>
  <si>
    <t>Bharat Heavy Electricals Limited</t>
  </si>
  <si>
    <t>Indian Railway Finance Corporation Limited</t>
  </si>
  <si>
    <t>Bandhan Small Cap Fund - Direct Pl - Gr</t>
  </si>
  <si>
    <t>BANDHAN SMALL CAP FUND (PREVIOUSLY KNOWN AS BANDHAN EMERGING BUSINESSES FUND)</t>
  </si>
  <si>
    <t>BANDHAN ELSS TAX SAVER FUND (PREVIOUSLY KNOWN AS BANDHAN TAX ADVANTAGE (ELSS) FUND)</t>
  </si>
  <si>
    <t>Mankind Pharma Limited</t>
  </si>
  <si>
    <t>Computer Age Management Services Limited</t>
  </si>
  <si>
    <t>GPT Infraprojects Limited</t>
  </si>
  <si>
    <t>Multi Commodity Exchange of India Limited</t>
  </si>
  <si>
    <t>Prestige Estates Projects Limited</t>
  </si>
  <si>
    <t>Bandhan Nifty Smallcap 250 Index Fund</t>
  </si>
  <si>
    <t>Telecom -  Equipment &amp; Accessories</t>
  </si>
  <si>
    <t>Healthcare Equipment &amp; Supplies</t>
  </si>
  <si>
    <t>Central Depository Services (India) Limited</t>
  </si>
  <si>
    <t>Karur Vysya Bank Limited</t>
  </si>
  <si>
    <t>Mutual Fund Units</t>
  </si>
  <si>
    <t>Bandhan Money Manager Treasury -Direct Pl-Growth</t>
  </si>
  <si>
    <t>7.3% GOI (MD 19/06/2053)</t>
  </si>
  <si>
    <t>Mutual Fund Units: Bandhan Liquid Fund - Direct Plan -Growth</t>
  </si>
  <si>
    <t>Mutual Fund Units: Bandhan Liquid Fund</t>
  </si>
  <si>
    <t>Bandhan Ultra Short Term Fund - Direct Plan Growth</t>
  </si>
  <si>
    <t>Zomato Limited</t>
  </si>
  <si>
    <t>Eicher Motors Limited</t>
  </si>
  <si>
    <t>PB Fintech Limited</t>
  </si>
  <si>
    <t>Blue Star Limited</t>
  </si>
  <si>
    <t>International Exchange Traded Funds</t>
  </si>
  <si>
    <t>iShares V PLC - iShares MSCI ACWI UCITS ETF</t>
  </si>
  <si>
    <t>Exchange Traded Funds</t>
  </si>
  <si>
    <t>Others</t>
  </si>
  <si>
    <t>ICICI Prudential Gold ETF</t>
  </si>
  <si>
    <t>ICICI Prudential Silver ETF</t>
  </si>
  <si>
    <t>BANDHAN MULTI ASSET ALLOCATION FUND</t>
  </si>
  <si>
    <t>Info Edge (India) Limited</t>
  </si>
  <si>
    <t>Engineering Services</t>
  </si>
  <si>
    <t>ICICI Lombard General Insurance Company Limited</t>
  </si>
  <si>
    <t>IT - Hardware</t>
  </si>
  <si>
    <t>Jio Financial Services Limited</t>
  </si>
  <si>
    <t>National Aluminium Company Limited</t>
  </si>
  <si>
    <t>Dixon Technologies (India) Limited</t>
  </si>
  <si>
    <t>6.54% GOI (MD 17/01/2032)</t>
  </si>
  <si>
    <t>V-Mart Retail Limited</t>
  </si>
  <si>
    <t>Siemens Limited</t>
  </si>
  <si>
    <t>Samvardhana Motherson International Limited</t>
  </si>
  <si>
    <t>Aditya Birla Sun Life AMC Limited</t>
  </si>
  <si>
    <t>Asian Paints Limited</t>
  </si>
  <si>
    <t>Glenmark Pharmaceuticals Limited</t>
  </si>
  <si>
    <t>Crompton Greaves Consumer Electricals Limited</t>
  </si>
  <si>
    <t>SignatureGlobal (India) Limited</t>
  </si>
  <si>
    <t>BSE Limited</t>
  </si>
  <si>
    <t>Suzlon Energy Limited</t>
  </si>
  <si>
    <t>Kalyan Jewellers India Limited</t>
  </si>
  <si>
    <t>Rail Vikas Nigam Limited</t>
  </si>
  <si>
    <t>BANDHAN INNOVATION FUND</t>
  </si>
  <si>
    <t>United Breweries Limited</t>
  </si>
  <si>
    <t>Sterling And Wilson Renewable Energy Limited</t>
  </si>
  <si>
    <t>Avanti Feeds Limited</t>
  </si>
  <si>
    <t>Rashi Peripherals Limited</t>
  </si>
  <si>
    <t>Adani Ports and Special Economic Zone Limited</t>
  </si>
  <si>
    <t>Repco Home Finance Limited</t>
  </si>
  <si>
    <t>AstraZeneca Pharma India Limited</t>
  </si>
  <si>
    <t>Syngene International Limited</t>
  </si>
  <si>
    <t>Bajaj Finserv Limited</t>
  </si>
  <si>
    <t>Grasim Industries Limited</t>
  </si>
  <si>
    <t>FSN E-Commerce Ventures Limited</t>
  </si>
  <si>
    <t>Supreme Industries Limited</t>
  </si>
  <si>
    <t>PCBL Limited</t>
  </si>
  <si>
    <t>PNC Infratech Limited</t>
  </si>
  <si>
    <t>Prudent Corporate Advisory Services Limited</t>
  </si>
  <si>
    <t>Aster DM Healthcare Limited</t>
  </si>
  <si>
    <t>NCC Limited</t>
  </si>
  <si>
    <t>Brigade Enterprises Limited</t>
  </si>
  <si>
    <t>Amara Raja Energy &amp; Mobility Ltd</t>
  </si>
  <si>
    <t>The Great Eastern Shipping Company Limited</t>
  </si>
  <si>
    <t>LG Balakrishnan &amp; Bros Limited</t>
  </si>
  <si>
    <t>Sun Pharmaceutical Industries Limited</t>
  </si>
  <si>
    <t>Titan Company Limited</t>
  </si>
  <si>
    <t>Nestle India Limited</t>
  </si>
  <si>
    <t>DCX Systems Limited</t>
  </si>
  <si>
    <t>KEC International Limited</t>
  </si>
  <si>
    <t>Miscellaneous</t>
  </si>
  <si>
    <t>Indus Towers Limited</t>
  </si>
  <si>
    <t>LT Foods Limited</t>
  </si>
  <si>
    <t>The South Indian Bank Limited</t>
  </si>
  <si>
    <t>Praj Industries Limited</t>
  </si>
  <si>
    <t>Alkem Laboratories Limited</t>
  </si>
  <si>
    <t>Certificate of Deposit</t>
  </si>
  <si>
    <t>Tata Power Company Limited</t>
  </si>
  <si>
    <t>SBI Life Insurance Company Limited</t>
  </si>
  <si>
    <t>Titagarh Rail Systems Limited</t>
  </si>
  <si>
    <t>Housing &amp; Urban Development Corporation Limited</t>
  </si>
  <si>
    <t>SJVN Limited</t>
  </si>
  <si>
    <t>Cochin Shipyard Limited</t>
  </si>
  <si>
    <t>AU Small Finance Bank Limited</t>
  </si>
  <si>
    <t>Muthoot Finance Limited</t>
  </si>
  <si>
    <t>AA+</t>
  </si>
  <si>
    <t>ISGEC Heavy Engineering Limited</t>
  </si>
  <si>
    <t>BANDHAN CONSERVATIVE HYBRID FUND (PREVIOUSLY KNOWN AS BANDHAN REGULAR SAVINGS FUND)</t>
  </si>
  <si>
    <t>Godrej Housing Finance Limited</t>
  </si>
  <si>
    <t>Equity Futures</t>
  </si>
  <si>
    <t>Bandhan Nifty Total Market Index Fund</t>
  </si>
  <si>
    <t>304.51 crs</t>
  </si>
  <si>
    <t>5982.52 Cr</t>
  </si>
  <si>
    <t>1574.65 crs</t>
  </si>
  <si>
    <t xml:space="preserve"> 1651.77 crs</t>
  </si>
  <si>
    <t>10241.88 crs</t>
  </si>
  <si>
    <t>1459.13 crs</t>
  </si>
  <si>
    <t>2436.92 crs</t>
  </si>
  <si>
    <t>7651.86 crs</t>
  </si>
  <si>
    <t>6640.27 crs</t>
  </si>
  <si>
    <t>593.72 crs</t>
  </si>
  <si>
    <t>919.99 crs</t>
  </si>
  <si>
    <t>1004.77 crs</t>
  </si>
  <si>
    <t>7178.74 crs</t>
  </si>
  <si>
    <t>6966.70 crs</t>
  </si>
  <si>
    <t>2302.17 crs</t>
  </si>
  <si>
    <t>135.99 crs</t>
  </si>
  <si>
    <t>116.26 crs</t>
  </si>
  <si>
    <t>759.92 crs</t>
  </si>
  <si>
    <t>173.16 crs</t>
  </si>
  <si>
    <t>1643.91 crs</t>
  </si>
  <si>
    <t>18.63  crs</t>
  </si>
  <si>
    <t>19.81 crs</t>
  </si>
  <si>
    <t>6.48 crs</t>
  </si>
  <si>
    <t>1443.55 crs</t>
  </si>
  <si>
    <t>1.23 crs</t>
  </si>
  <si>
    <t>26.77 crs</t>
  </si>
  <si>
    <t>130.52 crs</t>
  </si>
  <si>
    <t>980.39 crs</t>
  </si>
  <si>
    <t>22.66 crs</t>
  </si>
  <si>
    <t>187.37 crs</t>
  </si>
  <si>
    <t>37.26 crs</t>
  </si>
  <si>
    <t>33.73 crs</t>
  </si>
  <si>
    <t>The Federal Bank Limited</t>
  </si>
  <si>
    <t>Greenply Industries Limited</t>
  </si>
  <si>
    <t>The Karnataka Bank Limited</t>
  </si>
  <si>
    <t>Inox Wind Limited</t>
  </si>
  <si>
    <t>Motilal Oswal Financial Services Limited</t>
  </si>
  <si>
    <t>PTC India Financial Services Limited</t>
  </si>
  <si>
    <t>Rane Holdings Limited</t>
  </si>
  <si>
    <t>KFin Technologies Limited</t>
  </si>
  <si>
    <t>Protean eGov Technologies Limited</t>
  </si>
  <si>
    <t>Colgate Palmolive (India) Limited</t>
  </si>
  <si>
    <t>Mphasis Limited</t>
  </si>
  <si>
    <t>NBCC (India) Limited</t>
  </si>
  <si>
    <t>Other Utilities</t>
  </si>
  <si>
    <t>Other Consumer Services</t>
  </si>
  <si>
    <t>Media</t>
  </si>
  <si>
    <t>Printing &amp; Publication</t>
  </si>
  <si>
    <t>Net Assets as on 31st July, 2024</t>
  </si>
  <si>
    <t>Portfolio as on - (31st July 2024)</t>
  </si>
  <si>
    <t>144.47 crs</t>
  </si>
  <si>
    <t>1934.06 crs</t>
  </si>
  <si>
    <t xml:space="preserve">AA </t>
  </si>
  <si>
    <t>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</si>
</sst>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Black]\(0.00%\)"/>
    <numFmt numFmtId="165" formatCode="#,##0.00%_);\(#,##0.00%\)"/>
    <numFmt numFmtId="166" formatCode="#0.00%;\(#0.00%\)"/>
    <numFmt numFmtId="167" formatCode="0.000000%"/>
    <numFmt numFmtId="168" formatCode="0.0%"/>
    <numFmt numFmtId="169" formatCode="0.000%"/>
    <numFmt numFmtId="170" formatCode="#0.0000%;\(#0.0000%\)"/>
    <numFmt numFmtId="171" formatCode="0.000%;[Black]\(0.000%\)"/>
  </numFmts>
  <fonts count="14" x14ac:knownFonts="1">
    <font>
      <sz val="11"/>
      <color theme="1"/>
      <name val="Calibri"/>
      <family val="2"/>
      <scheme val="minor"/>
    </font>
    <font>
      <sz val="11"/>
      <color theme="1"/>
      <name val="Calibri"/>
      <family val="2"/>
      <scheme val="minor"/>
    </font>
    <font>
      <sz val="12"/>
      <color theme="0"/>
      <name val="Arial"/>
      <family val="2"/>
    </font>
    <font>
      <sz val="12"/>
      <name val="Arial"/>
      <family val="2"/>
    </font>
    <font>
      <b/>
      <sz val="11"/>
      <name val="Arial"/>
      <family val="2"/>
    </font>
    <font>
      <b/>
      <sz val="12"/>
      <name val="Arial"/>
      <family val="2"/>
    </font>
    <font>
      <sz val="11"/>
      <name val="Calibri"/>
      <family val="2"/>
      <scheme val="minor"/>
    </font>
    <font>
      <sz val="12"/>
      <name val="Calibri"/>
      <family val="2"/>
      <scheme val="minor"/>
    </font>
    <font>
      <sz val="10"/>
      <name val="Calibri"/>
      <family val="2"/>
    </font>
    <font>
      <b/>
      <sz val="16"/>
      <name val="Arial"/>
      <family val="2"/>
    </font>
    <font>
      <b/>
      <sz val="9"/>
      <name val="Arial"/>
      <family val="2"/>
    </font>
    <font>
      <b/>
      <sz val="11"/>
      <name val="Calibri"/>
      <family val="2"/>
      <scheme val="minor"/>
    </font>
    <font>
      <sz val="9"/>
      <color rgb="FF000000"/>
      <name val="Arial"/>
      <family val="2"/>
    </font>
    <font>
      <b/>
      <sz val="16"/>
      <color theme="1"/>
      <name val="Arial"/>
      <family val="2"/>
    </font>
  </fonts>
  <fills count="5">
    <fill>
      <patternFill patternType="none"/>
    </fill>
    <fill>
      <patternFill patternType="gray125"/>
    </fill>
    <fill>
      <patternFill patternType="solid">
        <fgColor rgb="FFD8D8D8"/>
        <bgColor indexed="64"/>
      </patternFill>
    </fill>
    <fill>
      <patternFill patternType="solid">
        <fgColor theme="0"/>
        <bgColor indexed="64"/>
      </patternFill>
    </fill>
    <fill>
      <patternFill patternType="solid">
        <fgColor theme="0" tint="-0.14999847407452621"/>
        <bgColor indexed="64"/>
      </patternFill>
    </fill>
  </fills>
  <borders count="29">
    <border>
      <left/>
      <right/>
      <top/>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8"/>
      </left>
      <right/>
      <top/>
      <bottom/>
      <diagonal/>
    </border>
    <border>
      <left style="thin">
        <color indexed="8"/>
      </left>
      <right/>
      <top/>
      <bottom style="thin">
        <color indexed="8"/>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91">
    <xf numFmtId="0" fontId="0" fillId="0" borderId="0" xfId="0"/>
    <xf numFmtId="0" fontId="2" fillId="0" borderId="0" xfId="0" applyFont="1"/>
    <xf numFmtId="0" fontId="2" fillId="0" borderId="0" xfId="0" applyFont="1" applyFill="1"/>
    <xf numFmtId="0" fontId="3" fillId="0" borderId="0" xfId="0" applyFont="1"/>
    <xf numFmtId="0" fontId="3" fillId="0" borderId="9" xfId="0" applyFont="1" applyBorder="1" applyAlignment="1">
      <alignment horizontal="left"/>
    </xf>
    <xf numFmtId="0" fontId="3" fillId="0" borderId="0" xfId="0" applyFont="1" applyBorder="1"/>
    <xf numFmtId="10" fontId="3" fillId="0" borderId="9" xfId="1" applyNumberFormat="1" applyFont="1" applyBorder="1" applyAlignment="1">
      <alignment horizontal="right"/>
    </xf>
    <xf numFmtId="0" fontId="5" fillId="4" borderId="9" xfId="0" applyFont="1" applyFill="1" applyBorder="1" applyAlignment="1">
      <alignment horizontal="left"/>
    </xf>
    <xf numFmtId="165" fontId="5" fillId="4" borderId="9" xfId="0" applyNumberFormat="1" applyFont="1" applyFill="1" applyBorder="1" applyAlignment="1">
      <alignment horizontal="right"/>
    </xf>
    <xf numFmtId="0" fontId="5" fillId="4" borderId="18" xfId="0" applyFont="1" applyFill="1" applyBorder="1" applyAlignment="1">
      <alignment horizontal="left"/>
    </xf>
    <xf numFmtId="165" fontId="5" fillId="4" borderId="18" xfId="0" applyNumberFormat="1" applyFont="1" applyFill="1" applyBorder="1" applyAlignment="1">
      <alignment horizontal="right"/>
    </xf>
    <xf numFmtId="0" fontId="4" fillId="0" borderId="15" xfId="0" applyFont="1" applyFill="1" applyBorder="1" applyAlignment="1">
      <alignment vertical="center" wrapText="1"/>
    </xf>
    <xf numFmtId="0" fontId="2" fillId="3" borderId="0" xfId="0" applyFont="1" applyFill="1" applyBorder="1"/>
    <xf numFmtId="10" fontId="2" fillId="3" borderId="0" xfId="0" applyNumberFormat="1" applyFont="1" applyFill="1" applyBorder="1"/>
    <xf numFmtId="14" fontId="2" fillId="0" borderId="0" xfId="0" applyNumberFormat="1" applyFont="1"/>
    <xf numFmtId="0" fontId="3" fillId="0" borderId="9" xfId="0" applyNumberFormat="1" applyFont="1" applyFill="1" applyBorder="1" applyAlignment="1" applyProtection="1">
      <alignment horizontal="left" wrapText="1"/>
    </xf>
    <xf numFmtId="0" fontId="3" fillId="0" borderId="9" xfId="0" applyNumberFormat="1" applyFont="1" applyFill="1" applyBorder="1" applyAlignment="1" applyProtection="1">
      <alignment horizontal="left" vertical="top" wrapText="1"/>
    </xf>
    <xf numFmtId="166" fontId="3" fillId="0" borderId="9" xfId="0" applyNumberFormat="1" applyFont="1" applyFill="1" applyBorder="1" applyAlignment="1" applyProtection="1">
      <alignment horizontal="right" wrapText="1"/>
    </xf>
    <xf numFmtId="166" fontId="3" fillId="0" borderId="10" xfId="0" applyNumberFormat="1" applyFont="1" applyFill="1" applyBorder="1" applyAlignment="1" applyProtection="1">
      <alignment horizontal="right" wrapText="1"/>
    </xf>
    <xf numFmtId="0" fontId="6" fillId="0" borderId="0" xfId="0" applyFont="1"/>
    <xf numFmtId="0" fontId="3" fillId="0" borderId="15" xfId="0" applyFont="1" applyBorder="1"/>
    <xf numFmtId="0" fontId="6" fillId="0" borderId="2" xfId="0" applyFont="1" applyBorder="1"/>
    <xf numFmtId="0" fontId="6" fillId="0" borderId="3" xfId="0" applyFont="1" applyBorder="1"/>
    <xf numFmtId="0" fontId="6" fillId="0" borderId="8" xfId="0" applyFont="1" applyBorder="1"/>
    <xf numFmtId="0" fontId="6" fillId="0" borderId="13" xfId="0" applyFont="1" applyBorder="1"/>
    <xf numFmtId="0" fontId="6" fillId="0" borderId="15" xfId="0" applyFont="1" applyBorder="1"/>
    <xf numFmtId="0" fontId="6" fillId="0" borderId="22" xfId="0" applyFont="1" applyBorder="1"/>
    <xf numFmtId="0" fontId="3" fillId="0" borderId="9" xfId="0" applyFont="1" applyFill="1" applyBorder="1" applyAlignment="1">
      <alignment horizontal="left"/>
    </xf>
    <xf numFmtId="0" fontId="6" fillId="0" borderId="12" xfId="0" applyFont="1" applyBorder="1"/>
    <xf numFmtId="0" fontId="6" fillId="0" borderId="0" xfId="0" applyFont="1" applyBorder="1"/>
    <xf numFmtId="0" fontId="6" fillId="0" borderId="21" xfId="0" applyFont="1" applyBorder="1"/>
    <xf numFmtId="10" fontId="3" fillId="0" borderId="0" xfId="0" applyNumberFormat="1" applyFont="1" applyBorder="1"/>
    <xf numFmtId="165" fontId="3" fillId="0" borderId="9" xfId="0" applyNumberFormat="1" applyFont="1" applyBorder="1" applyAlignment="1">
      <alignment horizontal="right"/>
    </xf>
    <xf numFmtId="0" fontId="3" fillId="0" borderId="0" xfId="0" applyFont="1" applyFill="1" applyBorder="1" applyAlignment="1">
      <alignment horizontal="left"/>
    </xf>
    <xf numFmtId="10" fontId="3" fillId="0" borderId="0" xfId="1" applyNumberFormat="1" applyFont="1" applyFill="1" applyBorder="1" applyAlignment="1">
      <alignment horizontal="right"/>
    </xf>
    <xf numFmtId="0" fontId="5" fillId="0" borderId="0" xfId="0" applyFont="1" applyFill="1" applyBorder="1" applyAlignment="1">
      <alignment horizontal="left"/>
    </xf>
    <xf numFmtId="165" fontId="5" fillId="0" borderId="0" xfId="0" applyNumberFormat="1" applyFont="1" applyFill="1" applyBorder="1" applyAlignment="1">
      <alignment horizontal="right"/>
    </xf>
    <xf numFmtId="10" fontId="5" fillId="0" borderId="0" xfId="1" applyNumberFormat="1" applyFont="1" applyFill="1" applyBorder="1" applyAlignment="1">
      <alignment horizontal="right"/>
    </xf>
    <xf numFmtId="0" fontId="3" fillId="0" borderId="9" xfId="0" applyFont="1" applyBorder="1"/>
    <xf numFmtId="0" fontId="6" fillId="3" borderId="0" xfId="0" applyFont="1" applyFill="1"/>
    <xf numFmtId="0" fontId="7" fillId="0" borderId="0" xfId="0" applyFont="1"/>
    <xf numFmtId="0" fontId="3" fillId="0" borderId="0" xfId="0" applyFont="1" applyFill="1" applyBorder="1"/>
    <xf numFmtId="0" fontId="3" fillId="0" borderId="12" xfId="0" applyFont="1" applyBorder="1"/>
    <xf numFmtId="10" fontId="3" fillId="0" borderId="0" xfId="1" applyNumberFormat="1" applyFont="1" applyFill="1" applyBorder="1" applyAlignment="1">
      <alignment horizontal="left"/>
    </xf>
    <xf numFmtId="10" fontId="3" fillId="0" borderId="9" xfId="1" applyNumberFormat="1" applyFont="1" applyFill="1" applyBorder="1" applyAlignment="1">
      <alignment horizontal="right"/>
    </xf>
    <xf numFmtId="10" fontId="3" fillId="0" borderId="0" xfId="0" applyNumberFormat="1" applyFont="1"/>
    <xf numFmtId="0" fontId="8" fillId="0" borderId="0" xfId="0" applyFont="1" applyBorder="1"/>
    <xf numFmtId="0" fontId="3" fillId="0" borderId="21" xfId="0" applyFont="1" applyBorder="1"/>
    <xf numFmtId="10" fontId="3" fillId="0" borderId="0" xfId="1" applyNumberFormat="1" applyFont="1" applyBorder="1" applyAlignment="1">
      <alignment horizontal="left"/>
    </xf>
    <xf numFmtId="10" fontId="3" fillId="0" borderId="10" xfId="1" applyNumberFormat="1" applyFont="1" applyBorder="1" applyAlignment="1">
      <alignment horizontal="right"/>
    </xf>
    <xf numFmtId="10" fontId="3" fillId="0" borderId="0" xfId="1" applyNumberFormat="1" applyFont="1" applyBorder="1"/>
    <xf numFmtId="0" fontId="3" fillId="0" borderId="0" xfId="0" applyFont="1" applyFill="1"/>
    <xf numFmtId="14" fontId="3" fillId="0" borderId="0" xfId="0" applyNumberFormat="1" applyFont="1"/>
    <xf numFmtId="14" fontId="3" fillId="0" borderId="0" xfId="0" applyNumberFormat="1" applyFont="1" applyBorder="1"/>
    <xf numFmtId="0" fontId="6" fillId="0" borderId="0" xfId="0" applyFont="1" applyFill="1" applyBorder="1"/>
    <xf numFmtId="0" fontId="6" fillId="0" borderId="15" xfId="0" applyFont="1" applyFill="1" applyBorder="1"/>
    <xf numFmtId="0" fontId="6" fillId="0" borderId="0" xfId="0" applyFont="1" applyFill="1"/>
    <xf numFmtId="0" fontId="3" fillId="0" borderId="21" xfId="0" applyFont="1" applyBorder="1" applyAlignment="1">
      <alignment horizontal="left"/>
    </xf>
    <xf numFmtId="10" fontId="3" fillId="0" borderId="21" xfId="1" applyNumberFormat="1" applyFont="1" applyBorder="1" applyAlignment="1">
      <alignment horizontal="right"/>
    </xf>
    <xf numFmtId="0" fontId="6" fillId="0" borderId="0" xfId="0" applyFont="1" applyAlignment="1">
      <alignment horizontal="left"/>
    </xf>
    <xf numFmtId="10" fontId="6" fillId="0" borderId="0" xfId="0" applyNumberFormat="1" applyFont="1"/>
    <xf numFmtId="0" fontId="3" fillId="0" borderId="9" xfId="0" applyFont="1" applyFill="1" applyBorder="1" applyAlignment="1">
      <alignment vertical="center" wrapText="1"/>
    </xf>
    <xf numFmtId="0" fontId="3" fillId="0" borderId="24" xfId="0" applyFont="1" applyBorder="1" applyAlignment="1">
      <alignment horizontal="left" wrapText="1"/>
    </xf>
    <xf numFmtId="0" fontId="5" fillId="4" borderId="24" xfId="0" applyFont="1" applyFill="1" applyBorder="1" applyAlignment="1">
      <alignment horizontal="left"/>
    </xf>
    <xf numFmtId="0" fontId="6" fillId="0" borderId="0" xfId="0" applyFont="1" applyAlignment="1"/>
    <xf numFmtId="10" fontId="6" fillId="0" borderId="0" xfId="0" applyNumberFormat="1" applyFont="1" applyAlignment="1"/>
    <xf numFmtId="0" fontId="6" fillId="0" borderId="11" xfId="0" applyFont="1" applyBorder="1"/>
    <xf numFmtId="0" fontId="6" fillId="0" borderId="14" xfId="0" applyFont="1" applyBorder="1"/>
    <xf numFmtId="0" fontId="6" fillId="4" borderId="0" xfId="0" applyFont="1" applyFill="1" applyBorder="1"/>
    <xf numFmtId="0" fontId="6" fillId="4" borderId="15" xfId="0" applyFont="1" applyFill="1" applyBorder="1"/>
    <xf numFmtId="0" fontId="5" fillId="0" borderId="0" xfId="0" applyFont="1" applyBorder="1" applyAlignment="1">
      <alignment horizontal="left"/>
    </xf>
    <xf numFmtId="0" fontId="5" fillId="2" borderId="16" xfId="0" applyFont="1" applyFill="1" applyBorder="1" applyAlignment="1">
      <alignment horizontal="center" vertical="center"/>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xf>
    <xf numFmtId="0" fontId="3" fillId="0" borderId="18" xfId="0" applyFont="1" applyBorder="1" applyAlignment="1">
      <alignment vertical="center"/>
    </xf>
    <xf numFmtId="164" fontId="3" fillId="0" borderId="18" xfId="0" applyNumberFormat="1" applyFont="1" applyBorder="1" applyAlignment="1">
      <alignment vertical="center"/>
    </xf>
    <xf numFmtId="0" fontId="5" fillId="2" borderId="18" xfId="0" applyFont="1" applyFill="1" applyBorder="1" applyAlignment="1">
      <alignment horizontal="left" vertical="center"/>
    </xf>
    <xf numFmtId="0" fontId="5" fillId="2" borderId="18" xfId="0" applyFont="1" applyFill="1" applyBorder="1" applyAlignment="1">
      <alignment horizontal="right" vertical="center"/>
    </xf>
    <xf numFmtId="164" fontId="5" fillId="2" borderId="19" xfId="0" applyNumberFormat="1" applyFont="1" applyFill="1" applyBorder="1" applyAlignment="1">
      <alignment horizontal="right" vertical="center"/>
    </xf>
    <xf numFmtId="0" fontId="6" fillId="0" borderId="20" xfId="0" applyFont="1" applyBorder="1"/>
    <xf numFmtId="0" fontId="6" fillId="0" borderId="4" xfId="0" applyFont="1" applyBorder="1"/>
    <xf numFmtId="0" fontId="6" fillId="0" borderId="1" xfId="0" applyFont="1" applyBorder="1"/>
    <xf numFmtId="0" fontId="6" fillId="0" borderId="5" xfId="0" applyFont="1" applyBorder="1"/>
    <xf numFmtId="0" fontId="6" fillId="0" borderId="6" xfId="0" applyFont="1" applyBorder="1"/>
    <xf numFmtId="0" fontId="6" fillId="0" borderId="7" xfId="0" applyFont="1" applyBorder="1"/>
    <xf numFmtId="0" fontId="3" fillId="0" borderId="9" xfId="0" applyFont="1" applyBorder="1" applyAlignment="1">
      <alignment vertical="center"/>
    </xf>
    <xf numFmtId="164" fontId="3" fillId="0" borderId="9" xfId="0" applyNumberFormat="1" applyFont="1" applyBorder="1" applyAlignment="1">
      <alignment vertical="center"/>
    </xf>
    <xf numFmtId="164" fontId="5" fillId="2" borderId="18" xfId="0" applyNumberFormat="1" applyFont="1" applyFill="1" applyBorder="1" applyAlignment="1">
      <alignment horizontal="right" vertical="center"/>
    </xf>
    <xf numFmtId="0" fontId="5" fillId="0" borderId="0" xfId="0" applyFont="1" applyFill="1" applyBorder="1" applyAlignment="1">
      <alignment horizontal="left" vertical="center"/>
    </xf>
    <xf numFmtId="10" fontId="5" fillId="0" borderId="0" xfId="0" applyNumberFormat="1" applyFont="1" applyFill="1" applyBorder="1" applyAlignment="1">
      <alignment horizontal="right" vertical="center"/>
    </xf>
    <xf numFmtId="0" fontId="6" fillId="0" borderId="0" xfId="0" applyFont="1" applyFill="1" applyBorder="1" applyAlignment="1">
      <alignment horizontal="right"/>
    </xf>
    <xf numFmtId="0" fontId="5" fillId="0" borderId="0" xfId="0" applyFont="1" applyFill="1" applyBorder="1" applyAlignment="1">
      <alignment horizontal="right" vertical="center"/>
    </xf>
    <xf numFmtId="10" fontId="5" fillId="0" borderId="0" xfId="1" applyNumberFormat="1" applyFont="1" applyFill="1" applyBorder="1" applyAlignment="1">
      <alignment horizontal="right" vertical="center"/>
    </xf>
    <xf numFmtId="0" fontId="5" fillId="0" borderId="0" xfId="0" applyFont="1" applyFill="1" applyBorder="1" applyAlignment="1">
      <alignment vertical="center" wrapText="1"/>
    </xf>
    <xf numFmtId="0" fontId="3" fillId="0" borderId="11" xfId="0" applyFont="1" applyBorder="1"/>
    <xf numFmtId="0" fontId="3" fillId="0" borderId="13" xfId="0" applyFont="1" applyBorder="1"/>
    <xf numFmtId="0" fontId="3" fillId="0" borderId="14" xfId="0" applyFont="1" applyBorder="1"/>
    <xf numFmtId="0" fontId="9" fillId="4" borderId="0" xfId="0" applyFont="1" applyFill="1" applyBorder="1" applyAlignment="1">
      <alignment vertical="center"/>
    </xf>
    <xf numFmtId="0" fontId="5" fillId="4" borderId="16" xfId="0" applyFont="1" applyFill="1" applyBorder="1" applyAlignment="1">
      <alignment horizontal="center" vertical="center" wrapText="1"/>
    </xf>
    <xf numFmtId="0" fontId="3" fillId="0" borderId="20" xfId="0" applyFont="1" applyBorder="1"/>
    <xf numFmtId="0" fontId="3" fillId="3" borderId="0" xfId="0" applyFont="1" applyFill="1" applyBorder="1"/>
    <xf numFmtId="10" fontId="3" fillId="3" borderId="0" xfId="0" applyNumberFormat="1" applyFont="1" applyFill="1" applyBorder="1"/>
    <xf numFmtId="10" fontId="3" fillId="3" borderId="0" xfId="1" applyNumberFormat="1" applyFont="1" applyFill="1" applyBorder="1"/>
    <xf numFmtId="0" fontId="5" fillId="0" borderId="21" xfId="0" applyFont="1" applyBorder="1" applyAlignment="1"/>
    <xf numFmtId="0" fontId="5" fillId="0" borderId="22" xfId="0" applyFont="1" applyBorder="1" applyAlignment="1"/>
    <xf numFmtId="0" fontId="3" fillId="0" borderId="24" xfId="0" applyFont="1" applyBorder="1"/>
    <xf numFmtId="165" fontId="3" fillId="0" borderId="0" xfId="0" applyNumberFormat="1" applyFont="1" applyBorder="1"/>
    <xf numFmtId="0" fontId="3" fillId="0" borderId="16" xfId="0" applyFont="1" applyBorder="1" applyAlignment="1">
      <alignment wrapText="1"/>
    </xf>
    <xf numFmtId="10" fontId="3" fillId="0" borderId="16" xfId="1" applyNumberFormat="1" applyFont="1" applyBorder="1"/>
    <xf numFmtId="0" fontId="3" fillId="0" borderId="9" xfId="0" applyFont="1" applyBorder="1" applyAlignment="1">
      <alignment wrapText="1"/>
    </xf>
    <xf numFmtId="0" fontId="6" fillId="2" borderId="0" xfId="0" applyFont="1" applyFill="1" applyBorder="1"/>
    <xf numFmtId="0" fontId="6" fillId="2" borderId="3" xfId="0" applyFont="1" applyFill="1" applyBorder="1"/>
    <xf numFmtId="0" fontId="5" fillId="4" borderId="9" xfId="0" applyFont="1" applyFill="1" applyBorder="1" applyAlignment="1">
      <alignment vertical="center" wrapText="1"/>
    </xf>
    <xf numFmtId="10" fontId="5" fillId="4" borderId="9" xfId="0" applyNumberFormat="1" applyFont="1" applyFill="1" applyBorder="1" applyAlignment="1">
      <alignment vertical="center" wrapText="1"/>
    </xf>
    <xf numFmtId="0" fontId="3" fillId="0" borderId="14" xfId="0" applyFont="1" applyFill="1" applyBorder="1"/>
    <xf numFmtId="0" fontId="3" fillId="0" borderId="15" xfId="0" applyFont="1" applyFill="1" applyBorder="1"/>
    <xf numFmtId="14" fontId="3" fillId="0" borderId="0" xfId="0" applyNumberFormat="1" applyFont="1" applyFill="1"/>
    <xf numFmtId="0" fontId="5" fillId="0" borderId="9" xfId="0" applyFont="1" applyFill="1" applyBorder="1" applyAlignment="1">
      <alignment vertical="center" wrapText="1"/>
    </xf>
    <xf numFmtId="10" fontId="5" fillId="0" borderId="9" xfId="0" applyNumberFormat="1" applyFont="1" applyFill="1" applyBorder="1" applyAlignment="1">
      <alignment vertical="center" wrapText="1"/>
    </xf>
    <xf numFmtId="0" fontId="5" fillId="4" borderId="18" xfId="0" applyFont="1" applyFill="1" applyBorder="1" applyAlignment="1">
      <alignment vertical="center" wrapText="1"/>
    </xf>
    <xf numFmtId="10" fontId="5" fillId="4" borderId="18" xfId="0" applyNumberFormat="1" applyFont="1" applyFill="1" applyBorder="1" applyAlignment="1">
      <alignment vertical="center" wrapText="1"/>
    </xf>
    <xf numFmtId="0" fontId="5" fillId="4" borderId="16" xfId="0" applyFont="1" applyFill="1" applyBorder="1" applyAlignment="1">
      <alignment vertical="center" wrapText="1"/>
    </xf>
    <xf numFmtId="0" fontId="3" fillId="0" borderId="22" xfId="0" applyFont="1" applyBorder="1"/>
    <xf numFmtId="0" fontId="5" fillId="4" borderId="17" xfId="0" applyFont="1" applyFill="1" applyBorder="1" applyAlignment="1">
      <alignment horizontal="center" vertical="center" wrapText="1"/>
    </xf>
    <xf numFmtId="0" fontId="3" fillId="0" borderId="16" xfId="2" applyNumberFormat="1" applyFont="1" applyFill="1" applyBorder="1"/>
    <xf numFmtId="0" fontId="3" fillId="0" borderId="16" xfId="0" applyFont="1" applyBorder="1"/>
    <xf numFmtId="0" fontId="3" fillId="0" borderId="9" xfId="2" applyNumberFormat="1" applyFont="1" applyFill="1" applyBorder="1"/>
    <xf numFmtId="0" fontId="3" fillId="0" borderId="9" xfId="2" applyNumberFormat="1" applyFont="1" applyFill="1" applyBorder="1" applyAlignment="1">
      <alignment vertical="center"/>
    </xf>
    <xf numFmtId="0" fontId="4" fillId="2" borderId="0" xfId="0" applyFont="1" applyFill="1" applyBorder="1" applyAlignment="1">
      <alignment horizontal="center"/>
    </xf>
    <xf numFmtId="2" fontId="5" fillId="4" borderId="9" xfId="0" applyNumberFormat="1" applyFont="1" applyFill="1" applyBorder="1" applyAlignment="1">
      <alignment vertical="center" wrapText="1"/>
    </xf>
    <xf numFmtId="0" fontId="5" fillId="2" borderId="25" xfId="0" applyFont="1" applyFill="1" applyBorder="1" applyAlignment="1">
      <alignment horizontal="center" vertical="center"/>
    </xf>
    <xf numFmtId="164" fontId="3" fillId="0" borderId="10" xfId="0" applyNumberFormat="1" applyFont="1" applyBorder="1" applyAlignment="1">
      <alignment vertical="center"/>
    </xf>
    <xf numFmtId="0" fontId="5" fillId="4" borderId="24" xfId="0" applyFont="1" applyFill="1" applyBorder="1" applyAlignment="1">
      <alignment vertical="center" wrapText="1"/>
    </xf>
    <xf numFmtId="0" fontId="5" fillId="2" borderId="9" xfId="0" applyFont="1" applyFill="1" applyBorder="1" applyAlignment="1">
      <alignment horizontal="right" vertical="center"/>
    </xf>
    <xf numFmtId="164" fontId="5" fillId="2" borderId="10" xfId="0" applyNumberFormat="1" applyFont="1" applyFill="1" applyBorder="1" applyAlignment="1">
      <alignment horizontal="right" vertical="center"/>
    </xf>
    <xf numFmtId="0" fontId="3" fillId="0" borderId="24" xfId="0" applyFont="1" applyBorder="1" applyAlignment="1">
      <alignment vertical="center"/>
    </xf>
    <xf numFmtId="166" fontId="10" fillId="0" borderId="0" xfId="0" applyNumberFormat="1" applyFont="1" applyFill="1" applyBorder="1" applyAlignment="1" applyProtection="1">
      <alignment horizontal="right" wrapText="1"/>
    </xf>
    <xf numFmtId="0" fontId="5" fillId="2" borderId="24" xfId="0" applyFont="1" applyFill="1" applyBorder="1" applyAlignment="1">
      <alignment horizontal="left" vertical="center"/>
    </xf>
    <xf numFmtId="166" fontId="6" fillId="0" borderId="0" xfId="0" applyNumberFormat="1" applyFont="1" applyBorder="1"/>
    <xf numFmtId="10" fontId="6" fillId="0" borderId="0" xfId="1" applyNumberFormat="1" applyFont="1" applyBorder="1"/>
    <xf numFmtId="0" fontId="6" fillId="0" borderId="14" xfId="0" applyFont="1" applyFill="1" applyBorder="1"/>
    <xf numFmtId="0" fontId="5" fillId="0" borderId="24" xfId="0" applyFont="1" applyFill="1" applyBorder="1" applyAlignment="1">
      <alignment horizontal="left" vertical="center"/>
    </xf>
    <xf numFmtId="0" fontId="5" fillId="0" borderId="9" xfId="0" applyFont="1" applyFill="1" applyBorder="1" applyAlignment="1">
      <alignment horizontal="right" vertical="center"/>
    </xf>
    <xf numFmtId="164" fontId="5" fillId="0" borderId="10" xfId="0" applyNumberFormat="1" applyFont="1" applyFill="1" applyBorder="1" applyAlignment="1">
      <alignment horizontal="right" vertical="center"/>
    </xf>
    <xf numFmtId="10" fontId="6" fillId="0" borderId="0" xfId="1" applyNumberFormat="1" applyFont="1" applyFill="1" applyBorder="1"/>
    <xf numFmtId="0" fontId="3" fillId="0" borderId="24" xfId="0" applyFont="1" applyFill="1" applyBorder="1" applyAlignment="1">
      <alignment horizontal="left" vertical="center"/>
    </xf>
    <xf numFmtId="0" fontId="3" fillId="0" borderId="9" xfId="0" applyFont="1" applyFill="1" applyBorder="1" applyAlignment="1">
      <alignment horizontal="left" vertical="center"/>
    </xf>
    <xf numFmtId="0" fontId="5" fillId="4" borderId="24" xfId="0" applyFont="1" applyFill="1" applyBorder="1" applyAlignment="1">
      <alignment horizontal="left" vertical="center"/>
    </xf>
    <xf numFmtId="0" fontId="5" fillId="4" borderId="9" xfId="0" applyFont="1" applyFill="1" applyBorder="1" applyAlignment="1">
      <alignment horizontal="right" vertical="center"/>
    </xf>
    <xf numFmtId="0" fontId="3" fillId="0" borderId="24" xfId="0" applyFont="1" applyFill="1" applyBorder="1" applyAlignment="1">
      <alignment vertical="center" wrapText="1"/>
    </xf>
    <xf numFmtId="10" fontId="3" fillId="0" borderId="10" xfId="0" applyNumberFormat="1" applyFont="1" applyFill="1" applyBorder="1" applyAlignment="1">
      <alignment vertical="center" wrapText="1"/>
    </xf>
    <xf numFmtId="0" fontId="5" fillId="2" borderId="26" xfId="0" applyFont="1" applyFill="1" applyBorder="1" applyAlignment="1">
      <alignment horizontal="left" vertical="center"/>
    </xf>
    <xf numFmtId="168" fontId="3" fillId="0" borderId="0" xfId="1" applyNumberFormat="1" applyFont="1" applyBorder="1"/>
    <xf numFmtId="10" fontId="6" fillId="0" borderId="0" xfId="1" applyNumberFormat="1" applyFont="1"/>
    <xf numFmtId="0" fontId="6" fillId="3" borderId="0" xfId="0" applyFont="1" applyFill="1" applyBorder="1"/>
    <xf numFmtId="0" fontId="5" fillId="2" borderId="23" xfId="0" applyFont="1" applyFill="1" applyBorder="1" applyAlignment="1">
      <alignment horizontal="center" vertical="center"/>
    </xf>
    <xf numFmtId="0" fontId="5" fillId="2" borderId="23" xfId="0" applyFont="1" applyFill="1" applyBorder="1" applyAlignment="1">
      <alignment horizontal="center" vertical="center" wrapText="1"/>
    </xf>
    <xf numFmtId="164" fontId="3" fillId="0" borderId="19" xfId="0" applyNumberFormat="1" applyFont="1" applyBorder="1" applyAlignment="1">
      <alignment vertical="center"/>
    </xf>
    <xf numFmtId="0" fontId="6" fillId="3" borderId="0" xfId="0" applyFont="1" applyFill="1" applyAlignment="1">
      <alignment horizontal="left"/>
    </xf>
    <xf numFmtId="10" fontId="6" fillId="3" borderId="0" xfId="0" applyNumberFormat="1" applyFont="1" applyFill="1"/>
    <xf numFmtId="0" fontId="11" fillId="0" borderId="0" xfId="0" applyFont="1" applyFill="1" applyBorder="1"/>
    <xf numFmtId="0" fontId="3" fillId="0" borderId="19" xfId="0" applyFont="1" applyBorder="1" applyAlignment="1">
      <alignment vertical="center"/>
    </xf>
    <xf numFmtId="0" fontId="7" fillId="0" borderId="0" xfId="0" applyFont="1" applyFill="1"/>
    <xf numFmtId="10" fontId="7" fillId="0" borderId="0" xfId="0" applyNumberFormat="1" applyFont="1" applyFill="1"/>
    <xf numFmtId="1" fontId="6" fillId="0" borderId="0" xfId="0" applyNumberFormat="1" applyFont="1"/>
    <xf numFmtId="164" fontId="5" fillId="0" borderId="0" xfId="0" applyNumberFormat="1" applyFont="1" applyFill="1" applyBorder="1" applyAlignment="1">
      <alignment horizontal="right" vertical="center"/>
    </xf>
    <xf numFmtId="0" fontId="6" fillId="0" borderId="0" xfId="0" applyFont="1" applyAlignment="1">
      <alignment vertical="top"/>
    </xf>
    <xf numFmtId="0" fontId="7" fillId="0" borderId="0" xfId="0" applyFont="1" applyBorder="1" applyAlignment="1"/>
    <xf numFmtId="0" fontId="5" fillId="2" borderId="23" xfId="0" applyFont="1" applyFill="1" applyBorder="1" applyAlignment="1">
      <alignment horizontal="left" vertical="center"/>
    </xf>
    <xf numFmtId="0" fontId="5" fillId="2" borderId="23" xfId="0" applyFont="1" applyFill="1" applyBorder="1" applyAlignment="1">
      <alignment horizontal="right" vertical="center"/>
    </xf>
    <xf numFmtId="164" fontId="5" fillId="2" borderId="23" xfId="0" applyNumberFormat="1" applyFont="1" applyFill="1" applyBorder="1" applyAlignment="1">
      <alignment horizontal="right" vertical="center"/>
    </xf>
    <xf numFmtId="0" fontId="5" fillId="4" borderId="25" xfId="0" applyFont="1" applyFill="1" applyBorder="1" applyAlignment="1">
      <alignment horizontal="center" vertical="center" wrapText="1"/>
    </xf>
    <xf numFmtId="0" fontId="3" fillId="0" borderId="27" xfId="0" applyFont="1" applyBorder="1" applyAlignment="1">
      <alignment vertical="center"/>
    </xf>
    <xf numFmtId="0" fontId="5" fillId="2" borderId="27" xfId="0" applyFont="1" applyFill="1" applyBorder="1" applyAlignment="1">
      <alignment horizontal="left" vertical="center"/>
    </xf>
    <xf numFmtId="0" fontId="5" fillId="2" borderId="28" xfId="0" applyFont="1" applyFill="1" applyBorder="1" applyAlignment="1">
      <alignment horizontal="left" vertical="center"/>
    </xf>
    <xf numFmtId="0" fontId="2" fillId="0" borderId="0" xfId="0" applyFont="1" applyFill="1" applyBorder="1"/>
    <xf numFmtId="14" fontId="2" fillId="0" borderId="0" xfId="0" applyNumberFormat="1" applyFont="1" applyFill="1" applyBorder="1"/>
    <xf numFmtId="0" fontId="0" fillId="0" borderId="0" xfId="0" applyAlignment="1"/>
    <xf numFmtId="10" fontId="0" fillId="0" borderId="0" xfId="0" applyNumberFormat="1" applyAlignment="1"/>
    <xf numFmtId="0" fontId="12" fillId="0" borderId="0" xfId="0" applyNumberFormat="1" applyFont="1" applyFill="1" applyBorder="1" applyAlignment="1" applyProtection="1">
      <alignment horizontal="left" wrapText="1"/>
    </xf>
    <xf numFmtId="166" fontId="12" fillId="0" borderId="0" xfId="0" applyNumberFormat="1" applyFont="1" applyFill="1" applyBorder="1" applyAlignment="1" applyProtection="1">
      <alignment horizontal="right" wrapText="1"/>
    </xf>
    <xf numFmtId="0" fontId="6" fillId="2" borderId="15" xfId="0" applyFont="1" applyFill="1" applyBorder="1"/>
    <xf numFmtId="10" fontId="0" fillId="0" borderId="0" xfId="0" applyNumberFormat="1" applyAlignment="1">
      <alignment horizontal="left"/>
    </xf>
    <xf numFmtId="10" fontId="0" fillId="0" borderId="0" xfId="0" applyNumberFormat="1"/>
    <xf numFmtId="0" fontId="0" fillId="0" borderId="0" xfId="0" applyAlignment="1">
      <alignment horizontal="left"/>
    </xf>
    <xf numFmtId="4" fontId="4" fillId="2" borderId="0" xfId="0" applyNumberFormat="1" applyFont="1" applyFill="1" applyBorder="1" applyAlignment="1">
      <alignment horizontal="center" vertical="center"/>
    </xf>
    <xf numFmtId="166" fontId="3" fillId="0" borderId="9" xfId="1" applyNumberFormat="1" applyFont="1" applyBorder="1" applyAlignment="1">
      <alignment horizontal="right"/>
    </xf>
    <xf numFmtId="166" fontId="5" fillId="4" borderId="9" xfId="0" applyNumberFormat="1" applyFont="1" applyFill="1" applyBorder="1" applyAlignment="1">
      <alignment horizontal="right"/>
    </xf>
    <xf numFmtId="166" fontId="3" fillId="0" borderId="9" xfId="0" applyNumberFormat="1" applyFont="1" applyBorder="1" applyAlignment="1">
      <alignment vertical="center"/>
    </xf>
    <xf numFmtId="166" fontId="5" fillId="2" borderId="9" xfId="0" applyNumberFormat="1" applyFont="1" applyFill="1" applyBorder="1" applyAlignment="1">
      <alignment horizontal="right" vertical="center"/>
    </xf>
    <xf numFmtId="166" fontId="5" fillId="4" borderId="9" xfId="0" applyNumberFormat="1" applyFont="1" applyFill="1" applyBorder="1" applyAlignment="1">
      <alignment vertical="center" wrapText="1"/>
    </xf>
    <xf numFmtId="0" fontId="3" fillId="0" borderId="24" xfId="0" applyFont="1" applyFill="1" applyBorder="1" applyAlignment="1" applyProtection="1">
      <alignment horizontal="left" wrapText="1"/>
    </xf>
    <xf numFmtId="0" fontId="3" fillId="0" borderId="9" xfId="0" applyFont="1" applyFill="1" applyBorder="1" applyAlignment="1" applyProtection="1">
      <alignment horizontal="left" wrapText="1"/>
    </xf>
    <xf numFmtId="10" fontId="3" fillId="0" borderId="10" xfId="0" applyNumberFormat="1" applyFont="1" applyBorder="1" applyAlignment="1">
      <alignment vertical="center"/>
    </xf>
    <xf numFmtId="10" fontId="5" fillId="4" borderId="10" xfId="0" applyNumberFormat="1" applyFont="1" applyFill="1" applyBorder="1" applyAlignment="1">
      <alignment horizontal="right" vertical="center"/>
    </xf>
    <xf numFmtId="166" fontId="5" fillId="4" borderId="10" xfId="0" applyNumberFormat="1" applyFont="1" applyFill="1" applyBorder="1" applyAlignment="1">
      <alignment vertical="center" wrapText="1"/>
    </xf>
    <xf numFmtId="166" fontId="3" fillId="0" borderId="9" xfId="1" applyNumberFormat="1" applyFont="1" applyFill="1" applyBorder="1" applyAlignment="1">
      <alignment horizontal="right"/>
    </xf>
    <xf numFmtId="170" fontId="3" fillId="0" borderId="9" xfId="1" applyNumberFormat="1" applyFont="1" applyFill="1" applyBorder="1" applyAlignment="1">
      <alignment horizontal="right"/>
    </xf>
    <xf numFmtId="0" fontId="3" fillId="0" borderId="16" xfId="0" applyFont="1" applyFill="1" applyBorder="1" applyAlignment="1" applyProtection="1">
      <alignment horizontal="left" wrapText="1"/>
    </xf>
    <xf numFmtId="0" fontId="3" fillId="0" borderId="16" xfId="0" applyFont="1" applyFill="1" applyBorder="1" applyAlignment="1" applyProtection="1">
      <alignment horizontal="left" vertical="top" wrapText="1"/>
    </xf>
    <xf numFmtId="10" fontId="3" fillId="0" borderId="16" xfId="0" applyNumberFormat="1" applyFont="1" applyFill="1" applyBorder="1" applyAlignment="1" applyProtection="1">
      <alignment horizontal="right" wrapText="1"/>
    </xf>
    <xf numFmtId="0" fontId="3" fillId="0" borderId="9" xfId="0" applyFont="1" applyFill="1" applyBorder="1" applyAlignment="1" applyProtection="1">
      <alignment horizontal="left" vertical="top" wrapText="1"/>
    </xf>
    <xf numFmtId="10" fontId="3" fillId="0" borderId="9" xfId="0" applyNumberFormat="1" applyFont="1" applyFill="1" applyBorder="1" applyAlignment="1" applyProtection="1">
      <alignment horizontal="right" wrapText="1"/>
    </xf>
    <xf numFmtId="0" fontId="3" fillId="0" borderId="16" xfId="2" applyNumberFormat="1" applyFont="1" applyFill="1" applyBorder="1" applyAlignment="1">
      <alignment vertical="center"/>
    </xf>
    <xf numFmtId="166" fontId="3" fillId="0" borderId="9" xfId="1" applyNumberFormat="1" applyFont="1" applyBorder="1"/>
    <xf numFmtId="166" fontId="3" fillId="0" borderId="9" xfId="0" applyNumberFormat="1" applyFont="1" applyBorder="1"/>
    <xf numFmtId="0" fontId="3" fillId="0" borderId="16" xfId="0" applyFont="1" applyFill="1" applyBorder="1" applyAlignment="1" applyProtection="1">
      <alignment horizontal="left" vertical="center" wrapText="1"/>
    </xf>
    <xf numFmtId="0" fontId="3" fillId="0" borderId="9" xfId="0" applyFont="1" applyFill="1" applyBorder="1" applyAlignment="1" applyProtection="1">
      <alignment horizontal="left" vertical="center" wrapText="1"/>
    </xf>
    <xf numFmtId="10" fontId="3" fillId="0" borderId="17" xfId="0" applyNumberFormat="1" applyFont="1" applyFill="1" applyBorder="1" applyAlignment="1" applyProtection="1">
      <alignment horizontal="right" wrapText="1"/>
    </xf>
    <xf numFmtId="10" fontId="3" fillId="0" borderId="10" xfId="0" applyNumberFormat="1" applyFont="1" applyFill="1" applyBorder="1" applyAlignment="1" applyProtection="1">
      <alignment horizontal="right" wrapText="1"/>
    </xf>
    <xf numFmtId="10" fontId="3" fillId="0" borderId="16" xfId="0" applyNumberFormat="1" applyFont="1" applyFill="1" applyBorder="1" applyAlignment="1" applyProtection="1">
      <alignment horizontal="left" wrapText="1"/>
    </xf>
    <xf numFmtId="10" fontId="3" fillId="0" borderId="16" xfId="0" applyNumberFormat="1" applyFont="1" applyFill="1" applyBorder="1" applyAlignment="1" applyProtection="1">
      <alignment horizontal="left" vertical="top" wrapText="1"/>
    </xf>
    <xf numFmtId="10" fontId="3" fillId="0" borderId="9" xfId="0" applyNumberFormat="1" applyFont="1" applyFill="1" applyBorder="1" applyAlignment="1" applyProtection="1">
      <alignment horizontal="left" wrapText="1"/>
    </xf>
    <xf numFmtId="10" fontId="3" fillId="0" borderId="9" xfId="0" applyNumberFormat="1" applyFont="1" applyFill="1" applyBorder="1" applyAlignment="1" applyProtection="1">
      <alignment horizontal="left" vertical="top" wrapText="1"/>
    </xf>
    <xf numFmtId="10" fontId="5" fillId="4" borderId="9" xfId="0" applyNumberFormat="1" applyFont="1" applyFill="1" applyBorder="1" applyAlignment="1">
      <alignment horizontal="right"/>
    </xf>
    <xf numFmtId="166" fontId="3" fillId="0" borderId="9" xfId="0" applyNumberFormat="1" applyFont="1" applyFill="1" applyBorder="1" applyAlignment="1">
      <alignment horizontal="left"/>
    </xf>
    <xf numFmtId="168" fontId="6" fillId="0" borderId="0" xfId="0" applyNumberFormat="1" applyFont="1" applyAlignment="1"/>
    <xf numFmtId="166" fontId="3" fillId="0" borderId="24" xfId="0" applyNumberFormat="1" applyFont="1" applyBorder="1"/>
    <xf numFmtId="0" fontId="3" fillId="0" borderId="24" xfId="0" applyFont="1" applyBorder="1" applyAlignment="1">
      <alignment horizontal="left"/>
    </xf>
    <xf numFmtId="0" fontId="5" fillId="4" borderId="26" xfId="0" applyFont="1" applyFill="1" applyBorder="1" applyAlignment="1">
      <alignment vertical="center" wrapText="1"/>
    </xf>
    <xf numFmtId="166" fontId="3" fillId="0" borderId="10" xfId="1" applyNumberFormat="1" applyFont="1" applyBorder="1" applyAlignment="1">
      <alignment horizontal="right"/>
    </xf>
    <xf numFmtId="10" fontId="5" fillId="4" borderId="10" xfId="0" applyNumberFormat="1" applyFont="1" applyFill="1" applyBorder="1" applyAlignment="1">
      <alignment vertical="center" wrapText="1"/>
    </xf>
    <xf numFmtId="0" fontId="3" fillId="0" borderId="10" xfId="0" applyFont="1" applyBorder="1"/>
    <xf numFmtId="165" fontId="3" fillId="0" borderId="10" xfId="0" applyNumberFormat="1" applyFont="1" applyBorder="1" applyAlignment="1">
      <alignment horizontal="right"/>
    </xf>
    <xf numFmtId="10" fontId="5" fillId="4" borderId="19" xfId="0" applyNumberFormat="1" applyFont="1" applyFill="1" applyBorder="1" applyAlignment="1">
      <alignment vertical="center" wrapText="1"/>
    </xf>
    <xf numFmtId="10" fontId="3" fillId="0" borderId="0" xfId="1" applyNumberFormat="1" applyFont="1"/>
    <xf numFmtId="168" fontId="0" fillId="0" borderId="0" xfId="0" applyNumberFormat="1"/>
    <xf numFmtId="0" fontId="3" fillId="0" borderId="23" xfId="0" applyFont="1" applyBorder="1"/>
    <xf numFmtId="0" fontId="13" fillId="2" borderId="0" xfId="0" applyFont="1" applyFill="1" applyBorder="1" applyAlignment="1">
      <alignment horizontal="left" vertical="center"/>
    </xf>
    <xf numFmtId="0" fontId="5" fillId="0" borderId="24" xfId="0" applyFont="1" applyFill="1" applyBorder="1" applyAlignment="1">
      <alignment vertical="center" wrapText="1"/>
    </xf>
    <xf numFmtId="10" fontId="5" fillId="0" borderId="10" xfId="0" applyNumberFormat="1" applyFont="1" applyFill="1" applyBorder="1" applyAlignment="1">
      <alignment vertical="center" wrapText="1"/>
    </xf>
    <xf numFmtId="10" fontId="3" fillId="0" borderId="10" xfId="1" applyNumberFormat="1" applyFont="1" applyBorder="1"/>
    <xf numFmtId="2" fontId="5" fillId="0" borderId="9" xfId="0" applyNumberFormat="1" applyFont="1" applyFill="1" applyBorder="1" applyAlignment="1">
      <alignment vertical="center" wrapText="1"/>
    </xf>
    <xf numFmtId="2" fontId="5" fillId="4" borderId="18" xfId="0" applyNumberFormat="1" applyFont="1" applyFill="1" applyBorder="1" applyAlignment="1">
      <alignment vertical="center" wrapText="1"/>
    </xf>
    <xf numFmtId="169" fontId="3" fillId="0" borderId="10" xfId="1" applyNumberFormat="1" applyFont="1" applyBorder="1" applyAlignment="1">
      <alignment horizontal="right"/>
    </xf>
    <xf numFmtId="0" fontId="3" fillId="0" borderId="25" xfId="0" applyFont="1" applyFill="1" applyBorder="1" applyAlignment="1" applyProtection="1">
      <alignment horizontal="left" wrapText="1"/>
    </xf>
    <xf numFmtId="0" fontId="5" fillId="4" borderId="25" xfId="0" applyFont="1" applyFill="1" applyBorder="1" applyAlignment="1">
      <alignment vertical="center" wrapText="1"/>
    </xf>
    <xf numFmtId="10" fontId="5" fillId="4" borderId="17" xfId="0" applyNumberFormat="1" applyFont="1" applyFill="1" applyBorder="1" applyAlignment="1">
      <alignment vertical="center" wrapText="1"/>
    </xf>
    <xf numFmtId="0" fontId="5" fillId="4" borderId="23" xfId="0" applyFont="1" applyFill="1" applyBorder="1" applyAlignment="1">
      <alignment horizontal="center" vertical="center" wrapText="1"/>
    </xf>
    <xf numFmtId="166" fontId="3" fillId="0" borderId="10" xfId="1" applyNumberFormat="1" applyFont="1" applyBorder="1"/>
    <xf numFmtId="171" fontId="3" fillId="0" borderId="10" xfId="0" applyNumberFormat="1" applyFont="1" applyBorder="1" applyAlignment="1">
      <alignment vertical="center"/>
    </xf>
    <xf numFmtId="0" fontId="6" fillId="0" borderId="25" xfId="0" applyFont="1" applyBorder="1"/>
    <xf numFmtId="0" fontId="3" fillId="0" borderId="18" xfId="0" applyFont="1" applyFill="1" applyBorder="1" applyAlignment="1">
      <alignment horizontal="left" vertical="center"/>
    </xf>
    <xf numFmtId="0" fontId="6" fillId="0" borderId="16" xfId="0" applyFont="1" applyBorder="1"/>
    <xf numFmtId="166" fontId="3" fillId="0" borderId="9" xfId="0" applyNumberFormat="1" applyFont="1" applyFill="1" applyBorder="1" applyAlignment="1">
      <alignment horizontal="right" vertical="center"/>
    </xf>
    <xf numFmtId="10" fontId="0" fillId="0" borderId="0" xfId="0" applyNumberFormat="1"/>
    <xf numFmtId="10" fontId="0" fillId="0" borderId="0" xfId="0" applyNumberFormat="1" applyAlignment="1">
      <alignment horizontal="left"/>
    </xf>
    <xf numFmtId="10" fontId="0" fillId="0" borderId="0" xfId="0" applyNumberFormat="1"/>
    <xf numFmtId="10" fontId="0" fillId="0" borderId="0" xfId="0" applyNumberFormat="1" applyAlignment="1">
      <alignment horizontal="left"/>
    </xf>
    <xf numFmtId="166" fontId="12" fillId="0" borderId="0" xfId="0" applyNumberFormat="1" applyFont="1" applyFill="1" applyBorder="1" applyAlignment="1" applyProtection="1">
      <alignment horizontal="right" wrapText="1"/>
    </xf>
    <xf numFmtId="0" fontId="12" fillId="0" borderId="0" xfId="0" applyNumberFormat="1" applyFont="1" applyFill="1" applyBorder="1" applyAlignment="1" applyProtection="1">
      <alignment horizontal="left" wrapText="1"/>
    </xf>
    <xf numFmtId="10" fontId="0" fillId="0" borderId="0" xfId="0" applyNumberFormat="1"/>
    <xf numFmtId="0" fontId="3" fillId="0" borderId="16" xfId="0" applyFont="1" applyBorder="1" applyAlignment="1">
      <alignment horizontal="left"/>
    </xf>
    <xf numFmtId="164" fontId="3" fillId="0" borderId="24" xfId="0" applyNumberFormat="1" applyFont="1" applyBorder="1" applyAlignment="1">
      <alignment vertical="center"/>
    </xf>
    <xf numFmtId="164" fontId="3" fillId="0" borderId="9" xfId="0" applyNumberFormat="1" applyFont="1" applyFill="1" applyBorder="1" applyAlignment="1" applyProtection="1">
      <alignment horizontal="left" wrapText="1"/>
    </xf>
    <xf numFmtId="164" fontId="3" fillId="0" borderId="24" xfId="0" applyNumberFormat="1" applyFont="1" applyFill="1" applyBorder="1" applyAlignment="1" applyProtection="1">
      <alignment horizontal="left" wrapText="1"/>
    </xf>
    <xf numFmtId="0" fontId="3" fillId="0" borderId="26" xfId="0" applyFont="1" applyBorder="1" applyAlignment="1">
      <alignment vertical="center"/>
    </xf>
    <xf numFmtId="166" fontId="3" fillId="0" borderId="18" xfId="0" applyNumberFormat="1" applyFont="1" applyBorder="1" applyAlignment="1">
      <alignment vertical="center"/>
    </xf>
    <xf numFmtId="167" fontId="5" fillId="0" borderId="10" xfId="0" applyNumberFormat="1" applyFont="1" applyFill="1" applyBorder="1" applyAlignment="1">
      <alignment vertical="center" wrapText="1"/>
    </xf>
    <xf numFmtId="0" fontId="9" fillId="4" borderId="0" xfId="0" applyFont="1" applyFill="1" applyBorder="1" applyAlignment="1">
      <alignment horizontal="center" vertical="center" wrapText="1"/>
    </xf>
    <xf numFmtId="0" fontId="9" fillId="4" borderId="15" xfId="0" applyFont="1" applyFill="1" applyBorder="1" applyAlignment="1">
      <alignment horizontal="center" vertical="center" wrapText="1"/>
    </xf>
    <xf numFmtId="0" fontId="4" fillId="4" borderId="0" xfId="0" applyFont="1" applyFill="1" applyBorder="1" applyAlignment="1">
      <alignment vertical="center" wrapText="1"/>
    </xf>
    <xf numFmtId="0" fontId="4" fillId="4" borderId="15" xfId="0" applyFont="1" applyFill="1" applyBorder="1" applyAlignment="1">
      <alignment vertical="center" wrapText="1"/>
    </xf>
    <xf numFmtId="0" fontId="5" fillId="0" borderId="21" xfId="0" applyFont="1" applyBorder="1" applyAlignment="1"/>
    <xf numFmtId="0" fontId="5" fillId="0" borderId="22" xfId="0" applyFont="1" applyBorder="1" applyAlignment="1"/>
    <xf numFmtId="0" fontId="6" fillId="0" borderId="11" xfId="0" applyFont="1" applyBorder="1" applyAlignment="1">
      <alignment horizontal="left" vertical="top" wrapText="1"/>
    </xf>
    <xf numFmtId="0" fontId="6" fillId="0" borderId="12" xfId="0" applyFont="1" applyBorder="1" applyAlignment="1">
      <alignment horizontal="left" vertical="top" wrapText="1"/>
    </xf>
    <xf numFmtId="0" fontId="6" fillId="0" borderId="13" xfId="0" applyFont="1" applyBorder="1" applyAlignment="1">
      <alignment horizontal="left" vertical="top" wrapText="1"/>
    </xf>
    <xf numFmtId="0" fontId="6" fillId="0" borderId="14" xfId="0" applyFont="1" applyBorder="1" applyAlignment="1">
      <alignment horizontal="left" vertical="top" wrapText="1"/>
    </xf>
    <xf numFmtId="0" fontId="6" fillId="0" borderId="0" xfId="0" applyFont="1" applyBorder="1" applyAlignment="1">
      <alignment horizontal="left" vertical="top" wrapText="1"/>
    </xf>
    <xf numFmtId="0" fontId="6" fillId="0" borderId="15" xfId="0" applyFont="1" applyBorder="1" applyAlignment="1">
      <alignment horizontal="left" vertical="top" wrapText="1"/>
    </xf>
    <xf numFmtId="0" fontId="6" fillId="0" borderId="20" xfId="0" applyFont="1" applyBorder="1" applyAlignment="1">
      <alignment horizontal="left" vertical="top" wrapText="1"/>
    </xf>
    <xf numFmtId="0" fontId="6" fillId="0" borderId="21" xfId="0" applyFont="1" applyBorder="1" applyAlignment="1">
      <alignment horizontal="left" vertical="top" wrapText="1"/>
    </xf>
    <xf numFmtId="0" fontId="6" fillId="0" borderId="22" xfId="0" applyFont="1" applyBorder="1" applyAlignment="1">
      <alignment horizontal="left" vertical="top" wrapText="1"/>
    </xf>
    <xf numFmtId="0" fontId="9" fillId="2" borderId="0" xfId="0" applyFont="1" applyFill="1" applyBorder="1" applyAlignment="1">
      <alignment horizontal="center" vertical="center"/>
    </xf>
    <xf numFmtId="0" fontId="6" fillId="0" borderId="0" xfId="0" applyFont="1" applyBorder="1" applyAlignment="1">
      <alignment horizontal="center" vertical="center"/>
    </xf>
    <xf numFmtId="2" fontId="9" fillId="4" borderId="0" xfId="0" applyNumberFormat="1" applyFont="1" applyFill="1" applyBorder="1" applyAlignment="1">
      <alignment horizontal="right" vertical="center"/>
    </xf>
    <xf numFmtId="4" fontId="9" fillId="4" borderId="0" xfId="0" applyNumberFormat="1" applyFont="1" applyFill="1" applyBorder="1" applyAlignment="1">
      <alignment horizontal="right" vertical="center"/>
    </xf>
    <xf numFmtId="0" fontId="9" fillId="4" borderId="0" xfId="0" applyFont="1" applyFill="1" applyBorder="1" applyAlignment="1">
      <alignment horizontal="right" vertical="center"/>
    </xf>
    <xf numFmtId="0" fontId="4" fillId="2" borderId="0" xfId="0" applyFont="1" applyFill="1" applyBorder="1" applyAlignment="1">
      <alignment vertical="center"/>
    </xf>
    <xf numFmtId="0" fontId="6" fillId="0" borderId="0" xfId="0" applyFont="1" applyBorder="1" applyAlignment="1">
      <alignment vertical="center"/>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0"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4" fillId="0" borderId="0" xfId="0" applyFont="1" applyFill="1" applyBorder="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6920-4223-85E3-C24AB4EC7D9E}"/>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20-4223-85E3-C24AB4EC7D9E}"/>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20-4223-85E3-C24AB4EC7D9E}"/>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20-4223-85E3-C24AB4EC7D9E}"/>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'BANDHAN-USFOF'!$I$8:$I$10</c:f>
              <c:strCache>
                <c:ptCount val="3"/>
                <c:pt idx="0">
                  <c:v>International Mutual Fund Units</c:v>
                </c:pt>
                <c:pt idx="1">
                  <c:v>Net Current Asset</c:v>
                </c:pt>
                <c:pt idx="2">
                  <c:v>TRI Party Repo Total</c:v>
                </c:pt>
              </c:strCache>
            </c:strRef>
          </c:cat>
          <c:val>
            <c:numRef>
              <c:f>'BANDHAN-USFOF'!$J$8:$J$10</c:f>
              <c:numCache>
                <c:formatCode>0.00%</c:formatCode>
                <c:ptCount val="3"/>
                <c:pt idx="0">
                  <c:v>0.98195600000000005</c:v>
                </c:pt>
                <c:pt idx="1">
                  <c:v>-3.9319999999999997E-3</c:v>
                </c:pt>
                <c:pt idx="2">
                  <c:v>2.1975999999999999E-2</c:v>
                </c:pt>
              </c:numCache>
            </c:numRef>
          </c:val>
          <c:extLst>
            <c:ext xmlns:c16="http://schemas.microsoft.com/office/drawing/2014/chart" uri="{C3380CC4-5D6E-409C-BE32-E72D297353CC}">
              <c16:uniqueId val="{00000004-6920-4223-85E3-C24AB4EC7D9E}"/>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392857142857319E-2"/>
          <c:y val="1.4492753623188409E-2"/>
          <c:w val="0.96726190476189999"/>
          <c:h val="0.70217048955837669"/>
        </c:manualLayout>
      </c:layout>
      <c:barChart>
        <c:barDir val="col"/>
        <c:grouping val="clustered"/>
        <c:varyColors val="0"/>
        <c:ser>
          <c:idx val="0"/>
          <c:order val="0"/>
          <c:tx>
            <c:strRef>
              <c:f>'BANDHAN CEF'!$X$7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8B-4DF9-9355-FE04E91EDE5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B-4DF9-9355-FE04E91EDE5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8B-4DF9-9355-FE04E91EDE5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B-4DF9-9355-FE04E91EDE5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8B-4DF9-9355-FE04E91EDE5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B-4DF9-9355-FE04E91EDE5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8B-4DF9-9355-FE04E91EDE5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B-4DF9-9355-FE04E91EDE5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8B-4DF9-9355-FE04E91EDE5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B8B-4DF9-9355-FE04E91EDE5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B8B-4DF9-9355-FE04E91EDE5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B8B-4DF9-9355-FE04E91EDE5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B8B-4DF9-9355-FE04E91EDE5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B8B-4DF9-9355-FE04E91EDE5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B8B-4DF9-9355-FE04E91EDE5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B8B-4DF9-9355-FE04E91EDE5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B8B-4DF9-9355-FE04E91EDE5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CEF'!$W$8:$W$46</c:f>
              <c:strCache>
                <c:ptCount val="39"/>
                <c:pt idx="0">
                  <c:v>Banks</c:v>
                </c:pt>
                <c:pt idx="1">
                  <c:v>Pharmaceuticals &amp; Biotechnology</c:v>
                </c:pt>
                <c:pt idx="2">
                  <c:v>IT - Software</c:v>
                </c:pt>
                <c:pt idx="3">
                  <c:v>Finance</c:v>
                </c:pt>
                <c:pt idx="4">
                  <c:v>Automobiles</c:v>
                </c:pt>
                <c:pt idx="5">
                  <c:v>Retailing</c:v>
                </c:pt>
                <c:pt idx="6">
                  <c:v>Electrical Equipment</c:v>
                </c:pt>
                <c:pt idx="7">
                  <c:v>Petroleum Products</c:v>
                </c:pt>
                <c:pt idx="8">
                  <c:v>Realty</c:v>
                </c:pt>
                <c:pt idx="9">
                  <c:v>Auto Components</c:v>
                </c:pt>
                <c:pt idx="10">
                  <c:v>Diversified FMCG</c:v>
                </c:pt>
                <c:pt idx="11">
                  <c:v>Construction</c:v>
                </c:pt>
                <c:pt idx="12">
                  <c:v>Telecom - Services</c:v>
                </c:pt>
                <c:pt idx="13">
                  <c:v>Industrial Products</c:v>
                </c:pt>
                <c:pt idx="14">
                  <c:v>Insurance</c:v>
                </c:pt>
                <c:pt idx="15">
                  <c:v>Transport Services</c:v>
                </c:pt>
                <c:pt idx="16">
                  <c:v>Power</c:v>
                </c:pt>
                <c:pt idx="17">
                  <c:v>Consumer Durables</c:v>
                </c:pt>
                <c:pt idx="18">
                  <c:v>Financial Technology (Fintech)</c:v>
                </c:pt>
                <c:pt idx="19">
                  <c:v>Oil</c:v>
                </c:pt>
                <c:pt idx="20">
                  <c:v>Healthcare Services</c:v>
                </c:pt>
                <c:pt idx="21">
                  <c:v>Cement &amp; Cement Products</c:v>
                </c:pt>
                <c:pt idx="22">
                  <c:v>Textiles &amp; Apparels</c:v>
                </c:pt>
                <c:pt idx="23">
                  <c:v>Chemicals &amp; Petrochemicals</c:v>
                </c:pt>
                <c:pt idx="24">
                  <c:v>Agricultural, Commercial &amp; Construction Vehicles</c:v>
                </c:pt>
                <c:pt idx="25">
                  <c:v>Capital Markets</c:v>
                </c:pt>
                <c:pt idx="26">
                  <c:v>Commercial Services &amp; Supplies</c:v>
                </c:pt>
                <c:pt idx="27">
                  <c:v>Consumable Fuels</c:v>
                </c:pt>
                <c:pt idx="28">
                  <c:v>Leisure Services</c:v>
                </c:pt>
                <c:pt idx="29">
                  <c:v>Minerals &amp; Mining</c:v>
                </c:pt>
                <c:pt idx="30">
                  <c:v>Diversified</c:v>
                </c:pt>
                <c:pt idx="31">
                  <c:v>Agricultural Food &amp; other Products</c:v>
                </c:pt>
                <c:pt idx="32">
                  <c:v>Industrial Manufacturing</c:v>
                </c:pt>
                <c:pt idx="33">
                  <c:v>Entertainment</c:v>
                </c:pt>
                <c:pt idx="34">
                  <c:v>Fertilizers &amp; Agrochemicals</c:v>
                </c:pt>
                <c:pt idx="35">
                  <c:v>Beverages</c:v>
                </c:pt>
                <c:pt idx="36">
                  <c:v>Gas</c:v>
                </c:pt>
                <c:pt idx="37">
                  <c:v>Ferrous Metals</c:v>
                </c:pt>
                <c:pt idx="38">
                  <c:v>Non - Ferrous Metals</c:v>
                </c:pt>
              </c:strCache>
            </c:strRef>
          </c:cat>
          <c:val>
            <c:numRef>
              <c:f>'BANDHAN CEF'!$X$9:$X$46</c:f>
              <c:numCache>
                <c:formatCode>0.00%</c:formatCode>
                <c:ptCount val="38"/>
                <c:pt idx="0">
                  <c:v>8.0838000000000007E-2</c:v>
                </c:pt>
                <c:pt idx="1">
                  <c:v>6.7830999999999989E-2</c:v>
                </c:pt>
                <c:pt idx="2">
                  <c:v>6.5971000000000002E-2</c:v>
                </c:pt>
                <c:pt idx="3">
                  <c:v>4.4500999999999999E-2</c:v>
                </c:pt>
                <c:pt idx="4">
                  <c:v>4.0528000000000002E-2</c:v>
                </c:pt>
                <c:pt idx="5">
                  <c:v>3.6674999999999999E-2</c:v>
                </c:pt>
                <c:pt idx="6">
                  <c:v>3.4505000000000001E-2</c:v>
                </c:pt>
                <c:pt idx="7">
                  <c:v>3.3072999999999998E-2</c:v>
                </c:pt>
                <c:pt idx="8">
                  <c:v>3.3031999999999999E-2</c:v>
                </c:pt>
                <c:pt idx="9">
                  <c:v>2.9816999999999996E-2</c:v>
                </c:pt>
                <c:pt idx="10">
                  <c:v>2.9555999999999999E-2</c:v>
                </c:pt>
                <c:pt idx="11">
                  <c:v>2.9329999999999998E-2</c:v>
                </c:pt>
                <c:pt idx="12">
                  <c:v>2.8017E-2</c:v>
                </c:pt>
                <c:pt idx="13">
                  <c:v>2.3658000000000002E-2</c:v>
                </c:pt>
                <c:pt idx="14">
                  <c:v>2.3581999999999999E-2</c:v>
                </c:pt>
                <c:pt idx="15">
                  <c:v>2.1472999999999999E-2</c:v>
                </c:pt>
                <c:pt idx="16">
                  <c:v>1.8919999999999999E-2</c:v>
                </c:pt>
                <c:pt idx="17">
                  <c:v>1.8186000000000001E-2</c:v>
                </c:pt>
                <c:pt idx="18">
                  <c:v>1.6327999999999999E-2</c:v>
                </c:pt>
                <c:pt idx="19">
                  <c:v>1.5657999999999998E-2</c:v>
                </c:pt>
                <c:pt idx="20">
                  <c:v>1.4584E-2</c:v>
                </c:pt>
                <c:pt idx="21">
                  <c:v>1.2656000000000001E-2</c:v>
                </c:pt>
                <c:pt idx="22">
                  <c:v>1.205E-2</c:v>
                </c:pt>
                <c:pt idx="23">
                  <c:v>1.0743000000000001E-2</c:v>
                </c:pt>
                <c:pt idx="24">
                  <c:v>1.0689000000000001E-2</c:v>
                </c:pt>
                <c:pt idx="25">
                  <c:v>1.0546E-2</c:v>
                </c:pt>
                <c:pt idx="26">
                  <c:v>1.0038E-2</c:v>
                </c:pt>
                <c:pt idx="27">
                  <c:v>9.7820000000000008E-3</c:v>
                </c:pt>
                <c:pt idx="28">
                  <c:v>8.8850000000000005E-3</c:v>
                </c:pt>
                <c:pt idx="29">
                  <c:v>8.7170000000000008E-3</c:v>
                </c:pt>
                <c:pt idx="30">
                  <c:v>7.5599999999999999E-3</c:v>
                </c:pt>
                <c:pt idx="31">
                  <c:v>7.4609999999999998E-3</c:v>
                </c:pt>
                <c:pt idx="32">
                  <c:v>5.5880000000000001E-3</c:v>
                </c:pt>
                <c:pt idx="33">
                  <c:v>5.4330000000000003E-3</c:v>
                </c:pt>
                <c:pt idx="34">
                  <c:v>5.1359999999999999E-3</c:v>
                </c:pt>
                <c:pt idx="35">
                  <c:v>4.0260000000000001E-3</c:v>
                </c:pt>
                <c:pt idx="36">
                  <c:v>3.3249999999999998E-3</c:v>
                </c:pt>
                <c:pt idx="37">
                  <c:v>3.0270000000000002E-3</c:v>
                </c:pt>
              </c:numCache>
            </c:numRef>
          </c:val>
          <c:extLst>
            <c:ext xmlns:c16="http://schemas.microsoft.com/office/drawing/2014/chart" uri="{C3380CC4-5D6E-409C-BE32-E72D297353CC}">
              <c16:uniqueId val="{00000011-3B8B-4DF9-9355-FE04E91EDE56}"/>
            </c:ext>
          </c:extLst>
        </c:ser>
        <c:dLbls>
          <c:showLegendKey val="0"/>
          <c:showVal val="0"/>
          <c:showCatName val="0"/>
          <c:showSerName val="0"/>
          <c:showPercent val="0"/>
          <c:showBubbleSize val="0"/>
        </c:dLbls>
        <c:gapWidth val="150"/>
        <c:axId val="151665152"/>
        <c:axId val="5535936"/>
      </c:barChart>
      <c:catAx>
        <c:axId val="1516651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5936"/>
        <c:crosses val="autoZero"/>
        <c:auto val="1"/>
        <c:lblAlgn val="ctr"/>
        <c:lblOffset val="100"/>
        <c:tickLblSkip val="1"/>
        <c:noMultiLvlLbl val="0"/>
      </c:catAx>
      <c:valAx>
        <c:axId val="553593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1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LCF'!$X$7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6BF-43C0-9EF0-9EFD54CFC3E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BF-43C0-9EF0-9EFD54CFC3E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BF-43C0-9EF0-9EFD54CFC3E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BF-43C0-9EF0-9EFD54CFC3E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BF-43C0-9EF0-9EFD54CFC3E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BF-43C0-9EF0-9EFD54CFC3E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6BF-43C0-9EF0-9EFD54CFC3E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6BF-43C0-9EF0-9EFD54CFC3E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6BF-43C0-9EF0-9EFD54CFC3E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6BF-43C0-9EF0-9EFD54CFC3E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6BF-43C0-9EF0-9EFD54CFC3E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6BF-43C0-9EF0-9EFD54CFC3E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6BF-43C0-9EF0-9EFD54CFC3E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6BF-43C0-9EF0-9EFD54CFC3E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LCF'!$W$8:$W$34</c:f>
              <c:strCache>
                <c:ptCount val="27"/>
                <c:pt idx="0">
                  <c:v>Banks</c:v>
                </c:pt>
                <c:pt idx="1">
                  <c:v>IT - Software</c:v>
                </c:pt>
                <c:pt idx="2">
                  <c:v>Petroleum Products</c:v>
                </c:pt>
                <c:pt idx="3">
                  <c:v>Automobiles</c:v>
                </c:pt>
                <c:pt idx="4">
                  <c:v>Finance</c:v>
                </c:pt>
                <c:pt idx="5">
                  <c:v>Retailing</c:v>
                </c:pt>
                <c:pt idx="6">
                  <c:v>Diversified FMCG</c:v>
                </c:pt>
                <c:pt idx="7">
                  <c:v>Pharmaceuticals &amp; Biotechnology</c:v>
                </c:pt>
                <c:pt idx="8">
                  <c:v>Cement &amp; Cement Products</c:v>
                </c:pt>
                <c:pt idx="9">
                  <c:v>Personal Products</c:v>
                </c:pt>
                <c:pt idx="10">
                  <c:v>Telecom - Services</c:v>
                </c:pt>
                <c:pt idx="11">
                  <c:v>Leisure Services</c:v>
                </c:pt>
                <c:pt idx="12">
                  <c:v>Beverages</c:v>
                </c:pt>
                <c:pt idx="13">
                  <c:v>Aerospace &amp; Defense</c:v>
                </c:pt>
                <c:pt idx="14">
                  <c:v>Consumer Durables</c:v>
                </c:pt>
                <c:pt idx="15">
                  <c:v>Ferrous Metals</c:v>
                </c:pt>
                <c:pt idx="16">
                  <c:v>Agricultural Food &amp; other Products</c:v>
                </c:pt>
                <c:pt idx="17">
                  <c:v>Food Products</c:v>
                </c:pt>
                <c:pt idx="18">
                  <c:v>Commercial Services &amp; Supplies</c:v>
                </c:pt>
                <c:pt idx="19">
                  <c:v>Construction</c:v>
                </c:pt>
                <c:pt idx="20">
                  <c:v>Transport Services</c:v>
                </c:pt>
                <c:pt idx="21">
                  <c:v>Realty</c:v>
                </c:pt>
                <c:pt idx="22">
                  <c:v>Financial Technology (Fintech)</c:v>
                </c:pt>
                <c:pt idx="23">
                  <c:v>Insurance</c:v>
                </c:pt>
                <c:pt idx="24">
                  <c:v>Capital Markets</c:v>
                </c:pt>
                <c:pt idx="25">
                  <c:v>Electrical Equipment</c:v>
                </c:pt>
                <c:pt idx="26">
                  <c:v>Engineering Services</c:v>
                </c:pt>
              </c:strCache>
            </c:strRef>
          </c:cat>
          <c:val>
            <c:numRef>
              <c:f>'BANDHAN LCF'!$X$8:$X$34</c:f>
              <c:numCache>
                <c:formatCode>0.00%</c:formatCode>
                <c:ptCount val="27"/>
                <c:pt idx="0">
                  <c:v>0.190994</c:v>
                </c:pt>
                <c:pt idx="1">
                  <c:v>0.14286500000000002</c:v>
                </c:pt>
                <c:pt idx="2">
                  <c:v>9.1577000000000006E-2</c:v>
                </c:pt>
                <c:pt idx="3">
                  <c:v>7.8209000000000001E-2</c:v>
                </c:pt>
                <c:pt idx="4">
                  <c:v>5.1575999999999997E-2</c:v>
                </c:pt>
                <c:pt idx="5">
                  <c:v>4.3529999999999999E-2</c:v>
                </c:pt>
                <c:pt idx="6">
                  <c:v>4.1154999999999997E-2</c:v>
                </c:pt>
                <c:pt idx="7">
                  <c:v>3.7278000000000006E-2</c:v>
                </c:pt>
                <c:pt idx="8">
                  <c:v>3.2115999999999999E-2</c:v>
                </c:pt>
                <c:pt idx="9">
                  <c:v>3.0757E-2</c:v>
                </c:pt>
                <c:pt idx="10">
                  <c:v>3.0213E-2</c:v>
                </c:pt>
                <c:pt idx="11">
                  <c:v>2.5062000000000001E-2</c:v>
                </c:pt>
                <c:pt idx="12">
                  <c:v>2.4091999999999999E-2</c:v>
                </c:pt>
                <c:pt idx="13">
                  <c:v>2.0473999999999999E-2</c:v>
                </c:pt>
                <c:pt idx="14">
                  <c:v>2.0081999999999999E-2</c:v>
                </c:pt>
                <c:pt idx="15">
                  <c:v>1.8596000000000001E-2</c:v>
                </c:pt>
                <c:pt idx="16">
                  <c:v>1.4795000000000001E-2</c:v>
                </c:pt>
                <c:pt idx="17">
                  <c:v>1.4765E-2</c:v>
                </c:pt>
                <c:pt idx="18">
                  <c:v>1.0292000000000001E-2</c:v>
                </c:pt>
                <c:pt idx="19">
                  <c:v>1.0067E-2</c:v>
                </c:pt>
                <c:pt idx="20">
                  <c:v>9.6699999999999998E-3</c:v>
                </c:pt>
                <c:pt idx="21">
                  <c:v>9.3629999999999998E-3</c:v>
                </c:pt>
                <c:pt idx="22">
                  <c:v>5.2979999999999998E-3</c:v>
                </c:pt>
                <c:pt idx="23">
                  <c:v>4.0940000000000004E-3</c:v>
                </c:pt>
                <c:pt idx="24">
                  <c:v>3.9110000000000004E-3</c:v>
                </c:pt>
                <c:pt idx="25">
                  <c:v>3.9060000000000002E-3</c:v>
                </c:pt>
                <c:pt idx="26">
                  <c:v>1.284E-3</c:v>
                </c:pt>
              </c:numCache>
            </c:numRef>
          </c:val>
          <c:extLst>
            <c:ext xmlns:c16="http://schemas.microsoft.com/office/drawing/2014/chart" uri="{C3380CC4-5D6E-409C-BE32-E72D297353CC}">
              <c16:uniqueId val="{0000000E-26BF-43C0-9EF0-9EFD54CFC3EB}"/>
            </c:ext>
          </c:extLst>
        </c:ser>
        <c:dLbls>
          <c:showLegendKey val="0"/>
          <c:showVal val="0"/>
          <c:showCatName val="0"/>
          <c:showSerName val="0"/>
          <c:showPercent val="0"/>
          <c:showBubbleSize val="0"/>
        </c:dLbls>
        <c:gapWidth val="150"/>
        <c:axId val="154931200"/>
        <c:axId val="5537088"/>
      </c:barChart>
      <c:catAx>
        <c:axId val="15493120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5537088"/>
        <c:crosses val="autoZero"/>
        <c:auto val="1"/>
        <c:lblAlgn val="ctr"/>
        <c:lblOffset val="100"/>
        <c:tickLblSkip val="1"/>
        <c:noMultiLvlLbl val="0"/>
      </c:catAx>
      <c:valAx>
        <c:axId val="5537088"/>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120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FEF'!$X$7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D1-4A17-94CA-06A0AED64B3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D1-4A17-94CA-06A0AED64B3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D1-4A17-94CA-06A0AED64B3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D1-4A17-94CA-06A0AED64B3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D1-4A17-94CA-06A0AED64B3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D1-4A17-94CA-06A0AED64B3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D1-4A17-94CA-06A0AED64B3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BD1-4A17-94CA-06A0AED64B3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BD1-4A17-94CA-06A0AED64B3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BD1-4A17-94CA-06A0AED64B3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BD1-4A17-94CA-06A0AED64B3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FEF'!$W$8:$W$26</c:f>
              <c:strCache>
                <c:ptCount val="19"/>
                <c:pt idx="0">
                  <c:v>Banks</c:v>
                </c:pt>
                <c:pt idx="1">
                  <c:v>Retailing</c:v>
                </c:pt>
                <c:pt idx="2">
                  <c:v>IT - Software</c:v>
                </c:pt>
                <c:pt idx="3">
                  <c:v>Finance</c:v>
                </c:pt>
                <c:pt idx="4">
                  <c:v>Electrical Equipment</c:v>
                </c:pt>
                <c:pt idx="5">
                  <c:v>Automobiles</c:v>
                </c:pt>
                <c:pt idx="6">
                  <c:v>Petroleum Products</c:v>
                </c:pt>
                <c:pt idx="7">
                  <c:v>Realty</c:v>
                </c:pt>
                <c:pt idx="8">
                  <c:v>Financial Technology (Fintech)</c:v>
                </c:pt>
                <c:pt idx="9">
                  <c:v>Consumer Durables</c:v>
                </c:pt>
                <c:pt idx="10">
                  <c:v>Aerospace &amp; Defense</c:v>
                </c:pt>
                <c:pt idx="11">
                  <c:v>Capital Markets</c:v>
                </c:pt>
                <c:pt idx="12">
                  <c:v>Pharmaceuticals &amp; Biotechnology</c:v>
                </c:pt>
                <c:pt idx="13">
                  <c:v>Industrial Manufacturing</c:v>
                </c:pt>
                <c:pt idx="14">
                  <c:v>Leisure Services</c:v>
                </c:pt>
                <c:pt idx="15">
                  <c:v>Engineering Services</c:v>
                </c:pt>
                <c:pt idx="16">
                  <c:v>Food Products</c:v>
                </c:pt>
                <c:pt idx="17">
                  <c:v>Beverages</c:v>
                </c:pt>
                <c:pt idx="18">
                  <c:v>Healthcare Services</c:v>
                </c:pt>
              </c:strCache>
            </c:strRef>
          </c:cat>
          <c:val>
            <c:numRef>
              <c:f>'BANDHAN FEF'!$X$8:$X$26</c:f>
              <c:numCache>
                <c:formatCode>0.00%</c:formatCode>
                <c:ptCount val="19"/>
                <c:pt idx="0">
                  <c:v>0.17902200000000001</c:v>
                </c:pt>
                <c:pt idx="1">
                  <c:v>0.13480700000000001</c:v>
                </c:pt>
                <c:pt idx="2">
                  <c:v>6.7015999999999992E-2</c:v>
                </c:pt>
                <c:pt idx="3">
                  <c:v>6.5424999999999997E-2</c:v>
                </c:pt>
                <c:pt idx="4">
                  <c:v>6.3787999999999997E-2</c:v>
                </c:pt>
                <c:pt idx="5">
                  <c:v>6.1407999999999997E-2</c:v>
                </c:pt>
                <c:pt idx="6">
                  <c:v>5.5764000000000001E-2</c:v>
                </c:pt>
                <c:pt idx="7">
                  <c:v>4.8745999999999998E-2</c:v>
                </c:pt>
                <c:pt idx="8">
                  <c:v>3.2585999999999997E-2</c:v>
                </c:pt>
                <c:pt idx="9">
                  <c:v>3.0734000000000001E-2</c:v>
                </c:pt>
                <c:pt idx="10">
                  <c:v>2.9307E-2</c:v>
                </c:pt>
                <c:pt idx="11">
                  <c:v>2.8198000000000001E-2</c:v>
                </c:pt>
                <c:pt idx="12">
                  <c:v>2.8077999999999999E-2</c:v>
                </c:pt>
                <c:pt idx="13">
                  <c:v>2.6917E-2</c:v>
                </c:pt>
                <c:pt idx="14">
                  <c:v>2.4216999999999999E-2</c:v>
                </c:pt>
                <c:pt idx="15">
                  <c:v>2.1989000000000002E-2</c:v>
                </c:pt>
                <c:pt idx="16">
                  <c:v>2.1975000000000001E-2</c:v>
                </c:pt>
                <c:pt idx="17">
                  <c:v>1.9231000000000002E-2</c:v>
                </c:pt>
                <c:pt idx="18">
                  <c:v>1.7484E-2</c:v>
                </c:pt>
              </c:numCache>
            </c:numRef>
          </c:val>
          <c:extLst>
            <c:ext xmlns:c16="http://schemas.microsoft.com/office/drawing/2014/chart" uri="{C3380CC4-5D6E-409C-BE32-E72D297353CC}">
              <c16:uniqueId val="{0000000B-2BD1-4A17-94CA-06A0AED64B3E}"/>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59-4113-A828-380504E10B8A}"/>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59-4113-A828-380504E10B8A}"/>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59-4113-A828-380504E10B8A}"/>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59-4113-A828-380504E10B8A}"/>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59-4113-A828-380504E10B8A}"/>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59-4113-A828-380504E10B8A}"/>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59-4113-A828-380504E10B8A}"/>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959-4113-A828-380504E10B8A}"/>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959-4113-A828-380504E10B8A}"/>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959-4113-A828-380504E10B8A}"/>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959-4113-A828-380504E10B8A}"/>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959-4113-A828-380504E10B8A}"/>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959-4113-A828-380504E10B8A}"/>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959-4113-A828-380504E10B8A}"/>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959-4113-A828-380504E10B8A}"/>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959-4113-A828-380504E10B8A}"/>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959-4113-A828-380504E10B8A}"/>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959-4113-A828-380504E10B8A}"/>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959-4113-A828-380504E10B8A}"/>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SVF'!$W$8:$W$39</c:f>
              <c:strCache>
                <c:ptCount val="32"/>
                <c:pt idx="0">
                  <c:v>Banks</c:v>
                </c:pt>
                <c:pt idx="1">
                  <c:v>IT - Software</c:v>
                </c:pt>
                <c:pt idx="2">
                  <c:v>Pharmaceuticals &amp; Biotechnology</c:v>
                </c:pt>
                <c:pt idx="3">
                  <c:v>Automobiles</c:v>
                </c:pt>
                <c:pt idx="4">
                  <c:v>Construction</c:v>
                </c:pt>
                <c:pt idx="5">
                  <c:v>Petroleum Products</c:v>
                </c:pt>
                <c:pt idx="6">
                  <c:v>Insurance</c:v>
                </c:pt>
                <c:pt idx="7">
                  <c:v>Power</c:v>
                </c:pt>
                <c:pt idx="8">
                  <c:v>Finance</c:v>
                </c:pt>
                <c:pt idx="9">
                  <c:v>Ferrous Metals</c:v>
                </c:pt>
                <c:pt idx="10">
                  <c:v>Auto Components</c:v>
                </c:pt>
                <c:pt idx="11">
                  <c:v>Consumer Durables</c:v>
                </c:pt>
                <c:pt idx="12">
                  <c:v>Electrical Equipment</c:v>
                </c:pt>
                <c:pt idx="13">
                  <c:v>Diversified FMCG</c:v>
                </c:pt>
                <c:pt idx="14">
                  <c:v>Leisure Services</c:v>
                </c:pt>
                <c:pt idx="15">
                  <c:v>Beverages</c:v>
                </c:pt>
                <c:pt idx="16">
                  <c:v>Food Products</c:v>
                </c:pt>
                <c:pt idx="17">
                  <c:v>Gas</c:v>
                </c:pt>
                <c:pt idx="18">
                  <c:v>Retailing</c:v>
                </c:pt>
                <c:pt idx="19">
                  <c:v>Personal Products</c:v>
                </c:pt>
                <c:pt idx="20">
                  <c:v>Consumable Fuels</c:v>
                </c:pt>
                <c:pt idx="21">
                  <c:v>Non - Ferrous Metals</c:v>
                </c:pt>
                <c:pt idx="22">
                  <c:v>Oil</c:v>
                </c:pt>
                <c:pt idx="23">
                  <c:v>Commercial Services &amp; Supplies</c:v>
                </c:pt>
                <c:pt idx="24">
                  <c:v>Transport Services</c:v>
                </c:pt>
                <c:pt idx="25">
                  <c:v>Telecom - Services</c:v>
                </c:pt>
                <c:pt idx="26">
                  <c:v>Realty</c:v>
                </c:pt>
                <c:pt idx="27">
                  <c:v>Diversified Metals</c:v>
                </c:pt>
                <c:pt idx="28">
                  <c:v>Chemicals &amp; Petrochemicals</c:v>
                </c:pt>
                <c:pt idx="29">
                  <c:v>Cement &amp; Cement Products</c:v>
                </c:pt>
                <c:pt idx="30">
                  <c:v>Fertilizers &amp; Agrochemicals</c:v>
                </c:pt>
                <c:pt idx="31">
                  <c:v>Industrial Products</c:v>
                </c:pt>
              </c:strCache>
            </c:strRef>
          </c:cat>
          <c:val>
            <c:numRef>
              <c:f>'BANDHAN SVF'!$X$8:$X$39</c:f>
              <c:numCache>
                <c:formatCode>0.00%</c:formatCode>
                <c:ptCount val="32"/>
                <c:pt idx="0">
                  <c:v>0.16941999999999999</c:v>
                </c:pt>
                <c:pt idx="1">
                  <c:v>8.2465999999999998E-2</c:v>
                </c:pt>
                <c:pt idx="2">
                  <c:v>7.0720000000000005E-2</c:v>
                </c:pt>
                <c:pt idx="3">
                  <c:v>5.5319999999999994E-2</c:v>
                </c:pt>
                <c:pt idx="4">
                  <c:v>5.4669999999999996E-2</c:v>
                </c:pt>
                <c:pt idx="5">
                  <c:v>4.1155999999999998E-2</c:v>
                </c:pt>
                <c:pt idx="6">
                  <c:v>4.0340000000000001E-2</c:v>
                </c:pt>
                <c:pt idx="7">
                  <c:v>3.8148000000000001E-2</c:v>
                </c:pt>
                <c:pt idx="8">
                  <c:v>3.5475E-2</c:v>
                </c:pt>
                <c:pt idx="9">
                  <c:v>3.5158999999999996E-2</c:v>
                </c:pt>
                <c:pt idx="10">
                  <c:v>3.2426000000000003E-2</c:v>
                </c:pt>
                <c:pt idx="11">
                  <c:v>2.5734E-2</c:v>
                </c:pt>
                <c:pt idx="12">
                  <c:v>2.5152000000000001E-2</c:v>
                </c:pt>
                <c:pt idx="13">
                  <c:v>2.1763999999999999E-2</c:v>
                </c:pt>
                <c:pt idx="14">
                  <c:v>2.0517000000000001E-2</c:v>
                </c:pt>
                <c:pt idx="15">
                  <c:v>1.7835999999999998E-2</c:v>
                </c:pt>
                <c:pt idx="16">
                  <c:v>1.7444999999999999E-2</c:v>
                </c:pt>
                <c:pt idx="17">
                  <c:v>1.6705000000000001E-2</c:v>
                </c:pt>
                <c:pt idx="18">
                  <c:v>1.5505E-2</c:v>
                </c:pt>
                <c:pt idx="19">
                  <c:v>1.4067E-2</c:v>
                </c:pt>
                <c:pt idx="20">
                  <c:v>1.3766E-2</c:v>
                </c:pt>
                <c:pt idx="21">
                  <c:v>1.3729999999999999E-2</c:v>
                </c:pt>
                <c:pt idx="22">
                  <c:v>1.3051999999999999E-2</c:v>
                </c:pt>
                <c:pt idx="23">
                  <c:v>1.1688E-2</c:v>
                </c:pt>
                <c:pt idx="24">
                  <c:v>1.0677000000000001E-2</c:v>
                </c:pt>
                <c:pt idx="25">
                  <c:v>1.0194E-2</c:v>
                </c:pt>
                <c:pt idx="26">
                  <c:v>9.4250000000000011E-3</c:v>
                </c:pt>
                <c:pt idx="27">
                  <c:v>9.2420000000000002E-3</c:v>
                </c:pt>
                <c:pt idx="28">
                  <c:v>9.0580000000000001E-3</c:v>
                </c:pt>
                <c:pt idx="29">
                  <c:v>6.4599999999999996E-3</c:v>
                </c:pt>
                <c:pt idx="30">
                  <c:v>3.9100000000000003E-3</c:v>
                </c:pt>
                <c:pt idx="31">
                  <c:v>3.1180000000000001E-3</c:v>
                </c:pt>
              </c:numCache>
            </c:numRef>
          </c:val>
          <c:extLst>
            <c:ext xmlns:c16="http://schemas.microsoft.com/office/drawing/2014/chart" uri="{C3380CC4-5D6E-409C-BE32-E72D297353CC}">
              <c16:uniqueId val="{00000013-4959-4113-A828-380504E10B8A}"/>
            </c:ext>
          </c:extLst>
        </c:ser>
        <c:ser>
          <c:idx val="1"/>
          <c:order val="1"/>
          <c:tx>
            <c:strRef>
              <c:f>'BANDHAN FEF'!$C$4</c:f>
              <c:strCache>
                <c:ptCount val="1"/>
                <c:pt idx="0">
                  <c:v>Portfolio as on - (31st July 2024)</c:v>
                </c:pt>
              </c:strCache>
            </c:strRef>
          </c:tx>
          <c:invertIfNegative val="0"/>
          <c:cat>
            <c:strRef>
              <c:f>'BANDHAN SVF'!$W$8:$W$39</c:f>
              <c:strCache>
                <c:ptCount val="32"/>
                <c:pt idx="0">
                  <c:v>Banks</c:v>
                </c:pt>
                <c:pt idx="1">
                  <c:v>IT - Software</c:v>
                </c:pt>
                <c:pt idx="2">
                  <c:v>Pharmaceuticals &amp; Biotechnology</c:v>
                </c:pt>
                <c:pt idx="3">
                  <c:v>Automobiles</c:v>
                </c:pt>
                <c:pt idx="4">
                  <c:v>Construction</c:v>
                </c:pt>
                <c:pt idx="5">
                  <c:v>Petroleum Products</c:v>
                </c:pt>
                <c:pt idx="6">
                  <c:v>Insurance</c:v>
                </c:pt>
                <c:pt idx="7">
                  <c:v>Power</c:v>
                </c:pt>
                <c:pt idx="8">
                  <c:v>Finance</c:v>
                </c:pt>
                <c:pt idx="9">
                  <c:v>Ferrous Metals</c:v>
                </c:pt>
                <c:pt idx="10">
                  <c:v>Auto Components</c:v>
                </c:pt>
                <c:pt idx="11">
                  <c:v>Consumer Durables</c:v>
                </c:pt>
                <c:pt idx="12">
                  <c:v>Electrical Equipment</c:v>
                </c:pt>
                <c:pt idx="13">
                  <c:v>Diversified FMCG</c:v>
                </c:pt>
                <c:pt idx="14">
                  <c:v>Leisure Services</c:v>
                </c:pt>
                <c:pt idx="15">
                  <c:v>Beverages</c:v>
                </c:pt>
                <c:pt idx="16">
                  <c:v>Food Products</c:v>
                </c:pt>
                <c:pt idx="17">
                  <c:v>Gas</c:v>
                </c:pt>
                <c:pt idx="18">
                  <c:v>Retailing</c:v>
                </c:pt>
                <c:pt idx="19">
                  <c:v>Personal Products</c:v>
                </c:pt>
                <c:pt idx="20">
                  <c:v>Consumable Fuels</c:v>
                </c:pt>
                <c:pt idx="21">
                  <c:v>Non - Ferrous Metals</c:v>
                </c:pt>
                <c:pt idx="22">
                  <c:v>Oil</c:v>
                </c:pt>
                <c:pt idx="23">
                  <c:v>Commercial Services &amp; Supplies</c:v>
                </c:pt>
                <c:pt idx="24">
                  <c:v>Transport Services</c:v>
                </c:pt>
                <c:pt idx="25">
                  <c:v>Telecom - Services</c:v>
                </c:pt>
                <c:pt idx="26">
                  <c:v>Realty</c:v>
                </c:pt>
                <c:pt idx="27">
                  <c:v>Diversified Metals</c:v>
                </c:pt>
                <c:pt idx="28">
                  <c:v>Chemicals &amp; Petrochemicals</c:v>
                </c:pt>
                <c:pt idx="29">
                  <c:v>Cement &amp; Cement Products</c:v>
                </c:pt>
                <c:pt idx="30">
                  <c:v>Fertilizers &amp; Agrochemicals</c:v>
                </c:pt>
                <c:pt idx="31">
                  <c:v>Industrial Products</c:v>
                </c:pt>
              </c:strCache>
            </c:strRef>
          </c:cat>
          <c:val>
            <c:numRef>
              <c:f>'BANDHAN FEF'!$C$5</c:f>
              <c:numCache>
                <c:formatCode>General</c:formatCode>
                <c:ptCount val="1"/>
                <c:pt idx="0">
                  <c:v>0</c:v>
                </c:pt>
              </c:numCache>
            </c:numRef>
          </c:val>
          <c:extLst>
            <c:ext xmlns:c16="http://schemas.microsoft.com/office/drawing/2014/chart" uri="{C3380CC4-5D6E-409C-BE32-E72D297353CC}">
              <c16:uniqueId val="{00000000-E49D-4E23-9D6F-797DB3FED60B}"/>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SVF'!$X$7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348-43F2-95EE-55052BB0B21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48-43F2-95EE-55052BB0B21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48-43F2-95EE-55052BB0B21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48-43F2-95EE-55052BB0B21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48-43F2-95EE-55052BB0B21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48-43F2-95EE-55052BB0B21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48-43F2-95EE-55052BB0B21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48-43F2-95EE-55052BB0B21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48-43F2-95EE-55052BB0B21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348-43F2-95EE-55052BB0B21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348-43F2-95EE-55052BB0B21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348-43F2-95EE-55052BB0B21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348-43F2-95EE-55052BB0B21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348-43F2-95EE-55052BB0B21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348-43F2-95EE-55052BB0B21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348-43F2-95EE-55052BB0B21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348-43F2-95EE-55052BB0B21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348-43F2-95EE-55052BB0B216}"/>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348-43F2-95EE-55052BB0B21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SVF'!$W$8:$W$35</c:f>
              <c:strCache>
                <c:ptCount val="28"/>
                <c:pt idx="0">
                  <c:v>Banks</c:v>
                </c:pt>
                <c:pt idx="1">
                  <c:v>IT - Software</c:v>
                </c:pt>
                <c:pt idx="2">
                  <c:v>Pharmaceuticals &amp; Biotechnology</c:v>
                </c:pt>
                <c:pt idx="3">
                  <c:v>Automobiles</c:v>
                </c:pt>
                <c:pt idx="4">
                  <c:v>Construction</c:v>
                </c:pt>
                <c:pt idx="5">
                  <c:v>Petroleum Products</c:v>
                </c:pt>
                <c:pt idx="6">
                  <c:v>Insurance</c:v>
                </c:pt>
                <c:pt idx="7">
                  <c:v>Power</c:v>
                </c:pt>
                <c:pt idx="8">
                  <c:v>Finance</c:v>
                </c:pt>
                <c:pt idx="9">
                  <c:v>Ferrous Metals</c:v>
                </c:pt>
                <c:pt idx="10">
                  <c:v>Auto Components</c:v>
                </c:pt>
                <c:pt idx="11">
                  <c:v>Consumer Durables</c:v>
                </c:pt>
                <c:pt idx="12">
                  <c:v>Electrical Equipment</c:v>
                </c:pt>
                <c:pt idx="13">
                  <c:v>Diversified FMCG</c:v>
                </c:pt>
                <c:pt idx="14">
                  <c:v>Leisure Services</c:v>
                </c:pt>
                <c:pt idx="15">
                  <c:v>Beverages</c:v>
                </c:pt>
                <c:pt idx="16">
                  <c:v>Food Products</c:v>
                </c:pt>
                <c:pt idx="17">
                  <c:v>Gas</c:v>
                </c:pt>
                <c:pt idx="18">
                  <c:v>Retailing</c:v>
                </c:pt>
                <c:pt idx="19">
                  <c:v>Personal Products</c:v>
                </c:pt>
                <c:pt idx="20">
                  <c:v>Consumable Fuels</c:v>
                </c:pt>
                <c:pt idx="21">
                  <c:v>Non - Ferrous Metals</c:v>
                </c:pt>
                <c:pt idx="22">
                  <c:v>Oil</c:v>
                </c:pt>
                <c:pt idx="23">
                  <c:v>Commercial Services &amp; Supplies</c:v>
                </c:pt>
                <c:pt idx="24">
                  <c:v>Transport Services</c:v>
                </c:pt>
                <c:pt idx="25">
                  <c:v>Telecom - Services</c:v>
                </c:pt>
                <c:pt idx="26">
                  <c:v>Realty</c:v>
                </c:pt>
                <c:pt idx="27">
                  <c:v>Diversified Metals</c:v>
                </c:pt>
              </c:strCache>
            </c:strRef>
          </c:cat>
          <c:val>
            <c:numRef>
              <c:f>'BANDHAN SVF'!$X$8:$X$35</c:f>
              <c:numCache>
                <c:formatCode>0.00%</c:formatCode>
                <c:ptCount val="28"/>
                <c:pt idx="0">
                  <c:v>0.16941999999999999</c:v>
                </c:pt>
                <c:pt idx="1">
                  <c:v>8.2465999999999998E-2</c:v>
                </c:pt>
                <c:pt idx="2">
                  <c:v>7.0720000000000005E-2</c:v>
                </c:pt>
                <c:pt idx="3">
                  <c:v>5.5319999999999994E-2</c:v>
                </c:pt>
                <c:pt idx="4">
                  <c:v>5.4669999999999996E-2</c:v>
                </c:pt>
                <c:pt idx="5">
                  <c:v>4.1155999999999998E-2</c:v>
                </c:pt>
                <c:pt idx="6">
                  <c:v>4.0340000000000001E-2</c:v>
                </c:pt>
                <c:pt idx="7">
                  <c:v>3.8148000000000001E-2</c:v>
                </c:pt>
                <c:pt idx="8">
                  <c:v>3.5475E-2</c:v>
                </c:pt>
                <c:pt idx="9">
                  <c:v>3.5158999999999996E-2</c:v>
                </c:pt>
                <c:pt idx="10">
                  <c:v>3.2426000000000003E-2</c:v>
                </c:pt>
                <c:pt idx="11">
                  <c:v>2.5734E-2</c:v>
                </c:pt>
                <c:pt idx="12">
                  <c:v>2.5152000000000001E-2</c:v>
                </c:pt>
                <c:pt idx="13">
                  <c:v>2.1763999999999999E-2</c:v>
                </c:pt>
                <c:pt idx="14">
                  <c:v>2.0517000000000001E-2</c:v>
                </c:pt>
                <c:pt idx="15">
                  <c:v>1.7835999999999998E-2</c:v>
                </c:pt>
                <c:pt idx="16">
                  <c:v>1.7444999999999999E-2</c:v>
                </c:pt>
                <c:pt idx="17">
                  <c:v>1.6705000000000001E-2</c:v>
                </c:pt>
                <c:pt idx="18">
                  <c:v>1.5505E-2</c:v>
                </c:pt>
                <c:pt idx="19">
                  <c:v>1.4067E-2</c:v>
                </c:pt>
                <c:pt idx="20">
                  <c:v>1.3766E-2</c:v>
                </c:pt>
                <c:pt idx="21">
                  <c:v>1.3729999999999999E-2</c:v>
                </c:pt>
                <c:pt idx="22">
                  <c:v>1.3051999999999999E-2</c:v>
                </c:pt>
                <c:pt idx="23">
                  <c:v>1.1688E-2</c:v>
                </c:pt>
                <c:pt idx="24">
                  <c:v>1.0677000000000001E-2</c:v>
                </c:pt>
                <c:pt idx="25">
                  <c:v>1.0194E-2</c:v>
                </c:pt>
                <c:pt idx="26">
                  <c:v>9.4250000000000011E-3</c:v>
                </c:pt>
                <c:pt idx="27">
                  <c:v>9.2420000000000002E-3</c:v>
                </c:pt>
              </c:numCache>
            </c:numRef>
          </c:val>
          <c:extLst>
            <c:ext xmlns:c16="http://schemas.microsoft.com/office/drawing/2014/chart" uri="{C3380CC4-5D6E-409C-BE32-E72D297353CC}">
              <c16:uniqueId val="{00000013-6348-43F2-95EE-55052BB0B216}"/>
            </c:ext>
          </c:extLst>
        </c:ser>
        <c:dLbls>
          <c:showLegendKey val="0"/>
          <c:showVal val="0"/>
          <c:showCatName val="0"/>
          <c:showSerName val="0"/>
          <c:showPercent val="0"/>
          <c:showBubbleSize val="0"/>
        </c:dLbls>
        <c:gapWidth val="150"/>
        <c:axId val="100800512"/>
        <c:axId val="155012480"/>
      </c:barChart>
      <c:catAx>
        <c:axId val="10080051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2480"/>
        <c:crosses val="autoZero"/>
        <c:auto val="1"/>
        <c:lblAlgn val="ctr"/>
        <c:lblOffset val="100"/>
        <c:tickLblSkip val="1"/>
        <c:noMultiLvlLbl val="0"/>
      </c:catAx>
      <c:valAx>
        <c:axId val="1550124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0080051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'BANDHAN-MCAP'!$X$7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67-4661-95F4-D55833095EC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67-4661-95F4-D55833095EC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67-4661-95F4-D55833095EC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67-4661-95F4-D55833095EC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67-4661-95F4-D55833095EC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67-4661-95F4-D55833095EC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67-4661-95F4-D55833095EC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67-4661-95F4-D55833095EC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67-4661-95F4-D55833095EC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67-4661-95F4-D55833095EC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67-4661-95F4-D55833095ECF}"/>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67-4661-95F4-D55833095ECF}"/>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67-4661-95F4-D55833095ECF}"/>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67-4661-95F4-D55833095ECF}"/>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67-4661-95F4-D55833095ECF}"/>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67-4661-95F4-D55833095ECF}"/>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67-4661-95F4-D55833095ECF}"/>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67-4661-95F4-D55833095ECF}"/>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A67-4661-95F4-D55833095ECF}"/>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3A67-4661-95F4-D55833095ECF}"/>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A67-4661-95F4-D55833095ECF}"/>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3A67-4661-95F4-D55833095ECF}"/>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A67-4661-95F4-D55833095ECF}"/>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'BANDHAN-MCAP'!$W$8:$W$41</c:f>
              <c:strCache>
                <c:ptCount val="34"/>
                <c:pt idx="0">
                  <c:v>Industrial Products</c:v>
                </c:pt>
                <c:pt idx="1">
                  <c:v>Auto Components</c:v>
                </c:pt>
                <c:pt idx="2">
                  <c:v>Electrical Equipment</c:v>
                </c:pt>
                <c:pt idx="3">
                  <c:v>Consumer Durables</c:v>
                </c:pt>
                <c:pt idx="4">
                  <c:v>Retailing</c:v>
                </c:pt>
                <c:pt idx="5">
                  <c:v>IT - Software</c:v>
                </c:pt>
                <c:pt idx="6">
                  <c:v>Finance</c:v>
                </c:pt>
                <c:pt idx="7">
                  <c:v>Realty</c:v>
                </c:pt>
                <c:pt idx="8">
                  <c:v>Telecom - Services</c:v>
                </c:pt>
                <c:pt idx="9">
                  <c:v>Banks</c:v>
                </c:pt>
                <c:pt idx="10">
                  <c:v>Chemicals &amp; Petrochemicals</c:v>
                </c:pt>
                <c:pt idx="11">
                  <c:v>Pharmaceuticals &amp; Biotechnology</c:v>
                </c:pt>
                <c:pt idx="12">
                  <c:v>Leisure Services</c:v>
                </c:pt>
                <c:pt idx="13">
                  <c:v>Automobiles</c:v>
                </c:pt>
                <c:pt idx="14">
                  <c:v>Power</c:v>
                </c:pt>
                <c:pt idx="15">
                  <c:v>Healthcare Services</c:v>
                </c:pt>
                <c:pt idx="16">
                  <c:v>Industrial Manufacturing</c:v>
                </c:pt>
                <c:pt idx="17">
                  <c:v>Aerospace &amp; Defense</c:v>
                </c:pt>
                <c:pt idx="18">
                  <c:v>IT - Services</c:v>
                </c:pt>
                <c:pt idx="19">
                  <c:v>Financial Technology (Fintech)</c:v>
                </c:pt>
                <c:pt idx="20">
                  <c:v>Beverages</c:v>
                </c:pt>
                <c:pt idx="21">
                  <c:v>Fertilizers &amp; Agrochemicals</c:v>
                </c:pt>
                <c:pt idx="22">
                  <c:v>Oil</c:v>
                </c:pt>
                <c:pt idx="23">
                  <c:v>Diversified</c:v>
                </c:pt>
                <c:pt idx="24">
                  <c:v>Cement &amp; Cement Products</c:v>
                </c:pt>
                <c:pt idx="25">
                  <c:v>Ferrous Metals</c:v>
                </c:pt>
                <c:pt idx="26">
                  <c:v>Commercial Services &amp; Supplies</c:v>
                </c:pt>
                <c:pt idx="27">
                  <c:v>Textiles &amp; Apparels</c:v>
                </c:pt>
                <c:pt idx="28">
                  <c:v>Capital Markets</c:v>
                </c:pt>
                <c:pt idx="29">
                  <c:v>Minerals &amp; Mining</c:v>
                </c:pt>
                <c:pt idx="30">
                  <c:v>Personal Products</c:v>
                </c:pt>
                <c:pt idx="31">
                  <c:v>Household Products</c:v>
                </c:pt>
                <c:pt idx="32">
                  <c:v>Engineering Services</c:v>
                </c:pt>
                <c:pt idx="33">
                  <c:v>Food Products</c:v>
                </c:pt>
              </c:strCache>
            </c:strRef>
          </c:cat>
          <c:val>
            <c:numRef>
              <c:f>'BANDHAN-MCAP'!$X$8:$X$41</c:f>
              <c:numCache>
                <c:formatCode>0.00%</c:formatCode>
                <c:ptCount val="34"/>
                <c:pt idx="0">
                  <c:v>0.13527800000000001</c:v>
                </c:pt>
                <c:pt idx="1">
                  <c:v>0.10674500000000001</c:v>
                </c:pt>
                <c:pt idx="2">
                  <c:v>8.5691000000000003E-2</c:v>
                </c:pt>
                <c:pt idx="3">
                  <c:v>6.8129000000000009E-2</c:v>
                </c:pt>
                <c:pt idx="4">
                  <c:v>6.0422999999999998E-2</c:v>
                </c:pt>
                <c:pt idx="5">
                  <c:v>5.9871999999999995E-2</c:v>
                </c:pt>
                <c:pt idx="6">
                  <c:v>3.4085999999999998E-2</c:v>
                </c:pt>
                <c:pt idx="7">
                  <c:v>3.4082000000000001E-2</c:v>
                </c:pt>
                <c:pt idx="8">
                  <c:v>3.2438999999999996E-2</c:v>
                </c:pt>
                <c:pt idx="9">
                  <c:v>3.1689000000000002E-2</c:v>
                </c:pt>
                <c:pt idx="10">
                  <c:v>3.0225000000000002E-2</c:v>
                </c:pt>
                <c:pt idx="11">
                  <c:v>2.9423000000000001E-2</c:v>
                </c:pt>
                <c:pt idx="12">
                  <c:v>2.9035999999999999E-2</c:v>
                </c:pt>
                <c:pt idx="13">
                  <c:v>2.6301000000000001E-2</c:v>
                </c:pt>
                <c:pt idx="14">
                  <c:v>2.3390999999999999E-2</c:v>
                </c:pt>
                <c:pt idx="15">
                  <c:v>2.0775000000000002E-2</c:v>
                </c:pt>
                <c:pt idx="16">
                  <c:v>1.9994999999999999E-2</c:v>
                </c:pt>
                <c:pt idx="17">
                  <c:v>1.7769E-2</c:v>
                </c:pt>
                <c:pt idx="18">
                  <c:v>1.6878000000000001E-2</c:v>
                </c:pt>
                <c:pt idx="19">
                  <c:v>1.5436999999999999E-2</c:v>
                </c:pt>
                <c:pt idx="20">
                  <c:v>1.4043E-2</c:v>
                </c:pt>
                <c:pt idx="21">
                  <c:v>1.3323E-2</c:v>
                </c:pt>
                <c:pt idx="22">
                  <c:v>1.1662E-2</c:v>
                </c:pt>
                <c:pt idx="23">
                  <c:v>9.502E-3</c:v>
                </c:pt>
                <c:pt idx="24">
                  <c:v>9.3900000000000008E-3</c:v>
                </c:pt>
                <c:pt idx="25">
                  <c:v>8.8929999999999999E-3</c:v>
                </c:pt>
                <c:pt idx="26">
                  <c:v>6.4910000000000002E-3</c:v>
                </c:pt>
                <c:pt idx="27">
                  <c:v>4.895E-3</c:v>
                </c:pt>
                <c:pt idx="28">
                  <c:v>4.4099999999999999E-3</c:v>
                </c:pt>
                <c:pt idx="29">
                  <c:v>3.6579999999999998E-3</c:v>
                </c:pt>
                <c:pt idx="30">
                  <c:v>2.8059999999999999E-3</c:v>
                </c:pt>
                <c:pt idx="31">
                  <c:v>2.6090000000000002E-3</c:v>
                </c:pt>
                <c:pt idx="32">
                  <c:v>2.0249999999999999E-3</c:v>
                </c:pt>
                <c:pt idx="33">
                  <c:v>1.338E-3</c:v>
                </c:pt>
              </c:numCache>
            </c:numRef>
          </c:val>
          <c:extLst>
            <c:ext xmlns:c16="http://schemas.microsoft.com/office/drawing/2014/chart" uri="{C3380CC4-5D6E-409C-BE32-E72D297353CC}">
              <c16:uniqueId val="{00000017-3A67-4661-95F4-D55833095ECF}"/>
            </c:ext>
          </c:extLst>
        </c:ser>
        <c:ser>
          <c:idx val="1"/>
          <c:order val="1"/>
          <c:tx>
            <c:strRef>
              <c:f>'BANDHAN CEF'!$C$4</c:f>
              <c:strCache>
                <c:ptCount val="1"/>
                <c:pt idx="0">
                  <c:v>Portfolio as on - (31st July 2024)</c:v>
                </c:pt>
              </c:strCache>
            </c:strRef>
          </c:tx>
          <c:invertIfNegative val="0"/>
          <c:cat>
            <c:strRef>
              <c:f>'BANDHAN-MCAP'!$W$8:$W$41</c:f>
              <c:strCache>
                <c:ptCount val="34"/>
                <c:pt idx="0">
                  <c:v>Industrial Products</c:v>
                </c:pt>
                <c:pt idx="1">
                  <c:v>Auto Components</c:v>
                </c:pt>
                <c:pt idx="2">
                  <c:v>Electrical Equipment</c:v>
                </c:pt>
                <c:pt idx="3">
                  <c:v>Consumer Durables</c:v>
                </c:pt>
                <c:pt idx="4">
                  <c:v>Retailing</c:v>
                </c:pt>
                <c:pt idx="5">
                  <c:v>IT - Software</c:v>
                </c:pt>
                <c:pt idx="6">
                  <c:v>Finance</c:v>
                </c:pt>
                <c:pt idx="7">
                  <c:v>Realty</c:v>
                </c:pt>
                <c:pt idx="8">
                  <c:v>Telecom - Services</c:v>
                </c:pt>
                <c:pt idx="9">
                  <c:v>Banks</c:v>
                </c:pt>
                <c:pt idx="10">
                  <c:v>Chemicals &amp; Petrochemicals</c:v>
                </c:pt>
                <c:pt idx="11">
                  <c:v>Pharmaceuticals &amp; Biotechnology</c:v>
                </c:pt>
                <c:pt idx="12">
                  <c:v>Leisure Services</c:v>
                </c:pt>
                <c:pt idx="13">
                  <c:v>Automobiles</c:v>
                </c:pt>
                <c:pt idx="14">
                  <c:v>Power</c:v>
                </c:pt>
                <c:pt idx="15">
                  <c:v>Healthcare Services</c:v>
                </c:pt>
                <c:pt idx="16">
                  <c:v>Industrial Manufacturing</c:v>
                </c:pt>
                <c:pt idx="17">
                  <c:v>Aerospace &amp; Defense</c:v>
                </c:pt>
                <c:pt idx="18">
                  <c:v>IT - Services</c:v>
                </c:pt>
                <c:pt idx="19">
                  <c:v>Financial Technology (Fintech)</c:v>
                </c:pt>
                <c:pt idx="20">
                  <c:v>Beverages</c:v>
                </c:pt>
                <c:pt idx="21">
                  <c:v>Fertilizers &amp; Agrochemicals</c:v>
                </c:pt>
                <c:pt idx="22">
                  <c:v>Oil</c:v>
                </c:pt>
                <c:pt idx="23">
                  <c:v>Diversified</c:v>
                </c:pt>
                <c:pt idx="24">
                  <c:v>Cement &amp; Cement Products</c:v>
                </c:pt>
                <c:pt idx="25">
                  <c:v>Ferrous Metals</c:v>
                </c:pt>
                <c:pt idx="26">
                  <c:v>Commercial Services &amp; Supplies</c:v>
                </c:pt>
                <c:pt idx="27">
                  <c:v>Textiles &amp; Apparels</c:v>
                </c:pt>
                <c:pt idx="28">
                  <c:v>Capital Markets</c:v>
                </c:pt>
                <c:pt idx="29">
                  <c:v>Minerals &amp; Mining</c:v>
                </c:pt>
                <c:pt idx="30">
                  <c:v>Personal Products</c:v>
                </c:pt>
                <c:pt idx="31">
                  <c:v>Household Products</c:v>
                </c:pt>
                <c:pt idx="32">
                  <c:v>Engineering Services</c:v>
                </c:pt>
                <c:pt idx="33">
                  <c:v>Food Products</c:v>
                </c:pt>
              </c:strCache>
            </c:strRef>
          </c:cat>
          <c:val>
            <c:numRef>
              <c:f>'BANDHAN CEF'!$C$5</c:f>
              <c:numCache>
                <c:formatCode>General</c:formatCode>
                <c:ptCount val="1"/>
                <c:pt idx="0">
                  <c:v>0</c:v>
                </c:pt>
              </c:numCache>
            </c:numRef>
          </c:val>
          <c:extLst>
            <c:ext xmlns:c16="http://schemas.microsoft.com/office/drawing/2014/chart" uri="{C3380CC4-5D6E-409C-BE32-E72D297353CC}">
              <c16:uniqueId val="{00000000-5A71-4669-BC73-AD2F870025E7}"/>
            </c:ext>
          </c:extLst>
        </c:ser>
        <c:ser>
          <c:idx val="2"/>
          <c:order val="2"/>
          <c:tx>
            <c:strRef>
              <c:f>'BANDHAN SVF'!$C$4</c:f>
              <c:strCache>
                <c:ptCount val="1"/>
                <c:pt idx="0">
                  <c:v>Portfolio as on - (31st July 2024)</c:v>
                </c:pt>
              </c:strCache>
            </c:strRef>
          </c:tx>
          <c:invertIfNegative val="0"/>
          <c:cat>
            <c:strRef>
              <c:f>'BANDHAN-MCAP'!$W$8:$W$41</c:f>
              <c:strCache>
                <c:ptCount val="34"/>
                <c:pt idx="0">
                  <c:v>Industrial Products</c:v>
                </c:pt>
                <c:pt idx="1">
                  <c:v>Auto Components</c:v>
                </c:pt>
                <c:pt idx="2">
                  <c:v>Electrical Equipment</c:v>
                </c:pt>
                <c:pt idx="3">
                  <c:v>Consumer Durables</c:v>
                </c:pt>
                <c:pt idx="4">
                  <c:v>Retailing</c:v>
                </c:pt>
                <c:pt idx="5">
                  <c:v>IT - Software</c:v>
                </c:pt>
                <c:pt idx="6">
                  <c:v>Finance</c:v>
                </c:pt>
                <c:pt idx="7">
                  <c:v>Realty</c:v>
                </c:pt>
                <c:pt idx="8">
                  <c:v>Telecom - Services</c:v>
                </c:pt>
                <c:pt idx="9">
                  <c:v>Banks</c:v>
                </c:pt>
                <c:pt idx="10">
                  <c:v>Chemicals &amp; Petrochemicals</c:v>
                </c:pt>
                <c:pt idx="11">
                  <c:v>Pharmaceuticals &amp; Biotechnology</c:v>
                </c:pt>
                <c:pt idx="12">
                  <c:v>Leisure Services</c:v>
                </c:pt>
                <c:pt idx="13">
                  <c:v>Automobiles</c:v>
                </c:pt>
                <c:pt idx="14">
                  <c:v>Power</c:v>
                </c:pt>
                <c:pt idx="15">
                  <c:v>Healthcare Services</c:v>
                </c:pt>
                <c:pt idx="16">
                  <c:v>Industrial Manufacturing</c:v>
                </c:pt>
                <c:pt idx="17">
                  <c:v>Aerospace &amp; Defense</c:v>
                </c:pt>
                <c:pt idx="18">
                  <c:v>IT - Services</c:v>
                </c:pt>
                <c:pt idx="19">
                  <c:v>Financial Technology (Fintech)</c:v>
                </c:pt>
                <c:pt idx="20">
                  <c:v>Beverages</c:v>
                </c:pt>
                <c:pt idx="21">
                  <c:v>Fertilizers &amp; Agrochemicals</c:v>
                </c:pt>
                <c:pt idx="22">
                  <c:v>Oil</c:v>
                </c:pt>
                <c:pt idx="23">
                  <c:v>Diversified</c:v>
                </c:pt>
                <c:pt idx="24">
                  <c:v>Cement &amp; Cement Products</c:v>
                </c:pt>
                <c:pt idx="25">
                  <c:v>Ferrous Metals</c:v>
                </c:pt>
                <c:pt idx="26">
                  <c:v>Commercial Services &amp; Supplies</c:v>
                </c:pt>
                <c:pt idx="27">
                  <c:v>Textiles &amp; Apparels</c:v>
                </c:pt>
                <c:pt idx="28">
                  <c:v>Capital Markets</c:v>
                </c:pt>
                <c:pt idx="29">
                  <c:v>Minerals &amp; Mining</c:v>
                </c:pt>
                <c:pt idx="30">
                  <c:v>Personal Products</c:v>
                </c:pt>
                <c:pt idx="31">
                  <c:v>Household Products</c:v>
                </c:pt>
                <c:pt idx="32">
                  <c:v>Engineering Services</c:v>
                </c:pt>
                <c:pt idx="33">
                  <c:v>Food Products</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1-5A71-4669-BC73-AD2F870025E7}"/>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4B6-48E9-BD50-F42B51C222FB}"/>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B6-48E9-BD50-F42B51C222FB}"/>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B6-48E9-BD50-F42B51C222FB}"/>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B6-48E9-BD50-F42B51C222FB}"/>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B6-48E9-BD50-F42B51C222FB}"/>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4B6-48E9-BD50-F42B51C222FB}"/>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4B6-48E9-BD50-F42B51C222FB}"/>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4B6-48E9-BD50-F42B51C222FB}"/>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4B6-48E9-BD50-F42B51C222FB}"/>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4B6-48E9-BD50-F42B51C222FB}"/>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4B6-48E9-BD50-F42B51C222FB}"/>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4B6-48E9-BD50-F42B51C222FB}"/>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4B6-48E9-BD50-F42B51C222FB}"/>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4B6-48E9-BD50-F42B51C222FB}"/>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4B6-48E9-BD50-F42B51C222FB}"/>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4B6-48E9-BD50-F42B51C222FB}"/>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4B6-48E9-BD50-F42B51C222FB}"/>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4B6-48E9-BD50-F42B51C222FB}"/>
                </c:ext>
              </c:extLst>
            </c:dLbl>
            <c:dLbl>
              <c:idx val="1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C4B6-48E9-BD50-F42B51C222FB}"/>
                </c:ext>
              </c:extLst>
            </c:dLbl>
            <c:dLbl>
              <c:idx val="1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C4B6-48E9-BD50-F42B51C222FB}"/>
                </c:ext>
              </c:extLst>
            </c:dLbl>
            <c:dLbl>
              <c:idx val="2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4B6-48E9-BD50-F42B51C222FB}"/>
                </c:ext>
              </c:extLst>
            </c:dLbl>
            <c:dLbl>
              <c:idx val="2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C4B6-48E9-BD50-F42B51C222FB}"/>
                </c:ext>
              </c:extLst>
            </c:dLbl>
            <c:dLbl>
              <c:idx val="2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C4B6-48E9-BD50-F42B51C222F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MCF'!$W$8:$W$43</c:f>
              <c:strCache>
                <c:ptCount val="36"/>
                <c:pt idx="0">
                  <c:v>Banks</c:v>
                </c:pt>
                <c:pt idx="1">
                  <c:v>Pharmaceuticals &amp; Biotechnology</c:v>
                </c:pt>
                <c:pt idx="2">
                  <c:v>IT - Software</c:v>
                </c:pt>
                <c:pt idx="3">
                  <c:v>Consumer Durables</c:v>
                </c:pt>
                <c:pt idx="4">
                  <c:v>Construction</c:v>
                </c:pt>
                <c:pt idx="5">
                  <c:v>Retailing</c:v>
                </c:pt>
                <c:pt idx="6">
                  <c:v>Insurance</c:v>
                </c:pt>
                <c:pt idx="7">
                  <c:v>Automobiles</c:v>
                </c:pt>
                <c:pt idx="8">
                  <c:v>Finance</c:v>
                </c:pt>
                <c:pt idx="9">
                  <c:v>Petroleum Products</c:v>
                </c:pt>
                <c:pt idx="10">
                  <c:v>Industrial Products</c:v>
                </c:pt>
                <c:pt idx="11">
                  <c:v>Auto Components</c:v>
                </c:pt>
                <c:pt idx="12">
                  <c:v>Realty</c:v>
                </c:pt>
                <c:pt idx="13">
                  <c:v>Power</c:v>
                </c:pt>
                <c:pt idx="14">
                  <c:v>Electrical Equipment</c:v>
                </c:pt>
                <c:pt idx="15">
                  <c:v>Fertilizers &amp; Agrochemicals</c:v>
                </c:pt>
                <c:pt idx="16">
                  <c:v>Leisure Services</c:v>
                </c:pt>
                <c:pt idx="17">
                  <c:v>Beverages</c:v>
                </c:pt>
                <c:pt idx="18">
                  <c:v>Food Products</c:v>
                </c:pt>
                <c:pt idx="19">
                  <c:v>Gas</c:v>
                </c:pt>
                <c:pt idx="20">
                  <c:v>Cement &amp; Cement Products</c:v>
                </c:pt>
                <c:pt idx="21">
                  <c:v>Oil</c:v>
                </c:pt>
                <c:pt idx="22">
                  <c:v>Industrial Manufacturing</c:v>
                </c:pt>
                <c:pt idx="23">
                  <c:v>Telecom - Services</c:v>
                </c:pt>
                <c:pt idx="24">
                  <c:v>IT - Services</c:v>
                </c:pt>
                <c:pt idx="25">
                  <c:v>Capital Markets</c:v>
                </c:pt>
                <c:pt idx="26">
                  <c:v>Commercial Services &amp; Supplies</c:v>
                </c:pt>
                <c:pt idx="27">
                  <c:v>Diversified FMCG</c:v>
                </c:pt>
                <c:pt idx="28">
                  <c:v>Ferrous Metals</c:v>
                </c:pt>
                <c:pt idx="29">
                  <c:v>Telecom -  Equipment &amp; Accessories</c:v>
                </c:pt>
                <c:pt idx="30">
                  <c:v>Non - Ferrous Metals</c:v>
                </c:pt>
                <c:pt idx="31">
                  <c:v>Diversified Metals</c:v>
                </c:pt>
                <c:pt idx="32">
                  <c:v>Chemicals &amp; Petrochemicals</c:v>
                </c:pt>
                <c:pt idx="33">
                  <c:v>Personal Products</c:v>
                </c:pt>
                <c:pt idx="34">
                  <c:v>Transport Services</c:v>
                </c:pt>
                <c:pt idx="35">
                  <c:v>Financial Technology (Fintech)</c:v>
                </c:pt>
              </c:strCache>
            </c:strRef>
          </c:cat>
          <c:val>
            <c:numRef>
              <c:f>'BANDHAN MCF'!$X$8:$X$43</c:f>
              <c:numCache>
                <c:formatCode>0.00%</c:formatCode>
                <c:ptCount val="36"/>
                <c:pt idx="0">
                  <c:v>0.13527999999999998</c:v>
                </c:pt>
                <c:pt idx="1">
                  <c:v>9.1288999999999995E-2</c:v>
                </c:pt>
                <c:pt idx="2">
                  <c:v>6.7396999999999999E-2</c:v>
                </c:pt>
                <c:pt idx="3">
                  <c:v>5.1545999999999995E-2</c:v>
                </c:pt>
                <c:pt idx="4">
                  <c:v>4.2602000000000001E-2</c:v>
                </c:pt>
                <c:pt idx="5">
                  <c:v>4.0842000000000003E-2</c:v>
                </c:pt>
                <c:pt idx="6">
                  <c:v>3.9619999999999995E-2</c:v>
                </c:pt>
                <c:pt idx="7">
                  <c:v>3.8113000000000001E-2</c:v>
                </c:pt>
                <c:pt idx="8">
                  <c:v>3.7641000000000001E-2</c:v>
                </c:pt>
                <c:pt idx="9">
                  <c:v>3.5595000000000002E-2</c:v>
                </c:pt>
                <c:pt idx="10">
                  <c:v>3.2372999999999999E-2</c:v>
                </c:pt>
                <c:pt idx="11">
                  <c:v>3.2044000000000003E-2</c:v>
                </c:pt>
                <c:pt idx="12">
                  <c:v>2.6277000000000002E-2</c:v>
                </c:pt>
                <c:pt idx="13">
                  <c:v>2.3814999999999999E-2</c:v>
                </c:pt>
                <c:pt idx="14">
                  <c:v>2.1970999999999997E-2</c:v>
                </c:pt>
                <c:pt idx="15">
                  <c:v>2.1643000000000003E-2</c:v>
                </c:pt>
                <c:pt idx="16">
                  <c:v>2.0715000000000001E-2</c:v>
                </c:pt>
                <c:pt idx="17">
                  <c:v>1.8654E-2</c:v>
                </c:pt>
                <c:pt idx="18">
                  <c:v>1.6757999999999999E-2</c:v>
                </c:pt>
                <c:pt idx="19">
                  <c:v>1.4827E-2</c:v>
                </c:pt>
                <c:pt idx="20">
                  <c:v>1.3919999999999998E-2</c:v>
                </c:pt>
                <c:pt idx="21">
                  <c:v>1.3408E-2</c:v>
                </c:pt>
                <c:pt idx="22">
                  <c:v>1.3093E-2</c:v>
                </c:pt>
                <c:pt idx="23">
                  <c:v>1.2241E-2</c:v>
                </c:pt>
                <c:pt idx="24">
                  <c:v>1.1749000000000001E-2</c:v>
                </c:pt>
                <c:pt idx="25">
                  <c:v>1.1604E-2</c:v>
                </c:pt>
                <c:pt idx="26">
                  <c:v>1.1543000000000001E-2</c:v>
                </c:pt>
                <c:pt idx="27">
                  <c:v>1.1180000000000001E-2</c:v>
                </c:pt>
                <c:pt idx="28">
                  <c:v>1.1152E-2</c:v>
                </c:pt>
                <c:pt idx="29">
                  <c:v>1.0196999999999999E-2</c:v>
                </c:pt>
                <c:pt idx="30">
                  <c:v>9.6170000000000005E-3</c:v>
                </c:pt>
                <c:pt idx="31">
                  <c:v>8.9709999999999998E-3</c:v>
                </c:pt>
                <c:pt idx="32">
                  <c:v>8.6E-3</c:v>
                </c:pt>
                <c:pt idx="33">
                  <c:v>7.8259999999999996E-3</c:v>
                </c:pt>
                <c:pt idx="34">
                  <c:v>4.2700000000000004E-3</c:v>
                </c:pt>
                <c:pt idx="35">
                  <c:v>4.0559999999999997E-3</c:v>
                </c:pt>
              </c:numCache>
            </c:numRef>
          </c:val>
          <c:extLst>
            <c:ext xmlns:c16="http://schemas.microsoft.com/office/drawing/2014/chart" uri="{C3380CC4-5D6E-409C-BE32-E72D297353CC}">
              <c16:uniqueId val="{00000017-C4B6-48E9-BD50-F42B51C222FB}"/>
            </c:ext>
          </c:extLst>
        </c:ser>
        <c:ser>
          <c:idx val="1"/>
          <c:order val="1"/>
          <c:tx>
            <c:strRef>
              <c:f>'BANDHAN SVF'!$C$4</c:f>
              <c:strCache>
                <c:ptCount val="1"/>
                <c:pt idx="0">
                  <c:v>Portfolio as on - (31st July 2024)</c:v>
                </c:pt>
              </c:strCache>
            </c:strRef>
          </c:tx>
          <c:invertIfNegative val="0"/>
          <c:cat>
            <c:strRef>
              <c:f>'BANDHAN MCF'!$W$8:$W$43</c:f>
              <c:strCache>
                <c:ptCount val="36"/>
                <c:pt idx="0">
                  <c:v>Banks</c:v>
                </c:pt>
                <c:pt idx="1">
                  <c:v>Pharmaceuticals &amp; Biotechnology</c:v>
                </c:pt>
                <c:pt idx="2">
                  <c:v>IT - Software</c:v>
                </c:pt>
                <c:pt idx="3">
                  <c:v>Consumer Durables</c:v>
                </c:pt>
                <c:pt idx="4">
                  <c:v>Construction</c:v>
                </c:pt>
                <c:pt idx="5">
                  <c:v>Retailing</c:v>
                </c:pt>
                <c:pt idx="6">
                  <c:v>Insurance</c:v>
                </c:pt>
                <c:pt idx="7">
                  <c:v>Automobiles</c:v>
                </c:pt>
                <c:pt idx="8">
                  <c:v>Finance</c:v>
                </c:pt>
                <c:pt idx="9">
                  <c:v>Petroleum Products</c:v>
                </c:pt>
                <c:pt idx="10">
                  <c:v>Industrial Products</c:v>
                </c:pt>
                <c:pt idx="11">
                  <c:v>Auto Components</c:v>
                </c:pt>
                <c:pt idx="12">
                  <c:v>Realty</c:v>
                </c:pt>
                <c:pt idx="13">
                  <c:v>Power</c:v>
                </c:pt>
                <c:pt idx="14">
                  <c:v>Electrical Equipment</c:v>
                </c:pt>
                <c:pt idx="15">
                  <c:v>Fertilizers &amp; Agrochemicals</c:v>
                </c:pt>
                <c:pt idx="16">
                  <c:v>Leisure Services</c:v>
                </c:pt>
                <c:pt idx="17">
                  <c:v>Beverages</c:v>
                </c:pt>
                <c:pt idx="18">
                  <c:v>Food Products</c:v>
                </c:pt>
                <c:pt idx="19">
                  <c:v>Gas</c:v>
                </c:pt>
                <c:pt idx="20">
                  <c:v>Cement &amp; Cement Products</c:v>
                </c:pt>
                <c:pt idx="21">
                  <c:v>Oil</c:v>
                </c:pt>
                <c:pt idx="22">
                  <c:v>Industrial Manufacturing</c:v>
                </c:pt>
                <c:pt idx="23">
                  <c:v>Telecom - Services</c:v>
                </c:pt>
                <c:pt idx="24">
                  <c:v>IT - Services</c:v>
                </c:pt>
                <c:pt idx="25">
                  <c:v>Capital Markets</c:v>
                </c:pt>
                <c:pt idx="26">
                  <c:v>Commercial Services &amp; Supplies</c:v>
                </c:pt>
                <c:pt idx="27">
                  <c:v>Diversified FMCG</c:v>
                </c:pt>
                <c:pt idx="28">
                  <c:v>Ferrous Metals</c:v>
                </c:pt>
                <c:pt idx="29">
                  <c:v>Telecom -  Equipment &amp; Accessories</c:v>
                </c:pt>
                <c:pt idx="30">
                  <c:v>Non - Ferrous Metals</c:v>
                </c:pt>
                <c:pt idx="31">
                  <c:v>Diversified Metals</c:v>
                </c:pt>
                <c:pt idx="32">
                  <c:v>Chemicals &amp; Petrochemicals</c:v>
                </c:pt>
                <c:pt idx="33">
                  <c:v>Personal Products</c:v>
                </c:pt>
                <c:pt idx="34">
                  <c:v>Transport Services</c:v>
                </c:pt>
                <c:pt idx="35">
                  <c:v>Financial Technology (Fintech)</c:v>
                </c:pt>
              </c:strCache>
            </c:strRef>
          </c:cat>
          <c:val>
            <c:numRef>
              <c:f>'BANDHAN SVF'!$C$5</c:f>
              <c:numCache>
                <c:formatCode>General</c:formatCode>
                <c:ptCount val="1"/>
                <c:pt idx="0">
                  <c:v>0</c:v>
                </c:pt>
              </c:numCache>
            </c:numRef>
          </c:val>
          <c:extLst>
            <c:ext xmlns:c16="http://schemas.microsoft.com/office/drawing/2014/chart" uri="{C3380CC4-5D6E-409C-BE32-E72D297353CC}">
              <c16:uniqueId val="{00000000-EA90-4672-986F-AA3F4CB8C6D3}"/>
            </c:ext>
          </c:extLst>
        </c:ser>
        <c:dLbls>
          <c:showLegendKey val="0"/>
          <c:showVal val="0"/>
          <c:showCatName val="0"/>
          <c:showSerName val="0"/>
          <c:showPercent val="0"/>
          <c:showBubbleSize val="0"/>
        </c:dLbls>
        <c:gapWidth val="150"/>
        <c:axId val="151665664"/>
        <c:axId val="155013632"/>
      </c:barChart>
      <c:catAx>
        <c:axId val="15166566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3632"/>
        <c:crosses val="autoZero"/>
        <c:auto val="1"/>
        <c:lblAlgn val="ctr"/>
        <c:lblOffset val="100"/>
        <c:tickLblSkip val="1"/>
        <c:noMultiLvlLbl val="0"/>
      </c:catAx>
      <c:valAx>
        <c:axId val="1550136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1665664"/>
        <c:crosses val="autoZero"/>
        <c:crossBetween val="between"/>
      </c:valAx>
      <c:spPr>
        <a:noFill/>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FCF'!$W$8:$W$45</c:f>
              <c:strCache>
                <c:ptCount val="38"/>
                <c:pt idx="0">
                  <c:v>Banks</c:v>
                </c:pt>
                <c:pt idx="1">
                  <c:v>IT - Software</c:v>
                </c:pt>
                <c:pt idx="2">
                  <c:v>Automobiles</c:v>
                </c:pt>
                <c:pt idx="3">
                  <c:v>Finance</c:v>
                </c:pt>
                <c:pt idx="4">
                  <c:v>Pharmaceuticals &amp; Biotechnology</c:v>
                </c:pt>
                <c:pt idx="5">
                  <c:v>Retailing</c:v>
                </c:pt>
                <c:pt idx="6">
                  <c:v>Construction</c:v>
                </c:pt>
                <c:pt idx="7">
                  <c:v>Consumer Durables</c:v>
                </c:pt>
                <c:pt idx="8">
                  <c:v>Electrical Equipment</c:v>
                </c:pt>
                <c:pt idx="9">
                  <c:v>Petroleum Products</c:v>
                </c:pt>
                <c:pt idx="10">
                  <c:v>Industrial Products</c:v>
                </c:pt>
                <c:pt idx="11">
                  <c:v>Diversified FMCG</c:v>
                </c:pt>
                <c:pt idx="12">
                  <c:v>Insurance</c:v>
                </c:pt>
                <c:pt idx="13">
                  <c:v>Power</c:v>
                </c:pt>
                <c:pt idx="14">
                  <c:v>Telecom - Services</c:v>
                </c:pt>
                <c:pt idx="15">
                  <c:v>Auto Components</c:v>
                </c:pt>
                <c:pt idx="16">
                  <c:v>Cement &amp; Cement Products</c:v>
                </c:pt>
                <c:pt idx="17">
                  <c:v>Ferrous Metals</c:v>
                </c:pt>
                <c:pt idx="18">
                  <c:v>Realty</c:v>
                </c:pt>
                <c:pt idx="19">
                  <c:v>Beverages</c:v>
                </c:pt>
                <c:pt idx="20">
                  <c:v>Oil</c:v>
                </c:pt>
                <c:pt idx="21">
                  <c:v>Consumable Fuels</c:v>
                </c:pt>
                <c:pt idx="22">
                  <c:v>Leisure Services</c:v>
                </c:pt>
                <c:pt idx="23">
                  <c:v>Food Products</c:v>
                </c:pt>
                <c:pt idx="24">
                  <c:v>Chemicals &amp; Petrochemicals</c:v>
                </c:pt>
                <c:pt idx="25">
                  <c:v>Healthcare Services</c:v>
                </c:pt>
                <c:pt idx="26">
                  <c:v>Non - Ferrous Metals</c:v>
                </c:pt>
                <c:pt idx="27">
                  <c:v>Aerospace &amp; Defense</c:v>
                </c:pt>
                <c:pt idx="28">
                  <c:v>Transport Services</c:v>
                </c:pt>
                <c:pt idx="29">
                  <c:v>Gas</c:v>
                </c:pt>
                <c:pt idx="30">
                  <c:v>Telecom -  Equipment &amp; Accessories</c:v>
                </c:pt>
                <c:pt idx="31">
                  <c:v>Commercial Services &amp; Supplies</c:v>
                </c:pt>
                <c:pt idx="32">
                  <c:v>Financial Technology (Fintech)</c:v>
                </c:pt>
                <c:pt idx="33">
                  <c:v>Diversified</c:v>
                </c:pt>
                <c:pt idx="34">
                  <c:v>Textiles &amp; Apparels</c:v>
                </c:pt>
                <c:pt idx="35">
                  <c:v>Fertilizers &amp; Agrochemicals</c:v>
                </c:pt>
                <c:pt idx="36">
                  <c:v>Personal Products</c:v>
                </c:pt>
                <c:pt idx="37">
                  <c:v>Capital Markets</c:v>
                </c:pt>
              </c:strCache>
            </c:strRef>
          </c:cat>
          <c:val>
            <c:numRef>
              <c:f>'BANDHAN FCF'!$X$8:$X$45</c:f>
              <c:numCache>
                <c:formatCode>0.0%</c:formatCode>
                <c:ptCount val="38"/>
                <c:pt idx="0">
                  <c:v>0.19950300000000001</c:v>
                </c:pt>
                <c:pt idx="1">
                  <c:v>7.7012000000000011E-2</c:v>
                </c:pt>
                <c:pt idx="2">
                  <c:v>5.7095E-2</c:v>
                </c:pt>
                <c:pt idx="3">
                  <c:v>5.2809999999999996E-2</c:v>
                </c:pt>
                <c:pt idx="4">
                  <c:v>4.4632000000000005E-2</c:v>
                </c:pt>
                <c:pt idx="5">
                  <c:v>4.2515999999999998E-2</c:v>
                </c:pt>
                <c:pt idx="6">
                  <c:v>3.6721000000000004E-2</c:v>
                </c:pt>
                <c:pt idx="7">
                  <c:v>3.2431000000000001E-2</c:v>
                </c:pt>
                <c:pt idx="8">
                  <c:v>3.1609999999999999E-2</c:v>
                </c:pt>
                <c:pt idx="9">
                  <c:v>3.1531000000000003E-2</c:v>
                </c:pt>
                <c:pt idx="10">
                  <c:v>2.9806000000000003E-2</c:v>
                </c:pt>
                <c:pt idx="11">
                  <c:v>2.8332000000000003E-2</c:v>
                </c:pt>
                <c:pt idx="12">
                  <c:v>2.7254E-2</c:v>
                </c:pt>
                <c:pt idx="13">
                  <c:v>2.6347000000000002E-2</c:v>
                </c:pt>
                <c:pt idx="14">
                  <c:v>2.5028000000000002E-2</c:v>
                </c:pt>
                <c:pt idx="15">
                  <c:v>2.4913999999999999E-2</c:v>
                </c:pt>
                <c:pt idx="16">
                  <c:v>2.0426E-2</c:v>
                </c:pt>
                <c:pt idx="17">
                  <c:v>1.6399E-2</c:v>
                </c:pt>
                <c:pt idx="18">
                  <c:v>1.4809000000000001E-2</c:v>
                </c:pt>
                <c:pt idx="19">
                  <c:v>1.4748999999999998E-2</c:v>
                </c:pt>
                <c:pt idx="20">
                  <c:v>1.2448000000000001E-2</c:v>
                </c:pt>
                <c:pt idx="21">
                  <c:v>1.0237E-2</c:v>
                </c:pt>
                <c:pt idx="22">
                  <c:v>1.0127999999999998E-2</c:v>
                </c:pt>
                <c:pt idx="23">
                  <c:v>1.0016000000000001E-2</c:v>
                </c:pt>
                <c:pt idx="24">
                  <c:v>9.9659999999999992E-3</c:v>
                </c:pt>
                <c:pt idx="25">
                  <c:v>9.9340000000000001E-3</c:v>
                </c:pt>
                <c:pt idx="26">
                  <c:v>9.7319999999999993E-3</c:v>
                </c:pt>
                <c:pt idx="27">
                  <c:v>9.3970000000000008E-3</c:v>
                </c:pt>
                <c:pt idx="28">
                  <c:v>8.7060000000000002E-3</c:v>
                </c:pt>
                <c:pt idx="29">
                  <c:v>6.1079999999999997E-3</c:v>
                </c:pt>
                <c:pt idx="30">
                  <c:v>5.6639999999999998E-3</c:v>
                </c:pt>
                <c:pt idx="31">
                  <c:v>5.3749999999999996E-3</c:v>
                </c:pt>
                <c:pt idx="32">
                  <c:v>5.3169999999999997E-3</c:v>
                </c:pt>
                <c:pt idx="33">
                  <c:v>5.045E-3</c:v>
                </c:pt>
                <c:pt idx="34">
                  <c:v>4.4089999999999997E-3</c:v>
                </c:pt>
                <c:pt idx="35">
                  <c:v>4.2370000000000003E-3</c:v>
                </c:pt>
                <c:pt idx="36">
                  <c:v>2.9910000000000002E-3</c:v>
                </c:pt>
                <c:pt idx="37">
                  <c:v>1.4319999999999999E-3</c:v>
                </c:pt>
              </c:numCache>
            </c:numRef>
          </c:val>
          <c:extLst>
            <c:ext xmlns:c16="http://schemas.microsoft.com/office/drawing/2014/chart" uri="{C3380CC4-5D6E-409C-BE32-E72D297353CC}">
              <c16:uniqueId val="{00000000-5B83-4217-BB1A-BEB93662D548}"/>
            </c:ext>
          </c:extLst>
        </c:ser>
        <c:dLbls>
          <c:dLblPos val="outEnd"/>
          <c:showLegendKey val="0"/>
          <c:showVal val="1"/>
          <c:showCatName val="0"/>
          <c:showSerName val="0"/>
          <c:showPercent val="0"/>
          <c:showBubbleSize val="0"/>
        </c:dLbls>
        <c:gapWidth val="219"/>
        <c:overlap val="-27"/>
        <c:axId val="454106591"/>
        <c:axId val="777917983"/>
      </c:barChart>
      <c:catAx>
        <c:axId val="45410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77917983"/>
        <c:crosses val="autoZero"/>
        <c:auto val="1"/>
        <c:lblAlgn val="ctr"/>
        <c:lblOffset val="100"/>
        <c:noMultiLvlLbl val="0"/>
      </c:catAx>
      <c:valAx>
        <c:axId val="777917983"/>
        <c:scaling>
          <c:orientation val="minMax"/>
        </c:scaling>
        <c:delete val="0"/>
        <c:axPos val="l"/>
        <c:majorGridlines>
          <c:spPr>
            <a:ln w="9525" cap="flat" cmpd="sng" algn="ctr">
              <a:noFill/>
              <a:round/>
            </a:ln>
            <a:effectLst/>
          </c:spPr>
        </c:majorGridlines>
        <c:numFmt formatCode="0.0%" sourceLinked="1"/>
        <c:majorTickMark val="none"/>
        <c:minorTickMark val="none"/>
        <c:tickLblPos val="none"/>
        <c:spPr>
          <a:noFill/>
          <a:ln>
            <a:noFill/>
          </a:ln>
          <a:effectLst/>
        </c:spPr>
        <c:txPr>
          <a:bodyPr rot="-60000000" spcFirstLastPara="1" vertOverflow="ellipsis" vert="horz" wrap="square" anchor="ctr" anchorCtr="1"/>
          <a:lstStyle/>
          <a:p>
            <a:pPr>
              <a:defRPr sz="103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410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3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798E-2"/>
          <c:w val="0.96726190476189999"/>
          <c:h val="0.56936192172594868"/>
        </c:manualLayout>
      </c:layout>
      <c:barChart>
        <c:barDir val="col"/>
        <c:grouping val="clustered"/>
        <c:varyColors val="0"/>
        <c:ser>
          <c:idx val="0"/>
          <c:order val="0"/>
          <c:tx>
            <c:strRef>
              <c:f>'BANDHAN SCF'!$X$7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453-415C-BEC6-E3D158FE4279}"/>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53-415C-BEC6-E3D158FE4279}"/>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453-415C-BEC6-E3D158FE4279}"/>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53-415C-BEC6-E3D158FE4279}"/>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53-415C-BEC6-E3D158FE4279}"/>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53-415C-BEC6-E3D158FE4279}"/>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53-415C-BEC6-E3D158FE4279}"/>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53-415C-BEC6-E3D158FE4279}"/>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53-415C-BEC6-E3D158FE4279}"/>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53-415C-BEC6-E3D158FE4279}"/>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453-415C-BEC6-E3D158FE4279}"/>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SCF'!$W$8:$W$51</c:f>
              <c:strCache>
                <c:ptCount val="44"/>
                <c:pt idx="0">
                  <c:v>Finance</c:v>
                </c:pt>
                <c:pt idx="1">
                  <c:v>Pharmaceuticals &amp; Biotechnology</c:v>
                </c:pt>
                <c:pt idx="2">
                  <c:v>Banks</c:v>
                </c:pt>
                <c:pt idx="3">
                  <c:v>Capital Markets</c:v>
                </c:pt>
                <c:pt idx="4">
                  <c:v>Electrical Equipment</c:v>
                </c:pt>
                <c:pt idx="5">
                  <c:v>Realty</c:v>
                </c:pt>
                <c:pt idx="6">
                  <c:v>Consumer Durables</c:v>
                </c:pt>
                <c:pt idx="7">
                  <c:v>Textiles &amp; Apparels</c:v>
                </c:pt>
                <c:pt idx="8">
                  <c:v>Industrial Products</c:v>
                </c:pt>
                <c:pt idx="9">
                  <c:v>Chemicals &amp; Petrochemicals</c:v>
                </c:pt>
                <c:pt idx="10">
                  <c:v>Auto Components</c:v>
                </c:pt>
                <c:pt idx="11">
                  <c:v>Commercial Services &amp; Supplies</c:v>
                </c:pt>
                <c:pt idx="12">
                  <c:v>Healthcare Services</c:v>
                </c:pt>
                <c:pt idx="13">
                  <c:v>Agricultural Food &amp; other Products</c:v>
                </c:pt>
                <c:pt idx="14">
                  <c:v>Telecom - Services</c:v>
                </c:pt>
                <c:pt idx="15">
                  <c:v>IT - Hardware</c:v>
                </c:pt>
                <c:pt idx="16">
                  <c:v>Ferrous Metals</c:v>
                </c:pt>
                <c:pt idx="17">
                  <c:v>Retailing</c:v>
                </c:pt>
                <c:pt idx="18">
                  <c:v>Transport Services</c:v>
                </c:pt>
                <c:pt idx="19">
                  <c:v>Power</c:v>
                </c:pt>
                <c:pt idx="20">
                  <c:v>Diversified Metals</c:v>
                </c:pt>
                <c:pt idx="21">
                  <c:v>Petroleum Products</c:v>
                </c:pt>
                <c:pt idx="22">
                  <c:v>Leisure Services</c:v>
                </c:pt>
                <c:pt idx="23">
                  <c:v>IT - Services</c:v>
                </c:pt>
                <c:pt idx="24">
                  <c:v>Industrial Manufacturing</c:v>
                </c:pt>
                <c:pt idx="25">
                  <c:v>Food Products</c:v>
                </c:pt>
                <c:pt idx="26">
                  <c:v>Financial Technology (Fintech)</c:v>
                </c:pt>
                <c:pt idx="27">
                  <c:v>Construction</c:v>
                </c:pt>
                <c:pt idx="28">
                  <c:v>Beverages</c:v>
                </c:pt>
                <c:pt idx="29">
                  <c:v>Diversified</c:v>
                </c:pt>
                <c:pt idx="30">
                  <c:v>Aerospace &amp; Defense</c:v>
                </c:pt>
                <c:pt idx="31">
                  <c:v>Gas</c:v>
                </c:pt>
                <c:pt idx="32">
                  <c:v>IT - Software</c:v>
                </c:pt>
                <c:pt idx="33">
                  <c:v>Cement &amp; Cement Products</c:v>
                </c:pt>
                <c:pt idx="34">
                  <c:v>Non - Ferrous Metals</c:v>
                </c:pt>
                <c:pt idx="35">
                  <c:v>Fertilizers &amp; Agrochemicals</c:v>
                </c:pt>
                <c:pt idx="36">
                  <c:v>Telecom -  Equipment &amp; Accessories</c:v>
                </c:pt>
                <c:pt idx="37">
                  <c:v>Personal Products</c:v>
                </c:pt>
                <c:pt idx="38">
                  <c:v>Household Products</c:v>
                </c:pt>
                <c:pt idx="39">
                  <c:v>Oil</c:v>
                </c:pt>
                <c:pt idx="40">
                  <c:v>Miscellaneous</c:v>
                </c:pt>
                <c:pt idx="41">
                  <c:v>Minerals &amp; Mining</c:v>
                </c:pt>
                <c:pt idx="42">
                  <c:v>Paper, Forest &amp; Jute Products</c:v>
                </c:pt>
                <c:pt idx="43">
                  <c:v>Automobiles</c:v>
                </c:pt>
              </c:strCache>
            </c:strRef>
          </c:cat>
          <c:val>
            <c:numRef>
              <c:f>'BANDHAN SCF'!$X$8:$X$51</c:f>
              <c:numCache>
                <c:formatCode>0.00%</c:formatCode>
                <c:ptCount val="44"/>
                <c:pt idx="0">
                  <c:v>0.123478</c:v>
                </c:pt>
                <c:pt idx="1">
                  <c:v>8.1089000000000008E-2</c:v>
                </c:pt>
                <c:pt idx="2">
                  <c:v>5.2021999999999992E-2</c:v>
                </c:pt>
                <c:pt idx="3">
                  <c:v>4.9614000000000005E-2</c:v>
                </c:pt>
                <c:pt idx="4">
                  <c:v>4.2443000000000002E-2</c:v>
                </c:pt>
                <c:pt idx="5">
                  <c:v>4.2315999999999999E-2</c:v>
                </c:pt>
                <c:pt idx="6">
                  <c:v>4.1876999999999998E-2</c:v>
                </c:pt>
                <c:pt idx="7">
                  <c:v>4.0924000000000002E-2</c:v>
                </c:pt>
                <c:pt idx="8">
                  <c:v>3.8418000000000001E-2</c:v>
                </c:pt>
                <c:pt idx="9">
                  <c:v>3.6486999999999999E-2</c:v>
                </c:pt>
                <c:pt idx="10">
                  <c:v>3.0720000000000004E-2</c:v>
                </c:pt>
                <c:pt idx="11">
                  <c:v>2.8406000000000001E-2</c:v>
                </c:pt>
                <c:pt idx="12">
                  <c:v>2.8008999999999999E-2</c:v>
                </c:pt>
                <c:pt idx="13">
                  <c:v>2.6745000000000001E-2</c:v>
                </c:pt>
                <c:pt idx="14">
                  <c:v>2.3302E-2</c:v>
                </c:pt>
                <c:pt idx="15">
                  <c:v>1.4818E-2</c:v>
                </c:pt>
                <c:pt idx="16">
                  <c:v>1.4218E-2</c:v>
                </c:pt>
                <c:pt idx="17">
                  <c:v>1.3542E-2</c:v>
                </c:pt>
                <c:pt idx="18">
                  <c:v>1.3299E-2</c:v>
                </c:pt>
                <c:pt idx="19">
                  <c:v>1.2927000000000001E-2</c:v>
                </c:pt>
                <c:pt idx="20">
                  <c:v>1.2904000000000001E-2</c:v>
                </c:pt>
                <c:pt idx="21">
                  <c:v>1.2676E-2</c:v>
                </c:pt>
                <c:pt idx="22">
                  <c:v>1.2579E-2</c:v>
                </c:pt>
                <c:pt idx="23">
                  <c:v>1.1941E-2</c:v>
                </c:pt>
                <c:pt idx="24">
                  <c:v>1.0378999999999999E-2</c:v>
                </c:pt>
                <c:pt idx="25">
                  <c:v>8.7239999999999991E-3</c:v>
                </c:pt>
                <c:pt idx="26">
                  <c:v>7.9670000000000001E-3</c:v>
                </c:pt>
                <c:pt idx="27">
                  <c:v>7.9359999999999986E-3</c:v>
                </c:pt>
                <c:pt idx="28">
                  <c:v>7.3249999999999999E-3</c:v>
                </c:pt>
                <c:pt idx="29">
                  <c:v>7.273E-3</c:v>
                </c:pt>
                <c:pt idx="30">
                  <c:v>7.0419999999999996E-3</c:v>
                </c:pt>
                <c:pt idx="31">
                  <c:v>7.0099999999999997E-3</c:v>
                </c:pt>
                <c:pt idx="32">
                  <c:v>6.4450000000000002E-3</c:v>
                </c:pt>
                <c:pt idx="33">
                  <c:v>5.9129999999999999E-3</c:v>
                </c:pt>
                <c:pt idx="34">
                  <c:v>5.2059999999999997E-3</c:v>
                </c:pt>
                <c:pt idx="35">
                  <c:v>5.0590000000000001E-3</c:v>
                </c:pt>
                <c:pt idx="36">
                  <c:v>4.9579999999999997E-3</c:v>
                </c:pt>
                <c:pt idx="37">
                  <c:v>4.3220000000000003E-3</c:v>
                </c:pt>
                <c:pt idx="38">
                  <c:v>4.1240000000000001E-3</c:v>
                </c:pt>
                <c:pt idx="39">
                  <c:v>3.9179999999999996E-3</c:v>
                </c:pt>
                <c:pt idx="40">
                  <c:v>3.7650000000000001E-3</c:v>
                </c:pt>
                <c:pt idx="41">
                  <c:v>1.836E-3</c:v>
                </c:pt>
                <c:pt idx="42">
                  <c:v>1.771E-3</c:v>
                </c:pt>
                <c:pt idx="43">
                  <c:v>1.622E-3</c:v>
                </c:pt>
              </c:numCache>
            </c:numRef>
          </c:val>
          <c:extLst>
            <c:ext xmlns:c16="http://schemas.microsoft.com/office/drawing/2014/chart" uri="{C3380CC4-5D6E-409C-BE32-E72D297353CC}">
              <c16:uniqueId val="{0000000B-3453-415C-BEC6-E3D158FE4279}"/>
            </c:ext>
          </c:extLst>
        </c:ser>
        <c:ser>
          <c:idx val="1"/>
          <c:order val="1"/>
          <c:tx>
            <c:strRef>
              <c:f>'BANDHAN-USFOF'!$C$4</c:f>
              <c:strCache>
                <c:ptCount val="1"/>
                <c:pt idx="0">
                  <c:v>Portfolio as on - (31st July 2024)</c:v>
                </c:pt>
              </c:strCache>
            </c:strRef>
          </c:tx>
          <c:invertIfNegative val="0"/>
          <c:cat>
            <c:strRef>
              <c:f>'BANDHAN SCF'!$W$8:$W$51</c:f>
              <c:strCache>
                <c:ptCount val="44"/>
                <c:pt idx="0">
                  <c:v>Finance</c:v>
                </c:pt>
                <c:pt idx="1">
                  <c:v>Pharmaceuticals &amp; Biotechnology</c:v>
                </c:pt>
                <c:pt idx="2">
                  <c:v>Banks</c:v>
                </c:pt>
                <c:pt idx="3">
                  <c:v>Capital Markets</c:v>
                </c:pt>
                <c:pt idx="4">
                  <c:v>Electrical Equipment</c:v>
                </c:pt>
                <c:pt idx="5">
                  <c:v>Realty</c:v>
                </c:pt>
                <c:pt idx="6">
                  <c:v>Consumer Durables</c:v>
                </c:pt>
                <c:pt idx="7">
                  <c:v>Textiles &amp; Apparels</c:v>
                </c:pt>
                <c:pt idx="8">
                  <c:v>Industrial Products</c:v>
                </c:pt>
                <c:pt idx="9">
                  <c:v>Chemicals &amp; Petrochemicals</c:v>
                </c:pt>
                <c:pt idx="10">
                  <c:v>Auto Components</c:v>
                </c:pt>
                <c:pt idx="11">
                  <c:v>Commercial Services &amp; Supplies</c:v>
                </c:pt>
                <c:pt idx="12">
                  <c:v>Healthcare Services</c:v>
                </c:pt>
                <c:pt idx="13">
                  <c:v>Agricultural Food &amp; other Products</c:v>
                </c:pt>
                <c:pt idx="14">
                  <c:v>Telecom - Services</c:v>
                </c:pt>
                <c:pt idx="15">
                  <c:v>IT - Hardware</c:v>
                </c:pt>
                <c:pt idx="16">
                  <c:v>Ferrous Metals</c:v>
                </c:pt>
                <c:pt idx="17">
                  <c:v>Retailing</c:v>
                </c:pt>
                <c:pt idx="18">
                  <c:v>Transport Services</c:v>
                </c:pt>
                <c:pt idx="19">
                  <c:v>Power</c:v>
                </c:pt>
                <c:pt idx="20">
                  <c:v>Diversified Metals</c:v>
                </c:pt>
                <c:pt idx="21">
                  <c:v>Petroleum Products</c:v>
                </c:pt>
                <c:pt idx="22">
                  <c:v>Leisure Services</c:v>
                </c:pt>
                <c:pt idx="23">
                  <c:v>IT - Services</c:v>
                </c:pt>
                <c:pt idx="24">
                  <c:v>Industrial Manufacturing</c:v>
                </c:pt>
                <c:pt idx="25">
                  <c:v>Food Products</c:v>
                </c:pt>
                <c:pt idx="26">
                  <c:v>Financial Technology (Fintech)</c:v>
                </c:pt>
                <c:pt idx="27">
                  <c:v>Construction</c:v>
                </c:pt>
                <c:pt idx="28">
                  <c:v>Beverages</c:v>
                </c:pt>
                <c:pt idx="29">
                  <c:v>Diversified</c:v>
                </c:pt>
                <c:pt idx="30">
                  <c:v>Aerospace &amp; Defense</c:v>
                </c:pt>
                <c:pt idx="31">
                  <c:v>Gas</c:v>
                </c:pt>
                <c:pt idx="32">
                  <c:v>IT - Software</c:v>
                </c:pt>
                <c:pt idx="33">
                  <c:v>Cement &amp; Cement Products</c:v>
                </c:pt>
                <c:pt idx="34">
                  <c:v>Non - Ferrous Metals</c:v>
                </c:pt>
                <c:pt idx="35">
                  <c:v>Fertilizers &amp; Agrochemicals</c:v>
                </c:pt>
                <c:pt idx="36">
                  <c:v>Telecom -  Equipment &amp; Accessories</c:v>
                </c:pt>
                <c:pt idx="37">
                  <c:v>Personal Products</c:v>
                </c:pt>
                <c:pt idx="38">
                  <c:v>Household Products</c:v>
                </c:pt>
                <c:pt idx="39">
                  <c:v>Oil</c:v>
                </c:pt>
                <c:pt idx="40">
                  <c:v>Miscellaneous</c:v>
                </c:pt>
                <c:pt idx="41">
                  <c:v>Minerals &amp; Mining</c:v>
                </c:pt>
                <c:pt idx="42">
                  <c:v>Paper, Forest &amp; Jute Products</c:v>
                </c:pt>
                <c:pt idx="43">
                  <c:v>Automobiles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9EE4-4B2F-B2FB-001A9407A2C5}"/>
            </c:ext>
          </c:extLst>
        </c:ser>
        <c:ser>
          <c:idx val="2"/>
          <c:order val="2"/>
          <c:tx>
            <c:strRef>
              <c:f>'BANDHAN FCF'!$C$4</c:f>
              <c:strCache>
                <c:ptCount val="1"/>
                <c:pt idx="0">
                  <c:v>Portfolio as on - (31st July 2024)</c:v>
                </c:pt>
              </c:strCache>
            </c:strRef>
          </c:tx>
          <c:invertIfNegative val="0"/>
          <c:cat>
            <c:strRef>
              <c:f>'BANDHAN SCF'!$W$8:$W$51</c:f>
              <c:strCache>
                <c:ptCount val="44"/>
                <c:pt idx="0">
                  <c:v>Finance</c:v>
                </c:pt>
                <c:pt idx="1">
                  <c:v>Pharmaceuticals &amp; Biotechnology</c:v>
                </c:pt>
                <c:pt idx="2">
                  <c:v>Banks</c:v>
                </c:pt>
                <c:pt idx="3">
                  <c:v>Capital Markets</c:v>
                </c:pt>
                <c:pt idx="4">
                  <c:v>Electrical Equipment</c:v>
                </c:pt>
                <c:pt idx="5">
                  <c:v>Realty</c:v>
                </c:pt>
                <c:pt idx="6">
                  <c:v>Consumer Durables</c:v>
                </c:pt>
                <c:pt idx="7">
                  <c:v>Textiles &amp; Apparels</c:v>
                </c:pt>
                <c:pt idx="8">
                  <c:v>Industrial Products</c:v>
                </c:pt>
                <c:pt idx="9">
                  <c:v>Chemicals &amp; Petrochemicals</c:v>
                </c:pt>
                <c:pt idx="10">
                  <c:v>Auto Components</c:v>
                </c:pt>
                <c:pt idx="11">
                  <c:v>Commercial Services &amp; Supplies</c:v>
                </c:pt>
                <c:pt idx="12">
                  <c:v>Healthcare Services</c:v>
                </c:pt>
                <c:pt idx="13">
                  <c:v>Agricultural Food &amp; other Products</c:v>
                </c:pt>
                <c:pt idx="14">
                  <c:v>Telecom - Services</c:v>
                </c:pt>
                <c:pt idx="15">
                  <c:v>IT - Hardware</c:v>
                </c:pt>
                <c:pt idx="16">
                  <c:v>Ferrous Metals</c:v>
                </c:pt>
                <c:pt idx="17">
                  <c:v>Retailing</c:v>
                </c:pt>
                <c:pt idx="18">
                  <c:v>Transport Services</c:v>
                </c:pt>
                <c:pt idx="19">
                  <c:v>Power</c:v>
                </c:pt>
                <c:pt idx="20">
                  <c:v>Diversified Metals</c:v>
                </c:pt>
                <c:pt idx="21">
                  <c:v>Petroleum Products</c:v>
                </c:pt>
                <c:pt idx="22">
                  <c:v>Leisure Services</c:v>
                </c:pt>
                <c:pt idx="23">
                  <c:v>IT - Services</c:v>
                </c:pt>
                <c:pt idx="24">
                  <c:v>Industrial Manufacturing</c:v>
                </c:pt>
                <c:pt idx="25">
                  <c:v>Food Products</c:v>
                </c:pt>
                <c:pt idx="26">
                  <c:v>Financial Technology (Fintech)</c:v>
                </c:pt>
                <c:pt idx="27">
                  <c:v>Construction</c:v>
                </c:pt>
                <c:pt idx="28">
                  <c:v>Beverages</c:v>
                </c:pt>
                <c:pt idx="29">
                  <c:v>Diversified</c:v>
                </c:pt>
                <c:pt idx="30">
                  <c:v>Aerospace &amp; Defense</c:v>
                </c:pt>
                <c:pt idx="31">
                  <c:v>Gas</c:v>
                </c:pt>
                <c:pt idx="32">
                  <c:v>IT - Software</c:v>
                </c:pt>
                <c:pt idx="33">
                  <c:v>Cement &amp; Cement Products</c:v>
                </c:pt>
                <c:pt idx="34">
                  <c:v>Non - Ferrous Metals</c:v>
                </c:pt>
                <c:pt idx="35">
                  <c:v>Fertilizers &amp; Agrochemicals</c:v>
                </c:pt>
                <c:pt idx="36">
                  <c:v>Telecom -  Equipment &amp; Accessories</c:v>
                </c:pt>
                <c:pt idx="37">
                  <c:v>Personal Products</c:v>
                </c:pt>
                <c:pt idx="38">
                  <c:v>Household Products</c:v>
                </c:pt>
                <c:pt idx="39">
                  <c:v>Oil</c:v>
                </c:pt>
                <c:pt idx="40">
                  <c:v>Miscellaneous</c:v>
                </c:pt>
                <c:pt idx="41">
                  <c:v>Minerals &amp; Mining</c:v>
                </c:pt>
                <c:pt idx="42">
                  <c:v>Paper, Forest &amp; Jute Products</c:v>
                </c:pt>
                <c:pt idx="43">
                  <c:v>Automobiles</c:v>
                </c:pt>
              </c:strCache>
            </c:strRef>
          </c:cat>
          <c:val>
            <c:numRef>
              <c:f>'BANDHAN FCF'!$C$5</c:f>
              <c:numCache>
                <c:formatCode>General</c:formatCode>
                <c:ptCount val="1"/>
                <c:pt idx="0">
                  <c:v>0</c:v>
                </c:pt>
              </c:numCache>
            </c:numRef>
          </c:val>
          <c:extLst>
            <c:ext xmlns:c16="http://schemas.microsoft.com/office/drawing/2014/chart" uri="{C3380CC4-5D6E-409C-BE32-E72D297353CC}">
              <c16:uniqueId val="{00000001-9EE4-4B2F-B2FB-001A9407A2C5}"/>
            </c:ext>
          </c:extLst>
        </c:ser>
        <c:ser>
          <c:idx val="3"/>
          <c:order val="3"/>
          <c:tx>
            <c:strRef>
              <c:f>'BANDHAN-USFOF'!$C$4</c:f>
              <c:strCache>
                <c:ptCount val="1"/>
                <c:pt idx="0">
                  <c:v>Portfolio as on - (31st July 2024)</c:v>
                </c:pt>
              </c:strCache>
            </c:strRef>
          </c:tx>
          <c:invertIfNegative val="0"/>
          <c:cat>
            <c:strRef>
              <c:f>'BANDHAN SCF'!$W$8:$W$51</c:f>
              <c:strCache>
                <c:ptCount val="44"/>
                <c:pt idx="0">
                  <c:v>Finance</c:v>
                </c:pt>
                <c:pt idx="1">
                  <c:v>Pharmaceuticals &amp; Biotechnology</c:v>
                </c:pt>
                <c:pt idx="2">
                  <c:v>Banks</c:v>
                </c:pt>
                <c:pt idx="3">
                  <c:v>Capital Markets</c:v>
                </c:pt>
                <c:pt idx="4">
                  <c:v>Electrical Equipment</c:v>
                </c:pt>
                <c:pt idx="5">
                  <c:v>Realty</c:v>
                </c:pt>
                <c:pt idx="6">
                  <c:v>Consumer Durables</c:v>
                </c:pt>
                <c:pt idx="7">
                  <c:v>Textiles &amp; Apparels</c:v>
                </c:pt>
                <c:pt idx="8">
                  <c:v>Industrial Products</c:v>
                </c:pt>
                <c:pt idx="9">
                  <c:v>Chemicals &amp; Petrochemicals</c:v>
                </c:pt>
                <c:pt idx="10">
                  <c:v>Auto Components</c:v>
                </c:pt>
                <c:pt idx="11">
                  <c:v>Commercial Services &amp; Supplies</c:v>
                </c:pt>
                <c:pt idx="12">
                  <c:v>Healthcare Services</c:v>
                </c:pt>
                <c:pt idx="13">
                  <c:v>Agricultural Food &amp; other Products</c:v>
                </c:pt>
                <c:pt idx="14">
                  <c:v>Telecom - Services</c:v>
                </c:pt>
                <c:pt idx="15">
                  <c:v>IT - Hardware</c:v>
                </c:pt>
                <c:pt idx="16">
                  <c:v>Ferrous Metals</c:v>
                </c:pt>
                <c:pt idx="17">
                  <c:v>Retailing</c:v>
                </c:pt>
                <c:pt idx="18">
                  <c:v>Transport Services</c:v>
                </c:pt>
                <c:pt idx="19">
                  <c:v>Power</c:v>
                </c:pt>
                <c:pt idx="20">
                  <c:v>Diversified Metals</c:v>
                </c:pt>
                <c:pt idx="21">
                  <c:v>Petroleum Products</c:v>
                </c:pt>
                <c:pt idx="22">
                  <c:v>Leisure Services</c:v>
                </c:pt>
                <c:pt idx="23">
                  <c:v>IT - Services</c:v>
                </c:pt>
                <c:pt idx="24">
                  <c:v>Industrial Manufacturing</c:v>
                </c:pt>
                <c:pt idx="25">
                  <c:v>Food Products</c:v>
                </c:pt>
                <c:pt idx="26">
                  <c:v>Financial Technology (Fintech)</c:v>
                </c:pt>
                <c:pt idx="27">
                  <c:v>Construction</c:v>
                </c:pt>
                <c:pt idx="28">
                  <c:v>Beverages</c:v>
                </c:pt>
                <c:pt idx="29">
                  <c:v>Diversified</c:v>
                </c:pt>
                <c:pt idx="30">
                  <c:v>Aerospace &amp; Defense</c:v>
                </c:pt>
                <c:pt idx="31">
                  <c:v>Gas</c:v>
                </c:pt>
                <c:pt idx="32">
                  <c:v>IT - Software</c:v>
                </c:pt>
                <c:pt idx="33">
                  <c:v>Cement &amp; Cement Products</c:v>
                </c:pt>
                <c:pt idx="34">
                  <c:v>Non - Ferrous Metals</c:v>
                </c:pt>
                <c:pt idx="35">
                  <c:v>Fertilizers &amp; Agrochemicals</c:v>
                </c:pt>
                <c:pt idx="36">
                  <c:v>Telecom -  Equipment &amp; Accessories</c:v>
                </c:pt>
                <c:pt idx="37">
                  <c:v>Personal Products</c:v>
                </c:pt>
                <c:pt idx="38">
                  <c:v>Household Products</c:v>
                </c:pt>
                <c:pt idx="39">
                  <c:v>Oil</c:v>
                </c:pt>
                <c:pt idx="40">
                  <c:v>Miscellaneous</c:v>
                </c:pt>
                <c:pt idx="41">
                  <c:v>Minerals &amp; Mining</c:v>
                </c:pt>
                <c:pt idx="42">
                  <c:v>Paper, Forest &amp; Jute Products</c:v>
                </c:pt>
                <c:pt idx="43">
                  <c:v>Automobiles</c:v>
                </c:pt>
              </c:strCache>
            </c:strRef>
          </c:cat>
          <c:val>
            <c:numRef>
              <c:f>'BANDHAN-USFOF'!$C$5</c:f>
              <c:numCache>
                <c:formatCode>General</c:formatCode>
                <c:ptCount val="1"/>
                <c:pt idx="0">
                  <c:v>0</c:v>
                </c:pt>
              </c:numCache>
            </c:numRef>
          </c:val>
          <c:extLst>
            <c:ext xmlns:c16="http://schemas.microsoft.com/office/drawing/2014/chart" uri="{C3380CC4-5D6E-409C-BE32-E72D297353CC}">
              <c16:uniqueId val="{00000000-3D2C-4A7B-AF7C-82A145680A12}"/>
            </c:ext>
          </c:extLst>
        </c:ser>
        <c:dLbls>
          <c:showLegendKey val="0"/>
          <c:showVal val="0"/>
          <c:showCatName val="0"/>
          <c:showSerName val="0"/>
          <c:showPercent val="0"/>
          <c:showBubbleSize val="0"/>
        </c:dLbls>
        <c:gapWidth val="150"/>
        <c:axId val="154933248"/>
        <c:axId val="155010176"/>
      </c:barChart>
      <c:catAx>
        <c:axId val="15493324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0176"/>
        <c:crosses val="autoZero"/>
        <c:auto val="1"/>
        <c:lblAlgn val="ctr"/>
        <c:lblOffset val="100"/>
        <c:tickLblSkip val="1"/>
        <c:noMultiLvlLbl val="0"/>
      </c:catAx>
      <c:valAx>
        <c:axId val="1550101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493324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418-43C6-9B13-9F9B4F46A06F}"/>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18-43C6-9B13-9F9B4F46A06F}"/>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18-43C6-9B13-9F9B4F46A06F}"/>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18-43C6-9B13-9F9B4F46A06F}"/>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18-43C6-9B13-9F9B4F46A06F}"/>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18-43C6-9B13-9F9B4F46A06F}"/>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18-43C6-9B13-9F9B4F46A06F}"/>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418-43C6-9B13-9F9B4F46A06F}"/>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418-43C6-9B13-9F9B4F46A06F}"/>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418-43C6-9B13-9F9B4F46A06F}"/>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418-43C6-9B13-9F9B4F46A06F}"/>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0-A1BB-4553-A740-FB3509C9DB6B}"/>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1-A1BB-4553-A740-FB3509C9DB6B}"/>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IF'!$W$8:$W$27</c:f>
              <c:strCache>
                <c:ptCount val="20"/>
                <c:pt idx="0">
                  <c:v>Construction</c:v>
                </c:pt>
                <c:pt idx="1">
                  <c:v>Industrial Products</c:v>
                </c:pt>
                <c:pt idx="2">
                  <c:v>Power</c:v>
                </c:pt>
                <c:pt idx="3">
                  <c:v>Telecom - Services</c:v>
                </c:pt>
                <c:pt idx="4">
                  <c:v>Electrical Equipment</c:v>
                </c:pt>
                <c:pt idx="5">
                  <c:v>Cement &amp; Cement Products</c:v>
                </c:pt>
                <c:pt idx="6">
                  <c:v>Auto Components</c:v>
                </c:pt>
                <c:pt idx="7">
                  <c:v>Transport Infrastructure</c:v>
                </c:pt>
                <c:pt idx="8">
                  <c:v>Finance</c:v>
                </c:pt>
                <c:pt idx="9">
                  <c:v>Aerospace &amp; Defense</c:v>
                </c:pt>
                <c:pt idx="10">
                  <c:v>Transport Services</c:v>
                </c:pt>
                <c:pt idx="11">
                  <c:v>Petroleum Products</c:v>
                </c:pt>
                <c:pt idx="12">
                  <c:v>Ferrous Metals</c:v>
                </c:pt>
                <c:pt idx="13">
                  <c:v>Industrial Manufacturing</c:v>
                </c:pt>
                <c:pt idx="14">
                  <c:v>Gas</c:v>
                </c:pt>
                <c:pt idx="15">
                  <c:v>Diversified</c:v>
                </c:pt>
                <c:pt idx="16">
                  <c:v>Chemicals &amp; Petrochemicals</c:v>
                </c:pt>
                <c:pt idx="17">
                  <c:v>Healthcare Services</c:v>
                </c:pt>
                <c:pt idx="18">
                  <c:v>Leisure Services</c:v>
                </c:pt>
                <c:pt idx="19">
                  <c:v>Non - Ferrous Metals</c:v>
                </c:pt>
              </c:strCache>
            </c:strRef>
          </c:cat>
          <c:val>
            <c:numRef>
              <c:f>'BANDHAN IF'!$X$8:$X$27</c:f>
              <c:numCache>
                <c:formatCode>0.00%</c:formatCode>
                <c:ptCount val="20"/>
                <c:pt idx="0">
                  <c:v>0.21407600000000002</c:v>
                </c:pt>
                <c:pt idx="1">
                  <c:v>7.4854000000000004E-2</c:v>
                </c:pt>
                <c:pt idx="2">
                  <c:v>6.4791000000000001E-2</c:v>
                </c:pt>
                <c:pt idx="3">
                  <c:v>6.2490000000000004E-2</c:v>
                </c:pt>
                <c:pt idx="4">
                  <c:v>5.8445999999999998E-2</c:v>
                </c:pt>
                <c:pt idx="5">
                  <c:v>4.8659000000000001E-2</c:v>
                </c:pt>
                <c:pt idx="6">
                  <c:v>4.2275E-2</c:v>
                </c:pt>
                <c:pt idx="7">
                  <c:v>3.5307999999999999E-2</c:v>
                </c:pt>
                <c:pt idx="8">
                  <c:v>3.0970000000000001E-2</c:v>
                </c:pt>
                <c:pt idx="9">
                  <c:v>2.7942999999999999E-2</c:v>
                </c:pt>
                <c:pt idx="10">
                  <c:v>2.5271999999999999E-2</c:v>
                </c:pt>
                <c:pt idx="11">
                  <c:v>2.5078E-2</c:v>
                </c:pt>
                <c:pt idx="12">
                  <c:v>2.3844999999999998E-2</c:v>
                </c:pt>
                <c:pt idx="13">
                  <c:v>2.3342999999999999E-2</c:v>
                </c:pt>
                <c:pt idx="14">
                  <c:v>2.1517000000000001E-2</c:v>
                </c:pt>
                <c:pt idx="15">
                  <c:v>2.1124E-2</c:v>
                </c:pt>
                <c:pt idx="16">
                  <c:v>1.4967000000000001E-2</c:v>
                </c:pt>
                <c:pt idx="17">
                  <c:v>1.38E-2</c:v>
                </c:pt>
                <c:pt idx="18">
                  <c:v>4.6090000000000002E-3</c:v>
                </c:pt>
                <c:pt idx="19">
                  <c:v>2.2690000000000002E-3</c:v>
                </c:pt>
              </c:numCache>
            </c:numRef>
          </c:val>
          <c:extLst>
            <c:ext xmlns:c16="http://schemas.microsoft.com/office/drawing/2014/chart" uri="{C3380CC4-5D6E-409C-BE32-E72D297353CC}">
              <c16:uniqueId val="{0000000D-5418-43C6-9B13-9F9B4F46A06F}"/>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TLF'!$X$7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4A-4AF9-822B-F70F8680932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4A-4AF9-822B-F70F8680932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4A-4AF9-822B-F70F8680932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4A-4AF9-822B-F70F8680932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4A-4AF9-822B-F70F8680932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C4A-4AF9-822B-F70F8680932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4A-4AF9-822B-F70F8680932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C4A-4AF9-822B-F70F8680932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C4A-4AF9-822B-F70F8680932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C4A-4AF9-822B-F70F8680932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C4A-4AF9-822B-F70F8680932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C4A-4AF9-822B-F70F8680932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C4A-4AF9-822B-F70F8680932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C4A-4AF9-822B-F70F8680932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C4A-4AF9-822B-F70F8680932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C4A-4AF9-822B-F70F8680932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C4A-4AF9-822B-F70F8680932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C4A-4AF9-822B-F70F8680932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TLF'!$W$8:$W$16</c:f>
              <c:strCache>
                <c:ptCount val="9"/>
                <c:pt idx="0">
                  <c:v>Automobiles</c:v>
                </c:pt>
                <c:pt idx="1">
                  <c:v>Auto Components</c:v>
                </c:pt>
                <c:pt idx="2">
                  <c:v>Transport Services</c:v>
                </c:pt>
                <c:pt idx="3">
                  <c:v>Finance</c:v>
                </c:pt>
                <c:pt idx="4">
                  <c:v>Agricultural, Commercial &amp; Construction Vehicles</c:v>
                </c:pt>
                <c:pt idx="5">
                  <c:v>Retailing</c:v>
                </c:pt>
                <c:pt idx="6">
                  <c:v>Leisure Services</c:v>
                </c:pt>
                <c:pt idx="7">
                  <c:v>Industrial Products</c:v>
                </c:pt>
                <c:pt idx="8">
                  <c:v>Consumer Durables</c:v>
                </c:pt>
              </c:strCache>
            </c:strRef>
          </c:cat>
          <c:val>
            <c:numRef>
              <c:f>'BANDHAN TLF'!$X$8:$X$16</c:f>
              <c:numCache>
                <c:formatCode>0.00%</c:formatCode>
                <c:ptCount val="9"/>
                <c:pt idx="0">
                  <c:v>0.39615699999999998</c:v>
                </c:pt>
                <c:pt idx="1">
                  <c:v>0.31356200000000001</c:v>
                </c:pt>
                <c:pt idx="2">
                  <c:v>0.123486</c:v>
                </c:pt>
                <c:pt idx="3">
                  <c:v>3.6317000000000002E-2</c:v>
                </c:pt>
                <c:pt idx="4">
                  <c:v>2.1087999999999999E-2</c:v>
                </c:pt>
                <c:pt idx="5">
                  <c:v>1.9323E-2</c:v>
                </c:pt>
                <c:pt idx="6">
                  <c:v>1.6532999999999999E-2</c:v>
                </c:pt>
                <c:pt idx="7">
                  <c:v>1.3213000000000001E-2</c:v>
                </c:pt>
                <c:pt idx="8">
                  <c:v>1.03E-4</c:v>
                </c:pt>
              </c:numCache>
            </c:numRef>
          </c:val>
          <c:extLst>
            <c:ext xmlns:c16="http://schemas.microsoft.com/office/drawing/2014/chart" uri="{C3380CC4-5D6E-409C-BE32-E72D297353CC}">
              <c16:uniqueId val="{00000012-5C4A-4AF9-822B-F70F8680932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FSF'!$X$7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E3-4EEB-B630-B9314AF5FD1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E3-4EEB-B630-B9314AF5FD1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E3-4EEB-B630-B9314AF5FD1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E3-4EEB-B630-B9314AF5FD1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E3-4EEB-B630-B9314AF5FD1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AE3-4EEB-B630-B9314AF5FD1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AE3-4EEB-B630-B9314AF5FD1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AE3-4EEB-B630-B9314AF5FD1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AE3-4EEB-B630-B9314AF5FD1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AE3-4EEB-B630-B9314AF5FD1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AE3-4EEB-B630-B9314AF5FD1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AE3-4EEB-B630-B9314AF5FD1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AE3-4EEB-B630-B9314AF5FD1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AE3-4EEB-B630-B9314AF5FD1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AE3-4EEB-B630-B9314AF5FD1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3AE3-4EEB-B630-B9314AF5FD1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AE3-4EEB-B630-B9314AF5FD1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3AE3-4EEB-B630-B9314AF5FD1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FSF'!$W$8:$W$12</c:f>
              <c:strCache>
                <c:ptCount val="5"/>
                <c:pt idx="0">
                  <c:v>Banks</c:v>
                </c:pt>
                <c:pt idx="1">
                  <c:v>Finance</c:v>
                </c:pt>
                <c:pt idx="2">
                  <c:v>Capital Markets</c:v>
                </c:pt>
                <c:pt idx="3">
                  <c:v>Insurance</c:v>
                </c:pt>
                <c:pt idx="4">
                  <c:v>Financial Technology (Fintech)</c:v>
                </c:pt>
              </c:strCache>
            </c:strRef>
          </c:cat>
          <c:val>
            <c:numRef>
              <c:f>'BANDHAN FSF'!$X$8:$X$12</c:f>
              <c:numCache>
                <c:formatCode>0.00%</c:formatCode>
                <c:ptCount val="5"/>
                <c:pt idx="0">
                  <c:v>0.49004999999999999</c:v>
                </c:pt>
                <c:pt idx="1">
                  <c:v>0.25551599999999997</c:v>
                </c:pt>
                <c:pt idx="2">
                  <c:v>8.932699999999999E-2</c:v>
                </c:pt>
                <c:pt idx="3">
                  <c:v>8.8314000000000004E-2</c:v>
                </c:pt>
                <c:pt idx="4">
                  <c:v>3.3250000000000002E-2</c:v>
                </c:pt>
              </c:numCache>
            </c:numRef>
          </c:val>
          <c:extLst>
            <c:ext xmlns:c16="http://schemas.microsoft.com/office/drawing/2014/chart" uri="{C3380CC4-5D6E-409C-BE32-E72D297353CC}">
              <c16:uniqueId val="{00000012-3AE3-4EEB-B630-B9314AF5FD1C}"/>
            </c:ext>
          </c:extLst>
        </c:ser>
        <c:ser>
          <c:idx val="1"/>
          <c:order val="1"/>
          <c:tx>
            <c:strRef>
              <c:f>'BANDHAN TLF'!$C$4</c:f>
              <c:strCache>
                <c:ptCount val="1"/>
                <c:pt idx="0">
                  <c:v>Portfolio as on - (31st July 2024)</c:v>
                </c:pt>
              </c:strCache>
            </c:strRef>
          </c:tx>
          <c:invertIfNegative val="0"/>
          <c:cat>
            <c:strRef>
              <c:f>'BANDHAN FSF'!$W$8:$W$12</c:f>
              <c:strCache>
                <c:ptCount val="5"/>
                <c:pt idx="0">
                  <c:v>Banks</c:v>
                </c:pt>
                <c:pt idx="1">
                  <c:v>Finance</c:v>
                </c:pt>
                <c:pt idx="2">
                  <c:v>Capital Markets</c:v>
                </c:pt>
                <c:pt idx="3">
                  <c:v>Insurance</c:v>
                </c:pt>
                <c:pt idx="4">
                  <c:v>Financial Technology (Fintech)</c:v>
                </c:pt>
              </c:strCache>
            </c:strRef>
          </c:cat>
          <c:val>
            <c:numRef>
              <c:f>'BANDHAN TLF'!$C$5</c:f>
              <c:numCache>
                <c:formatCode>General</c:formatCode>
                <c:ptCount val="1"/>
                <c:pt idx="0">
                  <c:v>0</c:v>
                </c:pt>
              </c:numCache>
            </c:numRef>
          </c:val>
          <c:extLst>
            <c:ext xmlns:c16="http://schemas.microsoft.com/office/drawing/2014/chart" uri="{C3380CC4-5D6E-409C-BE32-E72D297353CC}">
              <c16:uniqueId val="{00000001-6033-4E3A-B55C-8750633880BB}"/>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3809523809523812E-2"/>
          <c:y val="1.6913319238900808E-2"/>
          <c:w val="0.96726190476189999"/>
          <c:h val="0.71575371377546881"/>
        </c:manualLayout>
      </c:layout>
      <c:barChart>
        <c:barDir val="col"/>
        <c:grouping val="clustered"/>
        <c:varyColors val="0"/>
        <c:ser>
          <c:idx val="0"/>
          <c:order val="0"/>
          <c:tx>
            <c:strRef>
              <c:f>'BANDHAN INNOV'!$X$7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944-4F14-B58A-5C02258C4E5E}"/>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944-4F14-B58A-5C02258C4E5E}"/>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944-4F14-B58A-5C02258C4E5E}"/>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44-4F14-B58A-5C02258C4E5E}"/>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44-4F14-B58A-5C02258C4E5E}"/>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44-4F14-B58A-5C02258C4E5E}"/>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44-4F14-B58A-5C02258C4E5E}"/>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44-4F14-B58A-5C02258C4E5E}"/>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44-4F14-B58A-5C02258C4E5E}"/>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44-4F14-B58A-5C02258C4E5E}"/>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44-4F14-B58A-5C02258C4E5E}"/>
                </c:ext>
              </c:extLst>
            </c:dLbl>
            <c:dLbl>
              <c:idx val="14"/>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B-1944-4F14-B58A-5C02258C4E5E}"/>
                </c:ext>
              </c:extLst>
            </c:dLbl>
            <c:dLbl>
              <c:idx val="15"/>
              <c:numFmt formatCode="0.00%" sourceLinked="0"/>
              <c:spPr/>
              <c:txPr>
                <a:bodyPr/>
                <a:lstStyle/>
                <a:p>
                  <a:pPr>
                    <a:defRPr lang="en-IN"/>
                  </a:pPr>
                  <a:endParaRPr lang="en-US"/>
                </a:p>
              </c:txPr>
              <c:showLegendKey val="0"/>
              <c:showVal val="1"/>
              <c:showCatName val="0"/>
              <c:showSerName val="0"/>
              <c:showPercent val="0"/>
              <c:showBubbleSize val="0"/>
              <c:extLst>
                <c:ext xmlns:c16="http://schemas.microsoft.com/office/drawing/2014/chart" uri="{C3380CC4-5D6E-409C-BE32-E72D297353CC}">
                  <c16:uniqueId val="{0000000C-1944-4F14-B58A-5C02258C4E5E}"/>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INNOV'!$W$8:$W$41</c:f>
              <c:strCache>
                <c:ptCount val="34"/>
                <c:pt idx="0">
                  <c:v>Pharmaceuticals &amp; Biotechnology</c:v>
                </c:pt>
                <c:pt idx="1">
                  <c:v>Retailing</c:v>
                </c:pt>
                <c:pt idx="2">
                  <c:v>Finance</c:v>
                </c:pt>
                <c:pt idx="3">
                  <c:v>Electrical Equipment</c:v>
                </c:pt>
                <c:pt idx="4">
                  <c:v>Chemicals &amp; Petrochemicals</c:v>
                </c:pt>
                <c:pt idx="5">
                  <c:v>Telecom - Services</c:v>
                </c:pt>
                <c:pt idx="6">
                  <c:v>Industrial Manufacturing</c:v>
                </c:pt>
                <c:pt idx="7">
                  <c:v>Healthcare Services</c:v>
                </c:pt>
                <c:pt idx="8">
                  <c:v>Financial Technology (Fintech)</c:v>
                </c:pt>
                <c:pt idx="9">
                  <c:v>Capital Markets</c:v>
                </c:pt>
                <c:pt idx="10">
                  <c:v>IT - Services</c:v>
                </c:pt>
                <c:pt idx="11">
                  <c:v>Leisure Services</c:v>
                </c:pt>
                <c:pt idx="12">
                  <c:v>Auto Components</c:v>
                </c:pt>
                <c:pt idx="13">
                  <c:v>IT - Software</c:v>
                </c:pt>
                <c:pt idx="14">
                  <c:v>Insurance</c:v>
                </c:pt>
                <c:pt idx="15">
                  <c:v>Consumer Durables</c:v>
                </c:pt>
                <c:pt idx="16">
                  <c:v>Industrial Products</c:v>
                </c:pt>
                <c:pt idx="17">
                  <c:v>Transport Services</c:v>
                </c:pt>
                <c:pt idx="18">
                  <c:v>Cement &amp; Cement Products</c:v>
                </c:pt>
                <c:pt idx="19">
                  <c:v>Beverages</c:v>
                </c:pt>
                <c:pt idx="20">
                  <c:v>Petroleum Products</c:v>
                </c:pt>
                <c:pt idx="21">
                  <c:v>Aerospace &amp; Defense</c:v>
                </c:pt>
                <c:pt idx="22">
                  <c:v>Fertilizers &amp; Agrochemicals</c:v>
                </c:pt>
                <c:pt idx="23">
                  <c:v>Automobiles</c:v>
                </c:pt>
                <c:pt idx="24">
                  <c:v>Diversified</c:v>
                </c:pt>
                <c:pt idx="25">
                  <c:v>Entertainment</c:v>
                </c:pt>
                <c:pt idx="26">
                  <c:v>IT - Hardware</c:v>
                </c:pt>
                <c:pt idx="27">
                  <c:v>Realty</c:v>
                </c:pt>
                <c:pt idx="28">
                  <c:v>Power</c:v>
                </c:pt>
                <c:pt idx="29">
                  <c:v>Banks</c:v>
                </c:pt>
                <c:pt idx="30">
                  <c:v>Construction</c:v>
                </c:pt>
                <c:pt idx="31">
                  <c:v>Diversified Metals</c:v>
                </c:pt>
                <c:pt idx="32">
                  <c:v>Oil</c:v>
                </c:pt>
                <c:pt idx="33">
                  <c:v>Paper, Forest &amp; Jute Products</c:v>
                </c:pt>
              </c:strCache>
            </c:strRef>
          </c:cat>
          <c:val>
            <c:numRef>
              <c:f>'BANDHAN INNOV'!$X$8:$X$41</c:f>
              <c:numCache>
                <c:formatCode>0.00%</c:formatCode>
                <c:ptCount val="34"/>
                <c:pt idx="0">
                  <c:v>0.118823</c:v>
                </c:pt>
                <c:pt idx="1">
                  <c:v>7.6872999999999997E-2</c:v>
                </c:pt>
                <c:pt idx="2">
                  <c:v>6.6840999999999984E-2</c:v>
                </c:pt>
                <c:pt idx="3">
                  <c:v>4.7682000000000002E-2</c:v>
                </c:pt>
                <c:pt idx="4">
                  <c:v>3.9437E-2</c:v>
                </c:pt>
                <c:pt idx="5">
                  <c:v>3.9079000000000003E-2</c:v>
                </c:pt>
                <c:pt idx="6">
                  <c:v>3.8705000000000003E-2</c:v>
                </c:pt>
                <c:pt idx="7">
                  <c:v>3.6226000000000001E-2</c:v>
                </c:pt>
                <c:pt idx="8">
                  <c:v>3.2426000000000003E-2</c:v>
                </c:pt>
                <c:pt idx="9">
                  <c:v>3.0169000000000001E-2</c:v>
                </c:pt>
                <c:pt idx="10">
                  <c:v>2.8624999999999998E-2</c:v>
                </c:pt>
                <c:pt idx="11">
                  <c:v>2.8407000000000002E-2</c:v>
                </c:pt>
                <c:pt idx="12">
                  <c:v>2.8329E-2</c:v>
                </c:pt>
                <c:pt idx="13">
                  <c:v>2.6009999999999998E-2</c:v>
                </c:pt>
                <c:pt idx="14">
                  <c:v>2.5021000000000002E-2</c:v>
                </c:pt>
                <c:pt idx="15">
                  <c:v>2.4896999999999999E-2</c:v>
                </c:pt>
                <c:pt idx="16">
                  <c:v>2.4582E-2</c:v>
                </c:pt>
                <c:pt idx="17">
                  <c:v>2.3786999999999999E-2</c:v>
                </c:pt>
                <c:pt idx="18">
                  <c:v>2.3241999999999999E-2</c:v>
                </c:pt>
                <c:pt idx="19">
                  <c:v>2.1968000000000001E-2</c:v>
                </c:pt>
                <c:pt idx="20">
                  <c:v>1.6289000000000001E-2</c:v>
                </c:pt>
                <c:pt idx="21">
                  <c:v>1.5311999999999999E-2</c:v>
                </c:pt>
                <c:pt idx="22">
                  <c:v>1.4413E-2</c:v>
                </c:pt>
                <c:pt idx="23">
                  <c:v>1.3814E-2</c:v>
                </c:pt>
                <c:pt idx="24">
                  <c:v>1.3759E-2</c:v>
                </c:pt>
                <c:pt idx="25">
                  <c:v>1.2229E-2</c:v>
                </c:pt>
                <c:pt idx="26">
                  <c:v>1.1778E-2</c:v>
                </c:pt>
                <c:pt idx="27">
                  <c:v>1.1071000000000001E-2</c:v>
                </c:pt>
                <c:pt idx="28">
                  <c:v>9.9950000000000004E-3</c:v>
                </c:pt>
                <c:pt idx="29">
                  <c:v>9.776E-3</c:v>
                </c:pt>
                <c:pt idx="30">
                  <c:v>9.5630000000000003E-3</c:v>
                </c:pt>
                <c:pt idx="31">
                  <c:v>8.1069999999999996E-3</c:v>
                </c:pt>
                <c:pt idx="32">
                  <c:v>4.6290000000000003E-3</c:v>
                </c:pt>
                <c:pt idx="33">
                  <c:v>3.0469999999999998E-3</c:v>
                </c:pt>
              </c:numCache>
            </c:numRef>
          </c:val>
          <c:extLst>
            <c:ext xmlns:c16="http://schemas.microsoft.com/office/drawing/2014/chart" uri="{C3380CC4-5D6E-409C-BE32-E72D297353CC}">
              <c16:uniqueId val="{0000000D-1944-4F14-B58A-5C02258C4E5E}"/>
            </c:ext>
          </c:extLst>
        </c:ser>
        <c:dLbls>
          <c:showLegendKey val="0"/>
          <c:showVal val="0"/>
          <c:showCatName val="0"/>
          <c:showSerName val="0"/>
          <c:showPercent val="0"/>
          <c:showBubbleSize val="0"/>
        </c:dLbls>
        <c:gapWidth val="150"/>
        <c:axId val="155862528"/>
        <c:axId val="155015360"/>
      </c:barChart>
      <c:catAx>
        <c:axId val="155862528"/>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015360"/>
        <c:crosses val="autoZero"/>
        <c:auto val="1"/>
        <c:lblAlgn val="ctr"/>
        <c:lblOffset val="100"/>
        <c:tickLblSkip val="1"/>
        <c:noMultiLvlLbl val="0"/>
      </c:catAx>
      <c:valAx>
        <c:axId val="1550153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2528"/>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33" l="0.70000000000000062" r="0.70000000000000062" t="0.75000000000000533"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0447761194029853E-2"/>
          <c:y val="1.86251968503937E-2"/>
          <c:w val="0.9674074074074076"/>
          <c:h val="0.70582053707929593"/>
        </c:manualLayout>
      </c:layout>
      <c:barChart>
        <c:barDir val="col"/>
        <c:grouping val="clustered"/>
        <c:varyColors val="0"/>
        <c:ser>
          <c:idx val="0"/>
          <c:order val="0"/>
          <c:tx>
            <c:strRef>
              <c:f>'BANDHAN-TAF'!$X$7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4F-4540-9025-B40643C5A88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4F-4540-9025-B40643C5A88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4F-4540-9025-B40643C5A88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4F-4540-9025-B40643C5A88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4F-4540-9025-B40643C5A88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24F-4540-9025-B40643C5A88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24F-4540-9025-B40643C5A88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24F-4540-9025-B40643C5A88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24F-4540-9025-B40643C5A88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24F-4540-9025-B40643C5A88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24F-4540-9025-B40643C5A88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24F-4540-9025-B40643C5A88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24F-4540-9025-B40643C5A88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24F-4540-9025-B40643C5A88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'BANDHAN-TAF'!$W$8:$W$37</c:f>
              <c:strCache>
                <c:ptCount val="30"/>
                <c:pt idx="0">
                  <c:v>Banks</c:v>
                </c:pt>
                <c:pt idx="1">
                  <c:v>IT - Software</c:v>
                </c:pt>
                <c:pt idx="2">
                  <c:v>Pharmaceuticals &amp; Biotechnology</c:v>
                </c:pt>
                <c:pt idx="3">
                  <c:v>Construction</c:v>
                </c:pt>
                <c:pt idx="4">
                  <c:v>Automobiles</c:v>
                </c:pt>
                <c:pt idx="5">
                  <c:v>Petroleum Products</c:v>
                </c:pt>
                <c:pt idx="6">
                  <c:v>Auto Components</c:v>
                </c:pt>
                <c:pt idx="7">
                  <c:v>Insurance</c:v>
                </c:pt>
                <c:pt idx="8">
                  <c:v>Ferrous Metals</c:v>
                </c:pt>
                <c:pt idx="9">
                  <c:v>Power</c:v>
                </c:pt>
                <c:pt idx="10">
                  <c:v>Finance</c:v>
                </c:pt>
                <c:pt idx="11">
                  <c:v>Leisure Services</c:v>
                </c:pt>
                <c:pt idx="12">
                  <c:v>Beverages</c:v>
                </c:pt>
                <c:pt idx="13">
                  <c:v>Telecom - Services</c:v>
                </c:pt>
                <c:pt idx="14">
                  <c:v>Retailing</c:v>
                </c:pt>
                <c:pt idx="15">
                  <c:v>Electrical Equipment</c:v>
                </c:pt>
                <c:pt idx="16">
                  <c:v>Realty</c:v>
                </c:pt>
                <c:pt idx="17">
                  <c:v>Cement &amp; Cement Products</c:v>
                </c:pt>
                <c:pt idx="18">
                  <c:v>Diversified FMCG</c:v>
                </c:pt>
                <c:pt idx="19">
                  <c:v>Consumer Durables</c:v>
                </c:pt>
                <c:pt idx="20">
                  <c:v>Non - Ferrous Metals</c:v>
                </c:pt>
                <c:pt idx="21">
                  <c:v>Personal Products</c:v>
                </c:pt>
                <c:pt idx="22">
                  <c:v>Food Products</c:v>
                </c:pt>
                <c:pt idx="23">
                  <c:v>Transport Services</c:v>
                </c:pt>
                <c:pt idx="24">
                  <c:v>Consumable Fuels</c:v>
                </c:pt>
                <c:pt idx="25">
                  <c:v>Chemicals &amp; Petrochemicals</c:v>
                </c:pt>
                <c:pt idx="26">
                  <c:v>Diversified Metals</c:v>
                </c:pt>
                <c:pt idx="27">
                  <c:v>Telecom -  Equipment &amp; Accessories</c:v>
                </c:pt>
                <c:pt idx="28">
                  <c:v>Industrial Products</c:v>
                </c:pt>
                <c:pt idx="29">
                  <c:v>Oil</c:v>
                </c:pt>
              </c:strCache>
            </c:strRef>
          </c:cat>
          <c:val>
            <c:numRef>
              <c:f>'BANDHAN-TAF'!$X$8:$X$37</c:f>
              <c:numCache>
                <c:formatCode>0.00%</c:formatCode>
                <c:ptCount val="30"/>
                <c:pt idx="0">
                  <c:v>0.18914699999999998</c:v>
                </c:pt>
                <c:pt idx="1">
                  <c:v>9.4603000000000007E-2</c:v>
                </c:pt>
                <c:pt idx="2">
                  <c:v>9.1439999999999994E-2</c:v>
                </c:pt>
                <c:pt idx="3">
                  <c:v>5.7241E-2</c:v>
                </c:pt>
                <c:pt idx="4">
                  <c:v>4.8908000000000007E-2</c:v>
                </c:pt>
                <c:pt idx="5">
                  <c:v>4.8231999999999997E-2</c:v>
                </c:pt>
                <c:pt idx="6">
                  <c:v>3.7724999999999995E-2</c:v>
                </c:pt>
                <c:pt idx="7">
                  <c:v>3.6070000000000005E-2</c:v>
                </c:pt>
                <c:pt idx="8">
                  <c:v>3.3245999999999998E-2</c:v>
                </c:pt>
                <c:pt idx="9">
                  <c:v>3.1425999999999996E-2</c:v>
                </c:pt>
                <c:pt idx="10">
                  <c:v>2.8270999999999998E-2</c:v>
                </c:pt>
                <c:pt idx="11">
                  <c:v>2.7703999999999999E-2</c:v>
                </c:pt>
                <c:pt idx="12">
                  <c:v>2.6137000000000001E-2</c:v>
                </c:pt>
                <c:pt idx="13">
                  <c:v>2.4933E-2</c:v>
                </c:pt>
                <c:pt idx="14">
                  <c:v>2.3861E-2</c:v>
                </c:pt>
                <c:pt idx="15">
                  <c:v>2.3726000000000001E-2</c:v>
                </c:pt>
                <c:pt idx="16">
                  <c:v>2.1490000000000002E-2</c:v>
                </c:pt>
                <c:pt idx="17">
                  <c:v>1.8244E-2</c:v>
                </c:pt>
                <c:pt idx="18">
                  <c:v>1.7250999999999999E-2</c:v>
                </c:pt>
                <c:pt idx="19">
                  <c:v>1.6111E-2</c:v>
                </c:pt>
                <c:pt idx="20">
                  <c:v>1.3991E-2</c:v>
                </c:pt>
                <c:pt idx="21">
                  <c:v>1.2397E-2</c:v>
                </c:pt>
                <c:pt idx="22">
                  <c:v>1.1519E-2</c:v>
                </c:pt>
                <c:pt idx="23">
                  <c:v>9.8209999999999999E-3</c:v>
                </c:pt>
                <c:pt idx="24">
                  <c:v>8.7290000000000006E-3</c:v>
                </c:pt>
                <c:pt idx="25">
                  <c:v>8.6149999999999994E-3</c:v>
                </c:pt>
                <c:pt idx="26">
                  <c:v>7.221E-3</c:v>
                </c:pt>
                <c:pt idx="27">
                  <c:v>6.9230000000000003E-3</c:v>
                </c:pt>
                <c:pt idx="28">
                  <c:v>6.6719999999999991E-3</c:v>
                </c:pt>
                <c:pt idx="29">
                  <c:v>2.3280000000000002E-3</c:v>
                </c:pt>
              </c:numCache>
            </c:numRef>
          </c:val>
          <c:extLst>
            <c:ext xmlns:c16="http://schemas.microsoft.com/office/drawing/2014/chart" uri="{C3380CC4-5D6E-409C-BE32-E72D297353CC}">
              <c16:uniqueId val="{0000000E-924F-4540-9025-B40643C5A880}"/>
            </c:ext>
          </c:extLst>
        </c:ser>
        <c:dLbls>
          <c:showLegendKey val="0"/>
          <c:showVal val="0"/>
          <c:showCatName val="0"/>
          <c:showSerName val="0"/>
          <c:showPercent val="0"/>
          <c:showBubbleSize val="0"/>
        </c:dLbls>
        <c:gapWidth val="150"/>
        <c:axId val="155864576"/>
        <c:axId val="155951680"/>
      </c:barChart>
      <c:catAx>
        <c:axId val="155864576"/>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1680"/>
        <c:crosses val="autoZero"/>
        <c:auto val="1"/>
        <c:lblAlgn val="ctr"/>
        <c:lblOffset val="100"/>
        <c:tickLblSkip val="1"/>
        <c:noMultiLvlLbl val="0"/>
      </c:catAx>
      <c:valAx>
        <c:axId val="15595168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55864576"/>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0"/>
    <c:plotArea>
      <c:layout/>
      <c:doughnutChart>
        <c:varyColors val="1"/>
        <c:ser>
          <c:idx val="0"/>
          <c:order val="0"/>
          <c:dLbls>
            <c:dLbl>
              <c:idx val="0"/>
              <c:layout>
                <c:manualLayout>
                  <c:x val="0.14969184905698446"/>
                  <c:y val="0.164851016824335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B244-4EFC-B1E0-91C7B27C126D}"/>
                </c:ext>
              </c:extLst>
            </c:dLbl>
            <c:dLbl>
              <c:idx val="1"/>
              <c:layout>
                <c:manualLayout>
                  <c:x val="-0.11810624937705572"/>
                  <c:y val="-8.45068121671513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244-4EFC-B1E0-91C7B27C126D}"/>
                </c:ext>
              </c:extLst>
            </c:dLbl>
            <c:spPr>
              <a:noFill/>
              <a:ln>
                <a:noFill/>
              </a:ln>
              <a:effectLst/>
            </c:spPr>
            <c:txPr>
              <a:bodyPr/>
              <a:lstStyle/>
              <a:p>
                <a:pPr>
                  <a:defRPr lang="en-IN"/>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'BANDHAN-AF'!$R$8:$R$9</c:f>
              <c:strCache>
                <c:ptCount val="2"/>
                <c:pt idx="0">
                  <c:v>Total Hedged Equity</c:v>
                </c:pt>
                <c:pt idx="1">
                  <c:v>Total Debt</c:v>
                </c:pt>
              </c:strCache>
            </c:strRef>
          </c:cat>
          <c:val>
            <c:numRef>
              <c:f>'BANDHAN-AF'!$S$8:$S$9</c:f>
              <c:numCache>
                <c:formatCode>0.00%</c:formatCode>
                <c:ptCount val="2"/>
                <c:pt idx="0">
                  <c:v>0.69375799999999999</c:v>
                </c:pt>
                <c:pt idx="1">
                  <c:v>0.30624200000000001</c:v>
                </c:pt>
              </c:numCache>
            </c:numRef>
          </c:val>
          <c:extLst>
            <c:ext xmlns:c16="http://schemas.microsoft.com/office/drawing/2014/chart" uri="{C3380CC4-5D6E-409C-BE32-E72D297353CC}">
              <c16:uniqueId val="{00000002-B244-4EFC-B1E0-91C7B27C126D}"/>
            </c:ext>
          </c:extLst>
        </c:ser>
        <c:dLbls>
          <c:showLegendKey val="0"/>
          <c:showVal val="0"/>
          <c:showCatName val="0"/>
          <c:showSerName val="0"/>
          <c:showPercent val="0"/>
          <c:showBubbleSize val="0"/>
          <c:showLeaderLines val="0"/>
        </c:dLbls>
        <c:firstSliceAng val="0"/>
        <c:holeSize val="50"/>
      </c:doughnut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A7-4657-9CAC-8AA138010BEC}"/>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A7-4657-9CAC-8AA138010BEC}"/>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A7-4657-9CAC-8AA138010BEC}"/>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A7-4657-9CAC-8AA138010BEC}"/>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A7-4657-9CAC-8AA138010BEC}"/>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A7-4657-9CAC-8AA138010BEC}"/>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A7-4657-9CAC-8AA138010BEC}"/>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A7-4657-9CAC-8AA138010BEC}"/>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A7-4657-9CAC-8AA138010BEC}"/>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A7-4657-9CAC-8AA138010BEC}"/>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A7-4657-9CAC-8AA138010BEC}"/>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A7-4657-9CAC-8AA138010BEC}"/>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A7-4657-9CAC-8AA138010BEC}"/>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A7-4657-9CAC-8AA138010BEC}"/>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A7-4657-9CAC-8AA138010BEC}"/>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A7-4657-9CAC-8AA138010BEC}"/>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A7-4657-9CAC-8AA138010BEC}"/>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A7-4657-9CAC-8AA138010BEC}"/>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BAF'!$W$8:$W$23</c:f>
              <c:strCache>
                <c:ptCount val="16"/>
                <c:pt idx="0">
                  <c:v>Banks</c:v>
                </c:pt>
                <c:pt idx="1">
                  <c:v>Retailing</c:v>
                </c:pt>
                <c:pt idx="2">
                  <c:v>Finance</c:v>
                </c:pt>
                <c:pt idx="3">
                  <c:v>Petroleum Products</c:v>
                </c:pt>
                <c:pt idx="4">
                  <c:v>Pharmaceuticals &amp; Biotechnology</c:v>
                </c:pt>
                <c:pt idx="5">
                  <c:v>Electrical Equipment</c:v>
                </c:pt>
                <c:pt idx="6">
                  <c:v>IT - Software</c:v>
                </c:pt>
                <c:pt idx="7">
                  <c:v>Automobiles</c:v>
                </c:pt>
                <c:pt idx="8">
                  <c:v>Construction</c:v>
                </c:pt>
                <c:pt idx="9">
                  <c:v>Telecom - Services</c:v>
                </c:pt>
                <c:pt idx="10">
                  <c:v>Power</c:v>
                </c:pt>
                <c:pt idx="11">
                  <c:v>Auto Components</c:v>
                </c:pt>
                <c:pt idx="12">
                  <c:v>Realty</c:v>
                </c:pt>
                <c:pt idx="13">
                  <c:v>Healthcare Services</c:v>
                </c:pt>
                <c:pt idx="14">
                  <c:v>Diversified FMCG</c:v>
                </c:pt>
                <c:pt idx="15">
                  <c:v>Cement &amp; Cement Products</c:v>
                </c:pt>
              </c:strCache>
            </c:strRef>
          </c:cat>
          <c:val>
            <c:numRef>
              <c:f>'BANDHAN BAF'!$X$8:$X$23</c:f>
              <c:numCache>
                <c:formatCode>0.00%</c:formatCode>
                <c:ptCount val="16"/>
                <c:pt idx="0">
                  <c:v>5.3367000000000005E-2</c:v>
                </c:pt>
                <c:pt idx="1">
                  <c:v>4.4747000000000002E-2</c:v>
                </c:pt>
                <c:pt idx="2">
                  <c:v>2.9433999999999998E-2</c:v>
                </c:pt>
                <c:pt idx="3">
                  <c:v>2.3898999999999997E-2</c:v>
                </c:pt>
                <c:pt idx="4">
                  <c:v>2.3387999999999999E-2</c:v>
                </c:pt>
                <c:pt idx="5">
                  <c:v>2.3196000000000001E-2</c:v>
                </c:pt>
                <c:pt idx="6">
                  <c:v>2.1040000000000003E-2</c:v>
                </c:pt>
                <c:pt idx="7">
                  <c:v>1.9475999999999997E-2</c:v>
                </c:pt>
                <c:pt idx="8">
                  <c:v>1.8658000000000004E-2</c:v>
                </c:pt>
                <c:pt idx="9">
                  <c:v>1.8203999999999998E-2</c:v>
                </c:pt>
                <c:pt idx="10">
                  <c:v>1.7779999999999997E-2</c:v>
                </c:pt>
                <c:pt idx="11">
                  <c:v>1.3878000000000001E-2</c:v>
                </c:pt>
                <c:pt idx="12">
                  <c:v>1.1790000000000002E-2</c:v>
                </c:pt>
                <c:pt idx="13">
                  <c:v>1.1578E-2</c:v>
                </c:pt>
                <c:pt idx="14">
                  <c:v>8.3449999999999965E-3</c:v>
                </c:pt>
                <c:pt idx="15">
                  <c:v>7.3719999999999992E-3</c:v>
                </c:pt>
              </c:numCache>
            </c:numRef>
          </c:val>
          <c:extLst>
            <c:ext xmlns:c16="http://schemas.microsoft.com/office/drawing/2014/chart" uri="{C3380CC4-5D6E-409C-BE32-E72D297353CC}">
              <c16:uniqueId val="{00000012-77A7-4657-9CAC-8AA138010BEC}"/>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30-4BB8-A731-55CC10FB31C7}"/>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B30-4BB8-A731-55CC10FB31C7}"/>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B30-4BB8-A731-55CC10FB31C7}"/>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30-4BB8-A731-55CC10FB31C7}"/>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B30-4BB8-A731-55CC10FB31C7}"/>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B30-4BB8-A731-55CC10FB31C7}"/>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B30-4BB8-A731-55CC10FB31C7}"/>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B30-4BB8-A731-55CC10FB31C7}"/>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B30-4BB8-A731-55CC10FB31C7}"/>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B30-4BB8-A731-55CC10FB31C7}"/>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B30-4BB8-A731-55CC10FB31C7}"/>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B30-4BB8-A731-55CC10FB31C7}"/>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B30-4BB8-A731-55CC10FB31C7}"/>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B30-4BB8-A731-55CC10FB31C7}"/>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B30-4BB8-A731-55CC10FB31C7}"/>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B30-4BB8-A731-55CC10FB31C7}"/>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B30-4BB8-A731-55CC10FB31C7}"/>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B30-4BB8-A731-55CC10FB31C7}"/>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12-4B30-4BB8-A731-55CC10FB31C7}"/>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General"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BAF'!$X$7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060-4935-B1CA-438F3B61E75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60-4935-B1CA-438F3B61E75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60-4935-B1CA-438F3B61E75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60-4935-B1CA-438F3B61E75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060-4935-B1CA-438F3B61E75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60-4935-B1CA-438F3B61E75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060-4935-B1CA-438F3B61E75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060-4935-B1CA-438F3B61E75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060-4935-B1CA-438F3B61E75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060-4935-B1CA-438F3B61E75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060-4935-B1CA-438F3B61E75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060-4935-B1CA-438F3B61E75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060-4935-B1CA-438F3B61E75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060-4935-B1CA-438F3B61E75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060-4935-B1CA-438F3B61E75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60-4935-B1CA-438F3B61E75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060-4935-B1CA-438F3B61E75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060-4935-B1CA-438F3B61E75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BAF'!$W$8:$W$40</c:f>
              <c:strCache>
                <c:ptCount val="33"/>
                <c:pt idx="0">
                  <c:v>Banks</c:v>
                </c:pt>
                <c:pt idx="1">
                  <c:v>Retailing</c:v>
                </c:pt>
                <c:pt idx="2">
                  <c:v>Finance</c:v>
                </c:pt>
                <c:pt idx="3">
                  <c:v>Petroleum Products</c:v>
                </c:pt>
                <c:pt idx="4">
                  <c:v>Pharmaceuticals &amp; Biotechnology</c:v>
                </c:pt>
                <c:pt idx="5">
                  <c:v>Electrical Equipment</c:v>
                </c:pt>
                <c:pt idx="6">
                  <c:v>IT - Software</c:v>
                </c:pt>
                <c:pt idx="7">
                  <c:v>Automobiles</c:v>
                </c:pt>
                <c:pt idx="8">
                  <c:v>Construction</c:v>
                </c:pt>
                <c:pt idx="9">
                  <c:v>Telecom - Services</c:v>
                </c:pt>
                <c:pt idx="10">
                  <c:v>Power</c:v>
                </c:pt>
                <c:pt idx="11">
                  <c:v>Auto Components</c:v>
                </c:pt>
                <c:pt idx="12">
                  <c:v>Realty</c:v>
                </c:pt>
                <c:pt idx="13">
                  <c:v>Healthcare Services</c:v>
                </c:pt>
                <c:pt idx="14">
                  <c:v>Diversified FMCG</c:v>
                </c:pt>
                <c:pt idx="15">
                  <c:v>Cement &amp; Cement Products</c:v>
                </c:pt>
                <c:pt idx="16">
                  <c:v>Oil</c:v>
                </c:pt>
                <c:pt idx="17">
                  <c:v>Financial Technology (Fintech)</c:v>
                </c:pt>
                <c:pt idx="18">
                  <c:v>Aerospace &amp; Defense</c:v>
                </c:pt>
                <c:pt idx="19">
                  <c:v>Gas</c:v>
                </c:pt>
                <c:pt idx="20">
                  <c:v>Beverages</c:v>
                </c:pt>
                <c:pt idx="21">
                  <c:v>Transport Services</c:v>
                </c:pt>
                <c:pt idx="22">
                  <c:v>Diversified Metals</c:v>
                </c:pt>
                <c:pt idx="23">
                  <c:v>Leisure Services</c:v>
                </c:pt>
                <c:pt idx="24">
                  <c:v>Food Products</c:v>
                </c:pt>
                <c:pt idx="25">
                  <c:v>Entertainment</c:v>
                </c:pt>
                <c:pt idx="26">
                  <c:v>Industrial Manufacturing</c:v>
                </c:pt>
                <c:pt idx="27">
                  <c:v>Ferrous Metals</c:v>
                </c:pt>
                <c:pt idx="28">
                  <c:v>Fertilizers &amp; Agrochemicals</c:v>
                </c:pt>
                <c:pt idx="29">
                  <c:v>Chemicals &amp; Petrochemicals</c:v>
                </c:pt>
                <c:pt idx="30">
                  <c:v>Consumer Durables</c:v>
                </c:pt>
                <c:pt idx="31">
                  <c:v>Insurance</c:v>
                </c:pt>
                <c:pt idx="32">
                  <c:v>Personal Products</c:v>
                </c:pt>
              </c:strCache>
            </c:strRef>
          </c:cat>
          <c:val>
            <c:numRef>
              <c:f>'BANDHAN BAF'!$X$8:$X$40</c:f>
              <c:numCache>
                <c:formatCode>0.00%</c:formatCode>
                <c:ptCount val="33"/>
                <c:pt idx="0">
                  <c:v>5.3367000000000005E-2</c:v>
                </c:pt>
                <c:pt idx="1">
                  <c:v>4.4747000000000002E-2</c:v>
                </c:pt>
                <c:pt idx="2">
                  <c:v>2.9433999999999998E-2</c:v>
                </c:pt>
                <c:pt idx="3">
                  <c:v>2.3898999999999997E-2</c:v>
                </c:pt>
                <c:pt idx="4">
                  <c:v>2.3387999999999999E-2</c:v>
                </c:pt>
                <c:pt idx="5">
                  <c:v>2.3196000000000001E-2</c:v>
                </c:pt>
                <c:pt idx="6">
                  <c:v>2.1040000000000003E-2</c:v>
                </c:pt>
                <c:pt idx="7">
                  <c:v>1.9475999999999997E-2</c:v>
                </c:pt>
                <c:pt idx="8">
                  <c:v>1.8658000000000004E-2</c:v>
                </c:pt>
                <c:pt idx="9">
                  <c:v>1.8203999999999998E-2</c:v>
                </c:pt>
                <c:pt idx="10">
                  <c:v>1.7779999999999997E-2</c:v>
                </c:pt>
                <c:pt idx="11">
                  <c:v>1.3878000000000001E-2</c:v>
                </c:pt>
                <c:pt idx="12">
                  <c:v>1.1790000000000002E-2</c:v>
                </c:pt>
                <c:pt idx="13">
                  <c:v>1.1578E-2</c:v>
                </c:pt>
                <c:pt idx="14">
                  <c:v>8.3449999999999965E-3</c:v>
                </c:pt>
                <c:pt idx="15">
                  <c:v>7.3719999999999992E-3</c:v>
                </c:pt>
                <c:pt idx="16">
                  <c:v>7.2579999999999997E-3</c:v>
                </c:pt>
                <c:pt idx="17">
                  <c:v>6.4409999999999997E-3</c:v>
                </c:pt>
                <c:pt idx="18">
                  <c:v>6.4130000000000003E-3</c:v>
                </c:pt>
                <c:pt idx="19">
                  <c:v>6.28E-3</c:v>
                </c:pt>
                <c:pt idx="20">
                  <c:v>5.9069999999999973E-3</c:v>
                </c:pt>
                <c:pt idx="21">
                  <c:v>5.4229999999999999E-3</c:v>
                </c:pt>
                <c:pt idx="22">
                  <c:v>4.4050000000000001E-3</c:v>
                </c:pt>
                <c:pt idx="23">
                  <c:v>3.895E-3</c:v>
                </c:pt>
                <c:pt idx="24">
                  <c:v>3.885E-3</c:v>
                </c:pt>
                <c:pt idx="25">
                  <c:v>3.875E-3</c:v>
                </c:pt>
                <c:pt idx="26">
                  <c:v>3.467E-3</c:v>
                </c:pt>
                <c:pt idx="27">
                  <c:v>3.4610000000000005E-3</c:v>
                </c:pt>
                <c:pt idx="28">
                  <c:v>-2.0000000000000052E-5</c:v>
                </c:pt>
                <c:pt idx="29">
                  <c:v>-2.3000000000000017E-5</c:v>
                </c:pt>
                <c:pt idx="30">
                  <c:v>-4.7000000000000167E-5</c:v>
                </c:pt>
                <c:pt idx="31">
                  <c:v>-8.000000000000021E-5</c:v>
                </c:pt>
                <c:pt idx="32">
                  <c:v>-9.2999999999999333E-5</c:v>
                </c:pt>
              </c:numCache>
            </c:numRef>
          </c:val>
          <c:extLst>
            <c:ext xmlns:c16="http://schemas.microsoft.com/office/drawing/2014/chart" uri="{C3380CC4-5D6E-409C-BE32-E72D297353CC}">
              <c16:uniqueId val="{00000012-E060-4935-B1CA-438F3B61E755}"/>
            </c:ext>
          </c:extLst>
        </c:ser>
        <c:dLbls>
          <c:showLegendKey val="0"/>
          <c:showVal val="0"/>
          <c:showCatName val="0"/>
          <c:showSerName val="0"/>
          <c:showPercent val="0"/>
          <c:showBubbleSize val="0"/>
        </c:dLbls>
        <c:gapWidth val="150"/>
        <c:axId val="167847424"/>
        <c:axId val="155954560"/>
      </c:barChart>
      <c:catAx>
        <c:axId val="167847424"/>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55954560"/>
        <c:crosses val="autoZero"/>
        <c:auto val="1"/>
        <c:lblAlgn val="ctr"/>
        <c:lblOffset val="100"/>
        <c:tickLblSkip val="1"/>
        <c:noMultiLvlLbl val="0"/>
      </c:catAx>
      <c:valAx>
        <c:axId val="155954560"/>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7847424"/>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0878247873384791"/>
          <c:y val="0.30370043744531933"/>
          <c:w val="0.78272608624251272"/>
          <c:h val="0.53333319409344349"/>
        </c:manualLayout>
      </c:layout>
      <c:pie3DChart>
        <c:varyColors val="1"/>
        <c:ser>
          <c:idx val="0"/>
          <c:order val="0"/>
          <c:dLbls>
            <c:dLbl>
              <c:idx val="0"/>
              <c:layout>
                <c:manualLayout>
                  <c:x val="0.33914343096303429"/>
                  <c:y val="-0.11909274615009408"/>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0-4210-94B1-4C182B77D55C}"/>
                </c:ext>
              </c:extLst>
            </c:dLbl>
            <c:dLbl>
              <c:idx val="1"/>
              <c:delete val="1"/>
              <c:extLst>
                <c:ext xmlns:c15="http://schemas.microsoft.com/office/drawing/2012/chart" uri="{CE6537A1-D6FC-4f65-9D91-7224C49458BB}"/>
                <c:ext xmlns:c16="http://schemas.microsoft.com/office/drawing/2014/chart" uri="{C3380CC4-5D6E-409C-BE32-E72D297353CC}">
                  <c16:uniqueId val="{00000001-0B30-4210-94B1-4C182B77D55C}"/>
                </c:ext>
              </c:extLst>
            </c:dLbl>
            <c:dLbl>
              <c:idx val="2"/>
              <c:delete val="1"/>
              <c:extLst>
                <c:ext xmlns:c15="http://schemas.microsoft.com/office/drawing/2012/chart" uri="{CE6537A1-D6FC-4f65-9D91-7224C49458BB}"/>
                <c:ext xmlns:c16="http://schemas.microsoft.com/office/drawing/2014/chart" uri="{C3380CC4-5D6E-409C-BE32-E72D297353CC}">
                  <c16:uniqueId val="{00000002-0B30-4210-94B1-4C182B77D55C}"/>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'BANDHAN-ESF'!$G$8:$G$10</c:f>
              <c:strCache>
                <c:ptCount val="3"/>
                <c:pt idx="0">
                  <c:v>AAA Equivalent</c:v>
                </c:pt>
                <c:pt idx="1">
                  <c:v>AA+ Equivalent</c:v>
                </c:pt>
                <c:pt idx="2">
                  <c:v>AA Equivalent</c:v>
                </c:pt>
              </c:strCache>
            </c:strRef>
          </c:cat>
          <c:val>
            <c:numRef>
              <c:f>'BANDHAN-ESF'!$I$8:$I$10</c:f>
              <c:numCache>
                <c:formatCode>0.00%</c:formatCode>
                <c:ptCount val="3"/>
                <c:pt idx="0">
                  <c:v>1</c:v>
                </c:pt>
                <c:pt idx="1">
                  <c:v>0</c:v>
                </c:pt>
                <c:pt idx="2">
                  <c:v>0</c:v>
                </c:pt>
              </c:numCache>
            </c:numRef>
          </c:val>
          <c:extLst>
            <c:ext xmlns:c16="http://schemas.microsoft.com/office/drawing/2014/chart" uri="{C3380CC4-5D6E-409C-BE32-E72D297353CC}">
              <c16:uniqueId val="{00000003-0B30-4210-94B1-4C182B77D55C}"/>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4.65424911654891E-2"/>
          <c:y val="0.23778485669752167"/>
          <c:w val="0.89502608808352679"/>
          <c:h val="0.61676865851891904"/>
        </c:manualLayout>
      </c:layout>
      <c:pie3DChart>
        <c:varyColors val="1"/>
        <c:ser>
          <c:idx val="0"/>
          <c:order val="0"/>
          <c:dLbls>
            <c:dLbl>
              <c:idx val="0"/>
              <c:layout>
                <c:manualLayout>
                  <c:x val="-0.21838699694936567"/>
                  <c:y val="-7.7118588421564715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C0-483B-9ABC-50EE8AE61501}"/>
                </c:ext>
              </c:extLst>
            </c:dLbl>
            <c:dLbl>
              <c:idx val="1"/>
              <c:layout>
                <c:manualLayout>
                  <c:x val="-4.14821969916453E-2"/>
                  <c:y val="0.4136005645129965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C0-483B-9ABC-50EE8AE61501}"/>
                </c:ext>
              </c:extLst>
            </c:dLbl>
            <c:dLbl>
              <c:idx val="2"/>
              <c:delete val="1"/>
              <c:extLst>
                <c:ext xmlns:c15="http://schemas.microsoft.com/office/drawing/2012/chart" uri="{CE6537A1-D6FC-4f65-9D91-7224C49458BB}"/>
                <c:ext xmlns:c16="http://schemas.microsoft.com/office/drawing/2014/chart" uri="{C3380CC4-5D6E-409C-BE32-E72D297353CC}">
                  <c16:uniqueId val="{00000002-C5C0-483B-9ABC-50EE8AE61501}"/>
                </c:ext>
              </c:extLst>
            </c:dLbl>
            <c:dLbl>
              <c:idx val="3"/>
              <c:layout>
                <c:manualLayout>
                  <c:x val="-2.0216581672124613E-3"/>
                  <c:y val="-0.3723959248524442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C0-483B-9ABC-50EE8AE61501}"/>
                </c:ext>
              </c:extLst>
            </c:dLbl>
            <c:dLbl>
              <c:idx val="4"/>
              <c:delete val="1"/>
              <c:extLst>
                <c:ext xmlns:c15="http://schemas.microsoft.com/office/drawing/2012/chart" uri="{CE6537A1-D6FC-4f65-9D91-7224C49458BB}"/>
                <c:ext xmlns:c16="http://schemas.microsoft.com/office/drawing/2014/chart" uri="{C3380CC4-5D6E-409C-BE32-E72D297353CC}">
                  <c16:uniqueId val="{00000004-C5C0-483B-9ABC-50EE8AE61501}"/>
                </c:ext>
              </c:extLst>
            </c:dLbl>
            <c:dLbl>
              <c:idx val="5"/>
              <c:layout>
                <c:manualLayout>
                  <c:x val="-0.25027188914563769"/>
                  <c:y val="0.1150585968929590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C0-483B-9ABC-50EE8AE61501}"/>
                </c:ext>
              </c:extLst>
            </c:dLbl>
            <c:dLbl>
              <c:idx val="6"/>
              <c:layout>
                <c:manualLayout>
                  <c:x val="-0.3699634445998804"/>
                  <c:y val="2.936318420843329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44-4EA1-9E17-573AED6B6ED4}"/>
                </c:ext>
              </c:extLst>
            </c:dLbl>
            <c:dLbl>
              <c:idx val="7"/>
              <c:layout>
                <c:manualLayout>
                  <c:x val="7.4801352186861056E-2"/>
                  <c:y val="-0.35235821050119948"/>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4A-47AC-ADB8-276FD8B80C3E}"/>
                </c:ext>
              </c:extLst>
            </c:dLbl>
            <c:spPr>
              <a:noFill/>
              <a:ln>
                <a:noFill/>
              </a:ln>
              <a:effectLst/>
            </c:spPr>
            <c:txPr>
              <a:bodyPr/>
              <a:lstStyle/>
              <a:p>
                <a:pPr>
                  <a:defRPr lang="en-IN"/>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'BANDHAN-ESF'!$J$9:$J$16</c:f>
              <c:strCache>
                <c:ptCount val="8"/>
                <c:pt idx="0">
                  <c:v>Net Equity </c:v>
                </c:pt>
                <c:pt idx="1">
                  <c:v>Net Current Asset</c:v>
                </c:pt>
                <c:pt idx="3">
                  <c:v>Corporate Bond</c:v>
                </c:pt>
                <c:pt idx="5">
                  <c:v>Mutual Fund Units: Bandhan Liquid Fund</c:v>
                </c:pt>
                <c:pt idx="6">
                  <c:v>Government Bond</c:v>
                </c:pt>
                <c:pt idx="7">
                  <c:v>Arbitrage</c:v>
                </c:pt>
              </c:strCache>
            </c:strRef>
          </c:cat>
          <c:val>
            <c:numRef>
              <c:f>'BANDHAN-ESF'!$K$9:$K$16</c:f>
              <c:numCache>
                <c:formatCode>0.00%</c:formatCode>
                <c:ptCount val="8"/>
                <c:pt idx="0">
                  <c:v>0.20798499999999998</c:v>
                </c:pt>
                <c:pt idx="1">
                  <c:v>6.1840999999999979E-2</c:v>
                </c:pt>
                <c:pt idx="3">
                  <c:v>0.109988</c:v>
                </c:pt>
                <c:pt idx="5">
                  <c:v>6.8736000000000005E-2</c:v>
                </c:pt>
                <c:pt idx="6">
                  <c:v>5.2330000000000002E-2</c:v>
                </c:pt>
                <c:pt idx="7">
                  <c:v>0.49912000000000001</c:v>
                </c:pt>
              </c:numCache>
            </c:numRef>
          </c:val>
          <c:extLst>
            <c:ext xmlns:c16="http://schemas.microsoft.com/office/drawing/2014/chart" uri="{C3380CC4-5D6E-409C-BE32-E72D297353CC}">
              <c16:uniqueId val="{00000008-C5C0-483B-9ABC-50EE8AE61501}"/>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6.0529194996097963E-2"/>
          <c:y val="0.2256465955919264"/>
          <c:w val="0.89502608808352679"/>
          <c:h val="0.61676865851891904"/>
        </c:manualLayout>
      </c:layout>
      <c:pie3DChart>
        <c:varyColors val="1"/>
        <c:ser>
          <c:idx val="0"/>
          <c:order val="0"/>
          <c:dLbls>
            <c:dLbl>
              <c:idx val="0"/>
              <c:layout>
                <c:manualLayout>
                  <c:x val="0"/>
                  <c:y val="-0.110545364729509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230-8A23-CF6C59C0482A}"/>
                </c:ext>
              </c:extLst>
            </c:dLbl>
            <c:dLbl>
              <c:idx val="1"/>
              <c:layout>
                <c:manualLayout>
                  <c:x val="0.11895959152806972"/>
                  <c:y val="3.083460782929993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46-4E9E-B82D-9962D5990B86}"/>
                </c:ext>
              </c:extLst>
            </c:dLbl>
            <c:dLbl>
              <c:idx val="2"/>
              <c:layout>
                <c:manualLayout>
                  <c:x val="-8.0808672106723434E-2"/>
                  <c:y val="0.1235301841521343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46-4E9E-B82D-9962D5990B86}"/>
                </c:ext>
              </c:extLst>
            </c:dLbl>
            <c:dLbl>
              <c:idx val="3"/>
              <c:layout>
                <c:manualLayout>
                  <c:x val="0.23636536591216606"/>
                  <c:y val="-0.1346723831956260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46-4E9E-B82D-9962D5990B86}"/>
                </c:ext>
              </c:extLst>
            </c:dLbl>
            <c:dLbl>
              <c:idx val="4"/>
              <c:delete val="1"/>
              <c:extLst>
                <c:ext xmlns:c15="http://schemas.microsoft.com/office/drawing/2012/chart" uri="{CE6537A1-D6FC-4f65-9D91-7224C49458BB}"/>
                <c:ext xmlns:c16="http://schemas.microsoft.com/office/drawing/2014/chart" uri="{C3380CC4-5D6E-409C-BE32-E72D297353CC}">
                  <c16:uniqueId val="{00000000-6D0C-4011-87E0-AF0B55CD35FA}"/>
                </c:ext>
              </c:extLst>
            </c:dLbl>
            <c:dLbl>
              <c:idx val="5"/>
              <c:layout>
                <c:manualLayout>
                  <c:x val="0.16239441185762277"/>
                  <c:y val="1.1157527701487979E-2"/>
                </c:manualLayout>
              </c:layout>
              <c:showLegendKey val="0"/>
              <c:showVal val="1"/>
              <c:showCatName val="1"/>
              <c:showSerName val="0"/>
              <c:showPercent val="0"/>
              <c:showBubbleSize val="0"/>
              <c:extLst>
                <c:ext xmlns:c15="http://schemas.microsoft.com/office/drawing/2012/chart" uri="{CE6537A1-D6FC-4f65-9D91-7224C49458BB}">
                  <c15:layout>
                    <c:manualLayout>
                      <c:w val="0.27280005548437958"/>
                      <c:h val="0.20833786444607436"/>
                    </c:manualLayout>
                  </c15:layout>
                </c:ext>
                <c:ext xmlns:c16="http://schemas.microsoft.com/office/drawing/2014/chart" uri="{C3380CC4-5D6E-409C-BE32-E72D297353CC}">
                  <c16:uniqueId val="{00000000-5CC7-4230-8A23-CF6C59C0482A}"/>
                </c:ext>
              </c:extLst>
            </c:dLbl>
            <c:dLbl>
              <c:idx val="6"/>
              <c:layout>
                <c:manualLayout>
                  <c:x val="8.833787696529713E-2"/>
                  <c:y val="-3.74347685937542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08-4045-A79C-942BF2DC4D6D}"/>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CHF'!$J$9:$J$14</c:f>
              <c:strCache>
                <c:ptCount val="6"/>
                <c:pt idx="0">
                  <c:v>Corporate Bond</c:v>
                </c:pt>
                <c:pt idx="1">
                  <c:v>Equity + Nifty ETF</c:v>
                </c:pt>
                <c:pt idx="2">
                  <c:v>Net Current Asset</c:v>
                </c:pt>
                <c:pt idx="3">
                  <c:v>Government Bond</c:v>
                </c:pt>
                <c:pt idx="5">
                  <c:v>Corporate Debt Market Development Fund</c:v>
                </c:pt>
              </c:strCache>
            </c:strRef>
          </c:cat>
          <c:val>
            <c:numRef>
              <c:f>'BANDHAN CHF'!$K$9:$K$14</c:f>
              <c:numCache>
                <c:formatCode>0.00%</c:formatCode>
                <c:ptCount val="6"/>
                <c:pt idx="0">
                  <c:v>0.27836499999999997</c:v>
                </c:pt>
                <c:pt idx="1">
                  <c:v>0.24529500000000001</c:v>
                </c:pt>
                <c:pt idx="2">
                  <c:v>0.11233699999999999</c:v>
                </c:pt>
                <c:pt idx="3">
                  <c:v>0.360786</c:v>
                </c:pt>
                <c:pt idx="5">
                  <c:v>3.2169999999999998E-3</c:v>
                </c:pt>
              </c:numCache>
            </c:numRef>
          </c:val>
          <c:extLst>
            <c:ext xmlns:c16="http://schemas.microsoft.com/office/drawing/2014/chart" uri="{C3380CC4-5D6E-409C-BE32-E72D297353CC}">
              <c16:uniqueId val="{00000006-3246-4E9E-B82D-9962D5990B86}"/>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3918732473"/>
          <c:y val="0.24113796123081782"/>
          <c:w val="0.78272608624251272"/>
          <c:h val="0.53333319409344349"/>
        </c:manualLayout>
      </c:layout>
      <c:pie3DChart>
        <c:varyColors val="1"/>
        <c:ser>
          <c:idx val="0"/>
          <c:order val="0"/>
          <c:dLbls>
            <c:dLbl>
              <c:idx val="0"/>
              <c:layout>
                <c:manualLayout>
                  <c:x val="9.8592287457612435E-2"/>
                  <c:y val="-7.0693450288318027E-3"/>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DD0-4A0D-BCA6-E77632D4550F}"/>
                </c:ext>
              </c:extLst>
            </c:dLbl>
            <c:dLbl>
              <c:idx val="1"/>
              <c:layout>
                <c:manualLayout>
                  <c:x val="-0.30342522437873731"/>
                  <c:y val="7.4669222065716884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DD0-4A0D-BCA6-E77632D4550F}"/>
                </c:ext>
              </c:extLst>
            </c:dLbl>
            <c:dLbl>
              <c:idx val="2"/>
              <c:layout>
                <c:manualLayout>
                  <c:x val="0.40878414920360673"/>
                  <c:y val="4.81076203711693E-2"/>
                </c:manualLayout>
              </c:layout>
              <c:dLblPos val="bestFit"/>
              <c:showLegendKey val="1"/>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DD0-4A0D-BCA6-E77632D4550F}"/>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extLst>
          </c:dLbls>
          <c:cat>
            <c:strRef>
              <c:f>'BANDHAN CHF'!$G$8:$G$10</c:f>
              <c:strCache>
                <c:ptCount val="3"/>
                <c:pt idx="0">
                  <c:v>AAA Equivalent</c:v>
                </c:pt>
                <c:pt idx="1">
                  <c:v>AA+ Equivalent</c:v>
                </c:pt>
                <c:pt idx="2">
                  <c:v>AA Equivalent</c:v>
                </c:pt>
              </c:strCache>
            </c:strRef>
          </c:cat>
          <c:val>
            <c:numRef>
              <c:f>'BANDHAN CHF'!$I$8:$I$10</c:f>
              <c:numCache>
                <c:formatCode>0.00%</c:formatCode>
                <c:ptCount val="3"/>
                <c:pt idx="0">
                  <c:v>0.89618299999999995</c:v>
                </c:pt>
                <c:pt idx="1">
                  <c:v>3.4472000000000003E-2</c:v>
                </c:pt>
                <c:pt idx="2">
                  <c:v>6.934499999999999E-2</c:v>
                </c:pt>
              </c:numCache>
            </c:numRef>
          </c:val>
          <c:extLst>
            <c:ext xmlns:c16="http://schemas.microsoft.com/office/drawing/2014/chart" uri="{C3380CC4-5D6E-409C-BE32-E72D297353CC}">
              <c16:uniqueId val="{00000003-DDD0-4A0D-BCA6-E77632D4550F}"/>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Quality of Debt portfolio</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81802624328775"/>
          <c:y val="0.39851518560179988"/>
          <c:w val="0.78272608624251272"/>
          <c:h val="0.53333319409344349"/>
        </c:manualLayout>
      </c:layout>
      <c:pie3DChart>
        <c:varyColors val="1"/>
        <c:ser>
          <c:idx val="0"/>
          <c:order val="0"/>
          <c:dLbls>
            <c:dLbl>
              <c:idx val="0"/>
              <c:layout>
                <c:manualLayout>
                  <c:x val="0.24411163878957143"/>
                  <c:y val="-0.20073009563042246"/>
                </c:manualLayout>
              </c:layout>
              <c:tx>
                <c:rich>
                  <a:bodyPr/>
                  <a:lstStyle/>
                  <a:p>
                    <a:fld id="{835B31E5-0428-4C26-8EE8-6702101E8213}" type="CATEGORYNAME">
                      <a:rPr lang="en-US" baseline="0"/>
                      <a:pPr/>
                      <a:t>[CATEGORY NAME]</a:t>
                    </a:fld>
                    <a:r>
                      <a:rPr lang="en-US" baseline="0"/>
                      <a:t>, </a:t>
                    </a:r>
                    <a:fld id="{FE9075AB-FAD9-4B66-894C-3C5337361573}" type="VALUE">
                      <a:rPr lang="en-US" baseline="0"/>
                      <a:pPr/>
                      <a:t>[VALUE]</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14750133042527622"/>
                      <c:h val="0.28417500857060746"/>
                    </c:manualLayout>
                  </c15:layout>
                  <c15:dlblFieldTable/>
                  <c15:showDataLabelsRange val="1"/>
                </c:ext>
                <c:ext xmlns:c16="http://schemas.microsoft.com/office/drawing/2014/chart" uri="{C3380CC4-5D6E-409C-BE32-E72D297353CC}">
                  <c16:uniqueId val="{00000000-C3CC-4BC3-8596-62760DD930D0}"/>
                </c:ext>
              </c:extLst>
            </c:dLbl>
            <c:dLbl>
              <c:idx val="1"/>
              <c:layout>
                <c:manualLayout>
                  <c:x val="-7.3219173371471963E-2"/>
                  <c:y val="2.8325049182812211E-2"/>
                </c:manualLayout>
              </c:layout>
              <c:tx>
                <c:rich>
                  <a:bodyPr/>
                  <a:lstStyle/>
                  <a:p>
                    <a:fld id="{24A83395-05A0-4283-B032-E48A3AA94961}" type="CATEGORYNAME">
                      <a:rPr lang="en-US"/>
                      <a:pPr/>
                      <a:t>[CATEGORY NAME]</a:t>
                    </a:fld>
                    <a:r>
                      <a:rPr lang="en-US"/>
                      <a:t> 0.79%</a:t>
                    </a:r>
                  </a:p>
                </c:rich>
              </c:tx>
              <c:showLegendKey val="0"/>
              <c:showVal val="0"/>
              <c:showCatName val="0"/>
              <c:showSerName val="0"/>
              <c:showPercent val="0"/>
              <c:showBubbleSize val="0"/>
              <c:extLst>
                <c:ext xmlns:c15="http://schemas.microsoft.com/office/drawing/2012/chart" uri="{CE6537A1-D6FC-4f65-9D91-7224C49458BB}">
                  <c15:layout>
                    <c:manualLayout>
                      <c:w val="0.144284841643783"/>
                      <c:h val="0.2317760239219285"/>
                    </c:manualLayout>
                  </c15:layout>
                  <c15:dlblFieldTable/>
                  <c15:showDataLabelsRange val="1"/>
                </c:ext>
                <c:ext xmlns:c16="http://schemas.microsoft.com/office/drawing/2014/chart" uri="{C3380CC4-5D6E-409C-BE32-E72D297353CC}">
                  <c16:uniqueId val="{00000001-C3CC-4BC3-8596-62760DD930D0}"/>
                </c:ext>
              </c:extLst>
            </c:dLbl>
            <c:dLbl>
              <c:idx val="2"/>
              <c:layout>
                <c:manualLayout>
                  <c:x val="0.15591376917925207"/>
                  <c:y val="-1.4216119764883519E-2"/>
                </c:manualLayout>
              </c:layout>
              <c:tx>
                <c:rich>
                  <a:bodyPr/>
                  <a:lstStyle/>
                  <a:p>
                    <a:pPr>
                      <a:defRPr lang="en-IN">
                        <a:solidFill>
                          <a:schemeClr val="tx1"/>
                        </a:solidFill>
                      </a:defRPr>
                    </a:pPr>
                    <a:r>
                      <a:rPr lang="en-US">
                        <a:solidFill>
                          <a:schemeClr val="tx1"/>
                        </a:solidFill>
                      </a:rPr>
                      <a:t>AA Equivalent 1.59%</a:t>
                    </a:r>
                  </a:p>
                </c:rich>
              </c:tx>
              <c:numFmt formatCode="0.00%" sourceLinked="0"/>
              <c:spPr>
                <a:noFill/>
                <a:ln>
                  <a:noFill/>
                </a:ln>
                <a:effectLst/>
              </c:spPr>
              <c:showLegendKey val="0"/>
              <c:showVal val="0"/>
              <c:showCatName val="0"/>
              <c:showSerName val="0"/>
              <c:showPercent val="0"/>
              <c:showBubbleSize val="0"/>
              <c:extLst>
                <c:ext xmlns:c15="http://schemas.microsoft.com/office/drawing/2012/chart" uri="{CE6537A1-D6FC-4f65-9D91-7224C49458BB}">
                  <c15:layout>
                    <c:manualLayout>
                      <c:w val="0.14816115082227269"/>
                      <c:h val="0.25524701368617436"/>
                    </c:manualLayout>
                  </c15:layout>
                </c:ext>
                <c:ext xmlns:c16="http://schemas.microsoft.com/office/drawing/2014/chart" uri="{C3380CC4-5D6E-409C-BE32-E72D297353CC}">
                  <c16:uniqueId val="{00000002-C3CC-4BC3-8596-62760DD930D0}"/>
                </c:ext>
              </c:extLst>
            </c:dLbl>
            <c:numFmt formatCode="0.00%" sourceLinked="0"/>
            <c:spPr>
              <a:noFill/>
              <a:ln>
                <a:noFill/>
              </a:ln>
              <a:effectLst/>
            </c:spPr>
            <c:txPr>
              <a:bodyPr/>
              <a:lstStyle/>
              <a:p>
                <a:pPr>
                  <a:defRPr lang="en-IN"/>
                </a:pPr>
                <a:endParaRPr lang="en-US"/>
              </a:p>
            </c:txPr>
            <c:showLegendKey val="1"/>
            <c:showVal val="1"/>
            <c:showCatName val="1"/>
            <c:showSerName val="0"/>
            <c:showPercent val="0"/>
            <c:showBubbleSize val="0"/>
            <c:showLeaderLines val="0"/>
            <c:extLst>
              <c:ext xmlns:c15="http://schemas.microsoft.com/office/drawing/2012/chart" uri="{CE6537A1-D6FC-4f65-9D91-7224C49458BB}">
                <c15:showDataLabelsRange val="1"/>
              </c:ext>
            </c:extLst>
          </c:dLbls>
          <c:cat>
            <c:strRef>
              <c:f>'BANDHAN-HEF'!$G$8:$G$10</c:f>
              <c:strCache>
                <c:ptCount val="3"/>
                <c:pt idx="0">
                  <c:v>AAA Equivalent</c:v>
                </c:pt>
                <c:pt idx="1">
                  <c:v>AA+ Equivalent</c:v>
                </c:pt>
                <c:pt idx="2">
                  <c:v>AA Equivalent</c:v>
                </c:pt>
              </c:strCache>
            </c:strRef>
          </c:cat>
          <c:val>
            <c:numRef>
              <c:f>'BANDHAN-HEF'!$I$8:$I$10</c:f>
              <c:numCache>
                <c:formatCode>0.00%</c:formatCode>
                <c:ptCount val="3"/>
                <c:pt idx="0">
                  <c:v>0.97617600000000004</c:v>
                </c:pt>
                <c:pt idx="1">
                  <c:v>7.9109999999999996E-3</c:v>
                </c:pt>
                <c:pt idx="2">
                  <c:v>1.5913E-2</c:v>
                </c:pt>
              </c:numCache>
            </c:numRef>
          </c:val>
          <c:extLst>
            <c:ext xmlns:c15="http://schemas.microsoft.com/office/drawing/2012/chart" uri="{02D57815-91ED-43cb-92C2-25804820EDAC}">
              <c15:datalabelsRange>
                <c15:f>('BANDHAN-HEF'!$G$10,'BANDHAN-HEF'!$I$10)</c15:f>
                <c15:dlblRangeCache>
                  <c:ptCount val="2"/>
                  <c:pt idx="0">
                    <c:v>AA Equivalent</c:v>
                  </c:pt>
                  <c:pt idx="1">
                    <c:v>1.59%</c:v>
                  </c:pt>
                </c15:dlblRangeCache>
              </c15:datalabelsRange>
            </c:ext>
            <c:ext xmlns:c16="http://schemas.microsoft.com/office/drawing/2014/chart" uri="{C3380CC4-5D6E-409C-BE32-E72D297353CC}">
              <c16:uniqueId val="{00000003-C3CC-4BC3-8596-62760DD930D0}"/>
            </c:ext>
          </c:extLst>
        </c:ser>
        <c:dLbls>
          <c:showLegendKey val="0"/>
          <c:showVal val="0"/>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r>
              <a:rPr lang="en-US"/>
              <a:t>Asset Allocation</a:t>
            </a:r>
          </a:p>
        </c:rich>
      </c:tx>
      <c:overlay val="0"/>
      <c:spPr>
        <a:noFill/>
        <a:ln>
          <a:noFill/>
        </a:ln>
        <a:effectLst/>
      </c:spPr>
      <c:txPr>
        <a:bodyPr rot="0" spcFirstLastPara="1" vertOverflow="ellipsis" vert="horz" wrap="square" anchor="ctr" anchorCtr="1"/>
        <a:lstStyle/>
        <a:p>
          <a:pPr>
            <a:defRPr lang="en-US" sz="1320" b="1" i="0" u="none" strike="noStrike" kern="1200" spc="0" baseline="0">
              <a:solidFill>
                <a:schemeClr val="tx1"/>
              </a:solidFill>
              <a:latin typeface="+mn-lt"/>
              <a:ea typeface="+mn-ea"/>
              <a:cs typeface="+mn-cs"/>
            </a:defRPr>
          </a:pPr>
          <a:endParaRPr lang="en-US"/>
        </a:p>
      </c:txPr>
    </c:title>
    <c:autoTitleDeleted val="0"/>
    <c:view3D>
      <c:rotX val="2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spPr>
            <a:ln>
              <a:noFill/>
            </a:ln>
          </c:spPr>
          <c:dPt>
            <c:idx val="0"/>
            <c:bubble3D val="0"/>
            <c:spPr>
              <a:solidFill>
                <a:schemeClr val="dk1">
                  <a:tint val="88500"/>
                </a:schemeClr>
              </a:solidFill>
              <a:ln w="25400">
                <a:noFill/>
              </a:ln>
              <a:effectLst/>
              <a:sp3d/>
            </c:spPr>
            <c:extLst>
              <c:ext xmlns:c16="http://schemas.microsoft.com/office/drawing/2014/chart" uri="{C3380CC4-5D6E-409C-BE32-E72D297353CC}">
                <c16:uniqueId val="{00000002-5DD4-4BDC-9159-15B98E11C9E9}"/>
              </c:ext>
            </c:extLst>
          </c:dPt>
          <c:dPt>
            <c:idx val="1"/>
            <c:bubble3D val="0"/>
            <c:spPr>
              <a:solidFill>
                <a:schemeClr val="dk1">
                  <a:tint val="55000"/>
                </a:schemeClr>
              </a:solidFill>
              <a:ln w="25400">
                <a:noFill/>
              </a:ln>
              <a:effectLst/>
              <a:sp3d/>
            </c:spPr>
            <c:extLst>
              <c:ext xmlns:c16="http://schemas.microsoft.com/office/drawing/2014/chart" uri="{C3380CC4-5D6E-409C-BE32-E72D297353CC}">
                <c16:uniqueId val="{00000001-5DD4-4BDC-9159-15B98E11C9E9}"/>
              </c:ext>
            </c:extLst>
          </c:dPt>
          <c:dPt>
            <c:idx val="2"/>
            <c:bubble3D val="0"/>
            <c:spPr>
              <a:solidFill>
                <a:schemeClr val="dk1">
                  <a:tint val="75000"/>
                </a:schemeClr>
              </a:solidFill>
              <a:ln w="25400">
                <a:noFill/>
              </a:ln>
              <a:effectLst/>
              <a:sp3d/>
            </c:spPr>
            <c:extLst>
              <c:ext xmlns:c16="http://schemas.microsoft.com/office/drawing/2014/chart" uri="{C3380CC4-5D6E-409C-BE32-E72D297353CC}">
                <c16:uniqueId val="{00000003-5DD4-4BDC-9159-15B98E11C9E9}"/>
              </c:ext>
            </c:extLst>
          </c:dPt>
          <c:dPt>
            <c:idx val="3"/>
            <c:bubble3D val="0"/>
            <c:spPr>
              <a:solidFill>
                <a:schemeClr val="dk1">
                  <a:tint val="98500"/>
                </a:schemeClr>
              </a:solidFill>
              <a:ln w="25400">
                <a:noFill/>
              </a:ln>
              <a:effectLst/>
              <a:sp3d/>
            </c:spPr>
            <c:extLst>
              <c:ext xmlns:c16="http://schemas.microsoft.com/office/drawing/2014/chart" uri="{C3380CC4-5D6E-409C-BE32-E72D297353CC}">
                <c16:uniqueId val="{00000007-E3EE-4550-A924-FBB22E870FAE}"/>
              </c:ext>
            </c:extLst>
          </c:dPt>
          <c:dPt>
            <c:idx val="4"/>
            <c:bubble3D val="0"/>
            <c:spPr>
              <a:solidFill>
                <a:schemeClr val="dk1">
                  <a:tint val="30000"/>
                </a:schemeClr>
              </a:solidFill>
              <a:ln w="25400">
                <a:noFill/>
              </a:ln>
              <a:effectLst/>
              <a:sp3d/>
            </c:spPr>
            <c:extLst>
              <c:ext xmlns:c16="http://schemas.microsoft.com/office/drawing/2014/chart" uri="{C3380CC4-5D6E-409C-BE32-E72D297353CC}">
                <c16:uniqueId val="{00000004-5DD4-4BDC-9159-15B98E11C9E9}"/>
              </c:ext>
            </c:extLst>
          </c:dPt>
          <c:dLbls>
            <c:dLbl>
              <c:idx val="0"/>
              <c:layout>
                <c:manualLayout>
                  <c:x val="0.2203862624094296"/>
                  <c:y val="9.59464197834645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DD4-4BDC-9159-15B98E11C9E9}"/>
                </c:ext>
              </c:extLst>
            </c:dLbl>
            <c:dLbl>
              <c:idx val="1"/>
              <c:layout>
                <c:manualLayout>
                  <c:x val="0.54022387058466947"/>
                  <c:y val="-8.9727342905666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D4-4BDC-9159-15B98E11C9E9}"/>
                </c:ext>
              </c:extLst>
            </c:dLbl>
            <c:dLbl>
              <c:idx val="2"/>
              <c:layout>
                <c:manualLayout>
                  <c:x val="-0.15460017794719633"/>
                  <c:y val="2.602085383858265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D4-4BDC-9159-15B98E11C9E9}"/>
                </c:ext>
              </c:extLst>
            </c:dLbl>
            <c:dLbl>
              <c:idx val="4"/>
              <c:layout>
                <c:manualLayout>
                  <c:x val="0.38820850619988079"/>
                  <c:y val="-4.849993848425197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5DD4-4BDC-9159-15B98E11C9E9}"/>
                </c:ext>
              </c:extLst>
            </c:dLbl>
            <c:numFmt formatCode="0.00%" sourceLinked="0"/>
            <c:spPr>
              <a:noFill/>
              <a:ln>
                <a:noFill/>
              </a:ln>
              <a:effectLst/>
            </c:spPr>
            <c:txPr>
              <a:bodyPr rot="0" spcFirstLastPara="1" vertOverflow="ellipsis" vert="horz" wrap="square" anchor="ctr" anchorCtr="1"/>
              <a:lstStyle/>
              <a:p>
                <a:pPr>
                  <a:defRPr lang="en-US" sz="11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'BANDHAN-HEF'!$J$9:$J$13</c:f>
              <c:strCache>
                <c:ptCount val="5"/>
                <c:pt idx="0">
                  <c:v>Corporate Bond</c:v>
                </c:pt>
                <c:pt idx="1">
                  <c:v>Net Equity</c:v>
                </c:pt>
                <c:pt idx="2">
                  <c:v>Equity Futures</c:v>
                </c:pt>
                <c:pt idx="3">
                  <c:v>Net Current Asset</c:v>
                </c:pt>
                <c:pt idx="4">
                  <c:v>Government Bond</c:v>
                </c:pt>
              </c:strCache>
            </c:strRef>
          </c:cat>
          <c:val>
            <c:numRef>
              <c:f>'BANDHAN-HEF'!$K$9:$K$13</c:f>
              <c:numCache>
                <c:formatCode>0.00%</c:formatCode>
                <c:ptCount val="5"/>
                <c:pt idx="0">
                  <c:v>9.7309999999999994E-2</c:v>
                </c:pt>
                <c:pt idx="1">
                  <c:v>0.77510400000000002</c:v>
                </c:pt>
                <c:pt idx="2">
                  <c:v>1.013E-2</c:v>
                </c:pt>
                <c:pt idx="3">
                  <c:v>1.9111E-2</c:v>
                </c:pt>
                <c:pt idx="4">
                  <c:v>9.8345000000000002E-2</c:v>
                </c:pt>
              </c:numCache>
            </c:numRef>
          </c:val>
          <c:extLst>
            <c:ext xmlns:c16="http://schemas.microsoft.com/office/drawing/2014/chart" uri="{C3380CC4-5D6E-409C-BE32-E72D297353CC}">
              <c16:uniqueId val="{00000000-5DD4-4BDC-9159-15B98E11C9E9}"/>
            </c:ext>
          </c:extLst>
        </c:ser>
        <c:dLbls>
          <c:showLegendKey val="0"/>
          <c:showVal val="0"/>
          <c:showCatName val="1"/>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100" b="1"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RF'!$Q$6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RF'!$P$7:$P$35</c:f>
              <c:strCache>
                <c:ptCount val="29"/>
                <c:pt idx="0">
                  <c:v>Banks</c:v>
                </c:pt>
                <c:pt idx="1">
                  <c:v>Finance</c:v>
                </c:pt>
                <c:pt idx="2">
                  <c:v>Petroleum Products</c:v>
                </c:pt>
                <c:pt idx="3">
                  <c:v>IT - Software</c:v>
                </c:pt>
                <c:pt idx="4">
                  <c:v>Retailing</c:v>
                </c:pt>
                <c:pt idx="5">
                  <c:v>Automobiles</c:v>
                </c:pt>
                <c:pt idx="6">
                  <c:v>Ferrous Metals</c:v>
                </c:pt>
                <c:pt idx="7">
                  <c:v>Diversified FMCG</c:v>
                </c:pt>
                <c:pt idx="8">
                  <c:v>Construction</c:v>
                </c:pt>
                <c:pt idx="9">
                  <c:v>Telecom - Services</c:v>
                </c:pt>
                <c:pt idx="10">
                  <c:v>Pharmaceuticals &amp; Biotechnology</c:v>
                </c:pt>
                <c:pt idx="11">
                  <c:v>Electrical Equipment</c:v>
                </c:pt>
                <c:pt idx="12">
                  <c:v>Power</c:v>
                </c:pt>
                <c:pt idx="13">
                  <c:v>Auto Components</c:v>
                </c:pt>
                <c:pt idx="14">
                  <c:v>Beverages</c:v>
                </c:pt>
                <c:pt idx="15">
                  <c:v>Insurance</c:v>
                </c:pt>
                <c:pt idx="16">
                  <c:v>Transport Services</c:v>
                </c:pt>
                <c:pt idx="17">
                  <c:v>Consumable Fuels</c:v>
                </c:pt>
                <c:pt idx="18">
                  <c:v>Chemicals &amp; Petrochemicals</c:v>
                </c:pt>
                <c:pt idx="19">
                  <c:v>Non - Ferrous Metals</c:v>
                </c:pt>
                <c:pt idx="20">
                  <c:v>Realty</c:v>
                </c:pt>
                <c:pt idx="21">
                  <c:v>Consumer Durables</c:v>
                </c:pt>
                <c:pt idx="22">
                  <c:v>Fertilizers &amp; Agrochemicals</c:v>
                </c:pt>
                <c:pt idx="23">
                  <c:v>Transport Infrastructure</c:v>
                </c:pt>
                <c:pt idx="24">
                  <c:v>Capital Markets</c:v>
                </c:pt>
                <c:pt idx="25">
                  <c:v>Leisure Services</c:v>
                </c:pt>
                <c:pt idx="26">
                  <c:v>Entertainment</c:v>
                </c:pt>
                <c:pt idx="27">
                  <c:v>Gas</c:v>
                </c:pt>
                <c:pt idx="28">
                  <c:v>Healthcare Services</c:v>
                </c:pt>
              </c:strCache>
            </c:strRef>
          </c:cat>
          <c:val>
            <c:numRef>
              <c:f>'BANDHAN RF'!$Q$7:$Q$35</c:f>
              <c:numCache>
                <c:formatCode>0.00%</c:formatCode>
                <c:ptCount val="29"/>
                <c:pt idx="0">
                  <c:v>8.8379999999999986E-2</c:v>
                </c:pt>
                <c:pt idx="1">
                  <c:v>4.0802999999999999E-2</c:v>
                </c:pt>
                <c:pt idx="2">
                  <c:v>3.5381000000000003E-2</c:v>
                </c:pt>
                <c:pt idx="3">
                  <c:v>3.5044000000000006E-2</c:v>
                </c:pt>
                <c:pt idx="4">
                  <c:v>3.4858E-2</c:v>
                </c:pt>
                <c:pt idx="5">
                  <c:v>3.0879000000000004E-2</c:v>
                </c:pt>
                <c:pt idx="6">
                  <c:v>2.3493999999999998E-2</c:v>
                </c:pt>
                <c:pt idx="7">
                  <c:v>2.1498E-2</c:v>
                </c:pt>
                <c:pt idx="8">
                  <c:v>2.0262999999999996E-2</c:v>
                </c:pt>
                <c:pt idx="9">
                  <c:v>2.0219000000000001E-2</c:v>
                </c:pt>
                <c:pt idx="10">
                  <c:v>1.9666999999999997E-2</c:v>
                </c:pt>
                <c:pt idx="11">
                  <c:v>1.6742E-2</c:v>
                </c:pt>
                <c:pt idx="12">
                  <c:v>1.5672999999999999E-2</c:v>
                </c:pt>
                <c:pt idx="13">
                  <c:v>1.5136999999999999E-2</c:v>
                </c:pt>
                <c:pt idx="14">
                  <c:v>1.4839000000000001E-2</c:v>
                </c:pt>
                <c:pt idx="15">
                  <c:v>1.4756E-2</c:v>
                </c:pt>
                <c:pt idx="16">
                  <c:v>1.3814999999999999E-2</c:v>
                </c:pt>
                <c:pt idx="17">
                  <c:v>1.3004999999999999E-2</c:v>
                </c:pt>
                <c:pt idx="18">
                  <c:v>1.2284E-2</c:v>
                </c:pt>
                <c:pt idx="19">
                  <c:v>1.0899000000000001E-2</c:v>
                </c:pt>
                <c:pt idx="20">
                  <c:v>9.7650000000000011E-3</c:v>
                </c:pt>
                <c:pt idx="21">
                  <c:v>8.092000000000002E-3</c:v>
                </c:pt>
                <c:pt idx="22">
                  <c:v>7.1060000000000003E-3</c:v>
                </c:pt>
                <c:pt idx="23">
                  <c:v>6.3460000000000001E-3</c:v>
                </c:pt>
                <c:pt idx="24">
                  <c:v>3.6120000000000002E-3</c:v>
                </c:pt>
                <c:pt idx="25">
                  <c:v>3.4069999999999999E-3</c:v>
                </c:pt>
                <c:pt idx="26">
                  <c:v>2.2260000000000001E-3</c:v>
                </c:pt>
                <c:pt idx="27">
                  <c:v>1.204E-3</c:v>
                </c:pt>
                <c:pt idx="28">
                  <c:v>7.18E-4</c:v>
                </c:pt>
              </c:numCache>
            </c:numRef>
          </c:val>
          <c:extLst>
            <c:ext xmlns:c16="http://schemas.microsoft.com/office/drawing/2014/chart" uri="{C3380CC4-5D6E-409C-BE32-E72D297353CC}">
              <c16:uniqueId val="{00000000-112B-4F5D-B612-6AF6A40D9824}"/>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MAF'!$Q$6</c:f>
              <c:strCache>
                <c:ptCount val="1"/>
                <c:pt idx="0">
                  <c:v>(%) NAV</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IT - Software</c:v>
                </c:pt>
                <c:pt idx="2">
                  <c:v>Retailing</c:v>
                </c:pt>
                <c:pt idx="3">
                  <c:v>Finance</c:v>
                </c:pt>
                <c:pt idx="4">
                  <c:v>Pharmaceuticals &amp; Biotechnology</c:v>
                </c:pt>
                <c:pt idx="5">
                  <c:v>Consumer Durables</c:v>
                </c:pt>
                <c:pt idx="6">
                  <c:v>Electrical Equipment</c:v>
                </c:pt>
                <c:pt idx="7">
                  <c:v>Automobiles</c:v>
                </c:pt>
                <c:pt idx="8">
                  <c:v>Construction</c:v>
                </c:pt>
                <c:pt idx="9">
                  <c:v>Diversified FMCG</c:v>
                </c:pt>
                <c:pt idx="10">
                  <c:v>Insurance</c:v>
                </c:pt>
                <c:pt idx="11">
                  <c:v>Industrial Products</c:v>
                </c:pt>
                <c:pt idx="12">
                  <c:v>Auto Components</c:v>
                </c:pt>
                <c:pt idx="13">
                  <c:v>Power</c:v>
                </c:pt>
                <c:pt idx="14">
                  <c:v>Petroleum Products</c:v>
                </c:pt>
                <c:pt idx="15">
                  <c:v>Leisure Services</c:v>
                </c:pt>
                <c:pt idx="16">
                  <c:v>Realty</c:v>
                </c:pt>
                <c:pt idx="17">
                  <c:v>Oil</c:v>
                </c:pt>
                <c:pt idx="18">
                  <c:v>Cement &amp; Cement Products</c:v>
                </c:pt>
                <c:pt idx="19">
                  <c:v>Gas</c:v>
                </c:pt>
                <c:pt idx="20">
                  <c:v>Commercial Services &amp; Supplies</c:v>
                </c:pt>
                <c:pt idx="21">
                  <c:v>Ferrous Metals</c:v>
                </c:pt>
                <c:pt idx="22">
                  <c:v>Fertilizers &amp; Agrochemicals</c:v>
                </c:pt>
                <c:pt idx="23">
                  <c:v>Capital Markets</c:v>
                </c:pt>
                <c:pt idx="24">
                  <c:v>Telecom - Services</c:v>
                </c:pt>
                <c:pt idx="25">
                  <c:v>Healthcare Services</c:v>
                </c:pt>
                <c:pt idx="26">
                  <c:v>Chemicals &amp; Petrochemicals</c:v>
                </c:pt>
                <c:pt idx="27">
                  <c:v>Consumable Fuels</c:v>
                </c:pt>
                <c:pt idx="28">
                  <c:v>Food Products</c:v>
                </c:pt>
                <c:pt idx="29">
                  <c:v>Textiles &amp; Apparels</c:v>
                </c:pt>
                <c:pt idx="30">
                  <c:v>Beverages</c:v>
                </c:pt>
                <c:pt idx="31">
                  <c:v>Minerals &amp; Mining</c:v>
                </c:pt>
                <c:pt idx="32">
                  <c:v>Non - Ferrous Metals</c:v>
                </c:pt>
                <c:pt idx="33">
                  <c:v>Transport Services</c:v>
                </c:pt>
                <c:pt idx="34">
                  <c:v>Personal Products</c:v>
                </c:pt>
                <c:pt idx="35">
                  <c:v>IT - Services</c:v>
                </c:pt>
                <c:pt idx="36">
                  <c:v>Aerospace &amp; Defense</c:v>
                </c:pt>
                <c:pt idx="37">
                  <c:v>Diversified</c:v>
                </c:pt>
                <c:pt idx="38">
                  <c:v>IT - Hardware</c:v>
                </c:pt>
                <c:pt idx="39">
                  <c:v>Diversified Metals</c:v>
                </c:pt>
              </c:strCache>
            </c:strRef>
          </c:cat>
          <c:val>
            <c:numRef>
              <c:f>'BANDHAN MAF'!$Q$7:$Q$46</c:f>
              <c:numCache>
                <c:formatCode>0.00%</c:formatCode>
                <c:ptCount val="40"/>
                <c:pt idx="0">
                  <c:v>8.8692999999999994E-2</c:v>
                </c:pt>
                <c:pt idx="1">
                  <c:v>3.0068000000000018E-2</c:v>
                </c:pt>
                <c:pt idx="2">
                  <c:v>2.8282999999999999E-2</c:v>
                </c:pt>
                <c:pt idx="3">
                  <c:v>2.8173999999999998E-2</c:v>
                </c:pt>
                <c:pt idx="4">
                  <c:v>2.7453999999999999E-2</c:v>
                </c:pt>
                <c:pt idx="5">
                  <c:v>2.7268000000000001E-2</c:v>
                </c:pt>
                <c:pt idx="6">
                  <c:v>1.9545E-2</c:v>
                </c:pt>
                <c:pt idx="7">
                  <c:v>1.8089000000000001E-2</c:v>
                </c:pt>
                <c:pt idx="8">
                  <c:v>1.797E-2</c:v>
                </c:pt>
                <c:pt idx="9">
                  <c:v>1.7305000000000001E-2</c:v>
                </c:pt>
                <c:pt idx="10">
                  <c:v>1.5385999999999999E-2</c:v>
                </c:pt>
                <c:pt idx="11">
                  <c:v>1.4657E-2</c:v>
                </c:pt>
                <c:pt idx="12">
                  <c:v>1.4179000000000001E-2</c:v>
                </c:pt>
                <c:pt idx="13">
                  <c:v>1.3061E-2</c:v>
                </c:pt>
                <c:pt idx="14">
                  <c:v>1.1473000000000001E-2</c:v>
                </c:pt>
                <c:pt idx="15">
                  <c:v>1.0484E-2</c:v>
                </c:pt>
                <c:pt idx="16">
                  <c:v>9.8449999999999996E-3</c:v>
                </c:pt>
                <c:pt idx="17">
                  <c:v>9.8300000000000002E-3</c:v>
                </c:pt>
                <c:pt idx="18">
                  <c:v>9.2029999999999994E-3</c:v>
                </c:pt>
                <c:pt idx="19">
                  <c:v>9.1999999999999998E-3</c:v>
                </c:pt>
                <c:pt idx="20">
                  <c:v>9.0559999999999998E-3</c:v>
                </c:pt>
                <c:pt idx="21">
                  <c:v>8.5510000000000013E-3</c:v>
                </c:pt>
                <c:pt idx="22">
                  <c:v>7.7619999999999998E-3</c:v>
                </c:pt>
                <c:pt idx="23">
                  <c:v>6.8780000000000004E-3</c:v>
                </c:pt>
                <c:pt idx="24">
                  <c:v>6.2740000000000001E-3</c:v>
                </c:pt>
                <c:pt idx="25">
                  <c:v>5.7660000000000003E-3</c:v>
                </c:pt>
                <c:pt idx="26">
                  <c:v>5.7280000000000005E-3</c:v>
                </c:pt>
                <c:pt idx="27">
                  <c:v>5.0109999999999998E-3</c:v>
                </c:pt>
                <c:pt idx="28">
                  <c:v>4.8380000000000003E-3</c:v>
                </c:pt>
                <c:pt idx="29">
                  <c:v>4.5690000000000001E-3</c:v>
                </c:pt>
                <c:pt idx="30">
                  <c:v>4.4489999999999998E-3</c:v>
                </c:pt>
                <c:pt idx="31">
                  <c:v>4.4089999999999997E-3</c:v>
                </c:pt>
                <c:pt idx="32">
                  <c:v>3.0509999999999999E-3</c:v>
                </c:pt>
                <c:pt idx="33">
                  <c:v>2.9759999999999999E-3</c:v>
                </c:pt>
                <c:pt idx="34">
                  <c:v>2.7330000000000002E-3</c:v>
                </c:pt>
                <c:pt idx="35">
                  <c:v>2.5869999999999999E-3</c:v>
                </c:pt>
                <c:pt idx="36">
                  <c:v>2.4989999999999999E-3</c:v>
                </c:pt>
                <c:pt idx="37">
                  <c:v>2.1410000000000001E-3</c:v>
                </c:pt>
                <c:pt idx="38" formatCode="0.0%">
                  <c:v>1.1039999999999999E-3</c:v>
                </c:pt>
                <c:pt idx="39" formatCode="0.0%">
                  <c:v>6.8499999999999995E-4</c:v>
                </c:pt>
              </c:numCache>
            </c:numRef>
          </c:val>
          <c:extLst>
            <c:ext xmlns:c16="http://schemas.microsoft.com/office/drawing/2014/chart" uri="{C3380CC4-5D6E-409C-BE32-E72D297353CC}">
              <c16:uniqueId val="{00000000-D0A0-469D-A34D-7A1C3922BF1B}"/>
            </c:ext>
          </c:extLst>
        </c:ser>
        <c:ser>
          <c:idx val="1"/>
          <c:order val="1"/>
          <c:tx>
            <c:strRef>
              <c:f>'BANDHAN RF'!$C$4</c:f>
              <c:strCache>
                <c:ptCount val="1"/>
                <c:pt idx="0">
                  <c:v>Portfolio as on - (31st July 2024)</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'BANDHAN MAF'!$P$7:$P$46</c:f>
              <c:strCache>
                <c:ptCount val="40"/>
                <c:pt idx="0">
                  <c:v>Banks</c:v>
                </c:pt>
                <c:pt idx="1">
                  <c:v>IT - Software</c:v>
                </c:pt>
                <c:pt idx="2">
                  <c:v>Retailing</c:v>
                </c:pt>
                <c:pt idx="3">
                  <c:v>Finance</c:v>
                </c:pt>
                <c:pt idx="4">
                  <c:v>Pharmaceuticals &amp; Biotechnology</c:v>
                </c:pt>
                <c:pt idx="5">
                  <c:v>Consumer Durables</c:v>
                </c:pt>
                <c:pt idx="6">
                  <c:v>Electrical Equipment</c:v>
                </c:pt>
                <c:pt idx="7">
                  <c:v>Automobiles</c:v>
                </c:pt>
                <c:pt idx="8">
                  <c:v>Construction</c:v>
                </c:pt>
                <c:pt idx="9">
                  <c:v>Diversified FMCG</c:v>
                </c:pt>
                <c:pt idx="10">
                  <c:v>Insurance</c:v>
                </c:pt>
                <c:pt idx="11">
                  <c:v>Industrial Products</c:v>
                </c:pt>
                <c:pt idx="12">
                  <c:v>Auto Components</c:v>
                </c:pt>
                <c:pt idx="13">
                  <c:v>Power</c:v>
                </c:pt>
                <c:pt idx="14">
                  <c:v>Petroleum Products</c:v>
                </c:pt>
                <c:pt idx="15">
                  <c:v>Leisure Services</c:v>
                </c:pt>
                <c:pt idx="16">
                  <c:v>Realty</c:v>
                </c:pt>
                <c:pt idx="17">
                  <c:v>Oil</c:v>
                </c:pt>
                <c:pt idx="18">
                  <c:v>Cement &amp; Cement Products</c:v>
                </c:pt>
                <c:pt idx="19">
                  <c:v>Gas</c:v>
                </c:pt>
                <c:pt idx="20">
                  <c:v>Commercial Services &amp; Supplies</c:v>
                </c:pt>
                <c:pt idx="21">
                  <c:v>Ferrous Metals</c:v>
                </c:pt>
                <c:pt idx="22">
                  <c:v>Fertilizers &amp; Agrochemicals</c:v>
                </c:pt>
                <c:pt idx="23">
                  <c:v>Capital Markets</c:v>
                </c:pt>
                <c:pt idx="24">
                  <c:v>Telecom - Services</c:v>
                </c:pt>
                <c:pt idx="25">
                  <c:v>Healthcare Services</c:v>
                </c:pt>
                <c:pt idx="26">
                  <c:v>Chemicals &amp; Petrochemicals</c:v>
                </c:pt>
                <c:pt idx="27">
                  <c:v>Consumable Fuels</c:v>
                </c:pt>
                <c:pt idx="28">
                  <c:v>Food Products</c:v>
                </c:pt>
                <c:pt idx="29">
                  <c:v>Textiles &amp; Apparels</c:v>
                </c:pt>
                <c:pt idx="30">
                  <c:v>Beverages</c:v>
                </c:pt>
                <c:pt idx="31">
                  <c:v>Minerals &amp; Mining</c:v>
                </c:pt>
                <c:pt idx="32">
                  <c:v>Non - Ferrous Metals</c:v>
                </c:pt>
                <c:pt idx="33">
                  <c:v>Transport Services</c:v>
                </c:pt>
                <c:pt idx="34">
                  <c:v>Personal Products</c:v>
                </c:pt>
                <c:pt idx="35">
                  <c:v>IT - Services</c:v>
                </c:pt>
                <c:pt idx="36">
                  <c:v>Aerospace &amp; Defense</c:v>
                </c:pt>
                <c:pt idx="37">
                  <c:v>Diversified</c:v>
                </c:pt>
                <c:pt idx="38">
                  <c:v>IT - Hardware</c:v>
                </c:pt>
                <c:pt idx="39">
                  <c:v>Diversified Metals</c:v>
                </c:pt>
              </c:strCache>
            </c:strRef>
          </c:cat>
          <c:val>
            <c:numRef>
              <c:f>'BANDHAN RF'!$C$5</c:f>
              <c:numCache>
                <c:formatCode>General</c:formatCode>
                <c:ptCount val="1"/>
                <c:pt idx="0">
                  <c:v>0</c:v>
                </c:pt>
              </c:numCache>
            </c:numRef>
          </c:val>
          <c:extLst>
            <c:ext xmlns:c16="http://schemas.microsoft.com/office/drawing/2014/chart" uri="{C3380CC4-5D6E-409C-BE32-E72D297353CC}">
              <c16:uniqueId val="{00000000-9047-43CC-9FD9-5391CCE8DB0D}"/>
            </c:ext>
          </c:extLst>
        </c:ser>
        <c:dLbls>
          <c:dLblPos val="outEnd"/>
          <c:showLegendKey val="0"/>
          <c:showVal val="1"/>
          <c:showCatName val="0"/>
          <c:showSerName val="0"/>
          <c:showPercent val="0"/>
          <c:showBubbleSize val="0"/>
        </c:dLbls>
        <c:gapWidth val="219"/>
        <c:overlap val="-27"/>
        <c:axId val="2027258384"/>
        <c:axId val="2020487280"/>
      </c:barChart>
      <c:catAx>
        <c:axId val="202725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020487280"/>
        <c:crosses val="autoZero"/>
        <c:auto val="1"/>
        <c:lblAlgn val="ctr"/>
        <c:lblOffset val="100"/>
        <c:noMultiLvlLbl val="0"/>
      </c:catAx>
      <c:valAx>
        <c:axId val="202048728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027258384"/>
        <c:crosses val="autoZero"/>
        <c:crossBetween val="between"/>
      </c:valAx>
      <c:spPr>
        <a:noFill/>
        <a:ln w="3175">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317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a:pPr>
            <a:r>
              <a:rPr lang="en-US"/>
              <a:t>Asset Allocation</a:t>
            </a:r>
          </a:p>
        </c:rich>
      </c:tx>
      <c:layout>
        <c:manualLayout>
          <c:xMode val="edge"/>
          <c:yMode val="edge"/>
          <c:x val="0.35416424577882982"/>
          <c:y val="8.0782420445619507E-3"/>
        </c:manualLayout>
      </c:layout>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1262736321554703"/>
          <c:y val="0.3472706210231184"/>
          <c:w val="0.80555553197359764"/>
          <c:h val="0.46296283616722667"/>
        </c:manualLayout>
      </c:layout>
      <c:pie3DChart>
        <c:varyColors val="1"/>
        <c:ser>
          <c:idx val="0"/>
          <c:order val="0"/>
          <c:dLbls>
            <c:dLbl>
              <c:idx val="0"/>
              <c:layout>
                <c:manualLayout>
                  <c:x val="2.5782271599345145E-2"/>
                  <c:y val="0.5136396756375601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78-4CF0-A0C0-E78E101FF9A9}"/>
                </c:ext>
              </c:extLst>
            </c:dLbl>
            <c:dLbl>
              <c:idx val="1"/>
              <c:layout>
                <c:manualLayout>
                  <c:x val="4.670168434956689E-2"/>
                  <c:y val="-0.46507227641320953"/>
                </c:manualLayout>
              </c:layout>
              <c:tx>
                <c:rich>
                  <a:bodyPr wrap="square" lIns="38100" tIns="19050" rIns="38100" bIns="19050" anchor="ctr">
                    <a:noAutofit/>
                  </a:bodyPr>
                  <a:lstStyle/>
                  <a:p>
                    <a:pPr>
                      <a:defRPr/>
                    </a:pPr>
                    <a:r>
                      <a:rPr lang="en-US"/>
                      <a:t>Equity,</a:t>
                    </a:r>
                    <a:r>
                      <a:rPr lang="en-US" baseline="0"/>
                      <a:t> 63.36%</a:t>
                    </a:r>
                    <a:endParaRPr lang="en-US"/>
                  </a:p>
                </c:rich>
              </c:tx>
              <c:spPr>
                <a:noFill/>
                <a:ln>
                  <a:noFill/>
                </a:ln>
                <a:effectLst/>
              </c:spPr>
              <c:showLegendKey val="0"/>
              <c:showVal val="1"/>
              <c:showCatName val="1"/>
              <c:showSerName val="0"/>
              <c:showPercent val="0"/>
              <c:showBubbleSize val="0"/>
              <c:extLst>
                <c:ext xmlns:c15="http://schemas.microsoft.com/office/drawing/2012/chart" uri="{CE6537A1-D6FC-4f65-9D91-7224C49458BB}">
                  <c15:layout>
                    <c:manualLayout>
                      <c:w val="0.20014006828006889"/>
                      <c:h val="0.13923240938166312"/>
                    </c:manualLayout>
                  </c15:layout>
                </c:ext>
                <c:ext xmlns:c16="http://schemas.microsoft.com/office/drawing/2014/chart" uri="{C3380CC4-5D6E-409C-BE32-E72D297353CC}">
                  <c16:uniqueId val="{00000000-A1E9-4B6B-AB9D-D23F0F3AB07B}"/>
                </c:ext>
              </c:extLst>
            </c:dLbl>
            <c:dLbl>
              <c:idx val="2"/>
              <c:layout>
                <c:manualLayout>
                  <c:x val="7.4293922014806266E-2"/>
                  <c:y val="-7.35184594463005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A78-4CF0-A0C0-E78E101FF9A9}"/>
                </c:ext>
              </c:extLst>
            </c:dLbl>
            <c:spPr>
              <a:noFill/>
              <a:ln>
                <a:noFill/>
              </a:ln>
              <a:effectLst/>
            </c:spPr>
            <c:showLegendKey val="0"/>
            <c:showVal val="1"/>
            <c:showCatName val="1"/>
            <c:showSerName val="0"/>
            <c:showPercent val="0"/>
            <c:showBubbleSize val="0"/>
            <c:showLeaderLines val="0"/>
            <c:extLst>
              <c:ext xmlns:c15="http://schemas.microsoft.com/office/drawing/2012/chart" uri="{CE6537A1-D6FC-4f65-9D91-7224C49458BB}"/>
            </c:extLst>
          </c:dLbls>
          <c:cat>
            <c:strRef>
              <c:f>'BANDHAN AAF-AP'!$I$9:$I$11</c:f>
              <c:strCache>
                <c:ptCount val="3"/>
                <c:pt idx="0">
                  <c:v>Debt </c:v>
                </c:pt>
                <c:pt idx="1">
                  <c:v>Equity </c:v>
                </c:pt>
                <c:pt idx="2">
                  <c:v>Net Current Asset</c:v>
                </c:pt>
              </c:strCache>
            </c:strRef>
          </c:cat>
          <c:val>
            <c:numRef>
              <c:f>'BANDHAN AAF-AP'!$J$9:$J$11</c:f>
              <c:numCache>
                <c:formatCode>0.00%</c:formatCode>
                <c:ptCount val="3"/>
                <c:pt idx="0">
                  <c:v>0.28276299999999999</c:v>
                </c:pt>
                <c:pt idx="1">
                  <c:v>0.69096899999999994</c:v>
                </c:pt>
                <c:pt idx="2">
                  <c:v>2.6268E-2</c:v>
                </c:pt>
              </c:numCache>
            </c:numRef>
          </c:val>
          <c:extLst>
            <c:ext xmlns:c16="http://schemas.microsoft.com/office/drawing/2014/chart" uri="{C3380CC4-5D6E-409C-BE32-E72D297353CC}">
              <c16:uniqueId val="{00000005-2C11-46DC-BCEB-BABA9D7520DF}"/>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solidFill>
            <a:schemeClr val="tx1"/>
          </a:solidFill>
        </a:defRPr>
      </a:pPr>
      <a:endParaRPr lang="en-US"/>
    </a:p>
  </c:txPr>
  <c:printSettings>
    <c:headerFooter/>
    <c:pageMargins b="0.75000000000001465" l="0.70000000000000062" r="0.70000000000000062" t="0.75000000000001465"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sz="1600"/>
            </a:pPr>
            <a:r>
              <a:rPr lang="en-US" sz="1600"/>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9.3030805359856333E-2"/>
          <c:y val="0.33675900219464389"/>
          <c:w val="0.88470203243825363"/>
          <c:h val="0.57724889169815008"/>
        </c:manualLayout>
      </c:layout>
      <c:pie3DChart>
        <c:varyColors val="1"/>
        <c:ser>
          <c:idx val="0"/>
          <c:order val="0"/>
          <c:dLbls>
            <c:dLbl>
              <c:idx val="0"/>
              <c:layout>
                <c:manualLayout>
                  <c:x val="-3.2335439977897659E-2"/>
                  <c:y val="-0.3086957265542136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064-49CC-80DF-95B9368E2F92}"/>
                </c:ext>
              </c:extLst>
            </c:dLbl>
            <c:dLbl>
              <c:idx val="1"/>
              <c:layout>
                <c:manualLayout>
                  <c:x val="1.9461942257217847E-2"/>
                  <c:y val="-0.305394595994897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64-49CC-80DF-95B9368E2F92}"/>
                </c:ext>
              </c:extLst>
            </c:dLbl>
            <c:dLbl>
              <c:idx val="2"/>
              <c:layout>
                <c:manualLayout>
                  <c:x val="7.3547278629644941E-2"/>
                  <c:y val="-6.02488403579860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64-49CC-80DF-95B9368E2F92}"/>
                </c:ext>
              </c:extLst>
            </c:dLbl>
            <c:dLbl>
              <c:idx val="3"/>
              <c:layout>
                <c:manualLayout>
                  <c:x val="-0.15939770686558916"/>
                  <c:y val="-1.37873648966862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064-49CC-80DF-95B9368E2F92}"/>
                </c:ext>
              </c:extLst>
            </c:dLbl>
            <c:dLbl>
              <c:idx val="4"/>
              <c:layout>
                <c:manualLayout>
                  <c:x val="4.3438665561541703E-2"/>
                  <c:y val="-4.3612567471112473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1064-49CC-80DF-95B9368E2F92}"/>
                </c:ext>
              </c:extLst>
            </c:dLbl>
            <c:numFmt formatCode="0.00%" sourceLinked="0"/>
            <c:spPr>
              <a:noFill/>
              <a:ln>
                <a:noFill/>
              </a:ln>
              <a:effectLst/>
            </c:spPr>
            <c:txPr>
              <a:bodyPr/>
              <a:lstStyle/>
              <a:p>
                <a:pPr>
                  <a:defRPr lang="en-IN" sz="1100">
                    <a:latin typeface="+mn-lt"/>
                  </a:defRPr>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'BANDHANAAF-MP'!$I$8:$I$10</c:f>
              <c:strCache>
                <c:ptCount val="3"/>
                <c:pt idx="0">
                  <c:v>Debt </c:v>
                </c:pt>
                <c:pt idx="1">
                  <c:v>Equity </c:v>
                </c:pt>
                <c:pt idx="2">
                  <c:v>Net Current Asset</c:v>
                </c:pt>
              </c:strCache>
            </c:strRef>
          </c:cat>
          <c:val>
            <c:numRef>
              <c:f>'BANDHANAAF-MP'!$J$8:$J$10</c:f>
              <c:numCache>
                <c:formatCode>0.00%</c:formatCode>
                <c:ptCount val="3"/>
                <c:pt idx="0">
                  <c:v>0.47577100000000005</c:v>
                </c:pt>
                <c:pt idx="1">
                  <c:v>0.49978199999999995</c:v>
                </c:pt>
                <c:pt idx="2">
                  <c:v>2.4447000000000003E-2</c:v>
                </c:pt>
              </c:numCache>
            </c:numRef>
          </c:val>
          <c:extLst>
            <c:ext xmlns:c16="http://schemas.microsoft.com/office/drawing/2014/chart" uri="{C3380CC4-5D6E-409C-BE32-E72D297353CC}">
              <c16:uniqueId val="{00000005-1064-49CC-80DF-95B9368E2F92}"/>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100" b="1"/>
      </a:pPr>
      <a:endParaRPr lang="en-US"/>
    </a:p>
  </c:txPr>
  <c:printSettings>
    <c:headerFooter/>
    <c:pageMargins b="0.75000000000001465" l="0.70000000000000062" r="0.70000000000000062" t="0.75000000000001465"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4.6359788989188501E-2"/>
                  <c:y val="-0.10588126502681718"/>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1AC7-4857-974F-197C1459AF0A}"/>
                </c:ext>
              </c:extLst>
            </c:dLbl>
            <c:dLbl>
              <c:idx val="1"/>
              <c:layout>
                <c:manualLayout>
                  <c:x val="-6.0031020236357729E-2"/>
                  <c:y val="-5.5901735483758784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1AC7-4857-974F-197C1459AF0A}"/>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1AC7-4857-974F-197C1459AF0A}"/>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1AC7-4857-974F-197C1459AF0A}"/>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'BANDHANAAF-CP'!$I$8:$I$10</c:f>
              <c:strCache>
                <c:ptCount val="3"/>
                <c:pt idx="0">
                  <c:v>Debt </c:v>
                </c:pt>
                <c:pt idx="1">
                  <c:v>Equity </c:v>
                </c:pt>
                <c:pt idx="2">
                  <c:v>Net Current Asset</c:v>
                </c:pt>
              </c:strCache>
            </c:strRef>
          </c:cat>
          <c:val>
            <c:numRef>
              <c:f>'BANDHANAAF-CP'!$J$8:$J$10</c:f>
              <c:numCache>
                <c:formatCode>0.00%</c:formatCode>
                <c:ptCount val="3"/>
                <c:pt idx="0">
                  <c:v>0.7349389999999999</c:v>
                </c:pt>
                <c:pt idx="1">
                  <c:v>0.23217499999999999</c:v>
                </c:pt>
                <c:pt idx="2">
                  <c:v>3.2885999999999999E-2</c:v>
                </c:pt>
              </c:numCache>
            </c:numRef>
          </c:val>
          <c:extLst>
            <c:ext xmlns:c16="http://schemas.microsoft.com/office/drawing/2014/chart" uri="{C3380CC4-5D6E-409C-BE32-E72D297353CC}">
              <c16:uniqueId val="{00000004-1AC7-4857-974F-197C1459AF0A}"/>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'BANDHAN-NIFTY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D5-4584-81D7-4111D11CF0F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D5-4584-81D7-4111D11CF0F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D5-4584-81D7-4111D11CF0F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AD5-4584-81D7-4111D11CF0F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AD5-4584-81D7-4111D11CF0F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AD5-4584-81D7-4111D11CF0F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AD5-4584-81D7-4111D11CF0F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AD5-4584-81D7-4111D11CF0F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AD5-4584-81D7-4111D11CF0F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AD5-4584-81D7-4111D11CF0F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AD5-4584-81D7-4111D11CF0F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AD5-4584-81D7-4111D11CF0F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AD5-4584-81D7-4111D11CF0F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AD5-4584-81D7-4111D11CF0F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AD5-4584-81D7-4111D11CF0F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AD5-4584-81D7-4111D11CF0F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AD5-4584-81D7-4111D11CF0F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AD5-4584-81D7-4111D11CF0F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50 Index'!$W$8:$W$29</c:f>
              <c:strCache>
                <c:ptCount val="22"/>
                <c:pt idx="0">
                  <c:v>Banks</c:v>
                </c:pt>
                <c:pt idx="1">
                  <c:v>IT - Software</c:v>
                </c:pt>
                <c:pt idx="2">
                  <c:v>Petroleum Products</c:v>
                </c:pt>
                <c:pt idx="3">
                  <c:v>Automobiles</c:v>
                </c:pt>
                <c:pt idx="4">
                  <c:v>Diversified FMCG</c:v>
                </c:pt>
                <c:pt idx="5">
                  <c:v>Construction</c:v>
                </c:pt>
                <c:pt idx="6">
                  <c:v>Pharmaceuticals &amp; Biotechnology</c:v>
                </c:pt>
                <c:pt idx="7">
                  <c:v>Telecom - Services</c:v>
                </c:pt>
                <c:pt idx="8">
                  <c:v>Finance</c:v>
                </c:pt>
                <c:pt idx="9">
                  <c:v>Power</c:v>
                </c:pt>
                <c:pt idx="10">
                  <c:v>Consumer Durables</c:v>
                </c:pt>
                <c:pt idx="11">
                  <c:v>Cement &amp; Cement Products</c:v>
                </c:pt>
                <c:pt idx="12">
                  <c:v>Ferrous Metals</c:v>
                </c:pt>
                <c:pt idx="13">
                  <c:v>Food Products</c:v>
                </c:pt>
                <c:pt idx="14">
                  <c:v>Insurance</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'BANDHAN-NIFTY 50 Index'!$X$8:$X$29</c:f>
              <c:numCache>
                <c:formatCode>0.00%</c:formatCode>
                <c:ptCount val="22"/>
                <c:pt idx="0">
                  <c:v>0.28035700000000002</c:v>
                </c:pt>
                <c:pt idx="1">
                  <c:v>0.13739500000000002</c:v>
                </c:pt>
                <c:pt idx="2">
                  <c:v>9.8413E-2</c:v>
                </c:pt>
                <c:pt idx="3">
                  <c:v>8.205599999999999E-2</c:v>
                </c:pt>
                <c:pt idx="4">
                  <c:v>6.3310000000000005E-2</c:v>
                </c:pt>
                <c:pt idx="5">
                  <c:v>4.0368000000000001E-2</c:v>
                </c:pt>
                <c:pt idx="6">
                  <c:v>3.7273000000000001E-2</c:v>
                </c:pt>
                <c:pt idx="7">
                  <c:v>3.6123000000000002E-2</c:v>
                </c:pt>
                <c:pt idx="8">
                  <c:v>3.2672E-2</c:v>
                </c:pt>
                <c:pt idx="9">
                  <c:v>3.2265000000000002E-2</c:v>
                </c:pt>
                <c:pt idx="10">
                  <c:v>2.5659000000000001E-2</c:v>
                </c:pt>
                <c:pt idx="11">
                  <c:v>2.1700000000000001E-2</c:v>
                </c:pt>
                <c:pt idx="12">
                  <c:v>2.035E-2</c:v>
                </c:pt>
                <c:pt idx="13">
                  <c:v>1.4116E-2</c:v>
                </c:pt>
                <c:pt idx="14">
                  <c:v>1.3984E-2</c:v>
                </c:pt>
                <c:pt idx="15">
                  <c:v>1.1801000000000001E-2</c:v>
                </c:pt>
                <c:pt idx="16">
                  <c:v>1.0782E-2</c:v>
                </c:pt>
                <c:pt idx="17">
                  <c:v>1.044E-2</c:v>
                </c:pt>
                <c:pt idx="18">
                  <c:v>8.8559999999999993E-3</c:v>
                </c:pt>
                <c:pt idx="19">
                  <c:v>7.5249999999999996E-3</c:v>
                </c:pt>
                <c:pt idx="20">
                  <c:v>7.1110000000000001E-3</c:v>
                </c:pt>
                <c:pt idx="21">
                  <c:v>6.0289999999999996E-3</c:v>
                </c:pt>
              </c:numCache>
            </c:numRef>
          </c:val>
          <c:extLst>
            <c:ext xmlns:c16="http://schemas.microsoft.com/office/drawing/2014/chart" uri="{C3380CC4-5D6E-409C-BE32-E72D297353CC}">
              <c16:uniqueId val="{00000012-8AD5-4584-81D7-4111D11CF0F2}"/>
            </c:ext>
          </c:extLst>
        </c:ser>
        <c:dLbls>
          <c:showLegendKey val="0"/>
          <c:showVal val="0"/>
          <c:showCatName val="0"/>
          <c:showSerName val="0"/>
          <c:showPercent val="0"/>
          <c:showBubbleSize val="0"/>
        </c:dLbls>
        <c:gapWidth val="150"/>
        <c:axId val="168893440"/>
        <c:axId val="168864576"/>
      </c:barChart>
      <c:catAx>
        <c:axId val="16889344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4576"/>
        <c:crosses val="autoZero"/>
        <c:auto val="1"/>
        <c:lblAlgn val="ctr"/>
        <c:lblOffset val="100"/>
        <c:tickLblSkip val="1"/>
        <c:noMultiLvlLbl val="0"/>
      </c:catAx>
      <c:valAx>
        <c:axId val="168864576"/>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6889344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11" l="0.70000000000000062" r="0.70000000000000062" t="0.75000000000000511"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col"/>
        <c:grouping val="clustered"/>
        <c:varyColors val="0"/>
        <c:ser>
          <c:idx val="0"/>
          <c:order val="0"/>
          <c:tx>
            <c:strRef>
              <c:f>'BANDHAN- S&amp;P BSE SENSEX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3A-4079-BA52-CC2D783DC22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B3A-4079-BA52-CC2D783DC22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3A-4079-BA52-CC2D783DC22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B3A-4079-BA52-CC2D783DC22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B3A-4079-BA52-CC2D783DC22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B3A-4079-BA52-CC2D783DC22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B3A-4079-BA52-CC2D783DC22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B3A-4079-BA52-CC2D783DC22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B3A-4079-BA52-CC2D783DC22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B3A-4079-BA52-CC2D783DC22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B3A-4079-BA52-CC2D783DC22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B3A-4079-BA52-CC2D783DC22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B3A-4079-BA52-CC2D783DC22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B3A-4079-BA52-CC2D783DC22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B3A-4079-BA52-CC2D783DC22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0B3A-4079-BA52-CC2D783DC22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B3A-4079-BA52-CC2D783DC22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B3A-4079-BA52-CC2D783DC22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S&amp;P BSE SENSEX ETF'!$W$8:$W$22</c:f>
              <c:strCache>
                <c:ptCount val="15"/>
                <c:pt idx="0">
                  <c:v>Banks</c:v>
                </c:pt>
                <c:pt idx="1">
                  <c:v>IT - Software</c:v>
                </c:pt>
                <c:pt idx="2">
                  <c:v>Petroleum Products</c:v>
                </c:pt>
                <c:pt idx="3">
                  <c:v>Diversified FMCG</c:v>
                </c:pt>
                <c:pt idx="4">
                  <c:v>Automobiles</c:v>
                </c:pt>
                <c:pt idx="5">
                  <c:v>Construction</c:v>
                </c:pt>
                <c:pt idx="6">
                  <c:v>Telecom - Services</c:v>
                </c:pt>
                <c:pt idx="7">
                  <c:v>Power</c:v>
                </c:pt>
                <c:pt idx="8">
                  <c:v>Consumer Durables</c:v>
                </c:pt>
                <c:pt idx="9">
                  <c:v>Finance</c:v>
                </c:pt>
                <c:pt idx="10">
                  <c:v>Ferrous Metals</c:v>
                </c:pt>
                <c:pt idx="11">
                  <c:v>Pharmaceuticals &amp; Biotechnology</c:v>
                </c:pt>
                <c:pt idx="12">
                  <c:v>Cement &amp; Cement Products</c:v>
                </c:pt>
                <c:pt idx="13">
                  <c:v>Transport Infrastructure</c:v>
                </c:pt>
                <c:pt idx="14">
                  <c:v>Food Products</c:v>
                </c:pt>
              </c:strCache>
            </c:strRef>
          </c:cat>
          <c:val>
            <c:numRef>
              <c:f>'BANDHAN- S&amp;P BSE SENSEX ETF'!$X$8:$X$22</c:f>
              <c:numCache>
                <c:formatCode>0.00%</c:formatCode>
                <c:ptCount val="15"/>
                <c:pt idx="0">
                  <c:v>0.329181</c:v>
                </c:pt>
                <c:pt idx="1">
                  <c:v>0.14813899999999999</c:v>
                </c:pt>
                <c:pt idx="2">
                  <c:v>0.108442</c:v>
                </c:pt>
                <c:pt idx="3">
                  <c:v>7.4328999999999992E-2</c:v>
                </c:pt>
                <c:pt idx="4">
                  <c:v>6.7197999999999994E-2</c:v>
                </c:pt>
                <c:pt idx="5">
                  <c:v>4.7328000000000002E-2</c:v>
                </c:pt>
                <c:pt idx="6">
                  <c:v>4.2273999999999999E-2</c:v>
                </c:pt>
                <c:pt idx="7">
                  <c:v>3.7943999999999999E-2</c:v>
                </c:pt>
                <c:pt idx="8">
                  <c:v>3.0186000000000001E-2</c:v>
                </c:pt>
                <c:pt idx="9">
                  <c:v>2.8889999999999999E-2</c:v>
                </c:pt>
                <c:pt idx="10">
                  <c:v>2.3911000000000002E-2</c:v>
                </c:pt>
                <c:pt idx="11">
                  <c:v>1.9792000000000001E-2</c:v>
                </c:pt>
                <c:pt idx="12">
                  <c:v>1.4461999999999999E-2</c:v>
                </c:pt>
                <c:pt idx="13">
                  <c:v>1.2099E-2</c:v>
                </c:pt>
                <c:pt idx="14">
                  <c:v>9.3659999999999993E-3</c:v>
                </c:pt>
              </c:numCache>
            </c:numRef>
          </c:val>
          <c:extLst>
            <c:ext xmlns:c16="http://schemas.microsoft.com/office/drawing/2014/chart" uri="{C3380CC4-5D6E-409C-BE32-E72D297353CC}">
              <c16:uniqueId val="{00000012-0B3A-4079-BA52-CC2D783DC226}"/>
            </c:ext>
          </c:extLst>
        </c:ser>
        <c:dLbls>
          <c:showLegendKey val="0"/>
          <c:showVal val="0"/>
          <c:showCatName val="0"/>
          <c:showSerName val="0"/>
          <c:showPercent val="0"/>
          <c:showBubbleSize val="0"/>
        </c:dLbls>
        <c:gapWidth val="150"/>
        <c:axId val="170370560"/>
        <c:axId val="168866304"/>
      </c:barChart>
      <c:catAx>
        <c:axId val="170370560"/>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6304"/>
        <c:crosses val="autoZero"/>
        <c:auto val="1"/>
        <c:lblAlgn val="ctr"/>
        <c:lblOffset val="100"/>
        <c:tickLblSkip val="1"/>
        <c:noMultiLvlLbl val="0"/>
      </c:catAx>
      <c:valAx>
        <c:axId val="168866304"/>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370560"/>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50 ETF'!$X$7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344-47EB-86E0-95B4320B4A70}"/>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344-47EB-86E0-95B4320B4A70}"/>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344-47EB-86E0-95B4320B4A70}"/>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344-47EB-86E0-95B4320B4A70}"/>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344-47EB-86E0-95B4320B4A70}"/>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344-47EB-86E0-95B4320B4A70}"/>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344-47EB-86E0-95B4320B4A70}"/>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344-47EB-86E0-95B4320B4A70}"/>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344-47EB-86E0-95B4320B4A70}"/>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344-47EB-86E0-95B4320B4A70}"/>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344-47EB-86E0-95B4320B4A70}"/>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344-47EB-86E0-95B4320B4A70}"/>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344-47EB-86E0-95B4320B4A70}"/>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344-47EB-86E0-95B4320B4A70}"/>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344-47EB-86E0-95B4320B4A70}"/>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344-47EB-86E0-95B4320B4A70}"/>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A344-47EB-86E0-95B4320B4A70}"/>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344-47EB-86E0-95B4320B4A70}"/>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50 ETF'!$W$8:$W$29</c:f>
              <c:strCache>
                <c:ptCount val="22"/>
                <c:pt idx="0">
                  <c:v>Banks</c:v>
                </c:pt>
                <c:pt idx="1">
                  <c:v>IT - Software</c:v>
                </c:pt>
                <c:pt idx="2">
                  <c:v>Petroleum Products</c:v>
                </c:pt>
                <c:pt idx="3">
                  <c:v>Automobiles</c:v>
                </c:pt>
                <c:pt idx="4">
                  <c:v>Diversified FMCG</c:v>
                </c:pt>
                <c:pt idx="5">
                  <c:v>Construction</c:v>
                </c:pt>
                <c:pt idx="6">
                  <c:v>Pharmaceuticals &amp; Biotechnology</c:v>
                </c:pt>
                <c:pt idx="7">
                  <c:v>Telecom - Services</c:v>
                </c:pt>
                <c:pt idx="8">
                  <c:v>Finance</c:v>
                </c:pt>
                <c:pt idx="9">
                  <c:v>Power</c:v>
                </c:pt>
                <c:pt idx="10">
                  <c:v>Consumer Durables</c:v>
                </c:pt>
                <c:pt idx="11">
                  <c:v>Cement &amp; Cement Products</c:v>
                </c:pt>
                <c:pt idx="12">
                  <c:v>Ferrous Metals</c:v>
                </c:pt>
                <c:pt idx="13">
                  <c:v>Food Products</c:v>
                </c:pt>
                <c:pt idx="14">
                  <c:v>Insurance</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 Nifty 50 ETF'!$X$8:$X$29</c:f>
              <c:numCache>
                <c:formatCode>0.00%</c:formatCode>
                <c:ptCount val="22"/>
                <c:pt idx="0">
                  <c:v>0.279611</c:v>
                </c:pt>
                <c:pt idx="1">
                  <c:v>0.13691999999999999</c:v>
                </c:pt>
                <c:pt idx="2">
                  <c:v>9.8084000000000005E-2</c:v>
                </c:pt>
                <c:pt idx="3">
                  <c:v>8.1791000000000003E-2</c:v>
                </c:pt>
                <c:pt idx="4">
                  <c:v>6.3098000000000001E-2</c:v>
                </c:pt>
                <c:pt idx="5">
                  <c:v>4.0218999999999998E-2</c:v>
                </c:pt>
                <c:pt idx="6">
                  <c:v>3.7144999999999997E-2</c:v>
                </c:pt>
                <c:pt idx="7">
                  <c:v>3.6000999999999998E-2</c:v>
                </c:pt>
                <c:pt idx="8">
                  <c:v>3.2563000000000002E-2</c:v>
                </c:pt>
                <c:pt idx="9">
                  <c:v>3.2155000000000003E-2</c:v>
                </c:pt>
                <c:pt idx="10">
                  <c:v>2.5572999999999999E-2</c:v>
                </c:pt>
                <c:pt idx="11">
                  <c:v>2.1632999999999999E-2</c:v>
                </c:pt>
                <c:pt idx="12">
                  <c:v>2.0282000000000001E-2</c:v>
                </c:pt>
                <c:pt idx="13">
                  <c:v>1.4069000000000002E-2</c:v>
                </c:pt>
                <c:pt idx="14">
                  <c:v>1.3939E-2</c:v>
                </c:pt>
                <c:pt idx="15">
                  <c:v>1.1761000000000001E-2</c:v>
                </c:pt>
                <c:pt idx="16">
                  <c:v>1.0744999999999999E-2</c:v>
                </c:pt>
                <c:pt idx="17">
                  <c:v>1.0404E-2</c:v>
                </c:pt>
                <c:pt idx="18">
                  <c:v>8.8249999999999995E-3</c:v>
                </c:pt>
                <c:pt idx="19">
                  <c:v>7.4949999999999999E-3</c:v>
                </c:pt>
                <c:pt idx="20">
                  <c:v>6.8270000000000006E-3</c:v>
                </c:pt>
                <c:pt idx="21">
                  <c:v>6.0049999999999999E-3</c:v>
                </c:pt>
              </c:numCache>
            </c:numRef>
          </c:val>
          <c:extLst>
            <c:ext xmlns:c16="http://schemas.microsoft.com/office/drawing/2014/chart" uri="{C3380CC4-5D6E-409C-BE32-E72D297353CC}">
              <c16:uniqueId val="{00000012-A344-47EB-86E0-95B4320B4A70}"/>
            </c:ext>
          </c:extLst>
        </c:ser>
        <c:ser>
          <c:idx val="1"/>
          <c:order val="1"/>
          <c:tx>
            <c:strRef>
              <c:f>'BANDHAN- S&amp;P BSE SENSEX ETF'!$C$4</c:f>
              <c:strCache>
                <c:ptCount val="1"/>
                <c:pt idx="0">
                  <c:v>Portfolio as on - (31st July 2024)</c:v>
                </c:pt>
              </c:strCache>
            </c:strRef>
          </c:tx>
          <c:invertIfNegative val="0"/>
          <c:cat>
            <c:strRef>
              <c:f>'BANDHAN- Nifty 50 ETF'!$W$8:$W$29</c:f>
              <c:strCache>
                <c:ptCount val="22"/>
                <c:pt idx="0">
                  <c:v>Banks</c:v>
                </c:pt>
                <c:pt idx="1">
                  <c:v>IT - Software</c:v>
                </c:pt>
                <c:pt idx="2">
                  <c:v>Petroleum Products</c:v>
                </c:pt>
                <c:pt idx="3">
                  <c:v>Automobiles</c:v>
                </c:pt>
                <c:pt idx="4">
                  <c:v>Diversified FMCG</c:v>
                </c:pt>
                <c:pt idx="5">
                  <c:v>Construction</c:v>
                </c:pt>
                <c:pt idx="6">
                  <c:v>Pharmaceuticals &amp; Biotechnology</c:v>
                </c:pt>
                <c:pt idx="7">
                  <c:v>Telecom - Services</c:v>
                </c:pt>
                <c:pt idx="8">
                  <c:v>Finance</c:v>
                </c:pt>
                <c:pt idx="9">
                  <c:v>Power</c:v>
                </c:pt>
                <c:pt idx="10">
                  <c:v>Consumer Durables</c:v>
                </c:pt>
                <c:pt idx="11">
                  <c:v>Cement &amp; Cement Products</c:v>
                </c:pt>
                <c:pt idx="12">
                  <c:v>Ferrous Metals</c:v>
                </c:pt>
                <c:pt idx="13">
                  <c:v>Food Products</c:v>
                </c:pt>
                <c:pt idx="14">
                  <c:v>Insurance</c:v>
                </c:pt>
                <c:pt idx="15">
                  <c:v>Oil</c:v>
                </c:pt>
                <c:pt idx="16">
                  <c:v>Consumable Fuels</c:v>
                </c:pt>
                <c:pt idx="17">
                  <c:v>Transport Infrastructure</c:v>
                </c:pt>
                <c:pt idx="18">
                  <c:v>Non - Ferrous Metals</c:v>
                </c:pt>
                <c:pt idx="19">
                  <c:v>Metals &amp; Minerals Trading</c:v>
                </c:pt>
                <c:pt idx="20">
                  <c:v>Agricultural Food &amp; other Products</c:v>
                </c:pt>
                <c:pt idx="21">
                  <c:v>Healthcare Services</c:v>
                </c:pt>
              </c:strCache>
            </c:strRef>
          </c:cat>
          <c:val>
            <c:numRef>
              <c:f>'BANDHAN- S&amp;P BSE SENSEX ETF'!$C$5</c:f>
              <c:numCache>
                <c:formatCode>General</c:formatCode>
                <c:ptCount val="1"/>
                <c:pt idx="0">
                  <c:v>0</c:v>
                </c:pt>
              </c:numCache>
            </c:numRef>
          </c:val>
          <c:extLst>
            <c:ext xmlns:c16="http://schemas.microsoft.com/office/drawing/2014/chart" uri="{C3380CC4-5D6E-409C-BE32-E72D297353CC}">
              <c16:uniqueId val="{00000000-EB25-4F93-8ECD-7FC415C9C47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2.9941768547915651E-2"/>
          <c:y val="2.7220725006571359E-2"/>
          <c:w val="0.95511996115408138"/>
          <c:h val="0.619799540891394"/>
        </c:manualLayout>
      </c:layout>
      <c:barChart>
        <c:barDir val="col"/>
        <c:grouping val="clustered"/>
        <c:varyColors val="0"/>
        <c:ser>
          <c:idx val="0"/>
          <c:order val="0"/>
          <c:tx>
            <c:strRef>
              <c:f>'BANDHAN-Nifty 100 Index'!$X$7</c:f>
              <c:strCache>
                <c:ptCount val="1"/>
                <c:pt idx="0">
                  <c:v>(%) NAV</c:v>
                </c:pt>
              </c:strCache>
            </c:strRef>
          </c:tx>
          <c:spPr>
            <a:solidFill>
              <a:schemeClr val="dk1">
                <a:tint val="885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103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 100 Index'!$W$8:$W$41</c:f>
              <c:strCache>
                <c:ptCount val="34"/>
                <c:pt idx="0">
                  <c:v>Banks</c:v>
                </c:pt>
                <c:pt idx="1">
                  <c:v>IT - Software</c:v>
                </c:pt>
                <c:pt idx="2">
                  <c:v>Petroleum Products</c:v>
                </c:pt>
                <c:pt idx="3">
                  <c:v>Automobiles</c:v>
                </c:pt>
                <c:pt idx="4">
                  <c:v>Finance</c:v>
                </c:pt>
                <c:pt idx="5">
                  <c:v>Diversified FMCG</c:v>
                </c:pt>
                <c:pt idx="6">
                  <c:v>Power</c:v>
                </c:pt>
                <c:pt idx="7">
                  <c:v>Pharmaceuticals &amp; Biotechnology</c:v>
                </c:pt>
                <c:pt idx="8">
                  <c:v>Construction</c:v>
                </c:pt>
                <c:pt idx="9">
                  <c:v>Telecom - Services</c:v>
                </c:pt>
                <c:pt idx="10">
                  <c:v>Retailing</c:v>
                </c:pt>
                <c:pt idx="11">
                  <c:v>Consumer Durables</c:v>
                </c:pt>
                <c:pt idx="12">
                  <c:v>Cement &amp; Cement Products</c:v>
                </c:pt>
                <c:pt idx="13">
                  <c:v>Ferrous Metals</c:v>
                </c:pt>
                <c:pt idx="14">
                  <c:v>Insurance</c:v>
                </c:pt>
                <c:pt idx="15">
                  <c:v>Aerospace &amp; Defense</c:v>
                </c:pt>
                <c:pt idx="16">
                  <c:v>Food Products</c:v>
                </c:pt>
                <c:pt idx="17">
                  <c:v>Personal Products</c:v>
                </c:pt>
                <c:pt idx="18">
                  <c:v>Oil</c:v>
                </c:pt>
                <c:pt idx="19">
                  <c:v>Consumable Fuels</c:v>
                </c:pt>
                <c:pt idx="20">
                  <c:v>Beverages</c:v>
                </c:pt>
                <c:pt idx="21">
                  <c:v>Transport Infrastructure</c:v>
                </c:pt>
                <c:pt idx="22">
                  <c:v>Agricultural Food &amp; other Products</c:v>
                </c:pt>
                <c:pt idx="23">
                  <c:v>Electrical Equipment</c:v>
                </c:pt>
                <c:pt idx="24">
                  <c:v>Non - Ferrous Metals</c:v>
                </c:pt>
                <c:pt idx="25">
                  <c:v>Gas</c:v>
                </c:pt>
                <c:pt idx="26">
                  <c:v>Chemicals &amp; Petrochemicals</c:v>
                </c:pt>
                <c:pt idx="27">
                  <c:v>Auto Components</c:v>
                </c:pt>
                <c:pt idx="28">
                  <c:v>Metals &amp; Minerals Trading</c:v>
                </c:pt>
                <c:pt idx="29">
                  <c:v>Diversified Metals</c:v>
                </c:pt>
                <c:pt idx="30">
                  <c:v>Transport Services</c:v>
                </c:pt>
                <c:pt idx="31">
                  <c:v>Healthcare Services</c:v>
                </c:pt>
                <c:pt idx="32">
                  <c:v>Realty</c:v>
                </c:pt>
                <c:pt idx="33">
                  <c:v>Leisure Services</c:v>
                </c:pt>
              </c:strCache>
            </c:strRef>
          </c:cat>
          <c:val>
            <c:numRef>
              <c:f>'BANDHAN-Nifty 100 Index'!$X$8:$X$41</c:f>
              <c:numCache>
                <c:formatCode>0.00%</c:formatCode>
                <c:ptCount val="34"/>
                <c:pt idx="0">
                  <c:v>0.23263899999999998</c:v>
                </c:pt>
                <c:pt idx="1">
                  <c:v>0.10959199999999999</c:v>
                </c:pt>
                <c:pt idx="2">
                  <c:v>8.3317000000000002E-2</c:v>
                </c:pt>
                <c:pt idx="3">
                  <c:v>7.2386999999999993E-2</c:v>
                </c:pt>
                <c:pt idx="4">
                  <c:v>5.6915E-2</c:v>
                </c:pt>
                <c:pt idx="5">
                  <c:v>5.0500000000000003E-2</c:v>
                </c:pt>
                <c:pt idx="6">
                  <c:v>4.3528999999999998E-2</c:v>
                </c:pt>
                <c:pt idx="7">
                  <c:v>3.4091999999999997E-2</c:v>
                </c:pt>
                <c:pt idx="8">
                  <c:v>3.2199999999999999E-2</c:v>
                </c:pt>
                <c:pt idx="9">
                  <c:v>2.8812999999999998E-2</c:v>
                </c:pt>
                <c:pt idx="10">
                  <c:v>2.8811999999999997E-2</c:v>
                </c:pt>
                <c:pt idx="11">
                  <c:v>2.4938999999999999E-2</c:v>
                </c:pt>
                <c:pt idx="12">
                  <c:v>2.2883000000000001E-2</c:v>
                </c:pt>
                <c:pt idx="13">
                  <c:v>1.8853000000000002E-2</c:v>
                </c:pt>
                <c:pt idx="14">
                  <c:v>1.8339999999999999E-2</c:v>
                </c:pt>
                <c:pt idx="15">
                  <c:v>1.4834E-2</c:v>
                </c:pt>
                <c:pt idx="16">
                  <c:v>1.1261E-2</c:v>
                </c:pt>
                <c:pt idx="17">
                  <c:v>9.9080000000000001E-3</c:v>
                </c:pt>
                <c:pt idx="18">
                  <c:v>9.4129999999999995E-3</c:v>
                </c:pt>
                <c:pt idx="19">
                  <c:v>8.6E-3</c:v>
                </c:pt>
                <c:pt idx="20">
                  <c:v>8.4480000000000006E-3</c:v>
                </c:pt>
                <c:pt idx="21">
                  <c:v>8.3269999999999993E-3</c:v>
                </c:pt>
                <c:pt idx="22">
                  <c:v>8.1930000000000006E-3</c:v>
                </c:pt>
                <c:pt idx="23">
                  <c:v>7.6100000000000004E-3</c:v>
                </c:pt>
                <c:pt idx="24">
                  <c:v>7.064E-3</c:v>
                </c:pt>
                <c:pt idx="25">
                  <c:v>6.4700000000000001E-3</c:v>
                </c:pt>
                <c:pt idx="26">
                  <c:v>6.2859999999999999E-3</c:v>
                </c:pt>
                <c:pt idx="27">
                  <c:v>6.0029999999999997E-3</c:v>
                </c:pt>
                <c:pt idx="28">
                  <c:v>6.0020000000000004E-3</c:v>
                </c:pt>
                <c:pt idx="29">
                  <c:v>5.4790000000000004E-3</c:v>
                </c:pt>
                <c:pt idx="30">
                  <c:v>5.3610000000000003E-3</c:v>
                </c:pt>
                <c:pt idx="31">
                  <c:v>4.8079999999999998E-3</c:v>
                </c:pt>
                <c:pt idx="32">
                  <c:v>4.1330000000000004E-3</c:v>
                </c:pt>
                <c:pt idx="33">
                  <c:v>2.1679999999999998E-3</c:v>
                </c:pt>
              </c:numCache>
            </c:numRef>
          </c:val>
          <c:extLst>
            <c:ext xmlns:c16="http://schemas.microsoft.com/office/drawing/2014/chart" uri="{C3380CC4-5D6E-409C-BE32-E72D297353CC}">
              <c16:uniqueId val="{00000000-355C-4BBD-B580-6D601176AA5C}"/>
            </c:ext>
          </c:extLst>
        </c:ser>
        <c:dLbls>
          <c:showLegendKey val="0"/>
          <c:showVal val="1"/>
          <c:showCatName val="0"/>
          <c:showSerName val="0"/>
          <c:showPercent val="0"/>
          <c:showBubbleSize val="0"/>
        </c:dLbls>
        <c:gapWidth val="150"/>
        <c:overlap val="-25"/>
        <c:axId val="1093455375"/>
        <c:axId val="889905119"/>
      </c:barChart>
      <c:catAx>
        <c:axId val="109345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3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89905119"/>
        <c:crosses val="autoZero"/>
        <c:auto val="1"/>
        <c:lblAlgn val="ctr"/>
        <c:lblOffset val="100"/>
        <c:noMultiLvlLbl val="0"/>
      </c:catAx>
      <c:valAx>
        <c:axId val="889905119"/>
        <c:scaling>
          <c:orientation val="minMax"/>
        </c:scaling>
        <c:delete val="1"/>
        <c:axPos val="l"/>
        <c:numFmt formatCode="0.00%" sourceLinked="1"/>
        <c:majorTickMark val="none"/>
        <c:minorTickMark val="none"/>
        <c:tickLblPos val="nextTo"/>
        <c:crossAx val="1093455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3800613264745215E-2"/>
          <c:y val="1.8895707103645184E-2"/>
          <c:w val="0.96692117080586137"/>
          <c:h val="0.57234435549851026"/>
        </c:manualLayout>
      </c:layout>
      <c:barChart>
        <c:barDir val="col"/>
        <c:grouping val="clustered"/>
        <c:varyColors val="0"/>
        <c:ser>
          <c:idx val="0"/>
          <c:order val="0"/>
          <c:tx>
            <c:strRef>
              <c:f>'BANDHAN-Nifty200 Mom30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E8-4152-B88A-FC7E01B89C52}"/>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E8-4152-B88A-FC7E01B89C52}"/>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E8-4152-B88A-FC7E01B89C52}"/>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E8-4152-B88A-FC7E01B89C52}"/>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E8-4152-B88A-FC7E01B89C52}"/>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CE8-4152-B88A-FC7E01B89C52}"/>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E8-4152-B88A-FC7E01B89C52}"/>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E8-4152-B88A-FC7E01B89C52}"/>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CE8-4152-B88A-FC7E01B89C52}"/>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CE8-4152-B88A-FC7E01B89C52}"/>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CE8-4152-B88A-FC7E01B89C52}"/>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CE8-4152-B88A-FC7E01B89C52}"/>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CE8-4152-B88A-FC7E01B89C52}"/>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CE8-4152-B88A-FC7E01B89C52}"/>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CE8-4152-B88A-FC7E01B89C52}"/>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CE8-4152-B88A-FC7E01B89C52}"/>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CE8-4152-B88A-FC7E01B89C52}"/>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CE8-4152-B88A-FC7E01B89C52}"/>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'BANDHAN-Nifty200 Mom30 Index'!$W$8:$W$25</c:f>
              <c:strCache>
                <c:ptCount val="18"/>
                <c:pt idx="0">
                  <c:v>Automobiles</c:v>
                </c:pt>
                <c:pt idx="1">
                  <c:v>Electrical Equipment</c:v>
                </c:pt>
                <c:pt idx="2">
                  <c:v>Aerospace &amp; Defense</c:v>
                </c:pt>
                <c:pt idx="3">
                  <c:v>Power</c:v>
                </c:pt>
                <c:pt idx="4">
                  <c:v>Finance</c:v>
                </c:pt>
                <c:pt idx="5">
                  <c:v>Telecom - Services</c:v>
                </c:pt>
                <c:pt idx="6">
                  <c:v>Auto Components</c:v>
                </c:pt>
                <c:pt idx="7">
                  <c:v>Retailing</c:v>
                </c:pt>
                <c:pt idx="8">
                  <c:v>Transport Infrastructure</c:v>
                </c:pt>
                <c:pt idx="9">
                  <c:v>Consumable Fuels</c:v>
                </c:pt>
                <c:pt idx="10">
                  <c:v>Pharmaceuticals &amp; Biotechnology</c:v>
                </c:pt>
                <c:pt idx="11">
                  <c:v>Industrial Products</c:v>
                </c:pt>
                <c:pt idx="12">
                  <c:v>Diversified Metals</c:v>
                </c:pt>
                <c:pt idx="13">
                  <c:v>Consumer Durables</c:v>
                </c:pt>
                <c:pt idx="14">
                  <c:v>Banks</c:v>
                </c:pt>
                <c:pt idx="15">
                  <c:v>Minerals &amp; Mining</c:v>
                </c:pt>
                <c:pt idx="16">
                  <c:v>IT - Software</c:v>
                </c:pt>
                <c:pt idx="17">
                  <c:v>Realty</c:v>
                </c:pt>
              </c:strCache>
            </c:strRef>
          </c:cat>
          <c:val>
            <c:numRef>
              <c:f>'BANDHAN-Nifty200 Mom30 Index'!$X$8:$X$25</c:f>
              <c:numCache>
                <c:formatCode>0.00%</c:formatCode>
                <c:ptCount val="18"/>
                <c:pt idx="0">
                  <c:v>0.179895</c:v>
                </c:pt>
                <c:pt idx="1">
                  <c:v>9.2222999999999999E-2</c:v>
                </c:pt>
                <c:pt idx="2">
                  <c:v>9.1514999999999999E-2</c:v>
                </c:pt>
                <c:pt idx="3">
                  <c:v>9.1389999999999999E-2</c:v>
                </c:pt>
                <c:pt idx="4">
                  <c:v>8.9995999999999993E-2</c:v>
                </c:pt>
                <c:pt idx="5">
                  <c:v>6.8594000000000002E-2</c:v>
                </c:pt>
                <c:pt idx="6">
                  <c:v>5.7326000000000002E-2</c:v>
                </c:pt>
                <c:pt idx="7">
                  <c:v>5.1663000000000001E-2</c:v>
                </c:pt>
                <c:pt idx="8">
                  <c:v>5.0932999999999999E-2</c:v>
                </c:pt>
                <c:pt idx="9">
                  <c:v>4.8466000000000002E-2</c:v>
                </c:pt>
                <c:pt idx="10">
                  <c:v>3.5515999999999999E-2</c:v>
                </c:pt>
                <c:pt idx="11">
                  <c:v>3.4873000000000001E-2</c:v>
                </c:pt>
                <c:pt idx="12">
                  <c:v>2.9843000000000001E-2</c:v>
                </c:pt>
                <c:pt idx="13">
                  <c:v>2.6612E-2</c:v>
                </c:pt>
                <c:pt idx="14">
                  <c:v>1.9549E-2</c:v>
                </c:pt>
                <c:pt idx="15">
                  <c:v>1.1905000000000001E-2</c:v>
                </c:pt>
                <c:pt idx="16">
                  <c:v>1.1627E-2</c:v>
                </c:pt>
                <c:pt idx="17">
                  <c:v>7.4729999999999996E-3</c:v>
                </c:pt>
              </c:numCache>
            </c:numRef>
          </c:val>
          <c:extLst>
            <c:ext xmlns:c16="http://schemas.microsoft.com/office/drawing/2014/chart" uri="{C3380CC4-5D6E-409C-BE32-E72D297353CC}">
              <c16:uniqueId val="{00000012-7CE8-4152-B88A-FC7E01B89C52}"/>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NIF100LV30'!$X$7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64C-421A-984F-8F292FB1ED8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4C-421A-984F-8F292FB1ED8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4C-421A-984F-8F292FB1ED8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4C-421A-984F-8F292FB1ED8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C-421A-984F-8F292FB1ED8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4C-421A-984F-8F292FB1ED8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C-421A-984F-8F292FB1ED8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64C-421A-984F-8F292FB1ED8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64C-421A-984F-8F292FB1ED8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64C-421A-984F-8F292FB1ED8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64C-421A-984F-8F292FB1ED8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64C-421A-984F-8F292FB1ED8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64C-421A-984F-8F292FB1ED8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64C-421A-984F-8F292FB1ED8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64C-421A-984F-8F292FB1ED8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64C-421A-984F-8F292FB1ED8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64C-421A-984F-8F292FB1ED8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64C-421A-984F-8F292FB1ED8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NIF100LV30'!$W$8:$W$24</c:f>
              <c:strCache>
                <c:ptCount val="17"/>
                <c:pt idx="0">
                  <c:v>Pharmaceuticals &amp; Biotechnology</c:v>
                </c:pt>
                <c:pt idx="1">
                  <c:v>Banks</c:v>
                </c:pt>
                <c:pt idx="2">
                  <c:v>IT - Software</c:v>
                </c:pt>
                <c:pt idx="3">
                  <c:v>Consumer Durables</c:v>
                </c:pt>
                <c:pt idx="4">
                  <c:v>Diversified FMCG</c:v>
                </c:pt>
                <c:pt idx="5">
                  <c:v>Food Products</c:v>
                </c:pt>
                <c:pt idx="6">
                  <c:v>Personal Products</c:v>
                </c:pt>
                <c:pt idx="7">
                  <c:v>Automobiles</c:v>
                </c:pt>
                <c:pt idx="8">
                  <c:v>Insurance</c:v>
                </c:pt>
                <c:pt idx="9">
                  <c:v>Telecom - Services</c:v>
                </c:pt>
                <c:pt idx="10">
                  <c:v>Cement &amp; Cement Products</c:v>
                </c:pt>
                <c:pt idx="11">
                  <c:v>Petroleum Products</c:v>
                </c:pt>
                <c:pt idx="12">
                  <c:v>Construction</c:v>
                </c:pt>
                <c:pt idx="13">
                  <c:v>Agricultural Food &amp; other Products</c:v>
                </c:pt>
                <c:pt idx="14">
                  <c:v>Power</c:v>
                </c:pt>
                <c:pt idx="15">
                  <c:v>Auto Components</c:v>
                </c:pt>
                <c:pt idx="16">
                  <c:v>Chemicals &amp; Petrochemicals</c:v>
                </c:pt>
              </c:strCache>
            </c:strRef>
          </c:cat>
          <c:val>
            <c:numRef>
              <c:f>'BANDHAN NIF100LV30'!$X$8:$X$24</c:f>
              <c:numCache>
                <c:formatCode>0.00%</c:formatCode>
                <c:ptCount val="17"/>
                <c:pt idx="0">
                  <c:v>0.13309199999999999</c:v>
                </c:pt>
                <c:pt idx="1">
                  <c:v>0.10117699999999999</c:v>
                </c:pt>
                <c:pt idx="2">
                  <c:v>0.100411</c:v>
                </c:pt>
                <c:pt idx="3">
                  <c:v>0.100061</c:v>
                </c:pt>
                <c:pt idx="4">
                  <c:v>8.6624000000000007E-2</c:v>
                </c:pt>
                <c:pt idx="5">
                  <c:v>7.0776000000000006E-2</c:v>
                </c:pt>
                <c:pt idx="6">
                  <c:v>6.3134999999999997E-2</c:v>
                </c:pt>
                <c:pt idx="7">
                  <c:v>5.2295999999999995E-2</c:v>
                </c:pt>
                <c:pt idx="8">
                  <c:v>3.7154E-2</c:v>
                </c:pt>
                <c:pt idx="9">
                  <c:v>3.6685000000000002E-2</c:v>
                </c:pt>
                <c:pt idx="10">
                  <c:v>3.6567000000000002E-2</c:v>
                </c:pt>
                <c:pt idx="11">
                  <c:v>3.6316000000000001E-2</c:v>
                </c:pt>
                <c:pt idx="12">
                  <c:v>3.1396E-2</c:v>
                </c:pt>
                <c:pt idx="13">
                  <c:v>3.0662999999999999E-2</c:v>
                </c:pt>
                <c:pt idx="14">
                  <c:v>2.9314E-2</c:v>
                </c:pt>
                <c:pt idx="15">
                  <c:v>2.8934999999999999E-2</c:v>
                </c:pt>
                <c:pt idx="16">
                  <c:v>2.8400000000000002E-2</c:v>
                </c:pt>
              </c:numCache>
            </c:numRef>
          </c:val>
          <c:extLst>
            <c:ext xmlns:c16="http://schemas.microsoft.com/office/drawing/2014/chart" uri="{C3380CC4-5D6E-409C-BE32-E72D297353CC}">
              <c16:uniqueId val="{00000012-E64C-421A-984F-8F292FB1ED8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IT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41-41C0-8C23-BD4F5F29DA25}"/>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41-41C0-8C23-BD4F5F29DA25}"/>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41-41C0-8C23-BD4F5F29DA25}"/>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1-41C0-8C23-BD4F5F29DA25}"/>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1-41C0-8C23-BD4F5F29DA25}"/>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41-41C0-8C23-BD4F5F29DA25}"/>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41-41C0-8C23-BD4F5F29DA25}"/>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41-41C0-8C23-BD4F5F29DA25}"/>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41-41C0-8C23-BD4F5F29DA25}"/>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41-41C0-8C23-BD4F5F29DA25}"/>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541-41C0-8C23-BD4F5F29DA25}"/>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541-41C0-8C23-BD4F5F29DA25}"/>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541-41C0-8C23-BD4F5F29DA25}"/>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541-41C0-8C23-BD4F5F29DA25}"/>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541-41C0-8C23-BD4F5F29DA25}"/>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541-41C0-8C23-BD4F5F29DA25}"/>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541-41C0-8C23-BD4F5F29DA25}"/>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541-41C0-8C23-BD4F5F29DA25}"/>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IT INDEX'!$W$8:$W$9</c:f>
              <c:strCache>
                <c:ptCount val="2"/>
                <c:pt idx="0">
                  <c:v>IT - Software</c:v>
                </c:pt>
                <c:pt idx="1">
                  <c:v>IT - Services</c:v>
                </c:pt>
              </c:strCache>
            </c:strRef>
          </c:cat>
          <c:val>
            <c:numRef>
              <c:f>'BANDHAN NIFTY IT INDEX'!$X$8:$X$9</c:f>
              <c:numCache>
                <c:formatCode>0.00%</c:formatCode>
                <c:ptCount val="2"/>
                <c:pt idx="0">
                  <c:v>0.97865900000000006</c:v>
                </c:pt>
                <c:pt idx="1">
                  <c:v>1.5330999999999999E-2</c:v>
                </c:pt>
              </c:numCache>
            </c:numRef>
          </c:val>
          <c:extLst>
            <c:ext xmlns:c16="http://schemas.microsoft.com/office/drawing/2014/chart" uri="{C3380CC4-5D6E-409C-BE32-E72D297353CC}">
              <c16:uniqueId val="{00000012-B541-41C0-8C23-BD4F5F29DA25}"/>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Alpha 50 Index'!$X$7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77-43B4-9FC3-EE6086A230E4}"/>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77-43B4-9FC3-EE6086A230E4}"/>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77-43B4-9FC3-EE6086A230E4}"/>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77-43B4-9FC3-EE6086A230E4}"/>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B77-43B4-9FC3-EE6086A230E4}"/>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B77-43B4-9FC3-EE6086A230E4}"/>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B77-43B4-9FC3-EE6086A230E4}"/>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B77-43B4-9FC3-EE6086A230E4}"/>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B77-43B4-9FC3-EE6086A230E4}"/>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B77-43B4-9FC3-EE6086A230E4}"/>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B77-43B4-9FC3-EE6086A230E4}"/>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B77-43B4-9FC3-EE6086A230E4}"/>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B77-43B4-9FC3-EE6086A230E4}"/>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B77-43B4-9FC3-EE6086A230E4}"/>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B77-43B4-9FC3-EE6086A230E4}"/>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B77-43B4-9FC3-EE6086A230E4}"/>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B77-43B4-9FC3-EE6086A230E4}"/>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B77-43B4-9FC3-EE6086A230E4}"/>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Alpha 50 Index'!$W$8:$W$27</c:f>
              <c:strCache>
                <c:ptCount val="20"/>
                <c:pt idx="0">
                  <c:v>Finance</c:v>
                </c:pt>
                <c:pt idx="1">
                  <c:v>Power</c:v>
                </c:pt>
                <c:pt idx="2">
                  <c:v>Electrical Equipment</c:v>
                </c:pt>
                <c:pt idx="3">
                  <c:v>Construction</c:v>
                </c:pt>
                <c:pt idx="4">
                  <c:v>Capital Markets</c:v>
                </c:pt>
                <c:pt idx="5">
                  <c:v>Pharmaceuticals &amp; Biotechnology</c:v>
                </c:pt>
                <c:pt idx="6">
                  <c:v>Aerospace &amp; Defense</c:v>
                </c:pt>
                <c:pt idx="7">
                  <c:v>Consumer Durables</c:v>
                </c:pt>
                <c:pt idx="8">
                  <c:v>Banks</c:v>
                </c:pt>
                <c:pt idx="9">
                  <c:v>Retailing</c:v>
                </c:pt>
                <c:pt idx="10">
                  <c:v>Industrial Products</c:v>
                </c:pt>
                <c:pt idx="11">
                  <c:v>Realty</c:v>
                </c:pt>
                <c:pt idx="12">
                  <c:v>Industrial Manufacturing</c:v>
                </c:pt>
                <c:pt idx="13">
                  <c:v>IT - Software</c:v>
                </c:pt>
                <c:pt idx="14">
                  <c:v>Automobiles</c:v>
                </c:pt>
                <c:pt idx="15">
                  <c:v>Non - Ferrous Metals</c:v>
                </c:pt>
                <c:pt idx="16">
                  <c:v>Ferrous Metals</c:v>
                </c:pt>
                <c:pt idx="17">
                  <c:v>Financial Technology (Fintech)</c:v>
                </c:pt>
                <c:pt idx="18">
                  <c:v>Insurance</c:v>
                </c:pt>
                <c:pt idx="19">
                  <c:v>Beverages</c:v>
                </c:pt>
              </c:strCache>
            </c:strRef>
          </c:cat>
          <c:val>
            <c:numRef>
              <c:f>'Bandhan Nifty Alpha 50 Index'!$X$8:$X$27</c:f>
              <c:numCache>
                <c:formatCode>0.00%</c:formatCode>
                <c:ptCount val="20"/>
                <c:pt idx="0">
                  <c:v>0.13233400000000001</c:v>
                </c:pt>
                <c:pt idx="1">
                  <c:v>0.123227</c:v>
                </c:pt>
                <c:pt idx="2">
                  <c:v>0.10227900000000001</c:v>
                </c:pt>
                <c:pt idx="3">
                  <c:v>7.2057999999999997E-2</c:v>
                </c:pt>
                <c:pt idx="4">
                  <c:v>6.3982999999999998E-2</c:v>
                </c:pt>
                <c:pt idx="5">
                  <c:v>6.1302000000000002E-2</c:v>
                </c:pt>
                <c:pt idx="6">
                  <c:v>5.9827000000000005E-2</c:v>
                </c:pt>
                <c:pt idx="7">
                  <c:v>5.7436000000000001E-2</c:v>
                </c:pt>
                <c:pt idx="8">
                  <c:v>5.5396000000000001E-2</c:v>
                </c:pt>
                <c:pt idx="9">
                  <c:v>4.6829999999999997E-2</c:v>
                </c:pt>
                <c:pt idx="10">
                  <c:v>3.8662999999999996E-2</c:v>
                </c:pt>
                <c:pt idx="11">
                  <c:v>3.7985999999999999E-2</c:v>
                </c:pt>
                <c:pt idx="12">
                  <c:v>3.0065000000000001E-2</c:v>
                </c:pt>
                <c:pt idx="13">
                  <c:v>2.3720999999999999E-2</c:v>
                </c:pt>
                <c:pt idx="14">
                  <c:v>2.3390000000000001E-2</c:v>
                </c:pt>
                <c:pt idx="15">
                  <c:v>2.0379000000000001E-2</c:v>
                </c:pt>
                <c:pt idx="16">
                  <c:v>1.8128999999999999E-2</c:v>
                </c:pt>
                <c:pt idx="17">
                  <c:v>1.5469E-2</c:v>
                </c:pt>
                <c:pt idx="18">
                  <c:v>1.108E-2</c:v>
                </c:pt>
                <c:pt idx="19">
                  <c:v>9.9909999999999999E-3</c:v>
                </c:pt>
              </c:numCache>
            </c:numRef>
          </c:val>
          <c:extLst>
            <c:ext xmlns:c16="http://schemas.microsoft.com/office/drawing/2014/chart" uri="{C3380CC4-5D6E-409C-BE32-E72D297353CC}">
              <c16:uniqueId val="{00000012-BB77-43B4-9FC3-EE6086A230E4}"/>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Smallcap 250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3E2-43F0-81FD-F9BD241304A6}"/>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E2-43F0-81FD-F9BD241304A6}"/>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3E2-43F0-81FD-F9BD241304A6}"/>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E2-43F0-81FD-F9BD241304A6}"/>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3E2-43F0-81FD-F9BD241304A6}"/>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3E2-43F0-81FD-F9BD241304A6}"/>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3E2-43F0-81FD-F9BD241304A6}"/>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3E2-43F0-81FD-F9BD241304A6}"/>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3E2-43F0-81FD-F9BD241304A6}"/>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3E2-43F0-81FD-F9BD241304A6}"/>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3E2-43F0-81FD-F9BD241304A6}"/>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3E2-43F0-81FD-F9BD241304A6}"/>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3E2-43F0-81FD-F9BD241304A6}"/>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F3E2-43F0-81FD-F9BD241304A6}"/>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3E2-43F0-81FD-F9BD241304A6}"/>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3E2-43F0-81FD-F9BD241304A6}"/>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3E2-43F0-81FD-F9BD241304A6}"/>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F3E2-43F0-81FD-F9BD241304A6}"/>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Smallcap 250 '!$W$8:$W$51</c:f>
              <c:strCache>
                <c:ptCount val="44"/>
                <c:pt idx="0">
                  <c:v>Capital Markets</c:v>
                </c:pt>
                <c:pt idx="1">
                  <c:v>Finance</c:v>
                </c:pt>
                <c:pt idx="2">
                  <c:v>Pharmaceuticals &amp; Biotechnology</c:v>
                </c:pt>
                <c:pt idx="3">
                  <c:v>Industrial Products</c:v>
                </c:pt>
                <c:pt idx="4">
                  <c:v>Consumer Durables</c:v>
                </c:pt>
                <c:pt idx="5">
                  <c:v>Construction</c:v>
                </c:pt>
                <c:pt idx="6">
                  <c:v>Auto Components</c:v>
                </c:pt>
                <c:pt idx="7">
                  <c:v>Chemicals &amp; Petrochemicals</c:v>
                </c:pt>
                <c:pt idx="8">
                  <c:v>Banks</c:v>
                </c:pt>
                <c:pt idx="9">
                  <c:v>Industrial Manufacturing</c:v>
                </c:pt>
                <c:pt idx="10">
                  <c:v>IT - Software</c:v>
                </c:pt>
                <c:pt idx="11">
                  <c:v>Healthcare Services</c:v>
                </c:pt>
                <c:pt idx="12">
                  <c:v>Electrical Equipment</c:v>
                </c:pt>
                <c:pt idx="13">
                  <c:v>Leisure Services</c:v>
                </c:pt>
                <c:pt idx="14">
                  <c:v>Realty</c:v>
                </c:pt>
                <c:pt idx="15">
                  <c:v>Commercial Services &amp; Supplies</c:v>
                </c:pt>
                <c:pt idx="16">
                  <c:v>Gas</c:v>
                </c:pt>
                <c:pt idx="17">
                  <c:v>Non - Ferrous Metals</c:v>
                </c:pt>
                <c:pt idx="18">
                  <c:v>Telecom - Services</c:v>
                </c:pt>
                <c:pt idx="19">
                  <c:v>Fertilizers &amp; Agrochemicals</c:v>
                </c:pt>
                <c:pt idx="20">
                  <c:v>Transport Services</c:v>
                </c:pt>
                <c:pt idx="21">
                  <c:v>IT - Services</c:v>
                </c:pt>
                <c:pt idx="22">
                  <c:v>Textiles &amp; Apparels</c:v>
                </c:pt>
                <c:pt idx="23">
                  <c:v>Agricultural Food &amp; other Products</c:v>
                </c:pt>
                <c:pt idx="24">
                  <c:v>Petroleum Products</c:v>
                </c:pt>
                <c:pt idx="25">
                  <c:v>Aerospace &amp; Defense</c:v>
                </c:pt>
                <c:pt idx="26">
                  <c:v>Entertainment</c:v>
                </c:pt>
                <c:pt idx="27">
                  <c:v>Cement &amp; Cement Products</c:v>
                </c:pt>
                <c:pt idx="28">
                  <c:v>Power</c:v>
                </c:pt>
                <c:pt idx="29">
                  <c:v>Retailing</c:v>
                </c:pt>
                <c:pt idx="30">
                  <c:v>Paper, Forest &amp; Jute Products</c:v>
                </c:pt>
                <c:pt idx="31">
                  <c:v>Telecom -  Equipment &amp; Accessories</c:v>
                </c:pt>
                <c:pt idx="32">
                  <c:v>Diversified</c:v>
                </c:pt>
                <c:pt idx="33">
                  <c:v>Agricultural, Commercial &amp; Construction Vehicles</c:v>
                </c:pt>
                <c:pt idx="34">
                  <c:v>Beverages</c:v>
                </c:pt>
                <c:pt idx="35">
                  <c:v>Ferrous Metals</c:v>
                </c:pt>
                <c:pt idx="36">
                  <c:v>Food Products</c:v>
                </c:pt>
                <c:pt idx="37">
                  <c:v>Personal Products</c:v>
                </c:pt>
                <c:pt idx="38">
                  <c:v>Household Products</c:v>
                </c:pt>
                <c:pt idx="39">
                  <c:v>Healthcare Equipment &amp; Supplies</c:v>
                </c:pt>
                <c:pt idx="40">
                  <c:v>Automobiles</c:v>
                </c:pt>
                <c:pt idx="41">
                  <c:v>Transport Infrastructure</c:v>
                </c:pt>
                <c:pt idx="42">
                  <c:v>Cigarettes &amp; Tobacco Products</c:v>
                </c:pt>
                <c:pt idx="43">
                  <c:v>Minerals &amp; Mining</c:v>
                </c:pt>
              </c:strCache>
            </c:strRef>
          </c:cat>
          <c:val>
            <c:numRef>
              <c:f>'Bandhan Nifty Smallcap 250 '!$X$8:$X$51</c:f>
              <c:numCache>
                <c:formatCode>0.00%</c:formatCode>
                <c:ptCount val="44"/>
                <c:pt idx="0">
                  <c:v>8.2529000000000005E-2</c:v>
                </c:pt>
                <c:pt idx="1">
                  <c:v>7.8312000000000007E-2</c:v>
                </c:pt>
                <c:pt idx="2">
                  <c:v>6.8487999999999993E-2</c:v>
                </c:pt>
                <c:pt idx="3">
                  <c:v>5.9788999999999988E-2</c:v>
                </c:pt>
                <c:pt idx="4">
                  <c:v>5.9699000000000002E-2</c:v>
                </c:pt>
                <c:pt idx="5">
                  <c:v>5.6134000000000003E-2</c:v>
                </c:pt>
                <c:pt idx="6">
                  <c:v>5.2109999999999997E-2</c:v>
                </c:pt>
                <c:pt idx="7">
                  <c:v>4.7469000000000011E-2</c:v>
                </c:pt>
                <c:pt idx="8">
                  <c:v>4.6789000000000004E-2</c:v>
                </c:pt>
                <c:pt idx="9">
                  <c:v>3.9037000000000002E-2</c:v>
                </c:pt>
                <c:pt idx="10">
                  <c:v>3.6026999999999997E-2</c:v>
                </c:pt>
                <c:pt idx="11">
                  <c:v>2.6866999999999999E-2</c:v>
                </c:pt>
                <c:pt idx="12">
                  <c:v>2.6751E-2</c:v>
                </c:pt>
                <c:pt idx="13">
                  <c:v>2.6304999999999999E-2</c:v>
                </c:pt>
                <c:pt idx="14">
                  <c:v>2.2583999999999996E-2</c:v>
                </c:pt>
                <c:pt idx="15">
                  <c:v>1.7619999999999997E-2</c:v>
                </c:pt>
                <c:pt idx="16">
                  <c:v>1.6573999999999998E-2</c:v>
                </c:pt>
                <c:pt idx="17">
                  <c:v>1.5108E-2</c:v>
                </c:pt>
                <c:pt idx="18">
                  <c:v>1.3757000000000002E-2</c:v>
                </c:pt>
                <c:pt idx="19">
                  <c:v>1.3303000000000001E-2</c:v>
                </c:pt>
                <c:pt idx="20">
                  <c:v>1.2554000000000001E-2</c:v>
                </c:pt>
                <c:pt idx="21">
                  <c:v>1.2309E-2</c:v>
                </c:pt>
                <c:pt idx="22">
                  <c:v>1.2238000000000001E-2</c:v>
                </c:pt>
                <c:pt idx="23">
                  <c:v>1.1909000000000001E-2</c:v>
                </c:pt>
                <c:pt idx="24">
                  <c:v>1.1481E-2</c:v>
                </c:pt>
                <c:pt idx="25">
                  <c:v>1.103E-2</c:v>
                </c:pt>
                <c:pt idx="26">
                  <c:v>1.1026000000000001E-2</c:v>
                </c:pt>
                <c:pt idx="27">
                  <c:v>1.0754E-2</c:v>
                </c:pt>
                <c:pt idx="28">
                  <c:v>1.0732999999999999E-2</c:v>
                </c:pt>
                <c:pt idx="29">
                  <c:v>9.5069999999999998E-3</c:v>
                </c:pt>
                <c:pt idx="30">
                  <c:v>8.6829999999999997E-3</c:v>
                </c:pt>
                <c:pt idx="31">
                  <c:v>8.6460000000000009E-3</c:v>
                </c:pt>
                <c:pt idx="32">
                  <c:v>8.3870000000000004E-3</c:v>
                </c:pt>
                <c:pt idx="33">
                  <c:v>7.6550000000000003E-3</c:v>
                </c:pt>
                <c:pt idx="34">
                  <c:v>7.1970000000000003E-3</c:v>
                </c:pt>
                <c:pt idx="35">
                  <c:v>6.3540000000000003E-3</c:v>
                </c:pt>
                <c:pt idx="36">
                  <c:v>6.0009999999999994E-3</c:v>
                </c:pt>
                <c:pt idx="37">
                  <c:v>5.9410000000000001E-3</c:v>
                </c:pt>
                <c:pt idx="38">
                  <c:v>5.7840000000000001E-3</c:v>
                </c:pt>
                <c:pt idx="39">
                  <c:v>4.5459999999999997E-3</c:v>
                </c:pt>
                <c:pt idx="40">
                  <c:v>3.7789999999999998E-3</c:v>
                </c:pt>
                <c:pt idx="41">
                  <c:v>3.3540000000000002E-3</c:v>
                </c:pt>
                <c:pt idx="42">
                  <c:v>3.143E-3</c:v>
                </c:pt>
                <c:pt idx="43">
                  <c:v>1.784E-3</c:v>
                </c:pt>
              </c:numCache>
            </c:numRef>
          </c:val>
          <c:extLst>
            <c:ext xmlns:c16="http://schemas.microsoft.com/office/drawing/2014/chart" uri="{C3380CC4-5D6E-409C-BE32-E72D297353CC}">
              <c16:uniqueId val="{00000012-F3E2-43F0-81FD-F9BD241304A6}"/>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1.6539414597069316E-2"/>
          <c:y val="1.8895707103645184E-2"/>
          <c:w val="0.96692117080586137"/>
          <c:h val="0.57234435549851026"/>
        </c:manualLayout>
      </c:layout>
      <c:barChart>
        <c:barDir val="col"/>
        <c:grouping val="clustered"/>
        <c:varyColors val="0"/>
        <c:ser>
          <c:idx val="0"/>
          <c:order val="0"/>
          <c:tx>
            <c:strRef>
              <c:f>'Bandhan Nifty Total Market '!$X$7</c:f>
              <c:strCache>
                <c:ptCount val="1"/>
                <c:pt idx="0">
                  <c:v>(%) NAV</c:v>
                </c:pt>
              </c:strCache>
            </c:strRef>
          </c:tx>
          <c:invertIfNegative val="0"/>
          <c:dLbls>
            <c:dLbl>
              <c:idx val="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5A-45F0-9987-5A73CFFAB818}"/>
                </c:ext>
              </c:extLst>
            </c:dLbl>
            <c:dLbl>
              <c:idx val="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5A-45F0-9987-5A73CFFAB818}"/>
                </c:ext>
              </c:extLst>
            </c:dLbl>
            <c:dLbl>
              <c:idx val="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5A-45F0-9987-5A73CFFAB818}"/>
                </c:ext>
              </c:extLst>
            </c:dLbl>
            <c:dLbl>
              <c:idx val="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5A-45F0-9987-5A73CFFAB818}"/>
                </c:ext>
              </c:extLst>
            </c:dLbl>
            <c:dLbl>
              <c:idx val="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5A-45F0-9987-5A73CFFAB818}"/>
                </c:ext>
              </c:extLst>
            </c:dLbl>
            <c:dLbl>
              <c:idx val="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5A-45F0-9987-5A73CFFAB818}"/>
                </c:ext>
              </c:extLst>
            </c:dLbl>
            <c:dLbl>
              <c:idx val="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5A-45F0-9987-5A73CFFAB818}"/>
                </c:ext>
              </c:extLst>
            </c:dLbl>
            <c:dLbl>
              <c:idx val="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5A-45F0-9987-5A73CFFAB818}"/>
                </c:ext>
              </c:extLst>
            </c:dLbl>
            <c:dLbl>
              <c:idx val="8"/>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5A-45F0-9987-5A73CFFAB818}"/>
                </c:ext>
              </c:extLst>
            </c:dLbl>
            <c:dLbl>
              <c:idx val="9"/>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5A-45F0-9987-5A73CFFAB818}"/>
                </c:ext>
              </c:extLst>
            </c:dLbl>
            <c:dLbl>
              <c:idx val="10"/>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25A-45F0-9987-5A73CFFAB818}"/>
                </c:ext>
              </c:extLst>
            </c:dLbl>
            <c:dLbl>
              <c:idx val="11"/>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25A-45F0-9987-5A73CFFAB818}"/>
                </c:ext>
              </c:extLst>
            </c:dLbl>
            <c:dLbl>
              <c:idx val="12"/>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25A-45F0-9987-5A73CFFAB818}"/>
                </c:ext>
              </c:extLst>
            </c:dLbl>
            <c:dLbl>
              <c:idx val="13"/>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25A-45F0-9987-5A73CFFAB818}"/>
                </c:ext>
              </c:extLst>
            </c:dLbl>
            <c:dLbl>
              <c:idx val="14"/>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25A-45F0-9987-5A73CFFAB818}"/>
                </c:ext>
              </c:extLst>
            </c:dLbl>
            <c:dLbl>
              <c:idx val="15"/>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25A-45F0-9987-5A73CFFAB818}"/>
                </c:ext>
              </c:extLst>
            </c:dLbl>
            <c:dLbl>
              <c:idx val="16"/>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25A-45F0-9987-5A73CFFAB818}"/>
                </c:ext>
              </c:extLst>
            </c:dLbl>
            <c:dLbl>
              <c:idx val="17"/>
              <c:numFmt formatCode="0.0%" sourceLinked="0"/>
              <c:spPr/>
              <c:txPr>
                <a:bodyPr rot="0" vert="horz"/>
                <a:lstStyle/>
                <a:p>
                  <a:pPr>
                    <a:defRPr lang="en-IN"/>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25A-45F0-9987-5A73CFFAB818}"/>
                </c:ext>
              </c:extLst>
            </c:dLbl>
            <c:numFmt formatCode="0.0%" sourceLinked="0"/>
            <c:spPr>
              <a:noFill/>
              <a:ln>
                <a:noFill/>
              </a:ln>
              <a:effectLst/>
            </c:spPr>
            <c:txPr>
              <a:bodyPr/>
              <a:lstStyle/>
              <a:p>
                <a:pPr>
                  <a:defRPr lang="en-IN"/>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'Bandhan Nifty Total Market '!$W$8:$W$63</c:f>
              <c:strCache>
                <c:ptCount val="56"/>
                <c:pt idx="0">
                  <c:v>Banks</c:v>
                </c:pt>
                <c:pt idx="1">
                  <c:v>IT - Software</c:v>
                </c:pt>
                <c:pt idx="2">
                  <c:v>Petroleum Products</c:v>
                </c:pt>
                <c:pt idx="3">
                  <c:v>Finance</c:v>
                </c:pt>
                <c:pt idx="4">
                  <c:v>Automobiles</c:v>
                </c:pt>
                <c:pt idx="5">
                  <c:v>Pharmaceuticals &amp; Biotechnology</c:v>
                </c:pt>
                <c:pt idx="6">
                  <c:v>Power</c:v>
                </c:pt>
                <c:pt idx="7">
                  <c:v>Diversified FMCG</c:v>
                </c:pt>
                <c:pt idx="8">
                  <c:v>Construction</c:v>
                </c:pt>
                <c:pt idx="9">
                  <c:v>Consumer Durables</c:v>
                </c:pt>
                <c:pt idx="10">
                  <c:v>Telecom - Services</c:v>
                </c:pt>
                <c:pt idx="11">
                  <c:v>Auto Components</c:v>
                </c:pt>
                <c:pt idx="12">
                  <c:v>Retailing</c:v>
                </c:pt>
                <c:pt idx="13">
                  <c:v>Industrial Products</c:v>
                </c:pt>
                <c:pt idx="14">
                  <c:v>Cement &amp; Cement Products</c:v>
                </c:pt>
                <c:pt idx="15">
                  <c:v>Electrical Equipment</c:v>
                </c:pt>
                <c:pt idx="16">
                  <c:v>Ferrous Metals</c:v>
                </c:pt>
                <c:pt idx="17">
                  <c:v>Chemicals &amp; Petrochemicals</c:v>
                </c:pt>
                <c:pt idx="18">
                  <c:v>Insurance</c:v>
                </c:pt>
                <c:pt idx="19">
                  <c:v>Realty</c:v>
                </c:pt>
                <c:pt idx="20">
                  <c:v>Aerospace &amp; Defense</c:v>
                </c:pt>
                <c:pt idx="21">
                  <c:v>Healthcare Services</c:v>
                </c:pt>
                <c:pt idx="22">
                  <c:v>Capital Markets</c:v>
                </c:pt>
                <c:pt idx="23">
                  <c:v>Food Products</c:v>
                </c:pt>
                <c:pt idx="24">
                  <c:v>Personal Products</c:v>
                </c:pt>
                <c:pt idx="25">
                  <c:v>Gas</c:v>
                </c:pt>
                <c:pt idx="26">
                  <c:v>Leisure Services</c:v>
                </c:pt>
                <c:pt idx="27">
                  <c:v>Agricultural Food &amp; other Products</c:v>
                </c:pt>
                <c:pt idx="28">
                  <c:v>Transport Infrastructure</c:v>
                </c:pt>
                <c:pt idx="29">
                  <c:v>Oil</c:v>
                </c:pt>
                <c:pt idx="30">
                  <c:v>Transport Services</c:v>
                </c:pt>
                <c:pt idx="31">
                  <c:v>Beverages</c:v>
                </c:pt>
                <c:pt idx="32">
                  <c:v>Non - Ferrous Metals</c:v>
                </c:pt>
                <c:pt idx="33">
                  <c:v>Fertilizers &amp; Agrochemicals</c:v>
                </c:pt>
                <c:pt idx="34">
                  <c:v>Consumable Fuels</c:v>
                </c:pt>
                <c:pt idx="35">
                  <c:v>Industrial Manufacturing</c:v>
                </c:pt>
                <c:pt idx="36">
                  <c:v>Metals &amp; Minerals Trading</c:v>
                </c:pt>
                <c:pt idx="37">
                  <c:v>Textiles &amp; Apparels</c:v>
                </c:pt>
                <c:pt idx="38">
                  <c:v>Diversified Metals</c:v>
                </c:pt>
                <c:pt idx="39">
                  <c:v>Agricultural, Commercial &amp; Construction Vehicles</c:v>
                </c:pt>
                <c:pt idx="40">
                  <c:v>Financial Technology (Fintech)</c:v>
                </c:pt>
                <c:pt idx="41">
                  <c:v>Entertainment</c:v>
                </c:pt>
                <c:pt idx="42">
                  <c:v>Commercial Services &amp; Supplies</c:v>
                </c:pt>
                <c:pt idx="43">
                  <c:v>IT - Services</c:v>
                </c:pt>
                <c:pt idx="44">
                  <c:v>Minerals &amp; Mining</c:v>
                </c:pt>
                <c:pt idx="45">
                  <c:v>Diversified</c:v>
                </c:pt>
                <c:pt idx="46">
                  <c:v>Paper, Forest &amp; Jute Products</c:v>
                </c:pt>
                <c:pt idx="47">
                  <c:v>Telecom -  Equipment &amp; Accessories</c:v>
                </c:pt>
                <c:pt idx="48">
                  <c:v>Household Products</c:v>
                </c:pt>
                <c:pt idx="49">
                  <c:v>Other Utilities</c:v>
                </c:pt>
                <c:pt idx="50">
                  <c:v>Healthcare Equipment &amp; Supplies</c:v>
                </c:pt>
                <c:pt idx="51">
                  <c:v>Cigarettes &amp; Tobacco Products</c:v>
                </c:pt>
                <c:pt idx="52">
                  <c:v>Other Consumer Services</c:v>
                </c:pt>
                <c:pt idx="53">
                  <c:v>IT - Hardware</c:v>
                </c:pt>
                <c:pt idx="54">
                  <c:v>Media</c:v>
                </c:pt>
                <c:pt idx="55">
                  <c:v>Printing &amp; Publication</c:v>
                </c:pt>
              </c:strCache>
            </c:strRef>
          </c:cat>
          <c:val>
            <c:numRef>
              <c:f>'Bandhan Nifty Total Market '!$X$8:$X$63</c:f>
              <c:numCache>
                <c:formatCode>0.00%</c:formatCode>
                <c:ptCount val="56"/>
                <c:pt idx="0">
                  <c:v>0.18128499999999997</c:v>
                </c:pt>
                <c:pt idx="1">
                  <c:v>9.0650000000000008E-2</c:v>
                </c:pt>
                <c:pt idx="2">
                  <c:v>6.1442999999999998E-2</c:v>
                </c:pt>
                <c:pt idx="3">
                  <c:v>5.7268999999999987E-2</c:v>
                </c:pt>
                <c:pt idx="4">
                  <c:v>5.1075000000000009E-2</c:v>
                </c:pt>
                <c:pt idx="5">
                  <c:v>4.4572000000000021E-2</c:v>
                </c:pt>
                <c:pt idx="6">
                  <c:v>3.9505999999999999E-2</c:v>
                </c:pt>
                <c:pt idx="7">
                  <c:v>3.5334999999999998E-2</c:v>
                </c:pt>
                <c:pt idx="8">
                  <c:v>3.2559999999999999E-2</c:v>
                </c:pt>
                <c:pt idx="9">
                  <c:v>3.1561999999999993E-2</c:v>
                </c:pt>
                <c:pt idx="10">
                  <c:v>2.6185E-2</c:v>
                </c:pt>
                <c:pt idx="11">
                  <c:v>2.4414000000000005E-2</c:v>
                </c:pt>
                <c:pt idx="12">
                  <c:v>2.4237999999999996E-2</c:v>
                </c:pt>
                <c:pt idx="13">
                  <c:v>2.2083000000000005E-2</c:v>
                </c:pt>
                <c:pt idx="14">
                  <c:v>2.0756999999999998E-2</c:v>
                </c:pt>
                <c:pt idx="15">
                  <c:v>1.7802999999999999E-2</c:v>
                </c:pt>
                <c:pt idx="16">
                  <c:v>1.6832E-2</c:v>
                </c:pt>
                <c:pt idx="17">
                  <c:v>1.6509000000000003E-2</c:v>
                </c:pt>
                <c:pt idx="18">
                  <c:v>1.5630999999999999E-2</c:v>
                </c:pt>
                <c:pt idx="19">
                  <c:v>1.4060000000000001E-2</c:v>
                </c:pt>
                <c:pt idx="20">
                  <c:v>1.3149000000000001E-2</c:v>
                </c:pt>
                <c:pt idx="21">
                  <c:v>1.2345999999999999E-2</c:v>
                </c:pt>
                <c:pt idx="22">
                  <c:v>1.2219999999999998E-2</c:v>
                </c:pt>
                <c:pt idx="23">
                  <c:v>9.2690000000000012E-3</c:v>
                </c:pt>
                <c:pt idx="24">
                  <c:v>9.2200000000000008E-3</c:v>
                </c:pt>
                <c:pt idx="25">
                  <c:v>9.0880000000000006E-3</c:v>
                </c:pt>
                <c:pt idx="26">
                  <c:v>8.9999999999999993E-3</c:v>
                </c:pt>
                <c:pt idx="27">
                  <c:v>8.4910000000000003E-3</c:v>
                </c:pt>
                <c:pt idx="28">
                  <c:v>8.4460000000000004E-3</c:v>
                </c:pt>
                <c:pt idx="29">
                  <c:v>8.2900000000000005E-3</c:v>
                </c:pt>
                <c:pt idx="30">
                  <c:v>7.8440000000000003E-3</c:v>
                </c:pt>
                <c:pt idx="31">
                  <c:v>7.6909999999999999E-3</c:v>
                </c:pt>
                <c:pt idx="32">
                  <c:v>7.1879999999999999E-3</c:v>
                </c:pt>
                <c:pt idx="33">
                  <c:v>7.1390000000000012E-3</c:v>
                </c:pt>
                <c:pt idx="34">
                  <c:v>6.1409999999999998E-3</c:v>
                </c:pt>
                <c:pt idx="35">
                  <c:v>6.0310000000000008E-3</c:v>
                </c:pt>
                <c:pt idx="36">
                  <c:v>4.1999999999999997E-3</c:v>
                </c:pt>
                <c:pt idx="37">
                  <c:v>3.96E-3</c:v>
                </c:pt>
                <c:pt idx="38">
                  <c:v>3.8349999999999999E-3</c:v>
                </c:pt>
                <c:pt idx="39">
                  <c:v>3.5099999999999997E-3</c:v>
                </c:pt>
                <c:pt idx="40">
                  <c:v>3.2500000000000003E-3</c:v>
                </c:pt>
                <c:pt idx="41">
                  <c:v>2.617E-3</c:v>
                </c:pt>
                <c:pt idx="42">
                  <c:v>2.6119999999999997E-3</c:v>
                </c:pt>
                <c:pt idx="43">
                  <c:v>2.5530000000000006E-3</c:v>
                </c:pt>
                <c:pt idx="44">
                  <c:v>2.0330000000000001E-3</c:v>
                </c:pt>
                <c:pt idx="45">
                  <c:v>1.794E-3</c:v>
                </c:pt>
                <c:pt idx="46">
                  <c:v>9.0499999999999999E-4</c:v>
                </c:pt>
                <c:pt idx="47">
                  <c:v>8.6300000000000005E-4</c:v>
                </c:pt>
                <c:pt idx="48">
                  <c:v>6.6200000000000005E-4</c:v>
                </c:pt>
                <c:pt idx="49">
                  <c:v>6.3100000000000005E-4</c:v>
                </c:pt>
                <c:pt idx="50">
                  <c:v>4.6700000000000002E-4</c:v>
                </c:pt>
                <c:pt idx="51">
                  <c:v>2.8800000000000001E-4</c:v>
                </c:pt>
                <c:pt idx="52">
                  <c:v>1.9599999999999999E-4</c:v>
                </c:pt>
                <c:pt idx="53">
                  <c:v>1.64E-4</c:v>
                </c:pt>
                <c:pt idx="54">
                  <c:v>8.8999999999999995E-5</c:v>
                </c:pt>
                <c:pt idx="55">
                  <c:v>6.7000000000000002E-5</c:v>
                </c:pt>
              </c:numCache>
            </c:numRef>
          </c:val>
          <c:extLst>
            <c:ext xmlns:c16="http://schemas.microsoft.com/office/drawing/2014/chart" uri="{C3380CC4-5D6E-409C-BE32-E72D297353CC}">
              <c16:uniqueId val="{00000012-E25A-45F0-9987-5A73CFFAB818}"/>
            </c:ext>
          </c:extLst>
        </c:ser>
        <c:dLbls>
          <c:showLegendKey val="0"/>
          <c:showVal val="0"/>
          <c:showCatName val="0"/>
          <c:showSerName val="0"/>
          <c:showPercent val="0"/>
          <c:showBubbleSize val="0"/>
        </c:dLbls>
        <c:gapWidth val="150"/>
        <c:axId val="170020352"/>
        <c:axId val="168868032"/>
      </c:barChart>
      <c:catAx>
        <c:axId val="170020352"/>
        <c:scaling>
          <c:orientation val="minMax"/>
        </c:scaling>
        <c:delete val="0"/>
        <c:axPos val="b"/>
        <c:numFmt formatCode="General" sourceLinked="1"/>
        <c:majorTickMark val="none"/>
        <c:minorTickMark val="none"/>
        <c:tickLblPos val="nextTo"/>
        <c:spPr>
          <a:ln>
            <a:solidFill>
              <a:srgbClr val="868686"/>
            </a:solidFill>
            <a:prstDash val="solid"/>
          </a:ln>
        </c:spPr>
        <c:txPr>
          <a:bodyPr rot="-5400000" vert="horz"/>
          <a:lstStyle/>
          <a:p>
            <a:pPr>
              <a:defRPr lang="en-IN"/>
            </a:pPr>
            <a:endParaRPr lang="en-US"/>
          </a:p>
        </c:txPr>
        <c:crossAx val="168868032"/>
        <c:crosses val="autoZero"/>
        <c:auto val="1"/>
        <c:lblAlgn val="ctr"/>
        <c:lblOffset val="100"/>
        <c:tickLblSkip val="1"/>
        <c:noMultiLvlLbl val="0"/>
      </c:catAx>
      <c:valAx>
        <c:axId val="168868032"/>
        <c:scaling>
          <c:orientation val="minMax"/>
        </c:scaling>
        <c:delete val="0"/>
        <c:axPos val="l"/>
        <c:numFmt formatCode="0.00%" sourceLinked="1"/>
        <c:majorTickMark val="out"/>
        <c:minorTickMark val="none"/>
        <c:tickLblPos val="none"/>
        <c:spPr>
          <a:ln w="9525">
            <a:noFill/>
          </a:ln>
        </c:spPr>
        <c:txPr>
          <a:bodyPr/>
          <a:lstStyle/>
          <a:p>
            <a:pPr>
              <a:defRPr lang="en-IN"/>
            </a:pPr>
            <a:endParaRPr lang="en-US"/>
          </a:p>
        </c:txPr>
        <c:crossAx val="170020352"/>
        <c:crosses val="autoZero"/>
        <c:crossBetween val="between"/>
      </c:valAx>
      <c:spPr>
        <a:ln w="25400">
          <a:noFill/>
        </a:ln>
      </c:spPr>
    </c:plotArea>
    <c:plotVisOnly val="1"/>
    <c:dispBlanksAs val="gap"/>
    <c:showDLblsOverMax val="0"/>
  </c:chart>
  <c:txPr>
    <a:bodyPr/>
    <a:lstStyle/>
    <a:p>
      <a:pPr>
        <a:defRPr sz="1025" b="1">
          <a:latin typeface="Arial"/>
          <a:ea typeface="Arial"/>
          <a:cs typeface="Arial"/>
        </a:defRPr>
      </a:pPr>
      <a:endParaRPr lang="en-US"/>
    </a:p>
  </c:txPr>
  <c:printSettings>
    <c:headerFooter/>
    <c:pageMargins b="0.75000000000000544" l="0.70000000000000062" r="0.70000000000000062" t="0.75000000000000544"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40.xml"/></Relationships>
</file>

<file path=xl/drawings/drawing1.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FE130700-828C-4786-BAE9-CB93ADFBB5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50800</xdr:colOff>
      <xdr:row>3</xdr:row>
      <xdr:rowOff>190500</xdr:rowOff>
    </xdr:from>
    <xdr:to>
      <xdr:col>19</xdr:col>
      <xdr:colOff>546100</xdr:colOff>
      <xdr:row>36</xdr:row>
      <xdr:rowOff>50800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50800</xdr:colOff>
      <xdr:row>36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63500</xdr:colOff>
      <xdr:row>34</xdr:row>
      <xdr:rowOff>38100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29</xdr:row>
      <xdr:rowOff>76200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48</xdr:row>
      <xdr:rowOff>0</xdr:rowOff>
    </xdr:from>
    <xdr:to>
      <xdr:col>7</xdr:col>
      <xdr:colOff>482600</xdr:colOff>
      <xdr:row>74</xdr:row>
      <xdr:rowOff>165100</xdr:rowOff>
    </xdr:to>
    <xdr:graphicFrame macro="">
      <xdr:nvGraphicFramePr>
        <xdr:cNvPr id="3" name="Chart 2">
          <a:extLst>
            <a:ext uri="{FF2B5EF4-FFF2-40B4-BE49-F238E27FC236}">
              <a16:creationId xmlns:a16="http://schemas.microsoft.com/office/drawing/2014/main" id="{3838D6F8-35AA-4B9C-AFC2-2F166500B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56F64C45-14D1-4A5A-8BE5-E1A694093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12700</xdr:colOff>
      <xdr:row>29</xdr:row>
      <xdr:rowOff>177800</xdr:rowOff>
    </xdr:to>
    <xdr:graphicFrame macro="">
      <xdr:nvGraphicFramePr>
        <xdr:cNvPr id="2" name="Chart 1">
          <a:extLst>
            <a:ext uri="{FF2B5EF4-FFF2-40B4-BE49-F238E27FC236}">
              <a16:creationId xmlns:a16="http://schemas.microsoft.com/office/drawing/2014/main" id="{7B40CC96-D89B-4840-B536-154969122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375044</xdr:colOff>
      <xdr:row>3</xdr:row>
      <xdr:rowOff>119063</xdr:rowOff>
    </xdr:from>
    <xdr:to>
      <xdr:col>19</xdr:col>
      <xdr:colOff>35718</xdr:colOff>
      <xdr:row>28</xdr:row>
      <xdr:rowOff>59531</xdr:rowOff>
    </xdr:to>
    <xdr:graphicFrame macro="">
      <xdr:nvGraphicFramePr>
        <xdr:cNvPr id="3" name="Chart 2">
          <a:extLst>
            <a:ext uri="{FF2B5EF4-FFF2-40B4-BE49-F238E27FC236}">
              <a16:creationId xmlns:a16="http://schemas.microsoft.com/office/drawing/2014/main" id="{50E1B150-F27A-4034-8E17-6F37B4E205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127000</xdr:colOff>
      <xdr:row>5</xdr:row>
      <xdr:rowOff>0</xdr:rowOff>
    </xdr:from>
    <xdr:to>
      <xdr:col>19</xdr:col>
      <xdr:colOff>368300</xdr:colOff>
      <xdr:row>34</xdr:row>
      <xdr:rowOff>38100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7A9863E6-06DB-49B6-991A-39776106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E15DF80-649D-45FC-BDD7-CBA7B3F7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127000</xdr:colOff>
      <xdr:row>5</xdr:row>
      <xdr:rowOff>114300</xdr:rowOff>
    </xdr:from>
    <xdr:to>
      <xdr:col>19</xdr:col>
      <xdr:colOff>50800</xdr:colOff>
      <xdr:row>32</xdr:row>
      <xdr:rowOff>101600</xdr:rowOff>
    </xdr:to>
    <xdr:graphicFrame macro="">
      <xdr:nvGraphicFramePr>
        <xdr:cNvPr id="2" name="Chart 1">
          <a:extLst>
            <a:ext uri="{FF2B5EF4-FFF2-40B4-BE49-F238E27FC236}">
              <a16:creationId xmlns:a16="http://schemas.microsoft.com/office/drawing/2014/main" id="{BCC7D8AE-3F1E-45C3-9D5E-7D654B952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177800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7</xdr:col>
      <xdr:colOff>254000</xdr:colOff>
      <xdr:row>6</xdr:row>
      <xdr:rowOff>120650</xdr:rowOff>
    </xdr:from>
    <xdr:to>
      <xdr:col>15</xdr:col>
      <xdr:colOff>69850</xdr:colOff>
      <xdr:row>19</xdr:row>
      <xdr:rowOff>12700</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5</xdr:col>
      <xdr:colOff>204573</xdr:colOff>
      <xdr:row>5</xdr:row>
      <xdr:rowOff>130518</xdr:rowOff>
    </xdr:from>
    <xdr:to>
      <xdr:col>18</xdr:col>
      <xdr:colOff>592095</xdr:colOff>
      <xdr:row>28</xdr:row>
      <xdr:rowOff>90101</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204573</xdr:colOff>
      <xdr:row>5</xdr:row>
      <xdr:rowOff>130518</xdr:rowOff>
    </xdr:from>
    <xdr:to>
      <xdr:col>18</xdr:col>
      <xdr:colOff>592095</xdr:colOff>
      <xdr:row>28</xdr:row>
      <xdr:rowOff>90101</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67051</xdr:colOff>
      <xdr:row>7</xdr:row>
      <xdr:rowOff>18629</xdr:rowOff>
    </xdr:from>
    <xdr:to>
      <xdr:col>13</xdr:col>
      <xdr:colOff>756026</xdr:colOff>
      <xdr:row>17</xdr:row>
      <xdr:rowOff>154780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524433</xdr:colOff>
      <xdr:row>23</xdr:row>
      <xdr:rowOff>66580</xdr:rowOff>
    </xdr:from>
    <xdr:to>
      <xdr:col>13</xdr:col>
      <xdr:colOff>615155</xdr:colOff>
      <xdr:row>43</xdr:row>
      <xdr:rowOff>165005</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33382</xdr:colOff>
      <xdr:row>23</xdr:row>
      <xdr:rowOff>90487</xdr:rowOff>
    </xdr:from>
    <xdr:to>
      <xdr:col>13</xdr:col>
      <xdr:colOff>735805</xdr:colOff>
      <xdr:row>41</xdr:row>
      <xdr:rowOff>47625</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35713</xdr:colOff>
      <xdr:row>7</xdr:row>
      <xdr:rowOff>23814</xdr:rowOff>
    </xdr:from>
    <xdr:to>
      <xdr:col>13</xdr:col>
      <xdr:colOff>729171</xdr:colOff>
      <xdr:row>18</xdr:row>
      <xdr:rowOff>83345</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5</xdr:col>
      <xdr:colOff>565797</xdr:colOff>
      <xdr:row>7</xdr:row>
      <xdr:rowOff>32397</xdr:rowOff>
    </xdr:from>
    <xdr:to>
      <xdr:col>13</xdr:col>
      <xdr:colOff>749300</xdr:colOff>
      <xdr:row>18</xdr:row>
      <xdr:rowOff>75871</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12700</xdr:colOff>
      <xdr:row>23</xdr:row>
      <xdr:rowOff>139700</xdr:rowOff>
    </xdr:from>
    <xdr:to>
      <xdr:col>13</xdr:col>
      <xdr:colOff>596899</xdr:colOff>
      <xdr:row>40</xdr:row>
      <xdr:rowOff>114300</xdr:rowOff>
    </xdr:to>
    <xdr:graphicFrame macro="">
      <xdr:nvGraphicFramePr>
        <xdr:cNvPr id="5" name="Chart 4">
          <a:extLst>
            <a:ext uri="{FF2B5EF4-FFF2-40B4-BE49-F238E27FC236}">
              <a16:creationId xmlns:a16="http://schemas.microsoft.com/office/drawing/2014/main" id="{B1E3CD50-8312-4E93-BA7C-91B96435C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6" name="Chart 5">
          <a:extLst>
            <a:ext uri="{FF2B5EF4-FFF2-40B4-BE49-F238E27FC236}">
              <a16:creationId xmlns:a16="http://schemas.microsoft.com/office/drawing/2014/main" id="{597C43AE-B9BB-4155-A7D0-720DBD058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5</xdr:col>
      <xdr:colOff>381000</xdr:colOff>
      <xdr:row>6</xdr:row>
      <xdr:rowOff>25400</xdr:rowOff>
    </xdr:from>
    <xdr:to>
      <xdr:col>13</xdr:col>
      <xdr:colOff>520700</xdr:colOff>
      <xdr:row>27</xdr:row>
      <xdr:rowOff>0</xdr:rowOff>
    </xdr:to>
    <xdr:graphicFrame macro="">
      <xdr:nvGraphicFramePr>
        <xdr:cNvPr id="2" name="Chart 1">
          <a:extLst>
            <a:ext uri="{FF2B5EF4-FFF2-40B4-BE49-F238E27FC236}">
              <a16:creationId xmlns:a16="http://schemas.microsoft.com/office/drawing/2014/main" id="{FA22A961-CCDF-49A6-A4E6-A25E0267B3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5</xdr:col>
      <xdr:colOff>60324</xdr:colOff>
      <xdr:row>7</xdr:row>
      <xdr:rowOff>44450</xdr:rowOff>
    </xdr:from>
    <xdr:to>
      <xdr:col>12</xdr:col>
      <xdr:colOff>63500</xdr:colOff>
      <xdr:row>22</xdr:row>
      <xdr:rowOff>63500</xdr:rowOff>
    </xdr:to>
    <xdr:graphicFrame macro="">
      <xdr:nvGraphicFramePr>
        <xdr:cNvPr id="2" name="Chart 2">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5</xdr:col>
      <xdr:colOff>0</xdr:colOff>
      <xdr:row>7</xdr:row>
      <xdr:rowOff>28576</xdr:rowOff>
    </xdr:from>
    <xdr:to>
      <xdr:col>12</xdr:col>
      <xdr:colOff>355600</xdr:colOff>
      <xdr:row>23</xdr:row>
      <xdr:rowOff>165100</xdr:rowOff>
    </xdr:to>
    <xdr:graphicFrame macro="">
      <xdr:nvGraphicFramePr>
        <xdr:cNvPr id="2" name="Chart 2">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98425</xdr:colOff>
      <xdr:row>7</xdr:row>
      <xdr:rowOff>22225</xdr:rowOff>
    </xdr:from>
    <xdr:to>
      <xdr:col>12</xdr:col>
      <xdr:colOff>127000</xdr:colOff>
      <xdr:row>20</xdr:row>
      <xdr:rowOff>12701</xdr:rowOff>
    </xdr:to>
    <xdr:graphicFrame macro="">
      <xdr:nvGraphicFramePr>
        <xdr:cNvPr id="2" name="Chart 2">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5</xdr:col>
      <xdr:colOff>139700</xdr:colOff>
      <xdr:row>4</xdr:row>
      <xdr:rowOff>139700</xdr:rowOff>
    </xdr:from>
    <xdr:to>
      <xdr:col>19</xdr:col>
      <xdr:colOff>76200</xdr:colOff>
      <xdr:row>29</xdr:row>
      <xdr:rowOff>114300</xdr:rowOff>
    </xdr:to>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0</xdr:colOff>
      <xdr:row>35</xdr:row>
      <xdr:rowOff>0</xdr:rowOff>
    </xdr:to>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xdr:from>
      <xdr:col>5</xdr:col>
      <xdr:colOff>127000</xdr:colOff>
      <xdr:row>4</xdr:row>
      <xdr:rowOff>0</xdr:rowOff>
    </xdr:from>
    <xdr:to>
      <xdr:col>19</xdr:col>
      <xdr:colOff>38100</xdr:colOff>
      <xdr:row>35</xdr:row>
      <xdr:rowOff>0</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a="http://schemas.openxmlformats.org/drawingml/2006/main">
  <xdr:twoCellAnchor>
    <xdr:from>
      <xdr:col>5</xdr:col>
      <xdr:colOff>173182</xdr:colOff>
      <xdr:row>4</xdr:row>
      <xdr:rowOff>63334</xdr:rowOff>
    </xdr:from>
    <xdr:to>
      <xdr:col>20</xdr:col>
      <xdr:colOff>383475</xdr:colOff>
      <xdr:row>30</xdr:row>
      <xdr:rowOff>74219</xdr:rowOff>
    </xdr:to>
    <xdr:graphicFrame macro="">
      <xdr:nvGraphicFramePr>
        <xdr:cNvPr id="4" name="Chart 3">
          <a:extLst>
            <a:ext uri="{FF2B5EF4-FFF2-40B4-BE49-F238E27FC236}">
              <a16:creationId xmlns:a16="http://schemas.microsoft.com/office/drawing/2014/main" id="{D1B1988B-ED8B-4FC3-992C-0176E8BA2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50589203-DB43-44CA-9FC6-68599CB16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EB3BD7C3-F13A-4097-8AEC-AAEFF6F3D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6E0825F0-B5A8-4220-A155-5B5E83D04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21E1EE8-FF04-4EE5-96AD-2CF6A1D1B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94CD5C2E-E150-476D-933E-24AC5F859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5</xdr:col>
      <xdr:colOff>127000</xdr:colOff>
      <xdr:row>4</xdr:row>
      <xdr:rowOff>0</xdr:rowOff>
    </xdr:from>
    <xdr:to>
      <xdr:col>20</xdr:col>
      <xdr:colOff>259772</xdr:colOff>
      <xdr:row>35</xdr:row>
      <xdr:rowOff>0</xdr:rowOff>
    </xdr:to>
    <xdr:graphicFrame macro="">
      <xdr:nvGraphicFramePr>
        <xdr:cNvPr id="2" name="Chart 1">
          <a:extLst>
            <a:ext uri="{FF2B5EF4-FFF2-40B4-BE49-F238E27FC236}">
              <a16:creationId xmlns:a16="http://schemas.microsoft.com/office/drawing/2014/main" id="{A2551D5F-9553-4BBD-8F64-6947273FD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5E3E3"/>
    <pageSetUpPr fitToPage="1"/>
  </sheetPr>
  <dimension ref="B1:X691"/>
  <sheetViews>
    <sheetView showGridLines="0" tabSelected="1"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24" ht="15.75" thickBot="1" x14ac:dyDescent="0.25"/>
    <row r="2" spans="2:24" x14ac:dyDescent="0.2">
      <c r="B2" s="94"/>
      <c r="C2" s="42"/>
      <c r="D2" s="42"/>
      <c r="E2" s="42"/>
      <c r="F2" s="42"/>
      <c r="G2" s="42"/>
      <c r="H2" s="42"/>
      <c r="I2" s="42"/>
      <c r="J2" s="42"/>
      <c r="K2" s="42"/>
      <c r="L2" s="42"/>
      <c r="M2" s="95"/>
    </row>
    <row r="3" spans="2:24" ht="20.25" customHeight="1" x14ac:dyDescent="0.2">
      <c r="B3" s="96"/>
      <c r="C3" s="259" t="s">
        <v>154</v>
      </c>
      <c r="D3" s="259"/>
      <c r="E3" s="259"/>
      <c r="F3" s="259"/>
      <c r="G3" s="259"/>
      <c r="H3" s="259"/>
      <c r="I3" s="259"/>
      <c r="J3" s="259"/>
      <c r="K3" s="259"/>
      <c r="L3" s="259"/>
      <c r="M3" s="260"/>
    </row>
    <row r="4" spans="2:24" ht="15.75" x14ac:dyDescent="0.25">
      <c r="B4" s="96"/>
      <c r="C4" s="70" t="s">
        <v>367</v>
      </c>
      <c r="D4" s="29"/>
      <c r="E4" s="29"/>
      <c r="F4" s="5"/>
      <c r="G4" s="5"/>
      <c r="H4" s="5"/>
      <c r="I4" s="5"/>
      <c r="J4" s="5"/>
      <c r="K4" s="5"/>
      <c r="L4" s="5"/>
      <c r="M4" s="20"/>
    </row>
    <row r="5" spans="2:24" ht="20.25" customHeight="1" x14ac:dyDescent="0.25">
      <c r="B5" s="96"/>
      <c r="C5" s="228" t="s">
        <v>366</v>
      </c>
      <c r="D5" s="97" t="s">
        <v>318</v>
      </c>
      <c r="E5" s="19"/>
      <c r="F5" s="5"/>
      <c r="G5" s="5"/>
      <c r="H5" s="5"/>
      <c r="I5" s="5"/>
      <c r="J5" s="5"/>
      <c r="K5" s="5"/>
      <c r="L5" s="5"/>
      <c r="M5" s="20"/>
    </row>
    <row r="6" spans="2:24" x14ac:dyDescent="0.2">
      <c r="B6" s="96"/>
      <c r="C6" s="5"/>
      <c r="D6" s="5"/>
      <c r="E6" s="5"/>
      <c r="F6" s="5"/>
      <c r="G6" s="5"/>
      <c r="H6" s="5"/>
      <c r="I6" s="5"/>
      <c r="J6" s="5"/>
      <c r="K6" s="5"/>
      <c r="L6" s="5"/>
      <c r="M6" s="20"/>
    </row>
    <row r="7" spans="2:24" ht="15.75" x14ac:dyDescent="0.2">
      <c r="B7" s="96"/>
      <c r="C7" s="171" t="s">
        <v>43</v>
      </c>
      <c r="D7" s="98" t="s">
        <v>45</v>
      </c>
      <c r="E7" s="5"/>
      <c r="F7" s="261" t="s">
        <v>50</v>
      </c>
      <c r="G7" s="261"/>
      <c r="H7" s="261"/>
      <c r="I7" s="261"/>
      <c r="J7" s="261"/>
      <c r="K7" s="261"/>
      <c r="L7" s="261"/>
      <c r="M7" s="262"/>
    </row>
    <row r="8" spans="2:24" ht="30" x14ac:dyDescent="0.2">
      <c r="B8" s="96"/>
      <c r="C8" s="62" t="s">
        <v>93</v>
      </c>
      <c r="D8" s="186">
        <v>0.98195600000000005</v>
      </c>
      <c r="E8" s="5"/>
      <c r="F8" s="5"/>
      <c r="G8" s="31"/>
      <c r="H8" s="5"/>
      <c r="I8" s="5" t="s">
        <v>94</v>
      </c>
      <c r="J8" s="50">
        <f>D9</f>
        <v>0.98195600000000005</v>
      </c>
      <c r="K8" s="5"/>
      <c r="L8" s="5"/>
      <c r="M8" s="20"/>
      <c r="S8" s="52"/>
      <c r="W8" s="3" t="s">
        <v>3</v>
      </c>
      <c r="X8" s="3">
        <v>0.25058799999999998</v>
      </c>
    </row>
    <row r="9" spans="2:24" ht="15.75" x14ac:dyDescent="0.25">
      <c r="B9" s="96"/>
      <c r="C9" s="63" t="s">
        <v>94</v>
      </c>
      <c r="D9" s="187">
        <v>0.98195600000000005</v>
      </c>
      <c r="E9" s="5"/>
      <c r="F9" s="5"/>
      <c r="G9" s="5"/>
      <c r="H9" s="5"/>
      <c r="I9" s="5" t="s">
        <v>20</v>
      </c>
      <c r="J9" s="50">
        <f>D13</f>
        <v>-3.9319999999999997E-3</v>
      </c>
      <c r="K9" s="5"/>
      <c r="L9" s="5"/>
      <c r="M9" s="20"/>
      <c r="S9" s="52"/>
      <c r="W9" s="3" t="s">
        <v>9</v>
      </c>
      <c r="X9" s="3">
        <v>6.1296999999999997E-2</v>
      </c>
    </row>
    <row r="10" spans="2:24" x14ac:dyDescent="0.2">
      <c r="B10" s="96"/>
      <c r="C10" s="172" t="s">
        <v>103</v>
      </c>
      <c r="D10" s="188">
        <v>2.1975999999999999E-2</v>
      </c>
      <c r="E10" s="5"/>
      <c r="F10" s="5"/>
      <c r="G10" s="5"/>
      <c r="I10" s="3" t="s">
        <v>104</v>
      </c>
      <c r="J10" s="50">
        <f>D11</f>
        <v>2.1975999999999999E-2</v>
      </c>
      <c r="K10" s="5"/>
      <c r="L10" s="5"/>
      <c r="M10" s="20"/>
      <c r="S10" s="52"/>
      <c r="W10" s="3" t="s">
        <v>10</v>
      </c>
      <c r="X10" s="3">
        <v>3.0130999999999998E-2</v>
      </c>
    </row>
    <row r="11" spans="2:24" ht="15.75" x14ac:dyDescent="0.2">
      <c r="B11" s="96"/>
      <c r="C11" s="173" t="s">
        <v>104</v>
      </c>
      <c r="D11" s="189">
        <v>2.1975999999999999E-2</v>
      </c>
      <c r="E11" s="5"/>
      <c r="F11" s="5"/>
      <c r="G11" s="5"/>
      <c r="J11" s="5"/>
      <c r="K11" s="5"/>
      <c r="L11" s="5"/>
      <c r="M11" s="20"/>
      <c r="S11" s="52"/>
      <c r="W11" s="3" t="s">
        <v>7</v>
      </c>
      <c r="X11" s="3">
        <v>2.7299E-2</v>
      </c>
    </row>
    <row r="12" spans="2:24" x14ac:dyDescent="0.2">
      <c r="B12" s="96"/>
      <c r="C12" s="172"/>
      <c r="D12" s="86"/>
      <c r="E12" s="5"/>
      <c r="F12" s="5"/>
      <c r="G12" s="5"/>
      <c r="J12" s="5"/>
      <c r="K12" s="5"/>
      <c r="L12" s="5"/>
      <c r="M12" s="20"/>
      <c r="S12" s="52"/>
      <c r="W12" s="3" t="s">
        <v>26</v>
      </c>
      <c r="X12" s="3">
        <v>2.5925E-2</v>
      </c>
    </row>
    <row r="13" spans="2:24" ht="15.75" x14ac:dyDescent="0.2">
      <c r="B13" s="96"/>
      <c r="C13" s="173" t="s">
        <v>20</v>
      </c>
      <c r="D13" s="189">
        <v>-3.9319999999999997E-3</v>
      </c>
      <c r="E13" s="5"/>
      <c r="F13" s="5"/>
      <c r="G13" s="5"/>
      <c r="J13" s="5"/>
      <c r="K13" s="5"/>
      <c r="L13" s="5"/>
      <c r="M13" s="20"/>
      <c r="S13" s="52"/>
      <c r="W13" s="3" t="s">
        <v>8</v>
      </c>
      <c r="X13" s="3">
        <v>2.3822000000000003E-2</v>
      </c>
    </row>
    <row r="14" spans="2:24" x14ac:dyDescent="0.2">
      <c r="B14" s="96"/>
      <c r="C14" s="172"/>
      <c r="D14" s="86"/>
      <c r="E14" s="5"/>
      <c r="F14" s="5"/>
      <c r="G14" s="5"/>
      <c r="H14" s="5"/>
      <c r="I14" s="5"/>
      <c r="J14" s="5"/>
      <c r="K14" s="5"/>
      <c r="L14" s="5"/>
      <c r="M14" s="20"/>
      <c r="S14" s="52"/>
      <c r="W14" s="3" t="s">
        <v>25</v>
      </c>
      <c r="X14" s="3">
        <v>2.3753E-2</v>
      </c>
    </row>
    <row r="15" spans="2:24" ht="15.75" x14ac:dyDescent="0.2">
      <c r="B15" s="96"/>
      <c r="C15" s="174" t="s">
        <v>21</v>
      </c>
      <c r="D15" s="87">
        <f>D13+D11+D9</f>
        <v>1</v>
      </c>
      <c r="E15" s="5"/>
      <c r="F15" s="5"/>
      <c r="G15" s="5"/>
      <c r="H15" s="5"/>
      <c r="I15" s="5"/>
      <c r="J15" s="5"/>
      <c r="K15" s="5"/>
      <c r="L15" s="5"/>
      <c r="M15" s="20"/>
      <c r="S15" s="52"/>
      <c r="W15" s="3" t="s">
        <v>17</v>
      </c>
      <c r="X15" s="3">
        <v>1.8620999999999999E-2</v>
      </c>
    </row>
    <row r="16" spans="2:24" x14ac:dyDescent="0.2">
      <c r="B16" s="96"/>
      <c r="E16" s="5"/>
      <c r="F16" s="5"/>
      <c r="G16" s="5"/>
      <c r="H16" s="5"/>
      <c r="I16" s="5"/>
      <c r="J16" s="5"/>
      <c r="K16" s="5"/>
      <c r="L16" s="5"/>
      <c r="M16" s="20"/>
      <c r="S16" s="52"/>
      <c r="W16" s="3" t="s">
        <v>27</v>
      </c>
      <c r="X16" s="3">
        <v>1.7219000000000002E-2</v>
      </c>
    </row>
    <row r="17" spans="2:24" ht="15.75" x14ac:dyDescent="0.25">
      <c r="B17" s="96"/>
      <c r="C17" s="35"/>
      <c r="D17" s="36"/>
      <c r="E17" s="5"/>
      <c r="F17" s="5"/>
      <c r="G17" s="5"/>
      <c r="H17" s="5"/>
      <c r="I17" s="5"/>
      <c r="J17" s="5"/>
      <c r="K17" s="5"/>
      <c r="L17" s="5"/>
      <c r="M17" s="20"/>
      <c r="S17" s="52"/>
      <c r="W17" s="3" t="s">
        <v>12</v>
      </c>
      <c r="X17" s="3">
        <v>1.6056000000000001E-2</v>
      </c>
    </row>
    <row r="18" spans="2:24" x14ac:dyDescent="0.2">
      <c r="B18" s="96"/>
      <c r="C18" s="41"/>
      <c r="D18" s="41"/>
      <c r="E18" s="5"/>
      <c r="F18" s="5"/>
      <c r="G18" s="5"/>
      <c r="H18" s="5"/>
      <c r="I18" s="5"/>
      <c r="J18" s="5"/>
      <c r="K18" s="5"/>
      <c r="L18" s="5"/>
      <c r="M18" s="20"/>
      <c r="S18" s="52"/>
      <c r="W18" s="3" t="s">
        <v>6</v>
      </c>
      <c r="X18" s="3">
        <v>1.41E-2</v>
      </c>
    </row>
    <row r="19" spans="2:24" ht="15.75" x14ac:dyDescent="0.25">
      <c r="B19" s="96"/>
      <c r="C19" s="35"/>
      <c r="D19" s="37"/>
      <c r="E19" s="5"/>
      <c r="F19" s="5"/>
      <c r="G19" s="5"/>
      <c r="H19" s="5"/>
      <c r="I19" s="5"/>
      <c r="J19" s="5"/>
      <c r="K19" s="5"/>
      <c r="L19" s="5"/>
      <c r="M19" s="20"/>
      <c r="S19" s="52"/>
      <c r="W19" s="3" t="s">
        <v>14</v>
      </c>
      <c r="X19" s="3">
        <v>1.1167E-2</v>
      </c>
    </row>
    <row r="20" spans="2:24" x14ac:dyDescent="0.2">
      <c r="B20" s="96"/>
      <c r="E20" s="5"/>
      <c r="F20" s="5"/>
      <c r="G20" s="5"/>
      <c r="H20" s="5"/>
      <c r="I20" s="5"/>
      <c r="J20" s="5"/>
      <c r="K20" s="5"/>
      <c r="L20" s="5"/>
      <c r="M20" s="20"/>
      <c r="S20" s="52"/>
      <c r="W20" s="3" t="s">
        <v>11</v>
      </c>
      <c r="X20" s="3">
        <v>1.1159000000000001E-2</v>
      </c>
    </row>
    <row r="21" spans="2:24" x14ac:dyDescent="0.2">
      <c r="B21" s="96"/>
      <c r="E21" s="5"/>
      <c r="F21" s="5"/>
      <c r="G21" s="5"/>
      <c r="H21" s="5"/>
      <c r="I21" s="5"/>
      <c r="J21" s="5"/>
      <c r="K21" s="5"/>
      <c r="L21" s="5"/>
      <c r="M21" s="20"/>
      <c r="S21" s="52"/>
      <c r="W21" s="3" t="s">
        <v>18</v>
      </c>
      <c r="X21" s="3">
        <v>1.0543E-2</v>
      </c>
    </row>
    <row r="22" spans="2:24" ht="16.5" thickBot="1" x14ac:dyDescent="0.3">
      <c r="B22" s="99"/>
      <c r="C22" s="263"/>
      <c r="D22" s="263"/>
      <c r="E22" s="263"/>
      <c r="F22" s="263"/>
      <c r="G22" s="263"/>
      <c r="H22" s="263"/>
      <c r="I22" s="263"/>
      <c r="J22" s="263"/>
      <c r="K22" s="263"/>
      <c r="L22" s="263"/>
      <c r="M22" s="264"/>
      <c r="S22" s="52"/>
    </row>
    <row r="23" spans="2:24" ht="15.75" thickBot="1" x14ac:dyDescent="0.25">
      <c r="S23" s="52"/>
    </row>
    <row r="24" spans="2:24" ht="15" customHeight="1" x14ac:dyDescent="0.2">
      <c r="B24" s="265" t="s">
        <v>186</v>
      </c>
      <c r="C24" s="266"/>
      <c r="D24" s="266"/>
      <c r="E24" s="266"/>
      <c r="F24" s="266"/>
      <c r="G24" s="266"/>
      <c r="H24" s="266"/>
      <c r="I24" s="266"/>
      <c r="J24" s="266"/>
      <c r="K24" s="266"/>
      <c r="L24" s="266"/>
      <c r="M24" s="266"/>
      <c r="N24" s="267"/>
      <c r="S24" s="52"/>
    </row>
    <row r="25" spans="2:24" ht="15.75" customHeight="1" x14ac:dyDescent="0.2">
      <c r="B25" s="268"/>
      <c r="C25" s="269"/>
      <c r="D25" s="269"/>
      <c r="E25" s="269"/>
      <c r="F25" s="269"/>
      <c r="G25" s="269"/>
      <c r="H25" s="269"/>
      <c r="I25" s="269"/>
      <c r="J25" s="269"/>
      <c r="K25" s="269"/>
      <c r="L25" s="269"/>
      <c r="M25" s="269"/>
      <c r="N25" s="270"/>
      <c r="S25" s="52"/>
    </row>
    <row r="26" spans="2:24" ht="15.75" customHeight="1" x14ac:dyDescent="0.2">
      <c r="B26" s="268"/>
      <c r="C26" s="269"/>
      <c r="D26" s="269"/>
      <c r="E26" s="269"/>
      <c r="F26" s="269"/>
      <c r="G26" s="269"/>
      <c r="H26" s="269"/>
      <c r="I26" s="269"/>
      <c r="J26" s="269"/>
      <c r="K26" s="269"/>
      <c r="L26" s="269"/>
      <c r="M26" s="269"/>
      <c r="N26" s="270"/>
      <c r="S26" s="52"/>
    </row>
    <row r="27" spans="2:24" ht="15.75" customHeight="1" x14ac:dyDescent="0.2">
      <c r="B27" s="268"/>
      <c r="C27" s="269"/>
      <c r="D27" s="269"/>
      <c r="E27" s="269"/>
      <c r="F27" s="269"/>
      <c r="G27" s="269"/>
      <c r="H27" s="269"/>
      <c r="I27" s="269"/>
      <c r="J27" s="269"/>
      <c r="K27" s="269"/>
      <c r="L27" s="269"/>
      <c r="M27" s="269"/>
      <c r="N27" s="270"/>
      <c r="S27" s="52"/>
    </row>
    <row r="28" spans="2:24" ht="15.75" customHeight="1" x14ac:dyDescent="0.2">
      <c r="B28" s="268"/>
      <c r="C28" s="269"/>
      <c r="D28" s="269"/>
      <c r="E28" s="269"/>
      <c r="F28" s="269"/>
      <c r="G28" s="269"/>
      <c r="H28" s="269"/>
      <c r="I28" s="269"/>
      <c r="J28" s="269"/>
      <c r="K28" s="269"/>
      <c r="L28" s="269"/>
      <c r="M28" s="269"/>
      <c r="N28" s="270"/>
      <c r="S28" s="52"/>
    </row>
    <row r="29" spans="2:24" ht="15.75" customHeight="1" x14ac:dyDescent="0.2">
      <c r="B29" s="268"/>
      <c r="C29" s="269"/>
      <c r="D29" s="269"/>
      <c r="E29" s="269"/>
      <c r="F29" s="269"/>
      <c r="G29" s="269"/>
      <c r="H29" s="269"/>
      <c r="I29" s="269"/>
      <c r="J29" s="269"/>
      <c r="K29" s="269"/>
      <c r="L29" s="269"/>
      <c r="M29" s="269"/>
      <c r="N29" s="270"/>
      <c r="S29" s="52"/>
    </row>
    <row r="30" spans="2:24" ht="28.5" customHeight="1" thickBot="1" x14ac:dyDescent="0.25">
      <c r="B30" s="271"/>
      <c r="C30" s="272"/>
      <c r="D30" s="272"/>
      <c r="E30" s="272"/>
      <c r="F30" s="272"/>
      <c r="G30" s="272"/>
      <c r="H30" s="272"/>
      <c r="I30" s="272"/>
      <c r="J30" s="272"/>
      <c r="K30" s="272"/>
      <c r="L30" s="272"/>
      <c r="M30" s="272"/>
      <c r="N30" s="273"/>
      <c r="S30" s="52"/>
    </row>
    <row r="31" spans="2:24" ht="15.75" thickBot="1" x14ac:dyDescent="0.25">
      <c r="S31" s="52"/>
    </row>
    <row r="32" spans="2:24" x14ac:dyDescent="0.2">
      <c r="B32" s="265" t="s">
        <v>95</v>
      </c>
      <c r="C32" s="266"/>
      <c r="D32" s="266"/>
      <c r="E32" s="266"/>
      <c r="F32" s="266"/>
      <c r="G32" s="266"/>
      <c r="H32" s="266"/>
      <c r="I32" s="266"/>
      <c r="J32" s="266"/>
      <c r="K32" s="266"/>
      <c r="L32" s="266"/>
      <c r="M32" s="266"/>
      <c r="N32" s="267"/>
      <c r="S32" s="52"/>
    </row>
    <row r="33" spans="2:19" x14ac:dyDescent="0.2">
      <c r="B33" s="268"/>
      <c r="C33" s="269"/>
      <c r="D33" s="269"/>
      <c r="E33" s="269"/>
      <c r="F33" s="269"/>
      <c r="G33" s="269"/>
      <c r="H33" s="269"/>
      <c r="I33" s="269"/>
      <c r="J33" s="269"/>
      <c r="K33" s="269"/>
      <c r="L33" s="269"/>
      <c r="M33" s="269"/>
      <c r="N33" s="270"/>
      <c r="S33" s="52"/>
    </row>
    <row r="34" spans="2:19" x14ac:dyDescent="0.2">
      <c r="B34" s="268"/>
      <c r="C34" s="269"/>
      <c r="D34" s="269"/>
      <c r="E34" s="269"/>
      <c r="F34" s="269"/>
      <c r="G34" s="269"/>
      <c r="H34" s="269"/>
      <c r="I34" s="269"/>
      <c r="J34" s="269"/>
      <c r="K34" s="269"/>
      <c r="L34" s="269"/>
      <c r="M34" s="269"/>
      <c r="N34" s="270"/>
      <c r="S34" s="52"/>
    </row>
    <row r="35" spans="2:19" x14ac:dyDescent="0.2">
      <c r="B35" s="268"/>
      <c r="C35" s="269"/>
      <c r="D35" s="269"/>
      <c r="E35" s="269"/>
      <c r="F35" s="269"/>
      <c r="G35" s="269"/>
      <c r="H35" s="269"/>
      <c r="I35" s="269"/>
      <c r="J35" s="269"/>
      <c r="K35" s="269"/>
      <c r="L35" s="269"/>
      <c r="M35" s="269"/>
      <c r="N35" s="270"/>
      <c r="S35" s="52"/>
    </row>
    <row r="36" spans="2:19" x14ac:dyDescent="0.2">
      <c r="B36" s="268"/>
      <c r="C36" s="269"/>
      <c r="D36" s="269"/>
      <c r="E36" s="269"/>
      <c r="F36" s="269"/>
      <c r="G36" s="269"/>
      <c r="H36" s="269"/>
      <c r="I36" s="269"/>
      <c r="J36" s="269"/>
      <c r="K36" s="269"/>
      <c r="L36" s="269"/>
      <c r="M36" s="269"/>
      <c r="N36" s="270"/>
      <c r="S36" s="52"/>
    </row>
    <row r="37" spans="2:19" x14ac:dyDescent="0.2">
      <c r="B37" s="268"/>
      <c r="C37" s="269"/>
      <c r="D37" s="269"/>
      <c r="E37" s="269"/>
      <c r="F37" s="269"/>
      <c r="G37" s="269"/>
      <c r="H37" s="269"/>
      <c r="I37" s="269"/>
      <c r="J37" s="269"/>
      <c r="K37" s="269"/>
      <c r="L37" s="269"/>
      <c r="M37" s="269"/>
      <c r="N37" s="270"/>
      <c r="S37" s="52"/>
    </row>
    <row r="38" spans="2:19" ht="15.75" thickBot="1" x14ac:dyDescent="0.25">
      <c r="B38" s="271"/>
      <c r="C38" s="272"/>
      <c r="D38" s="272"/>
      <c r="E38" s="272"/>
      <c r="F38" s="272"/>
      <c r="G38" s="272"/>
      <c r="H38" s="272"/>
      <c r="I38" s="272"/>
      <c r="J38" s="272"/>
      <c r="K38" s="272"/>
      <c r="L38" s="272"/>
      <c r="M38" s="272"/>
      <c r="N38" s="273"/>
      <c r="S38" s="52"/>
    </row>
    <row r="39" spans="2:19" x14ac:dyDescent="0.2">
      <c r="S39" s="52"/>
    </row>
    <row r="40" spans="2:19" x14ac:dyDescent="0.2">
      <c r="S40" s="52"/>
    </row>
    <row r="41" spans="2:19" x14ac:dyDescent="0.2">
      <c r="S41" s="52"/>
    </row>
    <row r="42" spans="2:19" x14ac:dyDescent="0.2">
      <c r="S42" s="52"/>
    </row>
    <row r="43" spans="2:19" x14ac:dyDescent="0.2">
      <c r="S43" s="52"/>
    </row>
    <row r="44" spans="2:19" x14ac:dyDescent="0.2">
      <c r="S44" s="52"/>
    </row>
    <row r="45" spans="2:19" x14ac:dyDescent="0.2">
      <c r="S45" s="52"/>
    </row>
    <row r="46" spans="2:19" x14ac:dyDescent="0.2">
      <c r="S46" s="52"/>
    </row>
    <row r="47" spans="2:19" x14ac:dyDescent="0.2">
      <c r="S47" s="52"/>
    </row>
    <row r="48" spans="2:19" x14ac:dyDescent="0.2">
      <c r="S48" s="52"/>
    </row>
    <row r="49" spans="19:19" x14ac:dyDescent="0.2">
      <c r="S49" s="52"/>
    </row>
    <row r="50" spans="19:19" x14ac:dyDescent="0.2">
      <c r="S50" s="52"/>
    </row>
    <row r="51" spans="19:19" x14ac:dyDescent="0.2">
      <c r="S51" s="52"/>
    </row>
    <row r="52" spans="19:19" x14ac:dyDescent="0.2">
      <c r="S52" s="52"/>
    </row>
    <row r="53" spans="19:19" x14ac:dyDescent="0.2">
      <c r="S53" s="52"/>
    </row>
    <row r="54" spans="19:19" x14ac:dyDescent="0.2">
      <c r="S54" s="52"/>
    </row>
    <row r="55" spans="19:19" x14ac:dyDescent="0.2">
      <c r="S55" s="52"/>
    </row>
    <row r="56" spans="19:19" x14ac:dyDescent="0.2">
      <c r="S56" s="52"/>
    </row>
    <row r="57" spans="19:19" x14ac:dyDescent="0.2">
      <c r="S57" s="52"/>
    </row>
    <row r="58" spans="19:19" x14ac:dyDescent="0.2">
      <c r="S58" s="52"/>
    </row>
    <row r="59" spans="19:19" x14ac:dyDescent="0.2">
      <c r="S59" s="52"/>
    </row>
    <row r="60" spans="19:19" x14ac:dyDescent="0.2">
      <c r="S60" s="52"/>
    </row>
    <row r="61" spans="19:19" x14ac:dyDescent="0.2">
      <c r="S61" s="52"/>
    </row>
    <row r="62" spans="19:19" x14ac:dyDescent="0.2">
      <c r="S62" s="52"/>
    </row>
    <row r="63" spans="19:19" x14ac:dyDescent="0.2">
      <c r="S63" s="52"/>
    </row>
    <row r="64" spans="19: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row r="668" spans="19:19" x14ac:dyDescent="0.2">
      <c r="S668" s="52"/>
    </row>
    <row r="669" spans="19:19" x14ac:dyDescent="0.2">
      <c r="S669" s="52"/>
    </row>
    <row r="670" spans="19:19" x14ac:dyDescent="0.2">
      <c r="S670" s="52"/>
    </row>
    <row r="671" spans="19:19" x14ac:dyDescent="0.2">
      <c r="S671" s="52"/>
    </row>
    <row r="672" spans="19:19" x14ac:dyDescent="0.2">
      <c r="S672" s="52"/>
    </row>
    <row r="673" spans="19:19" x14ac:dyDescent="0.2">
      <c r="S673" s="52"/>
    </row>
    <row r="674" spans="19:19" x14ac:dyDescent="0.2">
      <c r="S674" s="52"/>
    </row>
    <row r="675" spans="19:19" x14ac:dyDescent="0.2">
      <c r="S675" s="52"/>
    </row>
    <row r="676" spans="19:19" x14ac:dyDescent="0.2">
      <c r="S676" s="52"/>
    </row>
    <row r="677" spans="19:19" x14ac:dyDescent="0.2">
      <c r="S677" s="52"/>
    </row>
    <row r="678" spans="19:19" x14ac:dyDescent="0.2">
      <c r="S678" s="52"/>
    </row>
    <row r="679" spans="19:19" x14ac:dyDescent="0.2">
      <c r="S679" s="52"/>
    </row>
    <row r="680" spans="19:19" x14ac:dyDescent="0.2">
      <c r="S680" s="52"/>
    </row>
    <row r="681" spans="19:19" x14ac:dyDescent="0.2">
      <c r="S681" s="52"/>
    </row>
    <row r="682" spans="19:19" x14ac:dyDescent="0.2">
      <c r="S682" s="52"/>
    </row>
    <row r="683" spans="19:19" x14ac:dyDescent="0.2">
      <c r="S683" s="52"/>
    </row>
    <row r="684" spans="19:19" x14ac:dyDescent="0.2">
      <c r="S684" s="52"/>
    </row>
    <row r="685" spans="19:19" x14ac:dyDescent="0.2">
      <c r="S685" s="52"/>
    </row>
    <row r="686" spans="19:19" x14ac:dyDescent="0.2">
      <c r="S686" s="52"/>
    </row>
    <row r="687" spans="19:19" x14ac:dyDescent="0.2">
      <c r="S687" s="52"/>
    </row>
    <row r="688" spans="19:19" x14ac:dyDescent="0.2">
      <c r="S688" s="52"/>
    </row>
    <row r="689" spans="19:19" x14ac:dyDescent="0.2">
      <c r="S689" s="52"/>
    </row>
    <row r="690" spans="19:19" x14ac:dyDescent="0.2">
      <c r="S690" s="52"/>
    </row>
    <row r="691" spans="19:19" x14ac:dyDescent="0.2">
      <c r="S691" s="52"/>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8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1.8554687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7" width="9.140625" style="39"/>
    <col min="28"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4"/>
    </row>
    <row r="3" spans="1:24" ht="20.25" customHeight="1" x14ac:dyDescent="0.25">
      <c r="B3" s="67"/>
      <c r="C3" s="274" t="s">
        <v>176</v>
      </c>
      <c r="D3" s="275"/>
      <c r="E3" s="275"/>
      <c r="F3" s="275"/>
      <c r="G3" s="275"/>
      <c r="H3" s="275"/>
      <c r="I3" s="275"/>
      <c r="J3" s="275"/>
      <c r="K3" s="275"/>
      <c r="L3" s="275"/>
      <c r="M3" s="275"/>
      <c r="N3" s="275"/>
      <c r="O3" s="275"/>
      <c r="P3" s="275"/>
      <c r="Q3" s="275"/>
      <c r="R3" s="275"/>
      <c r="S3" s="275"/>
      <c r="T3" s="25"/>
    </row>
    <row r="4" spans="1:24" ht="15.75" customHeight="1" x14ac:dyDescent="0.25">
      <c r="B4" s="67"/>
      <c r="C4" s="70" t="s">
        <v>367</v>
      </c>
      <c r="D4" s="154"/>
      <c r="E4" s="167"/>
      <c r="F4" s="167"/>
      <c r="G4" s="167"/>
      <c r="H4" s="167"/>
      <c r="I4" s="167"/>
      <c r="J4" s="167"/>
      <c r="K4" s="29"/>
      <c r="L4" s="29"/>
      <c r="M4" s="29"/>
      <c r="N4" s="29"/>
      <c r="O4" s="29"/>
      <c r="P4" s="29"/>
      <c r="Q4" s="29"/>
      <c r="R4" s="29"/>
      <c r="S4" s="29"/>
      <c r="T4" s="25"/>
    </row>
    <row r="5" spans="1:24" ht="18" customHeight="1" x14ac:dyDescent="0.25">
      <c r="B5" s="67"/>
      <c r="C5" s="228" t="s">
        <v>366</v>
      </c>
      <c r="D5" s="276" t="s">
        <v>319</v>
      </c>
      <c r="E5" s="276"/>
      <c r="F5" s="29"/>
      <c r="G5" s="29"/>
      <c r="H5" s="54"/>
      <c r="I5" s="54"/>
      <c r="J5" s="54"/>
      <c r="K5" s="54"/>
      <c r="L5" s="54"/>
      <c r="M5" s="54"/>
      <c r="N5" s="54"/>
      <c r="O5" s="54"/>
      <c r="P5" s="54"/>
      <c r="Q5" s="54"/>
      <c r="R5" s="54"/>
      <c r="S5" s="54"/>
      <c r="T5" s="55"/>
    </row>
    <row r="6" spans="1:24" ht="15" customHeight="1" x14ac:dyDescent="0.25">
      <c r="B6" s="67"/>
      <c r="C6" s="29"/>
      <c r="D6" s="29"/>
      <c r="E6" s="29"/>
      <c r="F6" s="29"/>
      <c r="G6" s="29"/>
      <c r="H6" s="54"/>
      <c r="I6" s="54"/>
      <c r="J6" s="54"/>
      <c r="K6" s="54"/>
      <c r="L6" s="54"/>
      <c r="M6" s="54"/>
      <c r="N6" s="54"/>
      <c r="O6" s="54"/>
      <c r="P6" s="54"/>
      <c r="Q6" s="54"/>
      <c r="R6" s="54"/>
      <c r="S6" s="54"/>
      <c r="T6" s="55"/>
    </row>
    <row r="7" spans="1:24" ht="32.25" customHeight="1" x14ac:dyDescent="0.25">
      <c r="B7" s="67"/>
      <c r="C7" s="155" t="s">
        <v>0</v>
      </c>
      <c r="D7" s="156" t="s">
        <v>1</v>
      </c>
      <c r="E7" s="155" t="s">
        <v>2</v>
      </c>
      <c r="F7" s="29"/>
      <c r="G7" s="29"/>
      <c r="H7" s="29"/>
      <c r="I7" s="29"/>
      <c r="J7" s="29"/>
      <c r="K7" s="29"/>
      <c r="L7" s="29"/>
      <c r="M7" s="29"/>
      <c r="N7" s="29"/>
      <c r="O7" s="29"/>
      <c r="P7" s="29"/>
      <c r="Q7" s="29"/>
      <c r="R7" s="29"/>
      <c r="S7" s="29"/>
      <c r="T7" s="25"/>
      <c r="W7" s="39" t="s">
        <v>22</v>
      </c>
      <c r="X7" s="39" t="s">
        <v>2</v>
      </c>
    </row>
    <row r="8" spans="1:24" ht="15" customHeight="1" x14ac:dyDescent="0.25">
      <c r="B8" s="67"/>
      <c r="C8" s="198" t="s">
        <v>28</v>
      </c>
      <c r="D8" s="199" t="s">
        <v>109</v>
      </c>
      <c r="E8" s="200">
        <v>3.2807999999999997E-2</v>
      </c>
      <c r="F8" s="139"/>
      <c r="G8" s="29"/>
      <c r="H8" s="29"/>
      <c r="I8" s="29"/>
      <c r="J8" s="29"/>
      <c r="K8" s="29"/>
      <c r="L8" s="29"/>
      <c r="M8" s="29"/>
      <c r="N8" s="29"/>
      <c r="O8" s="29"/>
      <c r="P8" s="29"/>
      <c r="Q8" s="29"/>
      <c r="R8" s="29"/>
      <c r="S8" s="29"/>
      <c r="T8" s="25"/>
      <c r="W8" s="184" t="s">
        <v>3</v>
      </c>
      <c r="X8" s="251">
        <v>0.12748399999999999</v>
      </c>
    </row>
    <row r="9" spans="1:24" ht="15.75" customHeight="1" x14ac:dyDescent="0.25">
      <c r="B9" s="67"/>
      <c r="C9" s="192" t="s">
        <v>29</v>
      </c>
      <c r="D9" s="201" t="s">
        <v>3</v>
      </c>
      <c r="E9" s="202">
        <v>3.0946000000000001E-2</v>
      </c>
      <c r="F9" s="139"/>
      <c r="G9" s="29"/>
      <c r="H9" s="29"/>
      <c r="I9" s="29"/>
      <c r="J9" s="29"/>
      <c r="K9" s="29"/>
      <c r="L9" s="29"/>
      <c r="M9" s="29"/>
      <c r="N9" s="29"/>
      <c r="O9" s="29"/>
      <c r="P9" s="29"/>
      <c r="Q9" s="29"/>
      <c r="R9" s="29"/>
      <c r="S9" s="29"/>
      <c r="T9" s="25"/>
      <c r="W9" s="184" t="s">
        <v>113</v>
      </c>
      <c r="X9" s="251">
        <v>8.0838000000000007E-2</v>
      </c>
    </row>
    <row r="10" spans="1:24" ht="15" customHeight="1" x14ac:dyDescent="0.25">
      <c r="B10" s="67"/>
      <c r="C10" s="192" t="s">
        <v>31</v>
      </c>
      <c r="D10" s="201" t="s">
        <v>6</v>
      </c>
      <c r="E10" s="202">
        <v>3.0643E-2</v>
      </c>
      <c r="F10" s="139"/>
      <c r="G10" s="29"/>
      <c r="H10" s="29"/>
      <c r="I10" s="29"/>
      <c r="J10" s="29"/>
      <c r="K10" s="29"/>
      <c r="L10" s="29"/>
      <c r="M10" s="29"/>
      <c r="N10" s="29"/>
      <c r="O10" s="29"/>
      <c r="P10" s="29"/>
      <c r="Q10" s="29"/>
      <c r="R10" s="29"/>
      <c r="S10" s="29"/>
      <c r="T10" s="25"/>
      <c r="W10" s="184" t="s">
        <v>109</v>
      </c>
      <c r="X10" s="251">
        <v>6.7830999999999989E-2</v>
      </c>
    </row>
    <row r="11" spans="1:24" ht="15" customHeight="1" x14ac:dyDescent="0.25">
      <c r="B11" s="67"/>
      <c r="C11" s="192" t="s">
        <v>32</v>
      </c>
      <c r="D11" s="201" t="s">
        <v>3</v>
      </c>
      <c r="E11" s="202">
        <v>2.5009E-2</v>
      </c>
      <c r="F11" s="139"/>
      <c r="G11" s="29"/>
      <c r="H11" s="29"/>
      <c r="I11" s="29"/>
      <c r="J11" s="29"/>
      <c r="K11" s="29"/>
      <c r="L11" s="29"/>
      <c r="M11" s="29"/>
      <c r="N11" s="29"/>
      <c r="O11" s="29"/>
      <c r="P11" s="29"/>
      <c r="Q11" s="29"/>
      <c r="R11" s="29"/>
      <c r="S11" s="29"/>
      <c r="T11" s="25"/>
      <c r="W11" s="184" t="s">
        <v>4</v>
      </c>
      <c r="X11" s="251">
        <v>6.5971000000000002E-2</v>
      </c>
    </row>
    <row r="12" spans="1:24" ht="15" customHeight="1" x14ac:dyDescent="0.25">
      <c r="B12" s="67"/>
      <c r="C12" s="192" t="s">
        <v>70</v>
      </c>
      <c r="D12" s="201" t="s">
        <v>12</v>
      </c>
      <c r="E12" s="202">
        <v>2.0535999999999999E-2</v>
      </c>
      <c r="F12" s="139"/>
      <c r="G12" s="29"/>
      <c r="H12" s="29"/>
      <c r="I12" s="29"/>
      <c r="J12" s="29"/>
      <c r="K12" s="29"/>
      <c r="L12" s="29"/>
      <c r="M12" s="29"/>
      <c r="N12" s="29"/>
      <c r="O12" s="29"/>
      <c r="P12" s="29"/>
      <c r="Q12" s="29"/>
      <c r="R12" s="29"/>
      <c r="S12" s="29"/>
      <c r="T12" s="25"/>
      <c r="W12" s="184" t="s">
        <v>114</v>
      </c>
      <c r="X12" s="251">
        <v>4.4500999999999999E-2</v>
      </c>
    </row>
    <row r="13" spans="1:24" ht="15" customHeight="1" x14ac:dyDescent="0.25">
      <c r="B13" s="67"/>
      <c r="C13" s="192" t="s">
        <v>239</v>
      </c>
      <c r="D13" s="201" t="s">
        <v>26</v>
      </c>
      <c r="E13" s="202">
        <v>1.9934E-2</v>
      </c>
      <c r="F13" s="139"/>
      <c r="G13" s="29"/>
      <c r="H13" s="29"/>
      <c r="I13" s="29"/>
      <c r="J13" s="29"/>
      <c r="K13" s="29"/>
      <c r="L13" s="29"/>
      <c r="M13" s="29"/>
      <c r="N13" s="29"/>
      <c r="O13" s="29"/>
      <c r="P13" s="29"/>
      <c r="Q13" s="29"/>
      <c r="R13" s="29"/>
      <c r="S13" s="29"/>
      <c r="T13" s="25"/>
      <c r="W13" s="184" t="s">
        <v>26</v>
      </c>
      <c r="X13" s="251">
        <v>4.0528000000000002E-2</v>
      </c>
    </row>
    <row r="14" spans="1:24" ht="15" customHeight="1" x14ac:dyDescent="0.25">
      <c r="B14" s="67"/>
      <c r="C14" s="192" t="s">
        <v>148</v>
      </c>
      <c r="D14" s="201" t="s">
        <v>126</v>
      </c>
      <c r="E14" s="202">
        <v>1.9529999999999999E-2</v>
      </c>
      <c r="F14" s="139"/>
      <c r="G14" s="29"/>
      <c r="H14" s="29"/>
      <c r="I14" s="29"/>
      <c r="J14" s="29"/>
      <c r="K14" s="29"/>
      <c r="L14" s="29"/>
      <c r="M14" s="29"/>
      <c r="N14" s="29"/>
      <c r="O14" s="29"/>
      <c r="P14" s="29"/>
      <c r="Q14" s="29"/>
      <c r="R14" s="29"/>
      <c r="S14" s="29"/>
      <c r="T14" s="25"/>
      <c r="W14" s="184" t="s">
        <v>121</v>
      </c>
      <c r="X14" s="251">
        <v>3.6674999999999999E-2</v>
      </c>
    </row>
    <row r="15" spans="1:24" ht="15.75" x14ac:dyDescent="0.25">
      <c r="B15" s="67"/>
      <c r="C15" s="192" t="s">
        <v>98</v>
      </c>
      <c r="D15" s="201" t="s">
        <v>114</v>
      </c>
      <c r="E15" s="202">
        <v>1.8485000000000001E-2</v>
      </c>
      <c r="F15" s="139"/>
      <c r="G15" s="29"/>
      <c r="H15" s="29"/>
      <c r="I15" s="29"/>
      <c r="J15" s="29"/>
      <c r="K15" s="29"/>
      <c r="L15" s="29"/>
      <c r="M15" s="29"/>
      <c r="N15" s="29"/>
      <c r="O15" s="29"/>
      <c r="P15" s="29"/>
      <c r="Q15" s="29"/>
      <c r="R15" s="29"/>
      <c r="S15" s="29"/>
      <c r="T15" s="25"/>
      <c r="W15" s="184" t="s">
        <v>6</v>
      </c>
      <c r="X15" s="251">
        <v>3.4505000000000001E-2</v>
      </c>
    </row>
    <row r="16" spans="1:24" ht="15" customHeight="1" x14ac:dyDescent="0.25">
      <c r="B16" s="67"/>
      <c r="C16" s="192" t="s">
        <v>36</v>
      </c>
      <c r="D16" s="201" t="s">
        <v>3</v>
      </c>
      <c r="E16" s="202">
        <v>1.7347999999999999E-2</v>
      </c>
      <c r="F16" s="139"/>
      <c r="G16" s="29"/>
      <c r="H16" s="29"/>
      <c r="I16" s="29"/>
      <c r="J16" s="29"/>
      <c r="K16" s="29"/>
      <c r="L16" s="29"/>
      <c r="M16" s="29"/>
      <c r="N16" s="29"/>
      <c r="O16" s="29"/>
      <c r="P16" s="29"/>
      <c r="Q16" s="29"/>
      <c r="R16" s="29"/>
      <c r="S16" s="29"/>
      <c r="T16" s="25"/>
      <c r="W16" s="184" t="s">
        <v>115</v>
      </c>
      <c r="X16" s="251">
        <v>3.3072999999999998E-2</v>
      </c>
    </row>
    <row r="17" spans="2:24" ht="15.75" x14ac:dyDescent="0.25">
      <c r="B17" s="67"/>
      <c r="C17" s="192" t="s">
        <v>265</v>
      </c>
      <c r="D17" s="201" t="s">
        <v>115</v>
      </c>
      <c r="E17" s="202">
        <v>1.6263E-2</v>
      </c>
      <c r="F17" s="139"/>
      <c r="G17" s="29"/>
      <c r="H17" s="29"/>
      <c r="I17" s="29"/>
      <c r="J17" s="29"/>
      <c r="K17" s="29"/>
      <c r="L17" s="29"/>
      <c r="M17" s="29"/>
      <c r="N17" s="29"/>
      <c r="O17" s="29"/>
      <c r="P17" s="29"/>
      <c r="Q17" s="29"/>
      <c r="R17" s="29"/>
      <c r="S17" s="29"/>
      <c r="T17" s="25"/>
      <c r="W17" s="184" t="s">
        <v>112</v>
      </c>
      <c r="X17" s="251">
        <v>3.3031999999999999E-2</v>
      </c>
    </row>
    <row r="18" spans="2:24" ht="15.75" x14ac:dyDescent="0.25">
      <c r="B18" s="67"/>
      <c r="C18" s="192" t="s">
        <v>69</v>
      </c>
      <c r="D18" s="201" t="s">
        <v>4</v>
      </c>
      <c r="E18" s="202">
        <v>1.6153000000000001E-2</v>
      </c>
      <c r="F18" s="139"/>
      <c r="G18" s="29"/>
      <c r="H18" s="29"/>
      <c r="I18" s="29"/>
      <c r="J18" s="29"/>
      <c r="K18" s="29"/>
      <c r="L18" s="29"/>
      <c r="M18" s="29"/>
      <c r="N18" s="29"/>
      <c r="O18" s="29"/>
      <c r="P18" s="29"/>
      <c r="Q18" s="29"/>
      <c r="R18" s="29"/>
      <c r="S18" s="29"/>
      <c r="T18" s="25"/>
      <c r="W18" s="184" t="s">
        <v>119</v>
      </c>
      <c r="X18" s="251">
        <v>2.9816999999999996E-2</v>
      </c>
    </row>
    <row r="19" spans="2:24" ht="15.75" x14ac:dyDescent="0.25">
      <c r="B19" s="67"/>
      <c r="C19" s="192" t="s">
        <v>37</v>
      </c>
      <c r="D19" s="201" t="s">
        <v>119</v>
      </c>
      <c r="E19" s="202">
        <v>1.5664999999999998E-2</v>
      </c>
      <c r="F19" s="139"/>
      <c r="G19" s="29"/>
      <c r="H19" s="29"/>
      <c r="I19" s="29"/>
      <c r="J19" s="29"/>
      <c r="K19" s="29"/>
      <c r="L19" s="29"/>
      <c r="M19" s="29"/>
      <c r="N19" s="29"/>
      <c r="O19" s="29"/>
      <c r="P19" s="29"/>
      <c r="Q19" s="29"/>
      <c r="R19" s="29"/>
      <c r="S19" s="29"/>
      <c r="T19" s="25"/>
      <c r="W19" s="184" t="s">
        <v>23</v>
      </c>
      <c r="X19" s="251">
        <v>2.9555999999999999E-2</v>
      </c>
    </row>
    <row r="20" spans="2:24" ht="15" customHeight="1" x14ac:dyDescent="0.25">
      <c r="B20" s="67"/>
      <c r="C20" s="192" t="s">
        <v>80</v>
      </c>
      <c r="D20" s="201" t="s">
        <v>3</v>
      </c>
      <c r="E20" s="202">
        <v>1.4271000000000001E-2</v>
      </c>
      <c r="F20" s="139"/>
      <c r="G20" s="29"/>
      <c r="H20" s="29"/>
      <c r="I20" s="29"/>
      <c r="J20" s="29"/>
      <c r="K20" s="29"/>
      <c r="L20" s="29"/>
      <c r="M20" s="29"/>
      <c r="N20" s="29"/>
      <c r="O20" s="29"/>
      <c r="P20" s="29"/>
      <c r="Q20" s="29"/>
      <c r="R20" s="29"/>
      <c r="S20" s="29"/>
      <c r="T20" s="25"/>
      <c r="W20" s="184" t="s">
        <v>12</v>
      </c>
      <c r="X20" s="251">
        <v>2.9329999999999998E-2</v>
      </c>
    </row>
    <row r="21" spans="2:24" ht="17.25" customHeight="1" x14ac:dyDescent="0.25">
      <c r="B21" s="67"/>
      <c r="C21" s="192" t="s">
        <v>30</v>
      </c>
      <c r="D21" s="201" t="s">
        <v>119</v>
      </c>
      <c r="E21" s="202">
        <v>1.4152E-2</v>
      </c>
      <c r="F21" s="139"/>
      <c r="G21" s="29"/>
      <c r="H21" s="29"/>
      <c r="I21" s="29"/>
      <c r="J21" s="29"/>
      <c r="K21" s="29"/>
      <c r="L21" s="29"/>
      <c r="M21" s="29"/>
      <c r="N21" s="29"/>
      <c r="O21" s="29"/>
      <c r="P21" s="29"/>
      <c r="Q21" s="29"/>
      <c r="R21" s="29"/>
      <c r="S21" s="29"/>
      <c r="T21" s="25"/>
      <c r="W21" s="184" t="s">
        <v>24</v>
      </c>
      <c r="X21" s="251">
        <v>2.8017E-2</v>
      </c>
    </row>
    <row r="22" spans="2:24" ht="15" customHeight="1" x14ac:dyDescent="0.25">
      <c r="B22" s="67"/>
      <c r="C22" s="192" t="s">
        <v>62</v>
      </c>
      <c r="D22" s="201" t="s">
        <v>10</v>
      </c>
      <c r="E22" s="202">
        <v>1.3906999999999999E-2</v>
      </c>
      <c r="F22" s="139"/>
      <c r="G22" s="29"/>
      <c r="H22" s="29"/>
      <c r="I22" s="29"/>
      <c r="J22" s="29"/>
      <c r="K22" s="29"/>
      <c r="L22" s="29"/>
      <c r="M22" s="29"/>
      <c r="N22" s="29"/>
      <c r="O22" s="29"/>
      <c r="P22" s="29"/>
      <c r="Q22" s="29"/>
      <c r="R22" s="29"/>
      <c r="S22" s="29"/>
      <c r="T22" s="25"/>
      <c r="W22" s="184" t="s">
        <v>87</v>
      </c>
      <c r="X22" s="251">
        <v>2.3658000000000002E-2</v>
      </c>
    </row>
    <row r="23" spans="2:24" ht="15" customHeight="1" x14ac:dyDescent="0.25">
      <c r="B23" s="67"/>
      <c r="C23" s="85"/>
      <c r="D23" s="85"/>
      <c r="E23" s="86"/>
      <c r="F23" s="139"/>
      <c r="G23" s="29"/>
      <c r="H23" s="29"/>
      <c r="I23" s="29"/>
      <c r="J23" s="29"/>
      <c r="K23" s="29"/>
      <c r="L23" s="29"/>
      <c r="M23" s="29"/>
      <c r="N23" s="29"/>
      <c r="O23" s="29"/>
      <c r="P23" s="29"/>
      <c r="Q23" s="29"/>
      <c r="R23" s="29"/>
      <c r="S23" s="29"/>
      <c r="T23" s="25"/>
      <c r="W23" s="184" t="s">
        <v>126</v>
      </c>
      <c r="X23" s="251">
        <v>2.3581999999999999E-2</v>
      </c>
    </row>
    <row r="24" spans="2:24" ht="15" customHeight="1" x14ac:dyDescent="0.25">
      <c r="B24" s="67"/>
      <c r="C24" s="168" t="s">
        <v>55</v>
      </c>
      <c r="D24" s="169"/>
      <c r="E24" s="170">
        <f>SUM(E8:E22)</f>
        <v>0.30564999999999998</v>
      </c>
      <c r="F24" s="29"/>
      <c r="G24" s="29"/>
      <c r="H24" s="29"/>
      <c r="I24" s="29"/>
      <c r="J24" s="29"/>
      <c r="K24" s="29"/>
      <c r="L24" s="29"/>
      <c r="M24" s="29"/>
      <c r="N24" s="29"/>
      <c r="O24" s="29"/>
      <c r="P24" s="29"/>
      <c r="Q24" s="29"/>
      <c r="R24" s="29"/>
      <c r="S24" s="29"/>
      <c r="T24" s="25"/>
      <c r="W24" s="184" t="s">
        <v>10</v>
      </c>
      <c r="X24" s="251">
        <v>2.1472999999999999E-2</v>
      </c>
    </row>
    <row r="25" spans="2:24" ht="15" customHeight="1" x14ac:dyDescent="0.25">
      <c r="B25" s="67"/>
      <c r="C25" s="29"/>
      <c r="D25" s="29"/>
      <c r="E25" s="29"/>
      <c r="F25" s="29"/>
      <c r="G25" s="29"/>
      <c r="H25" s="29"/>
      <c r="I25" s="29"/>
      <c r="J25" s="29"/>
      <c r="K25" s="29"/>
      <c r="L25" s="29"/>
      <c r="M25" s="29"/>
      <c r="N25" s="29"/>
      <c r="O25" s="29"/>
      <c r="P25" s="29"/>
      <c r="Q25" s="29"/>
      <c r="R25" s="29"/>
      <c r="S25" s="29"/>
      <c r="T25" s="25"/>
      <c r="W25" s="184" t="s">
        <v>16</v>
      </c>
      <c r="X25" s="251">
        <v>1.8919999999999999E-2</v>
      </c>
    </row>
    <row r="26" spans="2:24" ht="15" customHeight="1" x14ac:dyDescent="0.25">
      <c r="B26" s="67"/>
      <c r="C26" s="29"/>
      <c r="D26" s="29"/>
      <c r="E26" s="29"/>
      <c r="F26" s="29"/>
      <c r="G26" s="29"/>
      <c r="H26" s="29"/>
      <c r="I26" s="29"/>
      <c r="J26" s="29"/>
      <c r="K26" s="29"/>
      <c r="L26" s="29"/>
      <c r="M26" s="29"/>
      <c r="N26" s="29"/>
      <c r="O26" s="29"/>
      <c r="P26" s="29"/>
      <c r="Q26" s="29"/>
      <c r="R26" s="29"/>
      <c r="S26" s="29"/>
      <c r="T26" s="25"/>
      <c r="W26" s="184" t="s">
        <v>190</v>
      </c>
      <c r="X26" s="251">
        <v>1.8186000000000001E-2</v>
      </c>
    </row>
    <row r="27" spans="2:24" ht="15" customHeight="1" x14ac:dyDescent="0.25">
      <c r="B27" s="67"/>
      <c r="C27" s="29"/>
      <c r="D27" s="29"/>
      <c r="E27" s="29"/>
      <c r="F27" s="29"/>
      <c r="G27" s="29"/>
      <c r="H27" s="29"/>
      <c r="I27" s="29"/>
      <c r="J27" s="29"/>
      <c r="K27" s="29"/>
      <c r="L27" s="29"/>
      <c r="M27" s="29"/>
      <c r="N27" s="29"/>
      <c r="O27" s="29"/>
      <c r="P27" s="29"/>
      <c r="Q27" s="29"/>
      <c r="R27" s="29"/>
      <c r="S27" s="29"/>
      <c r="T27" s="25"/>
      <c r="W27" s="184" t="s">
        <v>13</v>
      </c>
      <c r="X27" s="251">
        <v>1.6327999999999999E-2</v>
      </c>
    </row>
    <row r="28" spans="2:24" ht="15" customHeight="1" x14ac:dyDescent="0.25">
      <c r="B28" s="67"/>
      <c r="C28" s="29"/>
      <c r="D28" s="29"/>
      <c r="E28" s="29"/>
      <c r="F28" s="29"/>
      <c r="G28" s="29"/>
      <c r="H28" s="29"/>
      <c r="I28" s="29"/>
      <c r="J28" s="29"/>
      <c r="K28" s="29"/>
      <c r="L28" s="29"/>
      <c r="M28" s="29"/>
      <c r="N28" s="29"/>
      <c r="O28" s="29"/>
      <c r="P28" s="29"/>
      <c r="Q28" s="29"/>
      <c r="R28" s="29"/>
      <c r="S28" s="29"/>
      <c r="T28" s="25"/>
      <c r="W28" s="184" t="s">
        <v>78</v>
      </c>
      <c r="X28" s="251">
        <v>1.5657999999999998E-2</v>
      </c>
    </row>
    <row r="29" spans="2:24" ht="15" customHeight="1" x14ac:dyDescent="0.25">
      <c r="B29" s="67"/>
      <c r="C29" s="29"/>
      <c r="D29" s="29"/>
      <c r="E29" s="29"/>
      <c r="F29" s="29"/>
      <c r="G29" s="29"/>
      <c r="H29" s="29"/>
      <c r="I29" s="29"/>
      <c r="J29" s="29"/>
      <c r="K29" s="29"/>
      <c r="L29" s="29"/>
      <c r="M29" s="29"/>
      <c r="N29" s="29"/>
      <c r="O29" s="29"/>
      <c r="P29" s="29"/>
      <c r="Q29" s="29"/>
      <c r="R29" s="29"/>
      <c r="S29" s="29"/>
      <c r="T29" s="25"/>
      <c r="W29" s="184" t="s">
        <v>84</v>
      </c>
      <c r="X29" s="251">
        <v>1.4584E-2</v>
      </c>
    </row>
    <row r="30" spans="2:24" ht="15" customHeight="1" x14ac:dyDescent="0.25">
      <c r="B30" s="67"/>
      <c r="C30" s="29"/>
      <c r="D30" s="29"/>
      <c r="E30" s="29"/>
      <c r="F30" s="29"/>
      <c r="G30" s="29"/>
      <c r="H30" s="29"/>
      <c r="I30" s="29"/>
      <c r="J30" s="29"/>
      <c r="K30" s="29"/>
      <c r="L30" s="29"/>
      <c r="M30" s="29"/>
      <c r="N30" s="29"/>
      <c r="O30" s="29"/>
      <c r="P30" s="29"/>
      <c r="Q30" s="29"/>
      <c r="R30" s="29"/>
      <c r="S30" s="29"/>
      <c r="T30" s="25"/>
      <c r="W30" s="184" t="s">
        <v>124</v>
      </c>
      <c r="X30" s="251">
        <v>1.2656000000000001E-2</v>
      </c>
    </row>
    <row r="31" spans="2:24" ht="15" customHeight="1" x14ac:dyDescent="0.25">
      <c r="B31" s="67"/>
      <c r="C31" s="29"/>
      <c r="D31" s="29"/>
      <c r="E31" s="29"/>
      <c r="F31" s="29"/>
      <c r="G31" s="29"/>
      <c r="H31" s="29"/>
      <c r="I31" s="29"/>
      <c r="J31" s="29"/>
      <c r="K31" s="29"/>
      <c r="L31" s="29"/>
      <c r="M31" s="29"/>
      <c r="N31" s="29"/>
      <c r="O31" s="29"/>
      <c r="P31" s="29"/>
      <c r="Q31" s="29"/>
      <c r="R31" s="29"/>
      <c r="S31" s="29"/>
      <c r="T31" s="25"/>
      <c r="W31" s="184" t="s">
        <v>118</v>
      </c>
      <c r="X31" s="251">
        <v>1.205E-2</v>
      </c>
    </row>
    <row r="32" spans="2:24" ht="15" customHeight="1" x14ac:dyDescent="0.25">
      <c r="B32" s="67"/>
      <c r="C32" s="29"/>
      <c r="D32" s="29"/>
      <c r="E32" s="29"/>
      <c r="F32" s="29"/>
      <c r="G32" s="29"/>
      <c r="H32" s="29"/>
      <c r="I32" s="29"/>
      <c r="J32" s="29"/>
      <c r="K32" s="29"/>
      <c r="L32" s="29"/>
      <c r="M32" s="29"/>
      <c r="N32" s="29"/>
      <c r="O32" s="29"/>
      <c r="P32" s="29"/>
      <c r="Q32" s="29"/>
      <c r="R32" s="29"/>
      <c r="S32" s="29"/>
      <c r="T32" s="25"/>
      <c r="W32" s="184" t="s">
        <v>129</v>
      </c>
      <c r="X32" s="251">
        <v>1.0743000000000001E-2</v>
      </c>
    </row>
    <row r="33" spans="2:24" ht="15" customHeight="1" x14ac:dyDescent="0.25">
      <c r="B33" s="67"/>
      <c r="C33" s="29"/>
      <c r="D33" s="29"/>
      <c r="E33" s="29"/>
      <c r="F33" s="29"/>
      <c r="G33" s="29"/>
      <c r="H33" s="29"/>
      <c r="I33" s="29"/>
      <c r="J33" s="29"/>
      <c r="K33" s="29"/>
      <c r="L33" s="29"/>
      <c r="M33" s="29"/>
      <c r="N33" s="29"/>
      <c r="O33" s="29"/>
      <c r="P33" s="29"/>
      <c r="Q33" s="29"/>
      <c r="R33" s="29"/>
      <c r="S33" s="29"/>
      <c r="T33" s="25"/>
      <c r="W33" s="184" t="s">
        <v>86</v>
      </c>
      <c r="X33" s="251">
        <v>1.0689000000000001E-2</v>
      </c>
    </row>
    <row r="34" spans="2:24" ht="15" customHeight="1" x14ac:dyDescent="0.25">
      <c r="B34" s="67"/>
      <c r="C34" s="29"/>
      <c r="D34" s="29"/>
      <c r="E34" s="29"/>
      <c r="F34" s="29"/>
      <c r="G34" s="29"/>
      <c r="H34" s="29"/>
      <c r="I34" s="29"/>
      <c r="J34" s="29"/>
      <c r="K34" s="29"/>
      <c r="L34" s="29"/>
      <c r="M34" s="29"/>
      <c r="N34" s="29"/>
      <c r="O34" s="29"/>
      <c r="P34" s="29"/>
      <c r="Q34" s="29"/>
      <c r="R34" s="29"/>
      <c r="S34" s="29"/>
      <c r="T34" s="25"/>
      <c r="W34" s="184" t="s">
        <v>128</v>
      </c>
      <c r="X34" s="251">
        <v>1.0546E-2</v>
      </c>
    </row>
    <row r="35" spans="2:24" ht="15" customHeight="1" x14ac:dyDescent="0.25">
      <c r="B35" s="67"/>
      <c r="C35" s="29"/>
      <c r="D35" s="29"/>
      <c r="E35" s="29"/>
      <c r="F35" s="29"/>
      <c r="G35" s="29"/>
      <c r="H35" s="29"/>
      <c r="I35" s="29"/>
      <c r="J35" s="29"/>
      <c r="K35" s="29"/>
      <c r="L35" s="29"/>
      <c r="M35" s="29"/>
      <c r="N35" s="29"/>
      <c r="O35" s="29"/>
      <c r="P35" s="29"/>
      <c r="Q35" s="29"/>
      <c r="R35" s="29"/>
      <c r="S35" s="29"/>
      <c r="T35" s="25"/>
      <c r="W35" s="184" t="s">
        <v>133</v>
      </c>
      <c r="X35" s="251">
        <v>1.0038E-2</v>
      </c>
    </row>
    <row r="36" spans="2:24" ht="15" customHeight="1" x14ac:dyDescent="0.25">
      <c r="B36" s="67"/>
      <c r="C36" s="29"/>
      <c r="D36" s="29"/>
      <c r="E36" s="29"/>
      <c r="F36" s="29"/>
      <c r="G36" s="29"/>
      <c r="H36" s="29"/>
      <c r="I36" s="29"/>
      <c r="J36" s="29"/>
      <c r="K36" s="29"/>
      <c r="L36" s="29"/>
      <c r="M36" s="29"/>
      <c r="N36" s="29"/>
      <c r="O36" s="29"/>
      <c r="P36" s="29"/>
      <c r="Q36" s="29"/>
      <c r="R36" s="29"/>
      <c r="S36" s="29"/>
      <c r="T36" s="25"/>
      <c r="W36" s="184" t="s">
        <v>85</v>
      </c>
      <c r="X36" s="251">
        <v>9.7820000000000008E-3</v>
      </c>
    </row>
    <row r="37" spans="2:24" ht="15" customHeight="1" x14ac:dyDescent="0.25">
      <c r="B37" s="67"/>
      <c r="C37" s="29"/>
      <c r="D37" s="29"/>
      <c r="E37" s="29"/>
      <c r="F37" s="29"/>
      <c r="G37" s="29"/>
      <c r="H37" s="29"/>
      <c r="I37" s="29"/>
      <c r="J37" s="29"/>
      <c r="K37" s="29"/>
      <c r="L37" s="29"/>
      <c r="M37" s="29"/>
      <c r="N37" s="29"/>
      <c r="O37" s="29"/>
      <c r="P37" s="29"/>
      <c r="Q37" s="29"/>
      <c r="R37" s="29"/>
      <c r="S37" s="29"/>
      <c r="T37" s="25"/>
      <c r="W37" s="184" t="s">
        <v>149</v>
      </c>
      <c r="X37" s="251">
        <v>8.8850000000000005E-3</v>
      </c>
    </row>
    <row r="38" spans="2:24" ht="15" customHeight="1" thickBot="1" x14ac:dyDescent="0.3">
      <c r="B38" s="79"/>
      <c r="C38" s="30"/>
      <c r="D38" s="30"/>
      <c r="E38" s="30"/>
      <c r="F38" s="30"/>
      <c r="G38" s="30"/>
      <c r="H38" s="30"/>
      <c r="I38" s="30"/>
      <c r="J38" s="30"/>
      <c r="K38" s="30"/>
      <c r="L38" s="30"/>
      <c r="M38" s="30"/>
      <c r="N38" s="30"/>
      <c r="O38" s="30"/>
      <c r="P38" s="30"/>
      <c r="Q38" s="30"/>
      <c r="R38" s="30"/>
      <c r="S38" s="30"/>
      <c r="T38" s="26"/>
      <c r="W38" s="184" t="s">
        <v>125</v>
      </c>
      <c r="X38" s="251">
        <v>8.7170000000000008E-3</v>
      </c>
    </row>
    <row r="39" spans="2:24" ht="15" customHeight="1" x14ac:dyDescent="0.25">
      <c r="B39" s="29"/>
      <c r="C39" s="29"/>
      <c r="D39" s="29"/>
      <c r="E39" s="29"/>
      <c r="F39" s="29"/>
      <c r="G39" s="29"/>
      <c r="H39" s="29"/>
      <c r="I39" s="29"/>
      <c r="J39" s="29"/>
      <c r="K39" s="29"/>
      <c r="L39" s="29"/>
      <c r="M39" s="29"/>
      <c r="N39" s="29"/>
      <c r="O39" s="29"/>
      <c r="P39" s="29"/>
      <c r="Q39" s="29"/>
      <c r="R39" s="29"/>
      <c r="S39" s="29"/>
      <c r="T39" s="29"/>
      <c r="W39" s="184" t="s">
        <v>117</v>
      </c>
      <c r="X39" s="251">
        <v>7.5599999999999999E-3</v>
      </c>
    </row>
    <row r="40" spans="2:24" ht="15" customHeight="1" x14ac:dyDescent="0.25">
      <c r="B40" s="29"/>
      <c r="C40" s="29"/>
      <c r="D40" s="29"/>
      <c r="E40" s="29"/>
      <c r="F40" s="29"/>
      <c r="G40" s="29"/>
      <c r="H40" s="29"/>
      <c r="I40" s="29"/>
      <c r="J40" s="29"/>
      <c r="K40" s="29"/>
      <c r="L40" s="29"/>
      <c r="M40" s="29"/>
      <c r="N40" s="29"/>
      <c r="O40" s="29"/>
      <c r="P40" s="29"/>
      <c r="Q40" s="29"/>
      <c r="R40" s="29"/>
      <c r="S40" s="29"/>
      <c r="T40" s="29"/>
      <c r="W40" s="184" t="s">
        <v>139</v>
      </c>
      <c r="X40" s="251">
        <v>7.4609999999999998E-3</v>
      </c>
    </row>
    <row r="41" spans="2:24" ht="15" customHeight="1" thickBot="1" x14ac:dyDescent="0.3">
      <c r="B41" s="29"/>
      <c r="C41" s="29"/>
      <c r="D41" s="29"/>
      <c r="E41" s="29"/>
      <c r="F41" s="29"/>
      <c r="G41" s="29"/>
      <c r="H41" s="29"/>
      <c r="I41" s="29"/>
      <c r="J41" s="29"/>
      <c r="K41" s="29"/>
      <c r="L41" s="29"/>
      <c r="M41" s="29"/>
      <c r="N41" s="29"/>
      <c r="O41" s="29"/>
      <c r="P41" s="29"/>
      <c r="Q41" s="29"/>
      <c r="R41" s="29"/>
      <c r="S41" s="29"/>
      <c r="T41" s="29"/>
      <c r="W41" s="184" t="s">
        <v>97</v>
      </c>
      <c r="X41" s="251">
        <v>5.5880000000000001E-3</v>
      </c>
    </row>
    <row r="42" spans="2:24" ht="15" customHeight="1" x14ac:dyDescent="0.25">
      <c r="B42" s="265" t="s">
        <v>186</v>
      </c>
      <c r="C42" s="266"/>
      <c r="D42" s="266"/>
      <c r="E42" s="266"/>
      <c r="F42" s="266"/>
      <c r="G42" s="266"/>
      <c r="H42" s="266"/>
      <c r="I42" s="266"/>
      <c r="J42" s="266"/>
      <c r="K42" s="266"/>
      <c r="L42" s="266"/>
      <c r="M42" s="266"/>
      <c r="N42" s="266"/>
      <c r="O42" s="266"/>
      <c r="P42" s="266"/>
      <c r="Q42" s="266"/>
      <c r="R42" s="267"/>
      <c r="T42" s="29"/>
      <c r="W42" s="184" t="s">
        <v>120</v>
      </c>
      <c r="X42" s="251">
        <v>5.4330000000000003E-3</v>
      </c>
    </row>
    <row r="43" spans="2:24" ht="15" customHeight="1" x14ac:dyDescent="0.25">
      <c r="B43" s="268"/>
      <c r="C43" s="269"/>
      <c r="D43" s="269"/>
      <c r="E43" s="269"/>
      <c r="F43" s="269"/>
      <c r="G43" s="269"/>
      <c r="H43" s="269"/>
      <c r="I43" s="269"/>
      <c r="J43" s="269"/>
      <c r="K43" s="269"/>
      <c r="L43" s="269"/>
      <c r="M43" s="269"/>
      <c r="N43" s="269"/>
      <c r="O43" s="269"/>
      <c r="P43" s="269"/>
      <c r="Q43" s="269"/>
      <c r="R43" s="270"/>
      <c r="T43" s="29"/>
      <c r="W43" s="184" t="s">
        <v>108</v>
      </c>
      <c r="X43" s="251">
        <v>5.1359999999999999E-3</v>
      </c>
    </row>
    <row r="44" spans="2:24" ht="15" customHeight="1" x14ac:dyDescent="0.25">
      <c r="B44" s="268"/>
      <c r="C44" s="269"/>
      <c r="D44" s="269"/>
      <c r="E44" s="269"/>
      <c r="F44" s="269"/>
      <c r="G44" s="269"/>
      <c r="H44" s="269"/>
      <c r="I44" s="269"/>
      <c r="J44" s="269"/>
      <c r="K44" s="269"/>
      <c r="L44" s="269"/>
      <c r="M44" s="269"/>
      <c r="N44" s="269"/>
      <c r="O44" s="269"/>
      <c r="P44" s="269"/>
      <c r="Q44" s="269"/>
      <c r="R44" s="270"/>
      <c r="T44" s="29"/>
      <c r="W44" s="184" t="s">
        <v>25</v>
      </c>
      <c r="X44" s="251">
        <v>4.0260000000000001E-3</v>
      </c>
    </row>
    <row r="45" spans="2:24" ht="15" customHeight="1" x14ac:dyDescent="0.25">
      <c r="B45" s="268"/>
      <c r="C45" s="269"/>
      <c r="D45" s="269"/>
      <c r="E45" s="269"/>
      <c r="F45" s="269"/>
      <c r="G45" s="269"/>
      <c r="H45" s="269"/>
      <c r="I45" s="269"/>
      <c r="J45" s="269"/>
      <c r="K45" s="269"/>
      <c r="L45" s="269"/>
      <c r="M45" s="269"/>
      <c r="N45" s="269"/>
      <c r="O45" s="269"/>
      <c r="P45" s="269"/>
      <c r="Q45" s="269"/>
      <c r="R45" s="270"/>
      <c r="T45" s="29"/>
      <c r="W45" s="184" t="s">
        <v>11</v>
      </c>
      <c r="X45" s="251">
        <v>3.3249999999999998E-3</v>
      </c>
    </row>
    <row r="46" spans="2:24" ht="15" customHeight="1" x14ac:dyDescent="0.25">
      <c r="B46" s="268"/>
      <c r="C46" s="269"/>
      <c r="D46" s="269"/>
      <c r="E46" s="269"/>
      <c r="F46" s="269"/>
      <c r="G46" s="269"/>
      <c r="H46" s="269"/>
      <c r="I46" s="269"/>
      <c r="J46" s="269"/>
      <c r="K46" s="269"/>
      <c r="L46" s="269"/>
      <c r="M46" s="269"/>
      <c r="N46" s="269"/>
      <c r="O46" s="269"/>
      <c r="P46" s="269"/>
      <c r="Q46" s="269"/>
      <c r="R46" s="270"/>
      <c r="T46" s="29"/>
      <c r="W46" s="39" t="s">
        <v>15</v>
      </c>
      <c r="X46" s="251">
        <v>3.0270000000000002E-3</v>
      </c>
    </row>
    <row r="47" spans="2:24" ht="15" customHeight="1" x14ac:dyDescent="0.25">
      <c r="B47" s="268"/>
      <c r="C47" s="269"/>
      <c r="D47" s="269"/>
      <c r="E47" s="269"/>
      <c r="F47" s="269"/>
      <c r="G47" s="269"/>
      <c r="H47" s="269"/>
      <c r="I47" s="269"/>
      <c r="J47" s="269"/>
      <c r="K47" s="269"/>
      <c r="L47" s="269"/>
      <c r="M47" s="269"/>
      <c r="N47" s="269"/>
      <c r="O47" s="269"/>
      <c r="P47" s="269"/>
      <c r="Q47" s="269"/>
      <c r="R47" s="270"/>
      <c r="T47" s="29"/>
    </row>
    <row r="48" spans="2:24" ht="15" customHeight="1" thickBot="1" x14ac:dyDescent="0.3">
      <c r="B48" s="271"/>
      <c r="C48" s="272"/>
      <c r="D48" s="272"/>
      <c r="E48" s="272"/>
      <c r="F48" s="272"/>
      <c r="G48" s="272"/>
      <c r="H48" s="272"/>
      <c r="I48" s="272"/>
      <c r="J48" s="272"/>
      <c r="K48" s="272"/>
      <c r="L48" s="272"/>
      <c r="M48" s="272"/>
      <c r="N48" s="272"/>
      <c r="O48" s="272"/>
      <c r="P48" s="272"/>
      <c r="Q48" s="272"/>
      <c r="R48" s="273"/>
      <c r="T48" s="29"/>
    </row>
    <row r="49" spans="2:20" ht="15.75" customHeight="1" x14ac:dyDescent="0.25">
      <c r="B49" s="29"/>
      <c r="C49" s="29"/>
      <c r="D49" s="29"/>
      <c r="E49" s="29"/>
      <c r="F49" s="29"/>
      <c r="G49" s="29"/>
      <c r="H49" s="29"/>
      <c r="I49" s="29"/>
      <c r="J49" s="29"/>
      <c r="K49" s="29"/>
      <c r="L49" s="29"/>
      <c r="M49" s="29"/>
      <c r="N49" s="29"/>
      <c r="O49" s="29"/>
      <c r="P49" s="29"/>
      <c r="Q49" s="29"/>
      <c r="R49" s="29"/>
      <c r="S49" s="29"/>
      <c r="T49" s="29"/>
    </row>
    <row r="50" spans="2:20" ht="15" customHeight="1" x14ac:dyDescent="0.25">
      <c r="B50" s="29"/>
      <c r="C50" s="29"/>
      <c r="D50" s="29"/>
      <c r="E50" s="29"/>
      <c r="F50" s="29"/>
      <c r="G50" s="29"/>
      <c r="H50" s="29"/>
      <c r="I50" s="29"/>
      <c r="J50" s="29"/>
      <c r="K50" s="29"/>
      <c r="L50" s="29"/>
      <c r="M50" s="29"/>
      <c r="N50" s="29"/>
      <c r="O50" s="29"/>
      <c r="P50" s="29"/>
      <c r="Q50" s="29"/>
      <c r="R50" s="29"/>
      <c r="S50" s="29"/>
      <c r="T50" s="29"/>
    </row>
    <row r="51" spans="2:20" ht="15.75" customHeight="1" x14ac:dyDescent="0.25">
      <c r="B51" s="29"/>
      <c r="C51" s="29"/>
      <c r="D51" s="29"/>
      <c r="E51" s="29"/>
      <c r="F51" s="29"/>
      <c r="G51" s="29"/>
      <c r="H51" s="29"/>
      <c r="I51" s="29"/>
      <c r="J51" s="29"/>
      <c r="K51" s="29"/>
      <c r="L51" s="29"/>
      <c r="M51" s="29"/>
      <c r="N51" s="29"/>
      <c r="O51" s="29"/>
      <c r="P51" s="29"/>
      <c r="Q51" s="29"/>
      <c r="R51" s="29"/>
      <c r="S51" s="29"/>
      <c r="T51" s="29"/>
    </row>
    <row r="52" spans="2:20" ht="15" customHeight="1" x14ac:dyDescent="0.25">
      <c r="B52" s="29"/>
      <c r="C52" s="29"/>
      <c r="D52" s="29"/>
      <c r="E52" s="29"/>
      <c r="F52" s="29"/>
      <c r="G52" s="29"/>
      <c r="H52" s="29"/>
      <c r="I52" s="29"/>
      <c r="J52" s="29"/>
      <c r="K52" s="29"/>
      <c r="L52" s="29"/>
      <c r="M52" s="29"/>
      <c r="N52" s="29"/>
      <c r="O52" s="29"/>
      <c r="P52" s="29"/>
      <c r="Q52" s="29"/>
      <c r="R52" s="29"/>
      <c r="S52" s="29"/>
      <c r="T52" s="29"/>
    </row>
    <row r="53" spans="2:20" ht="15" customHeight="1" x14ac:dyDescent="0.25">
      <c r="B53" s="29"/>
      <c r="C53" s="29"/>
      <c r="D53" s="29"/>
      <c r="E53" s="29"/>
      <c r="F53" s="29"/>
      <c r="G53" s="29"/>
      <c r="H53" s="29"/>
      <c r="I53" s="29"/>
      <c r="J53" s="29"/>
      <c r="K53" s="29"/>
      <c r="L53" s="29"/>
      <c r="M53" s="29"/>
      <c r="N53" s="29"/>
      <c r="O53" s="29"/>
      <c r="P53" s="29"/>
      <c r="Q53" s="29"/>
      <c r="R53" s="29"/>
      <c r="S53" s="29"/>
      <c r="T53" s="29"/>
    </row>
    <row r="54" spans="2:20" ht="15" customHeight="1" x14ac:dyDescent="0.25">
      <c r="B54" s="29"/>
      <c r="C54" s="29"/>
      <c r="D54" s="29"/>
      <c r="E54" s="29"/>
      <c r="F54" s="29"/>
      <c r="G54" s="29"/>
      <c r="H54" s="29"/>
      <c r="I54" s="29"/>
      <c r="J54" s="29"/>
      <c r="K54" s="29"/>
      <c r="L54" s="29"/>
      <c r="M54" s="29"/>
      <c r="N54" s="29"/>
      <c r="O54" s="29"/>
      <c r="P54" s="29"/>
      <c r="Q54" s="29"/>
      <c r="R54" s="29"/>
      <c r="S54" s="29"/>
      <c r="T54" s="29"/>
    </row>
    <row r="55" spans="2:20" ht="15" customHeight="1" x14ac:dyDescent="0.25">
      <c r="B55" s="29"/>
      <c r="C55" s="29"/>
      <c r="D55" s="29"/>
      <c r="E55" s="29"/>
      <c r="F55" s="29"/>
      <c r="G55" s="29"/>
      <c r="H55" s="29"/>
      <c r="I55" s="29"/>
      <c r="J55" s="29"/>
      <c r="K55" s="29"/>
      <c r="L55" s="29"/>
      <c r="M55" s="29"/>
      <c r="N55" s="29"/>
      <c r="O55" s="29"/>
      <c r="P55" s="29"/>
      <c r="Q55" s="29"/>
      <c r="R55" s="29"/>
      <c r="S55" s="29"/>
      <c r="T55" s="29"/>
    </row>
    <row r="56" spans="2:20" ht="15" customHeight="1" x14ac:dyDescent="0.25">
      <c r="B56" s="29"/>
      <c r="C56" s="29"/>
      <c r="D56" s="29"/>
      <c r="E56" s="29"/>
      <c r="F56" s="29"/>
      <c r="G56" s="29"/>
      <c r="H56" s="29"/>
      <c r="I56" s="29"/>
      <c r="J56" s="29"/>
      <c r="K56" s="29"/>
      <c r="L56" s="29"/>
      <c r="M56" s="29"/>
      <c r="N56" s="29"/>
      <c r="O56" s="29"/>
      <c r="P56" s="29"/>
      <c r="Q56" s="29"/>
      <c r="R56" s="29"/>
      <c r="S56" s="29"/>
      <c r="T56" s="29"/>
    </row>
    <row r="57" spans="2:20" ht="15" customHeight="1" x14ac:dyDescent="0.25"/>
    <row r="58" spans="2:20" ht="15" customHeight="1" x14ac:dyDescent="0.25"/>
    <row r="59" spans="2:20" ht="15" customHeight="1" x14ac:dyDescent="0.25"/>
    <row r="60" spans="2:20" ht="15" customHeight="1" x14ac:dyDescent="0.25"/>
    <row r="61" spans="2:20" ht="15" customHeight="1" x14ac:dyDescent="0.25"/>
    <row r="62" spans="2:20" ht="15" customHeight="1" x14ac:dyDescent="0.25"/>
    <row r="63" spans="2:20" ht="15" customHeight="1" x14ac:dyDescent="0.25"/>
    <row r="64" spans="2:20"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W9:X30">
    <sortCondition descending="1" ref="X9:X30"/>
  </sortState>
  <mergeCells count="3">
    <mergeCell ref="C3:S3"/>
    <mergeCell ref="D5:E5"/>
    <mergeCell ref="B42:R4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X7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 style="19" customWidth="1"/>
    <col min="5" max="5" width="10.42578125" style="19" bestFit="1" customWidth="1"/>
    <col min="6" max="18" width="9.140625" style="19"/>
    <col min="19" max="19" width="9.85546875" style="19" customWidth="1"/>
    <col min="20" max="22" width="9.140625" style="19"/>
    <col min="23" max="23" width="46.42578125" style="19" bestFit="1" customWidth="1"/>
    <col min="24"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4"/>
    </row>
    <row r="3" spans="1:24" ht="20.25" customHeight="1" x14ac:dyDescent="0.25">
      <c r="B3" s="67"/>
      <c r="C3" s="274" t="s">
        <v>175</v>
      </c>
      <c r="D3" s="275"/>
      <c r="E3" s="275"/>
      <c r="F3" s="275"/>
      <c r="G3" s="275"/>
      <c r="H3" s="275"/>
      <c r="I3" s="275"/>
      <c r="J3" s="275"/>
      <c r="K3" s="275"/>
      <c r="L3" s="275"/>
      <c r="M3" s="275"/>
      <c r="N3" s="275"/>
      <c r="O3" s="275"/>
      <c r="P3" s="275"/>
      <c r="Q3" s="275"/>
      <c r="R3" s="275"/>
      <c r="S3" s="275"/>
      <c r="T3" s="25"/>
    </row>
    <row r="4" spans="1:24" ht="15.75" customHeight="1" x14ac:dyDescent="0.25">
      <c r="B4" s="67"/>
      <c r="C4" s="70" t="s">
        <v>367</v>
      </c>
      <c r="D4" s="154"/>
      <c r="E4" s="29"/>
      <c r="F4" s="29"/>
      <c r="G4" s="29"/>
      <c r="H4" s="29"/>
      <c r="I4" s="29"/>
      <c r="J4" s="29"/>
      <c r="K4" s="29"/>
      <c r="L4" s="29"/>
      <c r="M4" s="29"/>
      <c r="N4" s="29"/>
      <c r="O4" s="29"/>
      <c r="P4" s="29"/>
      <c r="Q4" s="29"/>
      <c r="R4" s="29"/>
      <c r="S4" s="29"/>
      <c r="T4" s="25"/>
    </row>
    <row r="5" spans="1:24" ht="18" customHeight="1" x14ac:dyDescent="0.25">
      <c r="B5" s="67"/>
      <c r="C5" s="228" t="s">
        <v>366</v>
      </c>
      <c r="D5" s="276" t="s">
        <v>320</v>
      </c>
      <c r="E5" s="276"/>
      <c r="F5" s="29"/>
      <c r="G5" s="54"/>
      <c r="H5" s="54"/>
      <c r="I5" s="54"/>
      <c r="J5" s="54"/>
      <c r="K5" s="54"/>
      <c r="L5" s="54"/>
      <c r="M5" s="54"/>
      <c r="N5" s="54"/>
      <c r="O5" s="54"/>
      <c r="P5" s="54"/>
      <c r="Q5" s="54"/>
      <c r="R5" s="54"/>
      <c r="S5" s="54"/>
      <c r="T5" s="25"/>
    </row>
    <row r="6" spans="1:24" ht="15" customHeight="1" x14ac:dyDescent="0.25">
      <c r="B6" s="67"/>
      <c r="C6" s="29"/>
      <c r="D6" s="29"/>
      <c r="E6" s="29"/>
      <c r="F6" s="29"/>
      <c r="G6" s="54"/>
      <c r="H6" s="54"/>
      <c r="I6" s="54"/>
      <c r="J6" s="54"/>
      <c r="K6" s="54"/>
      <c r="L6" s="54"/>
      <c r="M6" s="54"/>
      <c r="N6" s="54"/>
      <c r="O6" s="54"/>
      <c r="P6" s="54"/>
      <c r="Q6" s="54"/>
      <c r="R6" s="54"/>
      <c r="S6" s="54"/>
      <c r="T6" s="25"/>
    </row>
    <row r="7" spans="1:24" ht="32.25" customHeight="1" x14ac:dyDescent="0.25">
      <c r="B7" s="67"/>
      <c r="C7" s="71" t="s">
        <v>0</v>
      </c>
      <c r="D7" s="72" t="s">
        <v>1</v>
      </c>
      <c r="E7" s="73" t="s">
        <v>2</v>
      </c>
      <c r="F7" s="29"/>
      <c r="G7" s="29"/>
      <c r="H7" s="29"/>
      <c r="I7" s="29"/>
      <c r="J7" s="29"/>
      <c r="K7" s="29"/>
      <c r="L7" s="29"/>
      <c r="M7" s="29"/>
      <c r="N7" s="29"/>
      <c r="O7" s="29"/>
      <c r="P7" s="29"/>
      <c r="Q7" s="29"/>
      <c r="R7" s="29"/>
      <c r="S7" s="29"/>
      <c r="T7" s="25"/>
      <c r="W7" s="39" t="s">
        <v>22</v>
      </c>
      <c r="X7" s="39" t="s">
        <v>2</v>
      </c>
    </row>
    <row r="8" spans="1:24" ht="15" customHeight="1" x14ac:dyDescent="0.25">
      <c r="B8" s="67"/>
      <c r="C8" s="206" t="s">
        <v>31</v>
      </c>
      <c r="D8" s="199" t="s">
        <v>6</v>
      </c>
      <c r="E8" s="200">
        <v>9.1577000000000006E-2</v>
      </c>
      <c r="F8" s="29"/>
      <c r="G8" s="29"/>
      <c r="H8" s="29"/>
      <c r="I8" s="29"/>
      <c r="J8" s="29"/>
      <c r="K8" s="29"/>
      <c r="L8" s="29"/>
      <c r="M8" s="29"/>
      <c r="N8" s="29"/>
      <c r="O8" s="29"/>
      <c r="P8" s="29"/>
      <c r="Q8" s="29"/>
      <c r="R8" s="29"/>
      <c r="S8" s="29"/>
      <c r="T8" s="25"/>
      <c r="W8" s="177" t="s">
        <v>3</v>
      </c>
      <c r="X8" s="178">
        <v>0.190994</v>
      </c>
    </row>
    <row r="9" spans="1:24" ht="15.75" customHeight="1" x14ac:dyDescent="0.25">
      <c r="B9" s="67"/>
      <c r="C9" s="207" t="s">
        <v>29</v>
      </c>
      <c r="D9" s="201" t="s">
        <v>3</v>
      </c>
      <c r="E9" s="202">
        <v>8.6647000000000002E-2</v>
      </c>
      <c r="F9" s="29"/>
      <c r="G9" s="29"/>
      <c r="H9" s="29"/>
      <c r="I9" s="29"/>
      <c r="J9" s="29"/>
      <c r="K9" s="29"/>
      <c r="L9" s="29"/>
      <c r="M9" s="29"/>
      <c r="N9" s="29"/>
      <c r="O9" s="29"/>
      <c r="P9" s="29"/>
      <c r="Q9" s="29"/>
      <c r="R9" s="29"/>
      <c r="S9" s="29"/>
      <c r="T9" s="25"/>
      <c r="W9" s="177" t="s">
        <v>109</v>
      </c>
      <c r="X9" s="178">
        <v>0.14286500000000002</v>
      </c>
    </row>
    <row r="10" spans="1:24" ht="15" customHeight="1" x14ac:dyDescent="0.25">
      <c r="B10" s="67"/>
      <c r="C10" s="207" t="s">
        <v>32</v>
      </c>
      <c r="D10" s="201" t="s">
        <v>3</v>
      </c>
      <c r="E10" s="202">
        <v>6.7822999999999994E-2</v>
      </c>
      <c r="F10" s="29"/>
      <c r="G10" s="29"/>
      <c r="H10" s="29"/>
      <c r="I10" s="29"/>
      <c r="J10" s="29"/>
      <c r="K10" s="29"/>
      <c r="L10" s="29"/>
      <c r="M10" s="29"/>
      <c r="N10" s="29"/>
      <c r="O10" s="29"/>
      <c r="P10" s="29"/>
      <c r="Q10" s="29"/>
      <c r="R10" s="29"/>
      <c r="S10" s="29"/>
      <c r="T10" s="25"/>
      <c r="W10" s="177" t="s">
        <v>6</v>
      </c>
      <c r="X10" s="178">
        <v>9.1577000000000006E-2</v>
      </c>
    </row>
    <row r="11" spans="1:24" ht="15" customHeight="1" x14ac:dyDescent="0.25">
      <c r="B11" s="67"/>
      <c r="C11" s="207" t="s">
        <v>28</v>
      </c>
      <c r="D11" s="201" t="s">
        <v>109</v>
      </c>
      <c r="E11" s="202">
        <v>6.5532000000000007E-2</v>
      </c>
      <c r="F11" s="29"/>
      <c r="G11" s="29"/>
      <c r="H11" s="29"/>
      <c r="I11" s="29"/>
      <c r="J11" s="29"/>
      <c r="K11" s="29"/>
      <c r="L11" s="29"/>
      <c r="M11" s="29"/>
      <c r="N11" s="29"/>
      <c r="O11" s="29"/>
      <c r="P11" s="29"/>
      <c r="Q11" s="29"/>
      <c r="R11" s="29"/>
      <c r="S11" s="29"/>
      <c r="T11" s="25"/>
      <c r="W11" s="177" t="s">
        <v>114</v>
      </c>
      <c r="X11" s="178">
        <v>7.8209000000000001E-2</v>
      </c>
    </row>
    <row r="12" spans="1:24" ht="15" customHeight="1" x14ac:dyDescent="0.25">
      <c r="B12" s="67"/>
      <c r="C12" s="207" t="s">
        <v>33</v>
      </c>
      <c r="D12" s="201" t="s">
        <v>109</v>
      </c>
      <c r="E12" s="202">
        <v>6.0949000000000003E-2</v>
      </c>
      <c r="F12" s="29"/>
      <c r="G12" s="29"/>
      <c r="H12" s="29"/>
      <c r="I12" s="29"/>
      <c r="J12" s="29"/>
      <c r="K12" s="29"/>
      <c r="L12" s="29"/>
      <c r="M12" s="29"/>
      <c r="N12" s="29"/>
      <c r="O12" s="29"/>
      <c r="P12" s="29"/>
      <c r="Q12" s="29"/>
      <c r="R12" s="29"/>
      <c r="S12" s="29"/>
      <c r="T12" s="25"/>
      <c r="W12" s="177" t="s">
        <v>4</v>
      </c>
      <c r="X12" s="178">
        <v>5.1575999999999997E-2</v>
      </c>
    </row>
    <row r="13" spans="1:24" ht="15" customHeight="1" x14ac:dyDescent="0.25">
      <c r="B13" s="67"/>
      <c r="C13" s="207" t="s">
        <v>280</v>
      </c>
      <c r="D13" s="201" t="s">
        <v>84</v>
      </c>
      <c r="E13" s="202">
        <v>3.2115999999999999E-2</v>
      </c>
      <c r="F13" s="29"/>
      <c r="G13" s="29"/>
      <c r="H13" s="29"/>
      <c r="I13" s="29"/>
      <c r="J13" s="29"/>
      <c r="K13" s="29"/>
      <c r="L13" s="29"/>
      <c r="M13" s="29"/>
      <c r="N13" s="29"/>
      <c r="O13" s="29"/>
      <c r="P13" s="29"/>
      <c r="Q13" s="29"/>
      <c r="R13" s="29"/>
      <c r="S13" s="29"/>
      <c r="T13" s="25"/>
      <c r="W13" s="177" t="s">
        <v>26</v>
      </c>
      <c r="X13" s="178">
        <v>4.3529999999999999E-2</v>
      </c>
    </row>
    <row r="14" spans="1:24" ht="15" customHeight="1" x14ac:dyDescent="0.25">
      <c r="B14" s="67"/>
      <c r="C14" s="207" t="s">
        <v>70</v>
      </c>
      <c r="D14" s="201" t="s">
        <v>12</v>
      </c>
      <c r="E14" s="202">
        <v>3.0213E-2</v>
      </c>
      <c r="F14" s="29"/>
      <c r="G14" s="29"/>
      <c r="H14" s="29"/>
      <c r="I14" s="29"/>
      <c r="J14" s="29"/>
      <c r="K14" s="29"/>
      <c r="L14" s="29"/>
      <c r="M14" s="29"/>
      <c r="N14" s="29"/>
      <c r="O14" s="29"/>
      <c r="P14" s="29"/>
      <c r="Q14" s="29"/>
      <c r="R14" s="29"/>
      <c r="S14" s="29"/>
      <c r="T14" s="25"/>
      <c r="W14" s="177" t="s">
        <v>119</v>
      </c>
      <c r="X14" s="178">
        <v>4.1154999999999997E-2</v>
      </c>
    </row>
    <row r="15" spans="1:24" ht="15" customHeight="1" x14ac:dyDescent="0.25">
      <c r="B15" s="67"/>
      <c r="C15" s="207" t="s">
        <v>122</v>
      </c>
      <c r="D15" s="201" t="s">
        <v>114</v>
      </c>
      <c r="E15" s="202">
        <v>2.9642000000000002E-2</v>
      </c>
      <c r="F15" s="29"/>
      <c r="G15" s="29"/>
      <c r="H15" s="29"/>
      <c r="I15" s="29"/>
      <c r="J15" s="29"/>
      <c r="K15" s="29"/>
      <c r="L15" s="29"/>
      <c r="M15" s="29"/>
      <c r="N15" s="29"/>
      <c r="O15" s="29"/>
      <c r="P15" s="29"/>
      <c r="Q15" s="29"/>
      <c r="R15" s="29"/>
      <c r="S15" s="29"/>
      <c r="T15" s="25"/>
      <c r="W15" s="177" t="s">
        <v>113</v>
      </c>
      <c r="X15" s="178">
        <v>3.7278000000000006E-2</v>
      </c>
    </row>
    <row r="16" spans="1:24" ht="15" customHeight="1" x14ac:dyDescent="0.25">
      <c r="B16" s="67"/>
      <c r="C16" s="207" t="s">
        <v>223</v>
      </c>
      <c r="D16" s="201" t="s">
        <v>113</v>
      </c>
      <c r="E16" s="202">
        <v>2.5576000000000002E-2</v>
      </c>
      <c r="F16" s="29"/>
      <c r="G16" s="29"/>
      <c r="H16" s="29"/>
      <c r="I16" s="29"/>
      <c r="J16" s="29"/>
      <c r="K16" s="29"/>
      <c r="L16" s="29"/>
      <c r="M16" s="29"/>
      <c r="N16" s="29"/>
      <c r="O16" s="29"/>
      <c r="P16" s="29"/>
      <c r="Q16" s="29"/>
      <c r="R16" s="29"/>
      <c r="S16" s="29"/>
      <c r="T16" s="25"/>
      <c r="W16" s="177" t="s">
        <v>84</v>
      </c>
      <c r="X16" s="178">
        <v>3.2115999999999999E-2</v>
      </c>
    </row>
    <row r="17" spans="2:24" ht="15" customHeight="1" x14ac:dyDescent="0.25">
      <c r="B17" s="67"/>
      <c r="C17" s="207" t="s">
        <v>204</v>
      </c>
      <c r="D17" s="201" t="s">
        <v>108</v>
      </c>
      <c r="E17" s="202">
        <v>2.4091999999999999E-2</v>
      </c>
      <c r="F17" s="29"/>
      <c r="G17" s="29"/>
      <c r="H17" s="29"/>
      <c r="I17" s="29"/>
      <c r="J17" s="29"/>
      <c r="K17" s="29"/>
      <c r="L17" s="29"/>
      <c r="M17" s="29"/>
      <c r="N17" s="29"/>
      <c r="O17" s="29"/>
      <c r="P17" s="29"/>
      <c r="Q17" s="29"/>
      <c r="R17" s="29"/>
      <c r="S17" s="29"/>
      <c r="T17" s="25"/>
      <c r="W17" s="177" t="s">
        <v>123</v>
      </c>
      <c r="X17" s="178">
        <v>3.0757E-2</v>
      </c>
    </row>
    <row r="18" spans="2:24" ht="15" customHeight="1" x14ac:dyDescent="0.25">
      <c r="B18" s="67"/>
      <c r="C18" s="207" t="s">
        <v>30</v>
      </c>
      <c r="D18" s="201" t="s">
        <v>119</v>
      </c>
      <c r="E18" s="202">
        <v>2.1108999999999999E-2</v>
      </c>
      <c r="F18" s="29"/>
      <c r="G18" s="29"/>
      <c r="H18" s="29"/>
      <c r="I18" s="29"/>
      <c r="J18" s="29"/>
      <c r="K18" s="29"/>
      <c r="L18" s="29"/>
      <c r="M18" s="29"/>
      <c r="N18" s="29"/>
      <c r="O18" s="29"/>
      <c r="P18" s="29"/>
      <c r="Q18" s="29"/>
      <c r="R18" s="29"/>
      <c r="S18" s="29"/>
      <c r="T18" s="25"/>
      <c r="W18" s="177" t="s">
        <v>12</v>
      </c>
      <c r="X18" s="178">
        <v>3.0213E-2</v>
      </c>
    </row>
    <row r="19" spans="2:24" ht="15" customHeight="1" x14ac:dyDescent="0.25">
      <c r="B19" s="67"/>
      <c r="C19" s="207" t="s">
        <v>295</v>
      </c>
      <c r="D19" s="201" t="s">
        <v>88</v>
      </c>
      <c r="E19" s="202">
        <v>2.0473999999999999E-2</v>
      </c>
      <c r="F19" s="29"/>
      <c r="G19" s="29"/>
      <c r="H19" s="29"/>
      <c r="I19" s="29"/>
      <c r="J19" s="29"/>
      <c r="K19" s="29"/>
      <c r="L19" s="29"/>
      <c r="M19" s="29"/>
      <c r="N19" s="29"/>
      <c r="O19" s="29"/>
      <c r="P19" s="29"/>
      <c r="Q19" s="29"/>
      <c r="R19" s="29"/>
      <c r="S19" s="29"/>
      <c r="T19" s="25"/>
      <c r="W19" s="177" t="s">
        <v>85</v>
      </c>
      <c r="X19" s="178">
        <v>2.5062000000000001E-2</v>
      </c>
    </row>
    <row r="20" spans="2:24" ht="15" customHeight="1" x14ac:dyDescent="0.25">
      <c r="B20" s="67"/>
      <c r="C20" s="207" t="s">
        <v>37</v>
      </c>
      <c r="D20" s="201" t="s">
        <v>119</v>
      </c>
      <c r="E20" s="202">
        <v>2.0046000000000001E-2</v>
      </c>
      <c r="F20" s="29"/>
      <c r="G20" s="29"/>
      <c r="H20" s="29"/>
      <c r="I20" s="29"/>
      <c r="J20" s="29"/>
      <c r="K20" s="29"/>
      <c r="L20" s="29"/>
      <c r="M20" s="29"/>
      <c r="N20" s="29"/>
      <c r="O20" s="29"/>
      <c r="P20" s="29"/>
      <c r="Q20" s="29"/>
      <c r="R20" s="29"/>
      <c r="S20" s="29"/>
      <c r="T20" s="25"/>
      <c r="W20" s="177" t="s">
        <v>108</v>
      </c>
      <c r="X20" s="178">
        <v>2.4091999999999999E-2</v>
      </c>
    </row>
    <row r="21" spans="2:24" ht="15" customHeight="1" x14ac:dyDescent="0.25">
      <c r="B21" s="67"/>
      <c r="C21" s="207" t="s">
        <v>35</v>
      </c>
      <c r="D21" s="201" t="s">
        <v>3</v>
      </c>
      <c r="E21" s="202">
        <v>1.8964999999999999E-2</v>
      </c>
      <c r="F21" s="29"/>
      <c r="G21" s="29"/>
      <c r="H21" s="29"/>
      <c r="I21" s="29"/>
      <c r="J21" s="29"/>
      <c r="K21" s="29"/>
      <c r="L21" s="29"/>
      <c r="M21" s="29"/>
      <c r="N21" s="29"/>
      <c r="O21" s="29"/>
      <c r="P21" s="29"/>
      <c r="Q21" s="29"/>
      <c r="R21" s="29"/>
      <c r="S21" s="29"/>
      <c r="T21" s="25"/>
      <c r="W21" s="177" t="s">
        <v>88</v>
      </c>
      <c r="X21" s="178">
        <v>2.0473999999999999E-2</v>
      </c>
    </row>
    <row r="22" spans="2:24" ht="15" customHeight="1" x14ac:dyDescent="0.25">
      <c r="B22" s="67"/>
      <c r="C22" s="207" t="s">
        <v>107</v>
      </c>
      <c r="D22" s="201" t="s">
        <v>4</v>
      </c>
      <c r="E22" s="202">
        <v>1.8814999999999998E-2</v>
      </c>
      <c r="F22" s="29"/>
      <c r="G22" s="29"/>
      <c r="H22" s="29"/>
      <c r="I22" s="29"/>
      <c r="J22" s="29"/>
      <c r="K22" s="29"/>
      <c r="L22" s="29"/>
      <c r="M22" s="29"/>
      <c r="N22" s="29"/>
      <c r="O22" s="29"/>
      <c r="P22" s="29"/>
      <c r="Q22" s="29"/>
      <c r="R22" s="29"/>
      <c r="S22" s="29"/>
      <c r="T22" s="25"/>
      <c r="W22" s="177" t="s">
        <v>16</v>
      </c>
      <c r="X22" s="178">
        <v>2.0081999999999999E-2</v>
      </c>
    </row>
    <row r="23" spans="2:24" ht="15" customHeight="1" x14ac:dyDescent="0.25">
      <c r="B23" s="67"/>
      <c r="C23" s="74"/>
      <c r="D23" s="74"/>
      <c r="E23" s="75"/>
      <c r="F23" s="29"/>
      <c r="G23" s="29"/>
      <c r="H23" s="29"/>
      <c r="I23" s="29"/>
      <c r="J23" s="29"/>
      <c r="K23" s="29"/>
      <c r="L23" s="29"/>
      <c r="M23" s="29"/>
      <c r="N23" s="29"/>
      <c r="O23" s="29"/>
      <c r="P23" s="29"/>
      <c r="Q23" s="29"/>
      <c r="R23" s="29"/>
      <c r="S23" s="29"/>
      <c r="T23" s="25"/>
      <c r="W23" s="177" t="s">
        <v>11</v>
      </c>
      <c r="X23" s="178">
        <v>1.8596000000000001E-2</v>
      </c>
    </row>
    <row r="24" spans="2:24" ht="15" customHeight="1" x14ac:dyDescent="0.25">
      <c r="B24" s="67"/>
      <c r="C24" s="76" t="s">
        <v>55</v>
      </c>
      <c r="D24" s="77"/>
      <c r="E24" s="78">
        <f>SUM(E8:E23)</f>
        <v>0.61357600000000001</v>
      </c>
      <c r="F24" s="29"/>
      <c r="G24" s="29"/>
      <c r="H24" s="29"/>
      <c r="I24" s="29"/>
      <c r="J24" s="29"/>
      <c r="K24" s="29"/>
      <c r="L24" s="29"/>
      <c r="M24" s="29"/>
      <c r="N24" s="29"/>
      <c r="O24" s="29"/>
      <c r="P24" s="29"/>
      <c r="Q24" s="29"/>
      <c r="R24" s="29"/>
      <c r="S24" s="29"/>
      <c r="T24" s="25"/>
      <c r="W24" s="177" t="s">
        <v>117</v>
      </c>
      <c r="X24" s="178">
        <v>1.4795000000000001E-2</v>
      </c>
    </row>
    <row r="25" spans="2:24" ht="15" customHeight="1" x14ac:dyDescent="0.25">
      <c r="B25" s="67"/>
      <c r="C25" s="29"/>
      <c r="D25" s="29"/>
      <c r="E25" s="29"/>
      <c r="F25" s="29"/>
      <c r="G25" s="29"/>
      <c r="H25" s="29"/>
      <c r="I25" s="29"/>
      <c r="J25" s="29"/>
      <c r="K25" s="29"/>
      <c r="L25" s="29"/>
      <c r="M25" s="29"/>
      <c r="N25" s="29"/>
      <c r="O25" s="29"/>
      <c r="P25" s="29"/>
      <c r="Q25" s="29"/>
      <c r="R25" s="29"/>
      <c r="S25" s="29"/>
      <c r="T25" s="25"/>
      <c r="W25" s="177" t="s">
        <v>110</v>
      </c>
      <c r="X25" s="178">
        <v>1.4765E-2</v>
      </c>
    </row>
    <row r="26" spans="2:24" ht="15" customHeight="1" x14ac:dyDescent="0.25">
      <c r="B26" s="67"/>
      <c r="C26" s="29"/>
      <c r="D26" s="29"/>
      <c r="E26" s="29"/>
      <c r="F26" s="29"/>
      <c r="G26" s="29"/>
      <c r="H26" s="29"/>
      <c r="I26" s="29"/>
      <c r="J26" s="29"/>
      <c r="K26" s="29"/>
      <c r="L26" s="29"/>
      <c r="M26" s="29"/>
      <c r="N26" s="29"/>
      <c r="O26" s="29"/>
      <c r="P26" s="29"/>
      <c r="Q26" s="29"/>
      <c r="R26" s="29"/>
      <c r="S26" s="29"/>
      <c r="T26" s="25"/>
      <c r="W26" s="177" t="s">
        <v>128</v>
      </c>
      <c r="X26" s="178">
        <v>1.0292000000000001E-2</v>
      </c>
    </row>
    <row r="27" spans="2:24" ht="15" customHeight="1" x14ac:dyDescent="0.25">
      <c r="B27" s="67"/>
      <c r="C27" s="29"/>
      <c r="D27" s="29"/>
      <c r="E27" s="29"/>
      <c r="F27" s="29"/>
      <c r="G27" s="29"/>
      <c r="H27" s="29"/>
      <c r="I27" s="29"/>
      <c r="J27" s="29"/>
      <c r="K27" s="29"/>
      <c r="L27" s="29"/>
      <c r="M27" s="29"/>
      <c r="N27" s="29"/>
      <c r="O27" s="29"/>
      <c r="P27" s="29"/>
      <c r="Q27" s="29"/>
      <c r="R27" s="29"/>
      <c r="S27" s="29"/>
      <c r="T27" s="25"/>
      <c r="W27" s="177" t="s">
        <v>23</v>
      </c>
      <c r="X27" s="178">
        <v>1.0067E-2</v>
      </c>
    </row>
    <row r="28" spans="2:24" ht="15" customHeight="1" x14ac:dyDescent="0.25">
      <c r="B28" s="67"/>
      <c r="C28" s="29"/>
      <c r="D28" s="29"/>
      <c r="E28" s="29"/>
      <c r="F28" s="29"/>
      <c r="G28" s="29"/>
      <c r="H28" s="29"/>
      <c r="I28" s="29"/>
      <c r="J28" s="29"/>
      <c r="K28" s="29"/>
      <c r="L28" s="29"/>
      <c r="M28" s="29"/>
      <c r="N28" s="29"/>
      <c r="O28" s="29"/>
      <c r="P28" s="29"/>
      <c r="Q28" s="29"/>
      <c r="R28" s="29"/>
      <c r="S28" s="29"/>
      <c r="T28" s="25"/>
      <c r="W28" s="177" t="s">
        <v>126</v>
      </c>
      <c r="X28" s="178">
        <v>9.6699999999999998E-3</v>
      </c>
    </row>
    <row r="29" spans="2:24" ht="15" customHeight="1" x14ac:dyDescent="0.25">
      <c r="B29" s="67"/>
      <c r="C29" s="29"/>
      <c r="D29" s="29"/>
      <c r="E29" s="29"/>
      <c r="F29" s="29"/>
      <c r="G29" s="29"/>
      <c r="H29" s="29"/>
      <c r="I29" s="29"/>
      <c r="J29" s="29"/>
      <c r="K29" s="29"/>
      <c r="L29" s="29"/>
      <c r="M29" s="29"/>
      <c r="N29" s="29"/>
      <c r="O29" s="29"/>
      <c r="P29" s="29"/>
      <c r="Q29" s="29"/>
      <c r="R29" s="29"/>
      <c r="S29" s="29"/>
      <c r="T29" s="25"/>
      <c r="W29" s="177" t="s">
        <v>115</v>
      </c>
      <c r="X29" s="178">
        <v>9.3629999999999998E-3</v>
      </c>
    </row>
    <row r="30" spans="2:24" ht="15" customHeight="1" x14ac:dyDescent="0.25">
      <c r="B30" s="67"/>
      <c r="C30" s="29"/>
      <c r="D30" s="29"/>
      <c r="E30" s="29"/>
      <c r="F30" s="29"/>
      <c r="G30" s="29"/>
      <c r="H30" s="29"/>
      <c r="I30" s="29"/>
      <c r="J30" s="29"/>
      <c r="K30" s="29"/>
      <c r="L30" s="29"/>
      <c r="M30" s="29"/>
      <c r="N30" s="29"/>
      <c r="O30" s="29"/>
      <c r="P30" s="29"/>
      <c r="Q30" s="29"/>
      <c r="R30" s="29"/>
      <c r="S30" s="29"/>
      <c r="T30" s="25"/>
      <c r="W30" s="177" t="s">
        <v>190</v>
      </c>
      <c r="X30" s="178">
        <v>5.2979999999999998E-3</v>
      </c>
    </row>
    <row r="31" spans="2:24" ht="15" customHeight="1" x14ac:dyDescent="0.25">
      <c r="B31" s="67"/>
      <c r="C31" s="29"/>
      <c r="D31" s="29"/>
      <c r="E31" s="29"/>
      <c r="F31" s="29"/>
      <c r="G31" s="29"/>
      <c r="H31" s="29"/>
      <c r="I31" s="29"/>
      <c r="J31" s="29"/>
      <c r="K31" s="29"/>
      <c r="L31" s="29"/>
      <c r="M31" s="29"/>
      <c r="N31" s="29"/>
      <c r="O31" s="29"/>
      <c r="P31" s="29"/>
      <c r="Q31" s="29"/>
      <c r="R31" s="29"/>
      <c r="S31" s="29"/>
      <c r="T31" s="25"/>
      <c r="W31" s="177" t="s">
        <v>87</v>
      </c>
      <c r="X31" s="178">
        <v>4.0940000000000004E-3</v>
      </c>
    </row>
    <row r="32" spans="2:24" ht="15" customHeight="1" x14ac:dyDescent="0.25">
      <c r="B32" s="67"/>
      <c r="C32" s="29"/>
      <c r="D32" s="29"/>
      <c r="E32" s="29"/>
      <c r="F32" s="29"/>
      <c r="G32" s="29"/>
      <c r="H32" s="29"/>
      <c r="I32" s="29"/>
      <c r="J32" s="29"/>
      <c r="K32" s="29"/>
      <c r="L32" s="29"/>
      <c r="M32" s="29"/>
      <c r="N32" s="29"/>
      <c r="O32" s="29"/>
      <c r="P32" s="29"/>
      <c r="Q32" s="29"/>
      <c r="R32" s="29"/>
      <c r="S32" s="29"/>
      <c r="T32" s="25"/>
      <c r="W32" s="177" t="s">
        <v>86</v>
      </c>
      <c r="X32" s="178">
        <v>3.9110000000000004E-3</v>
      </c>
    </row>
    <row r="33" spans="2:24" ht="15" customHeight="1" x14ac:dyDescent="0.25">
      <c r="B33" s="67"/>
      <c r="C33" s="29"/>
      <c r="D33" s="29"/>
      <c r="E33" s="29"/>
      <c r="F33" s="29"/>
      <c r="G33" s="29"/>
      <c r="H33" s="29"/>
      <c r="I33" s="29"/>
      <c r="J33" s="29"/>
      <c r="K33" s="29"/>
      <c r="L33" s="29"/>
      <c r="M33" s="29"/>
      <c r="N33" s="29"/>
      <c r="O33" s="29"/>
      <c r="P33" s="29"/>
      <c r="Q33" s="29"/>
      <c r="R33" s="29"/>
      <c r="S33" s="29"/>
      <c r="T33" s="25"/>
      <c r="W33" s="177" t="s">
        <v>121</v>
      </c>
      <c r="X33" s="178">
        <v>3.9060000000000002E-3</v>
      </c>
    </row>
    <row r="34" spans="2:24" ht="15" customHeight="1" x14ac:dyDescent="0.25">
      <c r="B34" s="67"/>
      <c r="C34" s="29"/>
      <c r="D34" s="29"/>
      <c r="E34" s="29"/>
      <c r="F34" s="29"/>
      <c r="G34" s="29"/>
      <c r="H34" s="29"/>
      <c r="I34" s="29"/>
      <c r="J34" s="29"/>
      <c r="K34" s="29"/>
      <c r="L34" s="29"/>
      <c r="M34" s="29"/>
      <c r="N34" s="29"/>
      <c r="O34" s="29"/>
      <c r="P34" s="29"/>
      <c r="Q34" s="29"/>
      <c r="R34" s="29"/>
      <c r="S34" s="29"/>
      <c r="T34" s="25"/>
      <c r="W34" s="177" t="s">
        <v>251</v>
      </c>
      <c r="X34" s="178">
        <v>1.284E-3</v>
      </c>
    </row>
    <row r="35" spans="2:24" ht="15" customHeight="1" x14ac:dyDescent="0.25">
      <c r="B35" s="67"/>
      <c r="C35" s="29"/>
      <c r="D35" s="29"/>
      <c r="E35" s="29"/>
      <c r="F35" s="29"/>
      <c r="G35" s="29"/>
      <c r="H35" s="29"/>
      <c r="I35" s="29"/>
      <c r="J35" s="29"/>
      <c r="K35" s="29"/>
      <c r="L35" s="29"/>
      <c r="M35" s="29"/>
      <c r="N35" s="29"/>
      <c r="O35" s="29"/>
      <c r="P35" s="29"/>
      <c r="Q35" s="29"/>
      <c r="R35" s="29"/>
      <c r="S35" s="29"/>
      <c r="T35" s="25"/>
      <c r="W35" s="177"/>
      <c r="X35" s="178"/>
    </row>
    <row r="36" spans="2:24" ht="15" customHeight="1" x14ac:dyDescent="0.25">
      <c r="B36" s="67"/>
      <c r="C36" s="29"/>
      <c r="D36" s="29"/>
      <c r="E36" s="29"/>
      <c r="F36" s="29"/>
      <c r="G36" s="29"/>
      <c r="H36" s="29"/>
      <c r="I36" s="29"/>
      <c r="J36" s="29"/>
      <c r="K36" s="29"/>
      <c r="L36" s="29"/>
      <c r="M36" s="29"/>
      <c r="N36" s="29"/>
      <c r="O36" s="29"/>
      <c r="P36" s="29"/>
      <c r="Q36" s="29"/>
      <c r="R36" s="29"/>
      <c r="S36" s="29"/>
      <c r="T36" s="25"/>
      <c r="W36" s="177"/>
      <c r="X36" s="178"/>
    </row>
    <row r="37" spans="2:24" ht="15" customHeight="1" x14ac:dyDescent="0.25">
      <c r="B37" s="67"/>
      <c r="C37" s="29"/>
      <c r="D37" s="29"/>
      <c r="E37" s="29"/>
      <c r="F37" s="29"/>
      <c r="G37" s="29"/>
      <c r="H37" s="29"/>
      <c r="I37" s="29"/>
      <c r="J37" s="29"/>
      <c r="K37" s="29"/>
      <c r="L37" s="29"/>
      <c r="M37" s="29"/>
      <c r="N37" s="29"/>
      <c r="O37" s="29"/>
      <c r="P37" s="29"/>
      <c r="Q37" s="29"/>
      <c r="R37" s="29"/>
      <c r="S37" s="29"/>
      <c r="T37" s="25"/>
      <c r="W37" s="177"/>
      <c r="X37" s="178"/>
    </row>
    <row r="38" spans="2:24" ht="15" hidden="1" customHeight="1" x14ac:dyDescent="0.25">
      <c r="B38" s="67"/>
      <c r="C38" s="29"/>
      <c r="D38" s="29"/>
      <c r="E38" s="29"/>
      <c r="F38" s="29"/>
      <c r="G38" s="29"/>
      <c r="H38" s="29"/>
      <c r="I38" s="29"/>
      <c r="J38" s="29"/>
      <c r="K38" s="29"/>
      <c r="L38" s="29"/>
      <c r="M38" s="29"/>
      <c r="N38" s="29"/>
      <c r="O38" s="29"/>
      <c r="P38" s="29"/>
      <c r="Q38" s="29"/>
      <c r="R38" s="29"/>
      <c r="S38" s="29"/>
      <c r="T38" s="25"/>
    </row>
    <row r="39" spans="2:24" ht="15" hidden="1" customHeight="1" x14ac:dyDescent="0.25">
      <c r="B39" s="67"/>
      <c r="C39" s="29"/>
      <c r="D39" s="29"/>
      <c r="E39" s="29"/>
      <c r="F39" s="29"/>
      <c r="G39" s="29"/>
      <c r="H39" s="29"/>
      <c r="I39" s="29"/>
      <c r="J39" s="29"/>
      <c r="K39" s="29"/>
      <c r="L39" s="29"/>
      <c r="M39" s="29"/>
      <c r="N39" s="29"/>
      <c r="O39" s="29"/>
      <c r="P39" s="29"/>
      <c r="Q39" s="29"/>
      <c r="R39" s="29"/>
      <c r="S39" s="29"/>
      <c r="T39" s="25"/>
    </row>
    <row r="40" spans="2:24" ht="15" hidden="1" customHeight="1" x14ac:dyDescent="0.25">
      <c r="B40" s="67"/>
      <c r="C40" s="29"/>
      <c r="D40" s="29"/>
      <c r="E40" s="29"/>
      <c r="F40" s="29"/>
      <c r="G40" s="29"/>
      <c r="H40" s="29"/>
      <c r="I40" s="29"/>
      <c r="J40" s="29"/>
      <c r="K40" s="29"/>
      <c r="L40" s="29"/>
      <c r="M40" s="29"/>
      <c r="N40" s="29"/>
      <c r="O40" s="29"/>
      <c r="P40" s="29"/>
      <c r="Q40" s="29"/>
      <c r="R40" s="29"/>
      <c r="S40" s="29"/>
      <c r="T40" s="25"/>
    </row>
    <row r="41" spans="2:24" ht="15" hidden="1" customHeight="1" x14ac:dyDescent="0.25">
      <c r="B41" s="67"/>
      <c r="C41" s="29"/>
      <c r="D41" s="29"/>
      <c r="E41" s="29"/>
      <c r="F41" s="29"/>
      <c r="G41" s="29"/>
      <c r="H41" s="29"/>
      <c r="I41" s="29"/>
      <c r="J41" s="29"/>
      <c r="K41" s="29"/>
      <c r="L41" s="29"/>
      <c r="M41" s="29"/>
      <c r="N41" s="29"/>
      <c r="O41" s="29"/>
      <c r="P41" s="29"/>
      <c r="Q41" s="29"/>
      <c r="R41" s="29"/>
      <c r="S41" s="29"/>
      <c r="T41" s="25"/>
    </row>
    <row r="42" spans="2:24" ht="15" hidden="1" customHeight="1" x14ac:dyDescent="0.25">
      <c r="B42" s="67"/>
      <c r="C42" s="29"/>
      <c r="D42" s="29"/>
      <c r="E42" s="29"/>
      <c r="F42" s="29"/>
      <c r="G42" s="29"/>
      <c r="H42" s="29"/>
      <c r="I42" s="29"/>
      <c r="J42" s="29"/>
      <c r="K42" s="29"/>
      <c r="L42" s="29"/>
      <c r="M42" s="29"/>
      <c r="N42" s="29"/>
      <c r="O42" s="29"/>
      <c r="P42" s="29"/>
      <c r="Q42" s="29"/>
      <c r="R42" s="29"/>
      <c r="S42" s="29"/>
      <c r="T42" s="25"/>
    </row>
    <row r="43" spans="2:24" ht="15" hidden="1" customHeight="1" x14ac:dyDescent="0.25">
      <c r="B43" s="67"/>
      <c r="C43" s="29"/>
      <c r="D43" s="29"/>
      <c r="E43" s="29"/>
      <c r="F43" s="29"/>
      <c r="G43" s="29"/>
      <c r="H43" s="29"/>
      <c r="I43" s="29"/>
      <c r="J43" s="29"/>
      <c r="K43" s="29"/>
      <c r="L43" s="29"/>
      <c r="M43" s="29"/>
      <c r="N43" s="29"/>
      <c r="O43" s="29"/>
      <c r="P43" s="29"/>
      <c r="Q43" s="29"/>
      <c r="R43" s="29"/>
      <c r="S43" s="29"/>
      <c r="T43" s="25"/>
    </row>
    <row r="44" spans="2:24" ht="15" hidden="1" customHeight="1" x14ac:dyDescent="0.25">
      <c r="B44" s="67"/>
      <c r="C44" s="29"/>
      <c r="D44" s="29"/>
      <c r="E44" s="29"/>
      <c r="F44" s="29"/>
      <c r="G44" s="29"/>
      <c r="H44" s="29"/>
      <c r="I44" s="29"/>
      <c r="J44" s="29"/>
      <c r="K44" s="29"/>
      <c r="L44" s="29"/>
      <c r="M44" s="29"/>
      <c r="N44" s="29"/>
      <c r="O44" s="29"/>
      <c r="P44" s="29"/>
      <c r="Q44" s="29"/>
      <c r="R44" s="29"/>
      <c r="S44" s="29"/>
      <c r="T44" s="25"/>
    </row>
    <row r="45" spans="2:24" ht="15" hidden="1" customHeight="1" x14ac:dyDescent="0.25">
      <c r="B45" s="67"/>
      <c r="C45" s="29"/>
      <c r="D45" s="29"/>
      <c r="E45" s="29"/>
      <c r="F45" s="29"/>
      <c r="G45" s="29"/>
      <c r="H45" s="29"/>
      <c r="I45" s="29"/>
      <c r="J45" s="29"/>
      <c r="K45" s="29"/>
      <c r="L45" s="29"/>
      <c r="M45" s="29"/>
      <c r="N45" s="29"/>
      <c r="O45" s="29"/>
      <c r="P45" s="29"/>
      <c r="Q45" s="29"/>
      <c r="R45" s="29"/>
      <c r="S45" s="29"/>
      <c r="T45" s="25"/>
    </row>
    <row r="46" spans="2:24" ht="15" hidden="1" customHeight="1" x14ac:dyDescent="0.25">
      <c r="B46" s="67"/>
      <c r="C46" s="29"/>
      <c r="D46" s="29"/>
      <c r="E46" s="29"/>
      <c r="F46" s="29"/>
      <c r="G46" s="29"/>
      <c r="H46" s="29"/>
      <c r="I46" s="29"/>
      <c r="J46" s="29"/>
      <c r="K46" s="29"/>
      <c r="L46" s="29"/>
      <c r="M46" s="29"/>
      <c r="N46" s="29"/>
      <c r="O46" s="29"/>
      <c r="P46" s="29"/>
      <c r="Q46" s="29"/>
      <c r="R46" s="29"/>
      <c r="S46" s="29"/>
      <c r="T46" s="25"/>
    </row>
    <row r="47" spans="2:24" ht="15" customHeight="1" thickBot="1" x14ac:dyDescent="0.3">
      <c r="B47" s="79"/>
      <c r="C47" s="30"/>
      <c r="D47" s="30"/>
      <c r="E47" s="30"/>
      <c r="F47" s="30"/>
      <c r="G47" s="30"/>
      <c r="H47" s="30"/>
      <c r="I47" s="30"/>
      <c r="J47" s="30"/>
      <c r="K47" s="30"/>
      <c r="L47" s="30"/>
      <c r="M47" s="30"/>
      <c r="N47" s="30"/>
      <c r="O47" s="30"/>
      <c r="P47" s="30"/>
      <c r="Q47" s="30"/>
      <c r="R47" s="30"/>
      <c r="S47" s="30"/>
      <c r="T47" s="26"/>
    </row>
    <row r="48" spans="2:24" ht="15" customHeight="1" thickBot="1" x14ac:dyDescent="0.3"/>
    <row r="49" spans="2:18" ht="15" customHeight="1" x14ac:dyDescent="0.25">
      <c r="B49" s="265" t="s">
        <v>186</v>
      </c>
      <c r="C49" s="266"/>
      <c r="D49" s="266"/>
      <c r="E49" s="266"/>
      <c r="F49" s="266"/>
      <c r="G49" s="266"/>
      <c r="H49" s="266"/>
      <c r="I49" s="266"/>
      <c r="J49" s="266"/>
      <c r="K49" s="266"/>
      <c r="L49" s="266"/>
      <c r="M49" s="266"/>
      <c r="N49" s="266"/>
      <c r="O49" s="266"/>
      <c r="P49" s="266"/>
      <c r="Q49" s="266"/>
      <c r="R49" s="267"/>
    </row>
    <row r="50" spans="2:18" ht="15" customHeight="1" x14ac:dyDescent="0.25">
      <c r="B50" s="268"/>
      <c r="C50" s="269"/>
      <c r="D50" s="269"/>
      <c r="E50" s="269"/>
      <c r="F50" s="269"/>
      <c r="G50" s="269"/>
      <c r="H50" s="269"/>
      <c r="I50" s="269"/>
      <c r="J50" s="269"/>
      <c r="K50" s="269"/>
      <c r="L50" s="269"/>
      <c r="M50" s="269"/>
      <c r="N50" s="269"/>
      <c r="O50" s="269"/>
      <c r="P50" s="269"/>
      <c r="Q50" s="269"/>
      <c r="R50" s="270"/>
    </row>
    <row r="51" spans="2:18" ht="15" customHeight="1" x14ac:dyDescent="0.25">
      <c r="B51" s="268"/>
      <c r="C51" s="269"/>
      <c r="D51" s="269"/>
      <c r="E51" s="269"/>
      <c r="F51" s="269"/>
      <c r="G51" s="269"/>
      <c r="H51" s="269"/>
      <c r="I51" s="269"/>
      <c r="J51" s="269"/>
      <c r="K51" s="269"/>
      <c r="L51" s="269"/>
      <c r="M51" s="269"/>
      <c r="N51" s="269"/>
      <c r="O51" s="269"/>
      <c r="P51" s="269"/>
      <c r="Q51" s="269"/>
      <c r="R51" s="270"/>
    </row>
    <row r="52" spans="2:18" ht="15" customHeight="1" x14ac:dyDescent="0.25">
      <c r="B52" s="268"/>
      <c r="C52" s="269"/>
      <c r="D52" s="269"/>
      <c r="E52" s="269"/>
      <c r="F52" s="269"/>
      <c r="G52" s="269"/>
      <c r="H52" s="269"/>
      <c r="I52" s="269"/>
      <c r="J52" s="269"/>
      <c r="K52" s="269"/>
      <c r="L52" s="269"/>
      <c r="M52" s="269"/>
      <c r="N52" s="269"/>
      <c r="O52" s="269"/>
      <c r="P52" s="269"/>
      <c r="Q52" s="269"/>
      <c r="R52" s="270"/>
    </row>
    <row r="53" spans="2:18" ht="15" customHeight="1" x14ac:dyDescent="0.25">
      <c r="B53" s="268"/>
      <c r="C53" s="269"/>
      <c r="D53" s="269"/>
      <c r="E53" s="269"/>
      <c r="F53" s="269"/>
      <c r="G53" s="269"/>
      <c r="H53" s="269"/>
      <c r="I53" s="269"/>
      <c r="J53" s="269"/>
      <c r="K53" s="269"/>
      <c r="L53" s="269"/>
      <c r="M53" s="269"/>
      <c r="N53" s="269"/>
      <c r="O53" s="269"/>
      <c r="P53" s="269"/>
      <c r="Q53" s="269"/>
      <c r="R53" s="270"/>
    </row>
    <row r="54" spans="2:18" ht="15" customHeight="1" x14ac:dyDescent="0.25">
      <c r="B54" s="268"/>
      <c r="C54" s="269"/>
      <c r="D54" s="269"/>
      <c r="E54" s="269"/>
      <c r="F54" s="269"/>
      <c r="G54" s="269"/>
      <c r="H54" s="269"/>
      <c r="I54" s="269"/>
      <c r="J54" s="269"/>
      <c r="K54" s="269"/>
      <c r="L54" s="269"/>
      <c r="M54" s="269"/>
      <c r="N54" s="269"/>
      <c r="O54" s="269"/>
      <c r="P54" s="269"/>
      <c r="Q54" s="269"/>
      <c r="R54" s="270"/>
    </row>
    <row r="55" spans="2:18" ht="15" customHeight="1" thickBot="1" x14ac:dyDescent="0.3">
      <c r="B55" s="271"/>
      <c r="C55" s="272"/>
      <c r="D55" s="272"/>
      <c r="E55" s="272"/>
      <c r="F55" s="272"/>
      <c r="G55" s="272"/>
      <c r="H55" s="272"/>
      <c r="I55" s="272"/>
      <c r="J55" s="272"/>
      <c r="K55" s="272"/>
      <c r="L55" s="272"/>
      <c r="M55" s="272"/>
      <c r="N55" s="272"/>
      <c r="O55" s="272"/>
      <c r="P55" s="272"/>
      <c r="Q55" s="272"/>
      <c r="R55" s="273"/>
    </row>
    <row r="56" spans="2:18" ht="15" customHeight="1" x14ac:dyDescent="0.25"/>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sortState ref="W9:X21">
    <sortCondition descending="1" ref="X9:X21"/>
  </sortState>
  <mergeCells count="3">
    <mergeCell ref="C3:S3"/>
    <mergeCell ref="D5:E5"/>
    <mergeCell ref="B49:R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Y66"/>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74" t="s">
        <v>174</v>
      </c>
      <c r="D3" s="275"/>
      <c r="E3" s="275"/>
      <c r="F3" s="275"/>
      <c r="G3" s="275"/>
      <c r="H3" s="275"/>
      <c r="I3" s="275"/>
      <c r="J3" s="275"/>
      <c r="K3" s="275"/>
      <c r="L3" s="275"/>
      <c r="M3" s="275"/>
      <c r="N3" s="275"/>
      <c r="O3" s="275"/>
      <c r="P3" s="275"/>
      <c r="Q3" s="275"/>
      <c r="R3" s="275"/>
      <c r="S3" s="275"/>
      <c r="T3" s="22"/>
    </row>
    <row r="4" spans="1:24" ht="15.75" customHeight="1" x14ac:dyDescent="0.25">
      <c r="B4" s="82"/>
      <c r="C4" s="70" t="s">
        <v>367</v>
      </c>
      <c r="D4" s="29"/>
      <c r="E4" s="29"/>
      <c r="F4" s="29"/>
      <c r="G4" s="29"/>
      <c r="H4" s="29"/>
      <c r="I4" s="29"/>
      <c r="J4" s="29"/>
      <c r="K4" s="29"/>
      <c r="L4" s="29"/>
      <c r="M4" s="29"/>
      <c r="N4" s="29"/>
      <c r="O4" s="29"/>
      <c r="P4" s="29"/>
      <c r="Q4" s="29"/>
      <c r="R4" s="29"/>
      <c r="S4" s="29"/>
      <c r="T4" s="22"/>
    </row>
    <row r="5" spans="1:24" ht="18" customHeight="1" x14ac:dyDescent="0.25">
      <c r="B5" s="82"/>
      <c r="C5" s="228" t="s">
        <v>366</v>
      </c>
      <c r="D5" s="276" t="s">
        <v>321</v>
      </c>
      <c r="E5" s="276"/>
      <c r="F5" s="29"/>
      <c r="G5" s="160"/>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159" t="s">
        <v>2</v>
      </c>
    </row>
    <row r="8" spans="1:24" ht="15" customHeight="1" x14ac:dyDescent="0.25">
      <c r="B8" s="82"/>
      <c r="C8" s="198" t="s">
        <v>32</v>
      </c>
      <c r="D8" s="199" t="s">
        <v>3</v>
      </c>
      <c r="E8" s="200">
        <v>8.9746000000000006E-2</v>
      </c>
      <c r="F8" s="29"/>
      <c r="G8" s="29"/>
      <c r="H8" s="29"/>
      <c r="I8" s="29"/>
      <c r="J8" s="29"/>
      <c r="K8" s="29"/>
      <c r="L8" s="29"/>
      <c r="M8" s="29"/>
      <c r="N8" s="29"/>
      <c r="O8" s="29"/>
      <c r="P8" s="29"/>
      <c r="Q8" s="29"/>
      <c r="R8" s="29"/>
      <c r="S8" s="29"/>
      <c r="T8" s="22"/>
      <c r="W8" s="177" t="s">
        <v>3</v>
      </c>
      <c r="X8" s="178">
        <v>0.17902200000000001</v>
      </c>
    </row>
    <row r="9" spans="1:24" ht="15.75" customHeight="1" x14ac:dyDescent="0.25">
      <c r="B9" s="82"/>
      <c r="C9" s="192" t="s">
        <v>29</v>
      </c>
      <c r="D9" s="201" t="s">
        <v>3</v>
      </c>
      <c r="E9" s="202">
        <v>8.9275999999999994E-2</v>
      </c>
      <c r="F9" s="29"/>
      <c r="G9" s="29"/>
      <c r="H9" s="29"/>
      <c r="I9" s="29"/>
      <c r="J9" s="29"/>
      <c r="K9" s="29"/>
      <c r="L9" s="29"/>
      <c r="M9" s="29"/>
      <c r="N9" s="29"/>
      <c r="O9" s="29"/>
      <c r="P9" s="29"/>
      <c r="Q9" s="29"/>
      <c r="R9" s="29"/>
      <c r="S9" s="29"/>
      <c r="T9" s="22"/>
      <c r="W9" s="177" t="s">
        <v>26</v>
      </c>
      <c r="X9" s="178">
        <v>0.13480700000000001</v>
      </c>
    </row>
    <row r="10" spans="1:24" ht="15" customHeight="1" x14ac:dyDescent="0.25">
      <c r="B10" s="82"/>
      <c r="C10" s="192" t="s">
        <v>205</v>
      </c>
      <c r="D10" s="201" t="s">
        <v>121</v>
      </c>
      <c r="E10" s="202">
        <v>6.3787999999999997E-2</v>
      </c>
      <c r="F10" s="29"/>
      <c r="G10" s="29"/>
      <c r="H10" s="29"/>
      <c r="I10" s="29"/>
      <c r="J10" s="29"/>
      <c r="K10" s="29"/>
      <c r="L10" s="29"/>
      <c r="M10" s="29"/>
      <c r="N10" s="29"/>
      <c r="O10" s="29"/>
      <c r="P10" s="29"/>
      <c r="Q10" s="29"/>
      <c r="R10" s="29"/>
      <c r="S10" s="29"/>
      <c r="T10" s="22"/>
      <c r="W10" s="177" t="s">
        <v>109</v>
      </c>
      <c r="X10" s="178">
        <v>6.7015999999999992E-2</v>
      </c>
    </row>
    <row r="11" spans="1:24" ht="15" customHeight="1" x14ac:dyDescent="0.25">
      <c r="B11" s="82"/>
      <c r="C11" s="192" t="s">
        <v>31</v>
      </c>
      <c r="D11" s="201" t="s">
        <v>6</v>
      </c>
      <c r="E11" s="202">
        <v>5.5764000000000001E-2</v>
      </c>
      <c r="F11" s="29"/>
      <c r="G11" s="29"/>
      <c r="H11" s="29"/>
      <c r="I11" s="29"/>
      <c r="J11" s="29"/>
      <c r="K11" s="29"/>
      <c r="L11" s="29"/>
      <c r="M11" s="29"/>
      <c r="N11" s="29"/>
      <c r="O11" s="29"/>
      <c r="P11" s="29"/>
      <c r="Q11" s="29"/>
      <c r="R11" s="29"/>
      <c r="S11" s="29"/>
      <c r="T11" s="22"/>
      <c r="W11" s="177" t="s">
        <v>4</v>
      </c>
      <c r="X11" s="178">
        <v>6.5424999999999997E-2</v>
      </c>
    </row>
    <row r="12" spans="1:24" ht="15" customHeight="1" x14ac:dyDescent="0.25">
      <c r="B12" s="82"/>
      <c r="C12" s="192" t="s">
        <v>140</v>
      </c>
      <c r="D12" s="201" t="s">
        <v>26</v>
      </c>
      <c r="E12" s="202">
        <v>5.3676000000000001E-2</v>
      </c>
      <c r="F12" s="29"/>
      <c r="G12" s="29"/>
      <c r="H12" s="29"/>
      <c r="I12" s="29"/>
      <c r="J12" s="29"/>
      <c r="K12" s="29"/>
      <c r="L12" s="29"/>
      <c r="M12" s="29"/>
      <c r="N12" s="29"/>
      <c r="O12" s="29"/>
      <c r="P12" s="29"/>
      <c r="Q12" s="29"/>
      <c r="R12" s="29"/>
      <c r="S12" s="29"/>
      <c r="T12" s="22"/>
      <c r="W12" s="177" t="s">
        <v>121</v>
      </c>
      <c r="X12" s="178">
        <v>6.3787999999999997E-2</v>
      </c>
    </row>
    <row r="13" spans="1:24" ht="15" customHeight="1" x14ac:dyDescent="0.25">
      <c r="B13" s="82"/>
      <c r="C13" s="192" t="s">
        <v>192</v>
      </c>
      <c r="D13" s="201" t="s">
        <v>115</v>
      </c>
      <c r="E13" s="202">
        <v>4.8745999999999998E-2</v>
      </c>
      <c r="F13" s="29"/>
      <c r="G13" s="29"/>
      <c r="H13" s="29"/>
      <c r="I13" s="29"/>
      <c r="J13" s="29"/>
      <c r="K13" s="29"/>
      <c r="L13" s="29"/>
      <c r="M13" s="29"/>
      <c r="N13" s="29"/>
      <c r="O13" s="29"/>
      <c r="P13" s="29"/>
      <c r="Q13" s="29"/>
      <c r="R13" s="29"/>
      <c r="S13" s="29"/>
      <c r="T13" s="22"/>
      <c r="W13" s="177" t="s">
        <v>114</v>
      </c>
      <c r="X13" s="178">
        <v>6.1407999999999997E-2</v>
      </c>
    </row>
    <row r="14" spans="1:24" ht="15" customHeight="1" x14ac:dyDescent="0.25">
      <c r="B14" s="82"/>
      <c r="C14" s="192" t="s">
        <v>107</v>
      </c>
      <c r="D14" s="201" t="s">
        <v>4</v>
      </c>
      <c r="E14" s="202">
        <v>4.8558999999999998E-2</v>
      </c>
      <c r="F14" s="29"/>
      <c r="G14" s="29"/>
      <c r="H14" s="29"/>
      <c r="I14" s="29"/>
      <c r="J14" s="29"/>
      <c r="K14" s="29"/>
      <c r="L14" s="29"/>
      <c r="M14" s="29"/>
      <c r="N14" s="29"/>
      <c r="O14" s="29"/>
      <c r="P14" s="29"/>
      <c r="Q14" s="29"/>
      <c r="R14" s="29"/>
      <c r="S14" s="29"/>
      <c r="T14" s="22"/>
      <c r="W14" s="177" t="s">
        <v>6</v>
      </c>
      <c r="X14" s="178">
        <v>5.5764000000000001E-2</v>
      </c>
    </row>
    <row r="15" spans="1:24" ht="15" customHeight="1" x14ac:dyDescent="0.25">
      <c r="B15" s="82"/>
      <c r="C15" s="192" t="s">
        <v>28</v>
      </c>
      <c r="D15" s="201" t="s">
        <v>109</v>
      </c>
      <c r="E15" s="202">
        <v>3.5549999999999998E-2</v>
      </c>
      <c r="F15" s="29"/>
      <c r="G15" s="29"/>
      <c r="H15" s="29"/>
      <c r="I15" s="29"/>
      <c r="J15" s="29"/>
      <c r="K15" s="29"/>
      <c r="L15" s="29"/>
      <c r="M15" s="29"/>
      <c r="N15" s="29"/>
      <c r="O15" s="29"/>
      <c r="P15" s="29"/>
      <c r="Q15" s="29"/>
      <c r="R15" s="29"/>
      <c r="S15" s="29"/>
      <c r="T15" s="22"/>
      <c r="W15" s="177" t="s">
        <v>115</v>
      </c>
      <c r="X15" s="178">
        <v>4.8745999999999998E-2</v>
      </c>
    </row>
    <row r="16" spans="1:24" ht="15" customHeight="1" x14ac:dyDescent="0.25">
      <c r="B16" s="82"/>
      <c r="C16" s="192" t="s">
        <v>281</v>
      </c>
      <c r="D16" s="201" t="s">
        <v>26</v>
      </c>
      <c r="E16" s="202">
        <v>3.2858999999999999E-2</v>
      </c>
      <c r="F16" s="29"/>
      <c r="G16" s="29"/>
      <c r="H16" s="29"/>
      <c r="I16" s="29"/>
      <c r="J16" s="29"/>
      <c r="K16" s="29"/>
      <c r="L16" s="29"/>
      <c r="M16" s="29"/>
      <c r="N16" s="29"/>
      <c r="O16" s="29"/>
      <c r="P16" s="29"/>
      <c r="Q16" s="29"/>
      <c r="R16" s="29"/>
      <c r="S16" s="29"/>
      <c r="T16" s="22"/>
      <c r="W16" s="177" t="s">
        <v>190</v>
      </c>
      <c r="X16" s="178">
        <v>3.2585999999999997E-2</v>
      </c>
    </row>
    <row r="17" spans="2:24" ht="15" customHeight="1" x14ac:dyDescent="0.25">
      <c r="B17" s="82"/>
      <c r="C17" s="192" t="s">
        <v>241</v>
      </c>
      <c r="D17" s="201" t="s">
        <v>190</v>
      </c>
      <c r="E17" s="202">
        <v>3.2585999999999997E-2</v>
      </c>
      <c r="F17" s="29"/>
      <c r="G17" s="29"/>
      <c r="H17" s="29"/>
      <c r="I17" s="29"/>
      <c r="J17" s="29"/>
      <c r="K17" s="29"/>
      <c r="L17" s="29"/>
      <c r="M17" s="29"/>
      <c r="N17" s="29"/>
      <c r="O17" s="29"/>
      <c r="P17" s="29"/>
      <c r="Q17" s="29"/>
      <c r="R17" s="29"/>
      <c r="S17" s="29"/>
      <c r="T17" s="22"/>
      <c r="W17" s="177" t="s">
        <v>16</v>
      </c>
      <c r="X17" s="178">
        <v>3.0734000000000001E-2</v>
      </c>
    </row>
    <row r="18" spans="2:24" ht="15" customHeight="1" x14ac:dyDescent="0.25">
      <c r="B18" s="82"/>
      <c r="C18" s="192" t="s">
        <v>201</v>
      </c>
      <c r="D18" s="201" t="s">
        <v>109</v>
      </c>
      <c r="E18" s="202">
        <v>3.1466000000000001E-2</v>
      </c>
      <c r="F18" s="29"/>
      <c r="G18" s="29"/>
      <c r="H18" s="29"/>
      <c r="I18" s="29"/>
      <c r="J18" s="29"/>
      <c r="K18" s="29"/>
      <c r="L18" s="29"/>
      <c r="M18" s="29"/>
      <c r="N18" s="29"/>
      <c r="O18" s="29"/>
      <c r="P18" s="29"/>
      <c r="Q18" s="29"/>
      <c r="R18" s="29"/>
      <c r="S18" s="29"/>
      <c r="T18" s="22"/>
      <c r="W18" s="177" t="s">
        <v>88</v>
      </c>
      <c r="X18" s="178">
        <v>2.9307E-2</v>
      </c>
    </row>
    <row r="19" spans="2:24" ht="15" customHeight="1" x14ac:dyDescent="0.25">
      <c r="B19" s="82"/>
      <c r="C19" s="192" t="s">
        <v>136</v>
      </c>
      <c r="D19" s="201" t="s">
        <v>114</v>
      </c>
      <c r="E19" s="202">
        <v>3.1406999999999997E-2</v>
      </c>
      <c r="F19" s="29"/>
      <c r="G19" s="29"/>
      <c r="H19" s="29"/>
      <c r="I19" s="29"/>
      <c r="J19" s="29"/>
      <c r="K19" s="29"/>
      <c r="L19" s="29"/>
      <c r="M19" s="29"/>
      <c r="N19" s="29"/>
      <c r="O19" s="29"/>
      <c r="P19" s="29"/>
      <c r="Q19" s="29"/>
      <c r="R19" s="29"/>
      <c r="S19" s="29"/>
      <c r="T19" s="22"/>
      <c r="W19" s="177" t="s">
        <v>86</v>
      </c>
      <c r="X19" s="178">
        <v>2.8198000000000001E-2</v>
      </c>
    </row>
    <row r="20" spans="2:24" ht="15" customHeight="1" x14ac:dyDescent="0.25">
      <c r="B20" s="82"/>
      <c r="C20" s="192" t="s">
        <v>256</v>
      </c>
      <c r="D20" s="201" t="s">
        <v>16</v>
      </c>
      <c r="E20" s="202">
        <v>3.0734000000000001E-2</v>
      </c>
      <c r="F20" s="29"/>
      <c r="G20" s="29"/>
      <c r="H20" s="29"/>
      <c r="I20" s="29"/>
      <c r="J20" s="29"/>
      <c r="K20" s="29"/>
      <c r="L20" s="29"/>
      <c r="M20" s="29"/>
      <c r="N20" s="29"/>
      <c r="O20" s="29"/>
      <c r="P20" s="29"/>
      <c r="Q20" s="29"/>
      <c r="R20" s="29"/>
      <c r="S20" s="29"/>
      <c r="T20" s="22"/>
      <c r="W20" s="177" t="s">
        <v>113</v>
      </c>
      <c r="X20" s="178">
        <v>2.8077999999999999E-2</v>
      </c>
    </row>
    <row r="21" spans="2:24" ht="15" customHeight="1" x14ac:dyDescent="0.25">
      <c r="B21" s="82"/>
      <c r="C21" s="192" t="s">
        <v>122</v>
      </c>
      <c r="D21" s="201" t="s">
        <v>114</v>
      </c>
      <c r="E21" s="202">
        <v>3.0001E-2</v>
      </c>
      <c r="F21" s="29"/>
      <c r="G21" s="29"/>
      <c r="H21" s="29"/>
      <c r="I21" s="29"/>
      <c r="J21" s="29"/>
      <c r="K21" s="29"/>
      <c r="L21" s="29"/>
      <c r="M21" s="29"/>
      <c r="N21" s="29"/>
      <c r="O21" s="29"/>
      <c r="P21" s="29"/>
      <c r="Q21" s="29"/>
      <c r="R21" s="29"/>
      <c r="S21" s="29"/>
      <c r="T21" s="22"/>
      <c r="W21" s="177" t="s">
        <v>139</v>
      </c>
      <c r="X21" s="178">
        <v>2.6917E-2</v>
      </c>
    </row>
    <row r="22" spans="2:24" ht="15" customHeight="1" x14ac:dyDescent="0.25">
      <c r="B22" s="82"/>
      <c r="C22" s="192" t="s">
        <v>295</v>
      </c>
      <c r="D22" s="201" t="s">
        <v>88</v>
      </c>
      <c r="E22" s="202">
        <v>2.9307E-2</v>
      </c>
      <c r="F22" s="29"/>
      <c r="G22" s="29"/>
      <c r="H22" s="29"/>
      <c r="I22" s="29"/>
      <c r="J22" s="29"/>
      <c r="K22" s="29"/>
      <c r="L22" s="29"/>
      <c r="M22" s="29"/>
      <c r="N22" s="29"/>
      <c r="O22" s="29"/>
      <c r="P22" s="29"/>
      <c r="Q22" s="29"/>
      <c r="R22" s="29"/>
      <c r="S22" s="29"/>
      <c r="T22" s="22"/>
      <c r="W22" s="177" t="s">
        <v>85</v>
      </c>
      <c r="X22" s="178">
        <v>2.4216999999999999E-2</v>
      </c>
    </row>
    <row r="23" spans="2:24" ht="15" customHeight="1" x14ac:dyDescent="0.25">
      <c r="B23" s="82"/>
      <c r="C23" s="74"/>
      <c r="D23" s="161"/>
      <c r="E23" s="75"/>
      <c r="F23" s="29"/>
      <c r="G23" s="29"/>
      <c r="H23" s="29"/>
      <c r="I23" s="29"/>
      <c r="J23" s="29"/>
      <c r="K23" s="29"/>
      <c r="L23" s="29"/>
      <c r="M23" s="29"/>
      <c r="N23" s="29"/>
      <c r="O23" s="29"/>
      <c r="P23" s="29"/>
      <c r="Q23" s="29"/>
      <c r="R23" s="29"/>
      <c r="S23" s="29"/>
      <c r="T23" s="22"/>
      <c r="W23" s="177" t="s">
        <v>251</v>
      </c>
      <c r="X23" s="178">
        <v>2.1989000000000002E-2</v>
      </c>
    </row>
    <row r="24" spans="2:24" ht="15" customHeight="1" x14ac:dyDescent="0.25">
      <c r="B24" s="82"/>
      <c r="C24" s="76" t="s">
        <v>55</v>
      </c>
      <c r="D24" s="77"/>
      <c r="E24" s="78">
        <f>SUM(E8:E22)</f>
        <v>0.70346500000000001</v>
      </c>
      <c r="F24" s="29"/>
      <c r="G24" s="29"/>
      <c r="H24" s="29"/>
      <c r="I24" s="29"/>
      <c r="J24" s="29"/>
      <c r="K24" s="29"/>
      <c r="L24" s="29"/>
      <c r="M24" s="29"/>
      <c r="N24" s="29"/>
      <c r="O24" s="29"/>
      <c r="P24" s="29"/>
      <c r="Q24" s="29"/>
      <c r="R24" s="29"/>
      <c r="S24" s="29"/>
      <c r="T24" s="22"/>
      <c r="W24" s="177" t="s">
        <v>110</v>
      </c>
      <c r="X24" s="178">
        <v>2.1975000000000001E-2</v>
      </c>
    </row>
    <row r="25" spans="2:24" ht="15" customHeight="1" x14ac:dyDescent="0.25">
      <c r="B25" s="82"/>
      <c r="F25" s="29"/>
      <c r="G25" s="29"/>
      <c r="H25" s="29"/>
      <c r="I25" s="29"/>
      <c r="J25" s="29"/>
      <c r="K25" s="29"/>
      <c r="L25" s="29"/>
      <c r="M25" s="29"/>
      <c r="N25" s="29"/>
      <c r="O25" s="29"/>
      <c r="P25" s="29"/>
      <c r="Q25" s="29"/>
      <c r="R25" s="29"/>
      <c r="S25" s="29"/>
      <c r="T25" s="22"/>
      <c r="W25" s="177" t="s">
        <v>108</v>
      </c>
      <c r="X25" s="178">
        <v>1.9231000000000002E-2</v>
      </c>
    </row>
    <row r="26" spans="2:24" ht="15" customHeight="1" x14ac:dyDescent="0.25">
      <c r="B26" s="82"/>
      <c r="F26" s="29"/>
      <c r="G26" s="29"/>
      <c r="H26" s="29"/>
      <c r="I26" s="29"/>
      <c r="J26" s="29"/>
      <c r="K26" s="29"/>
      <c r="L26" s="29"/>
      <c r="M26" s="29"/>
      <c r="N26" s="29"/>
      <c r="O26" s="29"/>
      <c r="P26" s="29"/>
      <c r="Q26" s="29"/>
      <c r="R26" s="29"/>
      <c r="S26" s="29"/>
      <c r="T26" s="22"/>
      <c r="W26" s="177" t="s">
        <v>78</v>
      </c>
      <c r="X26" s="178">
        <v>1.7484E-2</v>
      </c>
    </row>
    <row r="27" spans="2:24" ht="15" customHeight="1" x14ac:dyDescent="0.25">
      <c r="B27" s="82"/>
      <c r="F27" s="29"/>
      <c r="G27" s="29"/>
      <c r="H27" s="29"/>
      <c r="I27" s="29"/>
      <c r="J27" s="29"/>
      <c r="K27" s="29"/>
      <c r="L27" s="29"/>
      <c r="M27" s="29"/>
      <c r="N27" s="29"/>
      <c r="O27" s="29"/>
      <c r="P27" s="29"/>
      <c r="Q27" s="29"/>
      <c r="R27" s="29"/>
      <c r="S27" s="29"/>
      <c r="T27" s="22"/>
      <c r="W27" s="177"/>
      <c r="X27" s="178"/>
    </row>
    <row r="28" spans="2:24" ht="15" customHeight="1" x14ac:dyDescent="0.25">
      <c r="B28" s="82"/>
      <c r="F28" s="29"/>
      <c r="G28" s="29"/>
      <c r="H28" s="29"/>
      <c r="I28" s="29"/>
      <c r="J28" s="29"/>
      <c r="K28" s="29"/>
      <c r="L28" s="29"/>
      <c r="M28" s="29"/>
      <c r="N28" s="29"/>
      <c r="O28" s="29"/>
      <c r="P28" s="29"/>
      <c r="Q28" s="29"/>
      <c r="R28" s="29"/>
      <c r="S28" s="29"/>
      <c r="T28" s="22"/>
      <c r="W28" s="177"/>
      <c r="X28" s="178"/>
    </row>
    <row r="29" spans="2:24" ht="15" customHeight="1" x14ac:dyDescent="0.25">
      <c r="B29" s="82"/>
      <c r="F29" s="29"/>
      <c r="G29" s="29"/>
      <c r="H29" s="29"/>
      <c r="I29" s="29"/>
      <c r="J29" s="29"/>
      <c r="K29" s="29"/>
      <c r="L29" s="29"/>
      <c r="M29" s="29"/>
      <c r="N29" s="29"/>
      <c r="O29" s="29"/>
      <c r="P29" s="29"/>
      <c r="Q29" s="29"/>
      <c r="R29" s="29"/>
      <c r="S29" s="29"/>
      <c r="T29" s="22"/>
      <c r="W29" s="177"/>
      <c r="X29" s="178"/>
    </row>
    <row r="30" spans="2:24" ht="15" customHeight="1" x14ac:dyDescent="0.25">
      <c r="B30" s="82"/>
      <c r="F30" s="29"/>
      <c r="G30" s="29"/>
      <c r="H30" s="29"/>
      <c r="I30" s="29"/>
      <c r="J30" s="29"/>
      <c r="K30" s="29"/>
      <c r="L30" s="29"/>
      <c r="M30" s="29"/>
      <c r="N30" s="29"/>
      <c r="O30" s="29"/>
      <c r="P30" s="29"/>
      <c r="Q30" s="29"/>
      <c r="R30" s="29"/>
      <c r="S30" s="29"/>
      <c r="T30" s="22"/>
    </row>
    <row r="31" spans="2:24" ht="15" customHeight="1" x14ac:dyDescent="0.25">
      <c r="B31" s="82"/>
      <c r="F31" s="29"/>
      <c r="G31" s="29"/>
      <c r="H31" s="29"/>
      <c r="I31" s="29"/>
      <c r="J31" s="29"/>
      <c r="K31" s="29"/>
      <c r="L31" s="29"/>
      <c r="M31" s="29"/>
      <c r="N31" s="29"/>
      <c r="O31" s="29"/>
      <c r="P31" s="29"/>
      <c r="Q31" s="29"/>
      <c r="R31" s="29"/>
      <c r="S31" s="29"/>
      <c r="T31" s="22"/>
    </row>
    <row r="32" spans="2:24" ht="15" customHeight="1" x14ac:dyDescent="0.25">
      <c r="B32" s="82"/>
      <c r="F32" s="29"/>
      <c r="G32" s="29"/>
      <c r="H32" s="29"/>
      <c r="I32" s="29"/>
      <c r="J32" s="29"/>
      <c r="K32" s="29"/>
      <c r="L32" s="29"/>
      <c r="M32" s="29"/>
      <c r="N32" s="29"/>
      <c r="O32" s="29"/>
      <c r="P32" s="29"/>
      <c r="Q32" s="29"/>
      <c r="R32" s="29"/>
      <c r="S32" s="29"/>
      <c r="T32" s="22"/>
    </row>
    <row r="33" spans="2:20" ht="15.75" customHeight="1" x14ac:dyDescent="0.25">
      <c r="B33" s="82"/>
      <c r="F33" s="29"/>
      <c r="G33" s="29"/>
      <c r="H33" s="29"/>
      <c r="I33" s="29"/>
      <c r="J33" s="29"/>
      <c r="K33" s="29"/>
      <c r="L33" s="29"/>
      <c r="M33" s="29"/>
      <c r="N33" s="29"/>
      <c r="O33" s="29"/>
      <c r="P33" s="29"/>
      <c r="Q33" s="29"/>
      <c r="R33" s="29"/>
      <c r="S33" s="29"/>
      <c r="T33" s="22"/>
    </row>
    <row r="34" spans="2:20" ht="15.75" customHeight="1" x14ac:dyDescent="0.25">
      <c r="B34" s="82"/>
      <c r="F34" s="29"/>
      <c r="G34" s="29"/>
      <c r="H34" s="29"/>
      <c r="I34" s="29"/>
      <c r="J34" s="29"/>
      <c r="K34" s="29"/>
      <c r="L34" s="29"/>
      <c r="M34" s="29"/>
      <c r="N34" s="29"/>
      <c r="O34" s="29"/>
      <c r="P34" s="29"/>
      <c r="Q34" s="29"/>
      <c r="R34" s="29"/>
      <c r="S34" s="29"/>
      <c r="T34" s="22"/>
    </row>
    <row r="35" spans="2:20" ht="15.75" customHeight="1" x14ac:dyDescent="0.25">
      <c r="B35" s="82"/>
      <c r="F35" s="29"/>
      <c r="G35" s="29"/>
      <c r="H35" s="29"/>
      <c r="I35" s="29"/>
      <c r="J35" s="29"/>
      <c r="K35" s="29"/>
      <c r="L35" s="29"/>
      <c r="M35" s="29"/>
      <c r="N35" s="29"/>
      <c r="O35" s="29"/>
      <c r="P35" s="29"/>
      <c r="Q35" s="29"/>
      <c r="R35" s="29"/>
      <c r="S35" s="29"/>
      <c r="T35" s="22"/>
    </row>
    <row r="36" spans="2:20" ht="15" customHeight="1" thickBot="1" x14ac:dyDescent="0.3">
      <c r="B36" s="83"/>
      <c r="C36" s="84"/>
      <c r="D36" s="84"/>
      <c r="E36" s="84"/>
      <c r="F36" s="84"/>
      <c r="G36" s="84"/>
      <c r="H36" s="84"/>
      <c r="I36" s="84"/>
      <c r="J36" s="84"/>
      <c r="K36" s="84"/>
      <c r="L36" s="84"/>
      <c r="M36" s="84"/>
      <c r="N36" s="84"/>
      <c r="O36" s="84"/>
      <c r="P36" s="84"/>
      <c r="Q36" s="84"/>
      <c r="R36" s="84"/>
      <c r="S36" s="84"/>
      <c r="T36" s="23"/>
    </row>
    <row r="37" spans="2:20" ht="15" customHeight="1" thickBot="1" x14ac:dyDescent="0.3"/>
    <row r="38" spans="2:20" ht="15" customHeight="1" x14ac:dyDescent="0.25">
      <c r="B38" s="265" t="s">
        <v>186</v>
      </c>
      <c r="C38" s="266"/>
      <c r="D38" s="266"/>
      <c r="E38" s="266"/>
      <c r="F38" s="266"/>
      <c r="G38" s="266"/>
      <c r="H38" s="266"/>
      <c r="I38" s="266"/>
      <c r="J38" s="266"/>
      <c r="K38" s="266"/>
      <c r="L38" s="266"/>
      <c r="M38" s="266"/>
      <c r="N38" s="266"/>
      <c r="O38" s="266"/>
      <c r="P38" s="266"/>
      <c r="Q38" s="266"/>
      <c r="R38" s="267"/>
    </row>
    <row r="39" spans="2:20" ht="15" customHeight="1" x14ac:dyDescent="0.25">
      <c r="B39" s="268"/>
      <c r="C39" s="269"/>
      <c r="D39" s="269"/>
      <c r="E39" s="269"/>
      <c r="F39" s="269"/>
      <c r="G39" s="269"/>
      <c r="H39" s="269"/>
      <c r="I39" s="269"/>
      <c r="J39" s="269"/>
      <c r="K39" s="269"/>
      <c r="L39" s="269"/>
      <c r="M39" s="269"/>
      <c r="N39" s="269"/>
      <c r="O39" s="269"/>
      <c r="P39" s="269"/>
      <c r="Q39" s="269"/>
      <c r="R39" s="270"/>
    </row>
    <row r="40" spans="2:20" ht="15" customHeight="1" x14ac:dyDescent="0.25">
      <c r="B40" s="268"/>
      <c r="C40" s="269"/>
      <c r="D40" s="269"/>
      <c r="E40" s="269"/>
      <c r="F40" s="269"/>
      <c r="G40" s="269"/>
      <c r="H40" s="269"/>
      <c r="I40" s="269"/>
      <c r="J40" s="269"/>
      <c r="K40" s="269"/>
      <c r="L40" s="269"/>
      <c r="M40" s="269"/>
      <c r="N40" s="269"/>
      <c r="O40" s="269"/>
      <c r="P40" s="269"/>
      <c r="Q40" s="269"/>
      <c r="R40" s="270"/>
    </row>
    <row r="41" spans="2:20" ht="15" customHeight="1" x14ac:dyDescent="0.25">
      <c r="B41" s="268"/>
      <c r="C41" s="269"/>
      <c r="D41" s="269"/>
      <c r="E41" s="269"/>
      <c r="F41" s="269"/>
      <c r="G41" s="269"/>
      <c r="H41" s="269"/>
      <c r="I41" s="269"/>
      <c r="J41" s="269"/>
      <c r="K41" s="269"/>
      <c r="L41" s="269"/>
      <c r="M41" s="269"/>
      <c r="N41" s="269"/>
      <c r="O41" s="269"/>
      <c r="P41" s="269"/>
      <c r="Q41" s="269"/>
      <c r="R41" s="270"/>
    </row>
    <row r="42" spans="2:20" ht="15" customHeight="1" x14ac:dyDescent="0.25">
      <c r="B42" s="268"/>
      <c r="C42" s="269"/>
      <c r="D42" s="269"/>
      <c r="E42" s="269"/>
      <c r="F42" s="269"/>
      <c r="G42" s="269"/>
      <c r="H42" s="269"/>
      <c r="I42" s="269"/>
      <c r="J42" s="269"/>
      <c r="K42" s="269"/>
      <c r="L42" s="269"/>
      <c r="M42" s="269"/>
      <c r="N42" s="269"/>
      <c r="O42" s="269"/>
      <c r="P42" s="269"/>
      <c r="Q42" s="269"/>
      <c r="R42" s="270"/>
    </row>
    <row r="43" spans="2:20" ht="15" customHeight="1" x14ac:dyDescent="0.25">
      <c r="B43" s="268"/>
      <c r="C43" s="269"/>
      <c r="D43" s="269"/>
      <c r="E43" s="269"/>
      <c r="F43" s="269"/>
      <c r="G43" s="269"/>
      <c r="H43" s="269"/>
      <c r="I43" s="269"/>
      <c r="J43" s="269"/>
      <c r="K43" s="269"/>
      <c r="L43" s="269"/>
      <c r="M43" s="269"/>
      <c r="N43" s="269"/>
      <c r="O43" s="269"/>
      <c r="P43" s="269"/>
      <c r="Q43" s="269"/>
      <c r="R43" s="270"/>
    </row>
    <row r="44" spans="2:20" ht="15" customHeight="1" thickBot="1" x14ac:dyDescent="0.3">
      <c r="B44" s="271"/>
      <c r="C44" s="272"/>
      <c r="D44" s="272"/>
      <c r="E44" s="272"/>
      <c r="F44" s="272"/>
      <c r="G44" s="272"/>
      <c r="H44" s="272"/>
      <c r="I44" s="272"/>
      <c r="J44" s="272"/>
      <c r="K44" s="272"/>
      <c r="L44" s="272"/>
      <c r="M44" s="272"/>
      <c r="N44" s="272"/>
      <c r="O44" s="272"/>
      <c r="P44" s="272"/>
      <c r="Q44" s="272"/>
      <c r="R44" s="273"/>
    </row>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sheetData>
  <sortState ref="C8:E22">
    <sortCondition descending="1" ref="E8"/>
  </sortState>
  <mergeCells count="3">
    <mergeCell ref="C3:S3"/>
    <mergeCell ref="D5:E5"/>
    <mergeCell ref="B38:R44"/>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AK60"/>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customWidth="1"/>
    <col min="4" max="4" width="32.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8.42578125" style="39" customWidth="1"/>
    <col min="25" max="27" width="9.140625" style="39"/>
    <col min="28" max="16384" width="9.140625" style="19"/>
  </cols>
  <sheetData>
    <row r="1" spans="1:37" ht="15.75" customHeight="1" thickBot="1" x14ac:dyDescent="0.3">
      <c r="A1" s="3"/>
    </row>
    <row r="2" spans="1:37" ht="15" customHeight="1" x14ac:dyDescent="0.25">
      <c r="B2" s="80"/>
      <c r="C2" s="81"/>
      <c r="D2" s="81"/>
      <c r="E2" s="81"/>
      <c r="F2" s="81"/>
      <c r="G2" s="81"/>
      <c r="H2" s="81"/>
      <c r="I2" s="81"/>
      <c r="J2" s="81"/>
      <c r="K2" s="81"/>
      <c r="L2" s="81"/>
      <c r="M2" s="81"/>
      <c r="N2" s="81"/>
      <c r="O2" s="81"/>
      <c r="P2" s="81"/>
      <c r="Q2" s="81"/>
      <c r="R2" s="81"/>
      <c r="S2" s="81"/>
      <c r="T2" s="21"/>
    </row>
    <row r="3" spans="1:37" ht="20.25" customHeight="1" x14ac:dyDescent="0.25">
      <c r="B3" s="82"/>
      <c r="C3" s="274" t="s">
        <v>173</v>
      </c>
      <c r="D3" s="275"/>
      <c r="E3" s="275"/>
      <c r="F3" s="275"/>
      <c r="G3" s="275"/>
      <c r="H3" s="275"/>
      <c r="I3" s="275"/>
      <c r="J3" s="275"/>
      <c r="K3" s="275"/>
      <c r="L3" s="275"/>
      <c r="M3" s="275"/>
      <c r="N3" s="275"/>
      <c r="O3" s="275"/>
      <c r="P3" s="275"/>
      <c r="Q3" s="275"/>
      <c r="R3" s="275"/>
      <c r="S3" s="275"/>
      <c r="T3" s="22"/>
    </row>
    <row r="4" spans="1:37" ht="15.75" customHeight="1" x14ac:dyDescent="0.25">
      <c r="B4" s="82"/>
      <c r="C4" s="70" t="s">
        <v>367</v>
      </c>
      <c r="D4" s="29"/>
      <c r="E4" s="29"/>
      <c r="F4" s="29"/>
      <c r="G4" s="29"/>
      <c r="H4" s="29"/>
      <c r="I4" s="29"/>
      <c r="J4" s="29"/>
      <c r="K4" s="29"/>
      <c r="L4" s="29"/>
      <c r="M4" s="29"/>
      <c r="N4" s="29"/>
      <c r="O4" s="29"/>
      <c r="P4" s="29"/>
      <c r="Q4" s="29"/>
      <c r="R4" s="29"/>
      <c r="S4" s="29"/>
      <c r="T4" s="22"/>
    </row>
    <row r="5" spans="1:37" ht="18" customHeight="1" x14ac:dyDescent="0.25">
      <c r="B5" s="82"/>
      <c r="C5" s="228" t="s">
        <v>366</v>
      </c>
      <c r="D5" s="277" t="s">
        <v>322</v>
      </c>
      <c r="E5" s="278"/>
      <c r="F5" s="29"/>
      <c r="G5" s="29"/>
      <c r="H5" s="29"/>
      <c r="I5" s="29"/>
      <c r="J5" s="29"/>
      <c r="K5" s="29"/>
      <c r="L5" s="29"/>
      <c r="M5" s="29"/>
      <c r="N5" s="29"/>
      <c r="O5" s="29"/>
      <c r="P5" s="29"/>
      <c r="Q5" s="29"/>
      <c r="R5" s="29"/>
      <c r="S5" s="29"/>
      <c r="T5" s="22"/>
    </row>
    <row r="6" spans="1:37" ht="15" customHeight="1" x14ac:dyDescent="0.25">
      <c r="B6" s="82"/>
      <c r="C6" s="29"/>
      <c r="D6" s="29"/>
      <c r="E6" s="29"/>
      <c r="F6" s="29"/>
      <c r="G6" s="29"/>
      <c r="H6" s="29"/>
      <c r="I6" s="29"/>
      <c r="J6" s="29"/>
      <c r="K6" s="29"/>
      <c r="L6" s="29"/>
      <c r="M6" s="29"/>
      <c r="N6" s="29"/>
      <c r="O6" s="29"/>
      <c r="P6" s="29"/>
      <c r="Q6" s="29"/>
      <c r="R6" s="29"/>
      <c r="S6" s="29"/>
      <c r="T6" s="22"/>
      <c r="AK6" s="39"/>
    </row>
    <row r="7" spans="1:37"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37" ht="15" customHeight="1" x14ac:dyDescent="0.25">
      <c r="B8" s="82"/>
      <c r="C8" s="198" t="s">
        <v>29</v>
      </c>
      <c r="D8" s="199" t="s">
        <v>3</v>
      </c>
      <c r="E8" s="200">
        <v>4.7328000000000002E-2</v>
      </c>
      <c r="F8" s="29"/>
      <c r="G8" s="29"/>
      <c r="H8" s="29"/>
      <c r="I8" s="29"/>
      <c r="J8" s="29"/>
      <c r="K8" s="29"/>
      <c r="L8" s="29"/>
      <c r="M8" s="29"/>
      <c r="N8" s="29"/>
      <c r="O8" s="29"/>
      <c r="P8" s="29"/>
      <c r="Q8" s="29"/>
      <c r="R8" s="29"/>
      <c r="S8" s="29"/>
      <c r="T8" s="22"/>
      <c r="W8" s="64" t="s">
        <v>3</v>
      </c>
      <c r="X8" s="65">
        <v>0.16941999999999999</v>
      </c>
    </row>
    <row r="9" spans="1:37" ht="15.75" customHeight="1" x14ac:dyDescent="0.25">
      <c r="B9" s="82"/>
      <c r="C9" s="192" t="s">
        <v>31</v>
      </c>
      <c r="D9" s="201" t="s">
        <v>6</v>
      </c>
      <c r="E9" s="202">
        <v>4.1155999999999998E-2</v>
      </c>
      <c r="F9" s="29"/>
      <c r="G9" s="29"/>
      <c r="H9" s="29"/>
      <c r="I9" s="29"/>
      <c r="J9" s="29"/>
      <c r="K9" s="29"/>
      <c r="L9" s="29"/>
      <c r="M9" s="29"/>
      <c r="N9" s="29"/>
      <c r="O9" s="29"/>
      <c r="P9" s="29"/>
      <c r="Q9" s="29"/>
      <c r="R9" s="29"/>
      <c r="S9" s="29"/>
      <c r="T9" s="22"/>
      <c r="W9" s="64" t="s">
        <v>109</v>
      </c>
      <c r="X9" s="65">
        <v>8.2465999999999998E-2</v>
      </c>
    </row>
    <row r="10" spans="1:37" ht="15" customHeight="1" x14ac:dyDescent="0.25">
      <c r="B10" s="82"/>
      <c r="C10" s="192" t="s">
        <v>36</v>
      </c>
      <c r="D10" s="201" t="s">
        <v>3</v>
      </c>
      <c r="E10" s="202">
        <v>3.9849999999999997E-2</v>
      </c>
      <c r="F10" s="29"/>
      <c r="G10" s="29"/>
      <c r="H10" s="29"/>
      <c r="I10" s="29"/>
      <c r="J10" s="29"/>
      <c r="K10" s="29"/>
      <c r="L10" s="29"/>
      <c r="M10" s="29"/>
      <c r="N10" s="29"/>
      <c r="O10" s="29"/>
      <c r="P10" s="29"/>
      <c r="Q10" s="29"/>
      <c r="R10" s="29"/>
      <c r="S10" s="29"/>
      <c r="T10" s="22"/>
      <c r="W10" s="64" t="s">
        <v>113</v>
      </c>
      <c r="X10" s="65">
        <v>7.0720000000000005E-2</v>
      </c>
    </row>
    <row r="11" spans="1:37" ht="15" customHeight="1" x14ac:dyDescent="0.25">
      <c r="B11" s="82"/>
      <c r="C11" s="192" t="s">
        <v>32</v>
      </c>
      <c r="D11" s="201" t="s">
        <v>3</v>
      </c>
      <c r="E11" s="202">
        <v>3.5586E-2</v>
      </c>
      <c r="F11" s="29"/>
      <c r="G11" s="29"/>
      <c r="H11" s="29"/>
      <c r="I11" s="29"/>
      <c r="J11" s="29"/>
      <c r="K11" s="29"/>
      <c r="L11" s="29"/>
      <c r="M11" s="29"/>
      <c r="N11" s="29"/>
      <c r="O11" s="29"/>
      <c r="P11" s="29"/>
      <c r="Q11" s="29"/>
      <c r="R11" s="29"/>
      <c r="S11" s="29"/>
      <c r="T11" s="22"/>
      <c r="W11" s="64" t="s">
        <v>114</v>
      </c>
      <c r="X11" s="65">
        <v>5.5319999999999994E-2</v>
      </c>
    </row>
    <row r="12" spans="1:37" ht="15" customHeight="1" x14ac:dyDescent="0.25">
      <c r="B12" s="82"/>
      <c r="C12" s="192" t="s">
        <v>100</v>
      </c>
      <c r="D12" s="201" t="s">
        <v>121</v>
      </c>
      <c r="E12" s="202">
        <v>2.5152000000000001E-2</v>
      </c>
      <c r="F12" s="29"/>
      <c r="G12" s="29"/>
      <c r="H12" s="29"/>
      <c r="I12" s="29"/>
      <c r="J12" s="29"/>
      <c r="K12" s="29"/>
      <c r="L12" s="29"/>
      <c r="M12" s="29"/>
      <c r="N12" s="29"/>
      <c r="O12" s="29"/>
      <c r="P12" s="29"/>
      <c r="Q12" s="29"/>
      <c r="R12" s="29"/>
      <c r="S12" s="29"/>
      <c r="T12" s="22"/>
      <c r="W12" s="64" t="s">
        <v>23</v>
      </c>
      <c r="X12" s="65">
        <v>5.4669999999999996E-2</v>
      </c>
    </row>
    <row r="13" spans="1:37" ht="15.75" customHeight="1" x14ac:dyDescent="0.25">
      <c r="B13" s="82"/>
      <c r="C13" s="192" t="s">
        <v>76</v>
      </c>
      <c r="D13" s="201" t="s">
        <v>11</v>
      </c>
      <c r="E13" s="202">
        <v>2.4122999999999999E-2</v>
      </c>
      <c r="F13" s="29"/>
      <c r="G13" s="29"/>
      <c r="H13" s="29"/>
      <c r="I13" s="29"/>
      <c r="J13" s="29"/>
      <c r="K13" s="29"/>
      <c r="L13" s="29"/>
      <c r="M13" s="29"/>
      <c r="N13" s="29"/>
      <c r="O13" s="29"/>
      <c r="P13" s="29"/>
      <c r="Q13" s="29"/>
      <c r="R13" s="29"/>
      <c r="S13" s="29"/>
      <c r="T13" s="22"/>
      <c r="W13" s="64" t="s">
        <v>6</v>
      </c>
      <c r="X13" s="65">
        <v>4.1155999999999998E-2</v>
      </c>
    </row>
    <row r="14" spans="1:37" ht="15" customHeight="1" x14ac:dyDescent="0.25">
      <c r="B14" s="82"/>
      <c r="C14" s="192" t="s">
        <v>62</v>
      </c>
      <c r="D14" s="201" t="s">
        <v>10</v>
      </c>
      <c r="E14" s="202">
        <v>2.2339999999999999E-2</v>
      </c>
      <c r="F14" s="29"/>
      <c r="G14" s="29"/>
      <c r="H14" s="29"/>
      <c r="I14" s="29"/>
      <c r="J14" s="29"/>
      <c r="K14" s="29"/>
      <c r="L14" s="29"/>
      <c r="M14" s="29"/>
      <c r="N14" s="29"/>
      <c r="O14" s="29"/>
      <c r="P14" s="29"/>
      <c r="Q14" s="29"/>
      <c r="R14" s="29"/>
      <c r="S14" s="29"/>
      <c r="T14" s="22"/>
      <c r="W14" s="64" t="s">
        <v>87</v>
      </c>
      <c r="X14" s="65">
        <v>4.0340000000000001E-2</v>
      </c>
    </row>
    <row r="15" spans="1:37" ht="15" customHeight="1" x14ac:dyDescent="0.25">
      <c r="B15" s="82"/>
      <c r="C15" s="192" t="s">
        <v>30</v>
      </c>
      <c r="D15" s="201" t="s">
        <v>119</v>
      </c>
      <c r="E15" s="202">
        <v>2.1763999999999999E-2</v>
      </c>
      <c r="F15" s="29"/>
      <c r="G15" s="29"/>
      <c r="H15" s="29"/>
      <c r="I15" s="29"/>
      <c r="J15" s="29"/>
      <c r="K15" s="29"/>
      <c r="L15" s="29"/>
      <c r="M15" s="29"/>
      <c r="N15" s="29"/>
      <c r="O15" s="29"/>
      <c r="P15" s="29"/>
      <c r="Q15" s="29"/>
      <c r="R15" s="29"/>
      <c r="S15" s="29"/>
      <c r="T15" s="22"/>
      <c r="W15" s="64" t="s">
        <v>10</v>
      </c>
      <c r="X15" s="65">
        <v>3.8148000000000001E-2</v>
      </c>
    </row>
    <row r="16" spans="1:37" ht="15" customHeight="1" x14ac:dyDescent="0.25">
      <c r="B16" s="82"/>
      <c r="C16" s="192" t="s">
        <v>147</v>
      </c>
      <c r="D16" s="201" t="s">
        <v>114</v>
      </c>
      <c r="E16" s="202">
        <v>2.1434999999999999E-2</v>
      </c>
      <c r="F16" s="29"/>
      <c r="G16" s="29"/>
      <c r="H16" s="29"/>
      <c r="I16" s="29"/>
      <c r="J16" s="29"/>
      <c r="K16" s="29"/>
      <c r="L16" s="29"/>
      <c r="M16" s="29"/>
      <c r="N16" s="29"/>
      <c r="O16" s="29"/>
      <c r="P16" s="29"/>
      <c r="Q16" s="29"/>
      <c r="R16" s="29"/>
      <c r="S16" s="29"/>
      <c r="T16" s="22"/>
      <c r="W16" s="64" t="s">
        <v>4</v>
      </c>
      <c r="X16" s="65">
        <v>3.5475E-2</v>
      </c>
    </row>
    <row r="17" spans="2:24" ht="15" customHeight="1" x14ac:dyDescent="0.25">
      <c r="B17" s="82"/>
      <c r="C17" s="192" t="s">
        <v>33</v>
      </c>
      <c r="D17" s="201" t="s">
        <v>109</v>
      </c>
      <c r="E17" s="202">
        <v>2.1409000000000001E-2</v>
      </c>
      <c r="F17" s="29"/>
      <c r="G17" s="29"/>
      <c r="H17" s="29"/>
      <c r="I17" s="29"/>
      <c r="J17" s="29"/>
      <c r="K17" s="29"/>
      <c r="L17" s="29"/>
      <c r="M17" s="29"/>
      <c r="N17" s="29"/>
      <c r="O17" s="29"/>
      <c r="P17" s="29"/>
      <c r="Q17" s="29"/>
      <c r="R17" s="29"/>
      <c r="S17" s="29"/>
      <c r="T17" s="22"/>
      <c r="W17" s="64" t="s">
        <v>11</v>
      </c>
      <c r="X17" s="65">
        <v>3.5158999999999996E-2</v>
      </c>
    </row>
    <row r="18" spans="2:24" ht="15" customHeight="1" x14ac:dyDescent="0.25">
      <c r="B18" s="82"/>
      <c r="C18" s="192" t="s">
        <v>137</v>
      </c>
      <c r="D18" s="201" t="s">
        <v>3</v>
      </c>
      <c r="E18" s="202">
        <v>1.9517E-2</v>
      </c>
      <c r="F18" s="29"/>
      <c r="G18" s="29"/>
      <c r="H18" s="29"/>
      <c r="I18" s="29"/>
      <c r="J18" s="29"/>
      <c r="K18" s="29"/>
      <c r="L18" s="29"/>
      <c r="M18" s="29"/>
      <c r="N18" s="29"/>
      <c r="O18" s="29"/>
      <c r="P18" s="29"/>
      <c r="Q18" s="29"/>
      <c r="R18" s="29"/>
      <c r="S18" s="29"/>
      <c r="T18" s="22"/>
      <c r="W18" s="64" t="s">
        <v>112</v>
      </c>
      <c r="X18" s="65">
        <v>3.2426000000000003E-2</v>
      </c>
    </row>
    <row r="19" spans="2:24" ht="15" customHeight="1" x14ac:dyDescent="0.25">
      <c r="B19" s="82"/>
      <c r="C19" s="192" t="s">
        <v>111</v>
      </c>
      <c r="D19" s="201" t="s">
        <v>112</v>
      </c>
      <c r="E19" s="202">
        <v>1.9467000000000002E-2</v>
      </c>
      <c r="F19" s="29"/>
      <c r="G19" s="29"/>
      <c r="H19" s="29"/>
      <c r="I19" s="29"/>
      <c r="J19" s="29"/>
      <c r="K19" s="29"/>
      <c r="L19" s="29"/>
      <c r="M19" s="29"/>
      <c r="N19" s="29"/>
      <c r="O19" s="29"/>
      <c r="P19" s="29"/>
      <c r="Q19" s="29"/>
      <c r="R19" s="29"/>
      <c r="S19" s="29"/>
      <c r="T19" s="22"/>
      <c r="W19" s="64" t="s">
        <v>16</v>
      </c>
      <c r="X19" s="65">
        <v>2.5734E-2</v>
      </c>
    </row>
    <row r="20" spans="2:24" ht="15" customHeight="1" x14ac:dyDescent="0.25">
      <c r="B20" s="82"/>
      <c r="C20" s="192" t="s">
        <v>252</v>
      </c>
      <c r="D20" s="201" t="s">
        <v>87</v>
      </c>
      <c r="E20" s="202">
        <v>1.882E-2</v>
      </c>
      <c r="F20" s="29"/>
      <c r="G20" s="29"/>
      <c r="H20" s="29"/>
      <c r="I20" s="29"/>
      <c r="J20" s="29"/>
      <c r="K20" s="29"/>
      <c r="L20" s="29"/>
      <c r="M20" s="29"/>
      <c r="N20" s="29"/>
      <c r="O20" s="29"/>
      <c r="P20" s="29"/>
      <c r="Q20" s="29"/>
      <c r="R20" s="29"/>
      <c r="S20" s="29"/>
      <c r="T20" s="22"/>
      <c r="W20" s="64" t="s">
        <v>121</v>
      </c>
      <c r="X20" s="65">
        <v>2.5152000000000001E-2</v>
      </c>
    </row>
    <row r="21" spans="2:24" ht="15" customHeight="1" x14ac:dyDescent="0.25">
      <c r="B21" s="82"/>
      <c r="C21" s="192" t="s">
        <v>28</v>
      </c>
      <c r="D21" s="201" t="s">
        <v>109</v>
      </c>
      <c r="E21" s="202">
        <v>1.8241E-2</v>
      </c>
      <c r="F21" s="29"/>
      <c r="G21" s="29"/>
      <c r="H21" s="29"/>
      <c r="I21" s="29"/>
      <c r="J21" s="29"/>
      <c r="K21" s="29"/>
      <c r="L21" s="29"/>
      <c r="M21" s="29"/>
      <c r="N21" s="29"/>
      <c r="O21" s="29"/>
      <c r="P21" s="29"/>
      <c r="Q21" s="29"/>
      <c r="R21" s="29"/>
      <c r="S21" s="29"/>
      <c r="T21" s="22"/>
      <c r="W21" s="64" t="s">
        <v>119</v>
      </c>
      <c r="X21" s="65">
        <v>2.1763999999999999E-2</v>
      </c>
    </row>
    <row r="22" spans="2:24" ht="15" customHeight="1" x14ac:dyDescent="0.25">
      <c r="B22" s="82"/>
      <c r="C22" s="192" t="s">
        <v>106</v>
      </c>
      <c r="D22" s="201" t="s">
        <v>113</v>
      </c>
      <c r="E22" s="202">
        <v>1.8093999999999999E-2</v>
      </c>
      <c r="F22" s="29"/>
      <c r="G22" s="29"/>
      <c r="H22" s="29"/>
      <c r="I22" s="29"/>
      <c r="J22" s="29"/>
      <c r="K22" s="29"/>
      <c r="L22" s="29"/>
      <c r="M22" s="29"/>
      <c r="N22" s="29"/>
      <c r="O22" s="29"/>
      <c r="P22" s="29"/>
      <c r="Q22" s="29"/>
      <c r="R22" s="29"/>
      <c r="S22" s="29"/>
      <c r="T22" s="22"/>
      <c r="W22" s="64" t="s">
        <v>85</v>
      </c>
      <c r="X22" s="65">
        <v>2.0517000000000001E-2</v>
      </c>
    </row>
    <row r="23" spans="2:24" ht="15" customHeight="1" x14ac:dyDescent="0.25">
      <c r="B23" s="82"/>
      <c r="C23" s="85"/>
      <c r="D23" s="85"/>
      <c r="E23" s="86"/>
      <c r="F23" s="29"/>
      <c r="G23" s="29"/>
      <c r="H23" s="29"/>
      <c r="I23" s="29"/>
      <c r="J23" s="29"/>
      <c r="K23" s="29"/>
      <c r="L23" s="29"/>
      <c r="M23" s="29"/>
      <c r="N23" s="29"/>
      <c r="O23" s="29"/>
      <c r="P23" s="29"/>
      <c r="Q23" s="29"/>
      <c r="R23" s="29"/>
      <c r="S23" s="29"/>
      <c r="T23" s="22"/>
      <c r="W23" s="64" t="s">
        <v>108</v>
      </c>
      <c r="X23" s="65">
        <v>1.7835999999999998E-2</v>
      </c>
    </row>
    <row r="24" spans="2:24" ht="15" customHeight="1" x14ac:dyDescent="0.25">
      <c r="B24" s="82"/>
      <c r="C24" s="76" t="s">
        <v>55</v>
      </c>
      <c r="D24" s="77"/>
      <c r="E24" s="87">
        <f>SUM(E8:E22)</f>
        <v>0.39428200000000002</v>
      </c>
      <c r="F24" s="29"/>
      <c r="G24" s="29"/>
      <c r="H24" s="29"/>
      <c r="I24" s="29"/>
      <c r="J24" s="29"/>
      <c r="K24" s="29"/>
      <c r="L24" s="29"/>
      <c r="M24" s="29"/>
      <c r="N24" s="29"/>
      <c r="O24" s="29"/>
      <c r="P24" s="29"/>
      <c r="Q24" s="29"/>
      <c r="R24" s="29"/>
      <c r="S24" s="29"/>
      <c r="T24" s="22"/>
      <c r="W24" s="64" t="s">
        <v>110</v>
      </c>
      <c r="X24" s="65">
        <v>1.7444999999999999E-2</v>
      </c>
    </row>
    <row r="25" spans="2:24" ht="15" customHeight="1" x14ac:dyDescent="0.25">
      <c r="B25" s="82"/>
      <c r="C25" s="54"/>
      <c r="D25" s="54"/>
      <c r="E25" s="54"/>
      <c r="F25" s="29"/>
      <c r="G25" s="29"/>
      <c r="H25" s="29"/>
      <c r="I25" s="29"/>
      <c r="J25" s="29"/>
      <c r="K25" s="29"/>
      <c r="L25" s="29"/>
      <c r="M25" s="29"/>
      <c r="N25" s="29"/>
      <c r="O25" s="29"/>
      <c r="P25" s="29"/>
      <c r="Q25" s="29"/>
      <c r="R25" s="29"/>
      <c r="S25" s="29"/>
      <c r="T25" s="22"/>
      <c r="W25" s="64" t="s">
        <v>25</v>
      </c>
      <c r="X25" s="65">
        <v>1.6705000000000001E-2</v>
      </c>
    </row>
    <row r="26" spans="2:24" ht="15" customHeight="1" x14ac:dyDescent="0.25">
      <c r="B26" s="82"/>
      <c r="C26" s="88"/>
      <c r="D26" s="91"/>
      <c r="E26" s="165"/>
      <c r="F26" s="29"/>
      <c r="G26" s="29"/>
      <c r="H26" s="29"/>
      <c r="I26" s="29"/>
      <c r="J26" s="29"/>
      <c r="K26" s="29"/>
      <c r="L26" s="29"/>
      <c r="M26" s="29"/>
      <c r="N26" s="29"/>
      <c r="O26" s="29"/>
      <c r="P26" s="29"/>
      <c r="Q26" s="29"/>
      <c r="R26" s="29"/>
      <c r="S26" s="29"/>
      <c r="T26" s="22"/>
      <c r="W26" s="64" t="s">
        <v>26</v>
      </c>
      <c r="X26" s="65">
        <v>1.5505E-2</v>
      </c>
    </row>
    <row r="27" spans="2:24" ht="15" customHeight="1" x14ac:dyDescent="0.25">
      <c r="B27" s="82"/>
      <c r="F27" s="29"/>
      <c r="G27" s="29"/>
      <c r="H27" s="29"/>
      <c r="I27" s="29"/>
      <c r="J27" s="29"/>
      <c r="K27" s="29"/>
      <c r="L27" s="29"/>
      <c r="M27" s="29"/>
      <c r="N27" s="29"/>
      <c r="O27" s="29"/>
      <c r="P27" s="29"/>
      <c r="Q27" s="29"/>
      <c r="R27" s="29"/>
      <c r="S27" s="29"/>
      <c r="T27" s="22"/>
      <c r="W27" s="64" t="s">
        <v>123</v>
      </c>
      <c r="X27" s="65">
        <v>1.4067E-2</v>
      </c>
    </row>
    <row r="28" spans="2:24" ht="15" customHeight="1" x14ac:dyDescent="0.25">
      <c r="B28" s="82"/>
      <c r="F28" s="29"/>
      <c r="G28" s="29"/>
      <c r="H28" s="29"/>
      <c r="I28" s="29"/>
      <c r="J28" s="29"/>
      <c r="K28" s="29"/>
      <c r="L28" s="29"/>
      <c r="M28" s="29"/>
      <c r="N28" s="29"/>
      <c r="O28" s="29"/>
      <c r="P28" s="29"/>
      <c r="Q28" s="29"/>
      <c r="R28" s="29"/>
      <c r="S28" s="29"/>
      <c r="T28" s="22"/>
      <c r="W28" s="64" t="s">
        <v>133</v>
      </c>
      <c r="X28" s="65">
        <v>1.3766E-2</v>
      </c>
    </row>
    <row r="29" spans="2:24" ht="15" customHeight="1" x14ac:dyDescent="0.25">
      <c r="B29" s="82"/>
      <c r="F29" s="29"/>
      <c r="G29" s="29"/>
      <c r="H29" s="29"/>
      <c r="I29" s="29"/>
      <c r="J29" s="29"/>
      <c r="K29" s="29"/>
      <c r="L29" s="29"/>
      <c r="M29" s="29"/>
      <c r="N29" s="29"/>
      <c r="O29" s="29"/>
      <c r="P29" s="29"/>
      <c r="Q29" s="29"/>
      <c r="R29" s="29"/>
      <c r="S29" s="29"/>
      <c r="T29" s="22"/>
      <c r="W29" s="64" t="s">
        <v>15</v>
      </c>
      <c r="X29" s="65">
        <v>1.3729999999999999E-2</v>
      </c>
    </row>
    <row r="30" spans="2:24" ht="15" customHeight="1" x14ac:dyDescent="0.25">
      <c r="B30" s="82"/>
      <c r="F30" s="29"/>
      <c r="G30" s="29"/>
      <c r="H30" s="29"/>
      <c r="I30" s="29"/>
      <c r="J30" s="29"/>
      <c r="K30" s="29"/>
      <c r="L30" s="29"/>
      <c r="M30" s="29"/>
      <c r="N30" s="29"/>
      <c r="O30" s="29"/>
      <c r="P30" s="29"/>
      <c r="Q30" s="29"/>
      <c r="R30" s="29"/>
      <c r="S30" s="29"/>
      <c r="T30" s="22"/>
      <c r="W30" s="64" t="s">
        <v>13</v>
      </c>
      <c r="X30" s="65">
        <v>1.3051999999999999E-2</v>
      </c>
    </row>
    <row r="31" spans="2:24" ht="15" customHeight="1" x14ac:dyDescent="0.25">
      <c r="B31" s="82"/>
      <c r="F31" s="29"/>
      <c r="G31" s="29"/>
      <c r="H31" s="29"/>
      <c r="I31" s="29"/>
      <c r="J31" s="29"/>
      <c r="K31" s="29"/>
      <c r="L31" s="29"/>
      <c r="M31" s="29"/>
      <c r="N31" s="29"/>
      <c r="O31" s="29"/>
      <c r="P31" s="29"/>
      <c r="Q31" s="29"/>
      <c r="R31" s="29"/>
      <c r="S31" s="29"/>
      <c r="T31" s="22"/>
      <c r="W31" s="64" t="s">
        <v>128</v>
      </c>
      <c r="X31" s="65">
        <v>1.1688E-2</v>
      </c>
    </row>
    <row r="32" spans="2:24" ht="15" customHeight="1" x14ac:dyDescent="0.25">
      <c r="B32" s="82"/>
      <c r="F32" s="29"/>
      <c r="G32" s="29"/>
      <c r="H32" s="29"/>
      <c r="I32" s="29"/>
      <c r="J32" s="29"/>
      <c r="K32" s="29"/>
      <c r="L32" s="29"/>
      <c r="M32" s="29"/>
      <c r="N32" s="29"/>
      <c r="O32" s="29"/>
      <c r="P32" s="29"/>
      <c r="Q32" s="29"/>
      <c r="R32" s="29"/>
      <c r="S32" s="29"/>
      <c r="T32" s="22"/>
      <c r="W32" s="64" t="s">
        <v>126</v>
      </c>
      <c r="X32" s="65">
        <v>1.0677000000000001E-2</v>
      </c>
    </row>
    <row r="33" spans="2:24" ht="15" customHeight="1" thickBot="1" x14ac:dyDescent="0.3">
      <c r="B33" s="83"/>
      <c r="C33" s="84"/>
      <c r="D33" s="84"/>
      <c r="E33" s="84"/>
      <c r="F33" s="84"/>
      <c r="G33" s="84"/>
      <c r="H33" s="84"/>
      <c r="I33" s="84"/>
      <c r="J33" s="84"/>
      <c r="K33" s="84"/>
      <c r="L33" s="84"/>
      <c r="M33" s="84"/>
      <c r="N33" s="84"/>
      <c r="O33" s="84"/>
      <c r="P33" s="84"/>
      <c r="Q33" s="84"/>
      <c r="R33" s="84"/>
      <c r="S33" s="84"/>
      <c r="T33" s="23"/>
      <c r="W33" s="64" t="s">
        <v>12</v>
      </c>
      <c r="X33" s="65">
        <v>1.0194E-2</v>
      </c>
    </row>
    <row r="34" spans="2:24" ht="15" customHeight="1" thickBot="1" x14ac:dyDescent="0.3">
      <c r="W34" s="39" t="s">
        <v>115</v>
      </c>
      <c r="X34" s="65">
        <v>9.4250000000000011E-3</v>
      </c>
    </row>
    <row r="35" spans="2:24" ht="15" customHeight="1" x14ac:dyDescent="0.25">
      <c r="B35" s="265" t="s">
        <v>186</v>
      </c>
      <c r="C35" s="266"/>
      <c r="D35" s="266"/>
      <c r="E35" s="266"/>
      <c r="F35" s="266"/>
      <c r="G35" s="266"/>
      <c r="H35" s="266"/>
      <c r="I35" s="266"/>
      <c r="J35" s="266"/>
      <c r="K35" s="266"/>
      <c r="L35" s="266"/>
      <c r="M35" s="266"/>
      <c r="N35" s="266"/>
      <c r="O35" s="266"/>
      <c r="P35" s="266"/>
      <c r="Q35" s="266"/>
      <c r="R35" s="267"/>
      <c r="W35" s="39" t="s">
        <v>135</v>
      </c>
      <c r="X35" s="65">
        <v>9.2420000000000002E-3</v>
      </c>
    </row>
    <row r="36" spans="2:24" ht="15" customHeight="1" x14ac:dyDescent="0.25">
      <c r="B36" s="268"/>
      <c r="C36" s="269"/>
      <c r="D36" s="269"/>
      <c r="E36" s="269"/>
      <c r="F36" s="269"/>
      <c r="G36" s="269"/>
      <c r="H36" s="269"/>
      <c r="I36" s="269"/>
      <c r="J36" s="269"/>
      <c r="K36" s="269"/>
      <c r="L36" s="269"/>
      <c r="M36" s="269"/>
      <c r="N36" s="269"/>
      <c r="O36" s="269"/>
      <c r="P36" s="269"/>
      <c r="Q36" s="269"/>
      <c r="R36" s="270"/>
      <c r="W36" s="39" t="s">
        <v>118</v>
      </c>
      <c r="X36" s="65">
        <v>9.0580000000000001E-3</v>
      </c>
    </row>
    <row r="37" spans="2:24" ht="15" customHeight="1" x14ac:dyDescent="0.25">
      <c r="B37" s="268"/>
      <c r="C37" s="269"/>
      <c r="D37" s="269"/>
      <c r="E37" s="269"/>
      <c r="F37" s="269"/>
      <c r="G37" s="269"/>
      <c r="H37" s="269"/>
      <c r="I37" s="269"/>
      <c r="J37" s="269"/>
      <c r="K37" s="269"/>
      <c r="L37" s="269"/>
      <c r="M37" s="269"/>
      <c r="N37" s="269"/>
      <c r="O37" s="269"/>
      <c r="P37" s="269"/>
      <c r="Q37" s="269"/>
      <c r="R37" s="270"/>
      <c r="W37" s="39" t="s">
        <v>84</v>
      </c>
      <c r="X37" s="65">
        <v>6.4599999999999996E-3</v>
      </c>
    </row>
    <row r="38" spans="2:24" ht="15" customHeight="1" x14ac:dyDescent="0.25">
      <c r="B38" s="268"/>
      <c r="C38" s="269"/>
      <c r="D38" s="269"/>
      <c r="E38" s="269"/>
      <c r="F38" s="269"/>
      <c r="G38" s="269"/>
      <c r="H38" s="269"/>
      <c r="I38" s="269"/>
      <c r="J38" s="269"/>
      <c r="K38" s="269"/>
      <c r="L38" s="269"/>
      <c r="M38" s="269"/>
      <c r="N38" s="269"/>
      <c r="O38" s="269"/>
      <c r="P38" s="269"/>
      <c r="Q38" s="269"/>
      <c r="R38" s="270"/>
      <c r="W38" s="39" t="s">
        <v>120</v>
      </c>
      <c r="X38" s="65">
        <v>3.9100000000000003E-3</v>
      </c>
    </row>
    <row r="39" spans="2:24" ht="15" customHeight="1" x14ac:dyDescent="0.25">
      <c r="B39" s="268"/>
      <c r="C39" s="269"/>
      <c r="D39" s="269"/>
      <c r="E39" s="269"/>
      <c r="F39" s="269"/>
      <c r="G39" s="269"/>
      <c r="H39" s="269"/>
      <c r="I39" s="269"/>
      <c r="J39" s="269"/>
      <c r="K39" s="269"/>
      <c r="L39" s="269"/>
      <c r="M39" s="269"/>
      <c r="N39" s="269"/>
      <c r="O39" s="269"/>
      <c r="P39" s="269"/>
      <c r="Q39" s="269"/>
      <c r="R39" s="270"/>
      <c r="W39" s="39" t="s">
        <v>24</v>
      </c>
      <c r="X39" s="65">
        <v>3.1180000000000001E-3</v>
      </c>
    </row>
    <row r="40" spans="2:24" ht="15" customHeight="1" x14ac:dyDescent="0.25">
      <c r="B40" s="268"/>
      <c r="C40" s="269"/>
      <c r="D40" s="269"/>
      <c r="E40" s="269"/>
      <c r="F40" s="269"/>
      <c r="G40" s="269"/>
      <c r="H40" s="269"/>
      <c r="I40" s="269"/>
      <c r="J40" s="269"/>
      <c r="K40" s="269"/>
      <c r="L40" s="269"/>
      <c r="M40" s="269"/>
      <c r="N40" s="269"/>
      <c r="O40" s="269"/>
      <c r="P40" s="269"/>
      <c r="Q40" s="269"/>
      <c r="R40" s="270"/>
    </row>
    <row r="41" spans="2:24" ht="15" customHeight="1" thickBot="1" x14ac:dyDescent="0.3">
      <c r="B41" s="271"/>
      <c r="C41" s="272"/>
      <c r="D41" s="272"/>
      <c r="E41" s="272"/>
      <c r="F41" s="272"/>
      <c r="G41" s="272"/>
      <c r="H41" s="272"/>
      <c r="I41" s="272"/>
      <c r="J41" s="272"/>
      <c r="K41" s="272"/>
      <c r="L41" s="272"/>
      <c r="M41" s="272"/>
      <c r="N41" s="272"/>
      <c r="O41" s="272"/>
      <c r="P41" s="272"/>
      <c r="Q41" s="272"/>
      <c r="R41" s="273"/>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c r="D48" s="166"/>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sortState ref="W9:X31">
    <sortCondition descending="1" ref="X9:X31"/>
  </sortState>
  <mergeCells count="3">
    <mergeCell ref="C3:S3"/>
    <mergeCell ref="D5:E5"/>
    <mergeCell ref="B35:R41"/>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AEE1-1126-4BFA-AB3E-5A2E5C6F8CE8}">
  <dimension ref="A1:AA59"/>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0"/>
      <c r="C2" s="81"/>
      <c r="D2" s="81"/>
      <c r="E2" s="81"/>
      <c r="F2" s="81"/>
      <c r="G2" s="81"/>
      <c r="H2" s="81"/>
      <c r="I2" s="81"/>
      <c r="J2" s="81"/>
      <c r="K2" s="81"/>
      <c r="L2" s="81"/>
      <c r="M2" s="81"/>
      <c r="N2" s="81"/>
      <c r="O2" s="81"/>
      <c r="P2" s="81"/>
      <c r="Q2" s="81"/>
      <c r="R2" s="81"/>
      <c r="S2" s="81"/>
      <c r="T2" s="21"/>
    </row>
    <row r="3" spans="1:27" ht="20.25" customHeight="1" x14ac:dyDescent="0.25">
      <c r="B3" s="82"/>
      <c r="C3" s="274" t="s">
        <v>172</v>
      </c>
      <c r="D3" s="275"/>
      <c r="E3" s="275"/>
      <c r="F3" s="275"/>
      <c r="G3" s="275"/>
      <c r="H3" s="275"/>
      <c r="I3" s="275"/>
      <c r="J3" s="275"/>
      <c r="K3" s="275"/>
      <c r="L3" s="275"/>
      <c r="M3" s="275"/>
      <c r="N3" s="275"/>
      <c r="O3" s="275"/>
      <c r="P3" s="275"/>
      <c r="Q3" s="275"/>
      <c r="R3" s="275"/>
      <c r="S3" s="275"/>
      <c r="T3" s="22"/>
      <c r="V3" s="40"/>
      <c r="W3" s="40"/>
      <c r="X3" s="40"/>
      <c r="Y3" s="40"/>
      <c r="Z3" s="40"/>
      <c r="AA3" s="40"/>
    </row>
    <row r="4" spans="1:27" ht="15.75" customHeight="1" x14ac:dyDescent="0.25">
      <c r="B4" s="82"/>
      <c r="C4" s="70" t="s">
        <v>367</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82"/>
      <c r="C5" s="228" t="s">
        <v>366</v>
      </c>
      <c r="D5" s="276" t="s">
        <v>323</v>
      </c>
      <c r="E5" s="276"/>
      <c r="F5" s="29"/>
      <c r="G5" s="29"/>
      <c r="H5" s="29"/>
      <c r="I5" s="29"/>
      <c r="J5" s="29"/>
      <c r="K5" s="29"/>
      <c r="L5" s="29"/>
      <c r="M5" s="29"/>
      <c r="N5" s="29"/>
      <c r="O5" s="29"/>
      <c r="P5" s="29"/>
      <c r="Q5" s="29"/>
      <c r="R5" s="29"/>
      <c r="S5" s="29"/>
      <c r="T5" s="22"/>
      <c r="V5" s="162"/>
      <c r="W5" s="162"/>
      <c r="X5" s="162"/>
      <c r="Y5" s="162"/>
      <c r="Z5" s="40"/>
      <c r="AA5" s="40"/>
    </row>
    <row r="6" spans="1:27" ht="15" customHeight="1" x14ac:dyDescent="0.25">
      <c r="B6" s="82"/>
      <c r="C6" s="29"/>
      <c r="D6" s="29"/>
      <c r="E6" s="29"/>
      <c r="F6" s="29"/>
      <c r="G6" s="29"/>
      <c r="H6" s="29"/>
      <c r="I6" s="29"/>
      <c r="J6" s="29"/>
      <c r="K6" s="29"/>
      <c r="L6" s="29"/>
      <c r="M6" s="29"/>
      <c r="N6" s="29"/>
      <c r="O6" s="29"/>
      <c r="P6" s="29"/>
      <c r="Q6" s="29"/>
      <c r="R6" s="29"/>
      <c r="S6" s="29"/>
      <c r="T6" s="22"/>
      <c r="V6" s="162"/>
      <c r="W6" s="162"/>
      <c r="X6" s="162"/>
      <c r="Y6" s="162"/>
      <c r="Z6" s="40"/>
      <c r="AA6" s="40"/>
    </row>
    <row r="7" spans="1:27" ht="32.25" customHeight="1" x14ac:dyDescent="0.25">
      <c r="B7" s="82"/>
      <c r="C7" s="71" t="s">
        <v>0</v>
      </c>
      <c r="D7" s="72" t="s">
        <v>1</v>
      </c>
      <c r="E7" s="73" t="s">
        <v>2</v>
      </c>
      <c r="F7" s="29"/>
      <c r="G7" s="29"/>
      <c r="H7" s="29"/>
      <c r="I7" s="29"/>
      <c r="J7" s="29"/>
      <c r="K7" s="29"/>
      <c r="L7" s="29"/>
      <c r="M7" s="29"/>
      <c r="N7" s="29"/>
      <c r="O7" s="29"/>
      <c r="P7" s="29"/>
      <c r="Q7" s="29"/>
      <c r="R7" s="29"/>
      <c r="S7" s="29"/>
      <c r="T7" s="22"/>
      <c r="V7" s="162"/>
      <c r="W7" s="162" t="s">
        <v>22</v>
      </c>
      <c r="X7" s="163" t="s">
        <v>2</v>
      </c>
      <c r="Y7" s="162"/>
      <c r="Z7" s="40"/>
      <c r="AA7" s="40"/>
    </row>
    <row r="8" spans="1:27" ht="15" customHeight="1" x14ac:dyDescent="0.25">
      <c r="B8" s="82"/>
      <c r="C8" s="210" t="s">
        <v>140</v>
      </c>
      <c r="D8" s="211" t="s">
        <v>26</v>
      </c>
      <c r="E8" s="208">
        <v>4.0913999999999999E-2</v>
      </c>
      <c r="F8" s="29"/>
      <c r="G8" s="29"/>
      <c r="H8" s="29"/>
      <c r="I8" s="29"/>
      <c r="J8" s="29"/>
      <c r="K8" s="29"/>
      <c r="L8" s="29"/>
      <c r="M8" s="29"/>
      <c r="N8" s="29"/>
      <c r="O8" s="29"/>
      <c r="P8" s="29"/>
      <c r="Q8" s="29"/>
      <c r="R8" s="29"/>
      <c r="S8" s="29"/>
      <c r="T8" s="22"/>
      <c r="V8" s="162"/>
      <c r="W8" s="184" t="s">
        <v>24</v>
      </c>
      <c r="X8" s="251">
        <v>0.13527800000000001</v>
      </c>
      <c r="Y8" s="162"/>
      <c r="Z8" s="40"/>
      <c r="AA8" s="40"/>
    </row>
    <row r="9" spans="1:27" ht="15.75" customHeight="1" x14ac:dyDescent="0.25">
      <c r="B9" s="82"/>
      <c r="C9" s="212" t="s">
        <v>141</v>
      </c>
      <c r="D9" s="213" t="s">
        <v>24</v>
      </c>
      <c r="E9" s="209">
        <v>3.7477000000000003E-2</v>
      </c>
      <c r="F9" s="29"/>
      <c r="G9" s="29"/>
      <c r="H9" s="29"/>
      <c r="I9" s="29"/>
      <c r="J9" s="29"/>
      <c r="K9" s="29"/>
      <c r="L9" s="29"/>
      <c r="M9" s="29"/>
      <c r="N9" s="29"/>
      <c r="O9" s="29"/>
      <c r="P9" s="29"/>
      <c r="Q9" s="29"/>
      <c r="R9" s="29"/>
      <c r="S9" s="29"/>
      <c r="T9" s="22"/>
      <c r="V9" s="162"/>
      <c r="W9" s="184" t="s">
        <v>112</v>
      </c>
      <c r="X9" s="251">
        <v>0.10674500000000001</v>
      </c>
      <c r="Y9" s="162"/>
      <c r="Z9" s="40"/>
      <c r="AA9" s="40"/>
    </row>
    <row r="10" spans="1:27" ht="15" customHeight="1" x14ac:dyDescent="0.25">
      <c r="B10" s="82"/>
      <c r="C10" s="212" t="s">
        <v>195</v>
      </c>
      <c r="D10" s="213" t="s">
        <v>109</v>
      </c>
      <c r="E10" s="209">
        <v>2.8265999999999999E-2</v>
      </c>
      <c r="F10" s="29"/>
      <c r="G10" s="29"/>
      <c r="H10" s="29"/>
      <c r="I10" s="29"/>
      <c r="J10" s="29"/>
      <c r="K10" s="29"/>
      <c r="L10" s="29"/>
      <c r="M10" s="29"/>
      <c r="N10" s="29"/>
      <c r="O10" s="29"/>
      <c r="P10" s="29"/>
      <c r="Q10" s="29"/>
      <c r="R10" s="29"/>
      <c r="S10" s="29"/>
      <c r="T10" s="22"/>
      <c r="V10" s="162"/>
      <c r="W10" s="184" t="s">
        <v>121</v>
      </c>
      <c r="X10" s="251">
        <v>8.5691000000000003E-2</v>
      </c>
      <c r="Y10" s="162"/>
      <c r="Z10" s="40"/>
      <c r="AA10" s="40"/>
    </row>
    <row r="11" spans="1:27" ht="15" customHeight="1" x14ac:dyDescent="0.25">
      <c r="B11" s="82"/>
      <c r="C11" s="212" t="s">
        <v>100</v>
      </c>
      <c r="D11" s="213" t="s">
        <v>121</v>
      </c>
      <c r="E11" s="209">
        <v>2.6957999999999999E-2</v>
      </c>
      <c r="F11" s="29"/>
      <c r="G11" s="29"/>
      <c r="H11" s="29"/>
      <c r="I11" s="29"/>
      <c r="J11" s="29"/>
      <c r="K11" s="29"/>
      <c r="L11" s="29"/>
      <c r="M11" s="29"/>
      <c r="N11" s="29"/>
      <c r="O11" s="29"/>
      <c r="P11" s="29"/>
      <c r="Q11" s="29"/>
      <c r="R11" s="29"/>
      <c r="S11" s="29"/>
      <c r="T11" s="22"/>
      <c r="V11" s="162"/>
      <c r="W11" s="184" t="s">
        <v>16</v>
      </c>
      <c r="X11" s="251">
        <v>6.8129000000000009E-2</v>
      </c>
      <c r="Y11" s="162"/>
      <c r="Z11" s="40"/>
      <c r="AA11" s="40"/>
    </row>
    <row r="12" spans="1:27" ht="15" customHeight="1" x14ac:dyDescent="0.25">
      <c r="B12" s="82"/>
      <c r="C12" s="212" t="s">
        <v>138</v>
      </c>
      <c r="D12" s="213" t="s">
        <v>112</v>
      </c>
      <c r="E12" s="209">
        <v>2.4674999999999999E-2</v>
      </c>
      <c r="F12" s="29"/>
      <c r="G12" s="29"/>
      <c r="H12" s="29"/>
      <c r="I12" s="29"/>
      <c r="J12" s="29"/>
      <c r="K12" s="29"/>
      <c r="L12" s="29"/>
      <c r="M12" s="29"/>
      <c r="N12" s="29"/>
      <c r="O12" s="29"/>
      <c r="P12" s="29"/>
      <c r="Q12" s="29"/>
      <c r="R12" s="29"/>
      <c r="S12" s="29"/>
      <c r="T12" s="22"/>
      <c r="V12" s="162"/>
      <c r="W12" s="184" t="s">
        <v>26</v>
      </c>
      <c r="X12" s="251">
        <v>6.0422999999999998E-2</v>
      </c>
      <c r="Y12" s="162"/>
      <c r="Z12" s="40"/>
      <c r="AA12" s="40"/>
    </row>
    <row r="13" spans="1:27" ht="15" customHeight="1" x14ac:dyDescent="0.25">
      <c r="B13" s="82"/>
      <c r="C13" s="212" t="s">
        <v>256</v>
      </c>
      <c r="D13" s="213" t="s">
        <v>16</v>
      </c>
      <c r="E13" s="209">
        <v>2.3934E-2</v>
      </c>
      <c r="F13" s="29"/>
      <c r="G13" s="29"/>
      <c r="H13" s="29"/>
      <c r="I13" s="29"/>
      <c r="J13" s="29"/>
      <c r="K13" s="29"/>
      <c r="L13" s="29"/>
      <c r="M13" s="29"/>
      <c r="N13" s="29"/>
      <c r="O13" s="29"/>
      <c r="P13" s="29"/>
      <c r="Q13" s="29"/>
      <c r="R13" s="29"/>
      <c r="S13" s="29"/>
      <c r="T13" s="22"/>
      <c r="V13" s="162"/>
      <c r="W13" s="184" t="s">
        <v>109</v>
      </c>
      <c r="X13" s="251">
        <v>5.9871999999999995E-2</v>
      </c>
      <c r="Y13" s="162"/>
      <c r="Z13" s="40"/>
      <c r="AA13" s="40"/>
    </row>
    <row r="14" spans="1:27" ht="15" customHeight="1" x14ac:dyDescent="0.25">
      <c r="B14" s="82"/>
      <c r="C14" s="212" t="s">
        <v>72</v>
      </c>
      <c r="D14" s="213" t="s">
        <v>10</v>
      </c>
      <c r="E14" s="209">
        <v>2.3390999999999999E-2</v>
      </c>
      <c r="F14" s="29"/>
      <c r="G14" s="29"/>
      <c r="H14" s="29"/>
      <c r="I14" s="29"/>
      <c r="J14" s="29"/>
      <c r="K14" s="29"/>
      <c r="L14" s="29"/>
      <c r="M14" s="29"/>
      <c r="N14" s="29"/>
      <c r="O14" s="29"/>
      <c r="P14" s="29"/>
      <c r="Q14" s="29"/>
      <c r="R14" s="29"/>
      <c r="S14" s="29"/>
      <c r="T14" s="22"/>
      <c r="V14" s="162"/>
      <c r="W14" s="184" t="s">
        <v>4</v>
      </c>
      <c r="X14" s="251">
        <v>3.4085999999999998E-2</v>
      </c>
      <c r="Y14" s="162"/>
      <c r="Z14" s="40"/>
      <c r="AA14" s="40"/>
    </row>
    <row r="15" spans="1:27" ht="15.75" customHeight="1" x14ac:dyDescent="0.25">
      <c r="B15" s="82"/>
      <c r="C15" s="212" t="s">
        <v>96</v>
      </c>
      <c r="D15" s="213" t="s">
        <v>85</v>
      </c>
      <c r="E15" s="209">
        <v>2.3306E-2</v>
      </c>
      <c r="F15" s="29"/>
      <c r="G15" s="29"/>
      <c r="H15" s="29"/>
      <c r="I15" s="29"/>
      <c r="J15" s="29"/>
      <c r="K15" s="29"/>
      <c r="L15" s="29"/>
      <c r="M15" s="29"/>
      <c r="N15" s="29"/>
      <c r="O15" s="29"/>
      <c r="P15" s="29"/>
      <c r="Q15" s="29"/>
      <c r="R15" s="29"/>
      <c r="S15" s="29"/>
      <c r="T15" s="22"/>
      <c r="V15" s="162"/>
      <c r="W15" s="184" t="s">
        <v>115</v>
      </c>
      <c r="X15" s="251">
        <v>3.4082000000000001E-2</v>
      </c>
      <c r="Y15" s="162"/>
      <c r="Z15" s="40"/>
      <c r="AA15" s="40"/>
    </row>
    <row r="16" spans="1:27" ht="15" customHeight="1" x14ac:dyDescent="0.25">
      <c r="B16" s="82"/>
      <c r="C16" s="212" t="s">
        <v>227</v>
      </c>
      <c r="D16" s="213" t="s">
        <v>115</v>
      </c>
      <c r="E16" s="209">
        <v>2.3096999999999999E-2</v>
      </c>
      <c r="F16" s="29"/>
      <c r="G16" s="29"/>
      <c r="H16" s="29"/>
      <c r="I16" s="29"/>
      <c r="J16" s="29"/>
      <c r="K16" s="29"/>
      <c r="L16" s="29"/>
      <c r="M16" s="29"/>
      <c r="N16" s="29"/>
      <c r="O16" s="29"/>
      <c r="P16" s="29"/>
      <c r="Q16" s="29"/>
      <c r="R16" s="29"/>
      <c r="S16" s="29"/>
      <c r="T16" s="22"/>
      <c r="V16" s="162"/>
      <c r="W16" s="184" t="s">
        <v>12</v>
      </c>
      <c r="X16" s="251">
        <v>3.2438999999999996E-2</v>
      </c>
      <c r="Y16" s="162"/>
      <c r="Z16" s="40"/>
      <c r="AA16" s="40"/>
    </row>
    <row r="17" spans="2:27" ht="15.75" customHeight="1" x14ac:dyDescent="0.25">
      <c r="B17" s="82"/>
      <c r="C17" s="212" t="s">
        <v>205</v>
      </c>
      <c r="D17" s="213" t="s">
        <v>121</v>
      </c>
      <c r="E17" s="209">
        <v>2.2509000000000001E-2</v>
      </c>
      <c r="F17" s="29"/>
      <c r="G17" s="29"/>
      <c r="H17" s="29"/>
      <c r="I17" s="29"/>
      <c r="J17" s="29"/>
      <c r="K17" s="29"/>
      <c r="L17" s="29"/>
      <c r="M17" s="29"/>
      <c r="N17" s="29"/>
      <c r="O17" s="29"/>
      <c r="P17" s="29"/>
      <c r="Q17" s="29"/>
      <c r="R17" s="29"/>
      <c r="S17" s="29"/>
      <c r="T17" s="22"/>
      <c r="V17" s="162"/>
      <c r="W17" s="184" t="s">
        <v>3</v>
      </c>
      <c r="X17" s="251">
        <v>3.1689000000000002E-2</v>
      </c>
      <c r="Y17" s="162"/>
      <c r="Z17" s="40"/>
      <c r="AA17" s="40"/>
    </row>
    <row r="18" spans="2:27" ht="15.75" x14ac:dyDescent="0.25">
      <c r="B18" s="82"/>
      <c r="C18" s="212" t="s">
        <v>136</v>
      </c>
      <c r="D18" s="213" t="s">
        <v>114</v>
      </c>
      <c r="E18" s="209">
        <v>2.0514000000000001E-2</v>
      </c>
      <c r="F18" s="29"/>
      <c r="G18" s="29"/>
      <c r="H18" s="29"/>
      <c r="I18" s="29"/>
      <c r="J18" s="29"/>
      <c r="K18" s="29"/>
      <c r="L18" s="29"/>
      <c r="M18" s="29"/>
      <c r="N18" s="29"/>
      <c r="O18" s="29"/>
      <c r="P18" s="29"/>
      <c r="Q18" s="29"/>
      <c r="R18" s="29"/>
      <c r="S18" s="29"/>
      <c r="T18" s="22"/>
      <c r="V18" s="162"/>
      <c r="W18" s="184" t="s">
        <v>118</v>
      </c>
      <c r="X18" s="251">
        <v>3.0225000000000002E-2</v>
      </c>
      <c r="Y18" s="162"/>
      <c r="Z18" s="40"/>
      <c r="AA18" s="40"/>
    </row>
    <row r="19" spans="2:27" ht="15.75" customHeight="1" x14ac:dyDescent="0.25">
      <c r="B19" s="82"/>
      <c r="C19" s="212" t="s">
        <v>282</v>
      </c>
      <c r="D19" s="213" t="s">
        <v>24</v>
      </c>
      <c r="E19" s="209">
        <v>1.9880999999999999E-2</v>
      </c>
      <c r="F19" s="29"/>
      <c r="G19" s="29"/>
      <c r="H19" s="29"/>
      <c r="I19" s="29"/>
      <c r="J19" s="29"/>
      <c r="K19" s="29"/>
      <c r="L19" s="29"/>
      <c r="M19" s="29"/>
      <c r="N19" s="29"/>
      <c r="O19" s="29"/>
      <c r="P19" s="29"/>
      <c r="Q19" s="29"/>
      <c r="R19" s="29"/>
      <c r="S19" s="29"/>
      <c r="T19" s="22"/>
      <c r="V19" s="162"/>
      <c r="W19" s="184" t="s">
        <v>113</v>
      </c>
      <c r="X19" s="251">
        <v>2.9423000000000001E-2</v>
      </c>
      <c r="Y19" s="162"/>
      <c r="Z19" s="40"/>
      <c r="AA19" s="40"/>
    </row>
    <row r="20" spans="2:27" ht="15" customHeight="1" x14ac:dyDescent="0.25">
      <c r="B20" s="82"/>
      <c r="C20" s="212" t="s">
        <v>350</v>
      </c>
      <c r="D20" s="213" t="s">
        <v>3</v>
      </c>
      <c r="E20" s="209">
        <v>1.941E-2</v>
      </c>
      <c r="F20" s="29"/>
      <c r="G20" s="29"/>
      <c r="H20" s="29"/>
      <c r="I20" s="29"/>
      <c r="J20" s="29"/>
      <c r="K20" s="29"/>
      <c r="L20" s="29"/>
      <c r="M20" s="29"/>
      <c r="N20" s="29"/>
      <c r="O20" s="29"/>
      <c r="P20" s="29"/>
      <c r="Q20" s="29"/>
      <c r="R20" s="29"/>
      <c r="S20" s="29"/>
      <c r="T20" s="22"/>
      <c r="V20" s="162"/>
      <c r="W20" s="184" t="s">
        <v>85</v>
      </c>
      <c r="X20" s="251">
        <v>2.9035999999999999E-2</v>
      </c>
      <c r="Y20" s="162"/>
      <c r="Z20" s="40"/>
      <c r="AA20" s="40"/>
    </row>
    <row r="21" spans="2:27" ht="15" customHeight="1" x14ac:dyDescent="0.25">
      <c r="B21" s="82"/>
      <c r="C21" s="212" t="s">
        <v>267</v>
      </c>
      <c r="D21" s="213" t="s">
        <v>121</v>
      </c>
      <c r="E21" s="209">
        <v>1.9171000000000001E-2</v>
      </c>
      <c r="F21" s="29"/>
      <c r="G21" s="29"/>
      <c r="H21" s="29"/>
      <c r="I21" s="29"/>
      <c r="J21" s="29"/>
      <c r="K21" s="29"/>
      <c r="L21" s="29"/>
      <c r="M21" s="29"/>
      <c r="N21" s="29"/>
      <c r="O21" s="29"/>
      <c r="P21" s="29"/>
      <c r="Q21" s="29"/>
      <c r="R21" s="29"/>
      <c r="S21" s="29"/>
      <c r="T21" s="22"/>
      <c r="V21" s="162"/>
      <c r="W21" s="184" t="s">
        <v>114</v>
      </c>
      <c r="X21" s="251">
        <v>2.6301000000000001E-2</v>
      </c>
      <c r="Y21" s="162"/>
      <c r="Z21" s="40"/>
      <c r="AA21" s="40"/>
    </row>
    <row r="22" spans="2:27" ht="15" customHeight="1" x14ac:dyDescent="0.25">
      <c r="B22" s="82"/>
      <c r="C22" s="212" t="s">
        <v>188</v>
      </c>
      <c r="D22" s="213" t="s">
        <v>24</v>
      </c>
      <c r="E22" s="209">
        <v>1.9004E-2</v>
      </c>
      <c r="F22" s="29"/>
      <c r="G22" s="29"/>
      <c r="H22" s="29"/>
      <c r="I22" s="29"/>
      <c r="J22" s="29"/>
      <c r="K22" s="29"/>
      <c r="L22" s="29"/>
      <c r="M22" s="29"/>
      <c r="N22" s="29"/>
      <c r="O22" s="29"/>
      <c r="P22" s="29"/>
      <c r="Q22" s="29"/>
      <c r="R22" s="29"/>
      <c r="S22" s="29"/>
      <c r="T22" s="22"/>
      <c r="V22" s="162"/>
      <c r="W22" s="184" t="s">
        <v>10</v>
      </c>
      <c r="X22" s="251">
        <v>2.3390999999999999E-2</v>
      </c>
      <c r="Y22" s="162"/>
      <c r="Z22" s="40"/>
      <c r="AA22" s="40"/>
    </row>
    <row r="23" spans="2:27" ht="15" customHeight="1" x14ac:dyDescent="0.25">
      <c r="B23" s="82"/>
      <c r="C23" s="15"/>
      <c r="D23" s="16"/>
      <c r="E23" s="18"/>
      <c r="F23" s="29"/>
      <c r="G23" s="29"/>
      <c r="H23" s="29"/>
      <c r="I23" s="29"/>
      <c r="J23" s="29"/>
      <c r="K23" s="29"/>
      <c r="L23" s="29"/>
      <c r="M23" s="29"/>
      <c r="N23" s="29"/>
      <c r="O23" s="29"/>
      <c r="P23" s="29"/>
      <c r="Q23" s="29"/>
      <c r="R23" s="29"/>
      <c r="S23" s="29"/>
      <c r="T23" s="22"/>
      <c r="V23" s="162"/>
      <c r="W23" s="184" t="s">
        <v>78</v>
      </c>
      <c r="X23" s="251">
        <v>2.0775000000000002E-2</v>
      </c>
      <c r="Y23" s="162"/>
      <c r="Z23" s="40"/>
      <c r="AA23" s="40"/>
    </row>
    <row r="24" spans="2:27" ht="15" customHeight="1" x14ac:dyDescent="0.25">
      <c r="B24" s="82"/>
      <c r="C24" s="76" t="s">
        <v>55</v>
      </c>
      <c r="D24" s="77"/>
      <c r="E24" s="78">
        <f>SUM(E8:E23)</f>
        <v>0.37250699999999998</v>
      </c>
      <c r="F24" s="29"/>
      <c r="G24" s="29"/>
      <c r="H24" s="29"/>
      <c r="I24" s="29"/>
      <c r="J24" s="29"/>
      <c r="K24" s="29"/>
      <c r="L24" s="29"/>
      <c r="M24" s="29"/>
      <c r="N24" s="29"/>
      <c r="O24" s="29"/>
      <c r="P24" s="29"/>
      <c r="Q24" s="29"/>
      <c r="R24" s="29"/>
      <c r="S24" s="29"/>
      <c r="T24" s="22"/>
      <c r="V24" s="162"/>
      <c r="W24" s="184" t="s">
        <v>139</v>
      </c>
      <c r="X24" s="251">
        <v>1.9994999999999999E-2</v>
      </c>
      <c r="Y24" s="162"/>
      <c r="Z24" s="40"/>
      <c r="AA24" s="40"/>
    </row>
    <row r="25" spans="2:27" ht="15" customHeight="1" x14ac:dyDescent="0.25">
      <c r="B25" s="82"/>
      <c r="F25" s="29"/>
      <c r="G25" s="29"/>
      <c r="H25" s="29"/>
      <c r="I25" s="29"/>
      <c r="J25" s="29"/>
      <c r="K25" s="29"/>
      <c r="L25" s="29"/>
      <c r="M25" s="29"/>
      <c r="N25" s="29"/>
      <c r="O25" s="29"/>
      <c r="P25" s="29"/>
      <c r="Q25" s="29"/>
      <c r="R25" s="29"/>
      <c r="S25" s="29"/>
      <c r="T25" s="22"/>
      <c r="V25" s="162"/>
      <c r="W25" s="184" t="s">
        <v>88</v>
      </c>
      <c r="X25" s="251">
        <v>1.7769E-2</v>
      </c>
      <c r="Y25" s="162"/>
      <c r="Z25" s="40"/>
      <c r="AA25" s="40"/>
    </row>
    <row r="26" spans="2:27" ht="15" customHeight="1" x14ac:dyDescent="0.25">
      <c r="B26" s="82"/>
      <c r="F26" s="29"/>
      <c r="G26" s="29"/>
      <c r="H26" s="29"/>
      <c r="I26" s="29"/>
      <c r="J26" s="29"/>
      <c r="K26" s="29"/>
      <c r="L26" s="29"/>
      <c r="M26" s="29"/>
      <c r="N26" s="29"/>
      <c r="O26" s="29"/>
      <c r="P26" s="29"/>
      <c r="Q26" s="29"/>
      <c r="R26" s="29"/>
      <c r="S26" s="29"/>
      <c r="T26" s="22"/>
      <c r="V26" s="162"/>
      <c r="W26" s="184" t="s">
        <v>116</v>
      </c>
      <c r="X26" s="251">
        <v>1.6878000000000001E-2</v>
      </c>
      <c r="Y26" s="162"/>
      <c r="Z26" s="40"/>
      <c r="AA26" s="40"/>
    </row>
    <row r="27" spans="2:27" ht="15" customHeight="1" x14ac:dyDescent="0.25">
      <c r="B27" s="82"/>
      <c r="F27" s="29"/>
      <c r="G27" s="29"/>
      <c r="H27" s="29"/>
      <c r="I27" s="29"/>
      <c r="J27" s="29"/>
      <c r="K27" s="29"/>
      <c r="L27" s="29"/>
      <c r="M27" s="29"/>
      <c r="N27" s="29"/>
      <c r="O27" s="29"/>
      <c r="P27" s="29"/>
      <c r="Q27" s="29"/>
      <c r="R27" s="29"/>
      <c r="S27" s="29"/>
      <c r="T27" s="22"/>
      <c r="V27" s="162"/>
      <c r="W27" s="184" t="s">
        <v>190</v>
      </c>
      <c r="X27" s="251">
        <v>1.5436999999999999E-2</v>
      </c>
      <c r="Y27" s="162"/>
      <c r="Z27" s="40"/>
      <c r="AA27" s="40"/>
    </row>
    <row r="28" spans="2:27" ht="15" customHeight="1" x14ac:dyDescent="0.25">
      <c r="B28" s="82"/>
      <c r="F28" s="29"/>
      <c r="G28" s="29"/>
      <c r="H28" s="29"/>
      <c r="I28" s="29"/>
      <c r="J28" s="29"/>
      <c r="K28" s="29"/>
      <c r="L28" s="29"/>
      <c r="M28" s="29"/>
      <c r="N28" s="29"/>
      <c r="O28" s="29"/>
      <c r="P28" s="29"/>
      <c r="Q28" s="29"/>
      <c r="R28" s="29"/>
      <c r="S28" s="29"/>
      <c r="T28" s="22"/>
      <c r="V28" s="162"/>
      <c r="W28" s="184" t="s">
        <v>108</v>
      </c>
      <c r="X28" s="251">
        <v>1.4043E-2</v>
      </c>
      <c r="Y28" s="162"/>
      <c r="Z28" s="40"/>
      <c r="AA28" s="40"/>
    </row>
    <row r="29" spans="2:27" ht="15" customHeight="1" x14ac:dyDescent="0.25">
      <c r="B29" s="82"/>
      <c r="F29" s="29"/>
      <c r="G29" s="29"/>
      <c r="H29" s="29"/>
      <c r="I29" s="29"/>
      <c r="J29" s="29"/>
      <c r="K29" s="29"/>
      <c r="L29" s="29"/>
      <c r="M29" s="29"/>
      <c r="N29" s="29"/>
      <c r="O29" s="29"/>
      <c r="P29" s="29"/>
      <c r="Q29" s="29"/>
      <c r="R29" s="29"/>
      <c r="S29" s="29"/>
      <c r="T29" s="22"/>
      <c r="V29" s="162"/>
      <c r="W29" s="184" t="s">
        <v>120</v>
      </c>
      <c r="X29" s="251">
        <v>1.3323E-2</v>
      </c>
      <c r="Y29" s="162"/>
      <c r="Z29" s="40"/>
      <c r="AA29" s="40"/>
    </row>
    <row r="30" spans="2:27" ht="15" customHeight="1" x14ac:dyDescent="0.25">
      <c r="B30" s="82"/>
      <c r="F30" s="29"/>
      <c r="G30" s="29"/>
      <c r="H30" s="29"/>
      <c r="I30" s="29"/>
      <c r="J30" s="29"/>
      <c r="K30" s="29"/>
      <c r="L30" s="29"/>
      <c r="M30" s="29"/>
      <c r="N30" s="29"/>
      <c r="O30" s="29"/>
      <c r="P30" s="29"/>
      <c r="Q30" s="29"/>
      <c r="R30" s="29"/>
      <c r="S30" s="29"/>
      <c r="T30" s="22"/>
      <c r="V30" s="162"/>
      <c r="W30" s="184" t="s">
        <v>13</v>
      </c>
      <c r="X30" s="251">
        <v>1.1662E-2</v>
      </c>
      <c r="Y30" s="162"/>
      <c r="Z30" s="40"/>
      <c r="AA30" s="40"/>
    </row>
    <row r="31" spans="2:27" ht="15" customHeight="1" x14ac:dyDescent="0.25">
      <c r="B31" s="82"/>
      <c r="F31" s="29"/>
      <c r="G31" s="29"/>
      <c r="H31" s="29"/>
      <c r="I31" s="29"/>
      <c r="J31" s="29"/>
      <c r="K31" s="29"/>
      <c r="L31" s="29"/>
      <c r="M31" s="29"/>
      <c r="N31" s="29"/>
      <c r="O31" s="29"/>
      <c r="P31" s="29"/>
      <c r="Q31" s="29"/>
      <c r="R31" s="29"/>
      <c r="S31" s="29"/>
      <c r="T31" s="22"/>
      <c r="V31" s="162"/>
      <c r="W31" s="184" t="s">
        <v>125</v>
      </c>
      <c r="X31" s="251">
        <v>9.502E-3</v>
      </c>
      <c r="Y31" s="162"/>
      <c r="Z31" s="40"/>
      <c r="AA31" s="40"/>
    </row>
    <row r="32" spans="2:27" ht="15" customHeight="1" thickBot="1" x14ac:dyDescent="0.3">
      <c r="B32" s="83"/>
      <c r="C32" s="84"/>
      <c r="D32" s="84"/>
      <c r="E32" s="84"/>
      <c r="F32" s="84"/>
      <c r="G32" s="84"/>
      <c r="H32" s="84"/>
      <c r="I32" s="84"/>
      <c r="J32" s="84"/>
      <c r="K32" s="84"/>
      <c r="L32" s="84"/>
      <c r="M32" s="84"/>
      <c r="N32" s="84"/>
      <c r="O32" s="84"/>
      <c r="P32" s="84"/>
      <c r="Q32" s="84"/>
      <c r="R32" s="84"/>
      <c r="S32" s="84"/>
      <c r="T32" s="23"/>
      <c r="W32" s="184" t="s">
        <v>84</v>
      </c>
      <c r="X32" s="251">
        <v>9.3900000000000008E-3</v>
      </c>
    </row>
    <row r="33" spans="2:24" ht="15" customHeight="1" thickBot="1" x14ac:dyDescent="0.3">
      <c r="W33" s="184" t="s">
        <v>11</v>
      </c>
      <c r="X33" s="251">
        <v>8.8929999999999999E-3</v>
      </c>
    </row>
    <row r="34" spans="2:24" ht="15" customHeight="1" x14ac:dyDescent="0.25">
      <c r="B34" s="265" t="s">
        <v>186</v>
      </c>
      <c r="C34" s="266"/>
      <c r="D34" s="266"/>
      <c r="E34" s="266"/>
      <c r="F34" s="266"/>
      <c r="G34" s="266"/>
      <c r="H34" s="266"/>
      <c r="I34" s="266"/>
      <c r="J34" s="266"/>
      <c r="K34" s="266"/>
      <c r="L34" s="266"/>
      <c r="M34" s="266"/>
      <c r="N34" s="266"/>
      <c r="O34" s="266"/>
      <c r="P34" s="266"/>
      <c r="Q34" s="266"/>
      <c r="R34" s="267"/>
      <c r="W34" s="184" t="s">
        <v>128</v>
      </c>
      <c r="X34" s="251">
        <v>6.4910000000000002E-3</v>
      </c>
    </row>
    <row r="35" spans="2:24" ht="15" customHeight="1" x14ac:dyDescent="0.25">
      <c r="B35" s="268"/>
      <c r="C35" s="269"/>
      <c r="D35" s="269"/>
      <c r="E35" s="269"/>
      <c r="F35" s="269"/>
      <c r="G35" s="269"/>
      <c r="H35" s="269"/>
      <c r="I35" s="269"/>
      <c r="J35" s="269"/>
      <c r="K35" s="269"/>
      <c r="L35" s="269"/>
      <c r="M35" s="269"/>
      <c r="N35" s="269"/>
      <c r="O35" s="269"/>
      <c r="P35" s="269"/>
      <c r="Q35" s="269"/>
      <c r="R35" s="270"/>
      <c r="W35" s="184" t="s">
        <v>124</v>
      </c>
      <c r="X35" s="251">
        <v>4.895E-3</v>
      </c>
    </row>
    <row r="36" spans="2:24" ht="15" customHeight="1" x14ac:dyDescent="0.25">
      <c r="B36" s="268"/>
      <c r="C36" s="269"/>
      <c r="D36" s="269"/>
      <c r="E36" s="269"/>
      <c r="F36" s="269"/>
      <c r="G36" s="269"/>
      <c r="H36" s="269"/>
      <c r="I36" s="269"/>
      <c r="J36" s="269"/>
      <c r="K36" s="269"/>
      <c r="L36" s="269"/>
      <c r="M36" s="269"/>
      <c r="N36" s="269"/>
      <c r="O36" s="269"/>
      <c r="P36" s="269"/>
      <c r="Q36" s="269"/>
      <c r="R36" s="270"/>
      <c r="W36" s="184" t="s">
        <v>86</v>
      </c>
      <c r="X36" s="251">
        <v>4.4099999999999999E-3</v>
      </c>
    </row>
    <row r="37" spans="2:24" ht="15" customHeight="1" x14ac:dyDescent="0.25">
      <c r="B37" s="268"/>
      <c r="C37" s="269"/>
      <c r="D37" s="269"/>
      <c r="E37" s="269"/>
      <c r="F37" s="269"/>
      <c r="G37" s="269"/>
      <c r="H37" s="269"/>
      <c r="I37" s="269"/>
      <c r="J37" s="269"/>
      <c r="K37" s="269"/>
      <c r="L37" s="269"/>
      <c r="M37" s="269"/>
      <c r="N37" s="269"/>
      <c r="O37" s="269"/>
      <c r="P37" s="269"/>
      <c r="Q37" s="269"/>
      <c r="R37" s="270"/>
      <c r="W37" s="184" t="s">
        <v>149</v>
      </c>
      <c r="X37" s="251">
        <v>3.6579999999999998E-3</v>
      </c>
    </row>
    <row r="38" spans="2:24" ht="15" customHeight="1" x14ac:dyDescent="0.25">
      <c r="B38" s="268"/>
      <c r="C38" s="269"/>
      <c r="D38" s="269"/>
      <c r="E38" s="269"/>
      <c r="F38" s="269"/>
      <c r="G38" s="269"/>
      <c r="H38" s="269"/>
      <c r="I38" s="269"/>
      <c r="J38" s="269"/>
      <c r="K38" s="269"/>
      <c r="L38" s="269"/>
      <c r="M38" s="269"/>
      <c r="N38" s="269"/>
      <c r="O38" s="269"/>
      <c r="P38" s="269"/>
      <c r="Q38" s="269"/>
      <c r="R38" s="270"/>
      <c r="W38" s="184" t="s">
        <v>123</v>
      </c>
      <c r="X38" s="251">
        <v>2.8059999999999999E-3</v>
      </c>
    </row>
    <row r="39" spans="2:24" ht="15" customHeight="1" x14ac:dyDescent="0.25">
      <c r="B39" s="268"/>
      <c r="C39" s="269"/>
      <c r="D39" s="269"/>
      <c r="E39" s="269"/>
      <c r="F39" s="269"/>
      <c r="G39" s="269"/>
      <c r="H39" s="269"/>
      <c r="I39" s="269"/>
      <c r="J39" s="269"/>
      <c r="K39" s="269"/>
      <c r="L39" s="269"/>
      <c r="M39" s="269"/>
      <c r="N39" s="269"/>
      <c r="O39" s="269"/>
      <c r="P39" s="269"/>
      <c r="Q39" s="269"/>
      <c r="R39" s="270"/>
      <c r="W39" s="184" t="s">
        <v>191</v>
      </c>
      <c r="X39" s="251">
        <v>2.6090000000000002E-3</v>
      </c>
    </row>
    <row r="40" spans="2:24" ht="21.75" customHeight="1" thickBot="1" x14ac:dyDescent="0.3">
      <c r="B40" s="271"/>
      <c r="C40" s="272"/>
      <c r="D40" s="272"/>
      <c r="E40" s="272"/>
      <c r="F40" s="272"/>
      <c r="G40" s="272"/>
      <c r="H40" s="272"/>
      <c r="I40" s="272"/>
      <c r="J40" s="272"/>
      <c r="K40" s="272"/>
      <c r="L40" s="272"/>
      <c r="M40" s="272"/>
      <c r="N40" s="272"/>
      <c r="O40" s="272"/>
      <c r="P40" s="272"/>
      <c r="Q40" s="272"/>
      <c r="R40" s="273"/>
      <c r="W40" s="19" t="s">
        <v>251</v>
      </c>
      <c r="X40" s="183">
        <v>2.0249999999999999E-3</v>
      </c>
    </row>
    <row r="41" spans="2:24" ht="15" customHeight="1" x14ac:dyDescent="0.25">
      <c r="W41" s="19" t="s">
        <v>110</v>
      </c>
      <c r="X41" s="183">
        <v>1.338E-3</v>
      </c>
    </row>
    <row r="42" spans="2:24" ht="15" customHeight="1" x14ac:dyDescent="0.25"/>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8:X32">
    <sortCondition descending="1" ref="X8"/>
  </sortState>
  <mergeCells count="3">
    <mergeCell ref="C3:S3"/>
    <mergeCell ref="D5:E5"/>
    <mergeCell ref="B34:R40"/>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B477-56BE-4CB1-BB56-08C344910A32}">
  <dimension ref="A1:AA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6" width="12.7109375" style="19" bestFit="1" customWidth="1"/>
    <col min="7" max="8" width="9.140625" style="19"/>
    <col min="9" max="9" width="11.85546875" style="19" customWidth="1"/>
    <col min="10" max="18" width="9.140625" style="19"/>
    <col min="19" max="19" width="9.85546875" style="19" customWidth="1"/>
    <col min="20" max="22" width="9.140625" style="19"/>
    <col min="23" max="23" width="32.85546875" style="19" bestFit="1" customWidth="1"/>
    <col min="24" max="16384" width="9.140625" style="19"/>
  </cols>
  <sheetData>
    <row r="1" spans="1:27" ht="15.75" customHeight="1" thickBot="1" x14ac:dyDescent="0.3">
      <c r="A1" s="3"/>
    </row>
    <row r="2" spans="1:27" ht="15" customHeight="1" x14ac:dyDescent="0.25">
      <c r="B2" s="80"/>
      <c r="C2" s="81"/>
      <c r="D2" s="81"/>
      <c r="E2" s="81"/>
      <c r="F2" s="81"/>
      <c r="G2" s="81"/>
      <c r="H2" s="81"/>
      <c r="I2" s="81"/>
      <c r="J2" s="81"/>
      <c r="K2" s="81"/>
      <c r="L2" s="81"/>
      <c r="M2" s="81"/>
      <c r="N2" s="81"/>
      <c r="O2" s="81"/>
      <c r="P2" s="81"/>
      <c r="Q2" s="81"/>
      <c r="R2" s="81"/>
      <c r="S2" s="81"/>
      <c r="T2" s="21"/>
    </row>
    <row r="3" spans="1:27" ht="20.25" customHeight="1" x14ac:dyDescent="0.25">
      <c r="B3" s="82"/>
      <c r="C3" s="274" t="s">
        <v>171</v>
      </c>
      <c r="D3" s="275"/>
      <c r="E3" s="275"/>
      <c r="F3" s="275"/>
      <c r="G3" s="275"/>
      <c r="H3" s="275"/>
      <c r="I3" s="275"/>
      <c r="J3" s="275"/>
      <c r="K3" s="275"/>
      <c r="L3" s="275"/>
      <c r="M3" s="275"/>
      <c r="N3" s="275"/>
      <c r="O3" s="275"/>
      <c r="P3" s="275"/>
      <c r="Q3" s="275"/>
      <c r="R3" s="275"/>
      <c r="S3" s="275"/>
      <c r="T3" s="22"/>
      <c r="V3" s="40"/>
      <c r="W3" s="40"/>
      <c r="X3" s="40"/>
      <c r="Y3" s="40"/>
      <c r="Z3" s="40"/>
      <c r="AA3" s="40"/>
    </row>
    <row r="4" spans="1:27" ht="15.75" customHeight="1" x14ac:dyDescent="0.25">
      <c r="B4" s="82"/>
      <c r="C4" s="70" t="s">
        <v>367</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82"/>
      <c r="C5" s="228" t="s">
        <v>366</v>
      </c>
      <c r="D5" s="276" t="s">
        <v>324</v>
      </c>
      <c r="E5" s="276"/>
      <c r="F5" s="29"/>
      <c r="G5" s="29"/>
      <c r="H5" s="29"/>
      <c r="I5" s="29"/>
      <c r="J5" s="29"/>
      <c r="K5" s="29"/>
      <c r="L5" s="29"/>
      <c r="M5" s="29"/>
      <c r="N5" s="29"/>
      <c r="O5" s="29"/>
      <c r="P5" s="29"/>
      <c r="Q5" s="29"/>
      <c r="R5" s="29"/>
      <c r="S5" s="29"/>
      <c r="T5" s="22"/>
      <c r="V5" s="162"/>
      <c r="W5" s="162"/>
      <c r="X5" s="162"/>
      <c r="Y5" s="162"/>
      <c r="Z5" s="40"/>
      <c r="AA5" s="40"/>
    </row>
    <row r="6" spans="1:27" ht="15" customHeight="1" x14ac:dyDescent="0.25">
      <c r="B6" s="82"/>
      <c r="C6" s="29"/>
      <c r="D6" s="29"/>
      <c r="E6" s="29"/>
      <c r="F6" s="29"/>
      <c r="G6" s="29"/>
      <c r="H6" s="29"/>
      <c r="I6" s="29"/>
      <c r="J6" s="29"/>
      <c r="K6" s="29"/>
      <c r="L6" s="29"/>
      <c r="M6" s="29"/>
      <c r="N6" s="29"/>
      <c r="O6" s="29"/>
      <c r="P6" s="29"/>
      <c r="Q6" s="29"/>
      <c r="R6" s="29"/>
      <c r="S6" s="29"/>
      <c r="T6" s="22"/>
      <c r="V6" s="162"/>
      <c r="W6" s="162"/>
      <c r="X6" s="162"/>
      <c r="Y6" s="162"/>
      <c r="Z6" s="40"/>
      <c r="AA6" s="40"/>
    </row>
    <row r="7" spans="1:27" ht="32.25" customHeight="1" x14ac:dyDescent="0.25">
      <c r="B7" s="82"/>
      <c r="C7" s="71" t="s">
        <v>0</v>
      </c>
      <c r="D7" s="72" t="s">
        <v>1</v>
      </c>
      <c r="E7" s="73" t="s">
        <v>2</v>
      </c>
      <c r="F7" s="29"/>
      <c r="G7" s="29"/>
      <c r="H7" s="29"/>
      <c r="I7" s="29"/>
      <c r="J7" s="29"/>
      <c r="K7" s="29"/>
      <c r="L7" s="29"/>
      <c r="M7" s="29"/>
      <c r="N7" s="29"/>
      <c r="O7" s="29"/>
      <c r="P7" s="29"/>
      <c r="Q7" s="29"/>
      <c r="R7" s="29"/>
      <c r="S7" s="29"/>
      <c r="T7" s="22"/>
      <c r="V7" s="162"/>
      <c r="W7" s="162" t="s">
        <v>22</v>
      </c>
      <c r="X7" s="163" t="s">
        <v>2</v>
      </c>
      <c r="Y7" s="162"/>
      <c r="Z7" s="40"/>
      <c r="AA7" s="40"/>
    </row>
    <row r="8" spans="1:27" ht="15" customHeight="1" x14ac:dyDescent="0.25">
      <c r="B8" s="82"/>
      <c r="C8" s="198" t="s">
        <v>29</v>
      </c>
      <c r="D8" s="199" t="s">
        <v>3</v>
      </c>
      <c r="E8" s="208">
        <v>3.9781999999999998E-2</v>
      </c>
      <c r="F8" s="29"/>
      <c r="G8" s="29"/>
      <c r="H8" s="29"/>
      <c r="I8" s="29"/>
      <c r="J8" s="29"/>
      <c r="K8" s="29"/>
      <c r="L8" s="29"/>
      <c r="M8" s="29"/>
      <c r="N8" s="29"/>
      <c r="O8" s="29"/>
      <c r="P8" s="29"/>
      <c r="Q8" s="29"/>
      <c r="R8" s="29"/>
      <c r="S8" s="29"/>
      <c r="T8" s="22"/>
      <c r="V8" s="162"/>
      <c r="W8" s="184" t="s">
        <v>3</v>
      </c>
      <c r="X8" s="183">
        <v>0.13527999999999998</v>
      </c>
      <c r="Y8" s="162"/>
      <c r="Z8" s="40"/>
      <c r="AA8" s="40"/>
    </row>
    <row r="9" spans="1:27" ht="15.75" customHeight="1" x14ac:dyDescent="0.25">
      <c r="B9" s="82"/>
      <c r="C9" s="192" t="s">
        <v>31</v>
      </c>
      <c r="D9" s="201" t="s">
        <v>6</v>
      </c>
      <c r="E9" s="209">
        <v>3.3359E-2</v>
      </c>
      <c r="F9" s="29"/>
      <c r="G9" s="29"/>
      <c r="H9" s="29"/>
      <c r="I9" s="29"/>
      <c r="J9" s="29"/>
      <c r="K9" s="29"/>
      <c r="L9" s="29"/>
      <c r="M9" s="29"/>
      <c r="N9" s="29"/>
      <c r="O9" s="29"/>
      <c r="P9" s="29"/>
      <c r="Q9" s="29"/>
      <c r="R9" s="29"/>
      <c r="S9" s="29"/>
      <c r="T9" s="22"/>
      <c r="V9" s="162"/>
      <c r="W9" s="184" t="s">
        <v>113</v>
      </c>
      <c r="X9" s="183">
        <v>9.1288999999999995E-2</v>
      </c>
      <c r="Y9" s="162"/>
      <c r="Z9" s="40"/>
      <c r="AA9" s="40"/>
    </row>
    <row r="10" spans="1:27" ht="15" customHeight="1" x14ac:dyDescent="0.25">
      <c r="B10" s="82"/>
      <c r="C10" s="192" t="s">
        <v>32</v>
      </c>
      <c r="D10" s="201" t="s">
        <v>3</v>
      </c>
      <c r="E10" s="209">
        <v>2.4927000000000001E-2</v>
      </c>
      <c r="F10" s="29"/>
      <c r="G10" s="29"/>
      <c r="H10" s="29"/>
      <c r="I10" s="29"/>
      <c r="J10" s="29"/>
      <c r="K10" s="29"/>
      <c r="L10" s="29"/>
      <c r="M10" s="29"/>
      <c r="N10" s="29"/>
      <c r="O10" s="29"/>
      <c r="P10" s="29"/>
      <c r="Q10" s="29"/>
      <c r="R10" s="29"/>
      <c r="S10" s="29"/>
      <c r="T10" s="22"/>
      <c r="V10" s="162"/>
      <c r="W10" s="184" t="s">
        <v>109</v>
      </c>
      <c r="X10" s="183">
        <v>6.7396999999999999E-2</v>
      </c>
      <c r="Y10" s="162"/>
      <c r="Z10" s="40"/>
      <c r="AA10" s="40"/>
    </row>
    <row r="11" spans="1:27" ht="15" customHeight="1" x14ac:dyDescent="0.25">
      <c r="B11" s="82"/>
      <c r="C11" s="192" t="s">
        <v>28</v>
      </c>
      <c r="D11" s="201" t="s">
        <v>109</v>
      </c>
      <c r="E11" s="209">
        <v>2.2998999999999999E-2</v>
      </c>
      <c r="F11" s="29"/>
      <c r="G11" s="29"/>
      <c r="H11" s="29"/>
      <c r="I11" s="29"/>
      <c r="J11" s="29"/>
      <c r="K11" s="29"/>
      <c r="L11" s="29"/>
      <c r="M11" s="29"/>
      <c r="N11" s="29"/>
      <c r="O11" s="29"/>
      <c r="P11" s="29"/>
      <c r="Q11" s="29"/>
      <c r="R11" s="29"/>
      <c r="S11" s="29"/>
      <c r="T11" s="22"/>
      <c r="V11" s="162"/>
      <c r="W11" s="184" t="s">
        <v>16</v>
      </c>
      <c r="X11" s="183">
        <v>5.1545999999999995E-2</v>
      </c>
      <c r="Y11" s="162"/>
      <c r="Z11" s="40"/>
      <c r="AA11" s="40"/>
    </row>
    <row r="12" spans="1:27" ht="15" customHeight="1" x14ac:dyDescent="0.25">
      <c r="B12" s="82"/>
      <c r="C12" s="192" t="s">
        <v>258</v>
      </c>
      <c r="D12" s="201" t="s">
        <v>26</v>
      </c>
      <c r="E12" s="209">
        <v>2.0709000000000002E-2</v>
      </c>
      <c r="F12" s="29"/>
      <c r="G12" s="29"/>
      <c r="H12" s="29"/>
      <c r="I12" s="29"/>
      <c r="J12" s="29"/>
      <c r="K12" s="29"/>
      <c r="L12" s="29"/>
      <c r="M12" s="29"/>
      <c r="N12" s="29"/>
      <c r="O12" s="29"/>
      <c r="P12" s="29"/>
      <c r="Q12" s="29"/>
      <c r="R12" s="29"/>
      <c r="S12" s="29"/>
      <c r="T12" s="22"/>
      <c r="V12" s="162"/>
      <c r="W12" s="184" t="s">
        <v>23</v>
      </c>
      <c r="X12" s="183">
        <v>4.2602000000000001E-2</v>
      </c>
      <c r="Y12" s="162"/>
      <c r="Z12" s="40"/>
      <c r="AA12" s="40"/>
    </row>
    <row r="13" spans="1:27" ht="15" customHeight="1" x14ac:dyDescent="0.25">
      <c r="B13" s="82"/>
      <c r="C13" s="192" t="s">
        <v>111</v>
      </c>
      <c r="D13" s="201" t="s">
        <v>112</v>
      </c>
      <c r="E13" s="209">
        <v>1.9234000000000001E-2</v>
      </c>
      <c r="F13" s="29"/>
      <c r="G13" s="29"/>
      <c r="H13" s="29"/>
      <c r="I13" s="29"/>
      <c r="J13" s="29"/>
      <c r="K13" s="29"/>
      <c r="L13" s="29"/>
      <c r="M13" s="29"/>
      <c r="N13" s="29"/>
      <c r="O13" s="29"/>
      <c r="P13" s="29"/>
      <c r="Q13" s="29"/>
      <c r="R13" s="29"/>
      <c r="S13" s="29"/>
      <c r="T13" s="22"/>
      <c r="V13" s="162"/>
      <c r="W13" s="184" t="s">
        <v>26</v>
      </c>
      <c r="X13" s="183">
        <v>4.0842000000000003E-2</v>
      </c>
      <c r="Y13" s="162"/>
      <c r="Z13" s="40"/>
      <c r="AA13" s="40"/>
    </row>
    <row r="14" spans="1:27" ht="15" customHeight="1" x14ac:dyDescent="0.25">
      <c r="B14" s="82"/>
      <c r="C14" s="192" t="s">
        <v>36</v>
      </c>
      <c r="D14" s="201" t="s">
        <v>3</v>
      </c>
      <c r="E14" s="209">
        <v>1.9140999999999998E-2</v>
      </c>
      <c r="F14" s="29"/>
      <c r="G14" s="29"/>
      <c r="H14" s="29"/>
      <c r="I14" s="29"/>
      <c r="J14" s="29"/>
      <c r="K14" s="29"/>
      <c r="L14" s="29"/>
      <c r="M14" s="29"/>
      <c r="N14" s="29"/>
      <c r="O14" s="29"/>
      <c r="P14" s="29"/>
      <c r="Q14" s="29"/>
      <c r="R14" s="29"/>
      <c r="S14" s="29"/>
      <c r="T14" s="22"/>
      <c r="V14" s="162"/>
      <c r="W14" s="184" t="s">
        <v>87</v>
      </c>
      <c r="X14" s="183">
        <v>3.9619999999999995E-2</v>
      </c>
      <c r="Y14" s="162"/>
      <c r="Z14" s="40"/>
      <c r="AA14" s="40"/>
    </row>
    <row r="15" spans="1:27" ht="15.75" customHeight="1" x14ac:dyDescent="0.25">
      <c r="B15" s="82"/>
      <c r="C15" s="192" t="s">
        <v>273</v>
      </c>
      <c r="D15" s="201" t="s">
        <v>110</v>
      </c>
      <c r="E15" s="209">
        <v>1.6757999999999999E-2</v>
      </c>
      <c r="F15" s="29"/>
      <c r="G15" s="29"/>
      <c r="H15" s="29"/>
      <c r="I15" s="29"/>
      <c r="J15" s="29"/>
      <c r="K15" s="29"/>
      <c r="L15" s="29"/>
      <c r="M15" s="29"/>
      <c r="N15" s="29"/>
      <c r="O15" s="29"/>
      <c r="P15" s="29"/>
      <c r="Q15" s="29"/>
      <c r="R15" s="29"/>
      <c r="S15" s="29"/>
      <c r="T15" s="22"/>
      <c r="V15" s="162"/>
      <c r="W15" s="184" t="s">
        <v>114</v>
      </c>
      <c r="X15" s="183">
        <v>3.8113000000000001E-2</v>
      </c>
      <c r="Y15" s="162"/>
      <c r="Z15" s="40"/>
      <c r="AA15" s="40"/>
    </row>
    <row r="16" spans="1:27" ht="15" customHeight="1" x14ac:dyDescent="0.25">
      <c r="B16" s="82"/>
      <c r="C16" s="192" t="s">
        <v>34</v>
      </c>
      <c r="D16" s="201" t="s">
        <v>23</v>
      </c>
      <c r="E16" s="209">
        <v>1.6438000000000001E-2</v>
      </c>
      <c r="F16" s="29"/>
      <c r="G16" s="29"/>
      <c r="H16" s="29"/>
      <c r="I16" s="29"/>
      <c r="J16" s="29"/>
      <c r="K16" s="29"/>
      <c r="L16" s="29"/>
      <c r="M16" s="29"/>
      <c r="N16" s="29"/>
      <c r="O16" s="29"/>
      <c r="P16" s="29"/>
      <c r="Q16" s="29"/>
      <c r="R16" s="29"/>
      <c r="S16" s="29"/>
      <c r="T16" s="22"/>
      <c r="V16" s="162"/>
      <c r="W16" s="184" t="s">
        <v>4</v>
      </c>
      <c r="X16" s="183">
        <v>3.7641000000000001E-2</v>
      </c>
      <c r="Y16" s="162"/>
      <c r="Z16" s="40"/>
      <c r="AA16" s="40"/>
    </row>
    <row r="17" spans="2:27" ht="15.75" customHeight="1" x14ac:dyDescent="0.25">
      <c r="B17" s="82"/>
      <c r="C17" s="192" t="s">
        <v>137</v>
      </c>
      <c r="D17" s="201" t="s">
        <v>3</v>
      </c>
      <c r="E17" s="209">
        <v>1.4648E-2</v>
      </c>
      <c r="F17" s="29"/>
      <c r="G17" s="29"/>
      <c r="H17" s="29"/>
      <c r="I17" s="29"/>
      <c r="J17" s="29"/>
      <c r="K17" s="29"/>
      <c r="L17" s="29"/>
      <c r="M17" s="29"/>
      <c r="N17" s="29"/>
      <c r="O17" s="29"/>
      <c r="P17" s="29"/>
      <c r="Q17" s="29"/>
      <c r="R17" s="29"/>
      <c r="S17" s="29"/>
      <c r="T17" s="22"/>
      <c r="V17" s="162"/>
      <c r="W17" s="184" t="s">
        <v>6</v>
      </c>
      <c r="X17" s="183">
        <v>3.5595000000000002E-2</v>
      </c>
      <c r="Y17" s="162"/>
      <c r="Z17" s="40"/>
      <c r="AA17" s="40"/>
    </row>
    <row r="18" spans="2:27" ht="15.75" x14ac:dyDescent="0.25">
      <c r="B18" s="82"/>
      <c r="C18" s="192" t="s">
        <v>351</v>
      </c>
      <c r="D18" s="201" t="s">
        <v>16</v>
      </c>
      <c r="E18" s="209">
        <v>1.4590000000000001E-2</v>
      </c>
      <c r="F18" s="29"/>
      <c r="G18" s="29"/>
      <c r="H18" s="29"/>
      <c r="I18" s="29"/>
      <c r="J18" s="29"/>
      <c r="K18" s="29"/>
      <c r="L18" s="29"/>
      <c r="M18" s="29"/>
      <c r="N18" s="29"/>
      <c r="O18" s="29"/>
      <c r="P18" s="29"/>
      <c r="Q18" s="29"/>
      <c r="R18" s="29"/>
      <c r="S18" s="29"/>
      <c r="T18" s="22"/>
      <c r="V18" s="162"/>
      <c r="W18" s="184" t="s">
        <v>24</v>
      </c>
      <c r="X18" s="183">
        <v>3.2372999999999999E-2</v>
      </c>
      <c r="Y18" s="162"/>
      <c r="Z18" s="40"/>
      <c r="AA18" s="40"/>
    </row>
    <row r="19" spans="2:27" ht="15.75" customHeight="1" x14ac:dyDescent="0.25">
      <c r="B19" s="82"/>
      <c r="C19" s="192" t="s">
        <v>33</v>
      </c>
      <c r="D19" s="201" t="s">
        <v>109</v>
      </c>
      <c r="E19" s="209">
        <v>1.4576E-2</v>
      </c>
      <c r="F19" s="29"/>
      <c r="G19" s="29"/>
      <c r="H19" s="29"/>
      <c r="I19" s="29"/>
      <c r="J19" s="29"/>
      <c r="K19" s="29"/>
      <c r="L19" s="29"/>
      <c r="M19" s="29"/>
      <c r="N19" s="29"/>
      <c r="O19" s="29"/>
      <c r="P19" s="29"/>
      <c r="Q19" s="29"/>
      <c r="R19" s="29"/>
      <c r="S19" s="29"/>
      <c r="T19" s="22"/>
      <c r="V19" s="162"/>
      <c r="W19" s="184" t="s">
        <v>112</v>
      </c>
      <c r="X19" s="183">
        <v>3.2044000000000003E-2</v>
      </c>
      <c r="Y19" s="162"/>
      <c r="Z19" s="40"/>
      <c r="AA19" s="40"/>
    </row>
    <row r="20" spans="2:27" ht="15" customHeight="1" x14ac:dyDescent="0.25">
      <c r="B20" s="82"/>
      <c r="C20" s="192" t="s">
        <v>272</v>
      </c>
      <c r="D20" s="201" t="s">
        <v>23</v>
      </c>
      <c r="E20" s="209">
        <v>1.4111E-2</v>
      </c>
      <c r="F20" s="29"/>
      <c r="G20" s="29"/>
      <c r="H20" s="29"/>
      <c r="I20" s="29"/>
      <c r="J20" s="29"/>
      <c r="K20" s="29"/>
      <c r="L20" s="29"/>
      <c r="M20" s="29"/>
      <c r="N20" s="29"/>
      <c r="O20" s="29"/>
      <c r="P20" s="29"/>
      <c r="Q20" s="29"/>
      <c r="R20" s="29"/>
      <c r="S20" s="29"/>
      <c r="T20" s="22"/>
      <c r="V20" s="162"/>
      <c r="W20" s="184" t="s">
        <v>115</v>
      </c>
      <c r="X20" s="183">
        <v>2.6277000000000002E-2</v>
      </c>
      <c r="Y20" s="162"/>
      <c r="Z20" s="40"/>
      <c r="AA20" s="40"/>
    </row>
    <row r="21" spans="2:27" ht="15" customHeight="1" x14ac:dyDescent="0.25">
      <c r="B21" s="82"/>
      <c r="C21" s="192" t="s">
        <v>271</v>
      </c>
      <c r="D21" s="201" t="s">
        <v>108</v>
      </c>
      <c r="E21" s="209">
        <v>1.4057E-2</v>
      </c>
      <c r="F21" s="29"/>
      <c r="G21" s="29"/>
      <c r="H21" s="29"/>
      <c r="I21" s="29"/>
      <c r="J21" s="29"/>
      <c r="K21" s="29"/>
      <c r="L21" s="29"/>
      <c r="M21" s="29"/>
      <c r="N21" s="29"/>
      <c r="O21" s="29"/>
      <c r="P21" s="29"/>
      <c r="Q21" s="29"/>
      <c r="R21" s="29"/>
      <c r="S21" s="29"/>
      <c r="T21" s="22"/>
      <c r="V21" s="162"/>
      <c r="W21" s="184" t="s">
        <v>10</v>
      </c>
      <c r="X21" s="183">
        <v>2.3814999999999999E-2</v>
      </c>
      <c r="Y21" s="162"/>
      <c r="Z21" s="40"/>
      <c r="AA21" s="40"/>
    </row>
    <row r="22" spans="2:27" ht="15" customHeight="1" x14ac:dyDescent="0.25">
      <c r="B22" s="82"/>
      <c r="C22" s="192" t="s">
        <v>98</v>
      </c>
      <c r="D22" s="201" t="s">
        <v>114</v>
      </c>
      <c r="E22" s="209">
        <v>1.3455E-2</v>
      </c>
      <c r="F22" s="29"/>
      <c r="G22" s="29"/>
      <c r="H22" s="29"/>
      <c r="I22" s="29"/>
      <c r="J22" s="29"/>
      <c r="K22" s="29"/>
      <c r="L22" s="29"/>
      <c r="M22" s="29"/>
      <c r="N22" s="29"/>
      <c r="O22" s="29"/>
      <c r="P22" s="29"/>
      <c r="Q22" s="29"/>
      <c r="R22" s="29"/>
      <c r="S22" s="29"/>
      <c r="T22" s="22"/>
      <c r="V22" s="162"/>
      <c r="W22" s="184" t="s">
        <v>121</v>
      </c>
      <c r="X22" s="183">
        <v>2.1970999999999997E-2</v>
      </c>
      <c r="Y22" s="162"/>
      <c r="Z22" s="40"/>
      <c r="AA22" s="40"/>
    </row>
    <row r="23" spans="2:27" ht="15" customHeight="1" x14ac:dyDescent="0.25">
      <c r="B23" s="82"/>
      <c r="C23" s="74"/>
      <c r="D23" s="74"/>
      <c r="E23" s="157"/>
      <c r="F23" s="29"/>
      <c r="G23" s="29"/>
      <c r="H23" s="29"/>
      <c r="I23" s="29"/>
      <c r="J23" s="29"/>
      <c r="K23" s="29"/>
      <c r="L23" s="29"/>
      <c r="M23" s="29"/>
      <c r="N23" s="29"/>
      <c r="O23" s="29"/>
      <c r="P23" s="29"/>
      <c r="Q23" s="29"/>
      <c r="R23" s="29"/>
      <c r="S23" s="29"/>
      <c r="T23" s="22"/>
      <c r="V23" s="162"/>
      <c r="W23" s="184" t="s">
        <v>120</v>
      </c>
      <c r="X23" s="183">
        <v>2.1643000000000003E-2</v>
      </c>
      <c r="Y23" s="162"/>
      <c r="Z23" s="40"/>
      <c r="AA23" s="40"/>
    </row>
    <row r="24" spans="2:27" ht="15" customHeight="1" x14ac:dyDescent="0.25">
      <c r="B24" s="82"/>
      <c r="C24" s="76" t="s">
        <v>55</v>
      </c>
      <c r="D24" s="77"/>
      <c r="E24" s="78">
        <f>SUM(E8:E22)</f>
        <v>0.29878399999999994</v>
      </c>
      <c r="F24" s="29"/>
      <c r="G24" s="29"/>
      <c r="H24" s="29"/>
      <c r="I24" s="29"/>
      <c r="J24" s="29"/>
      <c r="K24" s="29"/>
      <c r="L24" s="29"/>
      <c r="M24" s="29"/>
      <c r="N24" s="29"/>
      <c r="O24" s="29"/>
      <c r="P24" s="29"/>
      <c r="Q24" s="29"/>
      <c r="R24" s="29"/>
      <c r="S24" s="29"/>
      <c r="T24" s="22"/>
      <c r="V24" s="162"/>
      <c r="W24" s="184" t="s">
        <v>85</v>
      </c>
      <c r="X24" s="183">
        <v>2.0715000000000001E-2</v>
      </c>
      <c r="Y24" s="162"/>
      <c r="Z24" s="40"/>
      <c r="AA24" s="40"/>
    </row>
    <row r="25" spans="2:27" ht="15" customHeight="1" x14ac:dyDescent="0.25">
      <c r="B25" s="82"/>
      <c r="F25" s="29"/>
      <c r="G25" s="29"/>
      <c r="H25" s="29"/>
      <c r="I25" s="29"/>
      <c r="J25" s="29"/>
      <c r="K25" s="29"/>
      <c r="L25" s="29"/>
      <c r="M25" s="29"/>
      <c r="N25" s="29"/>
      <c r="O25" s="29"/>
      <c r="P25" s="29"/>
      <c r="Q25" s="29"/>
      <c r="R25" s="29"/>
      <c r="S25" s="29"/>
      <c r="T25" s="22"/>
      <c r="V25" s="162"/>
      <c r="W25" s="184" t="s">
        <v>108</v>
      </c>
      <c r="X25" s="183">
        <v>1.8654E-2</v>
      </c>
      <c r="Y25" s="162"/>
      <c r="Z25" s="40"/>
      <c r="AA25" s="40"/>
    </row>
    <row r="26" spans="2:27" ht="15" customHeight="1" x14ac:dyDescent="0.25">
      <c r="B26" s="82"/>
      <c r="F26" s="29"/>
      <c r="G26" s="29"/>
      <c r="H26" s="29"/>
      <c r="I26" s="29"/>
      <c r="J26" s="29"/>
      <c r="K26" s="29"/>
      <c r="L26" s="29"/>
      <c r="M26" s="29"/>
      <c r="N26" s="29"/>
      <c r="O26" s="29"/>
      <c r="P26" s="29"/>
      <c r="Q26" s="29"/>
      <c r="R26" s="29"/>
      <c r="S26" s="29"/>
      <c r="T26" s="22"/>
      <c r="V26" s="162"/>
      <c r="W26" s="184" t="s">
        <v>110</v>
      </c>
      <c r="X26" s="183">
        <v>1.6757999999999999E-2</v>
      </c>
      <c r="Y26" s="162"/>
      <c r="Z26" s="40"/>
      <c r="AA26" s="40"/>
    </row>
    <row r="27" spans="2:27" ht="15" customHeight="1" x14ac:dyDescent="0.25">
      <c r="B27" s="82"/>
      <c r="D27" s="164"/>
      <c r="F27" s="29"/>
      <c r="G27" s="29"/>
      <c r="H27" s="29"/>
      <c r="I27" s="29"/>
      <c r="J27" s="29"/>
      <c r="K27" s="29"/>
      <c r="L27" s="29"/>
      <c r="M27" s="29"/>
      <c r="N27" s="29"/>
      <c r="O27" s="29"/>
      <c r="P27" s="29"/>
      <c r="Q27" s="29"/>
      <c r="R27" s="29"/>
      <c r="S27" s="29"/>
      <c r="T27" s="22"/>
      <c r="V27" s="162"/>
      <c r="W27" s="184" t="s">
        <v>25</v>
      </c>
      <c r="X27" s="183">
        <v>1.4827E-2</v>
      </c>
      <c r="Y27" s="162"/>
      <c r="Z27" s="40"/>
      <c r="AA27" s="40"/>
    </row>
    <row r="28" spans="2:27" ht="15" customHeight="1" x14ac:dyDescent="0.25">
      <c r="B28" s="82"/>
      <c r="F28" s="29"/>
      <c r="G28" s="29"/>
      <c r="H28" s="29"/>
      <c r="I28" s="29"/>
      <c r="J28" s="29"/>
      <c r="K28" s="29"/>
      <c r="L28" s="29"/>
      <c r="M28" s="29"/>
      <c r="N28" s="29"/>
      <c r="O28" s="29"/>
      <c r="P28" s="29"/>
      <c r="Q28" s="29"/>
      <c r="R28" s="29"/>
      <c r="S28" s="29"/>
      <c r="T28" s="22"/>
      <c r="V28" s="162"/>
      <c r="W28" s="184" t="s">
        <v>84</v>
      </c>
      <c r="X28" s="183">
        <v>1.3919999999999998E-2</v>
      </c>
      <c r="Y28" s="162"/>
      <c r="Z28" s="40"/>
      <c r="AA28" s="40"/>
    </row>
    <row r="29" spans="2:27" ht="15" customHeight="1" x14ac:dyDescent="0.25">
      <c r="B29" s="82"/>
      <c r="F29" s="29"/>
      <c r="G29" s="29"/>
      <c r="H29" s="29"/>
      <c r="I29" s="29"/>
      <c r="J29" s="29"/>
      <c r="K29" s="29"/>
      <c r="L29" s="29"/>
      <c r="M29" s="29"/>
      <c r="N29" s="29"/>
      <c r="O29" s="29"/>
      <c r="P29" s="29"/>
      <c r="Q29" s="29"/>
      <c r="R29" s="29"/>
      <c r="S29" s="29"/>
      <c r="T29" s="22"/>
      <c r="V29" s="162"/>
      <c r="W29" s="184" t="s">
        <v>13</v>
      </c>
      <c r="X29" s="183">
        <v>1.3408E-2</v>
      </c>
      <c r="Y29" s="162"/>
      <c r="Z29" s="40"/>
      <c r="AA29" s="40"/>
    </row>
    <row r="30" spans="2:27" ht="15" customHeight="1" x14ac:dyDescent="0.25">
      <c r="B30" s="82"/>
      <c r="F30" s="29"/>
      <c r="G30" s="29"/>
      <c r="H30" s="29"/>
      <c r="I30" s="29"/>
      <c r="J30" s="29"/>
      <c r="K30" s="29"/>
      <c r="L30" s="29"/>
      <c r="M30" s="29"/>
      <c r="N30" s="29"/>
      <c r="O30" s="29"/>
      <c r="P30" s="29"/>
      <c r="Q30" s="29"/>
      <c r="R30" s="29"/>
      <c r="S30" s="29"/>
      <c r="T30" s="22"/>
      <c r="V30" s="162"/>
      <c r="W30" s="184" t="s">
        <v>139</v>
      </c>
      <c r="X30" s="183">
        <v>1.3093E-2</v>
      </c>
      <c r="Y30" s="162"/>
      <c r="Z30" s="40"/>
      <c r="AA30" s="40"/>
    </row>
    <row r="31" spans="2:27" ht="15" customHeight="1" x14ac:dyDescent="0.25">
      <c r="B31" s="82"/>
      <c r="F31" s="29"/>
      <c r="G31" s="29"/>
      <c r="H31" s="29"/>
      <c r="I31" s="29"/>
      <c r="J31" s="29"/>
      <c r="K31" s="29"/>
      <c r="L31" s="29"/>
      <c r="M31" s="29"/>
      <c r="N31" s="29"/>
      <c r="O31" s="29"/>
      <c r="P31" s="29"/>
      <c r="Q31" s="29"/>
      <c r="R31" s="29"/>
      <c r="S31" s="29"/>
      <c r="T31" s="22"/>
      <c r="V31" s="162"/>
      <c r="W31" s="184" t="s">
        <v>12</v>
      </c>
      <c r="X31" s="183">
        <v>1.2241E-2</v>
      </c>
      <c r="Y31" s="162"/>
      <c r="Z31" s="40"/>
      <c r="AA31" s="40"/>
    </row>
    <row r="32" spans="2:27" ht="15" customHeight="1" x14ac:dyDescent="0.25">
      <c r="B32" s="82"/>
      <c r="F32" s="29"/>
      <c r="G32" s="29"/>
      <c r="H32" s="29"/>
      <c r="I32" s="29"/>
      <c r="J32" s="29"/>
      <c r="K32" s="29"/>
      <c r="L32" s="29"/>
      <c r="M32" s="29"/>
      <c r="N32" s="29"/>
      <c r="O32" s="29"/>
      <c r="P32" s="29"/>
      <c r="Q32" s="29"/>
      <c r="R32" s="29"/>
      <c r="S32" s="29"/>
      <c r="T32" s="22"/>
      <c r="V32" s="162"/>
      <c r="W32" s="184" t="s">
        <v>116</v>
      </c>
      <c r="X32" s="183">
        <v>1.1749000000000001E-2</v>
      </c>
      <c r="Y32" s="162"/>
      <c r="Z32" s="40"/>
      <c r="AA32" s="40"/>
    </row>
    <row r="33" spans="2:27" ht="15" customHeight="1" x14ac:dyDescent="0.25">
      <c r="B33" s="82"/>
      <c r="F33" s="29"/>
      <c r="G33" s="29"/>
      <c r="H33" s="29"/>
      <c r="I33" s="29"/>
      <c r="J33" s="29"/>
      <c r="K33" s="29"/>
      <c r="L33" s="29"/>
      <c r="M33" s="29"/>
      <c r="N33" s="29"/>
      <c r="O33" s="29"/>
      <c r="P33" s="29"/>
      <c r="Q33" s="29"/>
      <c r="R33" s="29"/>
      <c r="S33" s="29"/>
      <c r="T33" s="22"/>
      <c r="V33" s="162"/>
      <c r="W33" s="184" t="s">
        <v>86</v>
      </c>
      <c r="X33" s="183">
        <v>1.1604E-2</v>
      </c>
      <c r="Y33" s="162"/>
      <c r="Z33" s="40"/>
      <c r="AA33" s="40"/>
    </row>
    <row r="34" spans="2:27" ht="15" customHeight="1" x14ac:dyDescent="0.25">
      <c r="B34" s="82"/>
      <c r="F34" s="29"/>
      <c r="G34" s="29"/>
      <c r="H34" s="29"/>
      <c r="I34" s="29"/>
      <c r="J34" s="29"/>
      <c r="K34" s="29"/>
      <c r="L34" s="29"/>
      <c r="M34" s="29"/>
      <c r="N34" s="29"/>
      <c r="O34" s="29"/>
      <c r="P34" s="29"/>
      <c r="Q34" s="29"/>
      <c r="R34" s="29"/>
      <c r="S34" s="29"/>
      <c r="T34" s="22"/>
      <c r="V34" s="162"/>
      <c r="W34" s="184" t="s">
        <v>128</v>
      </c>
      <c r="X34" s="183">
        <v>1.1543000000000001E-2</v>
      </c>
      <c r="Y34" s="162"/>
      <c r="Z34" s="40"/>
      <c r="AA34" s="40"/>
    </row>
    <row r="35" spans="2:27" ht="15" customHeight="1" x14ac:dyDescent="0.25">
      <c r="B35" s="82"/>
      <c r="F35" s="29"/>
      <c r="G35" s="29"/>
      <c r="H35" s="29"/>
      <c r="I35" s="29"/>
      <c r="J35" s="29"/>
      <c r="K35" s="29"/>
      <c r="L35" s="29"/>
      <c r="M35" s="29"/>
      <c r="N35" s="29"/>
      <c r="O35" s="29"/>
      <c r="P35" s="29"/>
      <c r="Q35" s="29"/>
      <c r="R35" s="29"/>
      <c r="S35" s="29"/>
      <c r="T35" s="22"/>
      <c r="V35" s="162"/>
      <c r="W35" s="184" t="s">
        <v>119</v>
      </c>
      <c r="X35" s="183">
        <v>1.1180000000000001E-2</v>
      </c>
      <c r="Y35" s="162"/>
      <c r="Z35" s="40"/>
      <c r="AA35" s="40"/>
    </row>
    <row r="36" spans="2:27" ht="15" customHeight="1" x14ac:dyDescent="0.25">
      <c r="B36" s="82"/>
      <c r="F36" s="29"/>
      <c r="G36" s="29"/>
      <c r="H36" s="29"/>
      <c r="I36" s="29"/>
      <c r="J36" s="29"/>
      <c r="K36" s="29"/>
      <c r="L36" s="29"/>
      <c r="M36" s="29"/>
      <c r="N36" s="29"/>
      <c r="O36" s="29"/>
      <c r="P36" s="29"/>
      <c r="Q36" s="29"/>
      <c r="R36" s="29"/>
      <c r="S36" s="29"/>
      <c r="T36" s="22"/>
      <c r="V36" s="162"/>
      <c r="W36" s="184" t="s">
        <v>11</v>
      </c>
      <c r="X36" s="183">
        <v>1.1152E-2</v>
      </c>
      <c r="Y36" s="162"/>
      <c r="Z36" s="40"/>
      <c r="AA36" s="40"/>
    </row>
    <row r="37" spans="2:27" ht="15" customHeight="1" x14ac:dyDescent="0.25">
      <c r="B37" s="82"/>
      <c r="C37" s="29"/>
      <c r="D37" s="29"/>
      <c r="E37" s="29"/>
      <c r="F37" s="29"/>
      <c r="G37" s="29"/>
      <c r="H37" s="29"/>
      <c r="I37" s="29"/>
      <c r="J37" s="29"/>
      <c r="K37" s="29"/>
      <c r="L37" s="29"/>
      <c r="M37" s="29"/>
      <c r="N37" s="29"/>
      <c r="O37" s="29"/>
      <c r="P37" s="29"/>
      <c r="Q37" s="29"/>
      <c r="R37" s="29"/>
      <c r="S37" s="29"/>
      <c r="T37" s="22"/>
      <c r="W37" s="184" t="s">
        <v>229</v>
      </c>
      <c r="X37" s="183">
        <v>1.0196999999999999E-2</v>
      </c>
    </row>
    <row r="38" spans="2:27" ht="15" customHeight="1" thickBot="1" x14ac:dyDescent="0.3">
      <c r="B38" s="83"/>
      <c r="C38" s="84"/>
      <c r="D38" s="84"/>
      <c r="E38" s="84"/>
      <c r="F38" s="84"/>
      <c r="G38" s="84"/>
      <c r="H38" s="84"/>
      <c r="I38" s="84"/>
      <c r="J38" s="84"/>
      <c r="K38" s="84"/>
      <c r="L38" s="84"/>
      <c r="M38" s="84"/>
      <c r="N38" s="84"/>
      <c r="O38" s="84"/>
      <c r="P38" s="84"/>
      <c r="Q38" s="84"/>
      <c r="R38" s="84"/>
      <c r="S38" s="84"/>
      <c r="T38" s="23"/>
      <c r="W38" s="184" t="s">
        <v>15</v>
      </c>
      <c r="X38" s="183">
        <v>9.6170000000000005E-3</v>
      </c>
    </row>
    <row r="39" spans="2:27" ht="15" customHeight="1" thickBot="1" x14ac:dyDescent="0.3">
      <c r="W39" s="19" t="s">
        <v>135</v>
      </c>
      <c r="X39" s="60">
        <v>8.9709999999999998E-3</v>
      </c>
    </row>
    <row r="40" spans="2:27" ht="15" customHeight="1" x14ac:dyDescent="0.25">
      <c r="B40" s="265" t="s">
        <v>186</v>
      </c>
      <c r="C40" s="266"/>
      <c r="D40" s="266"/>
      <c r="E40" s="266"/>
      <c r="F40" s="266"/>
      <c r="G40" s="266"/>
      <c r="H40" s="266"/>
      <c r="I40" s="266"/>
      <c r="J40" s="266"/>
      <c r="K40" s="266"/>
      <c r="L40" s="266"/>
      <c r="M40" s="266"/>
      <c r="N40" s="266"/>
      <c r="O40" s="266"/>
      <c r="P40" s="266"/>
      <c r="Q40" s="266"/>
      <c r="R40" s="267"/>
      <c r="W40" s="19" t="s">
        <v>118</v>
      </c>
      <c r="X40" s="60">
        <v>8.6E-3</v>
      </c>
    </row>
    <row r="41" spans="2:27" ht="15" customHeight="1" x14ac:dyDescent="0.25">
      <c r="B41" s="268"/>
      <c r="C41" s="269"/>
      <c r="D41" s="269"/>
      <c r="E41" s="269"/>
      <c r="F41" s="269"/>
      <c r="G41" s="269"/>
      <c r="H41" s="269"/>
      <c r="I41" s="269"/>
      <c r="J41" s="269"/>
      <c r="K41" s="269"/>
      <c r="L41" s="269"/>
      <c r="M41" s="269"/>
      <c r="N41" s="269"/>
      <c r="O41" s="269"/>
      <c r="P41" s="269"/>
      <c r="Q41" s="269"/>
      <c r="R41" s="270"/>
      <c r="W41" s="19" t="s">
        <v>123</v>
      </c>
      <c r="X41" s="60">
        <v>7.8259999999999996E-3</v>
      </c>
    </row>
    <row r="42" spans="2:27" ht="15" customHeight="1" x14ac:dyDescent="0.25">
      <c r="B42" s="268"/>
      <c r="C42" s="269"/>
      <c r="D42" s="269"/>
      <c r="E42" s="269"/>
      <c r="F42" s="269"/>
      <c r="G42" s="269"/>
      <c r="H42" s="269"/>
      <c r="I42" s="269"/>
      <c r="J42" s="269"/>
      <c r="K42" s="269"/>
      <c r="L42" s="269"/>
      <c r="M42" s="269"/>
      <c r="N42" s="269"/>
      <c r="O42" s="269"/>
      <c r="P42" s="269"/>
      <c r="Q42" s="269"/>
      <c r="R42" s="270"/>
      <c r="W42" s="19" t="s">
        <v>126</v>
      </c>
      <c r="X42" s="60">
        <v>4.2700000000000004E-3</v>
      </c>
    </row>
    <row r="43" spans="2:27" ht="15" customHeight="1" x14ac:dyDescent="0.25">
      <c r="B43" s="268"/>
      <c r="C43" s="269"/>
      <c r="D43" s="269"/>
      <c r="E43" s="269"/>
      <c r="F43" s="269"/>
      <c r="G43" s="269"/>
      <c r="H43" s="269"/>
      <c r="I43" s="269"/>
      <c r="J43" s="269"/>
      <c r="K43" s="269"/>
      <c r="L43" s="269"/>
      <c r="M43" s="269"/>
      <c r="N43" s="269"/>
      <c r="O43" s="269"/>
      <c r="P43" s="269"/>
      <c r="Q43" s="269"/>
      <c r="R43" s="270"/>
      <c r="W43" s="19" t="s">
        <v>190</v>
      </c>
      <c r="X43" s="60">
        <v>4.0559999999999997E-3</v>
      </c>
    </row>
    <row r="44" spans="2:27" ht="15" customHeight="1" x14ac:dyDescent="0.25">
      <c r="B44" s="268"/>
      <c r="C44" s="269"/>
      <c r="D44" s="269"/>
      <c r="E44" s="269"/>
      <c r="F44" s="269"/>
      <c r="G44" s="269"/>
      <c r="H44" s="269"/>
      <c r="I44" s="269"/>
      <c r="J44" s="269"/>
      <c r="K44" s="269"/>
      <c r="L44" s="269"/>
      <c r="M44" s="269"/>
      <c r="N44" s="269"/>
      <c r="O44" s="269"/>
      <c r="P44" s="269"/>
      <c r="Q44" s="269"/>
      <c r="R44" s="270"/>
    </row>
    <row r="45" spans="2:27" ht="15" customHeight="1" x14ac:dyDescent="0.25">
      <c r="B45" s="268"/>
      <c r="C45" s="269"/>
      <c r="D45" s="269"/>
      <c r="E45" s="269"/>
      <c r="F45" s="269"/>
      <c r="G45" s="269"/>
      <c r="H45" s="269"/>
      <c r="I45" s="269"/>
      <c r="J45" s="269"/>
      <c r="K45" s="269"/>
      <c r="L45" s="269"/>
      <c r="M45" s="269"/>
      <c r="N45" s="269"/>
      <c r="O45" s="269"/>
      <c r="P45" s="269"/>
      <c r="Q45" s="269"/>
      <c r="R45" s="270"/>
    </row>
    <row r="46" spans="2:27" ht="21.75" customHeight="1" thickBot="1" x14ac:dyDescent="0.3">
      <c r="B46" s="271"/>
      <c r="C46" s="272"/>
      <c r="D46" s="272"/>
      <c r="E46" s="272"/>
      <c r="F46" s="272"/>
      <c r="G46" s="272"/>
      <c r="H46" s="272"/>
      <c r="I46" s="272"/>
      <c r="J46" s="272"/>
      <c r="K46" s="272"/>
      <c r="L46" s="272"/>
      <c r="M46" s="272"/>
      <c r="N46" s="272"/>
      <c r="O46" s="272"/>
      <c r="P46" s="272"/>
      <c r="Q46" s="272"/>
      <c r="R46" s="273"/>
    </row>
    <row r="47" spans="2:27" ht="15" customHeight="1" x14ac:dyDescent="0.25"/>
    <row r="48" spans="2:27"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A59"/>
  <sheetViews>
    <sheetView showGridLines="0" zoomScale="80" zoomScaleNormal="80"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5.140625" style="19" customWidth="1"/>
    <col min="6" max="8" width="9.140625" style="19"/>
    <col min="9" max="9" width="11.85546875" style="19" customWidth="1"/>
    <col min="10" max="18" width="9.140625" style="19"/>
    <col min="19" max="19" width="9.85546875" style="19" customWidth="1"/>
    <col min="20" max="16384" width="9.140625" style="19"/>
  </cols>
  <sheetData>
    <row r="1" spans="1:27" ht="15.75" customHeight="1" thickBot="1" x14ac:dyDescent="0.3">
      <c r="A1" s="3"/>
    </row>
    <row r="2" spans="1:27" ht="15" customHeight="1" x14ac:dyDescent="0.25">
      <c r="B2" s="80"/>
      <c r="C2" s="81"/>
      <c r="D2" s="81"/>
      <c r="E2" s="81"/>
      <c r="F2" s="81"/>
      <c r="G2" s="81"/>
      <c r="H2" s="81"/>
      <c r="I2" s="81"/>
      <c r="J2" s="81"/>
      <c r="K2" s="81"/>
      <c r="L2" s="81"/>
      <c r="M2" s="81"/>
      <c r="N2" s="81"/>
      <c r="O2" s="81"/>
      <c r="P2" s="81"/>
      <c r="Q2" s="81"/>
      <c r="R2" s="81"/>
      <c r="S2" s="81"/>
      <c r="T2" s="21"/>
    </row>
    <row r="3" spans="1:27" ht="20.25" customHeight="1" x14ac:dyDescent="0.25">
      <c r="B3" s="82"/>
      <c r="C3" s="274" t="s">
        <v>170</v>
      </c>
      <c r="D3" s="274"/>
      <c r="E3" s="274"/>
      <c r="F3" s="274"/>
      <c r="G3" s="274"/>
      <c r="H3" s="274"/>
      <c r="I3" s="274"/>
      <c r="J3" s="274"/>
      <c r="K3" s="274"/>
      <c r="L3" s="274"/>
      <c r="M3" s="274"/>
      <c r="N3" s="274"/>
      <c r="O3" s="274"/>
      <c r="P3" s="274"/>
      <c r="Q3" s="274"/>
      <c r="R3" s="274"/>
      <c r="S3" s="274"/>
      <c r="T3" s="22"/>
      <c r="V3" s="40"/>
      <c r="W3" s="40"/>
      <c r="X3" s="40"/>
      <c r="Y3" s="40"/>
      <c r="Z3" s="40"/>
      <c r="AA3" s="40"/>
    </row>
    <row r="4" spans="1:27" ht="15.75" customHeight="1" x14ac:dyDescent="0.25">
      <c r="B4" s="82"/>
      <c r="C4" s="70" t="s">
        <v>367</v>
      </c>
      <c r="D4" s="29"/>
      <c r="E4" s="29"/>
      <c r="F4" s="29"/>
      <c r="G4" s="29"/>
      <c r="H4" s="29"/>
      <c r="I4" s="29"/>
      <c r="J4" s="29"/>
      <c r="K4" s="29"/>
      <c r="L4" s="29"/>
      <c r="M4" s="29"/>
      <c r="N4" s="29"/>
      <c r="O4" s="29"/>
      <c r="P4" s="29"/>
      <c r="Q4" s="29"/>
      <c r="R4" s="29"/>
      <c r="S4" s="29"/>
      <c r="T4" s="22"/>
      <c r="V4" s="40"/>
      <c r="W4" s="40"/>
      <c r="X4" s="40"/>
      <c r="Y4" s="40"/>
      <c r="Z4" s="40"/>
      <c r="AA4" s="40"/>
    </row>
    <row r="5" spans="1:27" ht="18" customHeight="1" x14ac:dyDescent="0.25">
      <c r="B5" s="82"/>
      <c r="C5" s="228" t="s">
        <v>366</v>
      </c>
      <c r="D5" s="276" t="s">
        <v>325</v>
      </c>
      <c r="E5" s="276"/>
      <c r="F5" s="29"/>
      <c r="G5" s="29"/>
      <c r="H5" s="29"/>
      <c r="I5" s="29"/>
      <c r="J5" s="29"/>
      <c r="K5" s="29"/>
      <c r="L5" s="29"/>
      <c r="M5" s="29"/>
      <c r="N5" s="29"/>
      <c r="O5" s="29"/>
      <c r="P5" s="29"/>
      <c r="Q5" s="29"/>
      <c r="R5" s="29"/>
      <c r="S5" s="29"/>
      <c r="T5" s="22"/>
      <c r="V5" s="162"/>
      <c r="W5" s="162"/>
      <c r="X5" s="162"/>
      <c r="Y5" s="162"/>
      <c r="Z5" s="40"/>
      <c r="AA5" s="40"/>
    </row>
    <row r="6" spans="1:27" ht="15" customHeight="1" x14ac:dyDescent="0.25">
      <c r="B6" s="82"/>
      <c r="C6" s="29"/>
      <c r="D6" s="29"/>
      <c r="E6" s="29"/>
      <c r="F6" s="29"/>
      <c r="G6" s="29"/>
      <c r="H6" s="29"/>
      <c r="I6" s="29"/>
      <c r="J6" s="29"/>
      <c r="K6" s="29"/>
      <c r="L6" s="29"/>
      <c r="M6" s="29"/>
      <c r="N6" s="29"/>
      <c r="O6" s="29"/>
      <c r="P6" s="29"/>
      <c r="Q6" s="29"/>
      <c r="R6" s="29"/>
      <c r="S6" s="29"/>
      <c r="T6" s="22"/>
      <c r="V6" s="162"/>
      <c r="W6" s="162"/>
      <c r="X6" s="162"/>
      <c r="Y6" s="162"/>
      <c r="Z6" s="40"/>
      <c r="AA6" s="40"/>
    </row>
    <row r="7" spans="1:27" ht="32.25" customHeight="1" x14ac:dyDescent="0.25">
      <c r="B7" s="82"/>
      <c r="C7" s="71" t="s">
        <v>0</v>
      </c>
      <c r="D7" s="72" t="s">
        <v>1</v>
      </c>
      <c r="E7" s="73" t="s">
        <v>2</v>
      </c>
      <c r="F7" s="29"/>
      <c r="G7" s="29"/>
      <c r="H7" s="29"/>
      <c r="I7" s="29"/>
      <c r="J7" s="29"/>
      <c r="K7" s="29"/>
      <c r="L7" s="29"/>
      <c r="M7" s="29"/>
      <c r="N7" s="29"/>
      <c r="O7" s="29"/>
      <c r="P7" s="29"/>
      <c r="Q7" s="29"/>
      <c r="R7" s="29"/>
      <c r="S7" s="29"/>
      <c r="T7" s="22"/>
      <c r="V7" s="162"/>
      <c r="W7" s="162" t="s">
        <v>22</v>
      </c>
      <c r="X7" s="163" t="s">
        <v>2</v>
      </c>
      <c r="Y7" s="162"/>
      <c r="Z7" s="40"/>
      <c r="AA7" s="40"/>
    </row>
    <row r="8" spans="1:27" ht="15" customHeight="1" x14ac:dyDescent="0.25">
      <c r="B8" s="82"/>
      <c r="C8" s="198" t="s">
        <v>32</v>
      </c>
      <c r="D8" s="199" t="s">
        <v>3</v>
      </c>
      <c r="E8" s="208">
        <v>6.5485000000000002E-2</v>
      </c>
      <c r="F8" s="29"/>
      <c r="G8" s="29"/>
      <c r="H8" s="29"/>
      <c r="I8" s="29"/>
      <c r="J8" s="29"/>
      <c r="K8" s="29"/>
      <c r="L8" s="29"/>
      <c r="M8" s="29"/>
      <c r="N8" s="29"/>
      <c r="O8" s="29"/>
      <c r="P8" s="29"/>
      <c r="Q8" s="29"/>
      <c r="R8" s="29"/>
      <c r="S8" s="29"/>
      <c r="T8" s="22"/>
      <c r="V8" s="162"/>
      <c r="W8" s="64" t="s">
        <v>3</v>
      </c>
      <c r="X8" s="216">
        <v>0.19950300000000001</v>
      </c>
      <c r="Y8" s="162"/>
      <c r="Z8" s="40"/>
      <c r="AA8" s="40"/>
    </row>
    <row r="9" spans="1:27" ht="15.75" customHeight="1" x14ac:dyDescent="0.25">
      <c r="B9" s="82"/>
      <c r="C9" s="192" t="s">
        <v>29</v>
      </c>
      <c r="D9" s="201" t="s">
        <v>3</v>
      </c>
      <c r="E9" s="209">
        <v>6.0996000000000002E-2</v>
      </c>
      <c r="F9" s="29"/>
      <c r="G9" s="29"/>
      <c r="H9" s="29"/>
      <c r="I9" s="29"/>
      <c r="J9" s="29"/>
      <c r="K9" s="29"/>
      <c r="L9" s="29"/>
      <c r="M9" s="29"/>
      <c r="N9" s="29"/>
      <c r="O9" s="29"/>
      <c r="P9" s="29"/>
      <c r="Q9" s="29"/>
      <c r="R9" s="29"/>
      <c r="S9" s="29"/>
      <c r="T9" s="22"/>
      <c r="V9" s="162"/>
      <c r="W9" s="64" t="s">
        <v>109</v>
      </c>
      <c r="X9" s="216">
        <v>7.7012000000000011E-2</v>
      </c>
      <c r="Y9" s="162"/>
      <c r="Z9" s="40"/>
      <c r="AA9" s="40"/>
    </row>
    <row r="10" spans="1:27" ht="15" customHeight="1" x14ac:dyDescent="0.25">
      <c r="B10" s="82"/>
      <c r="C10" s="192" t="s">
        <v>28</v>
      </c>
      <c r="D10" s="201" t="s">
        <v>109</v>
      </c>
      <c r="E10" s="209">
        <v>4.6290999999999999E-2</v>
      </c>
      <c r="F10" s="29"/>
      <c r="G10" s="29"/>
      <c r="H10" s="29"/>
      <c r="I10" s="29"/>
      <c r="J10" s="29"/>
      <c r="K10" s="29"/>
      <c r="L10" s="29"/>
      <c r="M10" s="29"/>
      <c r="N10" s="29"/>
      <c r="O10" s="29"/>
      <c r="P10" s="29"/>
      <c r="Q10" s="29"/>
      <c r="R10" s="29"/>
      <c r="S10" s="29"/>
      <c r="T10" s="22"/>
      <c r="V10" s="162"/>
      <c r="W10" s="64" t="s">
        <v>114</v>
      </c>
      <c r="X10" s="216">
        <v>5.7095E-2</v>
      </c>
      <c r="Y10" s="162"/>
      <c r="Z10" s="40"/>
      <c r="AA10" s="40"/>
    </row>
    <row r="11" spans="1:27" ht="15" customHeight="1" x14ac:dyDescent="0.25">
      <c r="B11" s="82"/>
      <c r="C11" s="192" t="s">
        <v>31</v>
      </c>
      <c r="D11" s="201" t="s">
        <v>6</v>
      </c>
      <c r="E11" s="209">
        <v>3.1531000000000003E-2</v>
      </c>
      <c r="F11" s="29"/>
      <c r="G11" s="29"/>
      <c r="H11" s="29"/>
      <c r="I11" s="29"/>
      <c r="J11" s="29"/>
      <c r="K11" s="29"/>
      <c r="L11" s="29"/>
      <c r="M11" s="29"/>
      <c r="N11" s="29"/>
      <c r="O11" s="29"/>
      <c r="P11" s="29"/>
      <c r="Q11" s="29"/>
      <c r="R11" s="29"/>
      <c r="S11" s="29"/>
      <c r="T11" s="22"/>
      <c r="V11" s="162"/>
      <c r="W11" s="64" t="s">
        <v>4</v>
      </c>
      <c r="X11" s="216">
        <v>5.2809999999999996E-2</v>
      </c>
      <c r="Y11" s="162"/>
      <c r="Z11" s="40"/>
      <c r="AA11" s="40"/>
    </row>
    <row r="12" spans="1:27" ht="15" customHeight="1" x14ac:dyDescent="0.25">
      <c r="B12" s="82"/>
      <c r="C12" s="192" t="s">
        <v>36</v>
      </c>
      <c r="D12" s="201" t="s">
        <v>3</v>
      </c>
      <c r="E12" s="209">
        <v>2.5677999999999999E-2</v>
      </c>
      <c r="F12" s="29"/>
      <c r="G12" s="29"/>
      <c r="H12" s="29"/>
      <c r="I12" s="29"/>
      <c r="J12" s="29"/>
      <c r="K12" s="29"/>
      <c r="L12" s="29"/>
      <c r="M12" s="29"/>
      <c r="N12" s="29"/>
      <c r="O12" s="29"/>
      <c r="P12" s="29"/>
      <c r="Q12" s="29"/>
      <c r="R12" s="29"/>
      <c r="S12" s="29"/>
      <c r="T12" s="22"/>
      <c r="V12" s="162"/>
      <c r="W12" s="64" t="s">
        <v>113</v>
      </c>
      <c r="X12" s="216">
        <v>4.4632000000000005E-2</v>
      </c>
      <c r="Y12" s="162"/>
      <c r="Z12" s="40"/>
      <c r="AA12" s="40"/>
    </row>
    <row r="13" spans="1:27" ht="15" customHeight="1" x14ac:dyDescent="0.25">
      <c r="B13" s="82"/>
      <c r="C13" s="192" t="s">
        <v>70</v>
      </c>
      <c r="D13" s="201" t="s">
        <v>12</v>
      </c>
      <c r="E13" s="209">
        <v>2.5028000000000002E-2</v>
      </c>
      <c r="F13" s="29"/>
      <c r="G13" s="29"/>
      <c r="H13" s="29"/>
      <c r="I13" s="29"/>
      <c r="J13" s="29"/>
      <c r="K13" s="29"/>
      <c r="L13" s="29"/>
      <c r="M13" s="29"/>
      <c r="N13" s="29"/>
      <c r="O13" s="29"/>
      <c r="P13" s="29"/>
      <c r="Q13" s="29"/>
      <c r="R13" s="29"/>
      <c r="S13" s="29"/>
      <c r="T13" s="22"/>
      <c r="V13" s="162"/>
      <c r="W13" s="64" t="s">
        <v>26</v>
      </c>
      <c r="X13" s="216">
        <v>4.2515999999999998E-2</v>
      </c>
      <c r="Y13" s="162"/>
      <c r="Z13" s="40"/>
      <c r="AA13" s="40"/>
    </row>
    <row r="14" spans="1:27" ht="15" customHeight="1" x14ac:dyDescent="0.25">
      <c r="B14" s="82"/>
      <c r="C14" s="192" t="s">
        <v>34</v>
      </c>
      <c r="D14" s="201" t="s">
        <v>23</v>
      </c>
      <c r="E14" s="209">
        <v>2.3689000000000002E-2</v>
      </c>
      <c r="F14" s="29"/>
      <c r="G14" s="29"/>
      <c r="H14" s="29"/>
      <c r="I14" s="29"/>
      <c r="J14" s="29"/>
      <c r="K14" s="29"/>
      <c r="L14" s="29"/>
      <c r="M14" s="29"/>
      <c r="N14" s="29"/>
      <c r="O14" s="29"/>
      <c r="P14" s="29"/>
      <c r="Q14" s="29"/>
      <c r="R14" s="29"/>
      <c r="S14" s="29"/>
      <c r="T14" s="22"/>
      <c r="V14" s="162"/>
      <c r="W14" s="64" t="s">
        <v>23</v>
      </c>
      <c r="X14" s="216">
        <v>3.6721000000000004E-2</v>
      </c>
      <c r="Y14" s="162"/>
      <c r="Z14" s="40"/>
      <c r="AA14" s="40"/>
    </row>
    <row r="15" spans="1:27" ht="15.75" customHeight="1" x14ac:dyDescent="0.25">
      <c r="B15" s="82"/>
      <c r="C15" s="192" t="s">
        <v>98</v>
      </c>
      <c r="D15" s="201" t="s">
        <v>114</v>
      </c>
      <c r="E15" s="209">
        <v>2.0483000000000001E-2</v>
      </c>
      <c r="F15" s="29"/>
      <c r="G15" s="29"/>
      <c r="H15" s="29"/>
      <c r="I15" s="29"/>
      <c r="J15" s="29"/>
      <c r="K15" s="29"/>
      <c r="L15" s="29"/>
      <c r="M15" s="29"/>
      <c r="N15" s="29"/>
      <c r="O15" s="29"/>
      <c r="P15" s="29"/>
      <c r="Q15" s="29"/>
      <c r="R15" s="29"/>
      <c r="S15" s="29"/>
      <c r="T15" s="22"/>
      <c r="V15" s="162"/>
      <c r="W15" s="64" t="s">
        <v>16</v>
      </c>
      <c r="X15" s="216">
        <v>3.2431000000000001E-2</v>
      </c>
      <c r="Y15" s="162"/>
      <c r="Z15" s="40"/>
      <c r="AA15" s="40"/>
    </row>
    <row r="16" spans="1:27" ht="15" customHeight="1" x14ac:dyDescent="0.25">
      <c r="B16" s="82"/>
      <c r="C16" s="192" t="s">
        <v>37</v>
      </c>
      <c r="D16" s="201" t="s">
        <v>119</v>
      </c>
      <c r="E16" s="209">
        <v>1.8033E-2</v>
      </c>
      <c r="F16" s="29"/>
      <c r="G16" s="29"/>
      <c r="H16" s="29"/>
      <c r="I16" s="29"/>
      <c r="J16" s="29"/>
      <c r="K16" s="29"/>
      <c r="L16" s="29"/>
      <c r="M16" s="29"/>
      <c r="N16" s="29"/>
      <c r="O16" s="29"/>
      <c r="P16" s="29"/>
      <c r="Q16" s="29"/>
      <c r="R16" s="29"/>
      <c r="S16" s="29"/>
      <c r="T16" s="22"/>
      <c r="V16" s="162"/>
      <c r="W16" s="64" t="s">
        <v>121</v>
      </c>
      <c r="X16" s="216">
        <v>3.1609999999999999E-2</v>
      </c>
      <c r="Y16" s="162"/>
      <c r="Z16" s="40"/>
      <c r="AA16" s="40"/>
    </row>
    <row r="17" spans="2:27" ht="15.75" customHeight="1" x14ac:dyDescent="0.25">
      <c r="B17" s="82"/>
      <c r="C17" s="192" t="s">
        <v>62</v>
      </c>
      <c r="D17" s="201" t="s">
        <v>10</v>
      </c>
      <c r="E17" s="209">
        <v>1.6310000000000002E-2</v>
      </c>
      <c r="F17" s="29"/>
      <c r="G17" s="29"/>
      <c r="H17" s="29"/>
      <c r="I17" s="29"/>
      <c r="J17" s="29"/>
      <c r="K17" s="29"/>
      <c r="L17" s="29"/>
      <c r="M17" s="29"/>
      <c r="N17" s="29"/>
      <c r="O17" s="29"/>
      <c r="P17" s="29"/>
      <c r="Q17" s="29"/>
      <c r="R17" s="29"/>
      <c r="S17" s="29"/>
      <c r="T17" s="22"/>
      <c r="V17" s="162"/>
      <c r="W17" s="64" t="s">
        <v>6</v>
      </c>
      <c r="X17" s="216">
        <v>3.1531000000000003E-2</v>
      </c>
      <c r="Y17" s="162"/>
      <c r="Z17" s="40"/>
      <c r="AA17" s="40"/>
    </row>
    <row r="18" spans="2:27" ht="15.75" x14ac:dyDescent="0.25">
      <c r="B18" s="82"/>
      <c r="C18" s="192" t="s">
        <v>293</v>
      </c>
      <c r="D18" s="201" t="s">
        <v>16</v>
      </c>
      <c r="E18" s="209">
        <v>1.5851000000000001E-2</v>
      </c>
      <c r="F18" s="29"/>
      <c r="G18" s="29"/>
      <c r="H18" s="29"/>
      <c r="I18" s="29"/>
      <c r="J18" s="29"/>
      <c r="K18" s="29"/>
      <c r="L18" s="29"/>
      <c r="M18" s="29"/>
      <c r="N18" s="29"/>
      <c r="O18" s="29"/>
      <c r="P18" s="29"/>
      <c r="Q18" s="29"/>
      <c r="R18" s="29"/>
      <c r="S18" s="29"/>
      <c r="T18" s="22"/>
      <c r="V18" s="162"/>
      <c r="W18" s="64" t="s">
        <v>24</v>
      </c>
      <c r="X18" s="216">
        <v>2.9806000000000003E-2</v>
      </c>
      <c r="Y18" s="162"/>
      <c r="Z18" s="40"/>
      <c r="AA18" s="40"/>
    </row>
    <row r="19" spans="2:27" ht="15.75" customHeight="1" x14ac:dyDescent="0.25">
      <c r="B19" s="82"/>
      <c r="C19" s="192" t="s">
        <v>137</v>
      </c>
      <c r="D19" s="201" t="s">
        <v>3</v>
      </c>
      <c r="E19" s="209">
        <v>1.4461E-2</v>
      </c>
      <c r="F19" s="29"/>
      <c r="G19" s="29"/>
      <c r="H19" s="29"/>
      <c r="I19" s="29"/>
      <c r="J19" s="29"/>
      <c r="K19" s="29"/>
      <c r="L19" s="29"/>
      <c r="M19" s="29"/>
      <c r="N19" s="29"/>
      <c r="O19" s="29"/>
      <c r="P19" s="29"/>
      <c r="Q19" s="29"/>
      <c r="R19" s="29"/>
      <c r="S19" s="29"/>
      <c r="T19" s="22"/>
      <c r="V19" s="162"/>
      <c r="W19" s="64" t="s">
        <v>119</v>
      </c>
      <c r="X19" s="216">
        <v>2.8332000000000003E-2</v>
      </c>
      <c r="Y19" s="162"/>
      <c r="Z19" s="40"/>
      <c r="AA19" s="40"/>
    </row>
    <row r="20" spans="2:27" ht="15" customHeight="1" x14ac:dyDescent="0.25">
      <c r="B20" s="82"/>
      <c r="C20" s="192" t="s">
        <v>82</v>
      </c>
      <c r="D20" s="201" t="s">
        <v>4</v>
      </c>
      <c r="E20" s="209">
        <v>1.4241E-2</v>
      </c>
      <c r="F20" s="29"/>
      <c r="G20" s="29"/>
      <c r="H20" s="29"/>
      <c r="I20" s="29"/>
      <c r="J20" s="29"/>
      <c r="K20" s="29"/>
      <c r="L20" s="29"/>
      <c r="M20" s="29"/>
      <c r="N20" s="29"/>
      <c r="O20" s="29"/>
      <c r="P20" s="29"/>
      <c r="Q20" s="29"/>
      <c r="R20" s="29"/>
      <c r="S20" s="29"/>
      <c r="T20" s="22"/>
      <c r="V20" s="162"/>
      <c r="W20" s="64" t="s">
        <v>87</v>
      </c>
      <c r="X20" s="216">
        <v>2.7254E-2</v>
      </c>
      <c r="Y20" s="162"/>
      <c r="Z20" s="40"/>
      <c r="AA20" s="40"/>
    </row>
    <row r="21" spans="2:27" ht="15" customHeight="1" x14ac:dyDescent="0.25">
      <c r="B21" s="82"/>
      <c r="C21" s="192" t="s">
        <v>35</v>
      </c>
      <c r="D21" s="201" t="s">
        <v>3</v>
      </c>
      <c r="E21" s="209">
        <v>1.3349E-2</v>
      </c>
      <c r="F21" s="29"/>
      <c r="G21" s="29"/>
      <c r="H21" s="29"/>
      <c r="I21" s="29"/>
      <c r="J21" s="29"/>
      <c r="K21" s="29"/>
      <c r="L21" s="29"/>
      <c r="M21" s="29"/>
      <c r="N21" s="29"/>
      <c r="O21" s="29"/>
      <c r="P21" s="29"/>
      <c r="Q21" s="29"/>
      <c r="R21" s="29"/>
      <c r="S21" s="29"/>
      <c r="T21" s="22"/>
      <c r="V21" s="162"/>
      <c r="W21" s="64" t="s">
        <v>10</v>
      </c>
      <c r="X21" s="216">
        <v>2.6347000000000002E-2</v>
      </c>
      <c r="Y21" s="162"/>
      <c r="Z21" s="40"/>
      <c r="AA21" s="40"/>
    </row>
    <row r="22" spans="2:27" ht="15" customHeight="1" x14ac:dyDescent="0.25">
      <c r="B22" s="82"/>
      <c r="C22" s="192" t="s">
        <v>90</v>
      </c>
      <c r="D22" s="201" t="s">
        <v>26</v>
      </c>
      <c r="E22" s="209">
        <v>1.2848999999999999E-2</v>
      </c>
      <c r="F22" s="29"/>
      <c r="G22" s="29"/>
      <c r="H22" s="29"/>
      <c r="I22" s="29"/>
      <c r="J22" s="29"/>
      <c r="K22" s="29"/>
      <c r="L22" s="29"/>
      <c r="M22" s="29"/>
      <c r="N22" s="29"/>
      <c r="O22" s="29"/>
      <c r="P22" s="29"/>
      <c r="Q22" s="29"/>
      <c r="R22" s="29"/>
      <c r="S22" s="29"/>
      <c r="T22" s="22"/>
      <c r="V22" s="162"/>
      <c r="W22" s="64" t="s">
        <v>12</v>
      </c>
      <c r="X22" s="216">
        <v>2.5028000000000002E-2</v>
      </c>
      <c r="Y22" s="162"/>
      <c r="Z22" s="40"/>
      <c r="AA22" s="40"/>
    </row>
    <row r="23" spans="2:27" ht="15" customHeight="1" x14ac:dyDescent="0.25">
      <c r="B23" s="82"/>
      <c r="C23" s="74"/>
      <c r="D23" s="74"/>
      <c r="E23" s="157"/>
      <c r="F23" s="29"/>
      <c r="G23" s="29"/>
      <c r="H23" s="29"/>
      <c r="I23" s="29"/>
      <c r="J23" s="29"/>
      <c r="K23" s="29"/>
      <c r="L23" s="29"/>
      <c r="M23" s="29"/>
      <c r="N23" s="29"/>
      <c r="O23" s="29"/>
      <c r="P23" s="29"/>
      <c r="Q23" s="29"/>
      <c r="R23" s="29"/>
      <c r="S23" s="29"/>
      <c r="T23" s="22"/>
      <c r="V23" s="162"/>
      <c r="W23" s="64" t="s">
        <v>112</v>
      </c>
      <c r="X23" s="216">
        <v>2.4913999999999999E-2</v>
      </c>
      <c r="Y23" s="162"/>
      <c r="Z23" s="40"/>
      <c r="AA23" s="40"/>
    </row>
    <row r="24" spans="2:27" ht="15" customHeight="1" x14ac:dyDescent="0.25">
      <c r="B24" s="82"/>
      <c r="C24" s="76" t="s">
        <v>55</v>
      </c>
      <c r="D24" s="77"/>
      <c r="E24" s="78">
        <f>SUM(E8:E22)</f>
        <v>0.40427500000000005</v>
      </c>
      <c r="F24" s="29"/>
      <c r="G24" s="29"/>
      <c r="H24" s="29"/>
      <c r="I24" s="29"/>
      <c r="J24" s="29"/>
      <c r="K24" s="29"/>
      <c r="L24" s="29"/>
      <c r="M24" s="29"/>
      <c r="N24" s="29"/>
      <c r="O24" s="29"/>
      <c r="P24" s="29"/>
      <c r="Q24" s="29"/>
      <c r="R24" s="29"/>
      <c r="S24" s="29"/>
      <c r="T24" s="22"/>
      <c r="V24" s="162"/>
      <c r="W24" s="64" t="s">
        <v>84</v>
      </c>
      <c r="X24" s="216">
        <v>2.0426E-2</v>
      </c>
      <c r="Y24" s="162"/>
      <c r="Z24" s="40"/>
      <c r="AA24" s="40"/>
    </row>
    <row r="25" spans="2:27" ht="15" customHeight="1" x14ac:dyDescent="0.25">
      <c r="B25" s="82"/>
      <c r="F25" s="29"/>
      <c r="G25" s="29"/>
      <c r="H25" s="29"/>
      <c r="I25" s="29"/>
      <c r="J25" s="29"/>
      <c r="K25" s="29"/>
      <c r="L25" s="29"/>
      <c r="M25" s="29"/>
      <c r="N25" s="29"/>
      <c r="O25" s="29"/>
      <c r="P25" s="29"/>
      <c r="Q25" s="29"/>
      <c r="R25" s="29"/>
      <c r="S25" s="29"/>
      <c r="T25" s="22"/>
      <c r="V25" s="162"/>
      <c r="W25" s="64" t="s">
        <v>11</v>
      </c>
      <c r="X25" s="216">
        <v>1.6399E-2</v>
      </c>
      <c r="Y25" s="162"/>
      <c r="Z25" s="40"/>
      <c r="AA25" s="40"/>
    </row>
    <row r="26" spans="2:27" ht="15" customHeight="1" x14ac:dyDescent="0.25">
      <c r="B26" s="82"/>
      <c r="F26" s="29"/>
      <c r="G26" s="29"/>
      <c r="H26" s="29"/>
      <c r="I26" s="29"/>
      <c r="J26" s="29"/>
      <c r="K26" s="29"/>
      <c r="L26" s="29"/>
      <c r="M26" s="29"/>
      <c r="N26" s="29"/>
      <c r="O26" s="29"/>
      <c r="P26" s="29"/>
      <c r="Q26" s="29"/>
      <c r="R26" s="29"/>
      <c r="S26" s="29"/>
      <c r="T26" s="22"/>
      <c r="V26" s="162"/>
      <c r="W26" s="64" t="s">
        <v>115</v>
      </c>
      <c r="X26" s="216">
        <v>1.4809000000000001E-2</v>
      </c>
      <c r="Y26" s="162"/>
      <c r="Z26" s="40"/>
      <c r="AA26" s="40"/>
    </row>
    <row r="27" spans="2:27" ht="15" customHeight="1" x14ac:dyDescent="0.25">
      <c r="B27" s="82"/>
      <c r="D27" s="164"/>
      <c r="F27" s="29"/>
      <c r="G27" s="29"/>
      <c r="H27" s="29"/>
      <c r="I27" s="29"/>
      <c r="J27" s="29"/>
      <c r="K27" s="29"/>
      <c r="L27" s="29"/>
      <c r="M27" s="29"/>
      <c r="N27" s="29"/>
      <c r="O27" s="29"/>
      <c r="P27" s="29"/>
      <c r="Q27" s="29"/>
      <c r="R27" s="29"/>
      <c r="S27" s="29"/>
      <c r="T27" s="22"/>
      <c r="V27" s="162"/>
      <c r="W27" s="64" t="s">
        <v>108</v>
      </c>
      <c r="X27" s="216">
        <v>1.4748999999999998E-2</v>
      </c>
      <c r="Y27" s="162"/>
      <c r="Z27" s="40"/>
      <c r="AA27" s="40"/>
    </row>
    <row r="28" spans="2:27" ht="15" customHeight="1" x14ac:dyDescent="0.25">
      <c r="B28" s="82"/>
      <c r="F28" s="29"/>
      <c r="G28" s="29"/>
      <c r="H28" s="29"/>
      <c r="I28" s="29"/>
      <c r="J28" s="29"/>
      <c r="K28" s="29"/>
      <c r="L28" s="29"/>
      <c r="M28" s="29"/>
      <c r="N28" s="29"/>
      <c r="O28" s="29"/>
      <c r="P28" s="29"/>
      <c r="Q28" s="29"/>
      <c r="R28" s="29"/>
      <c r="S28" s="29"/>
      <c r="T28" s="22"/>
      <c r="V28" s="162"/>
      <c r="W28" s="64" t="s">
        <v>13</v>
      </c>
      <c r="X28" s="216">
        <v>1.2448000000000001E-2</v>
      </c>
      <c r="Y28" s="162"/>
      <c r="Z28" s="40"/>
      <c r="AA28" s="40"/>
    </row>
    <row r="29" spans="2:27" ht="15" customHeight="1" x14ac:dyDescent="0.25">
      <c r="B29" s="82"/>
      <c r="F29" s="29"/>
      <c r="G29" s="29"/>
      <c r="H29" s="29"/>
      <c r="I29" s="29"/>
      <c r="J29" s="29"/>
      <c r="K29" s="29"/>
      <c r="L29" s="29"/>
      <c r="M29" s="29"/>
      <c r="N29" s="29"/>
      <c r="O29" s="29"/>
      <c r="P29" s="29"/>
      <c r="Q29" s="29"/>
      <c r="R29" s="29"/>
      <c r="S29" s="29"/>
      <c r="T29" s="22"/>
      <c r="V29" s="162"/>
      <c r="W29" s="64" t="s">
        <v>133</v>
      </c>
      <c r="X29" s="216">
        <v>1.0237E-2</v>
      </c>
      <c r="Y29" s="162"/>
      <c r="Z29" s="40"/>
      <c r="AA29" s="40"/>
    </row>
    <row r="30" spans="2:27" ht="15" customHeight="1" x14ac:dyDescent="0.25">
      <c r="B30" s="82"/>
      <c r="F30" s="29"/>
      <c r="G30" s="29"/>
      <c r="H30" s="29"/>
      <c r="I30" s="29"/>
      <c r="J30" s="29"/>
      <c r="K30" s="29"/>
      <c r="L30" s="29"/>
      <c r="M30" s="29"/>
      <c r="N30" s="29"/>
      <c r="O30" s="29"/>
      <c r="P30" s="29"/>
      <c r="Q30" s="29"/>
      <c r="R30" s="29"/>
      <c r="S30" s="29"/>
      <c r="T30" s="22"/>
      <c r="V30" s="162"/>
      <c r="W30" s="59" t="s">
        <v>85</v>
      </c>
      <c r="X30" s="216">
        <v>1.0127999999999998E-2</v>
      </c>
      <c r="Y30" s="162"/>
      <c r="Z30" s="40"/>
      <c r="AA30" s="40"/>
    </row>
    <row r="31" spans="2:27" ht="15" customHeight="1" x14ac:dyDescent="0.25">
      <c r="B31" s="82"/>
      <c r="F31" s="29"/>
      <c r="G31" s="29"/>
      <c r="H31" s="29"/>
      <c r="I31" s="29"/>
      <c r="J31" s="29"/>
      <c r="K31" s="29"/>
      <c r="L31" s="29"/>
      <c r="M31" s="29"/>
      <c r="N31" s="29"/>
      <c r="O31" s="29"/>
      <c r="P31" s="29"/>
      <c r="Q31" s="29"/>
      <c r="R31" s="29"/>
      <c r="S31" s="29"/>
      <c r="T31" s="22"/>
      <c r="V31" s="162"/>
      <c r="W31" s="59" t="s">
        <v>110</v>
      </c>
      <c r="X31" s="216">
        <v>1.0016000000000001E-2</v>
      </c>
      <c r="Y31" s="162"/>
      <c r="Z31" s="40"/>
      <c r="AA31" s="40"/>
    </row>
    <row r="32" spans="2:27" ht="15" customHeight="1" thickBot="1" x14ac:dyDescent="0.3">
      <c r="B32" s="83"/>
      <c r="C32" s="84"/>
      <c r="D32" s="84"/>
      <c r="E32" s="84"/>
      <c r="F32" s="84"/>
      <c r="G32" s="84"/>
      <c r="H32" s="84"/>
      <c r="I32" s="84"/>
      <c r="J32" s="84"/>
      <c r="K32" s="84"/>
      <c r="L32" s="84"/>
      <c r="M32" s="84"/>
      <c r="N32" s="84"/>
      <c r="O32" s="84"/>
      <c r="P32" s="84"/>
      <c r="Q32" s="84"/>
      <c r="R32" s="84"/>
      <c r="S32" s="84"/>
      <c r="T32" s="23"/>
      <c r="W32" s="19" t="s">
        <v>118</v>
      </c>
      <c r="X32" s="216">
        <v>9.9659999999999992E-3</v>
      </c>
    </row>
    <row r="33" spans="2:24" ht="15" customHeight="1" thickBot="1" x14ac:dyDescent="0.3">
      <c r="W33" s="19" t="s">
        <v>78</v>
      </c>
      <c r="X33" s="216">
        <v>9.9340000000000001E-3</v>
      </c>
    </row>
    <row r="34" spans="2:24" ht="15" customHeight="1" x14ac:dyDescent="0.25">
      <c r="B34" s="265" t="s">
        <v>186</v>
      </c>
      <c r="C34" s="266"/>
      <c r="D34" s="266"/>
      <c r="E34" s="266"/>
      <c r="F34" s="266"/>
      <c r="G34" s="266"/>
      <c r="H34" s="266"/>
      <c r="I34" s="266"/>
      <c r="J34" s="266"/>
      <c r="K34" s="266"/>
      <c r="L34" s="266"/>
      <c r="M34" s="266"/>
      <c r="N34" s="266"/>
      <c r="O34" s="266"/>
      <c r="P34" s="266"/>
      <c r="Q34" s="266"/>
      <c r="R34" s="267"/>
      <c r="W34" s="19" t="s">
        <v>15</v>
      </c>
      <c r="X34" s="216">
        <v>9.7319999999999993E-3</v>
      </c>
    </row>
    <row r="35" spans="2:24" ht="15" customHeight="1" x14ac:dyDescent="0.25">
      <c r="B35" s="268"/>
      <c r="C35" s="269"/>
      <c r="D35" s="269"/>
      <c r="E35" s="269"/>
      <c r="F35" s="269"/>
      <c r="G35" s="269"/>
      <c r="H35" s="269"/>
      <c r="I35" s="269"/>
      <c r="J35" s="269"/>
      <c r="K35" s="269"/>
      <c r="L35" s="269"/>
      <c r="M35" s="269"/>
      <c r="N35" s="269"/>
      <c r="O35" s="269"/>
      <c r="P35" s="269"/>
      <c r="Q35" s="269"/>
      <c r="R35" s="270"/>
      <c r="W35" s="19" t="s">
        <v>88</v>
      </c>
      <c r="X35" s="216">
        <v>9.3970000000000008E-3</v>
      </c>
    </row>
    <row r="36" spans="2:24" ht="15" customHeight="1" x14ac:dyDescent="0.25">
      <c r="B36" s="268"/>
      <c r="C36" s="269"/>
      <c r="D36" s="269"/>
      <c r="E36" s="269"/>
      <c r="F36" s="269"/>
      <c r="G36" s="269"/>
      <c r="H36" s="269"/>
      <c r="I36" s="269"/>
      <c r="J36" s="269"/>
      <c r="K36" s="269"/>
      <c r="L36" s="269"/>
      <c r="M36" s="269"/>
      <c r="N36" s="269"/>
      <c r="O36" s="269"/>
      <c r="P36" s="269"/>
      <c r="Q36" s="269"/>
      <c r="R36" s="270"/>
      <c r="W36" s="19" t="s">
        <v>126</v>
      </c>
      <c r="X36" s="216">
        <v>8.7060000000000002E-3</v>
      </c>
    </row>
    <row r="37" spans="2:24" ht="15" customHeight="1" x14ac:dyDescent="0.25">
      <c r="B37" s="268"/>
      <c r="C37" s="269"/>
      <c r="D37" s="269"/>
      <c r="E37" s="269"/>
      <c r="F37" s="269"/>
      <c r="G37" s="269"/>
      <c r="H37" s="269"/>
      <c r="I37" s="269"/>
      <c r="J37" s="269"/>
      <c r="K37" s="269"/>
      <c r="L37" s="269"/>
      <c r="M37" s="269"/>
      <c r="N37" s="269"/>
      <c r="O37" s="269"/>
      <c r="P37" s="269"/>
      <c r="Q37" s="269"/>
      <c r="R37" s="270"/>
      <c r="W37" s="19" t="s">
        <v>25</v>
      </c>
      <c r="X37" s="216">
        <v>6.1079999999999997E-3</v>
      </c>
    </row>
    <row r="38" spans="2:24" ht="15" customHeight="1" x14ac:dyDescent="0.25">
      <c r="B38" s="268"/>
      <c r="C38" s="269"/>
      <c r="D38" s="269"/>
      <c r="E38" s="269"/>
      <c r="F38" s="269"/>
      <c r="G38" s="269"/>
      <c r="H38" s="269"/>
      <c r="I38" s="269"/>
      <c r="J38" s="269"/>
      <c r="K38" s="269"/>
      <c r="L38" s="269"/>
      <c r="M38" s="269"/>
      <c r="N38" s="269"/>
      <c r="O38" s="269"/>
      <c r="P38" s="269"/>
      <c r="Q38" s="269"/>
      <c r="R38" s="270"/>
      <c r="W38" s="19" t="s">
        <v>229</v>
      </c>
      <c r="X38" s="216">
        <v>5.6639999999999998E-3</v>
      </c>
    </row>
    <row r="39" spans="2:24" ht="15" customHeight="1" x14ac:dyDescent="0.25">
      <c r="B39" s="268"/>
      <c r="C39" s="269"/>
      <c r="D39" s="269"/>
      <c r="E39" s="269"/>
      <c r="F39" s="269"/>
      <c r="G39" s="269"/>
      <c r="H39" s="269"/>
      <c r="I39" s="269"/>
      <c r="J39" s="269"/>
      <c r="K39" s="269"/>
      <c r="L39" s="269"/>
      <c r="M39" s="269"/>
      <c r="N39" s="269"/>
      <c r="O39" s="269"/>
      <c r="P39" s="269"/>
      <c r="Q39" s="269"/>
      <c r="R39" s="270"/>
      <c r="W39" s="19" t="s">
        <v>128</v>
      </c>
      <c r="X39" s="216">
        <v>5.3749999999999996E-3</v>
      </c>
    </row>
    <row r="40" spans="2:24" ht="21.75" customHeight="1" thickBot="1" x14ac:dyDescent="0.3">
      <c r="B40" s="271"/>
      <c r="C40" s="272"/>
      <c r="D40" s="272"/>
      <c r="E40" s="272"/>
      <c r="F40" s="272"/>
      <c r="G40" s="272"/>
      <c r="H40" s="272"/>
      <c r="I40" s="272"/>
      <c r="J40" s="272"/>
      <c r="K40" s="272"/>
      <c r="L40" s="272"/>
      <c r="M40" s="272"/>
      <c r="N40" s="272"/>
      <c r="O40" s="272"/>
      <c r="P40" s="272"/>
      <c r="Q40" s="272"/>
      <c r="R40" s="273"/>
      <c r="W40" s="19" t="s">
        <v>190</v>
      </c>
      <c r="X40" s="216">
        <v>5.3169999999999997E-3</v>
      </c>
    </row>
    <row r="41" spans="2:24" ht="15" customHeight="1" x14ac:dyDescent="0.25">
      <c r="W41" s="19" t="s">
        <v>125</v>
      </c>
      <c r="X41" s="216">
        <v>5.045E-3</v>
      </c>
    </row>
    <row r="42" spans="2:24" ht="15" customHeight="1" x14ac:dyDescent="0.25">
      <c r="W42" s="19" t="s">
        <v>124</v>
      </c>
      <c r="X42" s="216">
        <v>4.4089999999999997E-3</v>
      </c>
    </row>
    <row r="43" spans="2:24" ht="15" customHeight="1" x14ac:dyDescent="0.25">
      <c r="W43" s="19" t="s">
        <v>120</v>
      </c>
      <c r="X43" s="216">
        <v>4.2370000000000003E-3</v>
      </c>
    </row>
    <row r="44" spans="2:24" ht="15" customHeight="1" x14ac:dyDescent="0.25">
      <c r="W44" s="19" t="s">
        <v>123</v>
      </c>
      <c r="X44" s="216">
        <v>2.9910000000000002E-3</v>
      </c>
    </row>
    <row r="45" spans="2:24" ht="15" customHeight="1" x14ac:dyDescent="0.25">
      <c r="W45" s="19" t="s">
        <v>86</v>
      </c>
      <c r="X45" s="216">
        <v>1.4319999999999999E-3</v>
      </c>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sheetData>
  <sortState ref="W9:X30">
    <sortCondition descending="1" ref="X9:X30"/>
  </sortState>
  <mergeCells count="3">
    <mergeCell ref="C3:S3"/>
    <mergeCell ref="D5:E5"/>
    <mergeCell ref="B34:R40"/>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6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33.85546875" style="19" bestFit="1" customWidth="1"/>
    <col min="5" max="5" width="10.42578125" style="19" bestFit="1" customWidth="1"/>
    <col min="6" max="18" width="9.140625" style="19"/>
    <col min="19" max="19" width="9.85546875" style="19" customWidth="1"/>
    <col min="20" max="20" width="9.140625" style="19"/>
    <col min="21" max="21" width="9.140625" style="39"/>
    <col min="22" max="22" width="11" style="39" customWidth="1"/>
    <col min="23" max="23" width="46.42578125" style="39" bestFit="1" customWidth="1"/>
    <col min="24" max="25" width="9.140625" style="39"/>
    <col min="26"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74" t="s">
        <v>221</v>
      </c>
      <c r="D3" s="275"/>
      <c r="E3" s="275"/>
      <c r="F3" s="275"/>
      <c r="G3" s="275"/>
      <c r="H3" s="275"/>
      <c r="I3" s="275"/>
      <c r="J3" s="275"/>
      <c r="K3" s="275"/>
      <c r="L3" s="275"/>
      <c r="M3" s="275"/>
      <c r="N3" s="275"/>
      <c r="O3" s="275"/>
      <c r="P3" s="275"/>
      <c r="Q3" s="275"/>
      <c r="R3" s="275"/>
      <c r="S3" s="275"/>
      <c r="T3" s="22"/>
    </row>
    <row r="4" spans="1:24" ht="15.75" customHeight="1" x14ac:dyDescent="0.25">
      <c r="B4" s="82"/>
      <c r="C4" s="70" t="s">
        <v>367</v>
      </c>
      <c r="D4" s="29"/>
      <c r="E4" s="29"/>
      <c r="F4" s="29"/>
      <c r="G4" s="29"/>
      <c r="H4" s="29"/>
      <c r="I4" s="29"/>
      <c r="J4" s="29"/>
      <c r="K4" s="29"/>
      <c r="L4" s="29"/>
      <c r="M4" s="29"/>
      <c r="N4" s="29"/>
      <c r="O4" s="29"/>
      <c r="P4" s="29"/>
      <c r="Q4" s="29"/>
      <c r="R4" s="29"/>
      <c r="S4" s="29"/>
      <c r="T4" s="22"/>
    </row>
    <row r="5" spans="1:24" ht="18" customHeight="1" x14ac:dyDescent="0.25">
      <c r="B5" s="82"/>
      <c r="C5" s="228" t="s">
        <v>366</v>
      </c>
      <c r="D5" s="276" t="s">
        <v>326</v>
      </c>
      <c r="E5" s="276"/>
      <c r="F5" s="29"/>
      <c r="G5" s="160"/>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159" t="s">
        <v>2</v>
      </c>
    </row>
    <row r="8" spans="1:24" ht="15" customHeight="1" x14ac:dyDescent="0.25">
      <c r="B8" s="82"/>
      <c r="C8" s="198" t="s">
        <v>196</v>
      </c>
      <c r="D8" s="199" t="s">
        <v>4</v>
      </c>
      <c r="E8" s="200">
        <v>2.6040000000000001E-2</v>
      </c>
      <c r="F8" s="29"/>
      <c r="G8" s="29"/>
      <c r="H8" s="29"/>
      <c r="I8" s="29"/>
      <c r="J8" s="29"/>
      <c r="K8" s="29"/>
      <c r="L8" s="29"/>
      <c r="M8" s="29"/>
      <c r="N8" s="29"/>
      <c r="O8" s="29"/>
      <c r="P8" s="29"/>
      <c r="Q8" s="29"/>
      <c r="R8" s="29"/>
      <c r="S8" s="29"/>
      <c r="T8" s="22"/>
      <c r="W8" s="177" t="s">
        <v>4</v>
      </c>
      <c r="X8" s="178">
        <v>0.123478</v>
      </c>
    </row>
    <row r="9" spans="1:24" ht="15.75" customHeight="1" x14ac:dyDescent="0.25">
      <c r="B9" s="82"/>
      <c r="C9" s="192" t="s">
        <v>283</v>
      </c>
      <c r="D9" s="201" t="s">
        <v>118</v>
      </c>
      <c r="E9" s="202">
        <v>2.5189E-2</v>
      </c>
      <c r="F9" s="29"/>
      <c r="G9" s="29"/>
      <c r="H9" s="29"/>
      <c r="I9" s="29"/>
      <c r="J9" s="29"/>
      <c r="K9" s="29"/>
      <c r="L9" s="29"/>
      <c r="M9" s="29"/>
      <c r="N9" s="29"/>
      <c r="O9" s="29"/>
      <c r="P9" s="29"/>
      <c r="Q9" s="29"/>
      <c r="R9" s="29"/>
      <c r="S9" s="29"/>
      <c r="T9" s="22"/>
      <c r="W9" s="177" t="s">
        <v>113</v>
      </c>
      <c r="X9" s="178">
        <v>8.1089000000000008E-2</v>
      </c>
    </row>
    <row r="10" spans="1:24" ht="15" customHeight="1" x14ac:dyDescent="0.25">
      <c r="B10" s="82"/>
      <c r="C10" s="192" t="s">
        <v>298</v>
      </c>
      <c r="D10" s="201" t="s">
        <v>12</v>
      </c>
      <c r="E10" s="202">
        <v>2.3302E-2</v>
      </c>
      <c r="F10" s="29"/>
      <c r="G10" s="29"/>
      <c r="H10" s="29"/>
      <c r="I10" s="29"/>
      <c r="J10" s="29"/>
      <c r="K10" s="29"/>
      <c r="L10" s="29"/>
      <c r="M10" s="29"/>
      <c r="N10" s="29"/>
      <c r="O10" s="29"/>
      <c r="P10" s="29"/>
      <c r="Q10" s="29"/>
      <c r="R10" s="29"/>
      <c r="S10" s="29"/>
      <c r="T10" s="22"/>
      <c r="W10" s="177" t="s">
        <v>3</v>
      </c>
      <c r="X10" s="178">
        <v>5.2021999999999992E-2</v>
      </c>
    </row>
    <row r="11" spans="1:24" ht="15" customHeight="1" x14ac:dyDescent="0.25">
      <c r="B11" s="82"/>
      <c r="C11" s="192" t="s">
        <v>299</v>
      </c>
      <c r="D11" s="201" t="s">
        <v>117</v>
      </c>
      <c r="E11" s="202">
        <v>1.9934E-2</v>
      </c>
      <c r="F11" s="29"/>
      <c r="G11" s="29"/>
      <c r="H11" s="29"/>
      <c r="I11" s="29"/>
      <c r="J11" s="29"/>
      <c r="K11" s="29"/>
      <c r="L11" s="29"/>
      <c r="M11" s="29"/>
      <c r="N11" s="29"/>
      <c r="O11" s="29"/>
      <c r="P11" s="29"/>
      <c r="Q11" s="29"/>
      <c r="R11" s="29"/>
      <c r="S11" s="29"/>
      <c r="T11" s="22"/>
      <c r="W11" s="177" t="s">
        <v>86</v>
      </c>
      <c r="X11" s="178">
        <v>4.9614000000000005E-2</v>
      </c>
    </row>
    <row r="12" spans="1:24" ht="15" customHeight="1" x14ac:dyDescent="0.25">
      <c r="B12" s="82"/>
      <c r="C12" s="192" t="s">
        <v>69</v>
      </c>
      <c r="D12" s="201" t="s">
        <v>4</v>
      </c>
      <c r="E12" s="202">
        <v>1.8964999999999999E-2</v>
      </c>
      <c r="F12" s="29"/>
      <c r="G12" s="29"/>
      <c r="H12" s="29"/>
      <c r="I12" s="29"/>
      <c r="J12" s="29"/>
      <c r="K12" s="29"/>
      <c r="L12" s="29"/>
      <c r="M12" s="29"/>
      <c r="N12" s="29"/>
      <c r="O12" s="29"/>
      <c r="P12" s="29"/>
      <c r="Q12" s="29"/>
      <c r="R12" s="29"/>
      <c r="S12" s="29"/>
      <c r="T12" s="22"/>
      <c r="W12" s="177" t="s">
        <v>121</v>
      </c>
      <c r="X12" s="178">
        <v>4.2443000000000002E-2</v>
      </c>
    </row>
    <row r="13" spans="1:24" ht="15" customHeight="1" x14ac:dyDescent="0.25">
      <c r="B13" s="82"/>
      <c r="C13" s="192" t="s">
        <v>205</v>
      </c>
      <c r="D13" s="201" t="s">
        <v>121</v>
      </c>
      <c r="E13" s="202">
        <v>1.8339000000000001E-2</v>
      </c>
      <c r="F13" s="29"/>
      <c r="G13" s="29"/>
      <c r="H13" s="29"/>
      <c r="I13" s="29"/>
      <c r="J13" s="29"/>
      <c r="K13" s="29"/>
      <c r="L13" s="29"/>
      <c r="M13" s="29"/>
      <c r="N13" s="29"/>
      <c r="O13" s="29"/>
      <c r="P13" s="29"/>
      <c r="Q13" s="29"/>
      <c r="R13" s="29"/>
      <c r="S13" s="29"/>
      <c r="T13" s="22"/>
      <c r="W13" s="177" t="s">
        <v>115</v>
      </c>
      <c r="X13" s="178">
        <v>4.2315999999999999E-2</v>
      </c>
    </row>
    <row r="14" spans="1:24" ht="15" customHeight="1" x14ac:dyDescent="0.25">
      <c r="B14" s="82"/>
      <c r="C14" s="192" t="s">
        <v>352</v>
      </c>
      <c r="D14" s="201" t="s">
        <v>3</v>
      </c>
      <c r="E14" s="202">
        <v>1.7579000000000001E-2</v>
      </c>
      <c r="F14" s="29"/>
      <c r="G14" s="29"/>
      <c r="H14" s="29"/>
      <c r="I14" s="29"/>
      <c r="J14" s="29"/>
      <c r="K14" s="29"/>
      <c r="L14" s="29"/>
      <c r="M14" s="29"/>
      <c r="N14" s="29"/>
      <c r="O14" s="29"/>
      <c r="P14" s="29"/>
      <c r="Q14" s="29"/>
      <c r="R14" s="29"/>
      <c r="S14" s="29"/>
      <c r="T14" s="22"/>
      <c r="W14" s="177" t="s">
        <v>16</v>
      </c>
      <c r="X14" s="178">
        <v>4.1876999999999998E-2</v>
      </c>
    </row>
    <row r="15" spans="1:24" ht="15" customHeight="1" x14ac:dyDescent="0.25">
      <c r="B15" s="82"/>
      <c r="C15" s="192" t="s">
        <v>212</v>
      </c>
      <c r="D15" s="201" t="s">
        <v>4</v>
      </c>
      <c r="E15" s="202">
        <v>1.7523E-2</v>
      </c>
      <c r="F15" s="29"/>
      <c r="G15" s="29"/>
      <c r="H15" s="29"/>
      <c r="I15" s="29"/>
      <c r="J15" s="29"/>
      <c r="K15" s="29"/>
      <c r="L15" s="29"/>
      <c r="M15" s="29"/>
      <c r="N15" s="29"/>
      <c r="O15" s="29"/>
      <c r="P15" s="29"/>
      <c r="Q15" s="29"/>
      <c r="R15" s="29"/>
      <c r="S15" s="29"/>
      <c r="T15" s="22"/>
      <c r="W15" s="177" t="s">
        <v>124</v>
      </c>
      <c r="X15" s="178">
        <v>4.0924000000000002E-2</v>
      </c>
    </row>
    <row r="16" spans="1:24" ht="15" customHeight="1" x14ac:dyDescent="0.25">
      <c r="B16" s="82"/>
      <c r="C16" s="192" t="s">
        <v>206</v>
      </c>
      <c r="D16" s="201" t="s">
        <v>124</v>
      </c>
      <c r="E16" s="202">
        <v>1.6997000000000002E-2</v>
      </c>
      <c r="F16" s="29"/>
      <c r="G16" s="29"/>
      <c r="H16" s="29"/>
      <c r="I16" s="29"/>
      <c r="J16" s="29"/>
      <c r="K16" s="29"/>
      <c r="L16" s="29"/>
      <c r="M16" s="29"/>
      <c r="N16" s="29"/>
      <c r="O16" s="29"/>
      <c r="P16" s="29"/>
      <c r="Q16" s="29"/>
      <c r="R16" s="29"/>
      <c r="S16" s="29"/>
      <c r="T16" s="22"/>
      <c r="W16" s="177" t="s">
        <v>24</v>
      </c>
      <c r="X16" s="178">
        <v>3.8418000000000001E-2</v>
      </c>
    </row>
    <row r="17" spans="2:24" ht="15" customHeight="1" x14ac:dyDescent="0.25">
      <c r="B17" s="82"/>
      <c r="C17" s="192" t="s">
        <v>79</v>
      </c>
      <c r="D17" s="201" t="s">
        <v>24</v>
      </c>
      <c r="E17" s="202">
        <v>1.695E-2</v>
      </c>
      <c r="F17" s="29"/>
      <c r="G17" s="29"/>
      <c r="H17" s="29"/>
      <c r="I17" s="29"/>
      <c r="J17" s="29"/>
      <c r="K17" s="29"/>
      <c r="L17" s="29"/>
      <c r="M17" s="29"/>
      <c r="N17" s="29"/>
      <c r="O17" s="29"/>
      <c r="P17" s="29"/>
      <c r="Q17" s="29"/>
      <c r="R17" s="29"/>
      <c r="S17" s="29"/>
      <c r="T17" s="22"/>
      <c r="W17" s="177" t="s">
        <v>118</v>
      </c>
      <c r="X17" s="178">
        <v>3.6486999999999999E-2</v>
      </c>
    </row>
    <row r="18" spans="2:24" ht="15" customHeight="1" x14ac:dyDescent="0.25">
      <c r="B18" s="82"/>
      <c r="C18" s="192" t="s">
        <v>197</v>
      </c>
      <c r="D18" s="201" t="s">
        <v>124</v>
      </c>
      <c r="E18" s="202">
        <v>1.5108999999999999E-2</v>
      </c>
      <c r="F18" s="29"/>
      <c r="G18" s="29"/>
      <c r="H18" s="29"/>
      <c r="I18" s="29"/>
      <c r="J18" s="29"/>
      <c r="K18" s="29"/>
      <c r="L18" s="29"/>
      <c r="M18" s="29"/>
      <c r="N18" s="29"/>
      <c r="O18" s="29"/>
      <c r="P18" s="29"/>
      <c r="Q18" s="29"/>
      <c r="R18" s="29"/>
      <c r="S18" s="29"/>
      <c r="T18" s="22"/>
      <c r="W18" s="177" t="s">
        <v>112</v>
      </c>
      <c r="X18" s="178">
        <v>3.0720000000000004E-2</v>
      </c>
    </row>
    <row r="19" spans="2:24" ht="15" customHeight="1" x14ac:dyDescent="0.25">
      <c r="B19" s="82"/>
      <c r="C19" s="192" t="s">
        <v>274</v>
      </c>
      <c r="D19" s="201" t="s">
        <v>253</v>
      </c>
      <c r="E19" s="202">
        <v>1.4818E-2</v>
      </c>
      <c r="F19" s="29"/>
      <c r="G19" s="29"/>
      <c r="H19" s="29"/>
      <c r="I19" s="29"/>
      <c r="J19" s="29"/>
      <c r="K19" s="29"/>
      <c r="L19" s="29"/>
      <c r="M19" s="29"/>
      <c r="N19" s="29"/>
      <c r="O19" s="29"/>
      <c r="P19" s="29"/>
      <c r="Q19" s="29"/>
      <c r="R19" s="29"/>
      <c r="S19" s="29"/>
      <c r="T19" s="22"/>
      <c r="W19" s="177" t="s">
        <v>128</v>
      </c>
      <c r="X19" s="178">
        <v>2.8406000000000001E-2</v>
      </c>
    </row>
    <row r="20" spans="2:24" ht="15" customHeight="1" x14ac:dyDescent="0.25">
      <c r="B20" s="82"/>
      <c r="C20" s="192" t="s">
        <v>300</v>
      </c>
      <c r="D20" s="201" t="s">
        <v>3</v>
      </c>
      <c r="E20" s="202">
        <v>1.4414E-2</v>
      </c>
      <c r="F20" s="29"/>
      <c r="G20" s="29"/>
      <c r="H20" s="29"/>
      <c r="I20" s="29"/>
      <c r="J20" s="29"/>
      <c r="K20" s="29"/>
      <c r="L20" s="29"/>
      <c r="M20" s="29"/>
      <c r="N20" s="29"/>
      <c r="O20" s="29"/>
      <c r="P20" s="29"/>
      <c r="Q20" s="29"/>
      <c r="R20" s="29"/>
      <c r="S20" s="29"/>
      <c r="T20" s="22"/>
      <c r="W20" s="177" t="s">
        <v>78</v>
      </c>
      <c r="X20" s="178">
        <v>2.8008999999999999E-2</v>
      </c>
    </row>
    <row r="21" spans="2:24" ht="15" customHeight="1" x14ac:dyDescent="0.25">
      <c r="B21" s="82"/>
      <c r="C21" s="192" t="s">
        <v>353</v>
      </c>
      <c r="D21" s="201" t="s">
        <v>121</v>
      </c>
      <c r="E21" s="202">
        <v>1.3865000000000001E-2</v>
      </c>
      <c r="F21" s="29"/>
      <c r="G21" s="29"/>
      <c r="H21" s="29"/>
      <c r="I21" s="29"/>
      <c r="J21" s="29"/>
      <c r="K21" s="29"/>
      <c r="L21" s="29"/>
      <c r="M21" s="29"/>
      <c r="N21" s="29"/>
      <c r="O21" s="29"/>
      <c r="P21" s="29"/>
      <c r="Q21" s="29"/>
      <c r="R21" s="29"/>
      <c r="S21" s="29"/>
      <c r="T21" s="22"/>
      <c r="W21" s="177" t="s">
        <v>117</v>
      </c>
      <c r="X21" s="178">
        <v>2.6745000000000001E-2</v>
      </c>
    </row>
    <row r="22" spans="2:24" ht="15" customHeight="1" x14ac:dyDescent="0.25">
      <c r="B22" s="82"/>
      <c r="C22" s="192" t="s">
        <v>354</v>
      </c>
      <c r="D22" s="201" t="s">
        <v>86</v>
      </c>
      <c r="E22" s="202">
        <v>1.3173000000000001E-2</v>
      </c>
      <c r="F22" s="29"/>
      <c r="G22" s="29"/>
      <c r="H22" s="29"/>
      <c r="I22" s="29"/>
      <c r="J22" s="29"/>
      <c r="K22" s="29"/>
      <c r="L22" s="29"/>
      <c r="M22" s="29"/>
      <c r="N22" s="29"/>
      <c r="O22" s="29"/>
      <c r="P22" s="29"/>
      <c r="Q22" s="29"/>
      <c r="R22" s="29"/>
      <c r="S22" s="29"/>
      <c r="T22" s="22"/>
      <c r="W22" s="177" t="s">
        <v>12</v>
      </c>
      <c r="X22" s="178">
        <v>2.3302E-2</v>
      </c>
    </row>
    <row r="23" spans="2:24" ht="15" customHeight="1" x14ac:dyDescent="0.25">
      <c r="B23" s="82"/>
      <c r="C23" s="74"/>
      <c r="D23" s="161"/>
      <c r="E23" s="75"/>
      <c r="F23" s="29"/>
      <c r="G23" s="29"/>
      <c r="H23" s="29"/>
      <c r="I23" s="29"/>
      <c r="J23" s="29"/>
      <c r="K23" s="29"/>
      <c r="L23" s="29"/>
      <c r="M23" s="29"/>
      <c r="N23" s="29"/>
      <c r="O23" s="29"/>
      <c r="P23" s="29"/>
      <c r="Q23" s="29"/>
      <c r="R23" s="29"/>
      <c r="S23" s="29"/>
      <c r="T23" s="22"/>
      <c r="W23" s="177" t="s">
        <v>253</v>
      </c>
      <c r="X23" s="178">
        <v>1.4818E-2</v>
      </c>
    </row>
    <row r="24" spans="2:24" ht="15" customHeight="1" x14ac:dyDescent="0.25">
      <c r="B24" s="82"/>
      <c r="C24" s="76" t="s">
        <v>55</v>
      </c>
      <c r="D24" s="77"/>
      <c r="E24" s="78">
        <f>SUM(E8:E22)</f>
        <v>0.27219700000000002</v>
      </c>
      <c r="F24" s="29"/>
      <c r="G24" s="29"/>
      <c r="H24" s="29"/>
      <c r="I24" s="29"/>
      <c r="J24" s="29"/>
      <c r="K24" s="29"/>
      <c r="L24" s="29"/>
      <c r="M24" s="29"/>
      <c r="N24" s="29"/>
      <c r="O24" s="29"/>
      <c r="P24" s="29"/>
      <c r="Q24" s="29"/>
      <c r="R24" s="29"/>
      <c r="S24" s="29"/>
      <c r="T24" s="22"/>
      <c r="W24" s="177" t="s">
        <v>11</v>
      </c>
      <c r="X24" s="178">
        <v>1.4218E-2</v>
      </c>
    </row>
    <row r="25" spans="2:24" ht="15" customHeight="1" x14ac:dyDescent="0.25">
      <c r="B25" s="82"/>
      <c r="F25" s="29"/>
      <c r="G25" s="29"/>
      <c r="H25" s="29"/>
      <c r="I25" s="29"/>
      <c r="J25" s="29"/>
      <c r="K25" s="29"/>
      <c r="L25" s="29"/>
      <c r="M25" s="29"/>
      <c r="N25" s="29"/>
      <c r="O25" s="29"/>
      <c r="P25" s="29"/>
      <c r="Q25" s="29"/>
      <c r="R25" s="29"/>
      <c r="S25" s="29"/>
      <c r="T25" s="22"/>
      <c r="W25" s="177" t="s">
        <v>26</v>
      </c>
      <c r="X25" s="178">
        <v>1.3542E-2</v>
      </c>
    </row>
    <row r="26" spans="2:24" ht="15" customHeight="1" x14ac:dyDescent="0.25">
      <c r="B26" s="82"/>
      <c r="F26" s="29"/>
      <c r="G26" s="29"/>
      <c r="H26" s="29"/>
      <c r="I26" s="29"/>
      <c r="J26" s="29"/>
      <c r="K26" s="29"/>
      <c r="L26" s="29"/>
      <c r="M26" s="29"/>
      <c r="N26" s="29"/>
      <c r="O26" s="29"/>
      <c r="P26" s="29"/>
      <c r="Q26" s="29"/>
      <c r="R26" s="29"/>
      <c r="S26" s="29"/>
      <c r="T26" s="22"/>
      <c r="W26" s="177" t="s">
        <v>126</v>
      </c>
      <c r="X26" s="178">
        <v>1.3299E-2</v>
      </c>
    </row>
    <row r="27" spans="2:24" ht="15" customHeight="1" x14ac:dyDescent="0.25">
      <c r="B27" s="82"/>
      <c r="F27" s="29"/>
      <c r="G27" s="29"/>
      <c r="H27" s="29"/>
      <c r="I27" s="29"/>
      <c r="J27" s="29"/>
      <c r="K27" s="29"/>
      <c r="L27" s="29"/>
      <c r="M27" s="29"/>
      <c r="N27" s="29"/>
      <c r="O27" s="29"/>
      <c r="P27" s="29"/>
      <c r="Q27" s="29"/>
      <c r="R27" s="29"/>
      <c r="S27" s="29"/>
      <c r="T27" s="22"/>
      <c r="W27" s="177" t="s">
        <v>10</v>
      </c>
      <c r="X27" s="178">
        <v>1.2927000000000001E-2</v>
      </c>
    </row>
    <row r="28" spans="2:24" ht="15" customHeight="1" x14ac:dyDescent="0.25">
      <c r="B28" s="82"/>
      <c r="F28" s="29"/>
      <c r="G28" s="29"/>
      <c r="H28" s="29"/>
      <c r="I28" s="29"/>
      <c r="J28" s="29"/>
      <c r="K28" s="29"/>
      <c r="L28" s="29"/>
      <c r="M28" s="29"/>
      <c r="N28" s="29"/>
      <c r="O28" s="29"/>
      <c r="P28" s="29"/>
      <c r="Q28" s="29"/>
      <c r="R28" s="29"/>
      <c r="S28" s="29"/>
      <c r="T28" s="22"/>
      <c r="W28" s="177" t="s">
        <v>135</v>
      </c>
      <c r="X28" s="178">
        <v>1.2904000000000001E-2</v>
      </c>
    </row>
    <row r="29" spans="2:24" ht="15" customHeight="1" x14ac:dyDescent="0.25">
      <c r="B29" s="82"/>
      <c r="F29" s="29"/>
      <c r="G29" s="29"/>
      <c r="H29" s="29"/>
      <c r="I29" s="29"/>
      <c r="J29" s="29"/>
      <c r="K29" s="29"/>
      <c r="L29" s="29"/>
      <c r="M29" s="29"/>
      <c r="N29" s="29"/>
      <c r="O29" s="29"/>
      <c r="P29" s="29"/>
      <c r="Q29" s="29"/>
      <c r="R29" s="29"/>
      <c r="S29" s="29"/>
      <c r="T29" s="22"/>
      <c r="W29" s="177" t="s">
        <v>6</v>
      </c>
      <c r="X29" s="178">
        <v>1.2676E-2</v>
      </c>
    </row>
    <row r="30" spans="2:24" ht="15" customHeight="1" x14ac:dyDescent="0.25">
      <c r="B30" s="82"/>
      <c r="F30" s="29"/>
      <c r="G30" s="29"/>
      <c r="H30" s="29"/>
      <c r="I30" s="29"/>
      <c r="J30" s="29"/>
      <c r="K30" s="29"/>
      <c r="L30" s="29"/>
      <c r="M30" s="29"/>
      <c r="N30" s="29"/>
      <c r="O30" s="29"/>
      <c r="P30" s="29"/>
      <c r="Q30" s="29"/>
      <c r="R30" s="29"/>
      <c r="S30" s="29"/>
      <c r="T30" s="22"/>
      <c r="W30" s="177" t="s">
        <v>85</v>
      </c>
      <c r="X30" s="178">
        <v>1.2579E-2</v>
      </c>
    </row>
    <row r="31" spans="2:24" ht="15" customHeight="1" x14ac:dyDescent="0.25">
      <c r="B31" s="82"/>
      <c r="F31" s="29"/>
      <c r="G31" s="29"/>
      <c r="H31" s="29"/>
      <c r="I31" s="29"/>
      <c r="J31" s="29"/>
      <c r="K31" s="29"/>
      <c r="L31" s="29"/>
      <c r="M31" s="29"/>
      <c r="N31" s="29"/>
      <c r="O31" s="29"/>
      <c r="P31" s="29"/>
      <c r="Q31" s="29"/>
      <c r="R31" s="29"/>
      <c r="S31" s="29"/>
      <c r="T31" s="22"/>
      <c r="W31" s="177" t="s">
        <v>116</v>
      </c>
      <c r="X31" s="178">
        <v>1.1941E-2</v>
      </c>
    </row>
    <row r="32" spans="2:24" ht="15" customHeight="1" x14ac:dyDescent="0.25">
      <c r="B32" s="82"/>
      <c r="F32" s="29"/>
      <c r="G32" s="29"/>
      <c r="H32" s="29"/>
      <c r="I32" s="29"/>
      <c r="J32" s="29"/>
      <c r="K32" s="29"/>
      <c r="L32" s="29"/>
      <c r="M32" s="29"/>
      <c r="N32" s="29"/>
      <c r="O32" s="29"/>
      <c r="P32" s="29"/>
      <c r="Q32" s="29"/>
      <c r="R32" s="29"/>
      <c r="S32" s="29"/>
      <c r="T32" s="22"/>
      <c r="W32" s="177" t="s">
        <v>139</v>
      </c>
      <c r="X32" s="178">
        <v>1.0378999999999999E-2</v>
      </c>
    </row>
    <row r="33" spans="2:24" ht="15.75" customHeight="1" x14ac:dyDescent="0.25">
      <c r="B33" s="82"/>
      <c r="F33" s="29"/>
      <c r="G33" s="29"/>
      <c r="H33" s="29"/>
      <c r="I33" s="29"/>
      <c r="J33" s="29"/>
      <c r="K33" s="29"/>
      <c r="L33" s="29"/>
      <c r="M33" s="29"/>
      <c r="N33" s="29"/>
      <c r="O33" s="29"/>
      <c r="P33" s="29"/>
      <c r="Q33" s="29"/>
      <c r="R33" s="29"/>
      <c r="S33" s="29"/>
      <c r="T33" s="22"/>
      <c r="W33" s="177" t="s">
        <v>110</v>
      </c>
      <c r="X33" s="178">
        <v>8.7239999999999991E-3</v>
      </c>
    </row>
    <row r="34" spans="2:24" ht="15.75" customHeight="1" x14ac:dyDescent="0.25">
      <c r="B34" s="82"/>
      <c r="F34" s="29"/>
      <c r="G34" s="29"/>
      <c r="H34" s="29"/>
      <c r="I34" s="29"/>
      <c r="J34" s="29"/>
      <c r="K34" s="29"/>
      <c r="L34" s="29"/>
      <c r="M34" s="29"/>
      <c r="N34" s="29"/>
      <c r="O34" s="29"/>
      <c r="P34" s="29"/>
      <c r="Q34" s="29"/>
      <c r="R34" s="29"/>
      <c r="S34" s="29"/>
      <c r="T34" s="22"/>
      <c r="W34" s="177" t="s">
        <v>190</v>
      </c>
      <c r="X34" s="178">
        <v>7.9670000000000001E-3</v>
      </c>
    </row>
    <row r="35" spans="2:24" ht="15.75" customHeight="1" x14ac:dyDescent="0.25">
      <c r="B35" s="82"/>
      <c r="F35" s="29"/>
      <c r="G35" s="29"/>
      <c r="H35" s="29"/>
      <c r="I35" s="29"/>
      <c r="J35" s="29"/>
      <c r="K35" s="29"/>
      <c r="L35" s="29"/>
      <c r="M35" s="29"/>
      <c r="N35" s="29"/>
      <c r="O35" s="29"/>
      <c r="P35" s="29"/>
      <c r="Q35" s="29"/>
      <c r="R35" s="29"/>
      <c r="S35" s="29"/>
      <c r="T35" s="22"/>
      <c r="W35" s="177" t="s">
        <v>23</v>
      </c>
      <c r="X35" s="178">
        <v>7.9359999999999986E-3</v>
      </c>
    </row>
    <row r="36" spans="2:24" ht="15.75" customHeight="1" x14ac:dyDescent="0.25">
      <c r="B36" s="82"/>
      <c r="F36" s="29"/>
      <c r="G36" s="29"/>
      <c r="H36" s="29"/>
      <c r="I36" s="29"/>
      <c r="J36" s="29"/>
      <c r="K36" s="29"/>
      <c r="L36" s="29"/>
      <c r="M36" s="29"/>
      <c r="N36" s="29"/>
      <c r="O36" s="29"/>
      <c r="P36" s="29"/>
      <c r="Q36" s="29"/>
      <c r="R36" s="29"/>
      <c r="S36" s="29"/>
      <c r="T36" s="22"/>
      <c r="W36" s="177" t="s">
        <v>108</v>
      </c>
      <c r="X36" s="178">
        <v>7.3249999999999999E-3</v>
      </c>
    </row>
    <row r="37" spans="2:24" ht="15.75" customHeight="1" x14ac:dyDescent="0.25">
      <c r="B37" s="82"/>
      <c r="F37" s="29"/>
      <c r="G37" s="29"/>
      <c r="H37" s="29"/>
      <c r="I37" s="29"/>
      <c r="J37" s="29"/>
      <c r="K37" s="29"/>
      <c r="L37" s="29"/>
      <c r="M37" s="29"/>
      <c r="N37" s="29"/>
      <c r="O37" s="29"/>
      <c r="P37" s="29"/>
      <c r="Q37" s="29"/>
      <c r="R37" s="29"/>
      <c r="S37" s="29"/>
      <c r="T37" s="22"/>
      <c r="W37" s="177" t="s">
        <v>125</v>
      </c>
      <c r="X37" s="178">
        <v>7.273E-3</v>
      </c>
    </row>
    <row r="38" spans="2:24" ht="15" customHeight="1" thickBot="1" x14ac:dyDescent="0.3">
      <c r="B38" s="83"/>
      <c r="C38" s="84"/>
      <c r="D38" s="84"/>
      <c r="E38" s="84"/>
      <c r="F38" s="84"/>
      <c r="G38" s="84"/>
      <c r="H38" s="84"/>
      <c r="I38" s="84"/>
      <c r="J38" s="84"/>
      <c r="K38" s="84"/>
      <c r="L38" s="84"/>
      <c r="M38" s="84"/>
      <c r="N38" s="84"/>
      <c r="O38" s="84"/>
      <c r="P38" s="84"/>
      <c r="Q38" s="84"/>
      <c r="R38" s="84"/>
      <c r="S38" s="84"/>
      <c r="T38" s="23"/>
      <c r="W38" s="177" t="s">
        <v>88</v>
      </c>
      <c r="X38" s="178">
        <v>7.0419999999999996E-3</v>
      </c>
    </row>
    <row r="39" spans="2:24" ht="15" customHeight="1" thickBot="1" x14ac:dyDescent="0.3">
      <c r="W39" s="177" t="s">
        <v>25</v>
      </c>
      <c r="X39" s="178">
        <v>7.0099999999999997E-3</v>
      </c>
    </row>
    <row r="40" spans="2:24" ht="15" customHeight="1" x14ac:dyDescent="0.25">
      <c r="B40" s="265" t="s">
        <v>186</v>
      </c>
      <c r="C40" s="266"/>
      <c r="D40" s="266"/>
      <c r="E40" s="266"/>
      <c r="F40" s="266"/>
      <c r="G40" s="266"/>
      <c r="H40" s="266"/>
      <c r="I40" s="266"/>
      <c r="J40" s="266"/>
      <c r="K40" s="266"/>
      <c r="L40" s="266"/>
      <c r="M40" s="266"/>
      <c r="N40" s="266"/>
      <c r="O40" s="266"/>
      <c r="P40" s="266"/>
      <c r="Q40" s="266"/>
      <c r="R40" s="267"/>
      <c r="W40" s="177" t="s">
        <v>109</v>
      </c>
      <c r="X40" s="178">
        <v>6.4450000000000002E-3</v>
      </c>
    </row>
    <row r="41" spans="2:24" ht="15" customHeight="1" x14ac:dyDescent="0.25">
      <c r="B41" s="268"/>
      <c r="C41" s="269"/>
      <c r="D41" s="269"/>
      <c r="E41" s="269"/>
      <c r="F41" s="269"/>
      <c r="G41" s="269"/>
      <c r="H41" s="269"/>
      <c r="I41" s="269"/>
      <c r="J41" s="269"/>
      <c r="K41" s="269"/>
      <c r="L41" s="269"/>
      <c r="M41" s="269"/>
      <c r="N41" s="269"/>
      <c r="O41" s="269"/>
      <c r="P41" s="269"/>
      <c r="Q41" s="269"/>
      <c r="R41" s="270"/>
      <c r="W41" s="177" t="s">
        <v>84</v>
      </c>
      <c r="X41" s="178">
        <v>5.9129999999999999E-3</v>
      </c>
    </row>
    <row r="42" spans="2:24" ht="15" customHeight="1" x14ac:dyDescent="0.25">
      <c r="B42" s="268"/>
      <c r="C42" s="269"/>
      <c r="D42" s="269"/>
      <c r="E42" s="269"/>
      <c r="F42" s="269"/>
      <c r="G42" s="269"/>
      <c r="H42" s="269"/>
      <c r="I42" s="269"/>
      <c r="J42" s="269"/>
      <c r="K42" s="269"/>
      <c r="L42" s="269"/>
      <c r="M42" s="269"/>
      <c r="N42" s="269"/>
      <c r="O42" s="269"/>
      <c r="P42" s="269"/>
      <c r="Q42" s="269"/>
      <c r="R42" s="270"/>
      <c r="W42" s="177" t="s">
        <v>15</v>
      </c>
      <c r="X42" s="178">
        <v>5.2059999999999997E-3</v>
      </c>
    </row>
    <row r="43" spans="2:24" ht="15" customHeight="1" x14ac:dyDescent="0.25">
      <c r="B43" s="268"/>
      <c r="C43" s="269"/>
      <c r="D43" s="269"/>
      <c r="E43" s="269"/>
      <c r="F43" s="269"/>
      <c r="G43" s="269"/>
      <c r="H43" s="269"/>
      <c r="I43" s="269"/>
      <c r="J43" s="269"/>
      <c r="K43" s="269"/>
      <c r="L43" s="269"/>
      <c r="M43" s="269"/>
      <c r="N43" s="269"/>
      <c r="O43" s="269"/>
      <c r="P43" s="269"/>
      <c r="Q43" s="269"/>
      <c r="R43" s="270"/>
      <c r="W43" s="177" t="s">
        <v>120</v>
      </c>
      <c r="X43" s="178">
        <v>5.0590000000000001E-3</v>
      </c>
    </row>
    <row r="44" spans="2:24" ht="15" customHeight="1" x14ac:dyDescent="0.25">
      <c r="B44" s="268"/>
      <c r="C44" s="269"/>
      <c r="D44" s="269"/>
      <c r="E44" s="269"/>
      <c r="F44" s="269"/>
      <c r="G44" s="269"/>
      <c r="H44" s="269"/>
      <c r="I44" s="269"/>
      <c r="J44" s="269"/>
      <c r="K44" s="269"/>
      <c r="L44" s="269"/>
      <c r="M44" s="269"/>
      <c r="N44" s="269"/>
      <c r="O44" s="269"/>
      <c r="P44" s="269"/>
      <c r="Q44" s="269"/>
      <c r="R44" s="270"/>
      <c r="W44" s="177" t="s">
        <v>229</v>
      </c>
      <c r="X44" s="178">
        <v>4.9579999999999997E-3</v>
      </c>
    </row>
    <row r="45" spans="2:24" ht="15" customHeight="1" x14ac:dyDescent="0.25">
      <c r="B45" s="268"/>
      <c r="C45" s="269"/>
      <c r="D45" s="269"/>
      <c r="E45" s="269"/>
      <c r="F45" s="269"/>
      <c r="G45" s="269"/>
      <c r="H45" s="269"/>
      <c r="I45" s="269"/>
      <c r="J45" s="269"/>
      <c r="K45" s="269"/>
      <c r="L45" s="269"/>
      <c r="M45" s="269"/>
      <c r="N45" s="269"/>
      <c r="O45" s="269"/>
      <c r="P45" s="269"/>
      <c r="Q45" s="269"/>
      <c r="R45" s="270"/>
      <c r="W45" s="177" t="s">
        <v>123</v>
      </c>
      <c r="X45" s="178">
        <v>4.3220000000000003E-3</v>
      </c>
    </row>
    <row r="46" spans="2:24" ht="15" customHeight="1" thickBot="1" x14ac:dyDescent="0.3">
      <c r="B46" s="271"/>
      <c r="C46" s="272"/>
      <c r="D46" s="272"/>
      <c r="E46" s="272"/>
      <c r="F46" s="272"/>
      <c r="G46" s="272"/>
      <c r="H46" s="272"/>
      <c r="I46" s="272"/>
      <c r="J46" s="272"/>
      <c r="K46" s="272"/>
      <c r="L46" s="272"/>
      <c r="M46" s="272"/>
      <c r="N46" s="272"/>
      <c r="O46" s="272"/>
      <c r="P46" s="272"/>
      <c r="Q46" s="272"/>
      <c r="R46" s="273"/>
      <c r="W46" s="177" t="s">
        <v>191</v>
      </c>
      <c r="X46" s="178">
        <v>4.1240000000000001E-3</v>
      </c>
    </row>
    <row r="47" spans="2:24" ht="15" customHeight="1" x14ac:dyDescent="0.25">
      <c r="W47" s="177" t="s">
        <v>13</v>
      </c>
      <c r="X47" s="178">
        <v>3.9179999999999996E-3</v>
      </c>
    </row>
    <row r="48" spans="2:24" ht="15" customHeight="1" x14ac:dyDescent="0.25">
      <c r="W48" s="177" t="s">
        <v>297</v>
      </c>
      <c r="X48" s="178">
        <v>3.7650000000000001E-3</v>
      </c>
    </row>
    <row r="49" spans="23:24" ht="15" customHeight="1" x14ac:dyDescent="0.25">
      <c r="W49" s="177" t="s">
        <v>149</v>
      </c>
      <c r="X49" s="178">
        <v>1.836E-3</v>
      </c>
    </row>
    <row r="50" spans="23:24" ht="15" customHeight="1" x14ac:dyDescent="0.25">
      <c r="W50" s="177" t="s">
        <v>127</v>
      </c>
      <c r="X50" s="178">
        <v>1.771E-3</v>
      </c>
    </row>
    <row r="51" spans="23:24" ht="15" customHeight="1" x14ac:dyDescent="0.25">
      <c r="W51" s="177" t="s">
        <v>114</v>
      </c>
      <c r="X51" s="178">
        <v>1.622E-3</v>
      </c>
    </row>
    <row r="52" spans="23:24" ht="15" customHeight="1" x14ac:dyDescent="0.25">
      <c r="W52" s="177"/>
      <c r="X52" s="178"/>
    </row>
    <row r="53" spans="23:24" ht="15" customHeight="1" x14ac:dyDescent="0.25">
      <c r="W53" s="177"/>
      <c r="X53" s="178"/>
    </row>
    <row r="54" spans="23:24" ht="15" customHeight="1" x14ac:dyDescent="0.25"/>
    <row r="55" spans="23:24" ht="15" customHeight="1" x14ac:dyDescent="0.25"/>
    <row r="56" spans="23:24" ht="15" customHeight="1" x14ac:dyDescent="0.25"/>
    <row r="57" spans="23:24" ht="15" customHeight="1" x14ac:dyDescent="0.25"/>
    <row r="58" spans="23:24" ht="15" customHeight="1" x14ac:dyDescent="0.25"/>
    <row r="59" spans="23:24" ht="15" customHeight="1" x14ac:dyDescent="0.25"/>
    <row r="60" spans="23:24" ht="15" customHeight="1" x14ac:dyDescent="0.25"/>
    <row r="61" spans="23:24" ht="15" customHeight="1" x14ac:dyDescent="0.25"/>
    <row r="62" spans="23:24" ht="15" customHeight="1" x14ac:dyDescent="0.25"/>
    <row r="63" spans="23:24" ht="15" customHeight="1" x14ac:dyDescent="0.25"/>
    <row r="64" spans="23:24" ht="15" customHeight="1" x14ac:dyDescent="0.25"/>
    <row r="65" ht="15" customHeight="1" x14ac:dyDescent="0.25"/>
    <row r="66" ht="15" customHeight="1" x14ac:dyDescent="0.25"/>
    <row r="67" ht="15" customHeight="1" x14ac:dyDescent="0.25"/>
    <row r="68" ht="15" customHeight="1" x14ac:dyDescent="0.25"/>
  </sheetData>
  <mergeCells count="3">
    <mergeCell ref="C3:S3"/>
    <mergeCell ref="D5:E5"/>
    <mergeCell ref="B40:R46"/>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74" t="s">
        <v>169</v>
      </c>
      <c r="D3" s="275"/>
      <c r="E3" s="275"/>
      <c r="F3" s="275"/>
      <c r="G3" s="275"/>
      <c r="H3" s="275"/>
      <c r="I3" s="275"/>
      <c r="J3" s="275"/>
      <c r="K3" s="275"/>
      <c r="L3" s="275"/>
      <c r="M3" s="275"/>
      <c r="N3" s="275"/>
      <c r="O3" s="275"/>
      <c r="P3" s="275"/>
      <c r="Q3" s="275"/>
      <c r="R3" s="275"/>
      <c r="S3" s="275"/>
      <c r="T3" s="22"/>
    </row>
    <row r="4" spans="1:24" ht="15.75" customHeight="1" x14ac:dyDescent="0.25">
      <c r="B4" s="82"/>
      <c r="C4" s="70" t="s">
        <v>367</v>
      </c>
      <c r="D4" s="29"/>
      <c r="E4" s="29"/>
      <c r="F4" s="29"/>
      <c r="G4" s="29"/>
      <c r="H4" s="29"/>
      <c r="I4" s="29"/>
      <c r="J4" s="29"/>
      <c r="K4" s="29"/>
      <c r="L4" s="29"/>
      <c r="M4" s="29"/>
      <c r="N4" s="29"/>
      <c r="O4" s="29"/>
      <c r="P4" s="29"/>
      <c r="Q4" s="29"/>
      <c r="R4" s="29"/>
      <c r="S4" s="29"/>
      <c r="T4" s="22"/>
    </row>
    <row r="5" spans="1:24" ht="18" customHeight="1" x14ac:dyDescent="0.25">
      <c r="B5" s="82"/>
      <c r="C5" s="228" t="s">
        <v>366</v>
      </c>
      <c r="D5" s="276" t="s">
        <v>369</v>
      </c>
      <c r="E5" s="276"/>
      <c r="F5" s="154"/>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155" t="s">
        <v>0</v>
      </c>
      <c r="D7" s="156" t="s">
        <v>1</v>
      </c>
      <c r="E7" s="155" t="s">
        <v>2</v>
      </c>
      <c r="F7" s="29"/>
      <c r="G7" s="29"/>
      <c r="H7" s="29"/>
      <c r="I7" s="29"/>
      <c r="J7" s="29"/>
      <c r="K7" s="29"/>
      <c r="L7" s="29"/>
      <c r="M7" s="29"/>
      <c r="N7" s="29"/>
      <c r="O7" s="29"/>
      <c r="P7" s="29"/>
      <c r="Q7" s="29"/>
      <c r="R7" s="29"/>
      <c r="S7" s="29"/>
      <c r="T7" s="22"/>
      <c r="W7" s="39" t="s">
        <v>22</v>
      </c>
      <c r="X7" s="39" t="s">
        <v>2</v>
      </c>
    </row>
    <row r="8" spans="1:24" ht="15" customHeight="1" x14ac:dyDescent="0.25">
      <c r="B8" s="82"/>
      <c r="C8" s="192" t="s">
        <v>184</v>
      </c>
      <c r="D8" s="201" t="s">
        <v>24</v>
      </c>
      <c r="E8" s="209">
        <v>5.4743E-2</v>
      </c>
      <c r="F8" s="29"/>
      <c r="G8" s="29"/>
      <c r="H8" s="29"/>
      <c r="I8" s="29"/>
      <c r="J8" s="29"/>
      <c r="K8" s="29"/>
      <c r="L8" s="29"/>
      <c r="M8" s="29"/>
      <c r="N8" s="29"/>
      <c r="O8" s="29"/>
      <c r="P8" s="29"/>
      <c r="Q8" s="29"/>
      <c r="R8" s="29"/>
      <c r="S8" s="29"/>
      <c r="T8" s="22"/>
      <c r="W8" s="64" t="s">
        <v>23</v>
      </c>
      <c r="X8" s="65">
        <v>0.21407600000000002</v>
      </c>
    </row>
    <row r="9" spans="1:24" ht="15.75" customHeight="1" x14ac:dyDescent="0.25">
      <c r="B9" s="82"/>
      <c r="C9" s="192" t="s">
        <v>275</v>
      </c>
      <c r="D9" s="201" t="s">
        <v>132</v>
      </c>
      <c r="E9" s="209">
        <v>3.5307999999999999E-2</v>
      </c>
      <c r="F9" s="29"/>
      <c r="G9" s="29"/>
      <c r="H9" s="29"/>
      <c r="I9" s="29"/>
      <c r="J9" s="29"/>
      <c r="K9" s="29"/>
      <c r="L9" s="29"/>
      <c r="M9" s="29"/>
      <c r="N9" s="29"/>
      <c r="O9" s="29"/>
      <c r="P9" s="29"/>
      <c r="Q9" s="29"/>
      <c r="R9" s="29"/>
      <c r="S9" s="29"/>
      <c r="T9" s="22"/>
      <c r="W9" s="64" t="s">
        <v>24</v>
      </c>
      <c r="X9" s="65">
        <v>7.4854000000000004E-2</v>
      </c>
    </row>
    <row r="10" spans="1:24" ht="15" customHeight="1" x14ac:dyDescent="0.25">
      <c r="B10" s="82"/>
      <c r="C10" s="192" t="s">
        <v>34</v>
      </c>
      <c r="D10" s="201" t="s">
        <v>23</v>
      </c>
      <c r="E10" s="209">
        <v>3.3819000000000002E-2</v>
      </c>
      <c r="F10" s="29"/>
      <c r="G10" s="29"/>
      <c r="H10" s="29"/>
      <c r="I10" s="29"/>
      <c r="J10" s="29"/>
      <c r="K10" s="29"/>
      <c r="L10" s="29"/>
      <c r="M10" s="29"/>
      <c r="N10" s="29"/>
      <c r="O10" s="29"/>
      <c r="P10" s="29"/>
      <c r="Q10" s="29"/>
      <c r="R10" s="29"/>
      <c r="S10" s="29"/>
      <c r="T10" s="22"/>
      <c r="W10" s="64" t="s">
        <v>10</v>
      </c>
      <c r="X10" s="65">
        <v>6.4791000000000001E-2</v>
      </c>
    </row>
    <row r="11" spans="1:24" ht="15" customHeight="1" x14ac:dyDescent="0.25">
      <c r="B11" s="82"/>
      <c r="C11" s="192" t="s">
        <v>150</v>
      </c>
      <c r="D11" s="201" t="s">
        <v>23</v>
      </c>
      <c r="E11" s="209">
        <v>3.1541E-2</v>
      </c>
      <c r="F11" s="29"/>
      <c r="G11" s="29"/>
      <c r="H11" s="29"/>
      <c r="I11" s="29"/>
      <c r="J11" s="29"/>
      <c r="K11" s="29"/>
      <c r="L11" s="29"/>
      <c r="M11" s="29"/>
      <c r="N11" s="29"/>
      <c r="O11" s="29"/>
      <c r="P11" s="29"/>
      <c r="Q11" s="29"/>
      <c r="R11" s="29"/>
      <c r="S11" s="29"/>
      <c r="T11" s="22"/>
      <c r="W11" s="64" t="s">
        <v>12</v>
      </c>
      <c r="X11" s="65">
        <v>6.2490000000000004E-2</v>
      </c>
    </row>
    <row r="12" spans="1:24" ht="15" customHeight="1" x14ac:dyDescent="0.25">
      <c r="B12" s="82"/>
      <c r="C12" s="192" t="s">
        <v>355</v>
      </c>
      <c r="D12" s="201" t="s">
        <v>4</v>
      </c>
      <c r="E12" s="209">
        <v>3.0970000000000001E-2</v>
      </c>
      <c r="F12" s="29"/>
      <c r="G12" s="29"/>
      <c r="H12" s="29"/>
      <c r="I12" s="29"/>
      <c r="J12" s="29"/>
      <c r="K12" s="29"/>
      <c r="L12" s="29"/>
      <c r="M12" s="29"/>
      <c r="N12" s="29"/>
      <c r="O12" s="29"/>
      <c r="P12" s="29"/>
      <c r="Q12" s="29"/>
      <c r="R12" s="29"/>
      <c r="S12" s="29"/>
      <c r="T12" s="22"/>
      <c r="W12" s="64" t="s">
        <v>121</v>
      </c>
      <c r="X12" s="65">
        <v>5.8445999999999998E-2</v>
      </c>
    </row>
    <row r="13" spans="1:24" ht="15" customHeight="1" x14ac:dyDescent="0.25">
      <c r="B13" s="82"/>
      <c r="C13" s="192" t="s">
        <v>298</v>
      </c>
      <c r="D13" s="201" t="s">
        <v>12</v>
      </c>
      <c r="E13" s="209">
        <v>2.9361999999999999E-2</v>
      </c>
      <c r="F13" s="29"/>
      <c r="G13" s="29"/>
      <c r="H13" s="29"/>
      <c r="I13" s="29"/>
      <c r="J13" s="29"/>
      <c r="K13" s="29"/>
      <c r="L13" s="29"/>
      <c r="M13" s="29"/>
      <c r="N13" s="29"/>
      <c r="O13" s="29"/>
      <c r="P13" s="29"/>
      <c r="Q13" s="29"/>
      <c r="R13" s="29"/>
      <c r="S13" s="29"/>
      <c r="T13" s="22"/>
      <c r="W13" s="64" t="s">
        <v>84</v>
      </c>
      <c r="X13" s="65">
        <v>4.8659000000000001E-2</v>
      </c>
    </row>
    <row r="14" spans="1:24" ht="15" customHeight="1" x14ac:dyDescent="0.25">
      <c r="B14" s="82"/>
      <c r="C14" s="192" t="s">
        <v>225</v>
      </c>
      <c r="D14" s="201" t="s">
        <v>23</v>
      </c>
      <c r="E14" s="209">
        <v>2.8042999999999998E-2</v>
      </c>
      <c r="F14" s="29"/>
      <c r="G14" s="29"/>
      <c r="H14" s="29"/>
      <c r="I14" s="29"/>
      <c r="J14" s="29"/>
      <c r="K14" s="29"/>
      <c r="L14" s="29"/>
      <c r="M14" s="29"/>
      <c r="N14" s="29"/>
      <c r="O14" s="29"/>
      <c r="P14" s="29"/>
      <c r="Q14" s="29"/>
      <c r="R14" s="29"/>
      <c r="S14" s="29"/>
      <c r="T14" s="22"/>
      <c r="W14" s="64" t="s">
        <v>112</v>
      </c>
      <c r="X14" s="65">
        <v>4.2275E-2</v>
      </c>
    </row>
    <row r="15" spans="1:24" ht="15" customHeight="1" x14ac:dyDescent="0.25">
      <c r="B15" s="82"/>
      <c r="C15" s="192" t="s">
        <v>31</v>
      </c>
      <c r="D15" s="201" t="s">
        <v>6</v>
      </c>
      <c r="E15" s="209">
        <v>2.5078E-2</v>
      </c>
      <c r="F15" s="29"/>
      <c r="G15" s="29"/>
      <c r="H15" s="29"/>
      <c r="I15" s="29"/>
      <c r="J15" s="29"/>
      <c r="K15" s="29"/>
      <c r="L15" s="29"/>
      <c r="M15" s="29"/>
      <c r="N15" s="29"/>
      <c r="O15" s="29"/>
      <c r="P15" s="29"/>
      <c r="Q15" s="29"/>
      <c r="R15" s="29"/>
      <c r="S15" s="29"/>
      <c r="T15" s="22"/>
      <c r="W15" s="64" t="s">
        <v>132</v>
      </c>
      <c r="X15" s="65">
        <v>3.5307999999999999E-2</v>
      </c>
    </row>
    <row r="16" spans="1:24" ht="15" customHeight="1" x14ac:dyDescent="0.25">
      <c r="B16" s="82"/>
      <c r="C16" s="192" t="s">
        <v>70</v>
      </c>
      <c r="D16" s="201" t="s">
        <v>12</v>
      </c>
      <c r="E16" s="209">
        <v>2.4038E-2</v>
      </c>
      <c r="F16" s="29"/>
      <c r="G16" s="29"/>
      <c r="H16" s="29"/>
      <c r="I16" s="29"/>
      <c r="J16" s="29"/>
      <c r="K16" s="29"/>
      <c r="L16" s="29"/>
      <c r="M16" s="29"/>
      <c r="N16" s="29"/>
      <c r="O16" s="29"/>
      <c r="P16" s="29"/>
      <c r="Q16" s="29"/>
      <c r="R16" s="29"/>
      <c r="S16" s="29"/>
      <c r="T16" s="22"/>
      <c r="W16" s="64" t="s">
        <v>4</v>
      </c>
      <c r="X16" s="65">
        <v>3.0970000000000001E-2</v>
      </c>
    </row>
    <row r="17" spans="2:24" ht="15" customHeight="1" x14ac:dyDescent="0.25">
      <c r="B17" s="82"/>
      <c r="C17" s="192" t="s">
        <v>64</v>
      </c>
      <c r="D17" s="201" t="s">
        <v>84</v>
      </c>
      <c r="E17" s="209">
        <v>2.3949000000000002E-2</v>
      </c>
      <c r="F17" s="29"/>
      <c r="G17" s="29"/>
      <c r="H17" s="29"/>
      <c r="I17" s="29"/>
      <c r="J17" s="29"/>
      <c r="K17" s="29"/>
      <c r="L17" s="29"/>
      <c r="M17" s="29"/>
      <c r="N17" s="29"/>
      <c r="O17" s="29"/>
      <c r="P17" s="29"/>
      <c r="Q17" s="29"/>
      <c r="R17" s="29"/>
      <c r="S17" s="29"/>
      <c r="T17" s="22"/>
      <c r="W17" s="64" t="s">
        <v>88</v>
      </c>
      <c r="X17" s="65">
        <v>2.7942999999999999E-2</v>
      </c>
    </row>
    <row r="18" spans="2:24" ht="15" customHeight="1" x14ac:dyDescent="0.25">
      <c r="B18" s="82"/>
      <c r="C18" s="192" t="s">
        <v>284</v>
      </c>
      <c r="D18" s="201" t="s">
        <v>23</v>
      </c>
      <c r="E18" s="209">
        <v>2.3689000000000002E-2</v>
      </c>
      <c r="F18" s="29"/>
      <c r="G18" s="29"/>
      <c r="H18" s="29"/>
      <c r="I18" s="29"/>
      <c r="J18" s="29"/>
      <c r="K18" s="29"/>
      <c r="L18" s="29"/>
      <c r="M18" s="29"/>
      <c r="N18" s="29"/>
      <c r="O18" s="29"/>
      <c r="P18" s="29"/>
      <c r="Q18" s="29"/>
      <c r="R18" s="29"/>
      <c r="S18" s="29"/>
      <c r="T18" s="22"/>
      <c r="W18" s="64" t="s">
        <v>126</v>
      </c>
      <c r="X18" s="65">
        <v>2.5271999999999999E-2</v>
      </c>
    </row>
    <row r="19" spans="2:24" ht="15" customHeight="1" x14ac:dyDescent="0.25">
      <c r="B19" s="82"/>
      <c r="C19" s="192" t="s">
        <v>131</v>
      </c>
      <c r="D19" s="201" t="s">
        <v>88</v>
      </c>
      <c r="E19" s="209">
        <v>2.3396E-2</v>
      </c>
      <c r="F19" s="29"/>
      <c r="G19" s="29"/>
      <c r="H19" s="29"/>
      <c r="I19" s="29"/>
      <c r="J19" s="29"/>
      <c r="K19" s="29"/>
      <c r="L19" s="29"/>
      <c r="M19" s="29"/>
      <c r="N19" s="29"/>
      <c r="O19" s="29"/>
      <c r="P19" s="29"/>
      <c r="Q19" s="29"/>
      <c r="R19" s="29"/>
      <c r="S19" s="29"/>
      <c r="T19" s="22"/>
      <c r="W19" s="64" t="s">
        <v>6</v>
      </c>
      <c r="X19" s="65">
        <v>2.5078E-2</v>
      </c>
    </row>
    <row r="20" spans="2:24" ht="15" customHeight="1" x14ac:dyDescent="0.25">
      <c r="B20" s="82"/>
      <c r="C20" s="192" t="s">
        <v>62</v>
      </c>
      <c r="D20" s="201" t="s">
        <v>10</v>
      </c>
      <c r="E20" s="209">
        <v>1.9904000000000002E-2</v>
      </c>
      <c r="F20" s="29"/>
      <c r="G20" s="29"/>
      <c r="H20" s="29"/>
      <c r="I20" s="29"/>
      <c r="J20" s="29"/>
      <c r="K20" s="29"/>
      <c r="L20" s="29"/>
      <c r="M20" s="29"/>
      <c r="N20" s="29"/>
      <c r="O20" s="29"/>
      <c r="P20" s="29"/>
      <c r="Q20" s="29"/>
      <c r="R20" s="29"/>
      <c r="S20" s="29"/>
      <c r="T20" s="22"/>
      <c r="W20" s="64" t="s">
        <v>11</v>
      </c>
      <c r="X20" s="65">
        <v>2.3844999999999998E-2</v>
      </c>
    </row>
    <row r="21" spans="2:24" ht="15" customHeight="1" x14ac:dyDescent="0.25">
      <c r="B21" s="82"/>
      <c r="C21" s="192" t="s">
        <v>72</v>
      </c>
      <c r="D21" s="201" t="s">
        <v>10</v>
      </c>
      <c r="E21" s="209">
        <v>1.9015000000000001E-2</v>
      </c>
      <c r="F21" s="29"/>
      <c r="G21" s="29"/>
      <c r="H21" s="29"/>
      <c r="I21" s="29"/>
      <c r="J21" s="29"/>
      <c r="K21" s="29"/>
      <c r="L21" s="29"/>
      <c r="M21" s="29"/>
      <c r="N21" s="29"/>
      <c r="O21" s="29"/>
      <c r="P21" s="29"/>
      <c r="Q21" s="29"/>
      <c r="R21" s="29"/>
      <c r="S21" s="29"/>
      <c r="T21" s="22"/>
      <c r="W21" s="64" t="s">
        <v>139</v>
      </c>
      <c r="X21" s="65">
        <v>2.3342999999999999E-2</v>
      </c>
    </row>
    <row r="22" spans="2:24" ht="15" customHeight="1" x14ac:dyDescent="0.25">
      <c r="B22" s="82"/>
      <c r="C22" s="192" t="s">
        <v>76</v>
      </c>
      <c r="D22" s="201" t="s">
        <v>11</v>
      </c>
      <c r="E22" s="209">
        <v>1.8735999999999999E-2</v>
      </c>
      <c r="F22" s="29"/>
      <c r="G22" s="29"/>
      <c r="H22" s="29"/>
      <c r="I22" s="29"/>
      <c r="J22" s="29"/>
      <c r="K22" s="29"/>
      <c r="L22" s="29"/>
      <c r="M22" s="29"/>
      <c r="N22" s="29"/>
      <c r="O22" s="29"/>
      <c r="P22" s="29"/>
      <c r="Q22" s="29"/>
      <c r="R22" s="29"/>
      <c r="S22" s="29"/>
      <c r="T22" s="22"/>
      <c r="W22" s="59" t="s">
        <v>25</v>
      </c>
      <c r="X22" s="60">
        <v>2.1517000000000001E-2</v>
      </c>
    </row>
    <row r="23" spans="2:24" ht="15" customHeight="1" x14ac:dyDescent="0.25">
      <c r="B23" s="82"/>
      <c r="C23" s="74"/>
      <c r="D23" s="74"/>
      <c r="E23" s="157"/>
      <c r="F23" s="29"/>
      <c r="G23" s="29"/>
      <c r="H23" s="29"/>
      <c r="I23" s="29"/>
      <c r="J23" s="29"/>
      <c r="K23" s="29"/>
      <c r="L23" s="29"/>
      <c r="M23" s="29"/>
      <c r="N23" s="29"/>
      <c r="O23" s="29"/>
      <c r="P23" s="29"/>
      <c r="Q23" s="29"/>
      <c r="R23" s="29"/>
      <c r="S23" s="29"/>
      <c r="T23" s="22"/>
      <c r="W23" s="59" t="s">
        <v>125</v>
      </c>
      <c r="X23" s="60">
        <v>2.1124E-2</v>
      </c>
    </row>
    <row r="24" spans="2:24" ht="15" customHeight="1" x14ac:dyDescent="0.25">
      <c r="B24" s="82"/>
      <c r="C24" s="76" t="s">
        <v>55</v>
      </c>
      <c r="D24" s="77"/>
      <c r="E24" s="78">
        <f>SUM(E8:E22)</f>
        <v>0.42159099999999999</v>
      </c>
      <c r="F24" s="29"/>
      <c r="G24" s="29"/>
      <c r="H24" s="29"/>
      <c r="I24" s="29"/>
      <c r="J24" s="29"/>
      <c r="K24" s="29"/>
      <c r="L24" s="29"/>
      <c r="M24" s="29"/>
      <c r="N24" s="29"/>
      <c r="O24" s="29"/>
      <c r="P24" s="29"/>
      <c r="Q24" s="29"/>
      <c r="R24" s="29"/>
      <c r="S24" s="29"/>
      <c r="T24" s="22"/>
      <c r="W24" s="59" t="s">
        <v>118</v>
      </c>
      <c r="X24" s="60">
        <v>1.4967000000000001E-2</v>
      </c>
    </row>
    <row r="25" spans="2:24" ht="15" customHeight="1" x14ac:dyDescent="0.25">
      <c r="B25" s="82"/>
      <c r="F25" s="29"/>
      <c r="G25" s="29"/>
      <c r="H25" s="29"/>
      <c r="I25" s="29"/>
      <c r="J25" s="29"/>
      <c r="K25" s="29"/>
      <c r="L25" s="29"/>
      <c r="M25" s="29"/>
      <c r="N25" s="29"/>
      <c r="O25" s="29"/>
      <c r="P25" s="29"/>
      <c r="Q25" s="29"/>
      <c r="R25" s="29"/>
      <c r="S25" s="29"/>
      <c r="T25" s="22"/>
      <c r="W25" s="59" t="s">
        <v>78</v>
      </c>
      <c r="X25" s="60">
        <v>1.38E-2</v>
      </c>
    </row>
    <row r="26" spans="2:24" ht="15" customHeight="1" x14ac:dyDescent="0.25">
      <c r="B26" s="82"/>
      <c r="F26" s="29"/>
      <c r="G26" s="29"/>
      <c r="H26" s="29"/>
      <c r="I26" s="29"/>
      <c r="J26" s="29"/>
      <c r="K26" s="29"/>
      <c r="L26" s="29"/>
      <c r="M26" s="29"/>
      <c r="N26" s="29"/>
      <c r="O26" s="29"/>
      <c r="P26" s="29"/>
      <c r="Q26" s="29"/>
      <c r="R26" s="29"/>
      <c r="S26" s="29"/>
      <c r="T26" s="22"/>
      <c r="W26" s="59" t="s">
        <v>85</v>
      </c>
      <c r="X26" s="60">
        <v>4.6090000000000002E-3</v>
      </c>
    </row>
    <row r="27" spans="2:24" ht="15" customHeight="1" x14ac:dyDescent="0.25">
      <c r="B27" s="82"/>
      <c r="F27" s="29"/>
      <c r="G27" s="29"/>
      <c r="H27" s="29"/>
      <c r="I27" s="29"/>
      <c r="J27" s="29"/>
      <c r="K27" s="29"/>
      <c r="L27" s="29"/>
      <c r="M27" s="29"/>
      <c r="N27" s="29"/>
      <c r="O27" s="29"/>
      <c r="P27" s="29"/>
      <c r="Q27" s="29"/>
      <c r="R27" s="29"/>
      <c r="S27" s="29"/>
      <c r="T27" s="22"/>
      <c r="W27" s="158" t="s">
        <v>15</v>
      </c>
      <c r="X27" s="159">
        <v>2.2690000000000002E-3</v>
      </c>
    </row>
    <row r="28" spans="2:24" ht="15" customHeight="1" x14ac:dyDescent="0.25">
      <c r="B28" s="82"/>
      <c r="F28" s="29"/>
      <c r="G28" s="29"/>
      <c r="H28" s="29"/>
      <c r="I28" s="29"/>
      <c r="J28" s="29"/>
      <c r="K28" s="29"/>
      <c r="L28" s="29"/>
      <c r="M28" s="29"/>
      <c r="N28" s="29"/>
      <c r="O28" s="29"/>
      <c r="P28" s="29"/>
      <c r="Q28" s="29"/>
      <c r="R28" s="29"/>
      <c r="S28" s="29"/>
      <c r="T28" s="22"/>
      <c r="W28" s="158"/>
      <c r="X28" s="159"/>
    </row>
    <row r="29" spans="2:24" ht="15" customHeight="1" x14ac:dyDescent="0.25">
      <c r="B29" s="82"/>
      <c r="F29" s="29"/>
      <c r="G29" s="29"/>
      <c r="H29" s="29"/>
      <c r="I29" s="29"/>
      <c r="J29" s="29"/>
      <c r="K29" s="29"/>
      <c r="L29" s="29"/>
      <c r="M29" s="29"/>
      <c r="N29" s="29"/>
      <c r="O29" s="29"/>
      <c r="P29" s="29"/>
      <c r="Q29" s="29"/>
      <c r="R29" s="29"/>
      <c r="S29" s="29"/>
      <c r="T29" s="22"/>
    </row>
    <row r="30" spans="2:24" ht="15" customHeight="1" x14ac:dyDescent="0.25">
      <c r="B30" s="82"/>
      <c r="F30" s="29"/>
      <c r="G30" s="29"/>
      <c r="H30" s="29"/>
      <c r="I30" s="29"/>
      <c r="J30" s="29"/>
      <c r="K30" s="29"/>
      <c r="L30" s="29"/>
      <c r="M30" s="29"/>
      <c r="N30" s="29"/>
      <c r="O30" s="29"/>
      <c r="P30" s="29"/>
      <c r="Q30" s="29"/>
      <c r="R30" s="29"/>
      <c r="S30" s="29"/>
      <c r="T30" s="22"/>
    </row>
    <row r="31" spans="2:24" ht="15" customHeight="1" x14ac:dyDescent="0.25">
      <c r="B31" s="82"/>
      <c r="F31" s="29"/>
      <c r="G31" s="29"/>
      <c r="H31" s="29"/>
      <c r="I31" s="29"/>
      <c r="J31" s="29"/>
      <c r="K31" s="29"/>
      <c r="L31" s="29"/>
      <c r="M31" s="29"/>
      <c r="N31" s="29"/>
      <c r="O31" s="29"/>
      <c r="P31" s="29"/>
      <c r="Q31" s="29"/>
      <c r="R31" s="29"/>
      <c r="S31" s="29"/>
      <c r="T31" s="22"/>
    </row>
    <row r="32" spans="2:24" ht="15.75" customHeight="1" x14ac:dyDescent="0.25">
      <c r="B32" s="82"/>
      <c r="F32" s="29"/>
      <c r="G32" s="29"/>
      <c r="H32" s="29"/>
      <c r="I32" s="29"/>
      <c r="J32" s="29"/>
      <c r="K32" s="29"/>
      <c r="L32" s="29"/>
      <c r="M32" s="29"/>
      <c r="N32" s="29"/>
      <c r="O32" s="29"/>
      <c r="P32" s="29"/>
      <c r="Q32" s="29"/>
      <c r="R32" s="29"/>
      <c r="S32" s="29"/>
      <c r="T32" s="22"/>
    </row>
    <row r="33" spans="2:20" ht="15" customHeight="1" x14ac:dyDescent="0.25">
      <c r="B33" s="82"/>
      <c r="F33" s="29"/>
      <c r="G33" s="29"/>
      <c r="H33" s="29"/>
      <c r="I33" s="29"/>
      <c r="J33" s="29"/>
      <c r="K33" s="29"/>
      <c r="L33" s="29"/>
      <c r="M33" s="29"/>
      <c r="N33" s="29"/>
      <c r="O33" s="29"/>
      <c r="P33" s="29"/>
      <c r="Q33" s="29"/>
      <c r="R33" s="29"/>
      <c r="S33" s="29"/>
      <c r="T33" s="22"/>
    </row>
    <row r="34" spans="2:20" ht="15" customHeight="1" thickBot="1" x14ac:dyDescent="0.3">
      <c r="B34" s="83"/>
      <c r="C34" s="84"/>
      <c r="D34" s="84"/>
      <c r="E34" s="84"/>
      <c r="F34" s="84"/>
      <c r="G34" s="84"/>
      <c r="H34" s="84"/>
      <c r="I34" s="84"/>
      <c r="J34" s="84"/>
      <c r="K34" s="84"/>
      <c r="L34" s="84"/>
      <c r="M34" s="84"/>
      <c r="N34" s="84"/>
      <c r="O34" s="84"/>
      <c r="P34" s="84"/>
      <c r="Q34" s="84"/>
      <c r="R34" s="84"/>
      <c r="S34" s="84"/>
      <c r="T34" s="23"/>
    </row>
    <row r="35" spans="2:20" ht="15" customHeight="1" thickBot="1" x14ac:dyDescent="0.3"/>
    <row r="36" spans="2:20" ht="15" customHeight="1" x14ac:dyDescent="0.25">
      <c r="B36" s="265" t="s">
        <v>186</v>
      </c>
      <c r="C36" s="266"/>
      <c r="D36" s="266"/>
      <c r="E36" s="266"/>
      <c r="F36" s="266"/>
      <c r="G36" s="266"/>
      <c r="H36" s="266"/>
      <c r="I36" s="266"/>
      <c r="J36" s="266"/>
      <c r="K36" s="266"/>
      <c r="L36" s="266"/>
      <c r="M36" s="266"/>
      <c r="N36" s="266"/>
      <c r="O36" s="266"/>
      <c r="P36" s="266"/>
      <c r="Q36" s="266"/>
      <c r="R36" s="267"/>
    </row>
    <row r="37" spans="2:20" ht="15" customHeight="1" x14ac:dyDescent="0.25">
      <c r="B37" s="268"/>
      <c r="C37" s="269"/>
      <c r="D37" s="269"/>
      <c r="E37" s="269"/>
      <c r="F37" s="269"/>
      <c r="G37" s="269"/>
      <c r="H37" s="269"/>
      <c r="I37" s="269"/>
      <c r="J37" s="269"/>
      <c r="K37" s="269"/>
      <c r="L37" s="269"/>
      <c r="M37" s="269"/>
      <c r="N37" s="269"/>
      <c r="O37" s="269"/>
      <c r="P37" s="269"/>
      <c r="Q37" s="269"/>
      <c r="R37" s="270"/>
    </row>
    <row r="38" spans="2:20" ht="15" customHeight="1" x14ac:dyDescent="0.25">
      <c r="B38" s="268"/>
      <c r="C38" s="269"/>
      <c r="D38" s="269"/>
      <c r="E38" s="269"/>
      <c r="F38" s="269"/>
      <c r="G38" s="269"/>
      <c r="H38" s="269"/>
      <c r="I38" s="269"/>
      <c r="J38" s="269"/>
      <c r="K38" s="269"/>
      <c r="L38" s="269"/>
      <c r="M38" s="269"/>
      <c r="N38" s="269"/>
      <c r="O38" s="269"/>
      <c r="P38" s="269"/>
      <c r="Q38" s="269"/>
      <c r="R38" s="270"/>
    </row>
    <row r="39" spans="2:20" ht="15" customHeight="1" x14ac:dyDescent="0.25">
      <c r="B39" s="268"/>
      <c r="C39" s="269"/>
      <c r="D39" s="269"/>
      <c r="E39" s="269"/>
      <c r="F39" s="269"/>
      <c r="G39" s="269"/>
      <c r="H39" s="269"/>
      <c r="I39" s="269"/>
      <c r="J39" s="269"/>
      <c r="K39" s="269"/>
      <c r="L39" s="269"/>
      <c r="M39" s="269"/>
      <c r="N39" s="269"/>
      <c r="O39" s="269"/>
      <c r="P39" s="269"/>
      <c r="Q39" s="269"/>
      <c r="R39" s="270"/>
    </row>
    <row r="40" spans="2:20" ht="15" customHeight="1" x14ac:dyDescent="0.25">
      <c r="B40" s="268"/>
      <c r="C40" s="269"/>
      <c r="D40" s="269"/>
      <c r="E40" s="269"/>
      <c r="F40" s="269"/>
      <c r="G40" s="269"/>
      <c r="H40" s="269"/>
      <c r="I40" s="269"/>
      <c r="J40" s="269"/>
      <c r="K40" s="269"/>
      <c r="L40" s="269"/>
      <c r="M40" s="269"/>
      <c r="N40" s="269"/>
      <c r="O40" s="269"/>
      <c r="P40" s="269"/>
      <c r="Q40" s="269"/>
      <c r="R40" s="270"/>
    </row>
    <row r="41" spans="2:20" ht="15" customHeight="1" x14ac:dyDescent="0.25">
      <c r="B41" s="268"/>
      <c r="C41" s="269"/>
      <c r="D41" s="269"/>
      <c r="E41" s="269"/>
      <c r="F41" s="269"/>
      <c r="G41" s="269"/>
      <c r="H41" s="269"/>
      <c r="I41" s="269"/>
      <c r="J41" s="269"/>
      <c r="K41" s="269"/>
      <c r="L41" s="269"/>
      <c r="M41" s="269"/>
      <c r="N41" s="269"/>
      <c r="O41" s="269"/>
      <c r="P41" s="269"/>
      <c r="Q41" s="269"/>
      <c r="R41" s="270"/>
    </row>
    <row r="42" spans="2:20" ht="15" customHeight="1" thickBot="1" x14ac:dyDescent="0.3">
      <c r="B42" s="271"/>
      <c r="C42" s="272"/>
      <c r="D42" s="272"/>
      <c r="E42" s="272"/>
      <c r="F42" s="272"/>
      <c r="G42" s="272"/>
      <c r="H42" s="272"/>
      <c r="I42" s="272"/>
      <c r="J42" s="272"/>
      <c r="K42" s="272"/>
      <c r="L42" s="272"/>
      <c r="M42" s="272"/>
      <c r="N42" s="272"/>
      <c r="O42" s="272"/>
      <c r="P42" s="272"/>
      <c r="Q42" s="272"/>
      <c r="R42" s="273"/>
    </row>
    <row r="43" spans="2:20" ht="15" customHeight="1" x14ac:dyDescent="0.25"/>
    <row r="44" spans="2:20" ht="15" customHeight="1" x14ac:dyDescent="0.25"/>
    <row r="45" spans="2:20" ht="15" customHeight="1" x14ac:dyDescent="0.25"/>
    <row r="46" spans="2:20" ht="15" customHeight="1" x14ac:dyDescent="0.25"/>
    <row r="47" spans="2:20" ht="15" customHeight="1" x14ac:dyDescent="0.25"/>
    <row r="48" spans="2:20"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sortState ref="W8:X20">
    <sortCondition descending="1" ref="X8:X20"/>
  </sortState>
  <mergeCells count="3">
    <mergeCell ref="C3:S3"/>
    <mergeCell ref="D5:E5"/>
    <mergeCell ref="B36:R4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DB752-2236-4BAA-9636-93A40AFD6A8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8"/>
      <c r="U2" s="24"/>
    </row>
    <row r="3" spans="1:24" ht="20.25" customHeight="1" x14ac:dyDescent="0.25">
      <c r="B3" s="67"/>
      <c r="C3" s="274" t="s">
        <v>168</v>
      </c>
      <c r="D3" s="275"/>
      <c r="E3" s="275"/>
      <c r="F3" s="275"/>
      <c r="G3" s="275"/>
      <c r="H3" s="275"/>
      <c r="I3" s="275"/>
      <c r="J3" s="275"/>
      <c r="K3" s="275"/>
      <c r="L3" s="275"/>
      <c r="M3" s="275"/>
      <c r="N3" s="275"/>
      <c r="O3" s="275"/>
      <c r="P3" s="275"/>
      <c r="Q3" s="275"/>
      <c r="R3" s="275"/>
      <c r="S3" s="275"/>
      <c r="T3" s="68"/>
      <c r="U3" s="69"/>
    </row>
    <row r="4" spans="1:24" ht="15.75" customHeight="1" x14ac:dyDescent="0.25">
      <c r="B4" s="67"/>
      <c r="C4" s="70" t="s">
        <v>367</v>
      </c>
      <c r="D4" s="29"/>
      <c r="E4" s="29"/>
      <c r="F4" s="29"/>
      <c r="G4" s="29"/>
      <c r="H4" s="29"/>
      <c r="I4" s="29"/>
      <c r="J4" s="29"/>
      <c r="K4" s="29"/>
      <c r="L4" s="29"/>
      <c r="M4" s="29"/>
      <c r="N4" s="29"/>
      <c r="O4" s="29"/>
      <c r="P4" s="29"/>
      <c r="Q4" s="29"/>
      <c r="R4" s="29"/>
      <c r="S4" s="29"/>
      <c r="T4" s="29"/>
      <c r="U4" s="25"/>
    </row>
    <row r="5" spans="1:24" ht="18" customHeight="1" x14ac:dyDescent="0.25">
      <c r="B5" s="67"/>
      <c r="C5" s="228" t="s">
        <v>366</v>
      </c>
      <c r="D5" s="278" t="s">
        <v>327</v>
      </c>
      <c r="E5" s="278"/>
      <c r="F5" s="29"/>
      <c r="G5" s="29"/>
      <c r="H5" s="29"/>
      <c r="I5" s="29"/>
      <c r="J5" s="29"/>
      <c r="K5" s="29"/>
      <c r="L5" s="29"/>
      <c r="M5" s="29"/>
      <c r="N5" s="29"/>
      <c r="O5" s="29"/>
      <c r="P5" s="29"/>
      <c r="Q5" s="29"/>
      <c r="R5" s="29"/>
      <c r="S5" s="29"/>
      <c r="T5" s="29"/>
      <c r="U5" s="25"/>
    </row>
    <row r="6" spans="1:24" ht="15" customHeight="1" x14ac:dyDescent="0.25">
      <c r="B6" s="67"/>
      <c r="C6" s="29"/>
      <c r="D6" s="29"/>
      <c r="E6" s="29"/>
      <c r="F6" s="29"/>
      <c r="G6" s="29"/>
      <c r="H6" s="29"/>
      <c r="I6" s="29"/>
      <c r="J6" s="29"/>
      <c r="K6" s="29"/>
      <c r="L6" s="29"/>
      <c r="M6" s="29"/>
      <c r="N6" s="29"/>
      <c r="O6" s="29"/>
      <c r="P6" s="29"/>
      <c r="Q6" s="29"/>
      <c r="R6" s="29"/>
      <c r="S6" s="29"/>
      <c r="T6" s="29"/>
      <c r="U6" s="25"/>
    </row>
    <row r="7" spans="1:24" ht="32.25" customHeight="1"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 customHeight="1" x14ac:dyDescent="0.25">
      <c r="B8" s="67"/>
      <c r="C8" s="198" t="s">
        <v>122</v>
      </c>
      <c r="D8" s="199" t="s">
        <v>114</v>
      </c>
      <c r="E8" s="200">
        <v>0.110196</v>
      </c>
      <c r="F8" s="29"/>
      <c r="G8" s="29"/>
      <c r="H8" s="29"/>
      <c r="I8" s="29"/>
      <c r="J8" s="29"/>
      <c r="K8" s="29"/>
      <c r="L8" s="29"/>
      <c r="M8" s="29"/>
      <c r="N8" s="29"/>
      <c r="O8" s="29"/>
      <c r="P8" s="29"/>
      <c r="Q8" s="29"/>
      <c r="R8" s="29"/>
      <c r="S8" s="29"/>
      <c r="T8" s="29"/>
      <c r="U8" s="25"/>
      <c r="W8" s="184" t="s">
        <v>114</v>
      </c>
      <c r="X8" s="251">
        <v>0.39615699999999998</v>
      </c>
    </row>
    <row r="9" spans="1:24" ht="15.75" customHeight="1" x14ac:dyDescent="0.25">
      <c r="B9" s="67"/>
      <c r="C9" s="192" t="s">
        <v>81</v>
      </c>
      <c r="D9" s="201" t="s">
        <v>114</v>
      </c>
      <c r="E9" s="202">
        <v>9.2536999999999994E-2</v>
      </c>
      <c r="F9" s="29"/>
      <c r="G9" s="29"/>
      <c r="H9" s="29"/>
      <c r="I9" s="29"/>
      <c r="J9" s="29"/>
      <c r="K9" s="29"/>
      <c r="L9" s="29"/>
      <c r="M9" s="29"/>
      <c r="N9" s="29"/>
      <c r="O9" s="29"/>
      <c r="P9" s="29"/>
      <c r="Q9" s="29"/>
      <c r="R9" s="29"/>
      <c r="S9" s="29"/>
      <c r="T9" s="29"/>
      <c r="U9" s="25"/>
      <c r="W9" s="184" t="s">
        <v>112</v>
      </c>
      <c r="X9" s="251">
        <v>0.31356200000000001</v>
      </c>
    </row>
    <row r="10" spans="1:24" ht="15.75" x14ac:dyDescent="0.25">
      <c r="B10" s="67"/>
      <c r="C10" s="192" t="s">
        <v>98</v>
      </c>
      <c r="D10" s="201" t="s">
        <v>114</v>
      </c>
      <c r="E10" s="202">
        <v>8.1736000000000003E-2</v>
      </c>
      <c r="F10" s="29"/>
      <c r="G10" s="29"/>
      <c r="H10" s="29"/>
      <c r="I10" s="29"/>
      <c r="J10" s="29"/>
      <c r="K10" s="29"/>
      <c r="L10" s="29"/>
      <c r="M10" s="29"/>
      <c r="N10" s="29"/>
      <c r="O10" s="29"/>
      <c r="P10" s="29"/>
      <c r="Q10" s="29"/>
      <c r="R10" s="29"/>
      <c r="S10" s="29"/>
      <c r="T10" s="29"/>
      <c r="U10" s="25"/>
      <c r="W10" s="184" t="s">
        <v>126</v>
      </c>
      <c r="X10" s="251">
        <v>0.123486</v>
      </c>
    </row>
    <row r="11" spans="1:24" ht="15.75" customHeight="1" x14ac:dyDescent="0.25">
      <c r="B11" s="67"/>
      <c r="C11" s="192" t="s">
        <v>147</v>
      </c>
      <c r="D11" s="201" t="s">
        <v>114</v>
      </c>
      <c r="E11" s="202">
        <v>5.5465E-2</v>
      </c>
      <c r="F11" s="29"/>
      <c r="G11" s="29"/>
      <c r="H11" s="29"/>
      <c r="I11" s="29"/>
      <c r="J11" s="29"/>
      <c r="K11" s="29"/>
      <c r="L11" s="29"/>
      <c r="M11" s="29"/>
      <c r="N11" s="29"/>
      <c r="O11" s="29"/>
      <c r="P11" s="29"/>
      <c r="Q11" s="29"/>
      <c r="R11" s="29"/>
      <c r="S11" s="29"/>
      <c r="T11" s="29"/>
      <c r="U11" s="25"/>
      <c r="W11" s="184" t="s">
        <v>4</v>
      </c>
      <c r="X11" s="251">
        <v>3.6317000000000002E-2</v>
      </c>
    </row>
    <row r="12" spans="1:24" ht="15" customHeight="1" x14ac:dyDescent="0.25">
      <c r="B12" s="67"/>
      <c r="C12" s="192" t="s">
        <v>111</v>
      </c>
      <c r="D12" s="201" t="s">
        <v>112</v>
      </c>
      <c r="E12" s="202">
        <v>5.3023000000000001E-2</v>
      </c>
      <c r="F12" s="29"/>
      <c r="G12" s="29"/>
      <c r="H12" s="29"/>
      <c r="I12" s="29"/>
      <c r="J12" s="29"/>
      <c r="K12" s="29"/>
      <c r="L12" s="29"/>
      <c r="M12" s="29"/>
      <c r="N12" s="29"/>
      <c r="O12" s="29"/>
      <c r="P12" s="29"/>
      <c r="Q12" s="29"/>
      <c r="R12" s="29"/>
      <c r="S12" s="29"/>
      <c r="T12" s="29"/>
      <c r="U12" s="25"/>
      <c r="W12" s="184" t="s">
        <v>129</v>
      </c>
      <c r="X12" s="251">
        <v>2.1087999999999999E-2</v>
      </c>
    </row>
    <row r="13" spans="1:24" ht="15" customHeight="1" x14ac:dyDescent="0.25">
      <c r="B13" s="67"/>
      <c r="C13" s="192" t="s">
        <v>148</v>
      </c>
      <c r="D13" s="201" t="s">
        <v>126</v>
      </c>
      <c r="E13" s="202">
        <v>3.3896000000000003E-2</v>
      </c>
      <c r="F13" s="29"/>
      <c r="G13" s="29"/>
      <c r="H13" s="29"/>
      <c r="I13" s="29"/>
      <c r="J13" s="29"/>
      <c r="K13" s="29"/>
      <c r="L13" s="29"/>
      <c r="M13" s="29"/>
      <c r="N13" s="29"/>
      <c r="O13" s="29"/>
      <c r="P13" s="29"/>
      <c r="Q13" s="29"/>
      <c r="R13" s="29"/>
      <c r="S13" s="29"/>
      <c r="T13" s="29"/>
      <c r="U13" s="25"/>
      <c r="W13" s="64" t="s">
        <v>26</v>
      </c>
      <c r="X13" s="65">
        <v>1.9323E-2</v>
      </c>
    </row>
    <row r="14" spans="1:24" ht="15" customHeight="1" x14ac:dyDescent="0.25">
      <c r="B14" s="67"/>
      <c r="C14" s="192" t="s">
        <v>240</v>
      </c>
      <c r="D14" s="201" t="s">
        <v>114</v>
      </c>
      <c r="E14" s="202">
        <v>3.3434999999999999E-2</v>
      </c>
      <c r="F14" s="29"/>
      <c r="G14" s="29"/>
      <c r="H14" s="29"/>
      <c r="I14" s="29"/>
      <c r="J14" s="29"/>
      <c r="K14" s="29"/>
      <c r="L14" s="29"/>
      <c r="M14" s="29"/>
      <c r="N14" s="29"/>
      <c r="O14" s="29"/>
      <c r="P14" s="29"/>
      <c r="Q14" s="29"/>
      <c r="R14" s="29"/>
      <c r="S14" s="29"/>
      <c r="T14" s="29"/>
      <c r="U14" s="25"/>
      <c r="W14" s="64" t="s">
        <v>85</v>
      </c>
      <c r="X14" s="65">
        <v>1.6532999999999999E-2</v>
      </c>
    </row>
    <row r="15" spans="1:24" ht="15" customHeight="1" x14ac:dyDescent="0.25">
      <c r="B15" s="67"/>
      <c r="C15" s="192" t="s">
        <v>213</v>
      </c>
      <c r="D15" s="201" t="s">
        <v>112</v>
      </c>
      <c r="E15" s="202">
        <v>2.3798E-2</v>
      </c>
      <c r="F15" s="29"/>
      <c r="G15" s="29"/>
      <c r="H15" s="29"/>
      <c r="I15" s="29"/>
      <c r="J15" s="29"/>
      <c r="K15" s="29"/>
      <c r="L15" s="29"/>
      <c r="M15" s="29"/>
      <c r="N15" s="29"/>
      <c r="O15" s="29"/>
      <c r="P15" s="29"/>
      <c r="Q15" s="29"/>
      <c r="R15" s="29"/>
      <c r="S15" s="29"/>
      <c r="T15" s="29"/>
      <c r="U15" s="25"/>
      <c r="W15" s="64" t="s">
        <v>24</v>
      </c>
      <c r="X15" s="65">
        <v>1.3213000000000001E-2</v>
      </c>
    </row>
    <row r="16" spans="1:24" ht="15" customHeight="1" x14ac:dyDescent="0.25">
      <c r="B16" s="67"/>
      <c r="C16" s="192" t="s">
        <v>290</v>
      </c>
      <c r="D16" s="201" t="s">
        <v>126</v>
      </c>
      <c r="E16" s="202">
        <v>2.3372E-2</v>
      </c>
      <c r="F16" s="29"/>
      <c r="G16" s="29"/>
      <c r="H16" s="29"/>
      <c r="I16" s="29"/>
      <c r="J16" s="29"/>
      <c r="K16" s="29"/>
      <c r="L16" s="29"/>
      <c r="M16" s="29"/>
      <c r="N16" s="29"/>
      <c r="O16" s="29"/>
      <c r="P16" s="29"/>
      <c r="Q16" s="29"/>
      <c r="R16" s="29"/>
      <c r="S16" s="29"/>
      <c r="T16" s="29"/>
      <c r="U16" s="25"/>
      <c r="W16" s="64" t="s">
        <v>16</v>
      </c>
      <c r="X16" s="65">
        <v>1.03E-4</v>
      </c>
    </row>
    <row r="17" spans="2:24" ht="15" customHeight="1" x14ac:dyDescent="0.25">
      <c r="B17" s="67"/>
      <c r="C17" s="192" t="s">
        <v>145</v>
      </c>
      <c r="D17" s="201" t="s">
        <v>114</v>
      </c>
      <c r="E17" s="202">
        <v>2.2787999999999999E-2</v>
      </c>
      <c r="F17" s="29"/>
      <c r="G17" s="29"/>
      <c r="H17" s="29"/>
      <c r="I17" s="29"/>
      <c r="J17" s="29"/>
      <c r="K17" s="29"/>
      <c r="L17" s="29"/>
      <c r="M17" s="29"/>
      <c r="N17" s="29"/>
      <c r="O17" s="29"/>
      <c r="P17" s="29"/>
      <c r="Q17" s="29"/>
      <c r="R17" s="29"/>
      <c r="S17" s="29"/>
      <c r="T17" s="29"/>
      <c r="U17" s="25"/>
      <c r="W17" s="64"/>
      <c r="X17" s="65"/>
    </row>
    <row r="18" spans="2:24" ht="15" customHeight="1" x14ac:dyDescent="0.25">
      <c r="B18" s="67"/>
      <c r="C18" s="192" t="s">
        <v>215</v>
      </c>
      <c r="D18" s="201" t="s">
        <v>112</v>
      </c>
      <c r="E18" s="202">
        <v>2.1808000000000001E-2</v>
      </c>
      <c r="F18" s="29"/>
      <c r="G18" s="29"/>
      <c r="H18" s="29"/>
      <c r="I18" s="29"/>
      <c r="J18" s="29"/>
      <c r="K18" s="29"/>
      <c r="L18" s="29"/>
      <c r="M18" s="29"/>
      <c r="N18" s="29"/>
      <c r="O18" s="29"/>
      <c r="P18" s="29"/>
      <c r="Q18" s="29"/>
      <c r="R18" s="29"/>
      <c r="S18" s="29"/>
      <c r="T18" s="29"/>
      <c r="U18" s="25"/>
      <c r="W18" s="64"/>
      <c r="X18" s="65"/>
    </row>
    <row r="19" spans="2:24" ht="15" customHeight="1" x14ac:dyDescent="0.25">
      <c r="B19" s="67"/>
      <c r="C19" s="192" t="s">
        <v>146</v>
      </c>
      <c r="D19" s="201" t="s">
        <v>129</v>
      </c>
      <c r="E19" s="202">
        <v>2.1087999999999999E-2</v>
      </c>
      <c r="F19" s="29"/>
      <c r="G19" s="29"/>
      <c r="H19" s="29"/>
      <c r="I19" s="29"/>
      <c r="J19" s="29"/>
      <c r="K19" s="29"/>
      <c r="L19" s="29"/>
      <c r="M19" s="29"/>
      <c r="N19" s="29"/>
      <c r="O19" s="29"/>
      <c r="P19" s="29"/>
      <c r="Q19" s="29"/>
      <c r="R19" s="29"/>
      <c r="S19" s="29"/>
      <c r="T19" s="29"/>
      <c r="U19" s="25"/>
      <c r="W19" s="64"/>
      <c r="X19" s="65"/>
    </row>
    <row r="20" spans="2:24" ht="15" customHeight="1" x14ac:dyDescent="0.25">
      <c r="B20" s="67"/>
      <c r="C20" s="192" t="s">
        <v>356</v>
      </c>
      <c r="D20" s="201" t="s">
        <v>4</v>
      </c>
      <c r="E20" s="202">
        <v>2.0057999999999999E-2</v>
      </c>
      <c r="F20" s="29"/>
      <c r="G20" s="29"/>
      <c r="H20" s="29"/>
      <c r="I20" s="29"/>
      <c r="J20" s="29"/>
      <c r="K20" s="29"/>
      <c r="L20" s="29"/>
      <c r="M20" s="29"/>
      <c r="N20" s="29"/>
      <c r="O20" s="29"/>
      <c r="P20" s="29"/>
      <c r="Q20" s="29"/>
      <c r="R20" s="29"/>
      <c r="S20" s="29"/>
      <c r="T20" s="29"/>
      <c r="U20" s="25"/>
      <c r="W20" s="64"/>
      <c r="X20" s="65"/>
    </row>
    <row r="21" spans="2:24" ht="15" customHeight="1" x14ac:dyDescent="0.25">
      <c r="B21" s="67"/>
      <c r="C21" s="192" t="s">
        <v>260</v>
      </c>
      <c r="D21" s="201" t="s">
        <v>112</v>
      </c>
      <c r="E21" s="202">
        <v>1.9865000000000001E-2</v>
      </c>
      <c r="F21" s="29"/>
      <c r="G21" s="29"/>
      <c r="H21" s="29"/>
      <c r="I21" s="29"/>
      <c r="J21" s="29"/>
      <c r="K21" s="29"/>
      <c r="L21" s="29"/>
      <c r="M21" s="29"/>
      <c r="N21" s="29"/>
      <c r="O21" s="29"/>
      <c r="P21" s="29"/>
      <c r="Q21" s="29"/>
      <c r="R21" s="29"/>
      <c r="S21" s="29"/>
      <c r="T21" s="29"/>
      <c r="U21" s="25"/>
      <c r="W21" s="64"/>
      <c r="X21" s="65"/>
    </row>
    <row r="22" spans="2:24" ht="15" customHeight="1" x14ac:dyDescent="0.25">
      <c r="B22" s="67"/>
      <c r="C22" s="192" t="s">
        <v>291</v>
      </c>
      <c r="D22" s="201" t="s">
        <v>112</v>
      </c>
      <c r="E22" s="202">
        <v>1.9497E-2</v>
      </c>
      <c r="F22" s="29"/>
      <c r="G22" s="29"/>
      <c r="H22" s="29"/>
      <c r="I22" s="29"/>
      <c r="J22" s="29"/>
      <c r="K22" s="29"/>
      <c r="L22" s="29"/>
      <c r="M22" s="29"/>
      <c r="N22" s="29"/>
      <c r="O22" s="29"/>
      <c r="P22" s="29"/>
      <c r="Q22" s="29"/>
      <c r="R22" s="29"/>
      <c r="S22" s="29"/>
      <c r="T22" s="29"/>
      <c r="U22" s="25"/>
      <c r="W22" s="64"/>
      <c r="X22" s="65"/>
    </row>
    <row r="23" spans="2:24" ht="15" customHeight="1" x14ac:dyDescent="0.25">
      <c r="B23" s="67"/>
      <c r="C23" s="15"/>
      <c r="D23" s="16"/>
      <c r="E23" s="17"/>
      <c r="F23" s="29"/>
      <c r="G23" s="29"/>
      <c r="H23" s="29"/>
      <c r="I23" s="29"/>
      <c r="J23" s="29"/>
      <c r="K23" s="29"/>
      <c r="L23" s="29"/>
      <c r="M23" s="29"/>
      <c r="N23" s="29"/>
      <c r="O23" s="29"/>
      <c r="P23" s="29"/>
      <c r="Q23" s="29"/>
      <c r="R23" s="29"/>
      <c r="S23" s="29"/>
      <c r="T23" s="29"/>
      <c r="U23" s="25"/>
      <c r="W23" s="64"/>
      <c r="X23" s="65"/>
    </row>
    <row r="24" spans="2:24" ht="15" customHeight="1" x14ac:dyDescent="0.25">
      <c r="B24" s="67"/>
      <c r="C24" s="76" t="s">
        <v>55</v>
      </c>
      <c r="D24" s="77"/>
      <c r="E24" s="78">
        <f>SUM(E8:E22)</f>
        <v>0.63256199999999996</v>
      </c>
      <c r="F24" s="29"/>
      <c r="G24" s="29"/>
      <c r="H24" s="29"/>
      <c r="I24" s="29"/>
      <c r="J24" s="29"/>
      <c r="K24" s="29"/>
      <c r="L24" s="29"/>
      <c r="M24" s="29"/>
      <c r="N24" s="29"/>
      <c r="O24" s="29"/>
      <c r="P24" s="29"/>
      <c r="Q24" s="29"/>
      <c r="R24" s="29"/>
      <c r="S24" s="29"/>
      <c r="T24" s="29"/>
      <c r="U24" s="25"/>
      <c r="W24" s="64"/>
      <c r="X24" s="65"/>
    </row>
    <row r="25" spans="2:24" ht="15" customHeight="1" x14ac:dyDescent="0.25">
      <c r="B25" s="67"/>
      <c r="C25" s="29"/>
      <c r="D25" s="29"/>
      <c r="E25" s="29"/>
      <c r="F25" s="29"/>
      <c r="G25" s="29"/>
      <c r="H25" s="29"/>
      <c r="I25" s="29"/>
      <c r="J25" s="29"/>
      <c r="K25" s="29"/>
      <c r="L25" s="29"/>
      <c r="M25" s="29"/>
      <c r="N25" s="29"/>
      <c r="O25" s="29"/>
      <c r="P25" s="29"/>
      <c r="Q25" s="29"/>
      <c r="R25" s="29"/>
      <c r="S25" s="29"/>
      <c r="T25" s="29"/>
      <c r="U25" s="25"/>
      <c r="W25" s="64"/>
      <c r="X25" s="65"/>
    </row>
    <row r="26" spans="2:24" ht="15" customHeight="1"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ht="15" customHeight="1"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ht="15" customHeight="1"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ht="15" customHeight="1"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ht="15" customHeight="1"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ht="15" customHeight="1"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ht="15" customHeight="1"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ht="15" customHeight="1"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ht="15" customHeight="1"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ht="15" customHeight="1"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ht="15" customHeight="1"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 customHeight="1"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 customHeight="1" thickBot="1" x14ac:dyDescent="0.3">
      <c r="W38" s="64"/>
      <c r="X38" s="65"/>
    </row>
    <row r="39" spans="2:24" ht="15" customHeight="1" x14ac:dyDescent="0.25">
      <c r="B39" s="265" t="s">
        <v>186</v>
      </c>
      <c r="C39" s="266"/>
      <c r="D39" s="266"/>
      <c r="E39" s="266"/>
      <c r="F39" s="266"/>
      <c r="G39" s="266"/>
      <c r="H39" s="266"/>
      <c r="I39" s="266"/>
      <c r="J39" s="266"/>
      <c r="K39" s="266"/>
      <c r="L39" s="266"/>
      <c r="M39" s="266"/>
      <c r="N39" s="266"/>
      <c r="O39" s="266"/>
      <c r="P39" s="266"/>
      <c r="Q39" s="266"/>
      <c r="R39" s="267"/>
      <c r="W39" s="64"/>
      <c r="X39" s="65"/>
    </row>
    <row r="40" spans="2:24" ht="15" customHeight="1" x14ac:dyDescent="0.25">
      <c r="B40" s="268"/>
      <c r="C40" s="269"/>
      <c r="D40" s="269"/>
      <c r="E40" s="269"/>
      <c r="F40" s="269"/>
      <c r="G40" s="269"/>
      <c r="H40" s="269"/>
      <c r="I40" s="269"/>
      <c r="J40" s="269"/>
      <c r="K40" s="269"/>
      <c r="L40" s="269"/>
      <c r="M40" s="269"/>
      <c r="N40" s="269"/>
      <c r="O40" s="269"/>
      <c r="P40" s="269"/>
      <c r="Q40" s="269"/>
      <c r="R40" s="270"/>
      <c r="W40" s="64"/>
      <c r="X40" s="65"/>
    </row>
    <row r="41" spans="2:24" ht="15" customHeight="1" x14ac:dyDescent="0.25">
      <c r="B41" s="268"/>
      <c r="C41" s="269"/>
      <c r="D41" s="269"/>
      <c r="E41" s="269"/>
      <c r="F41" s="269"/>
      <c r="G41" s="269"/>
      <c r="H41" s="269"/>
      <c r="I41" s="269"/>
      <c r="J41" s="269"/>
      <c r="K41" s="269"/>
      <c r="L41" s="269"/>
      <c r="M41" s="269"/>
      <c r="N41" s="269"/>
      <c r="O41" s="269"/>
      <c r="P41" s="269"/>
      <c r="Q41" s="269"/>
      <c r="R41" s="270"/>
      <c r="W41" s="64"/>
      <c r="X41" s="65"/>
    </row>
    <row r="42" spans="2:24" ht="15" customHeight="1" x14ac:dyDescent="0.25">
      <c r="B42" s="268"/>
      <c r="C42" s="269"/>
      <c r="D42" s="269"/>
      <c r="E42" s="269"/>
      <c r="F42" s="269"/>
      <c r="G42" s="269"/>
      <c r="H42" s="269"/>
      <c r="I42" s="269"/>
      <c r="J42" s="269"/>
      <c r="K42" s="269"/>
      <c r="L42" s="269"/>
      <c r="M42" s="269"/>
      <c r="N42" s="269"/>
      <c r="O42" s="269"/>
      <c r="P42" s="269"/>
      <c r="Q42" s="269"/>
      <c r="R42" s="270"/>
      <c r="W42" s="64"/>
      <c r="X42" s="65"/>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27.75" customHeight="1" thickBot="1" x14ac:dyDescent="0.3">
      <c r="B45" s="271"/>
      <c r="C45" s="272"/>
      <c r="D45" s="272"/>
      <c r="E45" s="272"/>
      <c r="F45" s="272"/>
      <c r="G45" s="272"/>
      <c r="H45" s="272"/>
      <c r="I45" s="272"/>
      <c r="J45" s="272"/>
      <c r="K45" s="272"/>
      <c r="L45" s="272"/>
      <c r="M45" s="272"/>
      <c r="N45" s="272"/>
      <c r="O45" s="272"/>
      <c r="P45" s="272"/>
      <c r="Q45" s="272"/>
      <c r="R45" s="27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C8:E19">
    <sortCondition descending="1" ref="E8"/>
  </sortState>
  <mergeCells count="3">
    <mergeCell ref="C3:S3"/>
    <mergeCell ref="D5:E5"/>
    <mergeCell ref="B39:R4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098F9-ACA5-472E-A4A1-C4C505F5B7EE}">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8"/>
      <c r="U2" s="24"/>
    </row>
    <row r="3" spans="1:24" ht="20.25" customHeight="1" x14ac:dyDescent="0.25">
      <c r="B3" s="67"/>
      <c r="C3" s="274" t="s">
        <v>189</v>
      </c>
      <c r="D3" s="275"/>
      <c r="E3" s="275"/>
      <c r="F3" s="275"/>
      <c r="G3" s="275"/>
      <c r="H3" s="275"/>
      <c r="I3" s="275"/>
      <c r="J3" s="275"/>
      <c r="K3" s="275"/>
      <c r="L3" s="275"/>
      <c r="M3" s="275"/>
      <c r="N3" s="275"/>
      <c r="O3" s="275"/>
      <c r="P3" s="275"/>
      <c r="Q3" s="275"/>
      <c r="R3" s="275"/>
      <c r="S3" s="275"/>
      <c r="T3" s="68"/>
      <c r="U3" s="69"/>
    </row>
    <row r="4" spans="1:24" ht="15.75" customHeight="1" x14ac:dyDescent="0.25">
      <c r="B4" s="67"/>
      <c r="C4" s="70" t="s">
        <v>367</v>
      </c>
      <c r="D4" s="29"/>
      <c r="E4" s="29"/>
      <c r="F4" s="29"/>
      <c r="G4" s="29"/>
      <c r="H4" s="29"/>
      <c r="I4" s="29"/>
      <c r="J4" s="29"/>
      <c r="K4" s="29"/>
      <c r="L4" s="29"/>
      <c r="M4" s="29"/>
      <c r="N4" s="29"/>
      <c r="O4" s="29"/>
      <c r="P4" s="29"/>
      <c r="Q4" s="29"/>
      <c r="R4" s="29"/>
      <c r="S4" s="29"/>
      <c r="T4" s="29"/>
      <c r="U4" s="25"/>
    </row>
    <row r="5" spans="1:24" ht="18" customHeight="1" x14ac:dyDescent="0.25">
      <c r="B5" s="67"/>
      <c r="C5" s="228" t="s">
        <v>366</v>
      </c>
      <c r="D5" s="278" t="s">
        <v>328</v>
      </c>
      <c r="E5" s="278"/>
      <c r="F5" s="29"/>
      <c r="G5" s="29"/>
      <c r="H5" s="29"/>
      <c r="I5" s="29"/>
      <c r="J5" s="29"/>
      <c r="K5" s="29"/>
      <c r="L5" s="29"/>
      <c r="M5" s="29"/>
      <c r="N5" s="29"/>
      <c r="O5" s="29"/>
      <c r="P5" s="29"/>
      <c r="Q5" s="29"/>
      <c r="R5" s="29"/>
      <c r="S5" s="29"/>
      <c r="T5" s="29"/>
      <c r="U5" s="25"/>
    </row>
    <row r="6" spans="1:24" ht="15" customHeight="1" x14ac:dyDescent="0.25">
      <c r="B6" s="67"/>
      <c r="C6" s="29"/>
      <c r="D6" s="29"/>
      <c r="E6" s="29"/>
      <c r="F6" s="29"/>
      <c r="G6" s="29"/>
      <c r="H6" s="29"/>
      <c r="I6" s="29"/>
      <c r="J6" s="29"/>
      <c r="K6" s="29"/>
      <c r="L6" s="29"/>
      <c r="M6" s="29"/>
      <c r="N6" s="29"/>
      <c r="O6" s="29"/>
      <c r="P6" s="29"/>
      <c r="Q6" s="29"/>
      <c r="R6" s="29"/>
      <c r="S6" s="29"/>
      <c r="T6" s="29"/>
      <c r="U6" s="25"/>
    </row>
    <row r="7" spans="1:24" ht="32.25" customHeight="1"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 customHeight="1" x14ac:dyDescent="0.25">
      <c r="B8" s="67"/>
      <c r="C8" s="198" t="s">
        <v>32</v>
      </c>
      <c r="D8" s="199" t="s">
        <v>3</v>
      </c>
      <c r="E8" s="200">
        <v>0.15110100000000001</v>
      </c>
      <c r="F8" s="29"/>
      <c r="G8" s="29"/>
      <c r="H8" s="29"/>
      <c r="I8" s="29"/>
      <c r="J8" s="29"/>
      <c r="K8" s="29"/>
      <c r="L8" s="29"/>
      <c r="M8" s="29"/>
      <c r="N8" s="29"/>
      <c r="O8" s="29"/>
      <c r="P8" s="29"/>
      <c r="Q8" s="29"/>
      <c r="R8" s="29"/>
      <c r="S8" s="29"/>
      <c r="T8" s="29"/>
      <c r="U8" s="25"/>
      <c r="W8" s="184" t="s">
        <v>3</v>
      </c>
      <c r="X8" s="183">
        <v>0.49004999999999999</v>
      </c>
    </row>
    <row r="9" spans="1:24" ht="15.75" customHeight="1" x14ac:dyDescent="0.25">
      <c r="B9" s="67"/>
      <c r="C9" s="192" t="s">
        <v>29</v>
      </c>
      <c r="D9" s="201" t="s">
        <v>3</v>
      </c>
      <c r="E9" s="202">
        <v>0.13999600000000001</v>
      </c>
      <c r="F9" s="29"/>
      <c r="G9" s="29"/>
      <c r="H9" s="29"/>
      <c r="I9" s="29"/>
      <c r="J9" s="29"/>
      <c r="K9" s="29"/>
      <c r="L9" s="29"/>
      <c r="M9" s="29"/>
      <c r="N9" s="29"/>
      <c r="O9" s="29"/>
      <c r="P9" s="29"/>
      <c r="Q9" s="29"/>
      <c r="R9" s="29"/>
      <c r="S9" s="29"/>
      <c r="T9" s="29"/>
      <c r="U9" s="25"/>
      <c r="W9" s="184" t="s">
        <v>4</v>
      </c>
      <c r="X9" s="183">
        <v>0.25551599999999997</v>
      </c>
    </row>
    <row r="10" spans="1:24" ht="15.75" x14ac:dyDescent="0.25">
      <c r="B10" s="67"/>
      <c r="C10" s="192" t="s">
        <v>36</v>
      </c>
      <c r="D10" s="201" t="s">
        <v>3</v>
      </c>
      <c r="E10" s="202">
        <v>7.7329999999999996E-2</v>
      </c>
      <c r="F10" s="29"/>
      <c r="G10" s="29"/>
      <c r="H10" s="29"/>
      <c r="I10" s="29"/>
      <c r="J10" s="29"/>
      <c r="K10" s="29"/>
      <c r="L10" s="29"/>
      <c r="M10" s="29"/>
      <c r="N10" s="29"/>
      <c r="O10" s="29"/>
      <c r="P10" s="29"/>
      <c r="Q10" s="29"/>
      <c r="R10" s="29"/>
      <c r="S10" s="29"/>
      <c r="T10" s="29"/>
      <c r="U10" s="25"/>
      <c r="W10" s="184" t="s">
        <v>86</v>
      </c>
      <c r="X10" s="183">
        <v>8.932699999999999E-2</v>
      </c>
    </row>
    <row r="11" spans="1:24" ht="15.75" customHeight="1" x14ac:dyDescent="0.25">
      <c r="B11" s="67"/>
      <c r="C11" s="192" t="s">
        <v>35</v>
      </c>
      <c r="D11" s="201" t="s">
        <v>3</v>
      </c>
      <c r="E11" s="202">
        <v>5.6690999999999998E-2</v>
      </c>
      <c r="F11" s="29"/>
      <c r="G11" s="29"/>
      <c r="H11" s="29"/>
      <c r="I11" s="29"/>
      <c r="J11" s="29"/>
      <c r="K11" s="29"/>
      <c r="L11" s="29"/>
      <c r="M11" s="29"/>
      <c r="N11" s="29"/>
      <c r="O11" s="29"/>
      <c r="P11" s="29"/>
      <c r="Q11" s="29"/>
      <c r="R11" s="29"/>
      <c r="S11" s="29"/>
      <c r="T11" s="29"/>
      <c r="U11" s="25"/>
      <c r="W11" s="184" t="s">
        <v>87</v>
      </c>
      <c r="X11" s="183">
        <v>8.8314000000000004E-2</v>
      </c>
    </row>
    <row r="12" spans="1:24" ht="15" customHeight="1" x14ac:dyDescent="0.25">
      <c r="B12" s="67"/>
      <c r="C12" s="192" t="s">
        <v>254</v>
      </c>
      <c r="D12" s="201" t="s">
        <v>4</v>
      </c>
      <c r="E12" s="202">
        <v>4.1167000000000002E-2</v>
      </c>
      <c r="F12" s="29"/>
      <c r="G12" s="29"/>
      <c r="H12" s="29"/>
      <c r="I12" s="29"/>
      <c r="J12" s="29"/>
      <c r="K12" s="29"/>
      <c r="L12" s="29"/>
      <c r="M12" s="29"/>
      <c r="N12" s="29"/>
      <c r="O12" s="29"/>
      <c r="P12" s="29"/>
      <c r="Q12" s="29"/>
      <c r="R12" s="29"/>
      <c r="S12" s="29"/>
      <c r="T12" s="29"/>
      <c r="U12" s="25"/>
      <c r="W12" s="184" t="s">
        <v>190</v>
      </c>
      <c r="X12" s="183">
        <v>3.3250000000000002E-2</v>
      </c>
    </row>
    <row r="13" spans="1:24" ht="15" customHeight="1" x14ac:dyDescent="0.25">
      <c r="B13" s="67"/>
      <c r="C13" s="192" t="s">
        <v>107</v>
      </c>
      <c r="D13" s="201" t="s">
        <v>4</v>
      </c>
      <c r="E13" s="202">
        <v>4.0091000000000002E-2</v>
      </c>
      <c r="F13" s="29"/>
      <c r="G13" s="29"/>
      <c r="H13" s="29"/>
      <c r="I13" s="29"/>
      <c r="J13" s="29"/>
      <c r="K13" s="29"/>
      <c r="L13" s="29"/>
      <c r="M13" s="29"/>
      <c r="N13" s="29"/>
      <c r="O13" s="29"/>
      <c r="P13" s="29"/>
      <c r="Q13" s="29"/>
      <c r="R13" s="29"/>
      <c r="S13" s="29"/>
      <c r="T13" s="29"/>
      <c r="U13" s="25"/>
      <c r="W13" s="64"/>
      <c r="X13" s="65"/>
    </row>
    <row r="14" spans="1:24" ht="15" customHeight="1" x14ac:dyDescent="0.25">
      <c r="B14" s="67"/>
      <c r="C14" s="192" t="s">
        <v>216</v>
      </c>
      <c r="D14" s="201" t="s">
        <v>4</v>
      </c>
      <c r="E14" s="202">
        <v>3.1098000000000001E-2</v>
      </c>
      <c r="F14" s="29"/>
      <c r="G14" s="29"/>
      <c r="H14" s="29"/>
      <c r="I14" s="29"/>
      <c r="J14" s="29"/>
      <c r="K14" s="29"/>
      <c r="L14" s="29"/>
      <c r="M14" s="29"/>
      <c r="N14" s="29"/>
      <c r="O14" s="29"/>
      <c r="P14" s="29"/>
      <c r="Q14" s="29"/>
      <c r="R14" s="29"/>
      <c r="S14" s="29"/>
      <c r="T14" s="29"/>
      <c r="U14" s="25"/>
      <c r="W14" s="64"/>
      <c r="X14" s="65"/>
    </row>
    <row r="15" spans="1:24" ht="15" customHeight="1" x14ac:dyDescent="0.25">
      <c r="B15" s="67"/>
      <c r="C15" s="192" t="s">
        <v>261</v>
      </c>
      <c r="D15" s="201" t="s">
        <v>86</v>
      </c>
      <c r="E15" s="202">
        <v>2.1861999999999999E-2</v>
      </c>
      <c r="F15" s="29"/>
      <c r="G15" s="29"/>
      <c r="H15" s="29"/>
      <c r="I15" s="29"/>
      <c r="J15" s="29"/>
      <c r="K15" s="29"/>
      <c r="L15" s="29"/>
      <c r="M15" s="29"/>
      <c r="N15" s="29"/>
      <c r="O15" s="29"/>
      <c r="P15" s="29"/>
      <c r="Q15" s="29"/>
      <c r="R15" s="29"/>
      <c r="S15" s="29"/>
      <c r="T15" s="29"/>
      <c r="U15" s="25"/>
      <c r="W15" s="64"/>
      <c r="X15" s="65"/>
    </row>
    <row r="16" spans="1:24" ht="15" customHeight="1" x14ac:dyDescent="0.25">
      <c r="B16" s="67"/>
      <c r="C16" s="192" t="s">
        <v>241</v>
      </c>
      <c r="D16" s="201" t="s">
        <v>190</v>
      </c>
      <c r="E16" s="202">
        <v>2.1548000000000001E-2</v>
      </c>
      <c r="F16" s="29"/>
      <c r="G16" s="29"/>
      <c r="H16" s="29"/>
      <c r="I16" s="29"/>
      <c r="J16" s="29"/>
      <c r="K16" s="29"/>
      <c r="L16" s="29"/>
      <c r="M16" s="29"/>
      <c r="N16" s="29"/>
      <c r="O16" s="29"/>
      <c r="P16" s="29"/>
      <c r="Q16" s="29"/>
      <c r="R16" s="29"/>
      <c r="S16" s="29"/>
      <c r="T16" s="29"/>
      <c r="U16" s="25"/>
      <c r="W16" s="64"/>
      <c r="X16" s="65"/>
    </row>
    <row r="17" spans="2:24" ht="15" customHeight="1" x14ac:dyDescent="0.25">
      <c r="B17" s="67"/>
      <c r="C17" s="192" t="s">
        <v>285</v>
      </c>
      <c r="D17" s="201" t="s">
        <v>86</v>
      </c>
      <c r="E17" s="202">
        <v>1.8589000000000001E-2</v>
      </c>
      <c r="F17" s="29"/>
      <c r="G17" s="29"/>
      <c r="H17" s="29"/>
      <c r="I17" s="29"/>
      <c r="J17" s="29"/>
      <c r="K17" s="29"/>
      <c r="L17" s="29"/>
      <c r="M17" s="29"/>
      <c r="N17" s="29"/>
      <c r="O17" s="29"/>
      <c r="P17" s="29"/>
      <c r="Q17" s="29"/>
      <c r="R17" s="29"/>
      <c r="S17" s="29"/>
      <c r="T17" s="29"/>
      <c r="U17" s="25"/>
      <c r="W17" s="64"/>
      <c r="X17" s="65"/>
    </row>
    <row r="18" spans="2:24" ht="15" customHeight="1" x14ac:dyDescent="0.25">
      <c r="B18" s="67"/>
      <c r="C18" s="192" t="s">
        <v>137</v>
      </c>
      <c r="D18" s="201" t="s">
        <v>3</v>
      </c>
      <c r="E18" s="202">
        <v>1.8518E-2</v>
      </c>
      <c r="F18" s="29"/>
      <c r="G18" s="29"/>
      <c r="H18" s="29"/>
      <c r="I18" s="29"/>
      <c r="J18" s="29"/>
      <c r="K18" s="29"/>
      <c r="L18" s="29"/>
      <c r="M18" s="29"/>
      <c r="N18" s="29"/>
      <c r="O18" s="29"/>
      <c r="P18" s="29"/>
      <c r="Q18" s="29"/>
      <c r="R18" s="29"/>
      <c r="S18" s="29"/>
      <c r="T18" s="29"/>
      <c r="U18" s="25"/>
      <c r="W18" s="64"/>
      <c r="X18" s="65"/>
    </row>
    <row r="19" spans="2:24" ht="15" customHeight="1" x14ac:dyDescent="0.25">
      <c r="B19" s="67"/>
      <c r="C19" s="192" t="s">
        <v>276</v>
      </c>
      <c r="D19" s="201" t="s">
        <v>4</v>
      </c>
      <c r="E19" s="202">
        <v>1.7401E-2</v>
      </c>
      <c r="F19" s="29"/>
      <c r="G19" s="29"/>
      <c r="H19" s="29"/>
      <c r="I19" s="29"/>
      <c r="J19" s="29"/>
      <c r="K19" s="29"/>
      <c r="L19" s="29"/>
      <c r="M19" s="29"/>
      <c r="N19" s="29"/>
      <c r="O19" s="29"/>
      <c r="P19" s="29"/>
      <c r="Q19" s="29"/>
      <c r="R19" s="29"/>
      <c r="S19" s="29"/>
      <c r="T19" s="29"/>
      <c r="U19" s="25"/>
      <c r="W19" s="64"/>
      <c r="X19" s="65"/>
    </row>
    <row r="20" spans="2:24" ht="15" customHeight="1" x14ac:dyDescent="0.25">
      <c r="B20" s="67"/>
      <c r="C20" s="192" t="s">
        <v>357</v>
      </c>
      <c r="D20" s="201" t="s">
        <v>86</v>
      </c>
      <c r="E20" s="202">
        <v>1.1912000000000001E-2</v>
      </c>
      <c r="F20" s="29"/>
      <c r="G20" s="29"/>
      <c r="H20" s="29"/>
      <c r="I20" s="29"/>
      <c r="J20" s="29"/>
      <c r="K20" s="29"/>
      <c r="L20" s="29"/>
      <c r="M20" s="29"/>
      <c r="N20" s="29"/>
      <c r="O20" s="29"/>
      <c r="P20" s="29"/>
      <c r="Q20" s="29"/>
      <c r="R20" s="29"/>
      <c r="S20" s="29"/>
      <c r="T20" s="29"/>
      <c r="U20" s="25"/>
      <c r="W20" s="64"/>
      <c r="X20" s="65"/>
    </row>
    <row r="21" spans="2:24" ht="15" customHeight="1" x14ac:dyDescent="0.25">
      <c r="B21" s="67"/>
      <c r="C21" s="192" t="s">
        <v>196</v>
      </c>
      <c r="D21" s="201" t="s">
        <v>4</v>
      </c>
      <c r="E21" s="202">
        <v>1.1908E-2</v>
      </c>
      <c r="F21" s="29"/>
      <c r="G21" s="29"/>
      <c r="H21" s="29"/>
      <c r="I21" s="29"/>
      <c r="J21" s="29"/>
      <c r="K21" s="29"/>
      <c r="L21" s="29"/>
      <c r="M21" s="29"/>
      <c r="N21" s="29"/>
      <c r="O21" s="29"/>
      <c r="P21" s="29"/>
      <c r="Q21" s="29"/>
      <c r="R21" s="29"/>
      <c r="S21" s="29"/>
      <c r="T21" s="29"/>
      <c r="U21" s="25"/>
      <c r="W21" s="64"/>
      <c r="X21" s="65"/>
    </row>
    <row r="22" spans="2:24" ht="15" customHeight="1" x14ac:dyDescent="0.25">
      <c r="B22" s="67"/>
      <c r="C22" s="192" t="s">
        <v>69</v>
      </c>
      <c r="D22" s="201" t="s">
        <v>4</v>
      </c>
      <c r="E22" s="202">
        <v>1.1736999999999999E-2</v>
      </c>
      <c r="F22" s="29"/>
      <c r="G22" s="29"/>
      <c r="H22" s="29"/>
      <c r="I22" s="29"/>
      <c r="J22" s="29"/>
      <c r="K22" s="29"/>
      <c r="L22" s="29"/>
      <c r="M22" s="29"/>
      <c r="N22" s="29"/>
      <c r="O22" s="29"/>
      <c r="P22" s="29"/>
      <c r="Q22" s="29"/>
      <c r="R22" s="29"/>
      <c r="S22" s="29"/>
      <c r="T22" s="29"/>
      <c r="U22" s="25"/>
      <c r="W22" s="64"/>
      <c r="X22" s="65"/>
    </row>
    <row r="23" spans="2:24" ht="15" customHeight="1" x14ac:dyDescent="0.25">
      <c r="B23" s="67"/>
      <c r="C23" s="15"/>
      <c r="D23" s="16"/>
      <c r="E23" s="17"/>
      <c r="F23" s="29"/>
      <c r="G23" s="29"/>
      <c r="H23" s="29"/>
      <c r="I23" s="29"/>
      <c r="J23" s="29"/>
      <c r="K23" s="29"/>
      <c r="L23" s="29"/>
      <c r="M23" s="29"/>
      <c r="N23" s="29"/>
      <c r="O23" s="29"/>
      <c r="P23" s="29"/>
      <c r="Q23" s="29"/>
      <c r="R23" s="29"/>
      <c r="S23" s="29"/>
      <c r="T23" s="29"/>
      <c r="U23" s="25"/>
      <c r="W23" s="64"/>
      <c r="X23" s="65"/>
    </row>
    <row r="24" spans="2:24" ht="15" customHeight="1" x14ac:dyDescent="0.25">
      <c r="B24" s="67"/>
      <c r="C24" s="76" t="s">
        <v>55</v>
      </c>
      <c r="D24" s="77"/>
      <c r="E24" s="78">
        <f>SUM(E8:E22)</f>
        <v>0.67094900000000013</v>
      </c>
      <c r="F24" s="29"/>
      <c r="G24" s="29"/>
      <c r="H24" s="29"/>
      <c r="I24" s="29"/>
      <c r="J24" s="29"/>
      <c r="K24" s="29"/>
      <c r="L24" s="29"/>
      <c r="M24" s="29"/>
      <c r="N24" s="29"/>
      <c r="O24" s="29"/>
      <c r="P24" s="29"/>
      <c r="Q24" s="29"/>
      <c r="R24" s="29"/>
      <c r="S24" s="29"/>
      <c r="T24" s="29"/>
      <c r="U24" s="25"/>
      <c r="W24" s="64"/>
      <c r="X24" s="65"/>
    </row>
    <row r="25" spans="2:24" ht="15" customHeight="1" x14ac:dyDescent="0.25">
      <c r="B25" s="67"/>
      <c r="C25" s="29"/>
      <c r="D25" s="29"/>
      <c r="E25" s="29"/>
      <c r="F25" s="29"/>
      <c r="G25" s="29"/>
      <c r="H25" s="29"/>
      <c r="I25" s="29"/>
      <c r="J25" s="29"/>
      <c r="K25" s="29"/>
      <c r="L25" s="29"/>
      <c r="M25" s="29"/>
      <c r="N25" s="29"/>
      <c r="O25" s="29"/>
      <c r="P25" s="29"/>
      <c r="Q25" s="29"/>
      <c r="R25" s="29"/>
      <c r="S25" s="29"/>
      <c r="T25" s="29"/>
      <c r="U25" s="25"/>
      <c r="W25" s="64"/>
      <c r="X25" s="65"/>
    </row>
    <row r="26" spans="2:24" ht="15" customHeight="1"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ht="15" customHeight="1"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ht="15" customHeight="1"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ht="15" customHeight="1"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ht="15" customHeight="1"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ht="15" customHeight="1"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ht="15" customHeight="1"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ht="15" customHeight="1"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ht="15" customHeight="1"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ht="15" customHeight="1"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ht="15" customHeight="1"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 customHeight="1"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 customHeight="1" thickBot="1" x14ac:dyDescent="0.3">
      <c r="W38" s="64"/>
      <c r="X38" s="65"/>
    </row>
    <row r="39" spans="2:24" ht="15" customHeight="1" x14ac:dyDescent="0.25">
      <c r="B39" s="265" t="s">
        <v>186</v>
      </c>
      <c r="C39" s="266"/>
      <c r="D39" s="266"/>
      <c r="E39" s="266"/>
      <c r="F39" s="266"/>
      <c r="G39" s="266"/>
      <c r="H39" s="266"/>
      <c r="I39" s="266"/>
      <c r="J39" s="266"/>
      <c r="K39" s="266"/>
      <c r="L39" s="266"/>
      <c r="M39" s="266"/>
      <c r="N39" s="266"/>
      <c r="O39" s="266"/>
      <c r="P39" s="266"/>
      <c r="Q39" s="266"/>
      <c r="R39" s="267"/>
      <c r="W39" s="64"/>
      <c r="X39" s="65"/>
    </row>
    <row r="40" spans="2:24" ht="15" customHeight="1" x14ac:dyDescent="0.25">
      <c r="B40" s="268"/>
      <c r="C40" s="269"/>
      <c r="D40" s="269"/>
      <c r="E40" s="269"/>
      <c r="F40" s="269"/>
      <c r="G40" s="269"/>
      <c r="H40" s="269"/>
      <c r="I40" s="269"/>
      <c r="J40" s="269"/>
      <c r="K40" s="269"/>
      <c r="L40" s="269"/>
      <c r="M40" s="269"/>
      <c r="N40" s="269"/>
      <c r="O40" s="269"/>
      <c r="P40" s="269"/>
      <c r="Q40" s="269"/>
      <c r="R40" s="270"/>
      <c r="W40" s="64"/>
      <c r="X40" s="65"/>
    </row>
    <row r="41" spans="2:24" ht="15" customHeight="1" x14ac:dyDescent="0.25">
      <c r="B41" s="268"/>
      <c r="C41" s="269"/>
      <c r="D41" s="269"/>
      <c r="E41" s="269"/>
      <c r="F41" s="269"/>
      <c r="G41" s="269"/>
      <c r="H41" s="269"/>
      <c r="I41" s="269"/>
      <c r="J41" s="269"/>
      <c r="K41" s="269"/>
      <c r="L41" s="269"/>
      <c r="M41" s="269"/>
      <c r="N41" s="269"/>
      <c r="O41" s="269"/>
      <c r="P41" s="269"/>
      <c r="Q41" s="269"/>
      <c r="R41" s="270"/>
      <c r="W41" s="64"/>
      <c r="X41" s="65"/>
    </row>
    <row r="42" spans="2:24" ht="15" customHeight="1" x14ac:dyDescent="0.25">
      <c r="B42" s="268"/>
      <c r="C42" s="269"/>
      <c r="D42" s="269"/>
      <c r="E42" s="269"/>
      <c r="F42" s="269"/>
      <c r="G42" s="269"/>
      <c r="H42" s="269"/>
      <c r="I42" s="269"/>
      <c r="J42" s="269"/>
      <c r="K42" s="269"/>
      <c r="L42" s="269"/>
      <c r="M42" s="269"/>
      <c r="N42" s="269"/>
      <c r="O42" s="269"/>
      <c r="P42" s="269"/>
      <c r="Q42" s="269"/>
      <c r="R42" s="270"/>
      <c r="W42" s="64"/>
      <c r="X42" s="65"/>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27.75" customHeight="1" thickBot="1" x14ac:dyDescent="0.3">
      <c r="B45" s="271"/>
      <c r="C45" s="272"/>
      <c r="D45" s="272"/>
      <c r="E45" s="272"/>
      <c r="F45" s="272"/>
      <c r="G45" s="272"/>
      <c r="H45" s="272"/>
      <c r="I45" s="272"/>
      <c r="J45" s="272"/>
      <c r="K45" s="272"/>
      <c r="L45" s="272"/>
      <c r="M45" s="272"/>
      <c r="N45" s="272"/>
      <c r="O45" s="272"/>
      <c r="P45" s="272"/>
      <c r="Q45" s="272"/>
      <c r="R45" s="27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3">
    <mergeCell ref="C3:S3"/>
    <mergeCell ref="D5:E5"/>
    <mergeCell ref="B39:R4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AC16-8CD1-4552-A6FF-1FA5C4B5C4C4}">
  <dimension ref="A1:AB63"/>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7.140625" style="19" customWidth="1"/>
    <col min="5" max="5" width="10.42578125" style="19" bestFit="1" customWidth="1"/>
    <col min="6" max="18" width="9.140625" style="19"/>
    <col min="19" max="19" width="9.85546875" style="19" customWidth="1"/>
    <col min="20" max="20" width="9.140625" style="19"/>
    <col min="21" max="22" width="9.140625" style="39"/>
    <col min="23" max="23" width="46.42578125" style="39" bestFit="1" customWidth="1"/>
    <col min="24" max="24" width="9.140625" style="39" bestFit="1" customWidth="1"/>
    <col min="25" max="28" width="9.140625" style="39"/>
    <col min="29"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74" t="s">
        <v>270</v>
      </c>
      <c r="D3" s="275"/>
      <c r="E3" s="275"/>
      <c r="F3" s="275"/>
      <c r="G3" s="275"/>
      <c r="H3" s="275"/>
      <c r="I3" s="275"/>
      <c r="J3" s="275"/>
      <c r="K3" s="275"/>
      <c r="L3" s="275"/>
      <c r="M3" s="275"/>
      <c r="N3" s="275"/>
      <c r="O3" s="275"/>
      <c r="P3" s="275"/>
      <c r="Q3" s="275"/>
      <c r="R3" s="275"/>
      <c r="S3" s="275"/>
      <c r="T3" s="22"/>
    </row>
    <row r="4" spans="1:24" ht="15.75" customHeight="1" x14ac:dyDescent="0.25">
      <c r="B4" s="82"/>
      <c r="C4" s="70" t="s">
        <v>367</v>
      </c>
      <c r="D4" s="29"/>
      <c r="E4" s="29"/>
      <c r="F4" s="29"/>
      <c r="G4" s="29"/>
      <c r="H4" s="29"/>
      <c r="I4" s="29"/>
      <c r="J4" s="29"/>
      <c r="K4" s="29"/>
      <c r="L4" s="29"/>
      <c r="M4" s="29"/>
      <c r="N4" s="29"/>
      <c r="O4" s="29"/>
      <c r="P4" s="29"/>
      <c r="Q4" s="29"/>
      <c r="R4" s="29"/>
      <c r="S4" s="29"/>
      <c r="T4" s="22"/>
    </row>
    <row r="5" spans="1:24" ht="18" customHeight="1" x14ac:dyDescent="0.25">
      <c r="B5" s="82"/>
      <c r="C5" s="228" t="s">
        <v>366</v>
      </c>
      <c r="D5" s="276" t="s">
        <v>329</v>
      </c>
      <c r="E5" s="276"/>
      <c r="F5" s="154"/>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155" t="s">
        <v>0</v>
      </c>
      <c r="D7" s="156" t="s">
        <v>1</v>
      </c>
      <c r="E7" s="155" t="s">
        <v>2</v>
      </c>
      <c r="F7" s="29"/>
      <c r="G7" s="29"/>
      <c r="H7" s="29"/>
      <c r="I7" s="29"/>
      <c r="J7" s="29"/>
      <c r="K7" s="29"/>
      <c r="L7" s="29"/>
      <c r="M7" s="29"/>
      <c r="N7" s="29"/>
      <c r="O7" s="29"/>
      <c r="P7" s="29"/>
      <c r="Q7" s="29"/>
      <c r="R7" s="29"/>
      <c r="S7" s="29"/>
      <c r="T7" s="22"/>
      <c r="W7" s="39" t="s">
        <v>22</v>
      </c>
      <c r="X7" s="39" t="s">
        <v>2</v>
      </c>
    </row>
    <row r="8" spans="1:24" ht="15" customHeight="1" x14ac:dyDescent="0.25">
      <c r="B8" s="82"/>
      <c r="C8" s="192" t="s">
        <v>277</v>
      </c>
      <c r="D8" s="201" t="s">
        <v>113</v>
      </c>
      <c r="E8" s="209">
        <v>3.8204000000000002E-2</v>
      </c>
      <c r="F8" s="29">
        <v>1</v>
      </c>
      <c r="G8" s="29"/>
      <c r="H8" s="29"/>
      <c r="I8" s="29"/>
      <c r="J8" s="29"/>
      <c r="K8" s="29"/>
      <c r="L8" s="29"/>
      <c r="M8" s="29"/>
      <c r="N8" s="29"/>
      <c r="O8" s="29"/>
      <c r="P8" s="29"/>
      <c r="Q8" s="29"/>
      <c r="R8" s="29"/>
      <c r="S8" s="29"/>
      <c r="T8" s="22"/>
      <c r="W8" s="184" t="s">
        <v>113</v>
      </c>
      <c r="X8" s="183">
        <v>0.118823</v>
      </c>
    </row>
    <row r="9" spans="1:24" ht="15.75" customHeight="1" x14ac:dyDescent="0.25">
      <c r="B9" s="82"/>
      <c r="C9" s="192" t="s">
        <v>239</v>
      </c>
      <c r="D9" s="201" t="s">
        <v>26</v>
      </c>
      <c r="E9" s="209">
        <v>3.1652E-2</v>
      </c>
      <c r="F9" s="29">
        <v>2</v>
      </c>
      <c r="G9" s="29"/>
      <c r="H9" s="29"/>
      <c r="I9" s="29"/>
      <c r="J9" s="29"/>
      <c r="K9" s="29"/>
      <c r="L9" s="29"/>
      <c r="M9" s="29"/>
      <c r="N9" s="29"/>
      <c r="O9" s="29"/>
      <c r="P9" s="29"/>
      <c r="Q9" s="29"/>
      <c r="R9" s="29"/>
      <c r="S9" s="29"/>
      <c r="T9" s="22"/>
      <c r="W9" s="184" t="s">
        <v>26</v>
      </c>
      <c r="X9" s="183">
        <v>7.6872999999999997E-2</v>
      </c>
    </row>
    <row r="10" spans="1:24" ht="15" customHeight="1" x14ac:dyDescent="0.25">
      <c r="B10" s="82"/>
      <c r="C10" s="192" t="s">
        <v>70</v>
      </c>
      <c r="D10" s="201" t="s">
        <v>12</v>
      </c>
      <c r="E10" s="209">
        <v>2.7439000000000002E-2</v>
      </c>
      <c r="F10" s="29">
        <v>3</v>
      </c>
      <c r="G10" s="29"/>
      <c r="H10" s="29"/>
      <c r="I10" s="29"/>
      <c r="J10" s="29"/>
      <c r="K10" s="29"/>
      <c r="L10" s="29"/>
      <c r="M10" s="29"/>
      <c r="N10" s="29"/>
      <c r="O10" s="29"/>
      <c r="P10" s="29"/>
      <c r="Q10" s="29"/>
      <c r="R10" s="29"/>
      <c r="S10" s="29"/>
      <c r="T10" s="22"/>
      <c r="W10" s="184" t="s">
        <v>4</v>
      </c>
      <c r="X10" s="183">
        <v>6.6840999999999984E-2</v>
      </c>
    </row>
    <row r="11" spans="1:24" ht="15" customHeight="1" x14ac:dyDescent="0.25">
      <c r="B11" s="82"/>
      <c r="C11" s="192" t="s">
        <v>148</v>
      </c>
      <c r="D11" s="201" t="s">
        <v>126</v>
      </c>
      <c r="E11" s="209">
        <v>2.3786999999999999E-2</v>
      </c>
      <c r="F11" s="29">
        <v>4</v>
      </c>
      <c r="G11" s="29"/>
      <c r="H11" s="29"/>
      <c r="I11" s="29"/>
      <c r="J11" s="29"/>
      <c r="K11" s="29"/>
      <c r="L11" s="29"/>
      <c r="M11" s="29"/>
      <c r="N11" s="29"/>
      <c r="O11" s="29"/>
      <c r="P11" s="29"/>
      <c r="Q11" s="29"/>
      <c r="R11" s="29"/>
      <c r="S11" s="29"/>
      <c r="T11" s="22"/>
      <c r="W11" s="184" t="s">
        <v>121</v>
      </c>
      <c r="X11" s="183">
        <v>4.7682000000000002E-2</v>
      </c>
    </row>
    <row r="12" spans="1:24" ht="15" customHeight="1" x14ac:dyDescent="0.25">
      <c r="B12" s="82"/>
      <c r="C12" s="192" t="s">
        <v>280</v>
      </c>
      <c r="D12" s="201" t="s">
        <v>84</v>
      </c>
      <c r="E12" s="209">
        <v>2.3241999999999999E-2</v>
      </c>
      <c r="F12" s="29">
        <v>5</v>
      </c>
      <c r="G12" s="29"/>
      <c r="H12" s="29"/>
      <c r="I12" s="29"/>
      <c r="J12" s="29"/>
      <c r="K12" s="29"/>
      <c r="L12" s="29"/>
      <c r="M12" s="29"/>
      <c r="N12" s="29"/>
      <c r="O12" s="29"/>
      <c r="P12" s="29"/>
      <c r="Q12" s="29"/>
      <c r="R12" s="29"/>
      <c r="S12" s="29"/>
      <c r="T12" s="22"/>
      <c r="W12" s="184" t="s">
        <v>118</v>
      </c>
      <c r="X12" s="183">
        <v>3.9437E-2</v>
      </c>
    </row>
    <row r="13" spans="1:24" ht="15" customHeight="1" x14ac:dyDescent="0.25">
      <c r="B13" s="82"/>
      <c r="C13" s="192" t="s">
        <v>286</v>
      </c>
      <c r="D13" s="201" t="s">
        <v>78</v>
      </c>
      <c r="E13" s="209">
        <v>2.2700999999999999E-2</v>
      </c>
      <c r="F13" s="29">
        <v>6</v>
      </c>
      <c r="G13" s="29"/>
      <c r="H13" s="29"/>
      <c r="I13" s="29"/>
      <c r="J13" s="29"/>
      <c r="K13" s="29"/>
      <c r="L13" s="29"/>
      <c r="M13" s="29"/>
      <c r="N13" s="29"/>
      <c r="O13" s="29"/>
      <c r="P13" s="29"/>
      <c r="Q13" s="29"/>
      <c r="R13" s="29"/>
      <c r="S13" s="29"/>
      <c r="T13" s="22"/>
      <c r="W13" s="184" t="s">
        <v>12</v>
      </c>
      <c r="X13" s="183">
        <v>3.9079000000000003E-2</v>
      </c>
    </row>
    <row r="14" spans="1:24" ht="15" customHeight="1" x14ac:dyDescent="0.25">
      <c r="B14" s="82"/>
      <c r="C14" s="192" t="s">
        <v>204</v>
      </c>
      <c r="D14" s="201" t="s">
        <v>108</v>
      </c>
      <c r="E14" s="209">
        <v>2.1968000000000001E-2</v>
      </c>
      <c r="F14" s="29">
        <v>7</v>
      </c>
      <c r="G14" s="29"/>
      <c r="H14" s="29"/>
      <c r="I14" s="29"/>
      <c r="J14" s="29"/>
      <c r="K14" s="29"/>
      <c r="L14" s="29"/>
      <c r="M14" s="29"/>
      <c r="N14" s="29"/>
      <c r="O14" s="29"/>
      <c r="P14" s="29"/>
      <c r="Q14" s="29"/>
      <c r="R14" s="29"/>
      <c r="S14" s="29"/>
      <c r="T14" s="22"/>
      <c r="W14" s="184" t="s">
        <v>139</v>
      </c>
      <c r="X14" s="183">
        <v>3.8705000000000003E-2</v>
      </c>
    </row>
    <row r="15" spans="1:24" ht="15" customHeight="1" x14ac:dyDescent="0.25">
      <c r="B15" s="82"/>
      <c r="C15" s="192" t="s">
        <v>250</v>
      </c>
      <c r="D15" s="201" t="s">
        <v>26</v>
      </c>
      <c r="E15" s="209">
        <v>2.1680999999999999E-2</v>
      </c>
      <c r="F15" s="29">
        <v>8</v>
      </c>
      <c r="G15" s="29"/>
      <c r="H15" s="29"/>
      <c r="I15" s="29"/>
      <c r="J15" s="29"/>
      <c r="K15" s="29"/>
      <c r="L15" s="29"/>
      <c r="M15" s="29"/>
      <c r="N15" s="29"/>
      <c r="O15" s="29"/>
      <c r="P15" s="29"/>
      <c r="Q15" s="29"/>
      <c r="R15" s="29"/>
      <c r="S15" s="29"/>
      <c r="T15" s="22"/>
      <c r="W15" s="184" t="s">
        <v>78</v>
      </c>
      <c r="X15" s="183">
        <v>3.6226000000000001E-2</v>
      </c>
    </row>
    <row r="16" spans="1:24" ht="15" customHeight="1" x14ac:dyDescent="0.25">
      <c r="B16" s="82"/>
      <c r="C16" s="192" t="s">
        <v>301</v>
      </c>
      <c r="D16" s="201" t="s">
        <v>139</v>
      </c>
      <c r="E16" s="209">
        <v>1.9977000000000002E-2</v>
      </c>
      <c r="F16" s="29">
        <v>9</v>
      </c>
      <c r="G16" s="29"/>
      <c r="H16" s="29"/>
      <c r="I16" s="29"/>
      <c r="J16" s="29"/>
      <c r="K16" s="29"/>
      <c r="L16" s="29"/>
      <c r="M16" s="29"/>
      <c r="N16" s="29"/>
      <c r="O16" s="29"/>
      <c r="P16" s="29"/>
      <c r="Q16" s="29"/>
      <c r="R16" s="29"/>
      <c r="S16" s="29"/>
      <c r="T16" s="22"/>
      <c r="W16" s="184" t="s">
        <v>190</v>
      </c>
      <c r="X16" s="183">
        <v>3.2426000000000003E-2</v>
      </c>
    </row>
    <row r="17" spans="2:24" ht="15" customHeight="1" x14ac:dyDescent="0.25">
      <c r="B17" s="82"/>
      <c r="C17" s="192" t="s">
        <v>279</v>
      </c>
      <c r="D17" s="201" t="s">
        <v>4</v>
      </c>
      <c r="E17" s="209">
        <v>1.9111E-2</v>
      </c>
      <c r="F17" s="29">
        <v>10</v>
      </c>
      <c r="G17" s="29"/>
      <c r="H17" s="29"/>
      <c r="I17" s="29"/>
      <c r="J17" s="29"/>
      <c r="K17" s="29"/>
      <c r="L17" s="29"/>
      <c r="M17" s="29"/>
      <c r="N17" s="29"/>
      <c r="O17" s="29"/>
      <c r="P17" s="29"/>
      <c r="Q17" s="29"/>
      <c r="R17" s="29"/>
      <c r="S17" s="29"/>
      <c r="T17" s="22"/>
      <c r="W17" s="184" t="s">
        <v>86</v>
      </c>
      <c r="X17" s="183">
        <v>3.0169000000000001E-2</v>
      </c>
    </row>
    <row r="18" spans="2:24" ht="15" customHeight="1" x14ac:dyDescent="0.25">
      <c r="B18" s="82"/>
      <c r="C18" s="192" t="s">
        <v>358</v>
      </c>
      <c r="D18" s="201" t="s">
        <v>190</v>
      </c>
      <c r="E18" s="209">
        <v>1.8925000000000001E-2</v>
      </c>
      <c r="F18" s="29">
        <v>11</v>
      </c>
      <c r="G18" s="29"/>
      <c r="H18" s="29"/>
      <c r="I18" s="29"/>
      <c r="J18" s="29"/>
      <c r="K18" s="29"/>
      <c r="L18" s="29"/>
      <c r="M18" s="29"/>
      <c r="N18" s="29"/>
      <c r="O18" s="29"/>
      <c r="P18" s="29"/>
      <c r="Q18" s="29"/>
      <c r="R18" s="29"/>
      <c r="S18" s="29"/>
      <c r="T18" s="22"/>
      <c r="W18" s="184" t="s">
        <v>116</v>
      </c>
      <c r="X18" s="183">
        <v>2.8624999999999998E-2</v>
      </c>
    </row>
    <row r="19" spans="2:24" ht="15" customHeight="1" x14ac:dyDescent="0.25">
      <c r="B19" s="82"/>
      <c r="C19" s="192" t="s">
        <v>302</v>
      </c>
      <c r="D19" s="201" t="s">
        <v>113</v>
      </c>
      <c r="E19" s="209">
        <v>1.8242999999999999E-2</v>
      </c>
      <c r="F19" s="29">
        <v>12</v>
      </c>
      <c r="G19" s="29"/>
      <c r="H19" s="29"/>
      <c r="I19" s="29"/>
      <c r="J19" s="29"/>
      <c r="K19" s="29"/>
      <c r="L19" s="29"/>
      <c r="M19" s="29"/>
      <c r="N19" s="29"/>
      <c r="O19" s="29"/>
      <c r="P19" s="29"/>
      <c r="Q19" s="29"/>
      <c r="R19" s="29"/>
      <c r="S19" s="29"/>
      <c r="T19" s="22"/>
      <c r="W19" s="184" t="s">
        <v>85</v>
      </c>
      <c r="X19" s="183">
        <v>2.8407000000000002E-2</v>
      </c>
    </row>
    <row r="20" spans="2:24" ht="15" customHeight="1" x14ac:dyDescent="0.25">
      <c r="B20" s="82"/>
      <c r="C20" s="192" t="s">
        <v>285</v>
      </c>
      <c r="D20" s="201" t="s">
        <v>86</v>
      </c>
      <c r="E20" s="209">
        <v>1.7891000000000001E-2</v>
      </c>
      <c r="F20" s="29">
        <v>13</v>
      </c>
      <c r="G20" s="29"/>
      <c r="H20" s="29"/>
      <c r="I20" s="29"/>
      <c r="J20" s="29"/>
      <c r="K20" s="29"/>
      <c r="L20" s="29"/>
      <c r="M20" s="29"/>
      <c r="N20" s="29"/>
      <c r="O20" s="29"/>
      <c r="P20" s="29"/>
      <c r="Q20" s="29"/>
      <c r="R20" s="29"/>
      <c r="S20" s="29"/>
      <c r="T20" s="22"/>
      <c r="W20" s="184" t="s">
        <v>112</v>
      </c>
      <c r="X20" s="183">
        <v>2.8329E-2</v>
      </c>
    </row>
    <row r="21" spans="2:24" ht="15" customHeight="1" x14ac:dyDescent="0.25">
      <c r="B21" s="82"/>
      <c r="C21" s="192" t="s">
        <v>107</v>
      </c>
      <c r="D21" s="201" t="s">
        <v>4</v>
      </c>
      <c r="E21" s="209">
        <v>1.6657999999999999E-2</v>
      </c>
      <c r="F21" s="29">
        <v>14</v>
      </c>
      <c r="G21" s="29"/>
      <c r="H21" s="29"/>
      <c r="I21" s="29"/>
      <c r="J21" s="29"/>
      <c r="K21" s="29"/>
      <c r="L21" s="29"/>
      <c r="M21" s="29"/>
      <c r="N21" s="29"/>
      <c r="O21" s="29"/>
      <c r="P21" s="29"/>
      <c r="Q21" s="29"/>
      <c r="R21" s="29"/>
      <c r="S21" s="29"/>
      <c r="T21" s="22"/>
      <c r="W21" s="184" t="s">
        <v>109</v>
      </c>
      <c r="X21" s="183">
        <v>2.6009999999999998E-2</v>
      </c>
    </row>
    <row r="22" spans="2:24" ht="15" customHeight="1" x14ac:dyDescent="0.25">
      <c r="B22" s="82"/>
      <c r="C22" s="192" t="s">
        <v>195</v>
      </c>
      <c r="D22" s="201" t="s">
        <v>109</v>
      </c>
      <c r="E22" s="209">
        <v>1.6320999999999999E-2</v>
      </c>
      <c r="F22" s="29">
        <v>15</v>
      </c>
      <c r="G22" s="29"/>
      <c r="H22" s="29"/>
      <c r="I22" s="29"/>
      <c r="J22" s="29"/>
      <c r="K22" s="29"/>
      <c r="L22" s="29"/>
      <c r="M22" s="29"/>
      <c r="N22" s="29"/>
      <c r="O22" s="29"/>
      <c r="P22" s="29"/>
      <c r="Q22" s="29"/>
      <c r="R22" s="29"/>
      <c r="S22" s="29"/>
      <c r="T22" s="22"/>
      <c r="W22" s="184" t="s">
        <v>87</v>
      </c>
      <c r="X22" s="183">
        <v>2.5021000000000002E-2</v>
      </c>
    </row>
    <row r="23" spans="2:24" ht="15" customHeight="1" x14ac:dyDescent="0.25">
      <c r="B23" s="82"/>
      <c r="C23" s="74"/>
      <c r="D23" s="74"/>
      <c r="E23" s="157"/>
      <c r="F23" s="29"/>
      <c r="G23" s="29"/>
      <c r="H23" s="29"/>
      <c r="I23" s="29"/>
      <c r="J23" s="29"/>
      <c r="K23" s="29"/>
      <c r="L23" s="29"/>
      <c r="M23" s="29"/>
      <c r="N23" s="29"/>
      <c r="O23" s="29"/>
      <c r="P23" s="29"/>
      <c r="Q23" s="29"/>
      <c r="R23" s="29"/>
      <c r="S23" s="29"/>
      <c r="T23" s="22"/>
      <c r="W23" s="184" t="s">
        <v>16</v>
      </c>
      <c r="X23" s="183">
        <v>2.4896999999999999E-2</v>
      </c>
    </row>
    <row r="24" spans="2:24" ht="15" customHeight="1" x14ac:dyDescent="0.25">
      <c r="B24" s="82"/>
      <c r="C24" s="76" t="s">
        <v>55</v>
      </c>
      <c r="D24" s="77"/>
      <c r="E24" s="78">
        <f>SUM(E8:E22)</f>
        <v>0.33779999999999999</v>
      </c>
      <c r="F24" s="29"/>
      <c r="G24" s="29"/>
      <c r="H24" s="29"/>
      <c r="I24" s="29"/>
      <c r="J24" s="29"/>
      <c r="K24" s="29"/>
      <c r="L24" s="29"/>
      <c r="M24" s="29"/>
      <c r="N24" s="29"/>
      <c r="O24" s="29"/>
      <c r="P24" s="29"/>
      <c r="Q24" s="29"/>
      <c r="R24" s="29"/>
      <c r="S24" s="29"/>
      <c r="T24" s="22"/>
      <c r="W24" s="184" t="s">
        <v>24</v>
      </c>
      <c r="X24" s="183">
        <v>2.4582E-2</v>
      </c>
    </row>
    <row r="25" spans="2:24" ht="15" customHeight="1" x14ac:dyDescent="0.25">
      <c r="B25" s="82"/>
      <c r="F25" s="29"/>
      <c r="G25" s="29"/>
      <c r="H25" s="29"/>
      <c r="I25" s="29"/>
      <c r="J25" s="29"/>
      <c r="K25" s="29"/>
      <c r="L25" s="29"/>
      <c r="M25" s="29"/>
      <c r="N25" s="29"/>
      <c r="O25" s="29"/>
      <c r="P25" s="29"/>
      <c r="Q25" s="29"/>
      <c r="R25" s="29"/>
      <c r="S25" s="29"/>
      <c r="T25" s="22"/>
      <c r="W25" s="184" t="s">
        <v>126</v>
      </c>
      <c r="X25" s="183">
        <v>2.3786999999999999E-2</v>
      </c>
    </row>
    <row r="26" spans="2:24" ht="15" customHeight="1" x14ac:dyDescent="0.25">
      <c r="B26" s="82"/>
      <c r="F26" s="29"/>
      <c r="G26" s="29"/>
      <c r="H26" s="29"/>
      <c r="I26" s="29"/>
      <c r="J26" s="29"/>
      <c r="K26" s="29"/>
      <c r="L26" s="29"/>
      <c r="M26" s="29"/>
      <c r="N26" s="29"/>
      <c r="O26" s="29"/>
      <c r="P26" s="29"/>
      <c r="Q26" s="29"/>
      <c r="R26" s="29"/>
      <c r="S26" s="29"/>
      <c r="T26" s="22"/>
      <c r="W26" s="184" t="s">
        <v>84</v>
      </c>
      <c r="X26" s="183">
        <v>2.3241999999999999E-2</v>
      </c>
    </row>
    <row r="27" spans="2:24" ht="15" customHeight="1" x14ac:dyDescent="0.25">
      <c r="B27" s="82"/>
      <c r="F27" s="29"/>
      <c r="G27" s="29"/>
      <c r="H27" s="29"/>
      <c r="I27" s="29"/>
      <c r="J27" s="29"/>
      <c r="K27" s="29"/>
      <c r="L27" s="29"/>
      <c r="M27" s="29"/>
      <c r="N27" s="29"/>
      <c r="O27" s="29"/>
      <c r="P27" s="29"/>
      <c r="Q27" s="29"/>
      <c r="R27" s="29"/>
      <c r="S27" s="29"/>
      <c r="T27" s="22"/>
      <c r="W27" s="184" t="s">
        <v>108</v>
      </c>
      <c r="X27" s="183">
        <v>2.1968000000000001E-2</v>
      </c>
    </row>
    <row r="28" spans="2:24" ht="15" customHeight="1" x14ac:dyDescent="0.25">
      <c r="B28" s="82"/>
      <c r="F28" s="29"/>
      <c r="G28" s="29"/>
      <c r="H28" s="29"/>
      <c r="I28" s="29"/>
      <c r="J28" s="29"/>
      <c r="K28" s="29"/>
      <c r="L28" s="29"/>
      <c r="M28" s="29"/>
      <c r="N28" s="29"/>
      <c r="O28" s="29"/>
      <c r="P28" s="29"/>
      <c r="Q28" s="29"/>
      <c r="R28" s="29"/>
      <c r="S28" s="29"/>
      <c r="T28" s="22"/>
      <c r="W28" s="184" t="s">
        <v>6</v>
      </c>
      <c r="X28" s="183">
        <v>1.6289000000000001E-2</v>
      </c>
    </row>
    <row r="29" spans="2:24" ht="15" customHeight="1" x14ac:dyDescent="0.25">
      <c r="B29" s="82"/>
      <c r="F29" s="29"/>
      <c r="G29" s="29"/>
      <c r="H29" s="29"/>
      <c r="I29" s="29"/>
      <c r="J29" s="29"/>
      <c r="K29" s="29"/>
      <c r="L29" s="29"/>
      <c r="M29" s="29"/>
      <c r="N29" s="29"/>
      <c r="O29" s="29"/>
      <c r="P29" s="29"/>
      <c r="Q29" s="29"/>
      <c r="R29" s="29"/>
      <c r="S29" s="29"/>
      <c r="T29" s="22"/>
      <c r="W29" s="184" t="s">
        <v>88</v>
      </c>
      <c r="X29" s="183">
        <v>1.5311999999999999E-2</v>
      </c>
    </row>
    <row r="30" spans="2:24" ht="15" customHeight="1" x14ac:dyDescent="0.25">
      <c r="B30" s="82"/>
      <c r="F30" s="29"/>
      <c r="G30" s="29"/>
      <c r="H30" s="29"/>
      <c r="I30" s="29"/>
      <c r="J30" s="29"/>
      <c r="K30" s="29"/>
      <c r="L30" s="29"/>
      <c r="M30" s="29"/>
      <c r="N30" s="29"/>
      <c r="O30" s="29"/>
      <c r="P30" s="29"/>
      <c r="Q30" s="29"/>
      <c r="R30" s="29"/>
      <c r="S30" s="29"/>
      <c r="T30" s="22"/>
      <c r="W30" s="184" t="s">
        <v>120</v>
      </c>
      <c r="X30" s="183">
        <v>1.4413E-2</v>
      </c>
    </row>
    <row r="31" spans="2:24" ht="15" customHeight="1" x14ac:dyDescent="0.25">
      <c r="B31" s="82"/>
      <c r="F31" s="29"/>
      <c r="G31" s="29"/>
      <c r="H31" s="29"/>
      <c r="I31" s="29"/>
      <c r="J31" s="29"/>
      <c r="K31" s="29"/>
      <c r="L31" s="29"/>
      <c r="M31" s="29"/>
      <c r="N31" s="29"/>
      <c r="O31" s="29"/>
      <c r="P31" s="29"/>
      <c r="Q31" s="29"/>
      <c r="R31" s="29"/>
      <c r="S31" s="29"/>
      <c r="T31" s="22"/>
      <c r="W31" s="184" t="s">
        <v>114</v>
      </c>
      <c r="X31" s="183">
        <v>1.3814E-2</v>
      </c>
    </row>
    <row r="32" spans="2:24" ht="15.75" customHeight="1" x14ac:dyDescent="0.25">
      <c r="B32" s="82"/>
      <c r="F32" s="29"/>
      <c r="G32" s="29"/>
      <c r="H32" s="29"/>
      <c r="I32" s="29"/>
      <c r="J32" s="29"/>
      <c r="K32" s="29"/>
      <c r="L32" s="29"/>
      <c r="M32" s="29"/>
      <c r="N32" s="29"/>
      <c r="O32" s="29"/>
      <c r="P32" s="29"/>
      <c r="Q32" s="29"/>
      <c r="R32" s="29"/>
      <c r="S32" s="29"/>
      <c r="T32" s="22"/>
      <c r="W32" s="184" t="s">
        <v>125</v>
      </c>
      <c r="X32" s="183">
        <v>1.3759E-2</v>
      </c>
    </row>
    <row r="33" spans="2:24" ht="15" customHeight="1" x14ac:dyDescent="0.25">
      <c r="B33" s="82"/>
      <c r="F33" s="29"/>
      <c r="G33" s="29"/>
      <c r="H33" s="29"/>
      <c r="I33" s="29"/>
      <c r="J33" s="29"/>
      <c r="K33" s="29"/>
      <c r="L33" s="29"/>
      <c r="M33" s="29"/>
      <c r="N33" s="29"/>
      <c r="O33" s="29"/>
      <c r="P33" s="29"/>
      <c r="Q33" s="29"/>
      <c r="R33" s="29"/>
      <c r="S33" s="29"/>
      <c r="T33" s="22"/>
      <c r="W33" s="184" t="s">
        <v>97</v>
      </c>
      <c r="X33" s="251">
        <v>1.2229E-2</v>
      </c>
    </row>
    <row r="34" spans="2:24" ht="15" customHeight="1" thickBot="1" x14ac:dyDescent="0.3">
      <c r="B34" s="83"/>
      <c r="C34" s="84"/>
      <c r="D34" s="84"/>
      <c r="E34" s="84"/>
      <c r="F34" s="84"/>
      <c r="G34" s="84"/>
      <c r="H34" s="84"/>
      <c r="I34" s="84"/>
      <c r="J34" s="84"/>
      <c r="K34" s="84"/>
      <c r="L34" s="84"/>
      <c r="M34" s="84"/>
      <c r="N34" s="84"/>
      <c r="O34" s="84"/>
      <c r="P34" s="84"/>
      <c r="Q34" s="84"/>
      <c r="R34" s="84"/>
      <c r="S34" s="84"/>
      <c r="T34" s="23"/>
      <c r="W34" s="39" t="s">
        <v>253</v>
      </c>
      <c r="X34" s="251">
        <v>1.1778E-2</v>
      </c>
    </row>
    <row r="35" spans="2:24" ht="15" customHeight="1" thickBot="1" x14ac:dyDescent="0.3">
      <c r="W35" s="39" t="s">
        <v>115</v>
      </c>
      <c r="X35" s="251">
        <v>1.1071000000000001E-2</v>
      </c>
    </row>
    <row r="36" spans="2:24" ht="15" customHeight="1" x14ac:dyDescent="0.25">
      <c r="B36" s="265" t="s">
        <v>186</v>
      </c>
      <c r="C36" s="266"/>
      <c r="D36" s="266"/>
      <c r="E36" s="266"/>
      <c r="F36" s="266"/>
      <c r="G36" s="266"/>
      <c r="H36" s="266"/>
      <c r="I36" s="266"/>
      <c r="J36" s="266"/>
      <c r="K36" s="266"/>
      <c r="L36" s="266"/>
      <c r="M36" s="266"/>
      <c r="N36" s="266"/>
      <c r="O36" s="266"/>
      <c r="P36" s="266"/>
      <c r="Q36" s="266"/>
      <c r="R36" s="267"/>
      <c r="W36" s="39" t="s">
        <v>10</v>
      </c>
      <c r="X36" s="251">
        <v>9.9950000000000004E-3</v>
      </c>
    </row>
    <row r="37" spans="2:24" ht="15" customHeight="1" x14ac:dyDescent="0.25">
      <c r="B37" s="268"/>
      <c r="C37" s="269"/>
      <c r="D37" s="269"/>
      <c r="E37" s="269"/>
      <c r="F37" s="269"/>
      <c r="G37" s="269"/>
      <c r="H37" s="269"/>
      <c r="I37" s="269"/>
      <c r="J37" s="269"/>
      <c r="K37" s="269"/>
      <c r="L37" s="269"/>
      <c r="M37" s="269"/>
      <c r="N37" s="269"/>
      <c r="O37" s="269"/>
      <c r="P37" s="269"/>
      <c r="Q37" s="269"/>
      <c r="R37" s="270"/>
      <c r="W37" s="39" t="s">
        <v>3</v>
      </c>
      <c r="X37" s="251">
        <v>9.776E-3</v>
      </c>
    </row>
    <row r="38" spans="2:24" ht="15" customHeight="1" x14ac:dyDescent="0.25">
      <c r="B38" s="268"/>
      <c r="C38" s="269"/>
      <c r="D38" s="269"/>
      <c r="E38" s="269"/>
      <c r="F38" s="269"/>
      <c r="G38" s="269"/>
      <c r="H38" s="269"/>
      <c r="I38" s="269"/>
      <c r="J38" s="269"/>
      <c r="K38" s="269"/>
      <c r="L38" s="269"/>
      <c r="M38" s="269"/>
      <c r="N38" s="269"/>
      <c r="O38" s="269"/>
      <c r="P38" s="269"/>
      <c r="Q38" s="269"/>
      <c r="R38" s="270"/>
      <c r="W38" s="39" t="s">
        <v>23</v>
      </c>
      <c r="X38" s="251">
        <v>9.5630000000000003E-3</v>
      </c>
    </row>
    <row r="39" spans="2:24" ht="15" customHeight="1" x14ac:dyDescent="0.25">
      <c r="B39" s="268"/>
      <c r="C39" s="269"/>
      <c r="D39" s="269"/>
      <c r="E39" s="269"/>
      <c r="F39" s="269"/>
      <c r="G39" s="269"/>
      <c r="H39" s="269"/>
      <c r="I39" s="269"/>
      <c r="J39" s="269"/>
      <c r="K39" s="269"/>
      <c r="L39" s="269"/>
      <c r="M39" s="269"/>
      <c r="N39" s="269"/>
      <c r="O39" s="269"/>
      <c r="P39" s="269"/>
      <c r="Q39" s="269"/>
      <c r="R39" s="270"/>
      <c r="W39" s="39" t="s">
        <v>135</v>
      </c>
      <c r="X39" s="251">
        <v>8.1069999999999996E-3</v>
      </c>
    </row>
    <row r="40" spans="2:24" ht="15" customHeight="1" x14ac:dyDescent="0.25">
      <c r="B40" s="268"/>
      <c r="C40" s="269"/>
      <c r="D40" s="269"/>
      <c r="E40" s="269"/>
      <c r="F40" s="269"/>
      <c r="G40" s="269"/>
      <c r="H40" s="269"/>
      <c r="I40" s="269"/>
      <c r="J40" s="269"/>
      <c r="K40" s="269"/>
      <c r="L40" s="269"/>
      <c r="M40" s="269"/>
      <c r="N40" s="269"/>
      <c r="O40" s="269"/>
      <c r="P40" s="269"/>
      <c r="Q40" s="269"/>
      <c r="R40" s="270"/>
      <c r="W40" s="39" t="s">
        <v>13</v>
      </c>
      <c r="X40" s="251">
        <v>4.6290000000000003E-3</v>
      </c>
    </row>
    <row r="41" spans="2:24" ht="15" customHeight="1" x14ac:dyDescent="0.25">
      <c r="B41" s="268"/>
      <c r="C41" s="269"/>
      <c r="D41" s="269"/>
      <c r="E41" s="269"/>
      <c r="F41" s="269"/>
      <c r="G41" s="269"/>
      <c r="H41" s="269"/>
      <c r="I41" s="269"/>
      <c r="J41" s="269"/>
      <c r="K41" s="269"/>
      <c r="L41" s="269"/>
      <c r="M41" s="269"/>
      <c r="N41" s="269"/>
      <c r="O41" s="269"/>
      <c r="P41" s="269"/>
      <c r="Q41" s="269"/>
      <c r="R41" s="270"/>
      <c r="W41" s="39" t="s">
        <v>127</v>
      </c>
      <c r="X41" s="251">
        <v>3.0469999999999998E-3</v>
      </c>
    </row>
    <row r="42" spans="2:24" ht="15" customHeight="1" thickBot="1" x14ac:dyDescent="0.3">
      <c r="B42" s="271"/>
      <c r="C42" s="272"/>
      <c r="D42" s="272"/>
      <c r="E42" s="272"/>
      <c r="F42" s="272"/>
      <c r="G42" s="272"/>
      <c r="H42" s="272"/>
      <c r="I42" s="272"/>
      <c r="J42" s="272"/>
      <c r="K42" s="272"/>
      <c r="L42" s="272"/>
      <c r="M42" s="272"/>
      <c r="N42" s="272"/>
      <c r="O42" s="272"/>
      <c r="P42" s="272"/>
      <c r="Q42" s="272"/>
      <c r="R42" s="273"/>
    </row>
    <row r="43" spans="2:24" ht="15" customHeight="1" x14ac:dyDescent="0.25"/>
    <row r="44" spans="2:24" ht="15" customHeight="1" x14ac:dyDescent="0.25"/>
    <row r="45" spans="2:24" ht="15" customHeight="1" x14ac:dyDescent="0.25"/>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3">
    <mergeCell ref="C3:S3"/>
    <mergeCell ref="D5:E5"/>
    <mergeCell ref="B36:R42"/>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65"/>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bestFit="1" customWidth="1"/>
    <col min="5" max="5" width="10.42578125" style="19" bestFit="1" customWidth="1"/>
    <col min="6" max="6" width="26.5703125" style="19" customWidth="1"/>
    <col min="7" max="7" width="13.7109375" style="19" bestFit="1" customWidth="1"/>
    <col min="8" max="8" width="12.7109375" style="19" bestFit="1" customWidth="1"/>
    <col min="9" max="18" width="9.140625" style="19"/>
    <col min="19" max="19" width="9.85546875" style="19" customWidth="1"/>
    <col min="20" max="20" width="9.140625" style="19"/>
    <col min="21" max="21" width="8.42578125" style="19" customWidth="1"/>
    <col min="22" max="16384" width="9.140625" style="19"/>
  </cols>
  <sheetData>
    <row r="1" spans="1:25" ht="15.75" customHeight="1" thickBot="1" x14ac:dyDescent="0.3">
      <c r="A1" s="3"/>
    </row>
    <row r="2" spans="1:25" ht="15" customHeight="1" x14ac:dyDescent="0.25">
      <c r="B2" s="80"/>
      <c r="C2" s="81"/>
      <c r="D2" s="81"/>
      <c r="E2" s="81"/>
      <c r="F2" s="81"/>
      <c r="G2" s="81"/>
      <c r="H2" s="81"/>
      <c r="I2" s="81"/>
      <c r="J2" s="81"/>
      <c r="K2" s="81"/>
      <c r="L2" s="81"/>
      <c r="M2" s="81"/>
      <c r="N2" s="81"/>
      <c r="O2" s="81"/>
      <c r="P2" s="81"/>
      <c r="Q2" s="81"/>
      <c r="R2" s="81"/>
      <c r="S2" s="81"/>
      <c r="T2" s="21"/>
    </row>
    <row r="3" spans="1:25" ht="20.25" customHeight="1" x14ac:dyDescent="0.25">
      <c r="B3" s="82"/>
      <c r="C3" s="274" t="s">
        <v>222</v>
      </c>
      <c r="D3" s="275"/>
      <c r="E3" s="275"/>
      <c r="F3" s="275"/>
      <c r="G3" s="275"/>
      <c r="H3" s="275"/>
      <c r="I3" s="275"/>
      <c r="J3" s="275"/>
      <c r="K3" s="275"/>
      <c r="L3" s="275"/>
      <c r="M3" s="275"/>
      <c r="N3" s="275"/>
      <c r="O3" s="275"/>
      <c r="P3" s="275"/>
      <c r="Q3" s="275"/>
      <c r="R3" s="275"/>
      <c r="S3" s="275"/>
      <c r="T3" s="22"/>
    </row>
    <row r="4" spans="1:25" ht="15.75" customHeight="1" x14ac:dyDescent="0.25">
      <c r="B4" s="82"/>
      <c r="C4" s="70" t="s">
        <v>367</v>
      </c>
      <c r="D4" s="29"/>
      <c r="E4" s="29"/>
      <c r="F4" s="29"/>
      <c r="G4" s="29"/>
      <c r="H4" s="29"/>
      <c r="I4" s="29"/>
      <c r="J4" s="29"/>
      <c r="K4" s="29"/>
      <c r="L4" s="29"/>
      <c r="M4" s="29"/>
      <c r="N4" s="29"/>
      <c r="O4" s="29"/>
      <c r="P4" s="29"/>
      <c r="Q4" s="29"/>
      <c r="R4" s="29"/>
      <c r="S4" s="29"/>
      <c r="T4" s="22"/>
    </row>
    <row r="5" spans="1:25" ht="18" customHeight="1" x14ac:dyDescent="0.25">
      <c r="B5" s="82"/>
      <c r="C5" s="228" t="s">
        <v>366</v>
      </c>
      <c r="D5" s="276" t="s">
        <v>330</v>
      </c>
      <c r="E5" s="276"/>
      <c r="F5" s="29"/>
      <c r="G5" s="29"/>
      <c r="H5" s="29"/>
      <c r="I5" s="29"/>
      <c r="J5" s="29"/>
      <c r="K5" s="29"/>
      <c r="L5" s="29"/>
      <c r="M5" s="29"/>
      <c r="N5" s="29"/>
      <c r="O5" s="29"/>
      <c r="P5" s="29"/>
      <c r="Q5" s="29"/>
      <c r="R5" s="29"/>
      <c r="S5" s="29"/>
      <c r="T5" s="22"/>
    </row>
    <row r="6" spans="1:25" ht="15" customHeight="1" x14ac:dyDescent="0.25">
      <c r="B6" s="82"/>
      <c r="C6" s="29"/>
      <c r="D6" s="29"/>
      <c r="E6" s="29"/>
      <c r="F6" s="29"/>
      <c r="G6" s="29"/>
      <c r="H6" s="29"/>
      <c r="I6" s="29"/>
      <c r="J6" s="29"/>
      <c r="K6" s="29"/>
      <c r="L6" s="29"/>
      <c r="M6" s="29"/>
      <c r="N6" s="29"/>
      <c r="O6" s="29"/>
      <c r="P6" s="29"/>
      <c r="Q6" s="29"/>
      <c r="R6" s="29"/>
      <c r="S6" s="29"/>
      <c r="T6" s="22"/>
    </row>
    <row r="7" spans="1:25"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25" ht="15" customHeight="1" x14ac:dyDescent="0.25">
      <c r="B8" s="82"/>
      <c r="C8" s="198" t="s">
        <v>29</v>
      </c>
      <c r="D8" s="199" t="s">
        <v>3</v>
      </c>
      <c r="E8" s="200">
        <v>5.4017999999999997E-2</v>
      </c>
      <c r="F8" s="29"/>
      <c r="G8" s="29"/>
      <c r="H8" s="29"/>
      <c r="I8" s="29"/>
      <c r="J8" s="29"/>
      <c r="K8" s="29"/>
      <c r="L8" s="29"/>
      <c r="M8" s="29"/>
      <c r="N8" s="29"/>
      <c r="O8" s="29"/>
      <c r="P8" s="29"/>
      <c r="Q8" s="29"/>
      <c r="R8" s="29"/>
      <c r="S8" s="29"/>
      <c r="T8" s="22"/>
      <c r="W8" s="177" t="s">
        <v>3</v>
      </c>
      <c r="X8" s="178">
        <v>0.18914699999999998</v>
      </c>
      <c r="Y8" s="153"/>
    </row>
    <row r="9" spans="1:25" ht="15.75" customHeight="1" x14ac:dyDescent="0.25">
      <c r="B9" s="82"/>
      <c r="C9" s="192" t="s">
        <v>32</v>
      </c>
      <c r="D9" s="201" t="s">
        <v>3</v>
      </c>
      <c r="E9" s="202">
        <v>5.0770999999999997E-2</v>
      </c>
      <c r="F9" s="29"/>
      <c r="G9" s="29"/>
      <c r="H9" s="29"/>
      <c r="I9" s="29"/>
      <c r="J9" s="29"/>
      <c r="K9" s="29"/>
      <c r="L9" s="29"/>
      <c r="M9" s="29"/>
      <c r="N9" s="29"/>
      <c r="O9" s="29"/>
      <c r="P9" s="29"/>
      <c r="Q9" s="29"/>
      <c r="R9" s="29"/>
      <c r="S9" s="29"/>
      <c r="T9" s="22"/>
      <c r="W9" s="177" t="s">
        <v>109</v>
      </c>
      <c r="X9" s="178">
        <v>9.4603000000000007E-2</v>
      </c>
      <c r="Y9" s="153"/>
    </row>
    <row r="10" spans="1:25" ht="15" customHeight="1" x14ac:dyDescent="0.25">
      <c r="B10" s="82"/>
      <c r="C10" s="192" t="s">
        <v>31</v>
      </c>
      <c r="D10" s="201" t="s">
        <v>6</v>
      </c>
      <c r="E10" s="202">
        <v>4.8231999999999997E-2</v>
      </c>
      <c r="F10" s="29"/>
      <c r="G10" s="29"/>
      <c r="H10" s="29"/>
      <c r="I10" s="29"/>
      <c r="J10" s="29"/>
      <c r="K10" s="29"/>
      <c r="L10" s="29"/>
      <c r="M10" s="29"/>
      <c r="N10" s="29"/>
      <c r="O10" s="29"/>
      <c r="P10" s="29"/>
      <c r="Q10" s="29"/>
      <c r="R10" s="29"/>
      <c r="S10" s="29"/>
      <c r="T10" s="22"/>
      <c r="W10" s="177" t="s">
        <v>113</v>
      </c>
      <c r="X10" s="178">
        <v>9.1439999999999994E-2</v>
      </c>
      <c r="Y10" s="153"/>
    </row>
    <row r="11" spans="1:25" ht="15" customHeight="1" x14ac:dyDescent="0.25">
      <c r="B11" s="82"/>
      <c r="C11" s="192" t="s">
        <v>36</v>
      </c>
      <c r="D11" s="201" t="s">
        <v>3</v>
      </c>
      <c r="E11" s="202">
        <v>3.7360999999999998E-2</v>
      </c>
      <c r="F11" s="29"/>
      <c r="G11" s="29"/>
      <c r="H11" s="29"/>
      <c r="I11" s="29"/>
      <c r="J11" s="29"/>
      <c r="K11" s="29"/>
      <c r="L11" s="29"/>
      <c r="M11" s="29"/>
      <c r="N11" s="29"/>
      <c r="O11" s="29"/>
      <c r="P11" s="29"/>
      <c r="Q11" s="29"/>
      <c r="R11" s="29"/>
      <c r="S11" s="29"/>
      <c r="T11" s="22"/>
      <c r="W11" s="177" t="s">
        <v>23</v>
      </c>
      <c r="X11" s="178">
        <v>5.7241E-2</v>
      </c>
      <c r="Y11" s="153"/>
    </row>
    <row r="12" spans="1:25" ht="15" customHeight="1" x14ac:dyDescent="0.25">
      <c r="B12" s="82"/>
      <c r="C12" s="192" t="s">
        <v>28</v>
      </c>
      <c r="D12" s="201" t="s">
        <v>109</v>
      </c>
      <c r="E12" s="202">
        <v>3.6435000000000002E-2</v>
      </c>
      <c r="F12" s="29"/>
      <c r="G12" s="29"/>
      <c r="H12" s="29"/>
      <c r="I12" s="29"/>
      <c r="J12" s="29"/>
      <c r="K12" s="29"/>
      <c r="L12" s="29"/>
      <c r="M12" s="29"/>
      <c r="N12" s="29"/>
      <c r="O12" s="29"/>
      <c r="P12" s="29"/>
      <c r="Q12" s="29"/>
      <c r="R12" s="29"/>
      <c r="S12" s="29"/>
      <c r="T12" s="22"/>
      <c r="W12" s="177" t="s">
        <v>114</v>
      </c>
      <c r="X12" s="178">
        <v>4.8908000000000007E-2</v>
      </c>
      <c r="Y12" s="153"/>
    </row>
    <row r="13" spans="1:25" ht="15" customHeight="1" x14ac:dyDescent="0.25">
      <c r="B13" s="82"/>
      <c r="C13" s="192" t="s">
        <v>70</v>
      </c>
      <c r="D13" s="201" t="s">
        <v>12</v>
      </c>
      <c r="E13" s="202">
        <v>2.4933E-2</v>
      </c>
      <c r="F13" s="29"/>
      <c r="G13" s="29"/>
      <c r="H13" s="29"/>
      <c r="I13" s="29"/>
      <c r="J13" s="29"/>
      <c r="K13" s="29"/>
      <c r="L13" s="29"/>
      <c r="M13" s="29"/>
      <c r="N13" s="29"/>
      <c r="O13" s="29"/>
      <c r="P13" s="29"/>
      <c r="Q13" s="29"/>
      <c r="R13" s="29"/>
      <c r="S13" s="29"/>
      <c r="T13" s="22"/>
      <c r="W13" s="177" t="s">
        <v>6</v>
      </c>
      <c r="X13" s="178">
        <v>4.8231999999999997E-2</v>
      </c>
      <c r="Y13" s="153"/>
    </row>
    <row r="14" spans="1:25" ht="15" customHeight="1" x14ac:dyDescent="0.25">
      <c r="B14" s="82"/>
      <c r="C14" s="192" t="s">
        <v>62</v>
      </c>
      <c r="D14" s="201" t="s">
        <v>10</v>
      </c>
      <c r="E14" s="202">
        <v>2.3179999999999999E-2</v>
      </c>
      <c r="F14" s="29"/>
      <c r="G14" s="29"/>
      <c r="H14" s="29"/>
      <c r="I14" s="29"/>
      <c r="J14" s="29"/>
      <c r="K14" s="29"/>
      <c r="L14" s="29"/>
      <c r="M14" s="29"/>
      <c r="N14" s="29"/>
      <c r="O14" s="29"/>
      <c r="P14" s="29"/>
      <c r="Q14" s="29"/>
      <c r="R14" s="29"/>
      <c r="S14" s="29"/>
      <c r="T14" s="22"/>
      <c r="W14" s="177" t="s">
        <v>112</v>
      </c>
      <c r="X14" s="178">
        <v>3.7724999999999995E-2</v>
      </c>
      <c r="Y14" s="153"/>
    </row>
    <row r="15" spans="1:25" ht="15" customHeight="1" x14ac:dyDescent="0.25">
      <c r="B15" s="82"/>
      <c r="C15" s="192" t="s">
        <v>100</v>
      </c>
      <c r="D15" s="201" t="s">
        <v>121</v>
      </c>
      <c r="E15" s="202">
        <v>2.1530000000000001E-2</v>
      </c>
      <c r="F15" s="29"/>
      <c r="G15" s="29"/>
      <c r="H15" s="29"/>
      <c r="I15" s="29"/>
      <c r="J15" s="29"/>
      <c r="K15" s="29"/>
      <c r="L15" s="29"/>
      <c r="M15" s="29"/>
      <c r="N15" s="29"/>
      <c r="O15" s="29"/>
      <c r="P15" s="29"/>
      <c r="Q15" s="29"/>
      <c r="R15" s="29"/>
      <c r="S15" s="29"/>
      <c r="T15" s="22"/>
      <c r="W15" s="177" t="s">
        <v>87</v>
      </c>
      <c r="X15" s="178">
        <v>3.6070000000000005E-2</v>
      </c>
      <c r="Y15" s="153"/>
    </row>
    <row r="16" spans="1:25" ht="15" customHeight="1" x14ac:dyDescent="0.25">
      <c r="B16" s="82"/>
      <c r="C16" s="192" t="s">
        <v>76</v>
      </c>
      <c r="D16" s="201" t="s">
        <v>11</v>
      </c>
      <c r="E16" s="202">
        <v>2.0650000000000002E-2</v>
      </c>
      <c r="F16" s="29"/>
      <c r="G16" s="29"/>
      <c r="H16" s="29"/>
      <c r="I16" s="29"/>
      <c r="J16" s="29"/>
      <c r="K16" s="29"/>
      <c r="L16" s="29"/>
      <c r="M16" s="29"/>
      <c r="N16" s="29"/>
      <c r="O16" s="29"/>
      <c r="P16" s="29"/>
      <c r="Q16" s="29"/>
      <c r="R16" s="29"/>
      <c r="S16" s="29"/>
      <c r="T16" s="22"/>
      <c r="W16" s="177" t="s">
        <v>11</v>
      </c>
      <c r="X16" s="178">
        <v>3.3245999999999998E-2</v>
      </c>
      <c r="Y16" s="153"/>
    </row>
    <row r="17" spans="2:25" ht="15" customHeight="1" x14ac:dyDescent="0.25">
      <c r="B17" s="82"/>
      <c r="C17" s="192" t="s">
        <v>106</v>
      </c>
      <c r="D17" s="201" t="s">
        <v>113</v>
      </c>
      <c r="E17" s="202">
        <v>1.9361E-2</v>
      </c>
      <c r="F17" s="29"/>
      <c r="G17" s="29"/>
      <c r="H17" s="29"/>
      <c r="I17" s="29"/>
      <c r="J17" s="29"/>
      <c r="K17" s="29"/>
      <c r="L17" s="29"/>
      <c r="M17" s="29"/>
      <c r="N17" s="29"/>
      <c r="O17" s="29"/>
      <c r="P17" s="29"/>
      <c r="Q17" s="29"/>
      <c r="R17" s="29"/>
      <c r="S17" s="29"/>
      <c r="T17" s="22"/>
      <c r="W17" s="177" t="s">
        <v>10</v>
      </c>
      <c r="X17" s="178">
        <v>3.1425999999999996E-2</v>
      </c>
      <c r="Y17" s="153"/>
    </row>
    <row r="18" spans="2:25" ht="15" customHeight="1" x14ac:dyDescent="0.25">
      <c r="B18" s="82"/>
      <c r="C18" s="192" t="s">
        <v>34</v>
      </c>
      <c r="D18" s="201" t="s">
        <v>23</v>
      </c>
      <c r="E18" s="202">
        <v>1.8599999999999998E-2</v>
      </c>
      <c r="F18" s="29"/>
      <c r="G18" s="29"/>
      <c r="H18" s="29"/>
      <c r="I18" s="29"/>
      <c r="J18" s="29"/>
      <c r="K18" s="29"/>
      <c r="L18" s="29"/>
      <c r="M18" s="29"/>
      <c r="N18" s="29"/>
      <c r="O18" s="29"/>
      <c r="P18" s="29"/>
      <c r="Q18" s="29"/>
      <c r="R18" s="29"/>
      <c r="S18" s="29"/>
      <c r="T18" s="22"/>
      <c r="W18" s="177" t="s">
        <v>4</v>
      </c>
      <c r="X18" s="178">
        <v>2.8270999999999998E-2</v>
      </c>
      <c r="Y18" s="153"/>
    </row>
    <row r="19" spans="2:25" ht="15" customHeight="1" x14ac:dyDescent="0.25">
      <c r="B19" s="82"/>
      <c r="C19" s="192" t="s">
        <v>33</v>
      </c>
      <c r="D19" s="201" t="s">
        <v>109</v>
      </c>
      <c r="E19" s="202">
        <v>1.8325999999999999E-2</v>
      </c>
      <c r="F19" s="29"/>
      <c r="G19" s="29"/>
      <c r="H19" s="29"/>
      <c r="I19" s="29"/>
      <c r="J19" s="29"/>
      <c r="K19" s="29"/>
      <c r="L19" s="29"/>
      <c r="M19" s="29"/>
      <c r="N19" s="29"/>
      <c r="O19" s="29"/>
      <c r="P19" s="29"/>
      <c r="Q19" s="29"/>
      <c r="R19" s="29"/>
      <c r="S19" s="29"/>
      <c r="T19" s="22"/>
      <c r="W19" s="177" t="s">
        <v>85</v>
      </c>
      <c r="X19" s="178">
        <v>2.7703999999999999E-2</v>
      </c>
      <c r="Y19" s="153"/>
    </row>
    <row r="20" spans="2:25" ht="15" customHeight="1" x14ac:dyDescent="0.25">
      <c r="B20" s="82"/>
      <c r="C20" s="192" t="s">
        <v>98</v>
      </c>
      <c r="D20" s="201" t="s">
        <v>114</v>
      </c>
      <c r="E20" s="202">
        <v>1.8270000000000002E-2</v>
      </c>
      <c r="F20" s="29"/>
      <c r="G20" s="29"/>
      <c r="H20" s="29"/>
      <c r="I20" s="29"/>
      <c r="J20" s="29"/>
      <c r="K20" s="29"/>
      <c r="L20" s="29"/>
      <c r="M20" s="29"/>
      <c r="N20" s="29"/>
      <c r="O20" s="29"/>
      <c r="P20" s="29"/>
      <c r="Q20" s="29"/>
      <c r="R20" s="29"/>
      <c r="S20" s="29"/>
      <c r="T20" s="22"/>
      <c r="W20" s="177" t="s">
        <v>108</v>
      </c>
      <c r="X20" s="178">
        <v>2.6137000000000001E-2</v>
      </c>
      <c r="Y20" s="153"/>
    </row>
    <row r="21" spans="2:25" ht="15" customHeight="1" x14ac:dyDescent="0.25">
      <c r="B21" s="82"/>
      <c r="C21" s="192" t="s">
        <v>80</v>
      </c>
      <c r="D21" s="201" t="s">
        <v>3</v>
      </c>
      <c r="E21" s="202">
        <v>1.8228999999999999E-2</v>
      </c>
      <c r="F21" s="29"/>
      <c r="G21" s="29"/>
      <c r="H21" s="29"/>
      <c r="I21" s="29"/>
      <c r="J21" s="29"/>
      <c r="K21" s="29"/>
      <c r="L21" s="29"/>
      <c r="M21" s="29"/>
      <c r="N21" s="29"/>
      <c r="O21" s="29"/>
      <c r="P21" s="29"/>
      <c r="Q21" s="29"/>
      <c r="R21" s="29"/>
      <c r="S21" s="29"/>
      <c r="T21" s="22"/>
      <c r="W21" s="177" t="s">
        <v>12</v>
      </c>
      <c r="X21" s="178">
        <v>2.4933E-2</v>
      </c>
      <c r="Y21" s="153"/>
    </row>
    <row r="22" spans="2:25" ht="15" customHeight="1" x14ac:dyDescent="0.25">
      <c r="B22" s="82"/>
      <c r="C22" s="192" t="s">
        <v>296</v>
      </c>
      <c r="D22" s="201" t="s">
        <v>23</v>
      </c>
      <c r="E22" s="202">
        <v>1.7402000000000001E-2</v>
      </c>
      <c r="F22" s="29"/>
      <c r="G22" s="29"/>
      <c r="H22" s="29"/>
      <c r="I22" s="29"/>
      <c r="J22" s="29"/>
      <c r="K22" s="29"/>
      <c r="L22" s="29"/>
      <c r="M22" s="29"/>
      <c r="N22" s="29"/>
      <c r="O22" s="29"/>
      <c r="P22" s="29"/>
      <c r="Q22" s="29"/>
      <c r="R22" s="29"/>
      <c r="S22" s="29"/>
      <c r="T22" s="22"/>
      <c r="W22" s="177" t="s">
        <v>26</v>
      </c>
      <c r="X22" s="178">
        <v>2.3861E-2</v>
      </c>
      <c r="Y22" s="153"/>
    </row>
    <row r="23" spans="2:25" ht="15" customHeight="1" x14ac:dyDescent="0.25">
      <c r="B23" s="82"/>
      <c r="C23" s="74"/>
      <c r="D23" s="74"/>
      <c r="E23" s="75"/>
      <c r="F23" s="29"/>
      <c r="G23" s="29"/>
      <c r="H23" s="29"/>
      <c r="I23" s="29"/>
      <c r="J23" s="29"/>
      <c r="K23" s="29"/>
      <c r="L23" s="29"/>
      <c r="M23" s="29"/>
      <c r="N23" s="29"/>
      <c r="O23" s="29"/>
      <c r="P23" s="29"/>
      <c r="Q23" s="29"/>
      <c r="R23" s="29"/>
      <c r="S23" s="29"/>
      <c r="T23" s="22"/>
      <c r="W23" s="177" t="s">
        <v>121</v>
      </c>
      <c r="X23" s="178">
        <v>2.3726000000000001E-2</v>
      </c>
      <c r="Y23" s="153"/>
    </row>
    <row r="24" spans="2:25" ht="15" customHeight="1" x14ac:dyDescent="0.25">
      <c r="B24" s="82"/>
      <c r="C24" s="76" t="s">
        <v>55</v>
      </c>
      <c r="D24" s="77"/>
      <c r="E24" s="78">
        <f>SUM(E8:E22)</f>
        <v>0.42729799999999996</v>
      </c>
      <c r="F24" s="29"/>
      <c r="G24" s="29"/>
      <c r="H24" s="29"/>
      <c r="I24" s="29"/>
      <c r="J24" s="29"/>
      <c r="K24" s="29"/>
      <c r="L24" s="29"/>
      <c r="M24" s="29"/>
      <c r="N24" s="29"/>
      <c r="O24" s="29"/>
      <c r="P24" s="29"/>
      <c r="Q24" s="29"/>
      <c r="R24" s="29"/>
      <c r="S24" s="29"/>
      <c r="T24" s="22"/>
      <c r="W24" s="177" t="s">
        <v>115</v>
      </c>
      <c r="X24" s="178">
        <v>2.1490000000000002E-2</v>
      </c>
      <c r="Y24" s="153"/>
    </row>
    <row r="25" spans="2:25" ht="15" customHeight="1" x14ac:dyDescent="0.25">
      <c r="B25" s="82"/>
      <c r="F25" s="29"/>
      <c r="G25" s="29"/>
      <c r="H25" s="29"/>
      <c r="I25" s="29"/>
      <c r="J25" s="29"/>
      <c r="K25" s="29"/>
      <c r="L25" s="29"/>
      <c r="M25" s="29"/>
      <c r="N25" s="29"/>
      <c r="O25" s="29"/>
      <c r="P25" s="29"/>
      <c r="Q25" s="29"/>
      <c r="R25" s="29"/>
      <c r="S25" s="29"/>
      <c r="T25" s="22"/>
      <c r="W25" s="177" t="s">
        <v>84</v>
      </c>
      <c r="X25" s="178">
        <v>1.8244E-2</v>
      </c>
      <c r="Y25" s="153"/>
    </row>
    <row r="26" spans="2:25" ht="15" customHeight="1" x14ac:dyDescent="0.25">
      <c r="B26" s="82"/>
      <c r="F26" s="29"/>
      <c r="G26" s="29"/>
      <c r="H26" s="29"/>
      <c r="I26" s="29"/>
      <c r="J26" s="29"/>
      <c r="K26" s="29"/>
      <c r="L26" s="29"/>
      <c r="M26" s="29"/>
      <c r="N26" s="29"/>
      <c r="O26" s="29"/>
      <c r="P26" s="29"/>
      <c r="Q26" s="29"/>
      <c r="R26" s="29"/>
      <c r="S26" s="29"/>
      <c r="T26" s="22"/>
      <c r="W26" s="177" t="s">
        <v>119</v>
      </c>
      <c r="X26" s="178">
        <v>1.7250999999999999E-2</v>
      </c>
      <c r="Y26" s="153"/>
    </row>
    <row r="27" spans="2:25" ht="15" customHeight="1" x14ac:dyDescent="0.25">
      <c r="B27" s="82"/>
      <c r="F27" s="29"/>
      <c r="G27" s="29"/>
      <c r="H27" s="29"/>
      <c r="I27" s="29"/>
      <c r="J27" s="29"/>
      <c r="K27" s="29"/>
      <c r="L27" s="29"/>
      <c r="M27" s="29"/>
      <c r="N27" s="29"/>
      <c r="O27" s="29"/>
      <c r="P27" s="29"/>
      <c r="Q27" s="29"/>
      <c r="R27" s="29"/>
      <c r="S27" s="29"/>
      <c r="T27" s="22"/>
      <c r="W27" s="177" t="s">
        <v>16</v>
      </c>
      <c r="X27" s="178">
        <v>1.6111E-2</v>
      </c>
      <c r="Y27" s="153"/>
    </row>
    <row r="28" spans="2:25" ht="15" customHeight="1" x14ac:dyDescent="0.25">
      <c r="B28" s="82"/>
      <c r="F28" s="29"/>
      <c r="G28" s="29"/>
      <c r="H28" s="29"/>
      <c r="I28" s="29"/>
      <c r="J28" s="29"/>
      <c r="K28" s="29"/>
      <c r="L28" s="29"/>
      <c r="M28" s="29"/>
      <c r="N28" s="29"/>
      <c r="O28" s="29"/>
      <c r="P28" s="29"/>
      <c r="Q28" s="29"/>
      <c r="R28" s="29"/>
      <c r="S28" s="29"/>
      <c r="T28" s="22"/>
      <c r="W28" s="177" t="s">
        <v>15</v>
      </c>
      <c r="X28" s="178">
        <v>1.3991E-2</v>
      </c>
      <c r="Y28" s="153"/>
    </row>
    <row r="29" spans="2:25" ht="15" customHeight="1" x14ac:dyDescent="0.25">
      <c r="B29" s="82"/>
      <c r="F29" s="29"/>
      <c r="G29" s="29"/>
      <c r="H29" s="29"/>
      <c r="I29" s="29"/>
      <c r="J29" s="29"/>
      <c r="K29" s="29"/>
      <c r="L29" s="29"/>
      <c r="M29" s="29"/>
      <c r="N29" s="29"/>
      <c r="O29" s="29"/>
      <c r="P29" s="29"/>
      <c r="Q29" s="29"/>
      <c r="R29" s="29"/>
      <c r="S29" s="29"/>
      <c r="T29" s="22"/>
      <c r="W29" s="177" t="s">
        <v>123</v>
      </c>
      <c r="X29" s="178">
        <v>1.2397E-2</v>
      </c>
      <c r="Y29" s="153"/>
    </row>
    <row r="30" spans="2:25" ht="15" customHeight="1" x14ac:dyDescent="0.25">
      <c r="B30" s="82"/>
      <c r="F30" s="29"/>
      <c r="G30" s="29"/>
      <c r="H30" s="29"/>
      <c r="I30" s="29"/>
      <c r="J30" s="29"/>
      <c r="K30" s="29"/>
      <c r="L30" s="29"/>
      <c r="M30" s="29"/>
      <c r="N30" s="29"/>
      <c r="O30" s="29"/>
      <c r="P30" s="29"/>
      <c r="Q30" s="29"/>
      <c r="R30" s="29"/>
      <c r="S30" s="29"/>
      <c r="T30" s="22"/>
      <c r="W30" s="177" t="s">
        <v>110</v>
      </c>
      <c r="X30" s="178">
        <v>1.1519E-2</v>
      </c>
    </row>
    <row r="31" spans="2:25" ht="15" customHeight="1" x14ac:dyDescent="0.25">
      <c r="B31" s="82"/>
      <c r="F31" s="29"/>
      <c r="G31" s="29"/>
      <c r="H31" s="29"/>
      <c r="I31" s="29"/>
      <c r="J31" s="29"/>
      <c r="K31" s="29"/>
      <c r="L31" s="29"/>
      <c r="M31" s="29"/>
      <c r="N31" s="29"/>
      <c r="O31" s="29"/>
      <c r="P31" s="29"/>
      <c r="Q31" s="29"/>
      <c r="R31" s="29"/>
      <c r="S31" s="29"/>
      <c r="T31" s="22"/>
      <c r="W31" s="177" t="s">
        <v>126</v>
      </c>
      <c r="X31" s="178">
        <v>9.8209999999999999E-3</v>
      </c>
    </row>
    <row r="32" spans="2:25" ht="15" customHeight="1" x14ac:dyDescent="0.25">
      <c r="B32" s="82"/>
      <c r="F32" s="29"/>
      <c r="G32" s="29"/>
      <c r="H32" s="29"/>
      <c r="I32" s="29"/>
      <c r="J32" s="29"/>
      <c r="K32" s="29"/>
      <c r="L32" s="29"/>
      <c r="M32" s="29"/>
      <c r="N32" s="29"/>
      <c r="O32" s="29"/>
      <c r="P32" s="29"/>
      <c r="Q32" s="29"/>
      <c r="R32" s="29"/>
      <c r="S32" s="29"/>
      <c r="T32" s="22"/>
      <c r="W32" s="177" t="s">
        <v>133</v>
      </c>
      <c r="X32" s="178">
        <v>8.7290000000000006E-3</v>
      </c>
    </row>
    <row r="33" spans="2:24" ht="15" customHeight="1" x14ac:dyDescent="0.25">
      <c r="B33" s="82"/>
      <c r="F33" s="29"/>
      <c r="G33" s="29"/>
      <c r="H33" s="29"/>
      <c r="I33" s="29"/>
      <c r="J33" s="29"/>
      <c r="K33" s="29"/>
      <c r="L33" s="29"/>
      <c r="M33" s="29"/>
      <c r="N33" s="29"/>
      <c r="O33" s="29"/>
      <c r="P33" s="29"/>
      <c r="Q33" s="29"/>
      <c r="R33" s="29"/>
      <c r="S33" s="29"/>
      <c r="T33" s="22"/>
      <c r="W33" s="177" t="s">
        <v>118</v>
      </c>
      <c r="X33" s="178">
        <v>8.6149999999999994E-3</v>
      </c>
    </row>
    <row r="34" spans="2:24" ht="15" customHeight="1" x14ac:dyDescent="0.25">
      <c r="B34" s="82"/>
      <c r="F34" s="29"/>
      <c r="G34" s="29"/>
      <c r="H34" s="29"/>
      <c r="I34" s="29"/>
      <c r="J34" s="29"/>
      <c r="K34" s="29"/>
      <c r="L34" s="29"/>
      <c r="M34" s="29"/>
      <c r="N34" s="29"/>
      <c r="O34" s="29"/>
      <c r="P34" s="29"/>
      <c r="Q34" s="29"/>
      <c r="R34" s="29"/>
      <c r="S34" s="29"/>
      <c r="T34" s="22"/>
      <c r="W34" s="177" t="s">
        <v>135</v>
      </c>
      <c r="X34" s="178">
        <v>7.221E-3</v>
      </c>
    </row>
    <row r="35" spans="2:24" ht="15" customHeight="1" x14ac:dyDescent="0.25">
      <c r="B35" s="82"/>
      <c r="F35" s="29"/>
      <c r="G35" s="29"/>
      <c r="H35" s="29"/>
      <c r="I35" s="29"/>
      <c r="J35" s="29"/>
      <c r="K35" s="29"/>
      <c r="L35" s="29"/>
      <c r="M35" s="29"/>
      <c r="N35" s="29"/>
      <c r="O35" s="29"/>
      <c r="P35" s="29"/>
      <c r="Q35" s="29"/>
      <c r="R35" s="29"/>
      <c r="S35" s="29"/>
      <c r="T35" s="22"/>
      <c r="W35" s="177" t="s">
        <v>229</v>
      </c>
      <c r="X35" s="178">
        <v>6.9230000000000003E-3</v>
      </c>
    </row>
    <row r="36" spans="2:24" ht="15" customHeight="1" x14ac:dyDescent="0.25">
      <c r="B36" s="82"/>
      <c r="F36" s="29"/>
      <c r="G36" s="29"/>
      <c r="H36" s="29"/>
      <c r="I36" s="29"/>
      <c r="J36" s="29"/>
      <c r="K36" s="29"/>
      <c r="L36" s="29"/>
      <c r="M36" s="29"/>
      <c r="N36" s="29"/>
      <c r="O36" s="29"/>
      <c r="P36" s="29"/>
      <c r="Q36" s="29"/>
      <c r="R36" s="29"/>
      <c r="S36" s="29"/>
      <c r="T36" s="22"/>
      <c r="W36" s="177" t="s">
        <v>24</v>
      </c>
      <c r="X36" s="178">
        <v>6.6719999999999991E-3</v>
      </c>
    </row>
    <row r="37" spans="2:24" ht="15" customHeight="1" x14ac:dyDescent="0.25">
      <c r="B37" s="82"/>
      <c r="F37" s="29"/>
      <c r="G37" s="29"/>
      <c r="H37" s="29"/>
      <c r="I37" s="29"/>
      <c r="J37" s="29"/>
      <c r="K37" s="29"/>
      <c r="L37" s="29"/>
      <c r="M37" s="29"/>
      <c r="N37" s="29"/>
      <c r="O37" s="29"/>
      <c r="P37" s="29"/>
      <c r="Q37" s="29"/>
      <c r="R37" s="29"/>
      <c r="S37" s="29"/>
      <c r="T37" s="22"/>
      <c r="W37" s="177" t="s">
        <v>13</v>
      </c>
      <c r="X37" s="178">
        <v>2.3280000000000002E-3</v>
      </c>
    </row>
    <row r="38" spans="2:24" ht="15" customHeight="1" thickBot="1" x14ac:dyDescent="0.3">
      <c r="B38" s="83"/>
      <c r="C38" s="84"/>
      <c r="D38" s="84"/>
      <c r="E38" s="84"/>
      <c r="F38" s="84"/>
      <c r="G38" s="84"/>
      <c r="H38" s="84"/>
      <c r="I38" s="84"/>
      <c r="J38" s="84"/>
      <c r="K38" s="84"/>
      <c r="L38" s="84"/>
      <c r="M38" s="84"/>
      <c r="N38" s="84"/>
      <c r="O38" s="84"/>
      <c r="P38" s="84"/>
      <c r="Q38" s="84"/>
      <c r="R38" s="84"/>
      <c r="S38" s="84"/>
      <c r="T38" s="23"/>
    </row>
    <row r="39" spans="2:24" ht="15" customHeight="1" thickBot="1" x14ac:dyDescent="0.3"/>
    <row r="40" spans="2:24" ht="15" customHeight="1" x14ac:dyDescent="0.25">
      <c r="B40" s="265" t="s">
        <v>186</v>
      </c>
      <c r="C40" s="266"/>
      <c r="D40" s="266"/>
      <c r="E40" s="266"/>
      <c r="F40" s="266"/>
      <c r="G40" s="266"/>
      <c r="H40" s="266"/>
      <c r="I40" s="266"/>
      <c r="J40" s="266"/>
      <c r="K40" s="266"/>
      <c r="L40" s="266"/>
      <c r="M40" s="266"/>
      <c r="N40" s="266"/>
      <c r="O40" s="266"/>
      <c r="P40" s="266"/>
      <c r="Q40" s="266"/>
      <c r="R40" s="267"/>
    </row>
    <row r="41" spans="2:24" ht="15" customHeight="1" x14ac:dyDescent="0.25">
      <c r="B41" s="268"/>
      <c r="C41" s="269"/>
      <c r="D41" s="269"/>
      <c r="E41" s="269"/>
      <c r="F41" s="269"/>
      <c r="G41" s="269"/>
      <c r="H41" s="269"/>
      <c r="I41" s="269"/>
      <c r="J41" s="269"/>
      <c r="K41" s="269"/>
      <c r="L41" s="269"/>
      <c r="M41" s="269"/>
      <c r="N41" s="269"/>
      <c r="O41" s="269"/>
      <c r="P41" s="269"/>
      <c r="Q41" s="269"/>
      <c r="R41" s="270"/>
    </row>
    <row r="42" spans="2:24" ht="15" customHeight="1" x14ac:dyDescent="0.25">
      <c r="B42" s="268"/>
      <c r="C42" s="269"/>
      <c r="D42" s="269"/>
      <c r="E42" s="269"/>
      <c r="F42" s="269"/>
      <c r="G42" s="269"/>
      <c r="H42" s="269"/>
      <c r="I42" s="269"/>
      <c r="J42" s="269"/>
      <c r="K42" s="269"/>
      <c r="L42" s="269"/>
      <c r="M42" s="269"/>
      <c r="N42" s="269"/>
      <c r="O42" s="269"/>
      <c r="P42" s="269"/>
      <c r="Q42" s="269"/>
      <c r="R42" s="270"/>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15" customHeight="1" x14ac:dyDescent="0.25">
      <c r="B45" s="268"/>
      <c r="C45" s="269"/>
      <c r="D45" s="269"/>
      <c r="E45" s="269"/>
      <c r="F45" s="269"/>
      <c r="G45" s="269"/>
      <c r="H45" s="269"/>
      <c r="I45" s="269"/>
      <c r="J45" s="269"/>
      <c r="K45" s="269"/>
      <c r="L45" s="269"/>
      <c r="M45" s="269"/>
      <c r="N45" s="269"/>
      <c r="O45" s="269"/>
      <c r="P45" s="269"/>
      <c r="Q45" s="269"/>
      <c r="R45" s="270"/>
    </row>
    <row r="46" spans="2:24" ht="15" customHeight="1" thickBot="1" x14ac:dyDescent="0.3">
      <c r="B46" s="271"/>
      <c r="C46" s="272"/>
      <c r="D46" s="272"/>
      <c r="E46" s="272"/>
      <c r="F46" s="272"/>
      <c r="G46" s="272"/>
      <c r="H46" s="272"/>
      <c r="I46" s="272"/>
      <c r="J46" s="272"/>
      <c r="K46" s="272"/>
      <c r="L46" s="272"/>
      <c r="M46" s="272"/>
      <c r="N46" s="272"/>
      <c r="O46" s="272"/>
      <c r="P46" s="272"/>
      <c r="Q46" s="272"/>
      <c r="R46" s="273"/>
    </row>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sheetData>
  <sortState ref="W8:X29">
    <sortCondition descending="1" ref="X8:X29"/>
  </sortState>
  <mergeCells count="3">
    <mergeCell ref="C3:S3"/>
    <mergeCell ref="D5:E5"/>
    <mergeCell ref="B40:R46"/>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A1486"/>
  <sheetViews>
    <sheetView showGridLines="0" zoomScale="75" zoomScaleNormal="75" workbookViewId="0"/>
  </sheetViews>
  <sheetFormatPr defaultRowHeight="15" x14ac:dyDescent="0.2"/>
  <cols>
    <col min="1" max="1" width="2.85546875" style="3" customWidth="1"/>
    <col min="2" max="2" width="3.85546875" style="3" customWidth="1"/>
    <col min="3" max="3" width="62.5703125" style="3" customWidth="1"/>
    <col min="4" max="4" width="21.85546875" style="3" customWidth="1"/>
    <col min="5" max="5" width="16.7109375" style="3" customWidth="1"/>
    <col min="6" max="6" width="3.85546875" style="3" customWidth="1"/>
    <col min="7" max="7" width="4.5703125" style="3" customWidth="1"/>
    <col min="8" max="8" width="14.5703125" style="3" bestFit="1" customWidth="1"/>
    <col min="9" max="10" width="9.140625" style="3"/>
    <col min="11" max="11" width="9.85546875" style="3" bestFit="1" customWidth="1"/>
    <col min="12" max="15" width="9.140625" style="3"/>
    <col min="16" max="16" width="2.85546875" style="3" customWidth="1"/>
    <col min="17" max="17" width="10.28515625" style="3" customWidth="1"/>
    <col min="18" max="18" width="9.42578125" style="3" customWidth="1"/>
    <col min="19" max="19" width="9.28515625" style="3" bestFit="1" customWidth="1"/>
    <col min="20" max="21" width="9.140625" style="3"/>
    <col min="22" max="22" width="10.5703125" style="3" bestFit="1" customWidth="1"/>
    <col min="23" max="16384" width="9.140625" style="3"/>
  </cols>
  <sheetData>
    <row r="1" spans="2:27" ht="15.75" thickBot="1" x14ac:dyDescent="0.25"/>
    <row r="2" spans="2:27" x14ac:dyDescent="0.2">
      <c r="B2" s="94"/>
      <c r="C2" s="42"/>
      <c r="D2" s="42"/>
      <c r="E2" s="42"/>
      <c r="F2" s="42"/>
      <c r="G2" s="42"/>
      <c r="H2" s="42"/>
      <c r="I2" s="42"/>
      <c r="J2" s="42"/>
      <c r="K2" s="42"/>
      <c r="L2" s="42"/>
      <c r="M2" s="42"/>
      <c r="N2" s="42"/>
      <c r="O2" s="42"/>
      <c r="P2" s="42"/>
      <c r="Q2" s="95"/>
    </row>
    <row r="3" spans="2:27" ht="20.25" customHeight="1" x14ac:dyDescent="0.2">
      <c r="B3" s="96"/>
      <c r="C3" s="259" t="s">
        <v>166</v>
      </c>
      <c r="D3" s="259"/>
      <c r="E3" s="259"/>
      <c r="F3" s="259"/>
      <c r="G3" s="259"/>
      <c r="H3" s="259"/>
      <c r="I3" s="259"/>
      <c r="J3" s="259"/>
      <c r="K3" s="259"/>
      <c r="L3" s="259"/>
      <c r="M3" s="259"/>
      <c r="N3" s="259"/>
      <c r="O3" s="259"/>
      <c r="P3" s="259"/>
      <c r="Q3" s="20"/>
    </row>
    <row r="4" spans="2:27" ht="15.75" x14ac:dyDescent="0.25">
      <c r="B4" s="96"/>
      <c r="C4" s="70" t="s">
        <v>367</v>
      </c>
      <c r="D4" s="5"/>
      <c r="E4" s="5"/>
      <c r="F4" s="5"/>
      <c r="G4" s="5"/>
      <c r="H4" s="5"/>
      <c r="I4" s="5"/>
      <c r="J4" s="5"/>
      <c r="K4" s="5"/>
      <c r="L4" s="5"/>
      <c r="M4" s="5"/>
      <c r="N4" s="5"/>
      <c r="O4" s="5"/>
      <c r="P4" s="5"/>
      <c r="Q4" s="20"/>
    </row>
    <row r="5" spans="2:27" ht="20.25" x14ac:dyDescent="0.2">
      <c r="B5" s="96"/>
      <c r="C5" s="228" t="s">
        <v>366</v>
      </c>
      <c r="D5" s="276" t="s">
        <v>331</v>
      </c>
      <c r="E5" s="276"/>
      <c r="F5" s="5"/>
      <c r="G5" s="5"/>
      <c r="H5" s="5"/>
      <c r="I5" s="5"/>
      <c r="J5" s="5"/>
      <c r="K5" s="5"/>
      <c r="L5" s="5"/>
      <c r="M5" s="5"/>
      <c r="N5" s="5"/>
      <c r="O5" s="5"/>
      <c r="P5" s="5"/>
      <c r="Q5" s="20"/>
    </row>
    <row r="6" spans="2:27" x14ac:dyDescent="0.2">
      <c r="B6" s="96"/>
      <c r="C6" s="5"/>
      <c r="D6" s="5"/>
      <c r="E6" s="5"/>
      <c r="F6" s="5"/>
      <c r="G6" s="5"/>
      <c r="H6" s="5"/>
      <c r="I6" s="5"/>
      <c r="J6" s="5"/>
      <c r="K6" s="5"/>
      <c r="L6" s="5"/>
      <c r="M6" s="5"/>
      <c r="N6" s="5"/>
      <c r="O6" s="5"/>
      <c r="P6" s="5"/>
      <c r="Q6" s="20"/>
      <c r="R6" s="2"/>
      <c r="S6" s="2"/>
      <c r="T6" s="1"/>
    </row>
    <row r="7" spans="2:27" ht="32.25" customHeight="1" x14ac:dyDescent="0.2">
      <c r="B7" s="96"/>
      <c r="C7" s="171" t="s">
        <v>0</v>
      </c>
      <c r="D7" s="98" t="s">
        <v>1</v>
      </c>
      <c r="E7" s="123" t="s">
        <v>2</v>
      </c>
      <c r="F7" s="5"/>
      <c r="G7" s="5"/>
      <c r="H7" s="5"/>
      <c r="I7" s="5"/>
      <c r="J7" s="5"/>
      <c r="K7" s="5"/>
      <c r="L7" s="5"/>
      <c r="M7" s="5"/>
      <c r="N7" s="5"/>
      <c r="O7" s="5"/>
      <c r="P7" s="5"/>
      <c r="Q7" s="20"/>
      <c r="R7" s="12" t="s">
        <v>38</v>
      </c>
      <c r="S7" s="12" t="s">
        <v>167</v>
      </c>
      <c r="T7" s="175"/>
    </row>
    <row r="8" spans="2:27" ht="15.75" x14ac:dyDescent="0.25">
      <c r="B8" s="96"/>
      <c r="C8" s="105"/>
      <c r="D8" s="38"/>
      <c r="E8" s="223"/>
      <c r="F8" s="5"/>
      <c r="G8" s="5"/>
      <c r="H8" s="5"/>
      <c r="I8" s="5"/>
      <c r="J8" s="5"/>
      <c r="K8" s="5"/>
      <c r="L8" s="5"/>
      <c r="M8" s="5"/>
      <c r="N8" s="5"/>
      <c r="O8" s="5"/>
      <c r="P8" s="5"/>
      <c r="Q8" s="20"/>
      <c r="R8" s="12" t="s">
        <v>39</v>
      </c>
      <c r="S8" s="13">
        <f>E9</f>
        <v>0.69375799999999999</v>
      </c>
      <c r="T8" s="175"/>
      <c r="V8" s="59"/>
      <c r="W8" s="60"/>
      <c r="Z8" s="45"/>
      <c r="AA8" s="45"/>
    </row>
    <row r="9" spans="2:27" ht="15.75" x14ac:dyDescent="0.25">
      <c r="B9" s="96"/>
      <c r="C9" s="132" t="s">
        <v>39</v>
      </c>
      <c r="D9" s="129"/>
      <c r="E9" s="195">
        <v>0.69375799999999999</v>
      </c>
      <c r="F9" s="50"/>
      <c r="G9" s="5"/>
      <c r="H9" s="5"/>
      <c r="I9" s="5"/>
      <c r="J9" s="5"/>
      <c r="K9" s="5"/>
      <c r="L9" s="5"/>
      <c r="M9" s="5"/>
      <c r="N9" s="5"/>
      <c r="O9" s="5"/>
      <c r="P9" s="5"/>
      <c r="Q9" s="20"/>
      <c r="R9" s="12" t="s">
        <v>40</v>
      </c>
      <c r="S9" s="13">
        <f>100%-S8</f>
        <v>0.30624200000000001</v>
      </c>
      <c r="T9" s="175"/>
      <c r="V9" s="59"/>
      <c r="W9" s="60"/>
      <c r="Z9" s="45"/>
      <c r="AA9" s="45"/>
    </row>
    <row r="10" spans="2:27" ht="15.75" x14ac:dyDescent="0.25">
      <c r="B10" s="96"/>
      <c r="C10" s="105"/>
      <c r="D10" s="38"/>
      <c r="E10" s="222"/>
      <c r="F10" s="50"/>
      <c r="G10" s="5"/>
      <c r="H10" s="5"/>
      <c r="I10" s="5"/>
      <c r="J10" s="5"/>
      <c r="K10" s="5"/>
      <c r="L10" s="5"/>
      <c r="M10" s="5"/>
      <c r="N10" s="5"/>
      <c r="O10" s="5"/>
      <c r="P10" s="5"/>
      <c r="Q10" s="20"/>
      <c r="R10" s="176"/>
      <c r="S10" s="175"/>
      <c r="T10" s="175"/>
      <c r="V10" s="59"/>
      <c r="W10" s="60"/>
      <c r="Z10" s="45"/>
      <c r="AA10" s="45"/>
    </row>
    <row r="11" spans="2:27" ht="15.75" x14ac:dyDescent="0.25">
      <c r="B11" s="96"/>
      <c r="C11" s="132" t="s">
        <v>41</v>
      </c>
      <c r="D11" s="129"/>
      <c r="E11" s="195">
        <v>4.9414E-2</v>
      </c>
      <c r="F11" s="50"/>
      <c r="G11" s="5"/>
      <c r="H11" s="5"/>
      <c r="I11" s="5"/>
      <c r="J11" s="5"/>
      <c r="K11" s="5"/>
      <c r="L11" s="5"/>
      <c r="M11" s="5"/>
      <c r="N11" s="5"/>
      <c r="O11" s="5"/>
      <c r="P11" s="5"/>
      <c r="Q11" s="20"/>
      <c r="R11" s="14"/>
      <c r="S11" s="1"/>
      <c r="T11" s="1"/>
      <c r="V11" s="59"/>
      <c r="W11" s="60"/>
    </row>
    <row r="12" spans="2:27" ht="15.75" x14ac:dyDescent="0.25">
      <c r="B12" s="96"/>
      <c r="C12" s="229"/>
      <c r="D12" s="232"/>
      <c r="E12" s="230"/>
      <c r="F12" s="50"/>
      <c r="G12" s="5"/>
      <c r="H12" s="5"/>
      <c r="I12" s="5"/>
      <c r="J12" s="5"/>
      <c r="K12" s="5"/>
      <c r="L12" s="5"/>
      <c r="M12" s="5"/>
      <c r="N12" s="5"/>
      <c r="O12" s="5"/>
      <c r="P12" s="5"/>
      <c r="Q12" s="20"/>
      <c r="R12" s="14"/>
      <c r="S12" s="1"/>
      <c r="T12" s="1"/>
      <c r="V12" s="59"/>
      <c r="W12" s="60"/>
    </row>
    <row r="13" spans="2:27" ht="15.75" x14ac:dyDescent="0.25">
      <c r="B13" s="96"/>
      <c r="C13" s="132" t="s">
        <v>303</v>
      </c>
      <c r="D13" s="129"/>
      <c r="E13" s="195">
        <v>1.0319999999999999E-2</v>
      </c>
      <c r="F13" s="50"/>
      <c r="G13" s="5"/>
      <c r="H13" s="5"/>
      <c r="I13" s="5"/>
      <c r="J13" s="5"/>
      <c r="K13" s="5"/>
      <c r="L13" s="5"/>
      <c r="M13" s="5"/>
      <c r="N13" s="5"/>
      <c r="O13" s="5"/>
      <c r="P13" s="5"/>
      <c r="Q13" s="20"/>
      <c r="R13" s="52"/>
      <c r="V13" s="59"/>
      <c r="W13" s="60"/>
    </row>
    <row r="14" spans="2:27" ht="15.75" x14ac:dyDescent="0.25">
      <c r="B14" s="96"/>
      <c r="C14" s="229"/>
      <c r="D14" s="232"/>
      <c r="E14" s="230"/>
      <c r="F14" s="50"/>
      <c r="G14" s="5"/>
      <c r="H14" s="5"/>
      <c r="I14" s="5"/>
      <c r="J14" s="5"/>
      <c r="K14" s="5"/>
      <c r="L14" s="5"/>
      <c r="M14" s="5"/>
      <c r="N14" s="5"/>
      <c r="O14" s="5"/>
      <c r="P14" s="5"/>
      <c r="Q14" s="20"/>
      <c r="R14" s="52"/>
      <c r="V14" s="59"/>
      <c r="W14" s="60"/>
    </row>
    <row r="15" spans="2:27" ht="15.75" x14ac:dyDescent="0.25">
      <c r="B15" s="96"/>
      <c r="C15" s="132" t="s">
        <v>42</v>
      </c>
      <c r="D15" s="129"/>
      <c r="E15" s="195">
        <v>7.0799999999999997E-4</v>
      </c>
      <c r="F15" s="50"/>
      <c r="G15" s="5"/>
      <c r="H15" s="5"/>
      <c r="I15" s="5"/>
      <c r="J15" s="5"/>
      <c r="K15" s="5"/>
      <c r="L15" s="5"/>
      <c r="M15" s="5"/>
      <c r="N15" s="5"/>
      <c r="O15" s="5"/>
      <c r="P15" s="5"/>
      <c r="Q15" s="20"/>
      <c r="R15" s="52"/>
      <c r="V15" s="59"/>
      <c r="W15" s="60"/>
    </row>
    <row r="16" spans="2:27" ht="15.75" x14ac:dyDescent="0.25">
      <c r="B16" s="96"/>
      <c r="C16" s="105" t="s">
        <v>234</v>
      </c>
      <c r="D16" s="38"/>
      <c r="E16" s="231">
        <v>0.124663</v>
      </c>
      <c r="F16" s="50"/>
      <c r="G16" s="5"/>
      <c r="H16" s="5"/>
      <c r="I16" s="5"/>
      <c r="J16" s="5"/>
      <c r="K16" s="5"/>
      <c r="L16" s="5"/>
      <c r="M16" s="5"/>
      <c r="N16" s="5"/>
      <c r="O16" s="5"/>
      <c r="P16" s="5"/>
      <c r="Q16" s="20"/>
      <c r="R16" s="52"/>
      <c r="V16" s="59"/>
      <c r="W16" s="60"/>
    </row>
    <row r="17" spans="1:27" ht="15.75" x14ac:dyDescent="0.25">
      <c r="B17" s="96"/>
      <c r="C17" s="105" t="s">
        <v>179</v>
      </c>
      <c r="D17" s="38"/>
      <c r="E17" s="231">
        <v>5.9388999999999997E-2</v>
      </c>
      <c r="F17" s="50"/>
      <c r="G17" s="29"/>
      <c r="H17" s="29"/>
      <c r="I17" s="29"/>
      <c r="J17" s="29"/>
      <c r="K17" s="29"/>
      <c r="L17" s="29"/>
      <c r="M17" s="29"/>
      <c r="N17" s="29"/>
      <c r="O17" s="29"/>
      <c r="P17" s="29"/>
      <c r="Q17" s="20"/>
      <c r="R17" s="52"/>
    </row>
    <row r="18" spans="1:27" ht="15.75" x14ac:dyDescent="0.25">
      <c r="B18" s="96"/>
      <c r="C18" s="105" t="s">
        <v>238</v>
      </c>
      <c r="D18" s="38"/>
      <c r="E18" s="231">
        <v>0</v>
      </c>
      <c r="F18" s="5"/>
      <c r="G18" s="29"/>
      <c r="H18" s="29"/>
      <c r="I18" s="29"/>
      <c r="J18" s="29"/>
      <c r="K18" s="29"/>
      <c r="L18" s="29"/>
      <c r="M18" s="29"/>
      <c r="N18" s="29"/>
      <c r="O18" s="29"/>
      <c r="P18" s="29"/>
      <c r="Q18" s="20"/>
      <c r="R18" s="52"/>
    </row>
    <row r="19" spans="1:27" ht="15.75" x14ac:dyDescent="0.2">
      <c r="B19" s="96"/>
      <c r="C19" s="132" t="s">
        <v>233</v>
      </c>
      <c r="D19" s="129"/>
      <c r="E19" s="195">
        <v>0.18405199999999999</v>
      </c>
      <c r="F19" s="152"/>
      <c r="G19" s="5"/>
      <c r="H19" s="5"/>
      <c r="I19" s="5"/>
      <c r="J19" s="5"/>
      <c r="K19" s="5"/>
      <c r="L19" s="5"/>
      <c r="M19" s="5"/>
      <c r="N19" s="5"/>
      <c r="O19" s="5"/>
      <c r="P19" s="5"/>
      <c r="Q19" s="20"/>
      <c r="R19" s="52"/>
    </row>
    <row r="20" spans="1:27" x14ac:dyDescent="0.2">
      <c r="B20" s="96"/>
      <c r="C20" s="105"/>
      <c r="D20" s="38"/>
      <c r="E20" s="222"/>
      <c r="F20" s="5"/>
      <c r="G20" s="5"/>
      <c r="H20" s="5"/>
      <c r="I20" s="5"/>
      <c r="J20" s="5"/>
      <c r="K20" s="5"/>
      <c r="L20" s="5"/>
      <c r="M20" s="5"/>
      <c r="N20" s="5"/>
      <c r="O20" s="5"/>
      <c r="P20" s="5"/>
      <c r="Q20" s="20"/>
      <c r="R20" s="52"/>
    </row>
    <row r="21" spans="1:27" ht="15.75" x14ac:dyDescent="0.2">
      <c r="B21" s="96"/>
      <c r="C21" s="132" t="s">
        <v>20</v>
      </c>
      <c r="D21" s="129"/>
      <c r="E21" s="195">
        <v>6.1748000000000039E-2</v>
      </c>
      <c r="F21" s="152"/>
      <c r="G21" s="5"/>
      <c r="H21" s="5"/>
      <c r="I21" s="5"/>
      <c r="J21" s="5"/>
      <c r="K21" s="5"/>
      <c r="L21" s="5"/>
      <c r="M21" s="5"/>
      <c r="N21" s="5"/>
      <c r="O21" s="5"/>
      <c r="P21" s="5"/>
      <c r="Q21" s="20"/>
      <c r="R21" s="52"/>
    </row>
    <row r="22" spans="1:27" x14ac:dyDescent="0.2">
      <c r="B22" s="96"/>
      <c r="C22" s="105"/>
      <c r="D22" s="38"/>
      <c r="E22" s="222"/>
      <c r="F22" s="5"/>
      <c r="G22" s="5"/>
      <c r="H22" s="5"/>
      <c r="I22" s="5"/>
      <c r="J22" s="5"/>
      <c r="K22" s="5"/>
      <c r="L22" s="5"/>
      <c r="M22" s="5"/>
      <c r="N22" s="5"/>
      <c r="O22" s="5"/>
      <c r="P22" s="5"/>
      <c r="Q22" s="20"/>
      <c r="R22" s="52"/>
    </row>
    <row r="23" spans="1:27" ht="15.75" x14ac:dyDescent="0.2">
      <c r="B23" s="96"/>
      <c r="C23" s="219" t="s">
        <v>21</v>
      </c>
      <c r="D23" s="233"/>
      <c r="E23" s="224">
        <f>SUM(E21+E19+E15+E13+E11+E9)</f>
        <v>1</v>
      </c>
      <c r="F23" s="5"/>
      <c r="G23" s="5"/>
      <c r="H23" s="5"/>
      <c r="I23" s="5"/>
      <c r="J23" s="5"/>
      <c r="K23" s="5"/>
      <c r="L23" s="5"/>
      <c r="M23" s="5"/>
      <c r="N23" s="5"/>
      <c r="O23" s="5"/>
      <c r="P23" s="5"/>
      <c r="Q23" s="20"/>
      <c r="R23" s="52"/>
    </row>
    <row r="24" spans="1:27" ht="15.75" thickBot="1" x14ac:dyDescent="0.25">
      <c r="A24" s="5"/>
      <c r="B24" s="99"/>
      <c r="C24" s="47"/>
      <c r="D24" s="47"/>
      <c r="E24" s="47"/>
      <c r="F24" s="47"/>
      <c r="G24" s="47"/>
      <c r="H24" s="47"/>
      <c r="I24" s="47"/>
      <c r="J24" s="47"/>
      <c r="K24" s="47"/>
      <c r="L24" s="47"/>
      <c r="M24" s="47"/>
      <c r="N24" s="47"/>
      <c r="O24" s="47"/>
      <c r="P24" s="47"/>
      <c r="Q24" s="122"/>
      <c r="R24" s="53"/>
      <c r="S24" s="5"/>
      <c r="T24" s="5"/>
      <c r="U24" s="5"/>
      <c r="V24" s="5"/>
      <c r="W24" s="5"/>
      <c r="X24" s="5"/>
      <c r="Y24" s="5"/>
      <c r="Z24" s="5"/>
      <c r="AA24" s="5"/>
    </row>
    <row r="25" spans="1:27" ht="15.75" thickBot="1" x14ac:dyDescent="0.25">
      <c r="A25" s="5"/>
      <c r="B25" s="5"/>
      <c r="C25" s="5"/>
      <c r="D25" s="5"/>
      <c r="E25" s="5"/>
      <c r="F25" s="5"/>
      <c r="G25" s="5"/>
      <c r="H25" s="5"/>
      <c r="I25" s="5"/>
      <c r="J25" s="5"/>
      <c r="K25" s="5"/>
      <c r="L25" s="5"/>
      <c r="M25" s="5"/>
      <c r="N25" s="5"/>
      <c r="O25" s="5"/>
      <c r="P25" s="5"/>
      <c r="Q25" s="5"/>
      <c r="R25" s="53"/>
      <c r="S25" s="5"/>
      <c r="T25" s="5"/>
      <c r="U25" s="5"/>
      <c r="V25" s="5"/>
      <c r="W25" s="5"/>
      <c r="X25" s="5"/>
      <c r="Y25" s="5"/>
      <c r="Z25" s="5"/>
      <c r="AA25" s="5"/>
    </row>
    <row r="26" spans="1:27" ht="15" customHeight="1" x14ac:dyDescent="0.2">
      <c r="A26" s="5"/>
      <c r="B26" s="265" t="s">
        <v>186</v>
      </c>
      <c r="C26" s="266"/>
      <c r="D26" s="266"/>
      <c r="E26" s="266"/>
      <c r="F26" s="266"/>
      <c r="G26" s="266"/>
      <c r="H26" s="266"/>
      <c r="I26" s="266"/>
      <c r="J26" s="266"/>
      <c r="K26" s="266"/>
      <c r="L26" s="266"/>
      <c r="M26" s="266"/>
      <c r="N26" s="266"/>
      <c r="O26" s="266"/>
      <c r="P26" s="266"/>
      <c r="Q26" s="266"/>
      <c r="R26" s="267"/>
      <c r="S26" s="5"/>
      <c r="T26" s="5"/>
      <c r="U26" s="5"/>
      <c r="V26" s="5"/>
      <c r="W26" s="5"/>
      <c r="X26" s="5"/>
      <c r="Y26" s="5"/>
      <c r="Z26" s="5"/>
      <c r="AA26" s="5"/>
    </row>
    <row r="27" spans="1:27" x14ac:dyDescent="0.2">
      <c r="A27" s="5"/>
      <c r="B27" s="268"/>
      <c r="C27" s="269"/>
      <c r="D27" s="269"/>
      <c r="E27" s="269"/>
      <c r="F27" s="269"/>
      <c r="G27" s="269"/>
      <c r="H27" s="269"/>
      <c r="I27" s="269"/>
      <c r="J27" s="269"/>
      <c r="K27" s="269"/>
      <c r="L27" s="269"/>
      <c r="M27" s="269"/>
      <c r="N27" s="269"/>
      <c r="O27" s="269"/>
      <c r="P27" s="269"/>
      <c r="Q27" s="269"/>
      <c r="R27" s="270"/>
      <c r="S27" s="5"/>
      <c r="T27" s="5"/>
      <c r="U27" s="5"/>
      <c r="V27" s="5"/>
      <c r="W27" s="5"/>
      <c r="X27" s="5"/>
      <c r="Y27" s="5"/>
      <c r="Z27" s="5"/>
      <c r="AA27" s="5"/>
    </row>
    <row r="28" spans="1:27" x14ac:dyDescent="0.2">
      <c r="A28" s="5"/>
      <c r="B28" s="268"/>
      <c r="C28" s="269"/>
      <c r="D28" s="269"/>
      <c r="E28" s="269"/>
      <c r="F28" s="269"/>
      <c r="G28" s="269"/>
      <c r="H28" s="269"/>
      <c r="I28" s="269"/>
      <c r="J28" s="269"/>
      <c r="K28" s="269"/>
      <c r="L28" s="269"/>
      <c r="M28" s="269"/>
      <c r="N28" s="269"/>
      <c r="O28" s="269"/>
      <c r="P28" s="269"/>
      <c r="Q28" s="269"/>
      <c r="R28" s="270"/>
      <c r="S28" s="5"/>
      <c r="T28" s="5"/>
      <c r="U28" s="5"/>
      <c r="V28" s="5"/>
      <c r="W28" s="5"/>
      <c r="X28" s="5"/>
      <c r="Y28" s="5"/>
      <c r="Z28" s="5"/>
      <c r="AA28" s="5"/>
    </row>
    <row r="29" spans="1:27" x14ac:dyDescent="0.2">
      <c r="A29" s="5"/>
      <c r="B29" s="268"/>
      <c r="C29" s="269"/>
      <c r="D29" s="269"/>
      <c r="E29" s="269"/>
      <c r="F29" s="269"/>
      <c r="G29" s="269"/>
      <c r="H29" s="269"/>
      <c r="I29" s="269"/>
      <c r="J29" s="269"/>
      <c r="K29" s="269"/>
      <c r="L29" s="269"/>
      <c r="M29" s="269"/>
      <c r="N29" s="269"/>
      <c r="O29" s="269"/>
      <c r="P29" s="269"/>
      <c r="Q29" s="269"/>
      <c r="R29" s="270"/>
      <c r="S29" s="5"/>
      <c r="T29" s="5"/>
      <c r="U29" s="5"/>
      <c r="V29" s="5"/>
      <c r="W29" s="5"/>
      <c r="X29" s="5"/>
      <c r="Y29" s="5"/>
      <c r="Z29" s="5"/>
      <c r="AA29" s="5"/>
    </row>
    <row r="30" spans="1:27" x14ac:dyDescent="0.2">
      <c r="A30" s="5"/>
      <c r="B30" s="268"/>
      <c r="C30" s="269"/>
      <c r="D30" s="269"/>
      <c r="E30" s="269"/>
      <c r="F30" s="269"/>
      <c r="G30" s="269"/>
      <c r="H30" s="269"/>
      <c r="I30" s="269"/>
      <c r="J30" s="269"/>
      <c r="K30" s="269"/>
      <c r="L30" s="269"/>
      <c r="M30" s="269"/>
      <c r="N30" s="269"/>
      <c r="O30" s="269"/>
      <c r="P30" s="269"/>
      <c r="Q30" s="269"/>
      <c r="R30" s="270"/>
      <c r="S30" s="5"/>
      <c r="T30" s="5"/>
      <c r="U30" s="5"/>
      <c r="V30" s="5"/>
      <c r="W30" s="5"/>
      <c r="X30" s="5"/>
      <c r="Y30" s="5"/>
      <c r="Z30" s="5"/>
      <c r="AA30" s="5"/>
    </row>
    <row r="31" spans="1:27" x14ac:dyDescent="0.2">
      <c r="A31" s="5"/>
      <c r="B31" s="268"/>
      <c r="C31" s="269"/>
      <c r="D31" s="269"/>
      <c r="E31" s="269"/>
      <c r="F31" s="269"/>
      <c r="G31" s="269"/>
      <c r="H31" s="269"/>
      <c r="I31" s="269"/>
      <c r="J31" s="269"/>
      <c r="K31" s="269"/>
      <c r="L31" s="269"/>
      <c r="M31" s="269"/>
      <c r="N31" s="269"/>
      <c r="O31" s="269"/>
      <c r="P31" s="269"/>
      <c r="Q31" s="269"/>
      <c r="R31" s="270"/>
      <c r="S31" s="5"/>
      <c r="T31" s="5"/>
      <c r="U31" s="5"/>
      <c r="V31" s="5"/>
      <c r="W31" s="5"/>
      <c r="X31" s="5"/>
      <c r="Y31" s="5"/>
      <c r="Z31" s="5"/>
      <c r="AA31" s="5"/>
    </row>
    <row r="32" spans="1:27" ht="15.75" thickBot="1" x14ac:dyDescent="0.25">
      <c r="A32" s="5"/>
      <c r="B32" s="271"/>
      <c r="C32" s="272"/>
      <c r="D32" s="272"/>
      <c r="E32" s="272"/>
      <c r="F32" s="272"/>
      <c r="G32" s="272"/>
      <c r="H32" s="272"/>
      <c r="I32" s="272"/>
      <c r="J32" s="272"/>
      <c r="K32" s="272"/>
      <c r="L32" s="272"/>
      <c r="M32" s="272"/>
      <c r="N32" s="272"/>
      <c r="O32" s="272"/>
      <c r="P32" s="272"/>
      <c r="Q32" s="272"/>
      <c r="R32" s="273"/>
      <c r="S32" s="5"/>
      <c r="T32" s="5"/>
      <c r="U32" s="5"/>
      <c r="V32" s="5"/>
      <c r="W32" s="5"/>
      <c r="X32" s="5"/>
      <c r="Y32" s="5"/>
      <c r="Z32" s="5"/>
      <c r="AA32" s="5"/>
    </row>
    <row r="33" spans="1:27" x14ac:dyDescent="0.2">
      <c r="A33" s="5"/>
      <c r="B33" s="5"/>
      <c r="F33" s="5"/>
      <c r="G33" s="5"/>
      <c r="H33" s="5"/>
      <c r="I33" s="5"/>
      <c r="J33" s="5"/>
      <c r="K33" s="5"/>
      <c r="L33" s="5"/>
      <c r="M33" s="5"/>
      <c r="N33" s="5"/>
      <c r="O33" s="5"/>
      <c r="P33" s="5"/>
      <c r="Q33" s="5"/>
      <c r="R33" s="53"/>
      <c r="S33" s="5"/>
      <c r="T33" s="5"/>
      <c r="U33" s="5"/>
      <c r="V33" s="5"/>
      <c r="W33" s="5"/>
      <c r="X33" s="5"/>
      <c r="Y33" s="5"/>
      <c r="Z33" s="5"/>
      <c r="AA33" s="5"/>
    </row>
    <row r="34" spans="1:27" x14ac:dyDescent="0.2">
      <c r="A34" s="5"/>
      <c r="B34" s="5"/>
      <c r="F34" s="5"/>
      <c r="G34" s="5"/>
      <c r="H34" s="5"/>
      <c r="I34" s="5"/>
      <c r="J34" s="5"/>
      <c r="K34" s="5"/>
      <c r="L34" s="5"/>
      <c r="M34" s="5"/>
      <c r="N34" s="5"/>
      <c r="O34" s="5"/>
      <c r="P34" s="5"/>
      <c r="Q34" s="5"/>
      <c r="R34" s="53"/>
      <c r="S34" s="5"/>
      <c r="T34" s="5"/>
      <c r="U34" s="5"/>
      <c r="V34" s="5"/>
      <c r="W34" s="5"/>
      <c r="X34" s="5"/>
      <c r="Y34" s="5"/>
      <c r="Z34" s="5"/>
      <c r="AA34" s="5"/>
    </row>
    <row r="35" spans="1:27" x14ac:dyDescent="0.2">
      <c r="A35" s="5"/>
      <c r="B35" s="5"/>
      <c r="F35" s="5"/>
      <c r="G35" s="5"/>
      <c r="H35" s="5"/>
      <c r="I35" s="5"/>
      <c r="J35" s="5"/>
      <c r="K35" s="5"/>
      <c r="L35" s="5"/>
      <c r="M35" s="5"/>
      <c r="N35" s="5"/>
      <c r="O35" s="5"/>
      <c r="P35" s="5"/>
      <c r="Q35" s="5"/>
      <c r="R35" s="53"/>
      <c r="S35" s="5"/>
      <c r="T35" s="5"/>
      <c r="U35" s="5"/>
      <c r="V35" s="5"/>
      <c r="W35" s="5"/>
      <c r="X35" s="5"/>
      <c r="Y35" s="5"/>
      <c r="Z35" s="5"/>
      <c r="AA35" s="5"/>
    </row>
    <row r="36" spans="1:27" x14ac:dyDescent="0.2">
      <c r="A36" s="5"/>
      <c r="B36" s="5"/>
      <c r="F36" s="5"/>
      <c r="G36" s="5"/>
      <c r="H36" s="5"/>
      <c r="I36" s="5"/>
      <c r="J36" s="5"/>
      <c r="K36" s="5"/>
      <c r="L36" s="5"/>
      <c r="M36" s="5"/>
      <c r="N36" s="5"/>
      <c r="O36" s="5"/>
      <c r="P36" s="5"/>
      <c r="Q36" s="5"/>
      <c r="R36" s="53"/>
      <c r="S36" s="5"/>
      <c r="T36" s="5"/>
      <c r="U36" s="5"/>
      <c r="V36" s="5"/>
      <c r="W36" s="5"/>
      <c r="X36" s="5"/>
      <c r="Y36" s="5"/>
      <c r="Z36" s="5"/>
      <c r="AA36" s="5"/>
    </row>
    <row r="37" spans="1:27" x14ac:dyDescent="0.2">
      <c r="A37" s="5"/>
      <c r="B37" s="5"/>
      <c r="F37" s="5"/>
      <c r="G37" s="5"/>
      <c r="H37" s="5"/>
      <c r="I37" s="5"/>
      <c r="J37" s="5"/>
      <c r="K37" s="5"/>
      <c r="L37" s="5"/>
      <c r="M37" s="5"/>
      <c r="N37" s="5"/>
      <c r="O37" s="5"/>
      <c r="P37" s="5"/>
      <c r="Q37" s="5"/>
      <c r="R37" s="53"/>
      <c r="S37" s="5"/>
      <c r="T37" s="5"/>
      <c r="U37" s="5"/>
      <c r="V37" s="5"/>
      <c r="W37" s="5"/>
      <c r="X37" s="5"/>
      <c r="Y37" s="5"/>
      <c r="Z37" s="5"/>
      <c r="AA37" s="5"/>
    </row>
    <row r="38" spans="1:27" x14ac:dyDescent="0.2">
      <c r="A38" s="5"/>
      <c r="B38" s="5"/>
      <c r="F38" s="5"/>
      <c r="G38" s="5"/>
      <c r="H38" s="5"/>
      <c r="I38" s="5"/>
      <c r="J38" s="5"/>
      <c r="K38" s="5"/>
      <c r="L38" s="5"/>
      <c r="M38" s="5"/>
      <c r="N38" s="5"/>
      <c r="O38" s="5"/>
      <c r="P38" s="5"/>
      <c r="Q38" s="5"/>
      <c r="R38" s="53"/>
      <c r="S38" s="5"/>
      <c r="T38" s="5"/>
      <c r="U38" s="5"/>
      <c r="V38" s="5"/>
      <c r="W38" s="5"/>
      <c r="X38" s="5"/>
      <c r="Y38" s="5"/>
      <c r="Z38" s="5"/>
      <c r="AA38" s="5"/>
    </row>
    <row r="39" spans="1:27" x14ac:dyDescent="0.2">
      <c r="A39" s="5"/>
      <c r="B39" s="5"/>
      <c r="F39" s="5"/>
      <c r="G39" s="5"/>
      <c r="H39" s="5"/>
      <c r="I39" s="5"/>
      <c r="J39" s="5"/>
      <c r="K39" s="5"/>
      <c r="L39" s="5"/>
      <c r="M39" s="5"/>
      <c r="N39" s="5"/>
      <c r="O39" s="5"/>
      <c r="P39" s="5"/>
      <c r="Q39" s="5"/>
      <c r="R39" s="53"/>
      <c r="S39" s="5"/>
      <c r="T39" s="5"/>
      <c r="U39" s="5"/>
      <c r="V39" s="5"/>
      <c r="W39" s="5"/>
      <c r="X39" s="5"/>
      <c r="Y39" s="5"/>
      <c r="Z39" s="5"/>
      <c r="AA39" s="5"/>
    </row>
    <row r="40" spans="1:27" x14ac:dyDescent="0.2">
      <c r="A40" s="5"/>
      <c r="B40" s="5"/>
      <c r="F40" s="5"/>
      <c r="G40" s="5"/>
      <c r="H40" s="5"/>
      <c r="I40" s="5"/>
      <c r="J40" s="5"/>
      <c r="K40" s="5"/>
      <c r="L40" s="5"/>
      <c r="M40" s="5"/>
      <c r="N40" s="5"/>
      <c r="O40" s="5"/>
      <c r="P40" s="5"/>
      <c r="Q40" s="5"/>
      <c r="R40" s="53"/>
      <c r="S40" s="5"/>
      <c r="T40" s="5"/>
      <c r="U40" s="5"/>
      <c r="V40" s="5"/>
      <c r="W40" s="5"/>
      <c r="X40" s="5"/>
      <c r="Y40" s="5"/>
      <c r="Z40" s="5"/>
      <c r="AA40" s="5"/>
    </row>
    <row r="41" spans="1:27" x14ac:dyDescent="0.2">
      <c r="A41" s="5"/>
      <c r="B41" s="5"/>
      <c r="F41" s="5"/>
      <c r="G41" s="5"/>
      <c r="H41" s="5"/>
      <c r="I41" s="5"/>
      <c r="J41" s="5"/>
      <c r="K41" s="5"/>
      <c r="L41" s="5"/>
      <c r="M41" s="5"/>
      <c r="N41" s="5"/>
      <c r="O41" s="5"/>
      <c r="P41" s="5"/>
      <c r="Q41" s="5"/>
      <c r="R41" s="53"/>
      <c r="S41" s="5"/>
      <c r="T41" s="5"/>
      <c r="U41" s="5"/>
      <c r="V41" s="5"/>
      <c r="W41" s="5"/>
      <c r="X41" s="5"/>
      <c r="Y41" s="5"/>
      <c r="Z41" s="5"/>
      <c r="AA41" s="5"/>
    </row>
    <row r="42" spans="1:27" x14ac:dyDescent="0.2">
      <c r="A42" s="5"/>
      <c r="B42" s="5"/>
      <c r="F42" s="5"/>
      <c r="G42" s="5"/>
      <c r="H42" s="5"/>
      <c r="I42" s="5"/>
      <c r="J42" s="5"/>
      <c r="K42" s="5"/>
      <c r="L42" s="5"/>
      <c r="M42" s="5"/>
      <c r="N42" s="5"/>
      <c r="O42" s="5"/>
      <c r="P42" s="5"/>
      <c r="Q42" s="5"/>
      <c r="R42" s="53"/>
      <c r="S42" s="5"/>
      <c r="T42" s="5"/>
      <c r="U42" s="5"/>
      <c r="V42" s="5"/>
      <c r="W42" s="5"/>
      <c r="X42" s="5"/>
      <c r="Y42" s="5"/>
      <c r="Z42" s="5"/>
      <c r="AA42" s="5"/>
    </row>
    <row r="43" spans="1:27" x14ac:dyDescent="0.2">
      <c r="A43" s="5"/>
      <c r="B43" s="5"/>
      <c r="C43" s="5"/>
      <c r="D43" s="5"/>
      <c r="E43" s="5"/>
      <c r="F43" s="5"/>
      <c r="G43" s="5"/>
      <c r="H43" s="5"/>
      <c r="I43" s="5"/>
      <c r="J43" s="5"/>
      <c r="K43" s="5"/>
      <c r="L43" s="5"/>
      <c r="M43" s="5"/>
      <c r="N43" s="5"/>
      <c r="O43" s="5"/>
      <c r="P43" s="5"/>
      <c r="Q43" s="5"/>
      <c r="R43" s="53"/>
      <c r="S43" s="5"/>
      <c r="T43" s="5"/>
      <c r="U43" s="5"/>
      <c r="V43" s="5"/>
      <c r="W43" s="5"/>
      <c r="X43" s="5"/>
      <c r="Y43" s="5"/>
      <c r="Z43" s="5"/>
      <c r="AA43" s="5"/>
    </row>
    <row r="44" spans="1:27" x14ac:dyDescent="0.2">
      <c r="A44" s="5"/>
      <c r="B44" s="5"/>
      <c r="C44" s="5"/>
      <c r="D44" s="5"/>
      <c r="E44" s="5"/>
      <c r="F44" s="5"/>
      <c r="G44" s="5"/>
      <c r="H44" s="5"/>
      <c r="I44" s="5"/>
      <c r="J44" s="5"/>
      <c r="K44" s="5"/>
      <c r="L44" s="5"/>
      <c r="M44" s="5"/>
      <c r="N44" s="5"/>
      <c r="O44" s="5"/>
      <c r="P44" s="5"/>
      <c r="Q44" s="5"/>
      <c r="R44" s="53"/>
      <c r="S44" s="5"/>
      <c r="T44" s="5"/>
      <c r="U44" s="5"/>
      <c r="V44" s="5"/>
      <c r="W44" s="5"/>
      <c r="X44" s="5"/>
      <c r="Y44" s="5"/>
      <c r="Z44" s="5"/>
      <c r="AA44" s="5"/>
    </row>
    <row r="45" spans="1:27" x14ac:dyDescent="0.2">
      <c r="A45" s="5"/>
      <c r="B45" s="5"/>
      <c r="C45" s="5"/>
      <c r="D45" s="5"/>
      <c r="E45" s="5"/>
      <c r="F45" s="5"/>
      <c r="G45" s="5"/>
      <c r="H45" s="5"/>
      <c r="I45" s="5"/>
      <c r="J45" s="5"/>
      <c r="K45" s="5"/>
      <c r="L45" s="5"/>
      <c r="M45" s="5"/>
      <c r="N45" s="5"/>
      <c r="O45" s="5"/>
      <c r="P45" s="5"/>
      <c r="Q45" s="5"/>
      <c r="R45" s="53"/>
      <c r="S45" s="5"/>
      <c r="T45" s="5"/>
      <c r="U45" s="5"/>
      <c r="V45" s="5"/>
      <c r="W45" s="5"/>
      <c r="X45" s="5"/>
      <c r="Y45" s="5"/>
      <c r="Z45" s="5"/>
      <c r="AA45" s="5"/>
    </row>
    <row r="46" spans="1:27" x14ac:dyDescent="0.2">
      <c r="A46" s="5"/>
      <c r="B46" s="5"/>
      <c r="C46" s="5"/>
      <c r="D46" s="5"/>
      <c r="E46" s="5"/>
      <c r="F46" s="5"/>
      <c r="G46" s="5"/>
      <c r="H46" s="5"/>
      <c r="I46" s="5"/>
      <c r="J46" s="5"/>
      <c r="K46" s="5"/>
      <c r="L46" s="5"/>
      <c r="M46" s="5"/>
      <c r="N46" s="5"/>
      <c r="O46" s="5"/>
      <c r="P46" s="5"/>
      <c r="Q46" s="5"/>
      <c r="R46" s="53"/>
      <c r="S46" s="5"/>
      <c r="T46" s="5"/>
      <c r="U46" s="5"/>
      <c r="V46" s="5"/>
      <c r="W46" s="5"/>
      <c r="X46" s="5"/>
      <c r="Y46" s="5"/>
      <c r="Z46" s="5"/>
      <c r="AA46" s="5"/>
    </row>
    <row r="47" spans="1:27" x14ac:dyDescent="0.2">
      <c r="A47" s="5"/>
      <c r="B47" s="5"/>
      <c r="C47" s="5"/>
      <c r="D47" s="5"/>
      <c r="E47" s="5"/>
      <c r="F47" s="5"/>
      <c r="G47" s="5"/>
      <c r="H47" s="5"/>
      <c r="I47" s="5"/>
      <c r="J47" s="5"/>
      <c r="K47" s="5"/>
      <c r="L47" s="5"/>
      <c r="M47" s="5"/>
      <c r="N47" s="5"/>
      <c r="O47" s="5"/>
      <c r="P47" s="5"/>
      <c r="Q47" s="5"/>
      <c r="R47" s="53"/>
      <c r="S47" s="5"/>
      <c r="T47" s="5"/>
      <c r="U47" s="5"/>
      <c r="V47" s="5"/>
      <c r="W47" s="5"/>
      <c r="X47" s="5"/>
      <c r="Y47" s="5"/>
      <c r="Z47" s="5"/>
      <c r="AA47" s="5"/>
    </row>
    <row r="48" spans="1:27" x14ac:dyDescent="0.2">
      <c r="A48" s="5"/>
      <c r="B48" s="5"/>
      <c r="C48" s="5"/>
      <c r="D48" s="5"/>
      <c r="E48" s="5"/>
      <c r="F48" s="5"/>
      <c r="G48" s="5"/>
      <c r="H48" s="5"/>
      <c r="I48" s="5"/>
      <c r="J48" s="5"/>
      <c r="K48" s="5"/>
      <c r="L48" s="5"/>
      <c r="M48" s="5"/>
      <c r="N48" s="5"/>
      <c r="O48" s="5"/>
      <c r="P48" s="5"/>
      <c r="Q48" s="5"/>
      <c r="R48" s="53"/>
      <c r="S48" s="5"/>
      <c r="T48" s="5"/>
      <c r="U48" s="5"/>
      <c r="V48" s="5"/>
      <c r="W48" s="5"/>
      <c r="X48" s="5"/>
      <c r="Y48" s="5"/>
      <c r="Z48" s="5"/>
      <c r="AA48" s="5"/>
    </row>
    <row r="49" spans="1:27" x14ac:dyDescent="0.2">
      <c r="A49" s="5"/>
      <c r="B49" s="5"/>
      <c r="C49" s="5"/>
      <c r="D49" s="5"/>
      <c r="E49" s="5"/>
      <c r="F49" s="5"/>
      <c r="G49" s="5"/>
      <c r="H49" s="5"/>
      <c r="I49" s="5"/>
      <c r="J49" s="5"/>
      <c r="K49" s="5"/>
      <c r="L49" s="5"/>
      <c r="M49" s="5"/>
      <c r="N49" s="5"/>
      <c r="O49" s="5"/>
      <c r="P49" s="5"/>
      <c r="Q49" s="5"/>
      <c r="R49" s="53"/>
      <c r="S49" s="5"/>
      <c r="T49" s="5"/>
      <c r="U49" s="5"/>
      <c r="V49" s="5"/>
      <c r="W49" s="5"/>
      <c r="X49" s="5"/>
      <c r="Y49" s="5"/>
      <c r="Z49" s="5"/>
      <c r="AA49" s="5"/>
    </row>
    <row r="50" spans="1:27" x14ac:dyDescent="0.2">
      <c r="A50" s="5"/>
      <c r="B50" s="5"/>
      <c r="C50" s="5"/>
      <c r="D50" s="5"/>
      <c r="E50" s="5"/>
      <c r="F50" s="5"/>
      <c r="G50" s="5"/>
      <c r="H50" s="5"/>
      <c r="I50" s="5"/>
      <c r="J50" s="5"/>
      <c r="K50" s="5"/>
      <c r="L50" s="5"/>
      <c r="M50" s="5"/>
      <c r="N50" s="5"/>
      <c r="O50" s="5"/>
      <c r="P50" s="5"/>
      <c r="Q50" s="5"/>
      <c r="R50" s="53"/>
      <c r="S50" s="5"/>
      <c r="T50" s="5"/>
      <c r="U50" s="5"/>
      <c r="V50" s="5"/>
      <c r="W50" s="5"/>
      <c r="X50" s="5"/>
      <c r="Y50" s="5"/>
      <c r="Z50" s="5"/>
      <c r="AA50" s="5"/>
    </row>
    <row r="51" spans="1:27" x14ac:dyDescent="0.2">
      <c r="A51" s="5"/>
      <c r="B51" s="5"/>
      <c r="C51" s="5"/>
      <c r="D51" s="5"/>
      <c r="E51" s="5"/>
      <c r="F51" s="5"/>
      <c r="G51" s="5"/>
      <c r="H51" s="5"/>
      <c r="I51" s="5"/>
      <c r="J51" s="5"/>
      <c r="K51" s="5"/>
      <c r="L51" s="5"/>
      <c r="M51" s="5"/>
      <c r="N51" s="5"/>
      <c r="O51" s="5"/>
      <c r="P51" s="5"/>
      <c r="Q51" s="5"/>
      <c r="R51" s="53"/>
      <c r="S51" s="5"/>
      <c r="T51" s="5"/>
      <c r="U51" s="5"/>
      <c r="V51" s="5"/>
      <c r="W51" s="5"/>
      <c r="X51" s="5"/>
      <c r="Y51" s="5"/>
      <c r="Z51" s="5"/>
      <c r="AA51" s="5"/>
    </row>
    <row r="52" spans="1:27" x14ac:dyDescent="0.2">
      <c r="A52" s="5"/>
      <c r="B52" s="5"/>
      <c r="C52" s="5"/>
      <c r="D52" s="5"/>
      <c r="E52" s="5"/>
      <c r="F52" s="5"/>
      <c r="G52" s="5"/>
      <c r="H52" s="5"/>
      <c r="I52" s="5"/>
      <c r="J52" s="5"/>
      <c r="K52" s="5"/>
      <c r="L52" s="5"/>
      <c r="M52" s="5"/>
      <c r="N52" s="5"/>
      <c r="O52" s="5"/>
      <c r="P52" s="5"/>
      <c r="Q52" s="5"/>
      <c r="R52" s="53"/>
      <c r="S52" s="5"/>
      <c r="T52" s="5"/>
      <c r="U52" s="5"/>
      <c r="V52" s="5"/>
      <c r="W52" s="5"/>
      <c r="X52" s="5"/>
      <c r="Y52" s="5"/>
      <c r="Z52" s="5"/>
      <c r="AA52" s="5"/>
    </row>
    <row r="53" spans="1:27" x14ac:dyDescent="0.2">
      <c r="A53" s="5"/>
      <c r="B53" s="5"/>
      <c r="C53" s="5"/>
      <c r="D53" s="5"/>
      <c r="E53" s="5"/>
      <c r="F53" s="5"/>
      <c r="G53" s="5"/>
      <c r="H53" s="5"/>
      <c r="I53" s="5"/>
      <c r="J53" s="5"/>
      <c r="K53" s="5"/>
      <c r="L53" s="5"/>
      <c r="M53" s="5"/>
      <c r="N53" s="5"/>
      <c r="O53" s="5"/>
      <c r="P53" s="5"/>
      <c r="Q53" s="5"/>
      <c r="R53" s="53"/>
      <c r="S53" s="5"/>
      <c r="T53" s="5"/>
      <c r="U53" s="5"/>
      <c r="V53" s="5"/>
      <c r="W53" s="5"/>
      <c r="X53" s="5"/>
      <c r="Y53" s="5"/>
      <c r="Z53" s="5"/>
      <c r="AA53" s="5"/>
    </row>
    <row r="54" spans="1:27" x14ac:dyDescent="0.2">
      <c r="A54" s="5"/>
      <c r="B54" s="5"/>
      <c r="C54" s="5"/>
      <c r="D54" s="5"/>
      <c r="E54" s="5"/>
      <c r="F54" s="5"/>
      <c r="G54" s="5"/>
      <c r="H54" s="5"/>
      <c r="I54" s="5"/>
      <c r="J54" s="5"/>
      <c r="K54" s="5"/>
      <c r="L54" s="5"/>
      <c r="M54" s="5"/>
      <c r="N54" s="5"/>
      <c r="O54" s="5"/>
      <c r="P54" s="5"/>
      <c r="Q54" s="5"/>
      <c r="R54" s="53"/>
      <c r="S54" s="5"/>
      <c r="T54" s="5"/>
      <c r="U54" s="5"/>
      <c r="V54" s="5"/>
      <c r="W54" s="5"/>
      <c r="X54" s="5"/>
      <c r="Y54" s="5"/>
      <c r="Z54" s="5"/>
      <c r="AA54" s="5"/>
    </row>
    <row r="55" spans="1:27" x14ac:dyDescent="0.2">
      <c r="A55" s="5"/>
      <c r="B55" s="5"/>
      <c r="C55" s="5"/>
      <c r="D55" s="5"/>
      <c r="E55" s="5"/>
      <c r="F55" s="5"/>
      <c r="G55" s="5"/>
      <c r="H55" s="5"/>
      <c r="I55" s="5"/>
      <c r="J55" s="5"/>
      <c r="K55" s="5"/>
      <c r="L55" s="5"/>
      <c r="M55" s="5"/>
      <c r="N55" s="5"/>
      <c r="O55" s="5"/>
      <c r="P55" s="5"/>
      <c r="Q55" s="5"/>
      <c r="R55" s="53"/>
      <c r="S55" s="5"/>
      <c r="T55" s="5"/>
      <c r="U55" s="5"/>
      <c r="V55" s="5"/>
      <c r="W55" s="5"/>
      <c r="X55" s="5"/>
      <c r="Y55" s="5"/>
      <c r="Z55" s="5"/>
      <c r="AA55" s="5"/>
    </row>
    <row r="56" spans="1:27" x14ac:dyDescent="0.2">
      <c r="A56" s="5"/>
      <c r="B56" s="5"/>
      <c r="C56" s="5"/>
      <c r="D56" s="5"/>
      <c r="E56" s="5"/>
      <c r="F56" s="5"/>
      <c r="G56" s="5"/>
      <c r="H56" s="5"/>
      <c r="I56" s="5"/>
      <c r="J56" s="5"/>
      <c r="K56" s="5"/>
      <c r="L56" s="5"/>
      <c r="M56" s="5"/>
      <c r="N56" s="5"/>
      <c r="O56" s="5"/>
      <c r="P56" s="5"/>
      <c r="Q56" s="5"/>
      <c r="R56" s="53"/>
      <c r="S56" s="5"/>
      <c r="T56" s="5"/>
      <c r="U56" s="5"/>
      <c r="V56" s="5"/>
      <c r="W56" s="5"/>
      <c r="X56" s="5"/>
      <c r="Y56" s="5"/>
      <c r="Z56" s="5"/>
      <c r="AA56" s="5"/>
    </row>
    <row r="57" spans="1:27" x14ac:dyDescent="0.2">
      <c r="A57" s="5"/>
      <c r="B57" s="5"/>
      <c r="C57" s="5"/>
      <c r="D57" s="5"/>
      <c r="E57" s="5"/>
      <c r="F57" s="5"/>
      <c r="G57" s="5"/>
      <c r="H57" s="5"/>
      <c r="I57" s="5"/>
      <c r="J57" s="5"/>
      <c r="K57" s="5"/>
      <c r="L57" s="5"/>
      <c r="M57" s="5"/>
      <c r="N57" s="5"/>
      <c r="O57" s="5"/>
      <c r="P57" s="5"/>
      <c r="Q57" s="5"/>
      <c r="R57" s="53"/>
      <c r="S57" s="5"/>
      <c r="T57" s="5"/>
      <c r="U57" s="5"/>
      <c r="V57" s="5"/>
      <c r="W57" s="5"/>
      <c r="X57" s="5"/>
      <c r="Y57" s="5"/>
      <c r="Z57" s="5"/>
      <c r="AA57" s="5"/>
    </row>
    <row r="58" spans="1:27" x14ac:dyDescent="0.2">
      <c r="A58" s="5"/>
      <c r="B58" s="5"/>
      <c r="C58" s="5"/>
      <c r="D58" s="5"/>
      <c r="E58" s="5"/>
      <c r="F58" s="5"/>
      <c r="G58" s="5"/>
      <c r="H58" s="5"/>
      <c r="I58" s="5"/>
      <c r="J58" s="5"/>
      <c r="K58" s="5"/>
      <c r="L58" s="5"/>
      <c r="M58" s="5"/>
      <c r="N58" s="5"/>
      <c r="O58" s="5"/>
      <c r="P58" s="5"/>
      <c r="Q58" s="5"/>
      <c r="R58" s="53"/>
      <c r="S58" s="5"/>
      <c r="T58" s="5"/>
      <c r="U58" s="5"/>
      <c r="V58" s="5"/>
      <c r="W58" s="5"/>
      <c r="X58" s="5"/>
      <c r="Y58" s="5"/>
      <c r="Z58" s="5"/>
      <c r="AA58" s="5"/>
    </row>
    <row r="59" spans="1:27" x14ac:dyDescent="0.2">
      <c r="A59" s="5"/>
      <c r="B59" s="5"/>
      <c r="C59" s="5"/>
      <c r="D59" s="5"/>
      <c r="E59" s="5"/>
      <c r="F59" s="5"/>
      <c r="G59" s="5"/>
      <c r="H59" s="5"/>
      <c r="I59" s="5"/>
      <c r="J59" s="5"/>
      <c r="K59" s="5"/>
      <c r="L59" s="5"/>
      <c r="M59" s="5"/>
      <c r="N59" s="5"/>
      <c r="O59" s="5"/>
      <c r="P59" s="5"/>
      <c r="Q59" s="5"/>
      <c r="R59" s="53"/>
      <c r="S59" s="5"/>
      <c r="T59" s="5"/>
      <c r="U59" s="5"/>
      <c r="V59" s="5"/>
      <c r="W59" s="5"/>
      <c r="X59" s="5"/>
      <c r="Y59" s="5"/>
      <c r="Z59" s="5"/>
      <c r="AA59" s="5"/>
    </row>
    <row r="60" spans="1:27" x14ac:dyDescent="0.2">
      <c r="A60" s="5"/>
      <c r="B60" s="5"/>
      <c r="C60" s="5"/>
      <c r="D60" s="5"/>
      <c r="E60" s="5"/>
      <c r="F60" s="5"/>
      <c r="G60" s="5"/>
      <c r="H60" s="5"/>
      <c r="I60" s="5"/>
      <c r="J60" s="5"/>
      <c r="K60" s="5"/>
      <c r="L60" s="5"/>
      <c r="M60" s="5"/>
      <c r="N60" s="5"/>
      <c r="O60" s="5"/>
      <c r="P60" s="5"/>
      <c r="Q60" s="5"/>
      <c r="R60" s="53"/>
      <c r="S60" s="5"/>
      <c r="T60" s="5"/>
      <c r="U60" s="5"/>
      <c r="V60" s="5"/>
      <c r="W60" s="5"/>
      <c r="X60" s="5"/>
      <c r="Y60" s="5"/>
      <c r="Z60" s="5"/>
      <c r="AA60" s="5"/>
    </row>
    <row r="61" spans="1:27" x14ac:dyDescent="0.2">
      <c r="A61" s="5"/>
      <c r="B61" s="5"/>
      <c r="C61" s="5"/>
      <c r="D61" s="5"/>
      <c r="E61" s="5"/>
      <c r="F61" s="5"/>
      <c r="G61" s="5"/>
      <c r="H61" s="5"/>
      <c r="I61" s="5"/>
      <c r="J61" s="5"/>
      <c r="K61" s="5"/>
      <c r="L61" s="5"/>
      <c r="M61" s="5"/>
      <c r="N61" s="5"/>
      <c r="O61" s="5"/>
      <c r="P61" s="5"/>
      <c r="Q61" s="5"/>
      <c r="R61" s="53"/>
      <c r="S61" s="5"/>
      <c r="T61" s="5"/>
      <c r="U61" s="5"/>
      <c r="V61" s="5"/>
      <c r="W61" s="5"/>
      <c r="X61" s="5"/>
      <c r="Y61" s="5"/>
      <c r="Z61" s="5"/>
      <c r="AA61" s="5"/>
    </row>
    <row r="62" spans="1:27" x14ac:dyDescent="0.2">
      <c r="A62" s="5"/>
      <c r="B62" s="5"/>
      <c r="C62" s="5"/>
      <c r="D62" s="5"/>
      <c r="E62" s="5"/>
      <c r="F62" s="5"/>
      <c r="G62" s="5"/>
      <c r="H62" s="5"/>
      <c r="I62" s="5"/>
      <c r="J62" s="5"/>
      <c r="K62" s="5"/>
      <c r="L62" s="5"/>
      <c r="M62" s="5"/>
      <c r="N62" s="5"/>
      <c r="O62" s="5"/>
      <c r="P62" s="5"/>
      <c r="Q62" s="5"/>
      <c r="R62" s="53"/>
      <c r="S62" s="5"/>
      <c r="T62" s="5"/>
      <c r="U62" s="5"/>
      <c r="V62" s="5"/>
      <c r="W62" s="5"/>
      <c r="X62" s="5"/>
      <c r="Y62" s="5"/>
      <c r="Z62" s="5"/>
      <c r="AA62" s="5"/>
    </row>
    <row r="63" spans="1:27" x14ac:dyDescent="0.2">
      <c r="A63" s="5"/>
      <c r="B63" s="5"/>
      <c r="C63" s="5"/>
      <c r="D63" s="5"/>
      <c r="E63" s="5"/>
      <c r="F63" s="5"/>
      <c r="G63" s="5"/>
      <c r="H63" s="5"/>
      <c r="I63" s="5"/>
      <c r="J63" s="5"/>
      <c r="K63" s="5"/>
      <c r="L63" s="5"/>
      <c r="M63" s="5"/>
      <c r="N63" s="5"/>
      <c r="O63" s="5"/>
      <c r="P63" s="5"/>
      <c r="Q63" s="5"/>
      <c r="R63" s="53"/>
      <c r="S63" s="5"/>
      <c r="T63" s="5"/>
      <c r="U63" s="5"/>
      <c r="V63" s="5"/>
      <c r="W63" s="5"/>
      <c r="X63" s="5"/>
      <c r="Y63" s="5"/>
      <c r="Z63" s="5"/>
      <c r="AA63" s="5"/>
    </row>
    <row r="64" spans="1:27" x14ac:dyDescent="0.2">
      <c r="A64" s="5"/>
      <c r="B64" s="5"/>
      <c r="C64" s="5"/>
      <c r="D64" s="5"/>
      <c r="E64" s="5"/>
      <c r="F64" s="5"/>
      <c r="G64" s="5"/>
      <c r="H64" s="5"/>
      <c r="I64" s="5"/>
      <c r="J64" s="5"/>
      <c r="K64" s="5"/>
      <c r="L64" s="5"/>
      <c r="M64" s="5"/>
      <c r="N64" s="5"/>
      <c r="O64" s="5"/>
      <c r="P64" s="5"/>
      <c r="Q64" s="5"/>
      <c r="R64" s="53"/>
      <c r="S64" s="5"/>
      <c r="T64" s="5"/>
      <c r="U64" s="5"/>
      <c r="V64" s="5"/>
      <c r="W64" s="5"/>
      <c r="X64" s="5"/>
      <c r="Y64" s="5"/>
      <c r="Z64" s="5"/>
      <c r="AA64" s="5"/>
    </row>
    <row r="65" spans="1:27" x14ac:dyDescent="0.2">
      <c r="A65" s="5"/>
      <c r="B65" s="5"/>
      <c r="C65" s="5"/>
      <c r="D65" s="5"/>
      <c r="E65" s="5"/>
      <c r="F65" s="5"/>
      <c r="G65" s="5"/>
      <c r="H65" s="5"/>
      <c r="I65" s="5"/>
      <c r="J65" s="5"/>
      <c r="K65" s="5"/>
      <c r="L65" s="5"/>
      <c r="M65" s="5"/>
      <c r="N65" s="5"/>
      <c r="O65" s="5"/>
      <c r="P65" s="5"/>
      <c r="Q65" s="5"/>
      <c r="R65" s="53"/>
      <c r="S65" s="5"/>
      <c r="T65" s="5"/>
      <c r="U65" s="5"/>
      <c r="V65" s="5"/>
      <c r="W65" s="5"/>
      <c r="X65" s="5"/>
      <c r="Y65" s="5"/>
      <c r="Z65" s="5"/>
      <c r="AA65" s="5"/>
    </row>
    <row r="66" spans="1:27" x14ac:dyDescent="0.2">
      <c r="A66" s="5"/>
      <c r="B66" s="5"/>
      <c r="C66" s="5"/>
      <c r="D66" s="5"/>
      <c r="E66" s="5"/>
      <c r="F66" s="5"/>
      <c r="G66" s="5"/>
      <c r="H66" s="5"/>
      <c r="I66" s="5"/>
      <c r="J66" s="5"/>
      <c r="K66" s="5"/>
      <c r="L66" s="5"/>
      <c r="M66" s="5"/>
      <c r="N66" s="5"/>
      <c r="O66" s="5"/>
      <c r="P66" s="5"/>
      <c r="Q66" s="5"/>
      <c r="R66" s="53"/>
      <c r="S66" s="5"/>
      <c r="T66" s="5"/>
      <c r="U66" s="5"/>
      <c r="V66" s="5"/>
      <c r="W66" s="5"/>
      <c r="X66" s="5"/>
      <c r="Y66" s="5"/>
      <c r="Z66" s="5"/>
      <c r="AA66" s="5"/>
    </row>
    <row r="67" spans="1:27" x14ac:dyDescent="0.2">
      <c r="A67" s="5"/>
      <c r="B67" s="5"/>
      <c r="C67" s="5"/>
      <c r="D67" s="5"/>
      <c r="E67" s="5"/>
      <c r="F67" s="5"/>
      <c r="G67" s="5"/>
      <c r="H67" s="5"/>
      <c r="I67" s="5"/>
      <c r="J67" s="5"/>
      <c r="K67" s="5"/>
      <c r="L67" s="5"/>
      <c r="M67" s="5"/>
      <c r="N67" s="5"/>
      <c r="O67" s="5"/>
      <c r="P67" s="5"/>
      <c r="Q67" s="5"/>
      <c r="R67" s="53"/>
      <c r="S67" s="5"/>
      <c r="T67" s="5"/>
      <c r="U67" s="5"/>
      <c r="V67" s="5"/>
      <c r="W67" s="5"/>
      <c r="X67" s="5"/>
      <c r="Y67" s="5"/>
      <c r="Z67" s="5"/>
      <c r="AA67" s="5"/>
    </row>
    <row r="68" spans="1:27" x14ac:dyDescent="0.2">
      <c r="A68" s="5"/>
      <c r="B68" s="5"/>
      <c r="C68" s="5"/>
      <c r="D68" s="5"/>
      <c r="E68" s="5"/>
      <c r="F68" s="5"/>
      <c r="G68" s="5"/>
      <c r="H68" s="5"/>
      <c r="I68" s="5"/>
      <c r="J68" s="5"/>
      <c r="K68" s="5"/>
      <c r="L68" s="5"/>
      <c r="M68" s="5"/>
      <c r="N68" s="5"/>
      <c r="O68" s="5"/>
      <c r="P68" s="5"/>
      <c r="Q68" s="5"/>
      <c r="R68" s="53"/>
      <c r="S68" s="5"/>
      <c r="T68" s="5"/>
      <c r="U68" s="5"/>
      <c r="V68" s="5"/>
      <c r="W68" s="5"/>
      <c r="X68" s="5"/>
      <c r="Y68" s="5"/>
      <c r="Z68" s="5"/>
      <c r="AA68" s="5"/>
    </row>
    <row r="69" spans="1:27" x14ac:dyDescent="0.2">
      <c r="A69" s="5"/>
      <c r="B69" s="5"/>
      <c r="C69" s="5"/>
      <c r="D69" s="5"/>
      <c r="E69" s="5"/>
      <c r="F69" s="5"/>
      <c r="G69" s="5"/>
      <c r="H69" s="5"/>
      <c r="I69" s="5"/>
      <c r="J69" s="5"/>
      <c r="K69" s="5"/>
      <c r="L69" s="5"/>
      <c r="M69" s="5"/>
      <c r="N69" s="5"/>
      <c r="O69" s="5"/>
      <c r="P69" s="5"/>
      <c r="Q69" s="5"/>
      <c r="R69" s="53"/>
      <c r="S69" s="5"/>
      <c r="T69" s="5"/>
      <c r="U69" s="5"/>
      <c r="V69" s="5"/>
      <c r="W69" s="5"/>
      <c r="X69" s="5"/>
      <c r="Y69" s="5"/>
      <c r="Z69" s="5"/>
      <c r="AA69" s="5"/>
    </row>
    <row r="70" spans="1:27" x14ac:dyDescent="0.2">
      <c r="A70" s="5"/>
      <c r="B70" s="5"/>
      <c r="C70" s="5"/>
      <c r="D70" s="5"/>
      <c r="E70" s="5"/>
      <c r="F70" s="5"/>
      <c r="G70" s="5"/>
      <c r="H70" s="5"/>
      <c r="I70" s="5"/>
      <c r="J70" s="5"/>
      <c r="K70" s="5"/>
      <c r="L70" s="5"/>
      <c r="M70" s="5"/>
      <c r="N70" s="5"/>
      <c r="O70" s="5"/>
      <c r="P70" s="5"/>
      <c r="Q70" s="5"/>
      <c r="R70" s="53"/>
      <c r="S70" s="5"/>
      <c r="T70" s="5"/>
      <c r="U70" s="5"/>
      <c r="V70" s="5"/>
      <c r="W70" s="5"/>
      <c r="X70" s="5"/>
      <c r="Y70" s="5"/>
      <c r="Z70" s="5"/>
      <c r="AA70" s="5"/>
    </row>
    <row r="71" spans="1:27" x14ac:dyDescent="0.2">
      <c r="A71" s="5"/>
      <c r="B71" s="5"/>
      <c r="C71" s="5"/>
      <c r="D71" s="5"/>
      <c r="E71" s="5"/>
      <c r="F71" s="5"/>
      <c r="G71" s="5"/>
      <c r="H71" s="5"/>
      <c r="I71" s="5"/>
      <c r="J71" s="5"/>
      <c r="K71" s="5"/>
      <c r="L71" s="5"/>
      <c r="M71" s="5"/>
      <c r="N71" s="5"/>
      <c r="O71" s="5"/>
      <c r="P71" s="5"/>
      <c r="Q71" s="5"/>
      <c r="R71" s="53"/>
      <c r="S71" s="5"/>
      <c r="T71" s="5"/>
      <c r="U71" s="5"/>
      <c r="V71" s="5"/>
      <c r="W71" s="5"/>
      <c r="X71" s="5"/>
      <c r="Y71" s="5"/>
      <c r="Z71" s="5"/>
      <c r="AA71" s="5"/>
    </row>
    <row r="72" spans="1:27" x14ac:dyDescent="0.2">
      <c r="A72" s="5"/>
      <c r="B72" s="5"/>
      <c r="C72" s="5"/>
      <c r="D72" s="5"/>
      <c r="E72" s="5"/>
      <c r="F72" s="5"/>
      <c r="G72" s="5"/>
      <c r="H72" s="5"/>
      <c r="I72" s="5"/>
      <c r="J72" s="5"/>
      <c r="K72" s="5"/>
      <c r="L72" s="5"/>
      <c r="M72" s="5"/>
      <c r="N72" s="5"/>
      <c r="O72" s="5"/>
      <c r="P72" s="5"/>
      <c r="Q72" s="5"/>
      <c r="R72" s="53"/>
      <c r="S72" s="5"/>
      <c r="T72" s="5"/>
      <c r="U72" s="5"/>
      <c r="V72" s="5"/>
      <c r="W72" s="5"/>
      <c r="X72" s="5"/>
      <c r="Y72" s="5"/>
      <c r="Z72" s="5"/>
      <c r="AA72" s="5"/>
    </row>
    <row r="73" spans="1:27" x14ac:dyDescent="0.2">
      <c r="A73" s="5"/>
      <c r="B73" s="5"/>
      <c r="C73" s="5"/>
      <c r="D73" s="5"/>
      <c r="E73" s="5"/>
      <c r="F73" s="5"/>
      <c r="G73" s="5"/>
      <c r="H73" s="5"/>
      <c r="I73" s="5"/>
      <c r="J73" s="5"/>
      <c r="K73" s="5"/>
      <c r="L73" s="5"/>
      <c r="M73" s="5"/>
      <c r="N73" s="5"/>
      <c r="O73" s="5"/>
      <c r="P73" s="5"/>
      <c r="Q73" s="5"/>
      <c r="R73" s="53"/>
      <c r="S73" s="5"/>
      <c r="T73" s="5"/>
      <c r="U73" s="5"/>
      <c r="V73" s="5"/>
      <c r="W73" s="5"/>
      <c r="X73" s="5"/>
      <c r="Y73" s="5"/>
      <c r="Z73" s="5"/>
      <c r="AA73" s="5"/>
    </row>
    <row r="74" spans="1:27" x14ac:dyDescent="0.2">
      <c r="A74" s="5"/>
      <c r="B74" s="5"/>
      <c r="C74" s="5"/>
      <c r="D74" s="5"/>
      <c r="E74" s="5"/>
      <c r="F74" s="5"/>
      <c r="G74" s="5"/>
      <c r="H74" s="5"/>
      <c r="I74" s="5"/>
      <c r="J74" s="5"/>
      <c r="K74" s="5"/>
      <c r="L74" s="5"/>
      <c r="M74" s="5"/>
      <c r="N74" s="5"/>
      <c r="O74" s="5"/>
      <c r="P74" s="5"/>
      <c r="Q74" s="5"/>
      <c r="R74" s="53"/>
      <c r="S74" s="5"/>
      <c r="T74" s="5"/>
      <c r="U74" s="5"/>
      <c r="V74" s="5"/>
      <c r="W74" s="5"/>
      <c r="X74" s="5"/>
      <c r="Y74" s="5"/>
      <c r="Z74" s="5"/>
      <c r="AA74" s="5"/>
    </row>
    <row r="75" spans="1:27" x14ac:dyDescent="0.2">
      <c r="A75" s="5"/>
      <c r="B75" s="5"/>
      <c r="C75" s="5"/>
      <c r="D75" s="5"/>
      <c r="E75" s="5"/>
      <c r="F75" s="5"/>
      <c r="G75" s="5"/>
      <c r="H75" s="5"/>
      <c r="I75" s="5"/>
      <c r="J75" s="5"/>
      <c r="K75" s="5"/>
      <c r="L75" s="5"/>
      <c r="M75" s="5"/>
      <c r="N75" s="5"/>
      <c r="O75" s="5"/>
      <c r="P75" s="5"/>
      <c r="Q75" s="5"/>
      <c r="R75" s="53"/>
      <c r="S75" s="5"/>
      <c r="T75" s="5"/>
      <c r="U75" s="5"/>
      <c r="V75" s="5"/>
      <c r="W75" s="5"/>
      <c r="X75" s="5"/>
      <c r="Y75" s="5"/>
      <c r="Z75" s="5"/>
      <c r="AA75" s="5"/>
    </row>
    <row r="76" spans="1:27" x14ac:dyDescent="0.2">
      <c r="A76" s="5"/>
      <c r="B76" s="5"/>
      <c r="C76" s="5"/>
      <c r="D76" s="5"/>
      <c r="E76" s="5"/>
      <c r="F76" s="5"/>
      <c r="G76" s="5"/>
      <c r="H76" s="5"/>
      <c r="I76" s="5"/>
      <c r="J76" s="5"/>
      <c r="K76" s="5"/>
      <c r="L76" s="5"/>
      <c r="M76" s="5"/>
      <c r="N76" s="5"/>
      <c r="O76" s="5"/>
      <c r="P76" s="5"/>
      <c r="Q76" s="5"/>
      <c r="R76" s="53"/>
      <c r="S76" s="5"/>
      <c r="T76" s="5"/>
      <c r="U76" s="5"/>
      <c r="V76" s="5"/>
      <c r="W76" s="5"/>
      <c r="X76" s="5"/>
      <c r="Y76" s="5"/>
      <c r="Z76" s="5"/>
      <c r="AA76" s="5"/>
    </row>
    <row r="77" spans="1:27" x14ac:dyDescent="0.2">
      <c r="A77" s="5"/>
      <c r="B77" s="5"/>
      <c r="C77" s="5"/>
      <c r="D77" s="5"/>
      <c r="E77" s="5"/>
      <c r="F77" s="5"/>
      <c r="G77" s="5"/>
      <c r="H77" s="5"/>
      <c r="I77" s="5"/>
      <c r="J77" s="5"/>
      <c r="K77" s="5"/>
      <c r="L77" s="5"/>
      <c r="M77" s="5"/>
      <c r="N77" s="5"/>
      <c r="O77" s="5"/>
      <c r="P77" s="5"/>
      <c r="Q77" s="5"/>
      <c r="R77" s="53"/>
      <c r="S77" s="5"/>
      <c r="T77" s="5"/>
      <c r="U77" s="5"/>
      <c r="V77" s="5"/>
      <c r="W77" s="5"/>
      <c r="X77" s="5"/>
      <c r="Y77" s="5"/>
      <c r="Z77" s="5"/>
      <c r="AA77" s="5"/>
    </row>
    <row r="78" spans="1:27" x14ac:dyDescent="0.2">
      <c r="A78" s="5"/>
      <c r="B78" s="5"/>
      <c r="C78" s="5"/>
      <c r="D78" s="5"/>
      <c r="E78" s="5"/>
      <c r="F78" s="5"/>
      <c r="G78" s="5"/>
      <c r="H78" s="5"/>
      <c r="I78" s="5"/>
      <c r="J78" s="5"/>
      <c r="K78" s="5"/>
      <c r="L78" s="5"/>
      <c r="M78" s="5"/>
      <c r="N78" s="5"/>
      <c r="O78" s="5"/>
      <c r="P78" s="5"/>
      <c r="Q78" s="5"/>
      <c r="R78" s="53"/>
      <c r="S78" s="5"/>
      <c r="T78" s="5"/>
      <c r="U78" s="5"/>
      <c r="V78" s="5"/>
      <c r="W78" s="5"/>
      <c r="X78" s="5"/>
      <c r="Y78" s="5"/>
      <c r="Z78" s="5"/>
      <c r="AA78" s="5"/>
    </row>
    <row r="79" spans="1:27" x14ac:dyDescent="0.2">
      <c r="A79" s="5"/>
      <c r="B79" s="5"/>
      <c r="C79" s="5"/>
      <c r="D79" s="5"/>
      <c r="E79" s="5"/>
      <c r="F79" s="5"/>
      <c r="G79" s="5"/>
      <c r="H79" s="5"/>
      <c r="I79" s="5"/>
      <c r="J79" s="5"/>
      <c r="K79" s="5"/>
      <c r="L79" s="5"/>
      <c r="M79" s="5"/>
      <c r="N79" s="5"/>
      <c r="O79" s="5"/>
      <c r="P79" s="5"/>
      <c r="Q79" s="5"/>
      <c r="R79" s="53"/>
      <c r="S79" s="5"/>
      <c r="T79" s="5"/>
      <c r="U79" s="5"/>
      <c r="V79" s="5"/>
      <c r="W79" s="5"/>
      <c r="X79" s="5"/>
      <c r="Y79" s="5"/>
      <c r="Z79" s="5"/>
      <c r="AA79" s="5"/>
    </row>
    <row r="80" spans="1:27" x14ac:dyDescent="0.2">
      <c r="A80" s="5"/>
      <c r="B80" s="5"/>
      <c r="C80" s="5"/>
      <c r="D80" s="5"/>
      <c r="E80" s="5"/>
      <c r="F80" s="5"/>
      <c r="G80" s="5"/>
      <c r="H80" s="5"/>
      <c r="I80" s="5"/>
      <c r="J80" s="5"/>
      <c r="K80" s="5"/>
      <c r="L80" s="5"/>
      <c r="M80" s="5"/>
      <c r="N80" s="5"/>
      <c r="O80" s="5"/>
      <c r="P80" s="5"/>
      <c r="Q80" s="5"/>
      <c r="R80" s="53"/>
      <c r="S80" s="5"/>
      <c r="T80" s="5"/>
      <c r="U80" s="5"/>
      <c r="V80" s="5"/>
      <c r="W80" s="5"/>
      <c r="X80" s="5"/>
      <c r="Y80" s="5"/>
      <c r="Z80" s="5"/>
      <c r="AA80" s="5"/>
    </row>
    <row r="81" spans="1:27" x14ac:dyDescent="0.2">
      <c r="A81" s="5"/>
      <c r="B81" s="5"/>
      <c r="C81" s="5"/>
      <c r="D81" s="5"/>
      <c r="E81" s="5"/>
      <c r="F81" s="5"/>
      <c r="G81" s="5"/>
      <c r="H81" s="5"/>
      <c r="I81" s="5"/>
      <c r="J81" s="5"/>
      <c r="K81" s="5"/>
      <c r="L81" s="5"/>
      <c r="M81" s="5"/>
      <c r="N81" s="5"/>
      <c r="O81" s="5"/>
      <c r="P81" s="5"/>
      <c r="Q81" s="5"/>
      <c r="R81" s="53"/>
      <c r="S81" s="5"/>
      <c r="T81" s="5"/>
      <c r="U81" s="5"/>
      <c r="V81" s="5"/>
      <c r="W81" s="5"/>
      <c r="X81" s="5"/>
      <c r="Y81" s="5"/>
      <c r="Z81" s="5"/>
      <c r="AA81" s="5"/>
    </row>
    <row r="82" spans="1:27" x14ac:dyDescent="0.2">
      <c r="A82" s="5"/>
      <c r="B82" s="5"/>
      <c r="C82" s="5"/>
      <c r="D82" s="5"/>
      <c r="E82" s="5"/>
      <c r="F82" s="5"/>
      <c r="G82" s="5"/>
      <c r="H82" s="5"/>
      <c r="I82" s="5"/>
      <c r="J82" s="5"/>
      <c r="K82" s="5"/>
      <c r="L82" s="5"/>
      <c r="M82" s="5"/>
      <c r="N82" s="5"/>
      <c r="O82" s="5"/>
      <c r="P82" s="5"/>
      <c r="Q82" s="5"/>
      <c r="R82" s="53"/>
      <c r="S82" s="5"/>
      <c r="T82" s="5"/>
      <c r="U82" s="5"/>
      <c r="V82" s="5"/>
      <c r="W82" s="5"/>
      <c r="X82" s="5"/>
      <c r="Y82" s="5"/>
      <c r="Z82" s="5"/>
      <c r="AA82" s="5"/>
    </row>
    <row r="83" spans="1:27" x14ac:dyDescent="0.2">
      <c r="A83" s="5"/>
      <c r="B83" s="5"/>
      <c r="C83" s="5"/>
      <c r="D83" s="5"/>
      <c r="E83" s="5"/>
      <c r="F83" s="5"/>
      <c r="G83" s="5"/>
      <c r="H83" s="5"/>
      <c r="I83" s="5"/>
      <c r="J83" s="5"/>
      <c r="K83" s="5"/>
      <c r="L83" s="5"/>
      <c r="M83" s="5"/>
      <c r="N83" s="5"/>
      <c r="O83" s="5"/>
      <c r="P83" s="5"/>
      <c r="Q83" s="5"/>
      <c r="R83" s="53"/>
      <c r="S83" s="5"/>
      <c r="T83" s="5"/>
      <c r="U83" s="5"/>
      <c r="V83" s="5"/>
      <c r="W83" s="5"/>
      <c r="X83" s="5"/>
      <c r="Y83" s="5"/>
      <c r="Z83" s="5"/>
      <c r="AA83" s="5"/>
    </row>
    <row r="84" spans="1:27" x14ac:dyDescent="0.2">
      <c r="A84" s="5"/>
      <c r="B84" s="5"/>
      <c r="C84" s="5"/>
      <c r="D84" s="5"/>
      <c r="E84" s="5"/>
      <c r="F84" s="5"/>
      <c r="G84" s="5"/>
      <c r="H84" s="5"/>
      <c r="I84" s="5"/>
      <c r="J84" s="5"/>
      <c r="K84" s="5"/>
      <c r="L84" s="5"/>
      <c r="M84" s="5"/>
      <c r="N84" s="5"/>
      <c r="O84" s="5"/>
      <c r="P84" s="5"/>
      <c r="Q84" s="5"/>
      <c r="R84" s="53"/>
      <c r="S84" s="5"/>
      <c r="T84" s="5"/>
      <c r="U84" s="5"/>
      <c r="V84" s="5"/>
      <c r="W84" s="5"/>
      <c r="X84" s="5"/>
      <c r="Y84" s="5"/>
      <c r="Z84" s="5"/>
      <c r="AA84" s="5"/>
    </row>
    <row r="85" spans="1:27" x14ac:dyDescent="0.2">
      <c r="A85" s="5"/>
      <c r="B85" s="5"/>
      <c r="C85" s="5"/>
      <c r="D85" s="5"/>
      <c r="E85" s="5"/>
      <c r="F85" s="5"/>
      <c r="G85" s="5"/>
      <c r="H85" s="5"/>
      <c r="I85" s="5"/>
      <c r="J85" s="5"/>
      <c r="K85" s="5"/>
      <c r="L85" s="5"/>
      <c r="M85" s="5"/>
      <c r="N85" s="5"/>
      <c r="O85" s="5"/>
      <c r="P85" s="5"/>
      <c r="Q85" s="5"/>
      <c r="R85" s="53"/>
      <c r="S85" s="5"/>
      <c r="T85" s="5"/>
      <c r="U85" s="5"/>
      <c r="V85" s="5"/>
      <c r="W85" s="5"/>
      <c r="X85" s="5"/>
      <c r="Y85" s="5"/>
      <c r="Z85" s="5"/>
      <c r="AA85" s="5"/>
    </row>
    <row r="86" spans="1:27" x14ac:dyDescent="0.2">
      <c r="A86" s="5"/>
      <c r="B86" s="5"/>
      <c r="C86" s="5"/>
      <c r="D86" s="5"/>
      <c r="E86" s="5"/>
      <c r="F86" s="5"/>
      <c r="G86" s="5"/>
      <c r="H86" s="5"/>
      <c r="I86" s="5"/>
      <c r="J86" s="5"/>
      <c r="K86" s="5"/>
      <c r="L86" s="5"/>
      <c r="M86" s="5"/>
      <c r="N86" s="5"/>
      <c r="O86" s="5"/>
      <c r="P86" s="5"/>
      <c r="Q86" s="5"/>
      <c r="R86" s="53"/>
      <c r="S86" s="5"/>
      <c r="T86" s="5"/>
      <c r="U86" s="5"/>
      <c r="V86" s="5"/>
      <c r="W86" s="5"/>
      <c r="X86" s="5"/>
      <c r="Y86" s="5"/>
      <c r="Z86" s="5"/>
      <c r="AA86" s="5"/>
    </row>
    <row r="87" spans="1:27" x14ac:dyDescent="0.2">
      <c r="A87" s="5"/>
      <c r="B87" s="5"/>
      <c r="C87" s="5"/>
      <c r="D87" s="5"/>
      <c r="E87" s="5"/>
      <c r="F87" s="5"/>
      <c r="G87" s="5"/>
      <c r="H87" s="5"/>
      <c r="I87" s="5"/>
      <c r="J87" s="5"/>
      <c r="K87" s="5"/>
      <c r="L87" s="5"/>
      <c r="M87" s="5"/>
      <c r="N87" s="5"/>
      <c r="O87" s="5"/>
      <c r="P87" s="5"/>
      <c r="Q87" s="5"/>
      <c r="R87" s="53"/>
      <c r="S87" s="5"/>
      <c r="T87" s="5"/>
      <c r="U87" s="5"/>
      <c r="V87" s="5"/>
      <c r="W87" s="5"/>
      <c r="X87" s="5"/>
      <c r="Y87" s="5"/>
      <c r="Z87" s="5"/>
      <c r="AA87" s="5"/>
    </row>
    <row r="88" spans="1:27" x14ac:dyDescent="0.2">
      <c r="A88" s="5"/>
      <c r="B88" s="5"/>
      <c r="C88" s="5"/>
      <c r="D88" s="5"/>
      <c r="E88" s="5"/>
      <c r="F88" s="5"/>
      <c r="G88" s="5"/>
      <c r="H88" s="5"/>
      <c r="I88" s="5"/>
      <c r="J88" s="5"/>
      <c r="K88" s="5"/>
      <c r="L88" s="5"/>
      <c r="M88" s="5"/>
      <c r="N88" s="5"/>
      <c r="O88" s="5"/>
      <c r="P88" s="5"/>
      <c r="Q88" s="5"/>
      <c r="R88" s="53"/>
      <c r="S88" s="5"/>
      <c r="T88" s="5"/>
      <c r="U88" s="5"/>
      <c r="V88" s="5"/>
      <c r="W88" s="5"/>
      <c r="X88" s="5"/>
      <c r="Y88" s="5"/>
      <c r="Z88" s="5"/>
      <c r="AA88" s="5"/>
    </row>
    <row r="89" spans="1:27" x14ac:dyDescent="0.2">
      <c r="A89" s="5"/>
      <c r="B89" s="5"/>
      <c r="C89" s="5"/>
      <c r="D89" s="5"/>
      <c r="E89" s="5"/>
      <c r="F89" s="5"/>
      <c r="G89" s="5"/>
      <c r="H89" s="5"/>
      <c r="I89" s="5"/>
      <c r="J89" s="5"/>
      <c r="K89" s="5"/>
      <c r="L89" s="5"/>
      <c r="M89" s="5"/>
      <c r="N89" s="5"/>
      <c r="O89" s="5"/>
      <c r="P89" s="5"/>
      <c r="Q89" s="5"/>
      <c r="R89" s="53"/>
      <c r="S89" s="5"/>
      <c r="T89" s="5"/>
      <c r="U89" s="5"/>
      <c r="V89" s="5"/>
      <c r="W89" s="5"/>
      <c r="X89" s="5"/>
      <c r="Y89" s="5"/>
      <c r="Z89" s="5"/>
      <c r="AA89" s="5"/>
    </row>
    <row r="90" spans="1:27" x14ac:dyDescent="0.2">
      <c r="A90" s="5"/>
      <c r="B90" s="5"/>
      <c r="C90" s="5"/>
      <c r="D90" s="5"/>
      <c r="E90" s="5"/>
      <c r="F90" s="5"/>
      <c r="G90" s="5"/>
      <c r="H90" s="5"/>
      <c r="I90" s="5"/>
      <c r="J90" s="5"/>
      <c r="K90" s="5"/>
      <c r="L90" s="5"/>
      <c r="M90" s="5"/>
      <c r="N90" s="5"/>
      <c r="O90" s="5"/>
      <c r="P90" s="5"/>
      <c r="Q90" s="5"/>
      <c r="R90" s="53"/>
      <c r="S90" s="5"/>
      <c r="T90" s="5"/>
      <c r="U90" s="5"/>
      <c r="V90" s="5"/>
      <c r="W90" s="5"/>
      <c r="X90" s="5"/>
      <c r="Y90" s="5"/>
      <c r="Z90" s="5"/>
      <c r="AA90" s="5"/>
    </row>
    <row r="91" spans="1:27" x14ac:dyDescent="0.2">
      <c r="A91" s="5"/>
      <c r="B91" s="5"/>
      <c r="C91" s="5"/>
      <c r="D91" s="5"/>
      <c r="E91" s="5"/>
      <c r="F91" s="5"/>
      <c r="G91" s="5"/>
      <c r="H91" s="5"/>
      <c r="I91" s="5"/>
      <c r="J91" s="5"/>
      <c r="K91" s="5"/>
      <c r="L91" s="5"/>
      <c r="M91" s="5"/>
      <c r="N91" s="5"/>
      <c r="O91" s="5"/>
      <c r="P91" s="5"/>
      <c r="Q91" s="5"/>
      <c r="R91" s="53"/>
      <c r="S91" s="5"/>
      <c r="T91" s="5"/>
      <c r="U91" s="5"/>
      <c r="V91" s="5"/>
      <c r="W91" s="5"/>
      <c r="X91" s="5"/>
      <c r="Y91" s="5"/>
      <c r="Z91" s="5"/>
      <c r="AA91" s="5"/>
    </row>
    <row r="92" spans="1:27" x14ac:dyDescent="0.2">
      <c r="A92" s="5"/>
      <c r="B92" s="5"/>
      <c r="C92" s="5"/>
      <c r="D92" s="5"/>
      <c r="E92" s="5"/>
      <c r="F92" s="5"/>
      <c r="G92" s="5"/>
      <c r="H92" s="5"/>
      <c r="I92" s="5"/>
      <c r="J92" s="5"/>
      <c r="K92" s="5"/>
      <c r="L92" s="5"/>
      <c r="M92" s="5"/>
      <c r="N92" s="5"/>
      <c r="O92" s="5"/>
      <c r="P92" s="5"/>
      <c r="Q92" s="5"/>
      <c r="R92" s="53"/>
      <c r="S92" s="5"/>
      <c r="T92" s="5"/>
      <c r="U92" s="5"/>
      <c r="V92" s="5"/>
      <c r="W92" s="5"/>
      <c r="X92" s="5"/>
      <c r="Y92" s="5"/>
      <c r="Z92" s="5"/>
      <c r="AA92" s="5"/>
    </row>
    <row r="93" spans="1:27" x14ac:dyDescent="0.2">
      <c r="A93" s="5"/>
      <c r="B93" s="5"/>
      <c r="C93" s="5"/>
      <c r="D93" s="5"/>
      <c r="E93" s="5"/>
      <c r="F93" s="5"/>
      <c r="G93" s="5"/>
      <c r="H93" s="5"/>
      <c r="I93" s="5"/>
      <c r="J93" s="5"/>
      <c r="K93" s="5"/>
      <c r="L93" s="5"/>
      <c r="M93" s="5"/>
      <c r="N93" s="5"/>
      <c r="O93" s="5"/>
      <c r="P93" s="5"/>
      <c r="Q93" s="5"/>
      <c r="R93" s="53"/>
      <c r="S93" s="5"/>
      <c r="T93" s="5"/>
      <c r="U93" s="5"/>
      <c r="V93" s="5"/>
      <c r="W93" s="5"/>
      <c r="X93" s="5"/>
      <c r="Y93" s="5"/>
      <c r="Z93" s="5"/>
      <c r="AA93" s="5"/>
    </row>
    <row r="94" spans="1:27" x14ac:dyDescent="0.2">
      <c r="A94" s="5"/>
      <c r="B94" s="5"/>
      <c r="C94" s="5"/>
      <c r="D94" s="5"/>
      <c r="E94" s="5"/>
      <c r="F94" s="5"/>
      <c r="G94" s="5"/>
      <c r="H94" s="5"/>
      <c r="I94" s="5"/>
      <c r="J94" s="5"/>
      <c r="K94" s="5"/>
      <c r="L94" s="5"/>
      <c r="M94" s="5"/>
      <c r="N94" s="5"/>
      <c r="O94" s="5"/>
      <c r="P94" s="5"/>
      <c r="Q94" s="5"/>
      <c r="R94" s="53"/>
      <c r="S94" s="5"/>
      <c r="T94" s="5"/>
      <c r="U94" s="5"/>
      <c r="V94" s="5"/>
      <c r="W94" s="5"/>
      <c r="X94" s="5"/>
      <c r="Y94" s="5"/>
      <c r="Z94" s="5"/>
      <c r="AA94" s="5"/>
    </row>
    <row r="95" spans="1:27" x14ac:dyDescent="0.2">
      <c r="B95" s="5"/>
      <c r="C95" s="5"/>
      <c r="D95" s="5"/>
      <c r="E95" s="5"/>
      <c r="F95" s="5"/>
      <c r="G95" s="5"/>
      <c r="H95" s="5"/>
      <c r="I95" s="5"/>
      <c r="J95" s="5"/>
      <c r="K95" s="5"/>
      <c r="L95" s="5"/>
      <c r="M95" s="5"/>
      <c r="N95" s="5"/>
      <c r="O95" s="5"/>
      <c r="P95" s="5"/>
      <c r="Q95" s="5"/>
      <c r="R95" s="52"/>
    </row>
    <row r="96" spans="1:27" x14ac:dyDescent="0.2">
      <c r="B96" s="5"/>
      <c r="C96" s="5"/>
      <c r="D96" s="5"/>
      <c r="E96" s="5"/>
      <c r="F96" s="5"/>
      <c r="G96" s="5"/>
      <c r="H96" s="5"/>
      <c r="I96" s="5"/>
      <c r="J96" s="5"/>
      <c r="K96" s="5"/>
      <c r="L96" s="5"/>
      <c r="M96" s="5"/>
      <c r="N96" s="5"/>
      <c r="O96" s="5"/>
      <c r="P96" s="5"/>
      <c r="Q96" s="5"/>
      <c r="R96" s="52"/>
    </row>
    <row r="97" spans="2:18" x14ac:dyDescent="0.2">
      <c r="B97" s="5"/>
      <c r="C97" s="5"/>
      <c r="D97" s="5"/>
      <c r="E97" s="5"/>
      <c r="F97" s="5"/>
      <c r="G97" s="5"/>
      <c r="H97" s="5"/>
      <c r="I97" s="5"/>
      <c r="J97" s="5"/>
      <c r="K97" s="5"/>
      <c r="L97" s="5"/>
      <c r="M97" s="5"/>
      <c r="N97" s="5"/>
      <c r="O97" s="5"/>
      <c r="P97" s="5"/>
      <c r="Q97" s="5"/>
      <c r="R97" s="52"/>
    </row>
    <row r="98" spans="2:18" x14ac:dyDescent="0.2">
      <c r="B98" s="5"/>
      <c r="C98" s="5"/>
      <c r="D98" s="5"/>
      <c r="E98" s="5"/>
      <c r="F98" s="5"/>
      <c r="G98" s="5"/>
      <c r="H98" s="5"/>
      <c r="I98" s="5"/>
      <c r="J98" s="5"/>
      <c r="K98" s="5"/>
      <c r="L98" s="5"/>
      <c r="M98" s="5"/>
      <c r="N98" s="5"/>
      <c r="O98" s="5"/>
      <c r="P98" s="5"/>
      <c r="Q98" s="5"/>
      <c r="R98" s="52"/>
    </row>
    <row r="99" spans="2:18" x14ac:dyDescent="0.2">
      <c r="R99" s="52"/>
    </row>
    <row r="100" spans="2:18" x14ac:dyDescent="0.2">
      <c r="R100" s="52"/>
    </row>
    <row r="101" spans="2:18" x14ac:dyDescent="0.2">
      <c r="R101" s="52"/>
    </row>
    <row r="102" spans="2:18" x14ac:dyDescent="0.2">
      <c r="R102" s="52"/>
    </row>
    <row r="103" spans="2:18" x14ac:dyDescent="0.2">
      <c r="R103" s="52"/>
    </row>
    <row r="104" spans="2:18" x14ac:dyDescent="0.2">
      <c r="R104" s="52"/>
    </row>
    <row r="105" spans="2:18" x14ac:dyDescent="0.2">
      <c r="R105" s="52"/>
    </row>
    <row r="106" spans="2:18" x14ac:dyDescent="0.2">
      <c r="R106" s="52"/>
    </row>
    <row r="107" spans="2:18" x14ac:dyDescent="0.2">
      <c r="R107" s="52"/>
    </row>
    <row r="108" spans="2:18" x14ac:dyDescent="0.2">
      <c r="R108" s="52"/>
    </row>
    <row r="109" spans="2:18" x14ac:dyDescent="0.2">
      <c r="R109" s="52"/>
    </row>
    <row r="110" spans="2:18" x14ac:dyDescent="0.2">
      <c r="R110" s="52"/>
    </row>
    <row r="111" spans="2:18" x14ac:dyDescent="0.2">
      <c r="R111" s="52"/>
    </row>
    <row r="112" spans="2: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row r="658" spans="18:18" x14ac:dyDescent="0.2">
      <c r="R658" s="52"/>
    </row>
    <row r="659" spans="18:18" x14ac:dyDescent="0.2">
      <c r="R659" s="52"/>
    </row>
    <row r="660" spans="18:18" x14ac:dyDescent="0.2">
      <c r="R660" s="52"/>
    </row>
    <row r="661" spans="18:18" x14ac:dyDescent="0.2">
      <c r="R661" s="52"/>
    </row>
    <row r="662" spans="18:18" x14ac:dyDescent="0.2">
      <c r="R662" s="52"/>
    </row>
    <row r="663" spans="18:18" x14ac:dyDescent="0.2">
      <c r="R663" s="52"/>
    </row>
    <row r="664" spans="18:18" x14ac:dyDescent="0.2">
      <c r="R664" s="52"/>
    </row>
    <row r="665" spans="18:18" x14ac:dyDescent="0.2">
      <c r="R665" s="52"/>
    </row>
    <row r="666" spans="18:18" x14ac:dyDescent="0.2">
      <c r="R666" s="52"/>
    </row>
    <row r="667" spans="18:18" x14ac:dyDescent="0.2">
      <c r="R667" s="52"/>
    </row>
    <row r="668" spans="18:18" x14ac:dyDescent="0.2">
      <c r="R668" s="52"/>
    </row>
    <row r="669" spans="18:18" x14ac:dyDescent="0.2">
      <c r="R669" s="52"/>
    </row>
    <row r="670" spans="18:18" x14ac:dyDescent="0.2">
      <c r="R670" s="52"/>
    </row>
    <row r="671" spans="18:18" x14ac:dyDescent="0.2">
      <c r="R671" s="52"/>
    </row>
    <row r="672" spans="18:18" x14ac:dyDescent="0.2">
      <c r="R672" s="52"/>
    </row>
    <row r="673" spans="18:18" x14ac:dyDescent="0.2">
      <c r="R673" s="52"/>
    </row>
    <row r="674" spans="18:18" x14ac:dyDescent="0.2">
      <c r="R674" s="52"/>
    </row>
    <row r="675" spans="18:18" x14ac:dyDescent="0.2">
      <c r="R675" s="52"/>
    </row>
    <row r="676" spans="18:18" x14ac:dyDescent="0.2">
      <c r="R676" s="52"/>
    </row>
    <row r="677" spans="18:18" x14ac:dyDescent="0.2">
      <c r="R677" s="52"/>
    </row>
    <row r="678" spans="18:18" x14ac:dyDescent="0.2">
      <c r="R678" s="52"/>
    </row>
    <row r="679" spans="18:18" x14ac:dyDescent="0.2">
      <c r="R679" s="52"/>
    </row>
    <row r="680" spans="18:18" x14ac:dyDescent="0.2">
      <c r="R680" s="52"/>
    </row>
    <row r="681" spans="18:18" x14ac:dyDescent="0.2">
      <c r="R681" s="52"/>
    </row>
    <row r="682" spans="18:18" x14ac:dyDescent="0.2">
      <c r="R682" s="52"/>
    </row>
    <row r="683" spans="18:18" x14ac:dyDescent="0.2">
      <c r="R683" s="52"/>
    </row>
    <row r="684" spans="18:18" x14ac:dyDescent="0.2">
      <c r="R684" s="52"/>
    </row>
    <row r="685" spans="18:18" x14ac:dyDescent="0.2">
      <c r="R685" s="52"/>
    </row>
    <row r="686" spans="18:18" x14ac:dyDescent="0.2">
      <c r="R686" s="52"/>
    </row>
    <row r="687" spans="18:18" x14ac:dyDescent="0.2">
      <c r="R687" s="52"/>
    </row>
    <row r="688" spans="18:18" x14ac:dyDescent="0.2">
      <c r="R688" s="52"/>
    </row>
    <row r="689" spans="18:18" x14ac:dyDescent="0.2">
      <c r="R689" s="52"/>
    </row>
    <row r="690" spans="18:18" x14ac:dyDescent="0.2">
      <c r="R690" s="52"/>
    </row>
    <row r="691" spans="18:18" x14ac:dyDescent="0.2">
      <c r="R691" s="52"/>
    </row>
    <row r="692" spans="18:18" x14ac:dyDescent="0.2">
      <c r="R692" s="52"/>
    </row>
    <row r="693" spans="18:18" x14ac:dyDescent="0.2">
      <c r="R693" s="52"/>
    </row>
    <row r="694" spans="18:18" x14ac:dyDescent="0.2">
      <c r="R694" s="52"/>
    </row>
    <row r="695" spans="18:18" x14ac:dyDescent="0.2">
      <c r="R695" s="52"/>
    </row>
    <row r="696" spans="18:18" x14ac:dyDescent="0.2">
      <c r="R696" s="52"/>
    </row>
    <row r="697" spans="18:18" x14ac:dyDescent="0.2">
      <c r="R697" s="52"/>
    </row>
    <row r="698" spans="18:18" x14ac:dyDescent="0.2">
      <c r="R698" s="52"/>
    </row>
    <row r="699" spans="18:18" x14ac:dyDescent="0.2">
      <c r="R699" s="52"/>
    </row>
    <row r="700" spans="18:18" x14ac:dyDescent="0.2">
      <c r="R700" s="52"/>
    </row>
    <row r="701" spans="18:18" x14ac:dyDescent="0.2">
      <c r="R701" s="52"/>
    </row>
    <row r="702" spans="18:18" x14ac:dyDescent="0.2">
      <c r="R702" s="52"/>
    </row>
    <row r="703" spans="18:18" x14ac:dyDescent="0.2">
      <c r="R703" s="52"/>
    </row>
    <row r="704" spans="18:18" x14ac:dyDescent="0.2">
      <c r="R704" s="52"/>
    </row>
    <row r="705" spans="18:18" x14ac:dyDescent="0.2">
      <c r="R705" s="52"/>
    </row>
    <row r="706" spans="18:18" x14ac:dyDescent="0.2">
      <c r="R706" s="52"/>
    </row>
    <row r="707" spans="18:18" x14ac:dyDescent="0.2">
      <c r="R707" s="52"/>
    </row>
    <row r="708" spans="18:18" x14ac:dyDescent="0.2">
      <c r="R708" s="52"/>
    </row>
    <row r="709" spans="18:18" x14ac:dyDescent="0.2">
      <c r="R709" s="52"/>
    </row>
    <row r="710" spans="18:18" x14ac:dyDescent="0.2">
      <c r="R710" s="52"/>
    </row>
    <row r="711" spans="18:18" x14ac:dyDescent="0.2">
      <c r="R711" s="52"/>
    </row>
    <row r="712" spans="18:18" x14ac:dyDescent="0.2">
      <c r="R712" s="52"/>
    </row>
    <row r="713" spans="18:18" x14ac:dyDescent="0.2">
      <c r="R713" s="52"/>
    </row>
    <row r="714" spans="18:18" x14ac:dyDescent="0.2">
      <c r="R714" s="52"/>
    </row>
    <row r="715" spans="18:18" x14ac:dyDescent="0.2">
      <c r="R715" s="52"/>
    </row>
    <row r="716" spans="18:18" x14ac:dyDescent="0.2">
      <c r="R716" s="52"/>
    </row>
    <row r="717" spans="18:18" x14ac:dyDescent="0.2">
      <c r="R717" s="52"/>
    </row>
    <row r="718" spans="18:18" x14ac:dyDescent="0.2">
      <c r="R718" s="52"/>
    </row>
    <row r="719" spans="18:18" x14ac:dyDescent="0.2">
      <c r="R719" s="52"/>
    </row>
    <row r="720" spans="18:18" x14ac:dyDescent="0.2">
      <c r="R720" s="52"/>
    </row>
    <row r="721" spans="18:18" x14ac:dyDescent="0.2">
      <c r="R721" s="52"/>
    </row>
    <row r="722" spans="18:18" x14ac:dyDescent="0.2">
      <c r="R722" s="52"/>
    </row>
    <row r="723" spans="18:18" x14ac:dyDescent="0.2">
      <c r="R723" s="52"/>
    </row>
    <row r="724" spans="18:18" x14ac:dyDescent="0.2">
      <c r="R724" s="52"/>
    </row>
    <row r="725" spans="18:18" x14ac:dyDescent="0.2">
      <c r="R725" s="52"/>
    </row>
    <row r="726" spans="18:18" x14ac:dyDescent="0.2">
      <c r="R726" s="52"/>
    </row>
    <row r="727" spans="18:18" x14ac:dyDescent="0.2">
      <c r="R727" s="52"/>
    </row>
    <row r="728" spans="18:18" x14ac:dyDescent="0.2">
      <c r="R728" s="52"/>
    </row>
    <row r="729" spans="18:18" x14ac:dyDescent="0.2">
      <c r="R729" s="52"/>
    </row>
    <row r="730" spans="18:18" x14ac:dyDescent="0.2">
      <c r="R730" s="52"/>
    </row>
    <row r="731" spans="18:18" x14ac:dyDescent="0.2">
      <c r="R731" s="52"/>
    </row>
    <row r="732" spans="18:18" x14ac:dyDescent="0.2">
      <c r="R732" s="52"/>
    </row>
    <row r="733" spans="18:18" x14ac:dyDescent="0.2">
      <c r="R733" s="52"/>
    </row>
    <row r="734" spans="18:18" x14ac:dyDescent="0.2">
      <c r="R734" s="52"/>
    </row>
    <row r="735" spans="18:18" x14ac:dyDescent="0.2">
      <c r="R735" s="52"/>
    </row>
    <row r="736" spans="18:18" x14ac:dyDescent="0.2">
      <c r="R736" s="52"/>
    </row>
    <row r="737" spans="18:18" x14ac:dyDescent="0.2">
      <c r="R737" s="52"/>
    </row>
    <row r="738" spans="18:18" x14ac:dyDescent="0.2">
      <c r="R738" s="52"/>
    </row>
    <row r="739" spans="18:18" x14ac:dyDescent="0.2">
      <c r="R739" s="52"/>
    </row>
    <row r="740" spans="18:18" x14ac:dyDescent="0.2">
      <c r="R740" s="52"/>
    </row>
    <row r="741" spans="18:18" x14ac:dyDescent="0.2">
      <c r="R741" s="52"/>
    </row>
    <row r="742" spans="18:18" x14ac:dyDescent="0.2">
      <c r="R742" s="52"/>
    </row>
    <row r="743" spans="18:18" x14ac:dyDescent="0.2">
      <c r="R743" s="52"/>
    </row>
    <row r="744" spans="18:18" x14ac:dyDescent="0.2">
      <c r="R744" s="52"/>
    </row>
    <row r="745" spans="18:18" x14ac:dyDescent="0.2">
      <c r="R745" s="52"/>
    </row>
    <row r="746" spans="18:18" x14ac:dyDescent="0.2">
      <c r="R746" s="52"/>
    </row>
    <row r="747" spans="18:18" x14ac:dyDescent="0.2">
      <c r="R747" s="52"/>
    </row>
    <row r="748" spans="18:18" x14ac:dyDescent="0.2">
      <c r="R748" s="52"/>
    </row>
    <row r="749" spans="18:18" x14ac:dyDescent="0.2">
      <c r="R749" s="52"/>
    </row>
    <row r="750" spans="18:18" x14ac:dyDescent="0.2">
      <c r="R750" s="52"/>
    </row>
    <row r="751" spans="18:18" x14ac:dyDescent="0.2">
      <c r="R751" s="52"/>
    </row>
    <row r="752" spans="18:18" x14ac:dyDescent="0.2">
      <c r="R752" s="52"/>
    </row>
    <row r="753" spans="18:18" x14ac:dyDescent="0.2">
      <c r="R753" s="52"/>
    </row>
    <row r="754" spans="18:18" x14ac:dyDescent="0.2">
      <c r="R754" s="52"/>
    </row>
    <row r="755" spans="18:18" x14ac:dyDescent="0.2">
      <c r="R755" s="52"/>
    </row>
    <row r="756" spans="18:18" x14ac:dyDescent="0.2">
      <c r="R756" s="52"/>
    </row>
    <row r="757" spans="18:18" x14ac:dyDescent="0.2">
      <c r="R757" s="52"/>
    </row>
    <row r="758" spans="18:18" x14ac:dyDescent="0.2">
      <c r="R758" s="52"/>
    </row>
    <row r="759" spans="18:18" x14ac:dyDescent="0.2">
      <c r="R759" s="52"/>
    </row>
    <row r="760" spans="18:18" x14ac:dyDescent="0.2">
      <c r="R760" s="52"/>
    </row>
    <row r="761" spans="18:18" x14ac:dyDescent="0.2">
      <c r="R761" s="52"/>
    </row>
    <row r="762" spans="18:18" x14ac:dyDescent="0.2">
      <c r="R762" s="52"/>
    </row>
    <row r="763" spans="18:18" x14ac:dyDescent="0.2">
      <c r="R763" s="52"/>
    </row>
    <row r="764" spans="18:18" x14ac:dyDescent="0.2">
      <c r="R764" s="52"/>
    </row>
    <row r="765" spans="18:18" x14ac:dyDescent="0.2">
      <c r="R765" s="52"/>
    </row>
    <row r="766" spans="18:18" x14ac:dyDescent="0.2">
      <c r="R766" s="52"/>
    </row>
    <row r="767" spans="18:18" x14ac:dyDescent="0.2">
      <c r="R767" s="52"/>
    </row>
    <row r="768" spans="18:18" x14ac:dyDescent="0.2">
      <c r="R768" s="52"/>
    </row>
    <row r="769" spans="18:18" x14ac:dyDescent="0.2">
      <c r="R769" s="52"/>
    </row>
    <row r="770" spans="18:18" x14ac:dyDescent="0.2">
      <c r="R770" s="52"/>
    </row>
    <row r="771" spans="18:18" x14ac:dyDescent="0.2">
      <c r="R771" s="52"/>
    </row>
    <row r="772" spans="18:18" x14ac:dyDescent="0.2">
      <c r="R772" s="52"/>
    </row>
    <row r="773" spans="18:18" x14ac:dyDescent="0.2">
      <c r="R773" s="52"/>
    </row>
    <row r="774" spans="18:18" x14ac:dyDescent="0.2">
      <c r="R774" s="52"/>
    </row>
    <row r="775" spans="18:18" x14ac:dyDescent="0.2">
      <c r="R775" s="52"/>
    </row>
    <row r="776" spans="18:18" x14ac:dyDescent="0.2">
      <c r="R776" s="52"/>
    </row>
    <row r="777" spans="18:18" x14ac:dyDescent="0.2">
      <c r="R777" s="52"/>
    </row>
    <row r="778" spans="18:18" x14ac:dyDescent="0.2">
      <c r="R778" s="52"/>
    </row>
    <row r="779" spans="18:18" x14ac:dyDescent="0.2">
      <c r="R779" s="52"/>
    </row>
    <row r="780" spans="18:18" x14ac:dyDescent="0.2">
      <c r="R780" s="52"/>
    </row>
    <row r="781" spans="18:18" x14ac:dyDescent="0.2">
      <c r="R781" s="52"/>
    </row>
    <row r="782" spans="18:18" x14ac:dyDescent="0.2">
      <c r="R782" s="52"/>
    </row>
    <row r="783" spans="18:18" x14ac:dyDescent="0.2">
      <c r="R783" s="52"/>
    </row>
    <row r="784" spans="18:18" x14ac:dyDescent="0.2">
      <c r="R784" s="52"/>
    </row>
    <row r="785" spans="18:18" x14ac:dyDescent="0.2">
      <c r="R785" s="52"/>
    </row>
    <row r="786" spans="18:18" x14ac:dyDescent="0.2">
      <c r="R786" s="52"/>
    </row>
    <row r="787" spans="18:18" x14ac:dyDescent="0.2">
      <c r="R787" s="52"/>
    </row>
    <row r="788" spans="18:18" x14ac:dyDescent="0.2">
      <c r="R788" s="52"/>
    </row>
    <row r="789" spans="18:18" x14ac:dyDescent="0.2">
      <c r="R789" s="52"/>
    </row>
    <row r="790" spans="18:18" x14ac:dyDescent="0.2">
      <c r="R790" s="52"/>
    </row>
    <row r="791" spans="18:18" x14ac:dyDescent="0.2">
      <c r="R791" s="52"/>
    </row>
    <row r="792" spans="18:18" x14ac:dyDescent="0.2">
      <c r="R792" s="52"/>
    </row>
    <row r="793" spans="18:18" x14ac:dyDescent="0.2">
      <c r="R793" s="52"/>
    </row>
    <row r="794" spans="18:18" x14ac:dyDescent="0.2">
      <c r="R794" s="52"/>
    </row>
    <row r="795" spans="18:18" x14ac:dyDescent="0.2">
      <c r="R795" s="52"/>
    </row>
    <row r="796" spans="18:18" x14ac:dyDescent="0.2">
      <c r="R796" s="52"/>
    </row>
    <row r="797" spans="18:18" x14ac:dyDescent="0.2">
      <c r="R797" s="52"/>
    </row>
    <row r="798" spans="18:18" x14ac:dyDescent="0.2">
      <c r="R798" s="52"/>
    </row>
    <row r="799" spans="18:18" x14ac:dyDescent="0.2">
      <c r="R799" s="52"/>
    </row>
    <row r="800" spans="18:18" x14ac:dyDescent="0.2">
      <c r="R800" s="52"/>
    </row>
    <row r="801" spans="18:18" x14ac:dyDescent="0.2">
      <c r="R801" s="52"/>
    </row>
    <row r="802" spans="18:18" x14ac:dyDescent="0.2">
      <c r="R802" s="52"/>
    </row>
    <row r="803" spans="18:18" x14ac:dyDescent="0.2">
      <c r="R803" s="52"/>
    </row>
    <row r="804" spans="18:18" x14ac:dyDescent="0.2">
      <c r="R804" s="52"/>
    </row>
    <row r="805" spans="18:18" x14ac:dyDescent="0.2">
      <c r="R805" s="52"/>
    </row>
    <row r="806" spans="18:18" x14ac:dyDescent="0.2">
      <c r="R806" s="52"/>
    </row>
    <row r="807" spans="18:18" x14ac:dyDescent="0.2">
      <c r="R807" s="52"/>
    </row>
    <row r="808" spans="18:18" x14ac:dyDescent="0.2">
      <c r="R808" s="52"/>
    </row>
    <row r="809" spans="18:18" x14ac:dyDescent="0.2">
      <c r="R809" s="52"/>
    </row>
    <row r="810" spans="18:18" x14ac:dyDescent="0.2">
      <c r="R810" s="52"/>
    </row>
    <row r="811" spans="18:18" x14ac:dyDescent="0.2">
      <c r="R811" s="52"/>
    </row>
    <row r="812" spans="18:18" x14ac:dyDescent="0.2">
      <c r="R812" s="52"/>
    </row>
    <row r="813" spans="18:18" x14ac:dyDescent="0.2">
      <c r="R813" s="52"/>
    </row>
    <row r="814" spans="18:18" x14ac:dyDescent="0.2">
      <c r="R814" s="52"/>
    </row>
    <row r="815" spans="18:18" x14ac:dyDescent="0.2">
      <c r="R815" s="52"/>
    </row>
    <row r="816" spans="18:18" x14ac:dyDescent="0.2">
      <c r="R816" s="52"/>
    </row>
    <row r="817" spans="18:18" x14ac:dyDescent="0.2">
      <c r="R817" s="52"/>
    </row>
    <row r="818" spans="18:18" x14ac:dyDescent="0.2">
      <c r="R818" s="52"/>
    </row>
    <row r="819" spans="18:18" x14ac:dyDescent="0.2">
      <c r="R819" s="52"/>
    </row>
    <row r="820" spans="18:18" x14ac:dyDescent="0.2">
      <c r="R820" s="52"/>
    </row>
    <row r="821" spans="18:18" x14ac:dyDescent="0.2">
      <c r="R821" s="52"/>
    </row>
    <row r="822" spans="18:18" x14ac:dyDescent="0.2">
      <c r="R822" s="52"/>
    </row>
    <row r="823" spans="18:18" x14ac:dyDescent="0.2">
      <c r="R823" s="52"/>
    </row>
    <row r="824" spans="18:18" x14ac:dyDescent="0.2">
      <c r="R824" s="52"/>
    </row>
    <row r="825" spans="18:18" x14ac:dyDescent="0.2">
      <c r="R825" s="52"/>
    </row>
    <row r="826" spans="18:18" x14ac:dyDescent="0.2">
      <c r="R826" s="52"/>
    </row>
    <row r="827" spans="18:18" x14ac:dyDescent="0.2">
      <c r="R827" s="52"/>
    </row>
    <row r="828" spans="18:18" x14ac:dyDescent="0.2">
      <c r="R828" s="52"/>
    </row>
    <row r="829" spans="18:18" x14ac:dyDescent="0.2">
      <c r="R829" s="52"/>
    </row>
    <row r="830" spans="18:18" x14ac:dyDescent="0.2">
      <c r="R830" s="52"/>
    </row>
    <row r="831" spans="18:18" x14ac:dyDescent="0.2">
      <c r="R831" s="52"/>
    </row>
    <row r="832" spans="18:18" x14ac:dyDescent="0.2">
      <c r="R832" s="52"/>
    </row>
    <row r="833" spans="18:18" x14ac:dyDescent="0.2">
      <c r="R833" s="52"/>
    </row>
    <row r="834" spans="18:18" x14ac:dyDescent="0.2">
      <c r="R834" s="52"/>
    </row>
    <row r="835" spans="18:18" x14ac:dyDescent="0.2">
      <c r="R835" s="52"/>
    </row>
    <row r="836" spans="18:18" x14ac:dyDescent="0.2">
      <c r="R836" s="52"/>
    </row>
    <row r="837" spans="18:18" x14ac:dyDescent="0.2">
      <c r="R837" s="52"/>
    </row>
    <row r="838" spans="18:18" x14ac:dyDescent="0.2">
      <c r="R838" s="52"/>
    </row>
    <row r="839" spans="18:18" x14ac:dyDescent="0.2">
      <c r="R839" s="52"/>
    </row>
    <row r="840" spans="18:18" x14ac:dyDescent="0.2">
      <c r="R840" s="52"/>
    </row>
    <row r="841" spans="18:18" x14ac:dyDescent="0.2">
      <c r="R841" s="52"/>
    </row>
    <row r="842" spans="18:18" x14ac:dyDescent="0.2">
      <c r="R842" s="52"/>
    </row>
    <row r="843" spans="18:18" x14ac:dyDescent="0.2">
      <c r="R843" s="52"/>
    </row>
    <row r="844" spans="18:18" x14ac:dyDescent="0.2">
      <c r="R844" s="52"/>
    </row>
    <row r="845" spans="18:18" x14ac:dyDescent="0.2">
      <c r="R845" s="52"/>
    </row>
    <row r="846" spans="18:18" x14ac:dyDescent="0.2">
      <c r="R846" s="52"/>
    </row>
    <row r="847" spans="18:18" x14ac:dyDescent="0.2">
      <c r="R847" s="52"/>
    </row>
    <row r="848" spans="18:18" x14ac:dyDescent="0.2">
      <c r="R848" s="52"/>
    </row>
    <row r="849" spans="18:18" x14ac:dyDescent="0.2">
      <c r="R849" s="52"/>
    </row>
    <row r="850" spans="18:18" x14ac:dyDescent="0.2">
      <c r="R850" s="52"/>
    </row>
    <row r="851" spans="18:18" x14ac:dyDescent="0.2">
      <c r="R851" s="52"/>
    </row>
    <row r="852" spans="18:18" x14ac:dyDescent="0.2">
      <c r="R852" s="52"/>
    </row>
    <row r="853" spans="18:18" x14ac:dyDescent="0.2">
      <c r="R853" s="52"/>
    </row>
    <row r="854" spans="18:18" x14ac:dyDescent="0.2">
      <c r="R854" s="52"/>
    </row>
    <row r="855" spans="18:18" x14ac:dyDescent="0.2">
      <c r="R855" s="52"/>
    </row>
    <row r="856" spans="18:18" x14ac:dyDescent="0.2">
      <c r="R856" s="52"/>
    </row>
    <row r="857" spans="18:18" x14ac:dyDescent="0.2">
      <c r="R857" s="52"/>
    </row>
    <row r="858" spans="18:18" x14ac:dyDescent="0.2">
      <c r="R858" s="52"/>
    </row>
    <row r="859" spans="18:18" x14ac:dyDescent="0.2">
      <c r="R859" s="52"/>
    </row>
    <row r="860" spans="18:18" x14ac:dyDescent="0.2">
      <c r="R860" s="52"/>
    </row>
    <row r="861" spans="18:18" x14ac:dyDescent="0.2">
      <c r="R861" s="52"/>
    </row>
    <row r="862" spans="18:18" x14ac:dyDescent="0.2">
      <c r="R862" s="52"/>
    </row>
    <row r="863" spans="18:18" x14ac:dyDescent="0.2">
      <c r="R863" s="52"/>
    </row>
    <row r="864" spans="18:18" x14ac:dyDescent="0.2">
      <c r="R864" s="52"/>
    </row>
    <row r="865" spans="18:18" x14ac:dyDescent="0.2">
      <c r="R865" s="52"/>
    </row>
    <row r="866" spans="18:18" x14ac:dyDescent="0.2">
      <c r="R866" s="52"/>
    </row>
    <row r="867" spans="18:18" x14ac:dyDescent="0.2">
      <c r="R867" s="52"/>
    </row>
    <row r="868" spans="18:18" x14ac:dyDescent="0.2">
      <c r="R868" s="52"/>
    </row>
    <row r="869" spans="18:18" x14ac:dyDescent="0.2">
      <c r="R869" s="52"/>
    </row>
    <row r="870" spans="18:18" x14ac:dyDescent="0.2">
      <c r="R870" s="52"/>
    </row>
    <row r="871" spans="18:18" x14ac:dyDescent="0.2">
      <c r="R871" s="52"/>
    </row>
    <row r="872" spans="18:18" x14ac:dyDescent="0.2">
      <c r="R872" s="52"/>
    </row>
    <row r="873" spans="18:18" x14ac:dyDescent="0.2">
      <c r="R873" s="52"/>
    </row>
    <row r="874" spans="18:18" x14ac:dyDescent="0.2">
      <c r="R874" s="52"/>
    </row>
    <row r="875" spans="18:18" x14ac:dyDescent="0.2">
      <c r="R875" s="52"/>
    </row>
    <row r="876" spans="18:18" x14ac:dyDescent="0.2">
      <c r="R876" s="52"/>
    </row>
    <row r="877" spans="18:18" x14ac:dyDescent="0.2">
      <c r="R877" s="52"/>
    </row>
    <row r="878" spans="18:18" x14ac:dyDescent="0.2">
      <c r="R878" s="52"/>
    </row>
    <row r="879" spans="18:18" x14ac:dyDescent="0.2">
      <c r="R879" s="52"/>
    </row>
    <row r="880" spans="18:18" x14ac:dyDescent="0.2">
      <c r="R880" s="52"/>
    </row>
    <row r="881" spans="18:18" x14ac:dyDescent="0.2">
      <c r="R881" s="52"/>
    </row>
    <row r="882" spans="18:18" x14ac:dyDescent="0.2">
      <c r="R882" s="52"/>
    </row>
    <row r="883" spans="18:18" x14ac:dyDescent="0.2">
      <c r="R883" s="52"/>
    </row>
    <row r="884" spans="18:18" x14ac:dyDescent="0.2">
      <c r="R884" s="52"/>
    </row>
    <row r="885" spans="18:18" x14ac:dyDescent="0.2">
      <c r="R885" s="52"/>
    </row>
    <row r="886" spans="18:18" x14ac:dyDescent="0.2">
      <c r="R886" s="52"/>
    </row>
    <row r="887" spans="18:18" x14ac:dyDescent="0.2">
      <c r="R887" s="52"/>
    </row>
    <row r="888" spans="18:18" x14ac:dyDescent="0.2">
      <c r="R888" s="52"/>
    </row>
    <row r="889" spans="18:18" x14ac:dyDescent="0.2">
      <c r="R889" s="52"/>
    </row>
    <row r="890" spans="18:18" x14ac:dyDescent="0.2">
      <c r="R890" s="52"/>
    </row>
    <row r="891" spans="18:18" x14ac:dyDescent="0.2">
      <c r="R891" s="52"/>
    </row>
    <row r="892" spans="18:18" x14ac:dyDescent="0.2">
      <c r="R892" s="52"/>
    </row>
    <row r="893" spans="18:18" x14ac:dyDescent="0.2">
      <c r="R893" s="52"/>
    </row>
    <row r="894" spans="18:18" x14ac:dyDescent="0.2">
      <c r="R894" s="52"/>
    </row>
    <row r="895" spans="18:18" x14ac:dyDescent="0.2">
      <c r="R895" s="52"/>
    </row>
    <row r="896" spans="18:18" x14ac:dyDescent="0.2">
      <c r="R896" s="52"/>
    </row>
    <row r="897" spans="18:18" x14ac:dyDescent="0.2">
      <c r="R897" s="52"/>
    </row>
    <row r="898" spans="18:18" x14ac:dyDescent="0.2">
      <c r="R898" s="52"/>
    </row>
    <row r="899" spans="18:18" x14ac:dyDescent="0.2">
      <c r="R899" s="52"/>
    </row>
    <row r="900" spans="18:18" x14ac:dyDescent="0.2">
      <c r="R900" s="52"/>
    </row>
    <row r="901" spans="18:18" x14ac:dyDescent="0.2">
      <c r="R901" s="52"/>
    </row>
    <row r="902" spans="18:18" x14ac:dyDescent="0.2">
      <c r="R902" s="52"/>
    </row>
    <row r="903" spans="18:18" x14ac:dyDescent="0.2">
      <c r="R903" s="52"/>
    </row>
    <row r="904" spans="18:18" x14ac:dyDescent="0.2">
      <c r="R904" s="52"/>
    </row>
    <row r="905" spans="18:18" x14ac:dyDescent="0.2">
      <c r="R905" s="52"/>
    </row>
    <row r="906" spans="18:18" x14ac:dyDescent="0.2">
      <c r="R906" s="52"/>
    </row>
    <row r="907" spans="18:18" x14ac:dyDescent="0.2">
      <c r="R907" s="52"/>
    </row>
    <row r="908" spans="18:18" x14ac:dyDescent="0.2">
      <c r="R908" s="52"/>
    </row>
    <row r="909" spans="18:18" x14ac:dyDescent="0.2">
      <c r="R909" s="52"/>
    </row>
    <row r="910" spans="18:18" x14ac:dyDescent="0.2">
      <c r="R910" s="52"/>
    </row>
    <row r="911" spans="18:18" x14ac:dyDescent="0.2">
      <c r="R911" s="52"/>
    </row>
    <row r="912" spans="18:18" x14ac:dyDescent="0.2">
      <c r="R912" s="52"/>
    </row>
    <row r="913" spans="18:18" x14ac:dyDescent="0.2">
      <c r="R913" s="52"/>
    </row>
    <row r="914" spans="18:18" x14ac:dyDescent="0.2">
      <c r="R914" s="52"/>
    </row>
    <row r="915" spans="18:18" x14ac:dyDescent="0.2">
      <c r="R915" s="52"/>
    </row>
    <row r="916" spans="18:18" x14ac:dyDescent="0.2">
      <c r="R916" s="52"/>
    </row>
    <row r="917" spans="18:18" x14ac:dyDescent="0.2">
      <c r="R917" s="52"/>
    </row>
    <row r="918" spans="18:18" x14ac:dyDescent="0.2">
      <c r="R918" s="52"/>
    </row>
    <row r="919" spans="18:18" x14ac:dyDescent="0.2">
      <c r="R919" s="52"/>
    </row>
    <row r="920" spans="18:18" x14ac:dyDescent="0.2">
      <c r="R920" s="52"/>
    </row>
    <row r="921" spans="18:18" x14ac:dyDescent="0.2">
      <c r="R921" s="52"/>
    </row>
    <row r="922" spans="18:18" x14ac:dyDescent="0.2">
      <c r="R922" s="52"/>
    </row>
    <row r="923" spans="18:18" x14ac:dyDescent="0.2">
      <c r="R923" s="52"/>
    </row>
    <row r="924" spans="18:18" x14ac:dyDescent="0.2">
      <c r="R924" s="52"/>
    </row>
    <row r="925" spans="18:18" x14ac:dyDescent="0.2">
      <c r="R925" s="52"/>
    </row>
    <row r="926" spans="18:18" x14ac:dyDescent="0.2">
      <c r="R926" s="52"/>
    </row>
    <row r="927" spans="18:18" x14ac:dyDescent="0.2">
      <c r="R927" s="52"/>
    </row>
    <row r="928" spans="18:18" x14ac:dyDescent="0.2">
      <c r="R928" s="52"/>
    </row>
    <row r="929" spans="18:18" x14ac:dyDescent="0.2">
      <c r="R929" s="52"/>
    </row>
    <row r="930" spans="18:18" x14ac:dyDescent="0.2">
      <c r="R930" s="52"/>
    </row>
    <row r="931" spans="18:18" x14ac:dyDescent="0.2">
      <c r="R931" s="52"/>
    </row>
    <row r="932" spans="18:18" x14ac:dyDescent="0.2">
      <c r="R932" s="52"/>
    </row>
    <row r="933" spans="18:18" x14ac:dyDescent="0.2">
      <c r="R933" s="52"/>
    </row>
    <row r="934" spans="18:18" x14ac:dyDescent="0.2">
      <c r="R934" s="52"/>
    </row>
    <row r="935" spans="18:18" x14ac:dyDescent="0.2">
      <c r="R935" s="52"/>
    </row>
    <row r="936" spans="18:18" x14ac:dyDescent="0.2">
      <c r="R936" s="52"/>
    </row>
    <row r="937" spans="18:18" x14ac:dyDescent="0.2">
      <c r="R937" s="52"/>
    </row>
    <row r="938" spans="18:18" x14ac:dyDescent="0.2">
      <c r="R938" s="52"/>
    </row>
    <row r="939" spans="18:18" x14ac:dyDescent="0.2">
      <c r="R939" s="52"/>
    </row>
    <row r="940" spans="18:18" x14ac:dyDescent="0.2">
      <c r="R940" s="52"/>
    </row>
    <row r="941" spans="18:18" x14ac:dyDescent="0.2">
      <c r="R941" s="52"/>
    </row>
    <row r="942" spans="18:18" x14ac:dyDescent="0.2">
      <c r="R942" s="52"/>
    </row>
    <row r="943" spans="18:18" x14ac:dyDescent="0.2">
      <c r="R943" s="52"/>
    </row>
    <row r="944" spans="18:18" x14ac:dyDescent="0.2">
      <c r="R944" s="52"/>
    </row>
    <row r="945" spans="18:18" x14ac:dyDescent="0.2">
      <c r="R945" s="52"/>
    </row>
    <row r="946" spans="18:18" x14ac:dyDescent="0.2">
      <c r="R946" s="52"/>
    </row>
    <row r="947" spans="18:18" x14ac:dyDescent="0.2">
      <c r="R947" s="52"/>
    </row>
    <row r="948" spans="18:18" x14ac:dyDescent="0.2">
      <c r="R948" s="52"/>
    </row>
    <row r="949" spans="18:18" x14ac:dyDescent="0.2">
      <c r="R949" s="52"/>
    </row>
    <row r="950" spans="18:18" x14ac:dyDescent="0.2">
      <c r="R950" s="52"/>
    </row>
    <row r="951" spans="18:18" x14ac:dyDescent="0.2">
      <c r="R951" s="52"/>
    </row>
    <row r="952" spans="18:18" x14ac:dyDescent="0.2">
      <c r="R952" s="52"/>
    </row>
    <row r="953" spans="18:18" x14ac:dyDescent="0.2">
      <c r="R953" s="52"/>
    </row>
    <row r="954" spans="18:18" x14ac:dyDescent="0.2">
      <c r="R954" s="52"/>
    </row>
    <row r="955" spans="18:18" x14ac:dyDescent="0.2">
      <c r="R955" s="52"/>
    </row>
    <row r="956" spans="18:18" x14ac:dyDescent="0.2">
      <c r="R956" s="52"/>
    </row>
    <row r="957" spans="18:18" x14ac:dyDescent="0.2">
      <c r="R957" s="52"/>
    </row>
    <row r="958" spans="18:18" x14ac:dyDescent="0.2">
      <c r="R958" s="52"/>
    </row>
    <row r="959" spans="18:18" x14ac:dyDescent="0.2">
      <c r="R959" s="52"/>
    </row>
    <row r="960" spans="18:18" x14ac:dyDescent="0.2">
      <c r="R960" s="52"/>
    </row>
    <row r="961" spans="18:18" x14ac:dyDescent="0.2">
      <c r="R961" s="52"/>
    </row>
    <row r="962" spans="18:18" x14ac:dyDescent="0.2">
      <c r="R962" s="52"/>
    </row>
    <row r="963" spans="18:18" x14ac:dyDescent="0.2">
      <c r="R963" s="52"/>
    </row>
    <row r="964" spans="18:18" x14ac:dyDescent="0.2">
      <c r="R964" s="52"/>
    </row>
    <row r="965" spans="18:18" x14ac:dyDescent="0.2">
      <c r="R965" s="52"/>
    </row>
    <row r="966" spans="18:18" x14ac:dyDescent="0.2">
      <c r="R966" s="52"/>
    </row>
    <row r="967" spans="18:18" x14ac:dyDescent="0.2">
      <c r="R967" s="52"/>
    </row>
    <row r="968" spans="18:18" x14ac:dyDescent="0.2">
      <c r="R968" s="52"/>
    </row>
    <row r="969" spans="18:18" x14ac:dyDescent="0.2">
      <c r="R969" s="52"/>
    </row>
    <row r="970" spans="18:18" x14ac:dyDescent="0.2">
      <c r="R970" s="52"/>
    </row>
    <row r="971" spans="18:18" x14ac:dyDescent="0.2">
      <c r="R971" s="52"/>
    </row>
    <row r="972" spans="18:18" x14ac:dyDescent="0.2">
      <c r="R972" s="52"/>
    </row>
    <row r="973" spans="18:18" x14ac:dyDescent="0.2">
      <c r="R973" s="52"/>
    </row>
    <row r="974" spans="18:18" x14ac:dyDescent="0.2">
      <c r="R974" s="52"/>
    </row>
    <row r="975" spans="18:18" x14ac:dyDescent="0.2">
      <c r="R975" s="52"/>
    </row>
    <row r="976" spans="18:18" x14ac:dyDescent="0.2">
      <c r="R976" s="52"/>
    </row>
    <row r="977" spans="18:18" x14ac:dyDescent="0.2">
      <c r="R977" s="52"/>
    </row>
    <row r="978" spans="18:18" x14ac:dyDescent="0.2">
      <c r="R978" s="52"/>
    </row>
    <row r="979" spans="18:18" x14ac:dyDescent="0.2">
      <c r="R979" s="52"/>
    </row>
    <row r="980" spans="18:18" x14ac:dyDescent="0.2">
      <c r="R980" s="52"/>
    </row>
    <row r="981" spans="18:18" x14ac:dyDescent="0.2">
      <c r="R981" s="52"/>
    </row>
    <row r="982" spans="18:18" x14ac:dyDescent="0.2">
      <c r="R982" s="52"/>
    </row>
    <row r="983" spans="18:18" x14ac:dyDescent="0.2">
      <c r="R983" s="52"/>
    </row>
    <row r="984" spans="18:18" x14ac:dyDescent="0.2">
      <c r="R984" s="52"/>
    </row>
    <row r="985" spans="18:18" x14ac:dyDescent="0.2">
      <c r="R985" s="52"/>
    </row>
    <row r="986" spans="18:18" x14ac:dyDescent="0.2">
      <c r="R986" s="52"/>
    </row>
    <row r="987" spans="18:18" x14ac:dyDescent="0.2">
      <c r="R987" s="52"/>
    </row>
    <row r="988" spans="18:18" x14ac:dyDescent="0.2">
      <c r="R988" s="52"/>
    </row>
    <row r="989" spans="18:18" x14ac:dyDescent="0.2">
      <c r="R989" s="52"/>
    </row>
    <row r="990" spans="18:18" x14ac:dyDescent="0.2">
      <c r="R990" s="52"/>
    </row>
    <row r="991" spans="18:18" x14ac:dyDescent="0.2">
      <c r="R991" s="52"/>
    </row>
    <row r="992" spans="18:18" x14ac:dyDescent="0.2">
      <c r="R992" s="52"/>
    </row>
    <row r="993" spans="18:18" x14ac:dyDescent="0.2">
      <c r="R993" s="52"/>
    </row>
    <row r="994" spans="18:18" x14ac:dyDescent="0.2">
      <c r="R994" s="52"/>
    </row>
    <row r="995" spans="18:18" x14ac:dyDescent="0.2">
      <c r="R995" s="52"/>
    </row>
    <row r="996" spans="18:18" x14ac:dyDescent="0.2">
      <c r="R996" s="52"/>
    </row>
    <row r="997" spans="18:18" x14ac:dyDescent="0.2">
      <c r="R997" s="52"/>
    </row>
    <row r="998" spans="18:18" x14ac:dyDescent="0.2">
      <c r="R998" s="52"/>
    </row>
    <row r="999" spans="18:18" x14ac:dyDescent="0.2">
      <c r="R999" s="52"/>
    </row>
    <row r="1000" spans="18:18" x14ac:dyDescent="0.2">
      <c r="R1000" s="52"/>
    </row>
    <row r="1001" spans="18:18" x14ac:dyDescent="0.2">
      <c r="R1001" s="52"/>
    </row>
    <row r="1002" spans="18:18" x14ac:dyDescent="0.2">
      <c r="R1002" s="52"/>
    </row>
    <row r="1003" spans="18:18" x14ac:dyDescent="0.2">
      <c r="R1003" s="52"/>
    </row>
    <row r="1004" spans="18:18" x14ac:dyDescent="0.2">
      <c r="R1004" s="52"/>
    </row>
    <row r="1005" spans="18:18" x14ac:dyDescent="0.2">
      <c r="R1005" s="52"/>
    </row>
    <row r="1006" spans="18:18" x14ac:dyDescent="0.2">
      <c r="R1006" s="52"/>
    </row>
    <row r="1007" spans="18:18" x14ac:dyDescent="0.2">
      <c r="R1007" s="52"/>
    </row>
    <row r="1008" spans="18:18" x14ac:dyDescent="0.2">
      <c r="R1008" s="52"/>
    </row>
    <row r="1009" spans="18:18" x14ac:dyDescent="0.2">
      <c r="R1009" s="52"/>
    </row>
    <row r="1010" spans="18:18" x14ac:dyDescent="0.2">
      <c r="R1010" s="52"/>
    </row>
    <row r="1011" spans="18:18" x14ac:dyDescent="0.2">
      <c r="R1011" s="52"/>
    </row>
    <row r="1012" spans="18:18" x14ac:dyDescent="0.2">
      <c r="R1012" s="52"/>
    </row>
    <row r="1013" spans="18:18" x14ac:dyDescent="0.2">
      <c r="R1013" s="52"/>
    </row>
    <row r="1014" spans="18:18" x14ac:dyDescent="0.2">
      <c r="R1014" s="52"/>
    </row>
    <row r="1015" spans="18:18" x14ac:dyDescent="0.2">
      <c r="R1015" s="52"/>
    </row>
    <row r="1016" spans="18:18" x14ac:dyDescent="0.2">
      <c r="R1016" s="52"/>
    </row>
    <row r="1017" spans="18:18" x14ac:dyDescent="0.2">
      <c r="R1017" s="52"/>
    </row>
    <row r="1018" spans="18:18" x14ac:dyDescent="0.2">
      <c r="R1018" s="52"/>
    </row>
    <row r="1019" spans="18:18" x14ac:dyDescent="0.2">
      <c r="R1019" s="52"/>
    </row>
    <row r="1020" spans="18:18" x14ac:dyDescent="0.2">
      <c r="R1020" s="52"/>
    </row>
    <row r="1021" spans="18:18" x14ac:dyDescent="0.2">
      <c r="R1021" s="52"/>
    </row>
    <row r="1022" spans="18:18" x14ac:dyDescent="0.2">
      <c r="R1022" s="52"/>
    </row>
    <row r="1023" spans="18:18" x14ac:dyDescent="0.2">
      <c r="R1023" s="52"/>
    </row>
    <row r="1024" spans="18:18" x14ac:dyDescent="0.2">
      <c r="R1024" s="52"/>
    </row>
    <row r="1025" spans="18:18" x14ac:dyDescent="0.2">
      <c r="R1025" s="52"/>
    </row>
    <row r="1026" spans="18:18" x14ac:dyDescent="0.2">
      <c r="R1026" s="52"/>
    </row>
    <row r="1027" spans="18:18" x14ac:dyDescent="0.2">
      <c r="R1027" s="52"/>
    </row>
    <row r="1028" spans="18:18" x14ac:dyDescent="0.2">
      <c r="R1028" s="52"/>
    </row>
    <row r="1029" spans="18:18" x14ac:dyDescent="0.2">
      <c r="R1029" s="52"/>
    </row>
    <row r="1030" spans="18:18" x14ac:dyDescent="0.2">
      <c r="R1030" s="52"/>
    </row>
    <row r="1031" spans="18:18" x14ac:dyDescent="0.2">
      <c r="R1031" s="52"/>
    </row>
    <row r="1032" spans="18:18" x14ac:dyDescent="0.2">
      <c r="R1032" s="52"/>
    </row>
    <row r="1033" spans="18:18" x14ac:dyDescent="0.2">
      <c r="R1033" s="52"/>
    </row>
    <row r="1034" spans="18:18" x14ac:dyDescent="0.2">
      <c r="R1034" s="52"/>
    </row>
    <row r="1035" spans="18:18" x14ac:dyDescent="0.2">
      <c r="R1035" s="52"/>
    </row>
    <row r="1036" spans="18:18" x14ac:dyDescent="0.2">
      <c r="R1036" s="52"/>
    </row>
    <row r="1037" spans="18:18" x14ac:dyDescent="0.2">
      <c r="R1037" s="52"/>
    </row>
    <row r="1038" spans="18:18" x14ac:dyDescent="0.2">
      <c r="R1038" s="52"/>
    </row>
    <row r="1039" spans="18:18" x14ac:dyDescent="0.2">
      <c r="R1039" s="52"/>
    </row>
    <row r="1040" spans="18:18" x14ac:dyDescent="0.2">
      <c r="R1040" s="52"/>
    </row>
    <row r="1041" spans="18:18" x14ac:dyDescent="0.2">
      <c r="R1041" s="52"/>
    </row>
    <row r="1042" spans="18:18" x14ac:dyDescent="0.2">
      <c r="R1042" s="52"/>
    </row>
    <row r="1043" spans="18:18" x14ac:dyDescent="0.2">
      <c r="R1043" s="52"/>
    </row>
    <row r="1044" spans="18:18" x14ac:dyDescent="0.2">
      <c r="R1044" s="52"/>
    </row>
    <row r="1045" spans="18:18" x14ac:dyDescent="0.2">
      <c r="R1045" s="52"/>
    </row>
    <row r="1046" spans="18:18" x14ac:dyDescent="0.2">
      <c r="R1046" s="52"/>
    </row>
    <row r="1047" spans="18:18" x14ac:dyDescent="0.2">
      <c r="R1047" s="52"/>
    </row>
    <row r="1048" spans="18:18" x14ac:dyDescent="0.2">
      <c r="R1048" s="52"/>
    </row>
    <row r="1049" spans="18:18" x14ac:dyDescent="0.2">
      <c r="R1049" s="52"/>
    </row>
    <row r="1050" spans="18:18" x14ac:dyDescent="0.2">
      <c r="R1050" s="52"/>
    </row>
    <row r="1051" spans="18:18" x14ac:dyDescent="0.2">
      <c r="R1051" s="52"/>
    </row>
    <row r="1052" spans="18:18" x14ac:dyDescent="0.2">
      <c r="R1052" s="52"/>
    </row>
    <row r="1053" spans="18:18" x14ac:dyDescent="0.2">
      <c r="R1053" s="52"/>
    </row>
    <row r="1054" spans="18:18" x14ac:dyDescent="0.2">
      <c r="R1054" s="52"/>
    </row>
    <row r="1055" spans="18:18" x14ac:dyDescent="0.2">
      <c r="R1055" s="52"/>
    </row>
    <row r="1056" spans="18:18" x14ac:dyDescent="0.2">
      <c r="R1056" s="52"/>
    </row>
    <row r="1057" spans="18:18" x14ac:dyDescent="0.2">
      <c r="R1057" s="52"/>
    </row>
    <row r="1058" spans="18:18" x14ac:dyDescent="0.2">
      <c r="R1058" s="52"/>
    </row>
    <row r="1059" spans="18:18" x14ac:dyDescent="0.2">
      <c r="R1059" s="52"/>
    </row>
    <row r="1060" spans="18:18" x14ac:dyDescent="0.2">
      <c r="R1060" s="52"/>
    </row>
    <row r="1061" spans="18:18" x14ac:dyDescent="0.2">
      <c r="R1061" s="52"/>
    </row>
    <row r="1062" spans="18:18" x14ac:dyDescent="0.2">
      <c r="R1062" s="52"/>
    </row>
    <row r="1063" spans="18:18" x14ac:dyDescent="0.2">
      <c r="R1063" s="52"/>
    </row>
    <row r="1064" spans="18:18" x14ac:dyDescent="0.2">
      <c r="R1064" s="52"/>
    </row>
    <row r="1065" spans="18:18" x14ac:dyDescent="0.2">
      <c r="R1065" s="52"/>
    </row>
    <row r="1066" spans="18:18" x14ac:dyDescent="0.2">
      <c r="R1066" s="52"/>
    </row>
    <row r="1067" spans="18:18" x14ac:dyDescent="0.2">
      <c r="R1067" s="52"/>
    </row>
    <row r="1068" spans="18:18" x14ac:dyDescent="0.2">
      <c r="R1068" s="52"/>
    </row>
    <row r="1069" spans="18:18" x14ac:dyDescent="0.2">
      <c r="R1069" s="52"/>
    </row>
    <row r="1070" spans="18:18" x14ac:dyDescent="0.2">
      <c r="R1070" s="52"/>
    </row>
    <row r="1071" spans="18:18" x14ac:dyDescent="0.2">
      <c r="R1071" s="52"/>
    </row>
    <row r="1072" spans="18:18" x14ac:dyDescent="0.2">
      <c r="R1072" s="52"/>
    </row>
    <row r="1073" spans="18:18" x14ac:dyDescent="0.2">
      <c r="R1073" s="52"/>
    </row>
    <row r="1074" spans="18:18" x14ac:dyDescent="0.2">
      <c r="R1074" s="52"/>
    </row>
    <row r="1075" spans="18:18" x14ac:dyDescent="0.2">
      <c r="R1075" s="52"/>
    </row>
    <row r="1076" spans="18:18" x14ac:dyDescent="0.2">
      <c r="R1076" s="52"/>
    </row>
    <row r="1077" spans="18:18" x14ac:dyDescent="0.2">
      <c r="R1077" s="52"/>
    </row>
    <row r="1078" spans="18:18" x14ac:dyDescent="0.2">
      <c r="R1078" s="52"/>
    </row>
    <row r="1079" spans="18:18" x14ac:dyDescent="0.2">
      <c r="R1079" s="52"/>
    </row>
    <row r="1080" spans="18:18" x14ac:dyDescent="0.2">
      <c r="R1080" s="52"/>
    </row>
    <row r="1081" spans="18:18" x14ac:dyDescent="0.2">
      <c r="R1081" s="52"/>
    </row>
    <row r="1082" spans="18:18" x14ac:dyDescent="0.2">
      <c r="R1082" s="52"/>
    </row>
    <row r="1083" spans="18:18" x14ac:dyDescent="0.2">
      <c r="R1083" s="52"/>
    </row>
    <row r="1084" spans="18:18" x14ac:dyDescent="0.2">
      <c r="R1084" s="52"/>
    </row>
    <row r="1085" spans="18:18" x14ac:dyDescent="0.2">
      <c r="R1085" s="52"/>
    </row>
    <row r="1086" spans="18:18" x14ac:dyDescent="0.2">
      <c r="R1086" s="52"/>
    </row>
    <row r="1087" spans="18:18" x14ac:dyDescent="0.2">
      <c r="R1087" s="52"/>
    </row>
    <row r="1088" spans="18:18" x14ac:dyDescent="0.2">
      <c r="R1088" s="52"/>
    </row>
    <row r="1089" spans="18:18" x14ac:dyDescent="0.2">
      <c r="R1089" s="52"/>
    </row>
    <row r="1090" spans="18:18" x14ac:dyDescent="0.2">
      <c r="R1090" s="52"/>
    </row>
    <row r="1091" spans="18:18" x14ac:dyDescent="0.2">
      <c r="R1091" s="52"/>
    </row>
    <row r="1092" spans="18:18" x14ac:dyDescent="0.2">
      <c r="R1092" s="52"/>
    </row>
    <row r="1093" spans="18:18" x14ac:dyDescent="0.2">
      <c r="R1093" s="52"/>
    </row>
    <row r="1094" spans="18:18" x14ac:dyDescent="0.2">
      <c r="R1094" s="52"/>
    </row>
    <row r="1095" spans="18:18" x14ac:dyDescent="0.2">
      <c r="R1095" s="52"/>
    </row>
    <row r="1096" spans="18:18" x14ac:dyDescent="0.2">
      <c r="R1096" s="52"/>
    </row>
    <row r="1097" spans="18:18" x14ac:dyDescent="0.2">
      <c r="R1097" s="52"/>
    </row>
    <row r="1098" spans="18:18" x14ac:dyDescent="0.2">
      <c r="R1098" s="52"/>
    </row>
    <row r="1099" spans="18:18" x14ac:dyDescent="0.2">
      <c r="R1099" s="52"/>
    </row>
    <row r="1100" spans="18:18" x14ac:dyDescent="0.2">
      <c r="R1100" s="52"/>
    </row>
    <row r="1101" spans="18:18" x14ac:dyDescent="0.2">
      <c r="R1101" s="52"/>
    </row>
    <row r="1102" spans="18:18" x14ac:dyDescent="0.2">
      <c r="R1102" s="52"/>
    </row>
    <row r="1103" spans="18:18" x14ac:dyDescent="0.2">
      <c r="R1103" s="52"/>
    </row>
    <row r="1104" spans="18:18" x14ac:dyDescent="0.2">
      <c r="R1104" s="52"/>
    </row>
    <row r="1105" spans="18:18" x14ac:dyDescent="0.2">
      <c r="R1105" s="52"/>
    </row>
    <row r="1106" spans="18:18" x14ac:dyDescent="0.2">
      <c r="R1106" s="52"/>
    </row>
    <row r="1107" spans="18:18" x14ac:dyDescent="0.2">
      <c r="R1107" s="52"/>
    </row>
    <row r="1108" spans="18:18" x14ac:dyDescent="0.2">
      <c r="R1108" s="52"/>
    </row>
    <row r="1109" spans="18:18" x14ac:dyDescent="0.2">
      <c r="R1109" s="52"/>
    </row>
    <row r="1110" spans="18:18" x14ac:dyDescent="0.2">
      <c r="R1110" s="52"/>
    </row>
    <row r="1111" spans="18:18" x14ac:dyDescent="0.2">
      <c r="R1111" s="52"/>
    </row>
    <row r="1112" spans="18:18" x14ac:dyDescent="0.2">
      <c r="R1112" s="52"/>
    </row>
    <row r="1113" spans="18:18" x14ac:dyDescent="0.2">
      <c r="R1113" s="52"/>
    </row>
    <row r="1114" spans="18:18" x14ac:dyDescent="0.2">
      <c r="R1114" s="52"/>
    </row>
    <row r="1115" spans="18:18" x14ac:dyDescent="0.2">
      <c r="R1115" s="52"/>
    </row>
    <row r="1116" spans="18:18" x14ac:dyDescent="0.2">
      <c r="R1116" s="52"/>
    </row>
    <row r="1117" spans="18:18" x14ac:dyDescent="0.2">
      <c r="R1117" s="52"/>
    </row>
    <row r="1118" spans="18:18" x14ac:dyDescent="0.2">
      <c r="R1118" s="52"/>
    </row>
    <row r="1119" spans="18:18" x14ac:dyDescent="0.2">
      <c r="R1119" s="52"/>
    </row>
    <row r="1120" spans="18:18" x14ac:dyDescent="0.2">
      <c r="R1120" s="52"/>
    </row>
    <row r="1121" spans="18:18" x14ac:dyDescent="0.2">
      <c r="R1121" s="52"/>
    </row>
    <row r="1122" spans="18:18" x14ac:dyDescent="0.2">
      <c r="R1122" s="52"/>
    </row>
    <row r="1123" spans="18:18" x14ac:dyDescent="0.2">
      <c r="R1123" s="52"/>
    </row>
    <row r="1124" spans="18:18" x14ac:dyDescent="0.2">
      <c r="R1124" s="52"/>
    </row>
    <row r="1125" spans="18:18" x14ac:dyDescent="0.2">
      <c r="R1125" s="52"/>
    </row>
    <row r="1126" spans="18:18" x14ac:dyDescent="0.2">
      <c r="R1126" s="52"/>
    </row>
    <row r="1127" spans="18:18" x14ac:dyDescent="0.2">
      <c r="R1127" s="52"/>
    </row>
    <row r="1128" spans="18:18" x14ac:dyDescent="0.2">
      <c r="R1128" s="52"/>
    </row>
    <row r="1129" spans="18:18" x14ac:dyDescent="0.2">
      <c r="R1129" s="52"/>
    </row>
    <row r="1130" spans="18:18" x14ac:dyDescent="0.2">
      <c r="R1130" s="52"/>
    </row>
    <row r="1131" spans="18:18" x14ac:dyDescent="0.2">
      <c r="R1131" s="52"/>
    </row>
    <row r="1132" spans="18:18" x14ac:dyDescent="0.2">
      <c r="R1132" s="52"/>
    </row>
    <row r="1133" spans="18:18" x14ac:dyDescent="0.2">
      <c r="R1133" s="52"/>
    </row>
    <row r="1134" spans="18:18" x14ac:dyDescent="0.2">
      <c r="R1134" s="52"/>
    </row>
    <row r="1135" spans="18:18" x14ac:dyDescent="0.2">
      <c r="R1135" s="52"/>
    </row>
    <row r="1136" spans="18:18" x14ac:dyDescent="0.2">
      <c r="R1136" s="52"/>
    </row>
    <row r="1137" spans="18:18" x14ac:dyDescent="0.2">
      <c r="R1137" s="52"/>
    </row>
    <row r="1138" spans="18:18" x14ac:dyDescent="0.2">
      <c r="R1138" s="52"/>
    </row>
    <row r="1139" spans="18:18" x14ac:dyDescent="0.2">
      <c r="R1139" s="52"/>
    </row>
    <row r="1140" spans="18:18" x14ac:dyDescent="0.2">
      <c r="R1140" s="52"/>
    </row>
    <row r="1141" spans="18:18" x14ac:dyDescent="0.2">
      <c r="R1141" s="52"/>
    </row>
    <row r="1142" spans="18:18" x14ac:dyDescent="0.2">
      <c r="R1142" s="52"/>
    </row>
    <row r="1143" spans="18:18" x14ac:dyDescent="0.2">
      <c r="R1143" s="52"/>
    </row>
    <row r="1144" spans="18:18" x14ac:dyDescent="0.2">
      <c r="R1144" s="52"/>
    </row>
    <row r="1145" spans="18:18" x14ac:dyDescent="0.2">
      <c r="R1145" s="52"/>
    </row>
    <row r="1146" spans="18:18" x14ac:dyDescent="0.2">
      <c r="R1146" s="52"/>
    </row>
    <row r="1147" spans="18:18" x14ac:dyDescent="0.2">
      <c r="R1147" s="52"/>
    </row>
    <row r="1148" spans="18:18" x14ac:dyDescent="0.2">
      <c r="R1148" s="52"/>
    </row>
    <row r="1149" spans="18:18" x14ac:dyDescent="0.2">
      <c r="R1149" s="52"/>
    </row>
    <row r="1150" spans="18:18" x14ac:dyDescent="0.2">
      <c r="R1150" s="52"/>
    </row>
    <row r="1151" spans="18:18" x14ac:dyDescent="0.2">
      <c r="R1151" s="52"/>
    </row>
    <row r="1152" spans="18:18" x14ac:dyDescent="0.2">
      <c r="R1152" s="52"/>
    </row>
    <row r="1153" spans="18:18" x14ac:dyDescent="0.2">
      <c r="R1153" s="52"/>
    </row>
    <row r="1154" spans="18:18" x14ac:dyDescent="0.2">
      <c r="R1154" s="52"/>
    </row>
    <row r="1155" spans="18:18" x14ac:dyDescent="0.2">
      <c r="R1155" s="52"/>
    </row>
    <row r="1156" spans="18:18" x14ac:dyDescent="0.2">
      <c r="R1156" s="52"/>
    </row>
    <row r="1157" spans="18:18" x14ac:dyDescent="0.2">
      <c r="R1157" s="52"/>
    </row>
    <row r="1158" spans="18:18" x14ac:dyDescent="0.2">
      <c r="R1158" s="52"/>
    </row>
    <row r="1159" spans="18:18" x14ac:dyDescent="0.2">
      <c r="R1159" s="52"/>
    </row>
    <row r="1160" spans="18:18" x14ac:dyDescent="0.2">
      <c r="R1160" s="52"/>
    </row>
    <row r="1161" spans="18:18" x14ac:dyDescent="0.2">
      <c r="R1161" s="52"/>
    </row>
    <row r="1162" spans="18:18" x14ac:dyDescent="0.2">
      <c r="R1162" s="52"/>
    </row>
    <row r="1163" spans="18:18" x14ac:dyDescent="0.2">
      <c r="R1163" s="52"/>
    </row>
    <row r="1164" spans="18:18" x14ac:dyDescent="0.2">
      <c r="R1164" s="52"/>
    </row>
    <row r="1165" spans="18:18" x14ac:dyDescent="0.2">
      <c r="R1165" s="52"/>
    </row>
    <row r="1166" spans="18:18" x14ac:dyDescent="0.2">
      <c r="R1166" s="52"/>
    </row>
    <row r="1167" spans="18:18" x14ac:dyDescent="0.2">
      <c r="R1167" s="52"/>
    </row>
    <row r="1168" spans="18:18" x14ac:dyDescent="0.2">
      <c r="R1168" s="52"/>
    </row>
    <row r="1169" spans="18:18" x14ac:dyDescent="0.2">
      <c r="R1169" s="52"/>
    </row>
    <row r="1170" spans="18:18" x14ac:dyDescent="0.2">
      <c r="R1170" s="52"/>
    </row>
    <row r="1171" spans="18:18" x14ac:dyDescent="0.2">
      <c r="R1171" s="52"/>
    </row>
    <row r="1172" spans="18:18" x14ac:dyDescent="0.2">
      <c r="R1172" s="52"/>
    </row>
    <row r="1173" spans="18:18" x14ac:dyDescent="0.2">
      <c r="R1173" s="52"/>
    </row>
    <row r="1174" spans="18:18" x14ac:dyDescent="0.2">
      <c r="R1174" s="52"/>
    </row>
    <row r="1175" spans="18:18" x14ac:dyDescent="0.2">
      <c r="R1175" s="52"/>
    </row>
    <row r="1176" spans="18:18" x14ac:dyDescent="0.2">
      <c r="R1176" s="52"/>
    </row>
    <row r="1177" spans="18:18" x14ac:dyDescent="0.2">
      <c r="R1177" s="52"/>
    </row>
    <row r="1178" spans="18:18" x14ac:dyDescent="0.2">
      <c r="R1178" s="52"/>
    </row>
    <row r="1179" spans="18:18" x14ac:dyDescent="0.2">
      <c r="R1179" s="52"/>
    </row>
    <row r="1180" spans="18:18" x14ac:dyDescent="0.2">
      <c r="R1180" s="52"/>
    </row>
    <row r="1181" spans="18:18" x14ac:dyDescent="0.2">
      <c r="R1181" s="52"/>
    </row>
    <row r="1182" spans="18:18" x14ac:dyDescent="0.2">
      <c r="R1182" s="52"/>
    </row>
    <row r="1183" spans="18:18" x14ac:dyDescent="0.2">
      <c r="R1183" s="52"/>
    </row>
    <row r="1184" spans="18:18" x14ac:dyDescent="0.2">
      <c r="R1184" s="52"/>
    </row>
    <row r="1185" spans="18:18" x14ac:dyDescent="0.2">
      <c r="R1185" s="52"/>
    </row>
    <row r="1186" spans="18:18" x14ac:dyDescent="0.2">
      <c r="R1186" s="52"/>
    </row>
    <row r="1187" spans="18:18" x14ac:dyDescent="0.2">
      <c r="R1187" s="52"/>
    </row>
    <row r="1188" spans="18:18" x14ac:dyDescent="0.2">
      <c r="R1188" s="52"/>
    </row>
    <row r="1189" spans="18:18" x14ac:dyDescent="0.2">
      <c r="R1189" s="52"/>
    </row>
    <row r="1190" spans="18:18" x14ac:dyDescent="0.2">
      <c r="R1190" s="52"/>
    </row>
    <row r="1191" spans="18:18" x14ac:dyDescent="0.2">
      <c r="R1191" s="52"/>
    </row>
    <row r="1192" spans="18:18" x14ac:dyDescent="0.2">
      <c r="R1192" s="52"/>
    </row>
    <row r="1193" spans="18:18" x14ac:dyDescent="0.2">
      <c r="R1193" s="52"/>
    </row>
    <row r="1194" spans="18:18" x14ac:dyDescent="0.2">
      <c r="R1194" s="52"/>
    </row>
    <row r="1195" spans="18:18" x14ac:dyDescent="0.2">
      <c r="R1195" s="52"/>
    </row>
    <row r="1196" spans="18:18" x14ac:dyDescent="0.2">
      <c r="R1196" s="52"/>
    </row>
    <row r="1197" spans="18:18" x14ac:dyDescent="0.2">
      <c r="R1197" s="52"/>
    </row>
    <row r="1198" spans="18:18" x14ac:dyDescent="0.2">
      <c r="R1198" s="52"/>
    </row>
    <row r="1199" spans="18:18" x14ac:dyDescent="0.2">
      <c r="R1199" s="52"/>
    </row>
    <row r="1200" spans="18:18" x14ac:dyDescent="0.2">
      <c r="R1200" s="52"/>
    </row>
    <row r="1201" spans="18:18" x14ac:dyDescent="0.2">
      <c r="R1201" s="52"/>
    </row>
    <row r="1202" spans="18:18" x14ac:dyDescent="0.2">
      <c r="R1202" s="52"/>
    </row>
    <row r="1203" spans="18:18" x14ac:dyDescent="0.2">
      <c r="R1203" s="52"/>
    </row>
    <row r="1204" spans="18:18" x14ac:dyDescent="0.2">
      <c r="R1204" s="52"/>
    </row>
    <row r="1205" spans="18:18" x14ac:dyDescent="0.2">
      <c r="R1205" s="52"/>
    </row>
    <row r="1206" spans="18:18" x14ac:dyDescent="0.2">
      <c r="R1206" s="52"/>
    </row>
    <row r="1207" spans="18:18" x14ac:dyDescent="0.2">
      <c r="R1207" s="52"/>
    </row>
    <row r="1208" spans="18:18" x14ac:dyDescent="0.2">
      <c r="R1208" s="52"/>
    </row>
    <row r="1209" spans="18:18" x14ac:dyDescent="0.2">
      <c r="R1209" s="52"/>
    </row>
    <row r="1210" spans="18:18" x14ac:dyDescent="0.2">
      <c r="R1210" s="52"/>
    </row>
    <row r="1211" spans="18:18" x14ac:dyDescent="0.2">
      <c r="R1211" s="52"/>
    </row>
    <row r="1212" spans="18:18" x14ac:dyDescent="0.2">
      <c r="R1212" s="52"/>
    </row>
    <row r="1213" spans="18:18" x14ac:dyDescent="0.2">
      <c r="R1213" s="52"/>
    </row>
    <row r="1214" spans="18:18" x14ac:dyDescent="0.2">
      <c r="R1214" s="52"/>
    </row>
    <row r="1215" spans="18:18" x14ac:dyDescent="0.2">
      <c r="R1215" s="52"/>
    </row>
    <row r="1216" spans="18:18" x14ac:dyDescent="0.2">
      <c r="R1216" s="52"/>
    </row>
    <row r="1217" spans="18:18" x14ac:dyDescent="0.2">
      <c r="R1217" s="52"/>
    </row>
    <row r="1218" spans="18:18" x14ac:dyDescent="0.2">
      <c r="R1218" s="52"/>
    </row>
    <row r="1219" spans="18:18" x14ac:dyDescent="0.2">
      <c r="R1219" s="52"/>
    </row>
    <row r="1220" spans="18:18" x14ac:dyDescent="0.2">
      <c r="R1220" s="52"/>
    </row>
    <row r="1221" spans="18:18" x14ac:dyDescent="0.2">
      <c r="R1221" s="52"/>
    </row>
    <row r="1222" spans="18:18" x14ac:dyDescent="0.2">
      <c r="R1222" s="52"/>
    </row>
    <row r="1223" spans="18:18" x14ac:dyDescent="0.2">
      <c r="R1223" s="52"/>
    </row>
    <row r="1224" spans="18:18" x14ac:dyDescent="0.2">
      <c r="R1224" s="52"/>
    </row>
    <row r="1225" spans="18:18" x14ac:dyDescent="0.2">
      <c r="R1225" s="52"/>
    </row>
    <row r="1226" spans="18:18" x14ac:dyDescent="0.2">
      <c r="R1226" s="52"/>
    </row>
    <row r="1227" spans="18:18" x14ac:dyDescent="0.2">
      <c r="R1227" s="52"/>
    </row>
    <row r="1228" spans="18:18" x14ac:dyDescent="0.2">
      <c r="R1228" s="52"/>
    </row>
    <row r="1229" spans="18:18" x14ac:dyDescent="0.2">
      <c r="R1229" s="52"/>
    </row>
    <row r="1230" spans="18:18" x14ac:dyDescent="0.2">
      <c r="R1230" s="52"/>
    </row>
    <row r="1231" spans="18:18" x14ac:dyDescent="0.2">
      <c r="R1231" s="52"/>
    </row>
    <row r="1232" spans="18:18" x14ac:dyDescent="0.2">
      <c r="R1232" s="52"/>
    </row>
    <row r="1233" spans="18:18" x14ac:dyDescent="0.2">
      <c r="R1233" s="52"/>
    </row>
    <row r="1234" spans="18:18" x14ac:dyDescent="0.2">
      <c r="R1234" s="52"/>
    </row>
    <row r="1235" spans="18:18" x14ac:dyDescent="0.2">
      <c r="R1235" s="52"/>
    </row>
    <row r="1236" spans="18:18" x14ac:dyDescent="0.2">
      <c r="R1236" s="52"/>
    </row>
    <row r="1237" spans="18:18" x14ac:dyDescent="0.2">
      <c r="R1237" s="52"/>
    </row>
    <row r="1238" spans="18:18" x14ac:dyDescent="0.2">
      <c r="R1238" s="52"/>
    </row>
    <row r="1239" spans="18:18" x14ac:dyDescent="0.2">
      <c r="R1239" s="52"/>
    </row>
    <row r="1240" spans="18:18" x14ac:dyDescent="0.2">
      <c r="R1240" s="52"/>
    </row>
    <row r="1241" spans="18:18" x14ac:dyDescent="0.2">
      <c r="R1241" s="52"/>
    </row>
    <row r="1242" spans="18:18" x14ac:dyDescent="0.2">
      <c r="R1242" s="52"/>
    </row>
    <row r="1243" spans="18:18" x14ac:dyDescent="0.2">
      <c r="R1243" s="52"/>
    </row>
    <row r="1244" spans="18:18" x14ac:dyDescent="0.2">
      <c r="R1244" s="52"/>
    </row>
    <row r="1245" spans="18:18" x14ac:dyDescent="0.2">
      <c r="R1245" s="52"/>
    </row>
    <row r="1246" spans="18:18" x14ac:dyDescent="0.2">
      <c r="R1246" s="52"/>
    </row>
    <row r="1247" spans="18:18" x14ac:dyDescent="0.2">
      <c r="R1247" s="52"/>
    </row>
    <row r="1248" spans="18:18" x14ac:dyDescent="0.2">
      <c r="R1248" s="52"/>
    </row>
    <row r="1249" spans="18:18" x14ac:dyDescent="0.2">
      <c r="R1249" s="52"/>
    </row>
    <row r="1250" spans="18:18" x14ac:dyDescent="0.2">
      <c r="R1250" s="52"/>
    </row>
    <row r="1251" spans="18:18" x14ac:dyDescent="0.2">
      <c r="R1251" s="52"/>
    </row>
    <row r="1252" spans="18:18" x14ac:dyDescent="0.2">
      <c r="R1252" s="52"/>
    </row>
    <row r="1253" spans="18:18" x14ac:dyDescent="0.2">
      <c r="R1253" s="52"/>
    </row>
    <row r="1254" spans="18:18" x14ac:dyDescent="0.2">
      <c r="R1254" s="52"/>
    </row>
    <row r="1255" spans="18:18" x14ac:dyDescent="0.2">
      <c r="R1255" s="52"/>
    </row>
    <row r="1256" spans="18:18" x14ac:dyDescent="0.2">
      <c r="R1256" s="52"/>
    </row>
    <row r="1257" spans="18:18" x14ac:dyDescent="0.2">
      <c r="R1257" s="52"/>
    </row>
    <row r="1258" spans="18:18" x14ac:dyDescent="0.2">
      <c r="R1258" s="52"/>
    </row>
    <row r="1259" spans="18:18" x14ac:dyDescent="0.2">
      <c r="R1259" s="52"/>
    </row>
    <row r="1260" spans="18:18" x14ac:dyDescent="0.2">
      <c r="R1260" s="52"/>
    </row>
    <row r="1261" spans="18:18" x14ac:dyDescent="0.2">
      <c r="R1261" s="52"/>
    </row>
    <row r="1262" spans="18:18" x14ac:dyDescent="0.2">
      <c r="R1262" s="52"/>
    </row>
    <row r="1263" spans="18:18" x14ac:dyDescent="0.2">
      <c r="R1263" s="52"/>
    </row>
    <row r="1264" spans="18:18" x14ac:dyDescent="0.2">
      <c r="R1264" s="52"/>
    </row>
    <row r="1265" spans="18:18" x14ac:dyDescent="0.2">
      <c r="R1265" s="52"/>
    </row>
    <row r="1266" spans="18:18" x14ac:dyDescent="0.2">
      <c r="R1266" s="52"/>
    </row>
    <row r="1267" spans="18:18" x14ac:dyDescent="0.2">
      <c r="R1267" s="52"/>
    </row>
    <row r="1268" spans="18:18" x14ac:dyDescent="0.2">
      <c r="R1268" s="52"/>
    </row>
    <row r="1269" spans="18:18" x14ac:dyDescent="0.2">
      <c r="R1269" s="52"/>
    </row>
    <row r="1270" spans="18:18" x14ac:dyDescent="0.2">
      <c r="R1270" s="52"/>
    </row>
    <row r="1271" spans="18:18" x14ac:dyDescent="0.2">
      <c r="R1271" s="52"/>
    </row>
    <row r="1272" spans="18:18" x14ac:dyDescent="0.2">
      <c r="R1272" s="52"/>
    </row>
    <row r="1273" spans="18:18" x14ac:dyDescent="0.2">
      <c r="R1273" s="52"/>
    </row>
    <row r="1274" spans="18:18" x14ac:dyDescent="0.2">
      <c r="R1274" s="52"/>
    </row>
    <row r="1275" spans="18:18" x14ac:dyDescent="0.2">
      <c r="R1275" s="52"/>
    </row>
    <row r="1276" spans="18:18" x14ac:dyDescent="0.2">
      <c r="R1276" s="52"/>
    </row>
    <row r="1277" spans="18:18" x14ac:dyDescent="0.2">
      <c r="R1277" s="52"/>
    </row>
    <row r="1278" spans="18:18" x14ac:dyDescent="0.2">
      <c r="R1278" s="52"/>
    </row>
    <row r="1279" spans="18:18" x14ac:dyDescent="0.2">
      <c r="R1279" s="52"/>
    </row>
    <row r="1280" spans="18:18" x14ac:dyDescent="0.2">
      <c r="R1280" s="52"/>
    </row>
    <row r="1281" spans="18:18" x14ac:dyDescent="0.2">
      <c r="R1281" s="52"/>
    </row>
    <row r="1282" spans="18:18" x14ac:dyDescent="0.2">
      <c r="R1282" s="52"/>
    </row>
    <row r="1283" spans="18:18" x14ac:dyDescent="0.2">
      <c r="R1283" s="52"/>
    </row>
    <row r="1284" spans="18:18" x14ac:dyDescent="0.2">
      <c r="R1284" s="52"/>
    </row>
    <row r="1285" spans="18:18" x14ac:dyDescent="0.2">
      <c r="R1285" s="52"/>
    </row>
    <row r="1286" spans="18:18" x14ac:dyDescent="0.2">
      <c r="R1286" s="52"/>
    </row>
    <row r="1287" spans="18:18" x14ac:dyDescent="0.2">
      <c r="R1287" s="52"/>
    </row>
    <row r="1288" spans="18:18" x14ac:dyDescent="0.2">
      <c r="R1288" s="52"/>
    </row>
    <row r="1289" spans="18:18" x14ac:dyDescent="0.2">
      <c r="R1289" s="52"/>
    </row>
    <row r="1290" spans="18:18" x14ac:dyDescent="0.2">
      <c r="R1290" s="52"/>
    </row>
    <row r="1291" spans="18:18" x14ac:dyDescent="0.2">
      <c r="R1291" s="52"/>
    </row>
    <row r="1292" spans="18:18" x14ac:dyDescent="0.2">
      <c r="R1292" s="52"/>
    </row>
    <row r="1293" spans="18:18" x14ac:dyDescent="0.2">
      <c r="R1293" s="52"/>
    </row>
    <row r="1294" spans="18:18" x14ac:dyDescent="0.2">
      <c r="R1294" s="52"/>
    </row>
    <row r="1295" spans="18:18" x14ac:dyDescent="0.2">
      <c r="R1295" s="52"/>
    </row>
    <row r="1296" spans="18:18" x14ac:dyDescent="0.2">
      <c r="R1296" s="52"/>
    </row>
    <row r="1297" spans="18:18" x14ac:dyDescent="0.2">
      <c r="R1297" s="52"/>
    </row>
    <row r="1298" spans="18:18" x14ac:dyDescent="0.2">
      <c r="R1298" s="52"/>
    </row>
    <row r="1299" spans="18:18" x14ac:dyDescent="0.2">
      <c r="R1299" s="52"/>
    </row>
    <row r="1300" spans="18:18" x14ac:dyDescent="0.2">
      <c r="R1300" s="52"/>
    </row>
    <row r="1301" spans="18:18" x14ac:dyDescent="0.2">
      <c r="R1301" s="52"/>
    </row>
    <row r="1302" spans="18:18" x14ac:dyDescent="0.2">
      <c r="R1302" s="52"/>
    </row>
    <row r="1303" spans="18:18" x14ac:dyDescent="0.2">
      <c r="R1303" s="52"/>
    </row>
    <row r="1304" spans="18:18" x14ac:dyDescent="0.2">
      <c r="R1304" s="52"/>
    </row>
    <row r="1305" spans="18:18" x14ac:dyDescent="0.2">
      <c r="R1305" s="52"/>
    </row>
    <row r="1306" spans="18:18" x14ac:dyDescent="0.2">
      <c r="R1306" s="52"/>
    </row>
    <row r="1307" spans="18:18" x14ac:dyDescent="0.2">
      <c r="R1307" s="52"/>
    </row>
    <row r="1308" spans="18:18" x14ac:dyDescent="0.2">
      <c r="R1308" s="52"/>
    </row>
    <row r="1309" spans="18:18" x14ac:dyDescent="0.2">
      <c r="R1309" s="52"/>
    </row>
    <row r="1310" spans="18:18" x14ac:dyDescent="0.2">
      <c r="R1310" s="52"/>
    </row>
    <row r="1311" spans="18:18" x14ac:dyDescent="0.2">
      <c r="R1311" s="52"/>
    </row>
    <row r="1312" spans="18:18" x14ac:dyDescent="0.2">
      <c r="R1312" s="52"/>
    </row>
    <row r="1313" spans="18:18" x14ac:dyDescent="0.2">
      <c r="R1313" s="52"/>
    </row>
    <row r="1314" spans="18:18" x14ac:dyDescent="0.2">
      <c r="R1314" s="52"/>
    </row>
    <row r="1315" spans="18:18" x14ac:dyDescent="0.2">
      <c r="R1315" s="52"/>
    </row>
    <row r="1316" spans="18:18" x14ac:dyDescent="0.2">
      <c r="R1316" s="52"/>
    </row>
    <row r="1317" spans="18:18" x14ac:dyDescent="0.2">
      <c r="R1317" s="52"/>
    </row>
    <row r="1318" spans="18:18" x14ac:dyDescent="0.2">
      <c r="R1318" s="52"/>
    </row>
    <row r="1319" spans="18:18" x14ac:dyDescent="0.2">
      <c r="R1319" s="52"/>
    </row>
    <row r="1320" spans="18:18" x14ac:dyDescent="0.2">
      <c r="R1320" s="52"/>
    </row>
    <row r="1321" spans="18:18" x14ac:dyDescent="0.2">
      <c r="R1321" s="52"/>
    </row>
    <row r="1322" spans="18:18" x14ac:dyDescent="0.2">
      <c r="R1322" s="52"/>
    </row>
    <row r="1323" spans="18:18" x14ac:dyDescent="0.2">
      <c r="R1323" s="52"/>
    </row>
    <row r="1324" spans="18:18" x14ac:dyDescent="0.2">
      <c r="R1324" s="52"/>
    </row>
    <row r="1325" spans="18:18" x14ac:dyDescent="0.2">
      <c r="R1325" s="52"/>
    </row>
    <row r="1326" spans="18:18" x14ac:dyDescent="0.2">
      <c r="R1326" s="52"/>
    </row>
    <row r="1327" spans="18:18" x14ac:dyDescent="0.2">
      <c r="R1327" s="52"/>
    </row>
    <row r="1328" spans="18:18" x14ac:dyDescent="0.2">
      <c r="R1328" s="52"/>
    </row>
    <row r="1329" spans="18:18" x14ac:dyDescent="0.2">
      <c r="R1329" s="52"/>
    </row>
    <row r="1330" spans="18:18" x14ac:dyDescent="0.2">
      <c r="R1330" s="52"/>
    </row>
    <row r="1331" spans="18:18" x14ac:dyDescent="0.2">
      <c r="R1331" s="52"/>
    </row>
    <row r="1332" spans="18:18" x14ac:dyDescent="0.2">
      <c r="R1332" s="52"/>
    </row>
    <row r="1333" spans="18:18" x14ac:dyDescent="0.2">
      <c r="R1333" s="52"/>
    </row>
    <row r="1334" spans="18:18" x14ac:dyDescent="0.2">
      <c r="R1334" s="52"/>
    </row>
    <row r="1335" spans="18:18" x14ac:dyDescent="0.2">
      <c r="R1335" s="52"/>
    </row>
    <row r="1336" spans="18:18" x14ac:dyDescent="0.2">
      <c r="R1336" s="52"/>
    </row>
    <row r="1337" spans="18:18" x14ac:dyDescent="0.2">
      <c r="R1337" s="52"/>
    </row>
    <row r="1338" spans="18:18" x14ac:dyDescent="0.2">
      <c r="R1338" s="52"/>
    </row>
    <row r="1339" spans="18:18" x14ac:dyDescent="0.2">
      <c r="R1339" s="52"/>
    </row>
    <row r="1340" spans="18:18" x14ac:dyDescent="0.2">
      <c r="R1340" s="52"/>
    </row>
    <row r="1341" spans="18:18" x14ac:dyDescent="0.2">
      <c r="R1341" s="52"/>
    </row>
    <row r="1342" spans="18:18" x14ac:dyDescent="0.2">
      <c r="R1342" s="52"/>
    </row>
    <row r="1343" spans="18:18" x14ac:dyDescent="0.2">
      <c r="R1343" s="52"/>
    </row>
    <row r="1344" spans="18:18" x14ac:dyDescent="0.2">
      <c r="R1344" s="52"/>
    </row>
    <row r="1345" spans="18:18" x14ac:dyDescent="0.2">
      <c r="R1345" s="52"/>
    </row>
    <row r="1346" spans="18:18" x14ac:dyDescent="0.2">
      <c r="R1346" s="52"/>
    </row>
    <row r="1347" spans="18:18" x14ac:dyDescent="0.2">
      <c r="R1347" s="52"/>
    </row>
    <row r="1348" spans="18:18" x14ac:dyDescent="0.2">
      <c r="R1348" s="52"/>
    </row>
    <row r="1349" spans="18:18" x14ac:dyDescent="0.2">
      <c r="R1349" s="52"/>
    </row>
    <row r="1350" spans="18:18" x14ac:dyDescent="0.2">
      <c r="R1350" s="52"/>
    </row>
    <row r="1351" spans="18:18" x14ac:dyDescent="0.2">
      <c r="R1351" s="52"/>
    </row>
    <row r="1352" spans="18:18" x14ac:dyDescent="0.2">
      <c r="R1352" s="52"/>
    </row>
    <row r="1353" spans="18:18" x14ac:dyDescent="0.2">
      <c r="R1353" s="52"/>
    </row>
    <row r="1354" spans="18:18" x14ac:dyDescent="0.2">
      <c r="R1354" s="52"/>
    </row>
    <row r="1355" spans="18:18" x14ac:dyDescent="0.2">
      <c r="R1355" s="52"/>
    </row>
    <row r="1356" spans="18:18" x14ac:dyDescent="0.2">
      <c r="R1356" s="52"/>
    </row>
    <row r="1357" spans="18:18" x14ac:dyDescent="0.2">
      <c r="R1357" s="52"/>
    </row>
    <row r="1358" spans="18:18" x14ac:dyDescent="0.2">
      <c r="R1358" s="52"/>
    </row>
    <row r="1359" spans="18:18" x14ac:dyDescent="0.2">
      <c r="R1359" s="52"/>
    </row>
    <row r="1360" spans="18:18" x14ac:dyDescent="0.2">
      <c r="R1360" s="52"/>
    </row>
    <row r="1361" spans="18:18" x14ac:dyDescent="0.2">
      <c r="R1361" s="52"/>
    </row>
    <row r="1362" spans="18:18" x14ac:dyDescent="0.2">
      <c r="R1362" s="52"/>
    </row>
    <row r="1363" spans="18:18" x14ac:dyDescent="0.2">
      <c r="R1363" s="52"/>
    </row>
    <row r="1364" spans="18:18" x14ac:dyDescent="0.2">
      <c r="R1364" s="52"/>
    </row>
    <row r="1365" spans="18:18" x14ac:dyDescent="0.2">
      <c r="R1365" s="52"/>
    </row>
    <row r="1366" spans="18:18" x14ac:dyDescent="0.2">
      <c r="R1366" s="52"/>
    </row>
    <row r="1367" spans="18:18" x14ac:dyDescent="0.2">
      <c r="R1367" s="52"/>
    </row>
    <row r="1368" spans="18:18" x14ac:dyDescent="0.2">
      <c r="R1368" s="52"/>
    </row>
    <row r="1369" spans="18:18" x14ac:dyDescent="0.2">
      <c r="R1369" s="52"/>
    </row>
    <row r="1370" spans="18:18" x14ac:dyDescent="0.2">
      <c r="R1370" s="52"/>
    </row>
    <row r="1371" spans="18:18" x14ac:dyDescent="0.2">
      <c r="R1371" s="52"/>
    </row>
    <row r="1372" spans="18:18" x14ac:dyDescent="0.2">
      <c r="R1372" s="52"/>
    </row>
    <row r="1373" spans="18:18" x14ac:dyDescent="0.2">
      <c r="R1373" s="52"/>
    </row>
    <row r="1374" spans="18:18" x14ac:dyDescent="0.2">
      <c r="R1374" s="52"/>
    </row>
    <row r="1375" spans="18:18" x14ac:dyDescent="0.2">
      <c r="R1375" s="52"/>
    </row>
    <row r="1376" spans="18:18" x14ac:dyDescent="0.2">
      <c r="R1376" s="52"/>
    </row>
    <row r="1377" spans="18:18" x14ac:dyDescent="0.2">
      <c r="R1377" s="52"/>
    </row>
    <row r="1378" spans="18:18" x14ac:dyDescent="0.2">
      <c r="R1378" s="52"/>
    </row>
    <row r="1379" spans="18:18" x14ac:dyDescent="0.2">
      <c r="R1379" s="52"/>
    </row>
    <row r="1380" spans="18:18" x14ac:dyDescent="0.2">
      <c r="R1380" s="52"/>
    </row>
    <row r="1381" spans="18:18" x14ac:dyDescent="0.2">
      <c r="R1381" s="52"/>
    </row>
    <row r="1382" spans="18:18" x14ac:dyDescent="0.2">
      <c r="R1382" s="52"/>
    </row>
    <row r="1383" spans="18:18" x14ac:dyDescent="0.2">
      <c r="R1383" s="52"/>
    </row>
    <row r="1384" spans="18:18" x14ac:dyDescent="0.2">
      <c r="R1384" s="52"/>
    </row>
    <row r="1385" spans="18:18" x14ac:dyDescent="0.2">
      <c r="R1385" s="52"/>
    </row>
    <row r="1386" spans="18:18" x14ac:dyDescent="0.2">
      <c r="R1386" s="52"/>
    </row>
    <row r="1387" spans="18:18" x14ac:dyDescent="0.2">
      <c r="R1387" s="52"/>
    </row>
    <row r="1388" spans="18:18" x14ac:dyDescent="0.2">
      <c r="R1388" s="52"/>
    </row>
    <row r="1389" spans="18:18" x14ac:dyDescent="0.2">
      <c r="R1389" s="52"/>
    </row>
    <row r="1390" spans="18:18" x14ac:dyDescent="0.2">
      <c r="R1390" s="52"/>
    </row>
    <row r="1391" spans="18:18" x14ac:dyDescent="0.2">
      <c r="R1391" s="52"/>
    </row>
    <row r="1392" spans="18:18" x14ac:dyDescent="0.2">
      <c r="R1392" s="52"/>
    </row>
    <row r="1393" spans="18:18" x14ac:dyDescent="0.2">
      <c r="R1393" s="52"/>
    </row>
    <row r="1394" spans="18:18" x14ac:dyDescent="0.2">
      <c r="R1394" s="52"/>
    </row>
    <row r="1395" spans="18:18" x14ac:dyDescent="0.2">
      <c r="R1395" s="52"/>
    </row>
    <row r="1396" spans="18:18" x14ac:dyDescent="0.2">
      <c r="R1396" s="52"/>
    </row>
    <row r="1397" spans="18:18" x14ac:dyDescent="0.2">
      <c r="R1397" s="52"/>
    </row>
    <row r="1398" spans="18:18" x14ac:dyDescent="0.2">
      <c r="R1398" s="52"/>
    </row>
    <row r="1399" spans="18:18" x14ac:dyDescent="0.2">
      <c r="R1399" s="52"/>
    </row>
    <row r="1400" spans="18:18" x14ac:dyDescent="0.2">
      <c r="R1400" s="52"/>
    </row>
    <row r="1401" spans="18:18" x14ac:dyDescent="0.2">
      <c r="R1401" s="52"/>
    </row>
    <row r="1402" spans="18:18" x14ac:dyDescent="0.2">
      <c r="R1402" s="52"/>
    </row>
    <row r="1403" spans="18:18" x14ac:dyDescent="0.2">
      <c r="R1403" s="52"/>
    </row>
    <row r="1404" spans="18:18" x14ac:dyDescent="0.2">
      <c r="R1404" s="52"/>
    </row>
    <row r="1405" spans="18:18" x14ac:dyDescent="0.2">
      <c r="R1405" s="52"/>
    </row>
    <row r="1406" spans="18:18" x14ac:dyDescent="0.2">
      <c r="R1406" s="52"/>
    </row>
    <row r="1407" spans="18:18" x14ac:dyDescent="0.2">
      <c r="R1407" s="52"/>
    </row>
    <row r="1408" spans="18:18" x14ac:dyDescent="0.2">
      <c r="R1408" s="52"/>
    </row>
    <row r="1409" spans="18:18" x14ac:dyDescent="0.2">
      <c r="R1409" s="52"/>
    </row>
    <row r="1410" spans="18:18" x14ac:dyDescent="0.2">
      <c r="R1410" s="52"/>
    </row>
    <row r="1411" spans="18:18" x14ac:dyDescent="0.2">
      <c r="R1411" s="52"/>
    </row>
    <row r="1412" spans="18:18" x14ac:dyDescent="0.2">
      <c r="R1412" s="52"/>
    </row>
    <row r="1413" spans="18:18" x14ac:dyDescent="0.2">
      <c r="R1413" s="52"/>
    </row>
    <row r="1414" spans="18:18" x14ac:dyDescent="0.2">
      <c r="R1414" s="52"/>
    </row>
    <row r="1415" spans="18:18" x14ac:dyDescent="0.2">
      <c r="R1415" s="52"/>
    </row>
    <row r="1416" spans="18:18" x14ac:dyDescent="0.2">
      <c r="R1416" s="52"/>
    </row>
    <row r="1417" spans="18:18" x14ac:dyDescent="0.2">
      <c r="R1417" s="52"/>
    </row>
    <row r="1418" spans="18:18" x14ac:dyDescent="0.2">
      <c r="R1418" s="52"/>
    </row>
    <row r="1419" spans="18:18" x14ac:dyDescent="0.2">
      <c r="R1419" s="52"/>
    </row>
    <row r="1420" spans="18:18" x14ac:dyDescent="0.2">
      <c r="R1420" s="52"/>
    </row>
    <row r="1421" spans="18:18" x14ac:dyDescent="0.2">
      <c r="R1421" s="52"/>
    </row>
    <row r="1422" spans="18:18" x14ac:dyDescent="0.2">
      <c r="R1422" s="52"/>
    </row>
    <row r="1423" spans="18:18" x14ac:dyDescent="0.2">
      <c r="R1423" s="52"/>
    </row>
    <row r="1424" spans="18:18" x14ac:dyDescent="0.2">
      <c r="R1424" s="52"/>
    </row>
    <row r="1425" spans="18:18" x14ac:dyDescent="0.2">
      <c r="R1425" s="52"/>
    </row>
    <row r="1426" spans="18:18" x14ac:dyDescent="0.2">
      <c r="R1426" s="52"/>
    </row>
    <row r="1427" spans="18:18" x14ac:dyDescent="0.2">
      <c r="R1427" s="52"/>
    </row>
    <row r="1428" spans="18:18" x14ac:dyDescent="0.2">
      <c r="R1428" s="52"/>
    </row>
    <row r="1429" spans="18:18" x14ac:dyDescent="0.2">
      <c r="R1429" s="52"/>
    </row>
    <row r="1430" spans="18:18" x14ac:dyDescent="0.2">
      <c r="R1430" s="52"/>
    </row>
    <row r="1431" spans="18:18" x14ac:dyDescent="0.2">
      <c r="R1431" s="52"/>
    </row>
    <row r="1432" spans="18:18" x14ac:dyDescent="0.2">
      <c r="R1432" s="52"/>
    </row>
    <row r="1433" spans="18:18" x14ac:dyDescent="0.2">
      <c r="R1433" s="52"/>
    </row>
    <row r="1434" spans="18:18" x14ac:dyDescent="0.2">
      <c r="R1434" s="52"/>
    </row>
    <row r="1435" spans="18:18" x14ac:dyDescent="0.2">
      <c r="R1435" s="52"/>
    </row>
    <row r="1436" spans="18:18" x14ac:dyDescent="0.2">
      <c r="R1436" s="52"/>
    </row>
    <row r="1437" spans="18:18" x14ac:dyDescent="0.2">
      <c r="R1437" s="52"/>
    </row>
    <row r="1438" spans="18:18" x14ac:dyDescent="0.2">
      <c r="R1438" s="52"/>
    </row>
    <row r="1439" spans="18:18" x14ac:dyDescent="0.2">
      <c r="R1439" s="52"/>
    </row>
    <row r="1440" spans="18:18" x14ac:dyDescent="0.2">
      <c r="R1440" s="52"/>
    </row>
    <row r="1441" spans="18:18" x14ac:dyDescent="0.2">
      <c r="R1441" s="52"/>
    </row>
    <row r="1442" spans="18:18" x14ac:dyDescent="0.2">
      <c r="R1442" s="52"/>
    </row>
    <row r="1443" spans="18:18" x14ac:dyDescent="0.2">
      <c r="R1443" s="52"/>
    </row>
    <row r="1444" spans="18:18" x14ac:dyDescent="0.2">
      <c r="R1444" s="52"/>
    </row>
    <row r="1445" spans="18:18" x14ac:dyDescent="0.2">
      <c r="R1445" s="52"/>
    </row>
    <row r="1446" spans="18:18" x14ac:dyDescent="0.2">
      <c r="R1446" s="52"/>
    </row>
    <row r="1447" spans="18:18" x14ac:dyDescent="0.2">
      <c r="R1447" s="52"/>
    </row>
    <row r="1448" spans="18:18" x14ac:dyDescent="0.2">
      <c r="R1448" s="52"/>
    </row>
    <row r="1449" spans="18:18" x14ac:dyDescent="0.2">
      <c r="R1449" s="52"/>
    </row>
    <row r="1450" spans="18:18" x14ac:dyDescent="0.2">
      <c r="R1450" s="52"/>
    </row>
    <row r="1451" spans="18:18" x14ac:dyDescent="0.2">
      <c r="R1451" s="52"/>
    </row>
    <row r="1452" spans="18:18" x14ac:dyDescent="0.2">
      <c r="R1452" s="52"/>
    </row>
    <row r="1453" spans="18:18" x14ac:dyDescent="0.2">
      <c r="R1453" s="52"/>
    </row>
    <row r="1454" spans="18:18" x14ac:dyDescent="0.2">
      <c r="R1454" s="52"/>
    </row>
    <row r="1455" spans="18:18" x14ac:dyDescent="0.2">
      <c r="R1455" s="52"/>
    </row>
    <row r="1456" spans="18:18" x14ac:dyDescent="0.2">
      <c r="R1456" s="52"/>
    </row>
    <row r="1457" spans="18:18" x14ac:dyDescent="0.2">
      <c r="R1457" s="52"/>
    </row>
    <row r="1458" spans="18:18" x14ac:dyDescent="0.2">
      <c r="R1458" s="52"/>
    </row>
    <row r="1459" spans="18:18" x14ac:dyDescent="0.2">
      <c r="R1459" s="52"/>
    </row>
    <row r="1460" spans="18:18" x14ac:dyDescent="0.2">
      <c r="R1460" s="52"/>
    </row>
    <row r="1461" spans="18:18" x14ac:dyDescent="0.2">
      <c r="R1461" s="52"/>
    </row>
    <row r="1462" spans="18:18" x14ac:dyDescent="0.2">
      <c r="R1462" s="52"/>
    </row>
    <row r="1463" spans="18:18" x14ac:dyDescent="0.2">
      <c r="R1463" s="52"/>
    </row>
    <row r="1464" spans="18:18" x14ac:dyDescent="0.2">
      <c r="R1464" s="52"/>
    </row>
    <row r="1465" spans="18:18" x14ac:dyDescent="0.2">
      <c r="R1465" s="52"/>
    </row>
    <row r="1466" spans="18:18" x14ac:dyDescent="0.2">
      <c r="R1466" s="52"/>
    </row>
    <row r="1467" spans="18:18" x14ac:dyDescent="0.2">
      <c r="R1467" s="52"/>
    </row>
    <row r="1468" spans="18:18" x14ac:dyDescent="0.2">
      <c r="R1468" s="52"/>
    </row>
    <row r="1469" spans="18:18" x14ac:dyDescent="0.2">
      <c r="R1469" s="52"/>
    </row>
    <row r="1470" spans="18:18" x14ac:dyDescent="0.2">
      <c r="R1470" s="52"/>
    </row>
    <row r="1471" spans="18:18" x14ac:dyDescent="0.2">
      <c r="R1471" s="52"/>
    </row>
    <row r="1472" spans="18:18" x14ac:dyDescent="0.2">
      <c r="R1472" s="52"/>
    </row>
    <row r="1473" spans="18:18" x14ac:dyDescent="0.2">
      <c r="R1473" s="52"/>
    </row>
    <row r="1474" spans="18:18" x14ac:dyDescent="0.2">
      <c r="R1474" s="52"/>
    </row>
    <row r="1475" spans="18:18" x14ac:dyDescent="0.2">
      <c r="R1475" s="52"/>
    </row>
    <row r="1476" spans="18:18" x14ac:dyDescent="0.2">
      <c r="R1476" s="52"/>
    </row>
    <row r="1477" spans="18:18" x14ac:dyDescent="0.2">
      <c r="R1477" s="52"/>
    </row>
    <row r="1478" spans="18:18" x14ac:dyDescent="0.2">
      <c r="R1478" s="52"/>
    </row>
    <row r="1479" spans="18:18" x14ac:dyDescent="0.2">
      <c r="R1479" s="52"/>
    </row>
    <row r="1480" spans="18:18" x14ac:dyDescent="0.2">
      <c r="R1480" s="52"/>
    </row>
    <row r="1481" spans="18:18" x14ac:dyDescent="0.2">
      <c r="R1481" s="52"/>
    </row>
    <row r="1482" spans="18:18" x14ac:dyDescent="0.2">
      <c r="R1482" s="52"/>
    </row>
    <row r="1483" spans="18:18" x14ac:dyDescent="0.2">
      <c r="R1483" s="52"/>
    </row>
    <row r="1484" spans="18:18" x14ac:dyDescent="0.2">
      <c r="R1484" s="52"/>
    </row>
    <row r="1485" spans="18:18" x14ac:dyDescent="0.2">
      <c r="R1485" s="52"/>
    </row>
    <row r="1486" spans="18:18" x14ac:dyDescent="0.2">
      <c r="R1486" s="52"/>
    </row>
  </sheetData>
  <sortState ref="C14:E16">
    <sortCondition descending="1" ref="E14"/>
  </sortState>
  <mergeCells count="3">
    <mergeCell ref="C3:P3"/>
    <mergeCell ref="D5:E5"/>
    <mergeCell ref="B26:R32"/>
  </mergeCells>
  <pageMargins left="0.7" right="0.7" top="0.75" bottom="0.75" header="0.3" footer="0.3"/>
  <pageSetup scale="6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Y65"/>
  <sheetViews>
    <sheetView showGridLines="0" zoomScale="80" zoomScaleNormal="80" workbookViewId="0"/>
  </sheetViews>
  <sheetFormatPr defaultRowHeight="15" x14ac:dyDescent="0.25"/>
  <cols>
    <col min="1" max="1" width="2.85546875" style="19" customWidth="1"/>
    <col min="2" max="2" width="3.85546875" style="19" customWidth="1"/>
    <col min="3" max="3" width="58.7109375" style="19" bestFit="1" customWidth="1"/>
    <col min="4" max="4" width="30.5703125" style="19" customWidth="1"/>
    <col min="5" max="5" width="15" style="19" bestFit="1" customWidth="1"/>
    <col min="6" max="6" width="9.140625" style="19"/>
    <col min="7" max="7" width="11.5703125" style="19" bestFit="1" customWidth="1"/>
    <col min="8" max="18" width="9.140625" style="19"/>
    <col min="19" max="19" width="9.85546875" style="19" customWidth="1"/>
    <col min="20" max="22" width="9.140625" style="19"/>
    <col min="23" max="23" width="47" style="19" bestFit="1" customWidth="1"/>
    <col min="24" max="24" width="9.85546875" style="19" bestFit="1" customWidth="1"/>
    <col min="25" max="16384" width="9.140625" style="19"/>
  </cols>
  <sheetData>
    <row r="1" spans="1:25" ht="15.75" customHeight="1" thickBot="1" x14ac:dyDescent="0.3">
      <c r="A1" s="3"/>
    </row>
    <row r="2" spans="1:25" ht="15" customHeight="1" x14ac:dyDescent="0.25">
      <c r="B2" s="66"/>
      <c r="C2" s="28"/>
      <c r="D2" s="28"/>
      <c r="E2" s="28"/>
      <c r="F2" s="28"/>
      <c r="G2" s="28"/>
      <c r="H2" s="28"/>
      <c r="I2" s="28"/>
      <c r="J2" s="28"/>
      <c r="K2" s="28"/>
      <c r="L2" s="28"/>
      <c r="M2" s="28"/>
      <c r="N2" s="28"/>
      <c r="O2" s="28"/>
      <c r="P2" s="28"/>
      <c r="Q2" s="28"/>
      <c r="R2" s="28"/>
      <c r="S2" s="28"/>
      <c r="T2" s="24"/>
    </row>
    <row r="3" spans="1:25" ht="20.25" customHeight="1" x14ac:dyDescent="0.25">
      <c r="B3" s="67"/>
      <c r="C3" s="274" t="s">
        <v>165</v>
      </c>
      <c r="D3" s="275"/>
      <c r="E3" s="275"/>
      <c r="F3" s="275"/>
      <c r="G3" s="275"/>
      <c r="H3" s="275"/>
      <c r="I3" s="275"/>
      <c r="J3" s="275"/>
      <c r="K3" s="275"/>
      <c r="L3" s="275"/>
      <c r="M3" s="275"/>
      <c r="N3" s="275"/>
      <c r="O3" s="275"/>
      <c r="P3" s="275"/>
      <c r="Q3" s="275"/>
      <c r="R3" s="275"/>
      <c r="S3" s="275"/>
      <c r="T3" s="25"/>
    </row>
    <row r="4" spans="1:25" ht="15.75" customHeight="1" x14ac:dyDescent="0.25">
      <c r="B4" s="67"/>
      <c r="C4" s="70" t="s">
        <v>367</v>
      </c>
      <c r="D4" s="29"/>
      <c r="E4" s="29"/>
      <c r="F4" s="29"/>
      <c r="G4" s="29"/>
      <c r="H4" s="29"/>
      <c r="I4" s="29"/>
      <c r="J4" s="29"/>
      <c r="K4" s="29"/>
      <c r="L4" s="29"/>
      <c r="M4" s="29"/>
      <c r="N4" s="29"/>
      <c r="O4" s="29"/>
      <c r="P4" s="29"/>
      <c r="Q4" s="29"/>
      <c r="R4" s="29"/>
      <c r="S4" s="29"/>
      <c r="T4" s="25"/>
    </row>
    <row r="5" spans="1:25" ht="18" customHeight="1" x14ac:dyDescent="0.25">
      <c r="B5" s="67"/>
      <c r="C5" s="228" t="s">
        <v>366</v>
      </c>
      <c r="D5" s="276" t="s">
        <v>332</v>
      </c>
      <c r="E5" s="276"/>
      <c r="F5" s="29"/>
      <c r="G5" s="29"/>
      <c r="H5" s="29"/>
      <c r="I5" s="29"/>
      <c r="J5" s="29"/>
      <c r="K5" s="29"/>
      <c r="L5" s="29"/>
      <c r="M5" s="29"/>
      <c r="N5" s="29"/>
      <c r="O5" s="29"/>
      <c r="P5" s="29"/>
      <c r="Q5" s="29"/>
      <c r="R5" s="29"/>
      <c r="S5" s="29"/>
      <c r="T5" s="25"/>
    </row>
    <row r="6" spans="1:25" ht="15" customHeight="1" x14ac:dyDescent="0.25">
      <c r="B6" s="67"/>
      <c r="C6" s="29"/>
      <c r="D6" s="29"/>
      <c r="E6" s="29"/>
      <c r="F6" s="29"/>
      <c r="G6" s="29"/>
      <c r="H6" s="29"/>
      <c r="I6" s="29"/>
      <c r="J6" s="29"/>
      <c r="K6" s="29"/>
      <c r="L6" s="29"/>
      <c r="M6" s="29"/>
      <c r="N6" s="29"/>
      <c r="O6" s="29"/>
      <c r="P6" s="29"/>
      <c r="Q6" s="29"/>
      <c r="R6" s="29"/>
      <c r="S6" s="29"/>
      <c r="T6" s="25"/>
      <c r="W6" s="39"/>
      <c r="X6" s="39"/>
      <c r="Y6" s="39"/>
    </row>
    <row r="7" spans="1:25" ht="32.25" customHeight="1" x14ac:dyDescent="0.25">
      <c r="B7" s="67"/>
      <c r="C7" s="130" t="s">
        <v>0</v>
      </c>
      <c r="D7" s="72" t="s">
        <v>44</v>
      </c>
      <c r="E7" s="73" t="s">
        <v>2</v>
      </c>
      <c r="F7" s="29"/>
      <c r="G7" s="29"/>
      <c r="H7" s="29"/>
      <c r="I7" s="29"/>
      <c r="J7" s="29"/>
      <c r="K7" s="29"/>
      <c r="L7" s="29"/>
      <c r="M7" s="29"/>
      <c r="N7" s="29"/>
      <c r="O7" s="29"/>
      <c r="P7" s="29"/>
      <c r="Q7" s="29"/>
      <c r="R7" s="29"/>
      <c r="S7" s="29"/>
      <c r="T7" s="25"/>
      <c r="W7" s="39" t="s">
        <v>22</v>
      </c>
      <c r="X7" s="39" t="s">
        <v>2</v>
      </c>
      <c r="Y7" s="39"/>
    </row>
    <row r="8" spans="1:25" ht="15" customHeight="1" x14ac:dyDescent="0.25">
      <c r="B8" s="67"/>
      <c r="C8" s="191" t="s">
        <v>32</v>
      </c>
      <c r="D8" s="192" t="s">
        <v>3</v>
      </c>
      <c r="E8" s="193">
        <v>2.5739999999999999E-2</v>
      </c>
      <c r="F8" s="29"/>
      <c r="G8" s="29"/>
      <c r="H8" s="29"/>
      <c r="I8" s="29"/>
      <c r="J8" s="29"/>
      <c r="K8" s="29"/>
      <c r="L8" s="29"/>
      <c r="M8" s="29"/>
      <c r="N8" s="29"/>
      <c r="O8" s="29"/>
      <c r="P8" s="29"/>
      <c r="Q8" s="29"/>
      <c r="R8" s="29"/>
      <c r="S8" s="29"/>
      <c r="T8" s="25"/>
      <c r="W8" s="248" t="s">
        <v>3</v>
      </c>
      <c r="X8" s="251">
        <v>5.3367000000000005E-2</v>
      </c>
      <c r="Y8" s="39"/>
    </row>
    <row r="9" spans="1:25" ht="15.75" customHeight="1" x14ac:dyDescent="0.25">
      <c r="B9" s="67"/>
      <c r="C9" s="191" t="s">
        <v>31</v>
      </c>
      <c r="D9" s="192" t="s">
        <v>6</v>
      </c>
      <c r="E9" s="193">
        <v>2.3898999999999997E-2</v>
      </c>
      <c r="F9" s="29"/>
      <c r="G9" s="29"/>
      <c r="H9" s="29"/>
      <c r="I9" s="29"/>
      <c r="J9" s="29"/>
      <c r="K9" s="29"/>
      <c r="L9" s="29"/>
      <c r="M9" s="29"/>
      <c r="N9" s="29"/>
      <c r="O9" s="29"/>
      <c r="P9" s="29"/>
      <c r="Q9" s="29"/>
      <c r="R9" s="29"/>
      <c r="S9" s="29"/>
      <c r="T9" s="25"/>
      <c r="W9" s="248" t="s">
        <v>26</v>
      </c>
      <c r="X9" s="251">
        <v>4.4747000000000002E-2</v>
      </c>
      <c r="Y9" s="39"/>
    </row>
    <row r="10" spans="1:25" ht="15" customHeight="1" x14ac:dyDescent="0.25">
      <c r="B10" s="67"/>
      <c r="C10" s="191" t="s">
        <v>28</v>
      </c>
      <c r="D10" s="192" t="s">
        <v>109</v>
      </c>
      <c r="E10" s="193">
        <v>1.2588999999999996E-2</v>
      </c>
      <c r="F10" s="29"/>
      <c r="G10" s="29"/>
      <c r="H10" s="29"/>
      <c r="I10" s="29"/>
      <c r="J10" s="29"/>
      <c r="K10" s="29"/>
      <c r="L10" s="29"/>
      <c r="M10" s="29"/>
      <c r="N10" s="29"/>
      <c r="O10" s="29"/>
      <c r="P10" s="29"/>
      <c r="Q10" s="29"/>
      <c r="R10" s="29"/>
      <c r="S10" s="29"/>
      <c r="T10" s="25"/>
      <c r="W10" s="248" t="s">
        <v>4</v>
      </c>
      <c r="X10" s="251">
        <v>2.9433999999999998E-2</v>
      </c>
      <c r="Y10" s="39"/>
    </row>
    <row r="11" spans="1:25" ht="15" customHeight="1" x14ac:dyDescent="0.25">
      <c r="B11" s="67"/>
      <c r="C11" s="191" t="s">
        <v>29</v>
      </c>
      <c r="D11" s="192" t="s">
        <v>3</v>
      </c>
      <c r="E11" s="193">
        <v>1.2465000000000004E-2</v>
      </c>
      <c r="F11" s="29"/>
      <c r="G11" s="29"/>
      <c r="H11" s="29"/>
      <c r="I11" s="29"/>
      <c r="J11" s="29"/>
      <c r="K11" s="29"/>
      <c r="L11" s="29"/>
      <c r="M11" s="29"/>
      <c r="N11" s="29"/>
      <c r="O11" s="29"/>
      <c r="P11" s="29"/>
      <c r="Q11" s="29"/>
      <c r="R11" s="29"/>
      <c r="S11" s="29"/>
      <c r="T11" s="25"/>
      <c r="W11" s="248" t="s">
        <v>6</v>
      </c>
      <c r="X11" s="251">
        <v>2.3898999999999997E-2</v>
      </c>
      <c r="Y11" s="39"/>
    </row>
    <row r="12" spans="1:25" ht="15" customHeight="1" x14ac:dyDescent="0.25">
      <c r="B12" s="67"/>
      <c r="C12" s="191" t="s">
        <v>69</v>
      </c>
      <c r="D12" s="192" t="s">
        <v>4</v>
      </c>
      <c r="E12" s="193">
        <v>1.1194000000000001E-2</v>
      </c>
      <c r="F12" s="29"/>
      <c r="G12" s="29"/>
      <c r="H12" s="29"/>
      <c r="I12" s="29"/>
      <c r="J12" s="29"/>
      <c r="K12" s="29"/>
      <c r="L12" s="29"/>
      <c r="M12" s="29"/>
      <c r="N12" s="29"/>
      <c r="O12" s="29"/>
      <c r="P12" s="29"/>
      <c r="Q12" s="29"/>
      <c r="R12" s="29"/>
      <c r="S12" s="29"/>
      <c r="T12" s="25"/>
      <c r="W12" s="248" t="s">
        <v>113</v>
      </c>
      <c r="X12" s="251">
        <v>2.3387999999999999E-2</v>
      </c>
      <c r="Y12" s="39"/>
    </row>
    <row r="13" spans="1:25" ht="15" customHeight="1" x14ac:dyDescent="0.25">
      <c r="B13" s="67"/>
      <c r="C13" s="191" t="s">
        <v>239</v>
      </c>
      <c r="D13" s="192" t="s">
        <v>26</v>
      </c>
      <c r="E13" s="193">
        <v>1.0963000000000001E-2</v>
      </c>
      <c r="F13" s="29"/>
      <c r="G13" s="29"/>
      <c r="H13" s="29"/>
      <c r="I13" s="29"/>
      <c r="J13" s="29"/>
      <c r="K13" s="29"/>
      <c r="L13" s="29"/>
      <c r="M13" s="29"/>
      <c r="N13" s="29"/>
      <c r="O13" s="29"/>
      <c r="P13" s="29"/>
      <c r="Q13" s="29"/>
      <c r="R13" s="29"/>
      <c r="S13" s="29"/>
      <c r="T13" s="25"/>
      <c r="W13" s="248" t="s">
        <v>121</v>
      </c>
      <c r="X13" s="251">
        <v>2.3196000000000001E-2</v>
      </c>
      <c r="Y13" s="39"/>
    </row>
    <row r="14" spans="1:25" ht="15.75" customHeight="1" x14ac:dyDescent="0.25">
      <c r="B14" s="67"/>
      <c r="C14" s="191" t="s">
        <v>218</v>
      </c>
      <c r="D14" s="192" t="s">
        <v>121</v>
      </c>
      <c r="E14" s="193">
        <v>1.0954999999999999E-2</v>
      </c>
      <c r="F14" s="29"/>
      <c r="G14" s="29"/>
      <c r="H14" s="29"/>
      <c r="I14" s="29"/>
      <c r="J14" s="29"/>
      <c r="K14" s="29"/>
      <c r="L14" s="29"/>
      <c r="M14" s="29"/>
      <c r="N14" s="29"/>
      <c r="O14" s="29"/>
      <c r="P14" s="29"/>
      <c r="Q14" s="29"/>
      <c r="R14" s="29"/>
      <c r="S14" s="29"/>
      <c r="T14" s="25"/>
      <c r="W14" s="248" t="s">
        <v>109</v>
      </c>
      <c r="X14" s="251">
        <v>2.1040000000000003E-2</v>
      </c>
      <c r="Y14" s="39"/>
    </row>
    <row r="15" spans="1:25" ht="15.75" x14ac:dyDescent="0.25">
      <c r="B15" s="67"/>
      <c r="C15" s="191" t="s">
        <v>34</v>
      </c>
      <c r="D15" s="192" t="s">
        <v>23</v>
      </c>
      <c r="E15" s="193">
        <v>1.0732000000000002E-2</v>
      </c>
      <c r="F15" s="29"/>
      <c r="G15" s="29"/>
      <c r="H15" s="29"/>
      <c r="I15" s="29"/>
      <c r="J15" s="29"/>
      <c r="K15" s="29"/>
      <c r="L15" s="29"/>
      <c r="M15" s="29"/>
      <c r="N15" s="29"/>
      <c r="O15" s="29"/>
      <c r="P15" s="29"/>
      <c r="Q15" s="29"/>
      <c r="R15" s="29"/>
      <c r="S15" s="29"/>
      <c r="T15" s="25"/>
      <c r="W15" s="248" t="s">
        <v>114</v>
      </c>
      <c r="X15" s="251">
        <v>1.9475999999999997E-2</v>
      </c>
      <c r="Y15" s="39"/>
    </row>
    <row r="16" spans="1:25" ht="15.75" customHeight="1" x14ac:dyDescent="0.25">
      <c r="B16" s="67"/>
      <c r="C16" s="191" t="s">
        <v>70</v>
      </c>
      <c r="D16" s="192" t="s">
        <v>12</v>
      </c>
      <c r="E16" s="193">
        <v>1.0696000000000001E-2</v>
      </c>
      <c r="F16" s="29"/>
      <c r="G16" s="29"/>
      <c r="H16" s="29"/>
      <c r="I16" s="29"/>
      <c r="J16" s="29"/>
      <c r="K16" s="29"/>
      <c r="L16" s="29"/>
      <c r="M16" s="29"/>
      <c r="N16" s="29"/>
      <c r="O16" s="29"/>
      <c r="P16" s="29"/>
      <c r="Q16" s="29"/>
      <c r="R16" s="29"/>
      <c r="S16" s="29"/>
      <c r="T16" s="25"/>
      <c r="W16" s="248" t="s">
        <v>23</v>
      </c>
      <c r="X16" s="251">
        <v>1.8658000000000004E-2</v>
      </c>
      <c r="Y16" s="39"/>
    </row>
    <row r="17" spans="2:25" ht="15" customHeight="1" x14ac:dyDescent="0.25">
      <c r="B17" s="67"/>
      <c r="C17" s="191" t="s">
        <v>250</v>
      </c>
      <c r="D17" s="192" t="s">
        <v>26</v>
      </c>
      <c r="E17" s="193">
        <v>1.0684000000000001E-2</v>
      </c>
      <c r="F17" s="29"/>
      <c r="G17" s="29"/>
      <c r="H17" s="29"/>
      <c r="I17" s="29"/>
      <c r="J17" s="29"/>
      <c r="K17" s="29"/>
      <c r="L17" s="29"/>
      <c r="M17" s="29"/>
      <c r="N17" s="29"/>
      <c r="O17" s="29"/>
      <c r="P17" s="29"/>
      <c r="Q17" s="29"/>
      <c r="R17" s="29"/>
      <c r="S17" s="29"/>
      <c r="T17" s="25"/>
      <c r="W17" s="248" t="s">
        <v>12</v>
      </c>
      <c r="X17" s="251">
        <v>1.8203999999999998E-2</v>
      </c>
      <c r="Y17" s="39"/>
    </row>
    <row r="18" spans="2:25" ht="15" customHeight="1" x14ac:dyDescent="0.25">
      <c r="B18" s="67"/>
      <c r="C18" s="191" t="s">
        <v>36</v>
      </c>
      <c r="D18" s="192" t="s">
        <v>3</v>
      </c>
      <c r="E18" s="193">
        <v>9.8010000000000007E-3</v>
      </c>
      <c r="F18" s="29"/>
      <c r="G18" s="29"/>
      <c r="H18" s="29"/>
      <c r="I18" s="29"/>
      <c r="J18" s="29"/>
      <c r="K18" s="29"/>
      <c r="L18" s="29"/>
      <c r="M18" s="29"/>
      <c r="N18" s="29"/>
      <c r="O18" s="29"/>
      <c r="P18" s="29"/>
      <c r="Q18" s="29"/>
      <c r="R18" s="29"/>
      <c r="S18" s="29"/>
      <c r="T18" s="25"/>
      <c r="W18" s="248" t="s">
        <v>10</v>
      </c>
      <c r="X18" s="251">
        <v>1.7779999999999997E-2</v>
      </c>
      <c r="Y18" s="39"/>
    </row>
    <row r="19" spans="2:25" ht="15" customHeight="1" x14ac:dyDescent="0.25">
      <c r="B19" s="67"/>
      <c r="C19" s="191" t="s">
        <v>199</v>
      </c>
      <c r="D19" s="192" t="s">
        <v>109</v>
      </c>
      <c r="E19" s="193">
        <v>8.5579999999999996E-3</v>
      </c>
      <c r="F19" s="29"/>
      <c r="G19" s="29"/>
      <c r="H19" s="29"/>
      <c r="I19" s="29"/>
      <c r="J19" s="29"/>
      <c r="K19" s="29"/>
      <c r="L19" s="29"/>
      <c r="M19" s="29"/>
      <c r="N19" s="29"/>
      <c r="O19" s="29"/>
      <c r="P19" s="29"/>
      <c r="Q19" s="29"/>
      <c r="R19" s="29"/>
      <c r="S19" s="29"/>
      <c r="T19" s="25"/>
      <c r="W19" s="248" t="s">
        <v>112</v>
      </c>
      <c r="X19" s="251">
        <v>1.3878000000000001E-2</v>
      </c>
      <c r="Y19" s="39"/>
    </row>
    <row r="20" spans="2:25" ht="15" customHeight="1" x14ac:dyDescent="0.25">
      <c r="B20" s="67"/>
      <c r="C20" s="191" t="s">
        <v>81</v>
      </c>
      <c r="D20" s="192" t="s">
        <v>114</v>
      </c>
      <c r="E20" s="193">
        <v>8.0450000000000001E-3</v>
      </c>
      <c r="F20" s="29"/>
      <c r="G20" s="29"/>
      <c r="H20" s="29"/>
      <c r="I20" s="29"/>
      <c r="J20" s="29"/>
      <c r="K20" s="29"/>
      <c r="L20" s="29"/>
      <c r="M20" s="29"/>
      <c r="N20" s="29"/>
      <c r="O20" s="29"/>
      <c r="P20" s="29"/>
      <c r="Q20" s="29"/>
      <c r="R20" s="29"/>
      <c r="S20" s="29"/>
      <c r="T20" s="25"/>
      <c r="W20" s="248" t="s">
        <v>115</v>
      </c>
      <c r="X20" s="251">
        <v>1.1790000000000002E-2</v>
      </c>
      <c r="Y20" s="39"/>
    </row>
    <row r="21" spans="2:25" ht="15" customHeight="1" x14ac:dyDescent="0.25">
      <c r="B21" s="67"/>
      <c r="C21" s="191" t="s">
        <v>313</v>
      </c>
      <c r="D21" s="192" t="s">
        <v>23</v>
      </c>
      <c r="E21" s="193">
        <v>7.9260000000000008E-3</v>
      </c>
      <c r="F21" s="29"/>
      <c r="G21" s="29"/>
      <c r="H21" s="29"/>
      <c r="I21" s="29"/>
      <c r="J21" s="29"/>
      <c r="K21" s="29"/>
      <c r="L21" s="29"/>
      <c r="M21" s="29"/>
      <c r="N21" s="29"/>
      <c r="O21" s="29"/>
      <c r="P21" s="29"/>
      <c r="Q21" s="29"/>
      <c r="R21" s="29"/>
      <c r="S21" s="29"/>
      <c r="T21" s="25"/>
      <c r="W21" s="248" t="s">
        <v>78</v>
      </c>
      <c r="X21" s="251">
        <v>1.1578E-2</v>
      </c>
      <c r="Y21" s="39"/>
    </row>
    <row r="22" spans="2:25" ht="15" customHeight="1" x14ac:dyDescent="0.25">
      <c r="B22" s="67"/>
      <c r="C22" s="191" t="s">
        <v>286</v>
      </c>
      <c r="D22" s="192" t="s">
        <v>78</v>
      </c>
      <c r="E22" s="193">
        <v>7.6249999999999998E-3</v>
      </c>
      <c r="F22" s="29"/>
      <c r="G22" s="29"/>
      <c r="H22" s="29"/>
      <c r="I22" s="29"/>
      <c r="J22" s="29"/>
      <c r="K22" s="29"/>
      <c r="L22" s="29"/>
      <c r="M22" s="29"/>
      <c r="N22" s="29"/>
      <c r="O22" s="29"/>
      <c r="P22" s="29"/>
      <c r="Q22" s="29"/>
      <c r="R22" s="29"/>
      <c r="S22" s="29"/>
      <c r="T22" s="25"/>
      <c r="W22" s="248" t="s">
        <v>119</v>
      </c>
      <c r="X22" s="251">
        <v>8.3449999999999965E-3</v>
      </c>
      <c r="Y22" s="39"/>
    </row>
    <row r="23" spans="2:25" ht="16.5" customHeight="1" x14ac:dyDescent="0.25">
      <c r="B23" s="67"/>
      <c r="C23" s="132" t="s">
        <v>65</v>
      </c>
      <c r="D23" s="133"/>
      <c r="E23" s="134">
        <v>0.18187199999999998</v>
      </c>
      <c r="F23" s="29"/>
      <c r="G23" s="29"/>
      <c r="H23" s="29"/>
      <c r="I23" s="29"/>
      <c r="J23" s="29"/>
      <c r="K23" s="29"/>
      <c r="L23" s="29"/>
      <c r="M23" s="29"/>
      <c r="N23" s="29"/>
      <c r="O23" s="29"/>
      <c r="P23" s="29"/>
      <c r="Q23" s="29"/>
      <c r="R23" s="29"/>
      <c r="S23" s="29"/>
      <c r="T23" s="25"/>
      <c r="W23" s="248" t="s">
        <v>84</v>
      </c>
      <c r="X23" s="251">
        <v>7.3719999999999992E-3</v>
      </c>
      <c r="Y23" s="39"/>
    </row>
    <row r="24" spans="2:25" ht="15" customHeight="1" x14ac:dyDescent="0.25">
      <c r="B24" s="67"/>
      <c r="C24" s="135"/>
      <c r="D24" s="85"/>
      <c r="E24" s="131"/>
      <c r="F24" s="29"/>
      <c r="G24" s="29"/>
      <c r="H24" s="29"/>
      <c r="I24" s="29"/>
      <c r="J24" s="29"/>
      <c r="K24" s="29"/>
      <c r="L24" s="29"/>
      <c r="M24" s="29"/>
      <c r="N24" s="29"/>
      <c r="O24" s="29"/>
      <c r="P24" s="29"/>
      <c r="Q24" s="29"/>
      <c r="R24" s="29"/>
      <c r="S24" s="29"/>
      <c r="T24" s="25"/>
      <c r="W24" s="248" t="s">
        <v>13</v>
      </c>
      <c r="X24" s="251">
        <v>7.2579999999999997E-3</v>
      </c>
      <c r="Y24" s="39"/>
    </row>
    <row r="25" spans="2:25" ht="15" customHeight="1" x14ac:dyDescent="0.25">
      <c r="B25" s="67"/>
      <c r="C25" s="132" t="s">
        <v>59</v>
      </c>
      <c r="D25" s="133"/>
      <c r="E25" s="194">
        <v>0.22472700000000007</v>
      </c>
      <c r="F25" s="29"/>
      <c r="G25" s="29"/>
      <c r="H25" s="29"/>
      <c r="I25" s="29"/>
      <c r="J25" s="29"/>
      <c r="K25" s="29"/>
      <c r="L25" s="29"/>
      <c r="M25" s="29"/>
      <c r="N25" s="29"/>
      <c r="O25" s="29"/>
      <c r="P25" s="29"/>
      <c r="Q25" s="29"/>
      <c r="R25" s="29"/>
      <c r="S25" s="29"/>
      <c r="T25" s="25"/>
      <c r="W25" s="248" t="s">
        <v>190</v>
      </c>
      <c r="X25" s="251">
        <v>6.4409999999999997E-3</v>
      </c>
      <c r="Y25" s="39"/>
    </row>
    <row r="26" spans="2:25" ht="15" customHeight="1" x14ac:dyDescent="0.25">
      <c r="B26" s="67"/>
      <c r="C26" s="135"/>
      <c r="D26" s="85"/>
      <c r="E26" s="131"/>
      <c r="F26" s="29"/>
      <c r="G26" s="29"/>
      <c r="H26" s="29"/>
      <c r="I26" s="29"/>
      <c r="J26" s="29"/>
      <c r="K26" s="29"/>
      <c r="L26" s="29"/>
      <c r="M26" s="29"/>
      <c r="N26" s="29"/>
      <c r="O26" s="29"/>
      <c r="P26" s="29"/>
      <c r="Q26" s="29"/>
      <c r="R26" s="29"/>
      <c r="S26" s="29"/>
      <c r="T26" s="25"/>
      <c r="W26" s="248" t="s">
        <v>88</v>
      </c>
      <c r="X26" s="251">
        <v>6.4130000000000003E-3</v>
      </c>
      <c r="Y26" s="39"/>
    </row>
    <row r="27" spans="2:25" ht="18" customHeight="1" x14ac:dyDescent="0.25">
      <c r="B27" s="67"/>
      <c r="C27" s="132" t="s">
        <v>58</v>
      </c>
      <c r="D27" s="112"/>
      <c r="E27" s="195">
        <v>0.39647100000000002</v>
      </c>
      <c r="F27" s="29"/>
      <c r="G27" s="29"/>
      <c r="H27" s="29"/>
      <c r="I27" s="29"/>
      <c r="J27" s="29"/>
      <c r="K27" s="29"/>
      <c r="L27" s="29"/>
      <c r="M27" s="29"/>
      <c r="N27" s="29"/>
      <c r="O27" s="29"/>
      <c r="P27" s="29"/>
      <c r="Q27" s="29"/>
      <c r="R27" s="29"/>
      <c r="S27" s="29"/>
      <c r="T27" s="25"/>
      <c r="W27" s="248" t="s">
        <v>25</v>
      </c>
      <c r="X27" s="251">
        <v>6.28E-3</v>
      </c>
    </row>
    <row r="28" spans="2:25" ht="18" customHeight="1" x14ac:dyDescent="0.25">
      <c r="B28" s="67"/>
      <c r="C28" s="253" t="s">
        <v>82</v>
      </c>
      <c r="D28" s="254" t="s">
        <v>63</v>
      </c>
      <c r="E28" s="131">
        <v>2.1669000000000001E-2</v>
      </c>
      <c r="F28" s="29"/>
      <c r="G28" s="29"/>
      <c r="H28" s="29"/>
      <c r="I28" s="29"/>
      <c r="J28" s="29"/>
      <c r="K28" s="29"/>
      <c r="L28" s="29"/>
      <c r="M28" s="29"/>
      <c r="N28" s="29"/>
      <c r="O28" s="29"/>
      <c r="P28" s="29"/>
      <c r="Q28" s="29"/>
      <c r="R28" s="29"/>
      <c r="S28" s="29"/>
      <c r="T28" s="25"/>
      <c r="W28" s="248" t="s">
        <v>108</v>
      </c>
      <c r="X28" s="251">
        <v>5.9069999999999973E-3</v>
      </c>
    </row>
    <row r="29" spans="2:25" ht="15" customHeight="1" x14ac:dyDescent="0.25">
      <c r="B29" s="67"/>
      <c r="C29" s="255" t="s">
        <v>29</v>
      </c>
      <c r="D29" s="254" t="s">
        <v>63</v>
      </c>
      <c r="E29" s="131">
        <v>1.0840000000000001E-2</v>
      </c>
      <c r="F29" s="29"/>
      <c r="G29" s="29"/>
      <c r="H29" s="29"/>
      <c r="I29" s="29"/>
      <c r="J29" s="29"/>
      <c r="K29" s="29"/>
      <c r="L29" s="29"/>
      <c r="M29" s="29"/>
      <c r="N29" s="29"/>
      <c r="O29" s="29"/>
      <c r="P29" s="29"/>
      <c r="Q29" s="29"/>
      <c r="R29" s="29"/>
      <c r="S29" s="29"/>
      <c r="T29" s="25"/>
      <c r="W29" s="248" t="s">
        <v>126</v>
      </c>
      <c r="X29" s="251">
        <v>5.4229999999999999E-3</v>
      </c>
    </row>
    <row r="30" spans="2:25" ht="15" customHeight="1" x14ac:dyDescent="0.25">
      <c r="B30" s="67"/>
      <c r="C30" s="255" t="s">
        <v>311</v>
      </c>
      <c r="D30" s="254" t="s">
        <v>312</v>
      </c>
      <c r="E30" s="131">
        <v>6.5279999999999999E-3</v>
      </c>
      <c r="F30" s="29"/>
      <c r="G30" s="136"/>
      <c r="H30" s="29"/>
      <c r="I30" s="29"/>
      <c r="J30" s="29"/>
      <c r="K30" s="29"/>
      <c r="L30" s="29"/>
      <c r="M30" s="29"/>
      <c r="N30" s="29"/>
      <c r="O30" s="29"/>
      <c r="P30" s="29"/>
      <c r="Q30" s="29"/>
      <c r="R30" s="29"/>
      <c r="S30" s="29"/>
      <c r="T30" s="25"/>
      <c r="W30" s="248" t="s">
        <v>135</v>
      </c>
      <c r="X30" s="251">
        <v>4.4050000000000001E-3</v>
      </c>
    </row>
    <row r="31" spans="2:25" ht="15" customHeight="1" x14ac:dyDescent="0.25">
      <c r="B31" s="67"/>
      <c r="C31" s="255" t="s">
        <v>77</v>
      </c>
      <c r="D31" s="254" t="s">
        <v>63</v>
      </c>
      <c r="E31" s="131">
        <v>4.346E-3</v>
      </c>
      <c r="F31" s="29"/>
      <c r="G31" s="136"/>
      <c r="H31" s="29"/>
      <c r="I31" s="29"/>
      <c r="J31" s="29"/>
      <c r="K31" s="29"/>
      <c r="L31" s="29"/>
      <c r="M31" s="29"/>
      <c r="N31" s="29"/>
      <c r="O31" s="29"/>
      <c r="P31" s="29"/>
      <c r="Q31" s="29"/>
      <c r="R31" s="29"/>
      <c r="S31" s="29"/>
      <c r="T31" s="25"/>
      <c r="W31" s="248" t="s">
        <v>85</v>
      </c>
      <c r="X31" s="251">
        <v>3.895E-3</v>
      </c>
    </row>
    <row r="32" spans="2:25" ht="15" customHeight="1" x14ac:dyDescent="0.25">
      <c r="B32" s="67"/>
      <c r="C32" s="253" t="s">
        <v>310</v>
      </c>
      <c r="D32" s="254" t="s">
        <v>370</v>
      </c>
      <c r="E32" s="131">
        <v>2.2049999999999999E-3</v>
      </c>
      <c r="F32" s="29"/>
      <c r="G32" s="136"/>
      <c r="H32" s="29"/>
      <c r="I32" s="29"/>
      <c r="J32" s="29"/>
      <c r="K32" s="29"/>
      <c r="L32" s="29"/>
      <c r="M32" s="29"/>
      <c r="N32" s="29"/>
      <c r="O32" s="29"/>
      <c r="P32" s="29"/>
      <c r="Q32" s="29"/>
      <c r="R32" s="29"/>
      <c r="S32" s="29"/>
      <c r="T32" s="25"/>
      <c r="W32" s="248" t="s">
        <v>110</v>
      </c>
      <c r="X32" s="251">
        <v>3.885E-3</v>
      </c>
    </row>
    <row r="33" spans="2:24" ht="15" customHeight="1" x14ac:dyDescent="0.25">
      <c r="B33" s="67"/>
      <c r="C33" s="255" t="s">
        <v>75</v>
      </c>
      <c r="D33" s="254" t="s">
        <v>63</v>
      </c>
      <c r="E33" s="131">
        <v>2.1800000000000001E-3</v>
      </c>
      <c r="F33" s="29"/>
      <c r="G33" s="136"/>
      <c r="H33" s="29"/>
      <c r="I33" s="29"/>
      <c r="J33" s="29"/>
      <c r="K33" s="29"/>
      <c r="L33" s="29"/>
      <c r="M33" s="29"/>
      <c r="N33" s="29"/>
      <c r="O33" s="29"/>
      <c r="P33" s="29"/>
      <c r="Q33" s="29"/>
      <c r="R33" s="29"/>
      <c r="S33" s="29"/>
      <c r="T33" s="25"/>
      <c r="W33" s="248" t="s">
        <v>97</v>
      </c>
      <c r="X33" s="251">
        <v>3.875E-3</v>
      </c>
    </row>
    <row r="34" spans="2:24" ht="15" customHeight="1" x14ac:dyDescent="0.25">
      <c r="B34" s="67"/>
      <c r="C34" s="255" t="s">
        <v>62</v>
      </c>
      <c r="D34" s="254" t="s">
        <v>63</v>
      </c>
      <c r="E34" s="240">
        <v>4.3999999999999999E-5</v>
      </c>
      <c r="F34" s="29"/>
      <c r="G34" s="136"/>
      <c r="H34" s="29"/>
      <c r="I34" s="29"/>
      <c r="J34" s="29"/>
      <c r="K34" s="29"/>
      <c r="L34" s="29"/>
      <c r="M34" s="29"/>
      <c r="N34" s="29"/>
      <c r="O34" s="29"/>
      <c r="P34" s="29"/>
      <c r="Q34" s="29"/>
      <c r="R34" s="29"/>
      <c r="S34" s="29"/>
      <c r="T34" s="25"/>
      <c r="W34" s="248" t="s">
        <v>139</v>
      </c>
      <c r="X34" s="251">
        <v>3.467E-3</v>
      </c>
    </row>
    <row r="35" spans="2:24" ht="15" customHeight="1" x14ac:dyDescent="0.25">
      <c r="B35" s="67"/>
      <c r="C35" s="137" t="s">
        <v>5</v>
      </c>
      <c r="D35" s="133"/>
      <c r="E35" s="134">
        <v>4.7812E-2</v>
      </c>
      <c r="F35" s="29"/>
      <c r="G35" s="138"/>
      <c r="H35" s="29"/>
      <c r="I35" s="29"/>
      <c r="J35" s="29"/>
      <c r="K35" s="29"/>
      <c r="L35" s="29"/>
      <c r="M35" s="29"/>
      <c r="N35" s="29"/>
      <c r="O35" s="29"/>
      <c r="P35" s="29"/>
      <c r="Q35" s="29"/>
      <c r="R35" s="29"/>
      <c r="S35" s="29"/>
      <c r="T35" s="25"/>
      <c r="W35" s="248" t="s">
        <v>11</v>
      </c>
      <c r="X35" s="251">
        <v>3.4610000000000005E-3</v>
      </c>
    </row>
    <row r="36" spans="2:24" ht="15" customHeight="1" x14ac:dyDescent="0.25">
      <c r="B36" s="67"/>
      <c r="C36" s="241"/>
      <c r="D36" s="243"/>
      <c r="E36" s="243"/>
      <c r="F36" s="29"/>
      <c r="G36" s="29"/>
      <c r="H36" s="29"/>
      <c r="I36" s="139"/>
      <c r="J36" s="29"/>
      <c r="K36" s="29"/>
      <c r="L36" s="29"/>
      <c r="M36" s="29"/>
      <c r="N36" s="29"/>
      <c r="O36" s="29"/>
      <c r="P36" s="29"/>
      <c r="Q36" s="29"/>
      <c r="R36" s="29"/>
      <c r="S36" s="29"/>
      <c r="T36" s="25"/>
      <c r="W36" s="248" t="s">
        <v>120</v>
      </c>
      <c r="X36" s="251">
        <v>-2.0000000000000052E-5</v>
      </c>
    </row>
    <row r="37" spans="2:24" ht="15" customHeight="1" x14ac:dyDescent="0.25">
      <c r="B37" s="67"/>
      <c r="C37" s="145" t="s">
        <v>203</v>
      </c>
      <c r="D37" s="146" t="s">
        <v>61</v>
      </c>
      <c r="E37" s="244">
        <v>6.2569E-2</v>
      </c>
      <c r="F37" s="29"/>
      <c r="G37" s="29"/>
      <c r="H37" s="29"/>
      <c r="I37" s="139"/>
      <c r="J37" s="29"/>
      <c r="K37" s="29"/>
      <c r="L37" s="29"/>
      <c r="M37" s="29"/>
      <c r="N37" s="29"/>
      <c r="O37" s="29"/>
      <c r="P37" s="29"/>
      <c r="Q37" s="29"/>
      <c r="R37" s="29"/>
      <c r="S37" s="29"/>
      <c r="T37" s="25"/>
      <c r="W37" s="248" t="s">
        <v>118</v>
      </c>
      <c r="X37" s="251">
        <v>-2.3000000000000017E-5</v>
      </c>
    </row>
    <row r="38" spans="2:24" ht="15" customHeight="1" x14ac:dyDescent="0.25">
      <c r="B38" s="67"/>
      <c r="C38" s="145" t="s">
        <v>235</v>
      </c>
      <c r="D38" s="146" t="s">
        <v>61</v>
      </c>
      <c r="E38" s="244">
        <v>3.4001999999999998E-2</v>
      </c>
      <c r="F38" s="29"/>
      <c r="G38" s="29"/>
      <c r="H38" s="29"/>
      <c r="I38" s="139"/>
      <c r="J38" s="29"/>
      <c r="K38" s="29"/>
      <c r="L38" s="29"/>
      <c r="M38" s="29"/>
      <c r="N38" s="29"/>
      <c r="O38" s="29"/>
      <c r="P38" s="29"/>
      <c r="Q38" s="29"/>
      <c r="R38" s="29"/>
      <c r="S38" s="29"/>
      <c r="T38" s="25"/>
      <c r="W38" s="248" t="s">
        <v>16</v>
      </c>
      <c r="X38" s="251">
        <v>-4.7000000000000167E-5</v>
      </c>
    </row>
    <row r="39" spans="2:24" ht="15" customHeight="1" x14ac:dyDescent="0.25">
      <c r="B39" s="67"/>
      <c r="C39" s="135" t="s">
        <v>207</v>
      </c>
      <c r="D39" s="146" t="s">
        <v>61</v>
      </c>
      <c r="E39" s="188">
        <v>2.1870000000000001E-2</v>
      </c>
      <c r="F39" s="29"/>
      <c r="G39" s="29"/>
      <c r="H39" s="29"/>
      <c r="I39" s="139"/>
      <c r="J39" s="29"/>
      <c r="K39" s="29"/>
      <c r="L39" s="29"/>
      <c r="M39" s="29"/>
      <c r="N39" s="29"/>
      <c r="O39" s="29"/>
      <c r="P39" s="29"/>
      <c r="Q39" s="29"/>
      <c r="R39" s="29"/>
      <c r="S39" s="29"/>
      <c r="T39" s="25"/>
      <c r="W39" s="248" t="s">
        <v>87</v>
      </c>
      <c r="X39" s="251">
        <v>-8.000000000000021E-5</v>
      </c>
    </row>
    <row r="40" spans="2:24" ht="15" customHeight="1" x14ac:dyDescent="0.25">
      <c r="B40" s="67"/>
      <c r="C40" s="145" t="s">
        <v>208</v>
      </c>
      <c r="D40" s="146" t="s">
        <v>61</v>
      </c>
      <c r="E40" s="244">
        <v>1.3247999999999999E-2</v>
      </c>
      <c r="F40" s="29"/>
      <c r="G40" s="29"/>
      <c r="H40" s="29"/>
      <c r="I40" s="139"/>
      <c r="J40" s="29"/>
      <c r="K40" s="29"/>
      <c r="L40" s="29"/>
      <c r="M40" s="29"/>
      <c r="N40" s="29"/>
      <c r="O40" s="29"/>
      <c r="P40" s="29"/>
      <c r="Q40" s="29"/>
      <c r="R40" s="29"/>
      <c r="S40" s="29"/>
      <c r="T40" s="25"/>
      <c r="W40" s="248" t="s">
        <v>123</v>
      </c>
      <c r="X40" s="251">
        <v>-9.2999999999999333E-5</v>
      </c>
    </row>
    <row r="41" spans="2:24" ht="15" customHeight="1" x14ac:dyDescent="0.25">
      <c r="B41" s="67"/>
      <c r="C41" s="256" t="s">
        <v>257</v>
      </c>
      <c r="D41" s="242" t="s">
        <v>61</v>
      </c>
      <c r="E41" s="257">
        <v>2.5460000000000001E-3</v>
      </c>
      <c r="F41" s="29"/>
      <c r="G41" s="29"/>
      <c r="H41" s="29"/>
      <c r="I41" s="139"/>
      <c r="J41" s="29"/>
      <c r="K41" s="29"/>
      <c r="L41" s="29"/>
      <c r="M41" s="29"/>
      <c r="N41" s="29"/>
      <c r="O41" s="29"/>
      <c r="P41" s="29"/>
      <c r="Q41" s="29"/>
      <c r="R41" s="29"/>
      <c r="S41" s="29"/>
      <c r="T41" s="25"/>
    </row>
    <row r="42" spans="2:24" s="56" customFormat="1" ht="15" customHeight="1" x14ac:dyDescent="0.25">
      <c r="B42" s="140"/>
      <c r="C42" s="132" t="s">
        <v>42</v>
      </c>
      <c r="D42" s="112"/>
      <c r="E42" s="134">
        <v>0.13423499999999999</v>
      </c>
      <c r="F42" s="54"/>
      <c r="G42" s="54"/>
      <c r="H42" s="54"/>
      <c r="I42" s="144"/>
      <c r="J42" s="54"/>
      <c r="K42" s="54"/>
      <c r="L42" s="54"/>
      <c r="M42" s="54"/>
      <c r="N42" s="54"/>
      <c r="O42" s="54"/>
      <c r="P42" s="54"/>
      <c r="Q42" s="54"/>
      <c r="R42" s="54"/>
      <c r="S42" s="54"/>
      <c r="T42" s="55"/>
      <c r="W42" s="248"/>
      <c r="X42" s="251"/>
    </row>
    <row r="43" spans="2:24" s="56" customFormat="1" ht="15" customHeight="1" x14ac:dyDescent="0.25">
      <c r="B43" s="140"/>
      <c r="C43" s="141"/>
      <c r="D43" s="142"/>
      <c r="E43" s="143"/>
      <c r="F43" s="54"/>
      <c r="G43" s="54"/>
      <c r="H43" s="54"/>
      <c r="I43" s="144"/>
      <c r="J43" s="54"/>
      <c r="K43" s="54"/>
      <c r="L43" s="54"/>
      <c r="M43" s="54"/>
      <c r="N43" s="54"/>
      <c r="O43" s="54"/>
      <c r="P43" s="54"/>
      <c r="Q43" s="54"/>
      <c r="R43" s="54"/>
      <c r="S43" s="54"/>
      <c r="T43" s="55"/>
      <c r="W43" s="248"/>
      <c r="X43" s="251"/>
    </row>
    <row r="44" spans="2:24" s="56" customFormat="1" ht="15" customHeight="1" x14ac:dyDescent="0.25">
      <c r="B44" s="140"/>
      <c r="C44" s="147" t="s">
        <v>68</v>
      </c>
      <c r="D44" s="148"/>
      <c r="E44" s="194">
        <v>1.4882999999999959E-2</v>
      </c>
      <c r="F44" s="54"/>
      <c r="G44" s="54"/>
      <c r="H44" s="54"/>
      <c r="I44" s="144"/>
      <c r="J44" s="54"/>
      <c r="K44" s="54"/>
      <c r="L44" s="54"/>
      <c r="M44" s="54"/>
      <c r="N44" s="54"/>
      <c r="O44" s="54"/>
      <c r="P44" s="54"/>
      <c r="Q44" s="54"/>
      <c r="R44" s="54"/>
      <c r="S44" s="54"/>
      <c r="T44" s="55"/>
      <c r="X44" s="183"/>
    </row>
    <row r="45" spans="2:24" s="56" customFormat="1" ht="15" customHeight="1" x14ac:dyDescent="0.25">
      <c r="B45" s="140"/>
      <c r="C45" s="149"/>
      <c r="D45" s="117"/>
      <c r="E45" s="150"/>
      <c r="F45" s="54"/>
      <c r="G45" s="54"/>
      <c r="H45" s="54"/>
      <c r="I45" s="144"/>
      <c r="J45" s="54"/>
      <c r="K45" s="54"/>
      <c r="L45" s="54"/>
      <c r="M45" s="54"/>
      <c r="N45" s="54"/>
      <c r="O45" s="54"/>
      <c r="P45" s="54"/>
      <c r="Q45" s="54"/>
      <c r="R45" s="54"/>
      <c r="S45" s="54"/>
      <c r="T45" s="55"/>
    </row>
    <row r="46" spans="2:24" ht="15" customHeight="1" x14ac:dyDescent="0.25">
      <c r="B46" s="67"/>
      <c r="C46" s="151" t="s">
        <v>21</v>
      </c>
      <c r="D46" s="77"/>
      <c r="E46" s="78">
        <f>E44+E42+E35+E27+E25+E23</f>
        <v>1</v>
      </c>
      <c r="F46" s="29"/>
      <c r="G46" s="29"/>
      <c r="H46" s="29"/>
      <c r="I46" s="139"/>
      <c r="J46" s="29"/>
      <c r="K46" s="29"/>
      <c r="L46" s="29"/>
      <c r="M46" s="29"/>
      <c r="N46" s="29"/>
      <c r="O46" s="29"/>
      <c r="P46" s="29"/>
      <c r="Q46" s="29"/>
      <c r="R46" s="29"/>
      <c r="S46" s="29"/>
      <c r="T46" s="25"/>
    </row>
    <row r="47" spans="2:24" ht="15" customHeight="1" x14ac:dyDescent="0.25">
      <c r="B47" s="67"/>
      <c r="F47" s="29"/>
      <c r="G47" s="29"/>
      <c r="H47" s="29"/>
      <c r="I47" s="139"/>
      <c r="J47" s="29"/>
      <c r="K47" s="29"/>
      <c r="L47" s="29"/>
      <c r="M47" s="29"/>
      <c r="N47" s="29"/>
      <c r="O47" s="29"/>
      <c r="P47" s="29"/>
      <c r="Q47" s="29"/>
      <c r="R47" s="29"/>
      <c r="S47" s="29"/>
      <c r="T47" s="25"/>
    </row>
    <row r="48" spans="2:24" ht="15" customHeight="1" thickBot="1" x14ac:dyDescent="0.3">
      <c r="B48" s="79"/>
      <c r="C48" s="30"/>
      <c r="D48" s="30"/>
      <c r="E48" s="30"/>
      <c r="F48" s="30"/>
      <c r="G48" s="30"/>
      <c r="H48" s="30"/>
      <c r="I48" s="30"/>
      <c r="J48" s="30"/>
      <c r="K48" s="30"/>
      <c r="L48" s="30"/>
      <c r="M48" s="30"/>
      <c r="N48" s="30"/>
      <c r="O48" s="30"/>
      <c r="P48" s="30"/>
      <c r="Q48" s="30"/>
      <c r="R48" s="30"/>
      <c r="S48" s="30"/>
      <c r="T48" s="26"/>
    </row>
    <row r="49" spans="2:18" ht="15" customHeight="1" thickBot="1" x14ac:dyDescent="0.3"/>
    <row r="50" spans="2:18" ht="15" customHeight="1" x14ac:dyDescent="0.25">
      <c r="B50" s="265" t="s">
        <v>186</v>
      </c>
      <c r="C50" s="266"/>
      <c r="D50" s="266"/>
      <c r="E50" s="266"/>
      <c r="F50" s="266"/>
      <c r="G50" s="266"/>
      <c r="H50" s="266"/>
      <c r="I50" s="266"/>
      <c r="J50" s="266"/>
      <c r="K50" s="266"/>
      <c r="L50" s="266"/>
      <c r="M50" s="266"/>
      <c r="N50" s="266"/>
      <c r="O50" s="266"/>
      <c r="P50" s="266"/>
      <c r="Q50" s="266"/>
      <c r="R50" s="267"/>
    </row>
    <row r="51" spans="2:18" ht="15" customHeight="1" x14ac:dyDescent="0.25">
      <c r="B51" s="268"/>
      <c r="C51" s="269"/>
      <c r="D51" s="269"/>
      <c r="E51" s="269"/>
      <c r="F51" s="269"/>
      <c r="G51" s="269"/>
      <c r="H51" s="269"/>
      <c r="I51" s="269"/>
      <c r="J51" s="269"/>
      <c r="K51" s="269"/>
      <c r="L51" s="269"/>
      <c r="M51" s="269"/>
      <c r="N51" s="269"/>
      <c r="O51" s="269"/>
      <c r="P51" s="269"/>
      <c r="Q51" s="269"/>
      <c r="R51" s="270"/>
    </row>
    <row r="52" spans="2:18" ht="15" customHeight="1" x14ac:dyDescent="0.25">
      <c r="B52" s="268"/>
      <c r="C52" s="269"/>
      <c r="D52" s="269"/>
      <c r="E52" s="269"/>
      <c r="F52" s="269"/>
      <c r="G52" s="269"/>
      <c r="H52" s="269"/>
      <c r="I52" s="269"/>
      <c r="J52" s="269"/>
      <c r="K52" s="269"/>
      <c r="L52" s="269"/>
      <c r="M52" s="269"/>
      <c r="N52" s="269"/>
      <c r="O52" s="269"/>
      <c r="P52" s="269"/>
      <c r="Q52" s="269"/>
      <c r="R52" s="270"/>
    </row>
    <row r="53" spans="2:18" ht="15" customHeight="1" x14ac:dyDescent="0.25">
      <c r="B53" s="268"/>
      <c r="C53" s="269"/>
      <c r="D53" s="269"/>
      <c r="E53" s="269"/>
      <c r="F53" s="269"/>
      <c r="G53" s="269"/>
      <c r="H53" s="269"/>
      <c r="I53" s="269"/>
      <c r="J53" s="269"/>
      <c r="K53" s="269"/>
      <c r="L53" s="269"/>
      <c r="M53" s="269"/>
      <c r="N53" s="269"/>
      <c r="O53" s="269"/>
      <c r="P53" s="269"/>
      <c r="Q53" s="269"/>
      <c r="R53" s="270"/>
    </row>
    <row r="54" spans="2:18" ht="15" customHeight="1" x14ac:dyDescent="0.25">
      <c r="B54" s="268"/>
      <c r="C54" s="269"/>
      <c r="D54" s="269"/>
      <c r="E54" s="269"/>
      <c r="F54" s="269"/>
      <c r="G54" s="269"/>
      <c r="H54" s="269"/>
      <c r="I54" s="269"/>
      <c r="J54" s="269"/>
      <c r="K54" s="269"/>
      <c r="L54" s="269"/>
      <c r="M54" s="269"/>
      <c r="N54" s="269"/>
      <c r="O54" s="269"/>
      <c r="P54" s="269"/>
      <c r="Q54" s="269"/>
      <c r="R54" s="270"/>
    </row>
    <row r="55" spans="2:18" ht="15" customHeight="1" x14ac:dyDescent="0.25">
      <c r="B55" s="268"/>
      <c r="C55" s="269"/>
      <c r="D55" s="269"/>
      <c r="E55" s="269"/>
      <c r="F55" s="269"/>
      <c r="G55" s="269"/>
      <c r="H55" s="269"/>
      <c r="I55" s="269"/>
      <c r="J55" s="269"/>
      <c r="K55" s="269"/>
      <c r="L55" s="269"/>
      <c r="M55" s="269"/>
      <c r="N55" s="269"/>
      <c r="O55" s="269"/>
      <c r="P55" s="269"/>
      <c r="Q55" s="269"/>
      <c r="R55" s="270"/>
    </row>
    <row r="56" spans="2:18" ht="24.75" customHeight="1" thickBot="1" x14ac:dyDescent="0.3">
      <c r="B56" s="271"/>
      <c r="C56" s="272"/>
      <c r="D56" s="272"/>
      <c r="E56" s="272"/>
      <c r="F56" s="272"/>
      <c r="G56" s="272"/>
      <c r="H56" s="272"/>
      <c r="I56" s="272"/>
      <c r="J56" s="272"/>
      <c r="K56" s="272"/>
      <c r="L56" s="272"/>
      <c r="M56" s="272"/>
      <c r="N56" s="272"/>
      <c r="O56" s="272"/>
      <c r="P56" s="272"/>
      <c r="Q56" s="272"/>
      <c r="R56" s="273"/>
    </row>
    <row r="57" spans="2:18" ht="15" customHeight="1" x14ac:dyDescent="0.25"/>
    <row r="58" spans="2:18" ht="15" customHeight="1" x14ac:dyDescent="0.25"/>
    <row r="59" spans="2:18" ht="15" customHeight="1" x14ac:dyDescent="0.25"/>
    <row r="60" spans="2:18" ht="15" customHeight="1" x14ac:dyDescent="0.25"/>
    <row r="61" spans="2:18" ht="15" customHeight="1" x14ac:dyDescent="0.25"/>
    <row r="62" spans="2:18" ht="15" customHeight="1" x14ac:dyDescent="0.25"/>
    <row r="63" spans="2:18" ht="15" customHeight="1" x14ac:dyDescent="0.25"/>
    <row r="64" spans="2:18" ht="15" customHeight="1" x14ac:dyDescent="0.25"/>
    <row r="65" ht="15" customHeight="1" x14ac:dyDescent="0.25"/>
  </sheetData>
  <sortState ref="C37:E41">
    <sortCondition descending="1" ref="E37"/>
  </sortState>
  <mergeCells count="3">
    <mergeCell ref="C3:S3"/>
    <mergeCell ref="D5:E5"/>
    <mergeCell ref="B50:R56"/>
  </mergeCells>
  <pageMargins left="0.7" right="0.7" top="0.75" bottom="0.75" header="0.3" footer="0.3"/>
  <pageSetup scale="37"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B1:S665"/>
  <sheetViews>
    <sheetView showGridLines="0" zoomScale="80" zoomScaleNormal="80" zoomScaleSheetLayoutView="76" workbookViewId="0"/>
  </sheetViews>
  <sheetFormatPr defaultRowHeight="15" x14ac:dyDescent="0.2"/>
  <cols>
    <col min="1" max="1" width="2.85546875" style="3" customWidth="1"/>
    <col min="2" max="2" width="3.85546875" style="3" customWidth="1"/>
    <col min="3" max="3" width="57.85546875" style="3" bestFit="1" customWidth="1"/>
    <col min="4" max="4" width="33.7109375" style="3" customWidth="1"/>
    <col min="5" max="5" width="16.7109375" style="3" customWidth="1"/>
    <col min="6" max="6" width="9.140625" style="3"/>
    <col min="7" max="14" width="12" style="3" customWidth="1"/>
    <col min="15" max="17" width="9.140625" style="3"/>
    <col min="18" max="18" width="9.85546875" style="3" customWidth="1"/>
    <col min="19" max="19" width="13.140625" style="3" bestFit="1" customWidth="1"/>
    <col min="20" max="20" width="9.28515625" style="3" bestFit="1" customWidth="1"/>
    <col min="21" max="16384" width="9.140625" style="3"/>
  </cols>
  <sheetData>
    <row r="1" spans="2:19" ht="15.75" thickBot="1" x14ac:dyDescent="0.25"/>
    <row r="2" spans="2:19" x14ac:dyDescent="0.2">
      <c r="B2" s="94"/>
      <c r="C2" s="42"/>
      <c r="D2" s="42"/>
      <c r="E2" s="42"/>
      <c r="F2" s="42"/>
      <c r="G2" s="42"/>
      <c r="H2" s="42"/>
      <c r="I2" s="42"/>
      <c r="J2" s="42"/>
      <c r="K2" s="42"/>
      <c r="L2" s="42"/>
      <c r="M2" s="42"/>
      <c r="N2" s="95"/>
    </row>
    <row r="3" spans="2:19" ht="20.25" customHeight="1" x14ac:dyDescent="0.2">
      <c r="B3" s="96"/>
      <c r="C3" s="259" t="s">
        <v>164</v>
      </c>
      <c r="D3" s="259"/>
      <c r="E3" s="259"/>
      <c r="F3" s="259"/>
      <c r="G3" s="259"/>
      <c r="H3" s="259"/>
      <c r="I3" s="259"/>
      <c r="J3" s="259"/>
      <c r="K3" s="259"/>
      <c r="L3" s="259"/>
      <c r="M3" s="259"/>
      <c r="N3" s="260"/>
    </row>
    <row r="4" spans="2:19" ht="15.75" x14ac:dyDescent="0.25">
      <c r="B4" s="96"/>
      <c r="C4" s="70" t="s">
        <v>367</v>
      </c>
      <c r="D4" s="29"/>
      <c r="E4" s="29"/>
      <c r="F4" s="5"/>
      <c r="G4" s="5"/>
      <c r="H4" s="5"/>
      <c r="I4" s="5"/>
      <c r="J4" s="5"/>
      <c r="K4" s="5"/>
      <c r="L4" s="5"/>
      <c r="M4" s="5"/>
      <c r="N4" s="20"/>
    </row>
    <row r="5" spans="2:19" ht="20.25" customHeight="1" x14ac:dyDescent="0.2">
      <c r="B5" s="96"/>
      <c r="C5" s="228" t="s">
        <v>366</v>
      </c>
      <c r="D5" s="276" t="s">
        <v>333</v>
      </c>
      <c r="E5" s="276"/>
      <c r="F5" s="5"/>
      <c r="G5" s="5"/>
      <c r="H5" s="5"/>
      <c r="I5" s="5"/>
      <c r="J5" s="5"/>
      <c r="K5" s="5"/>
      <c r="L5" s="5"/>
      <c r="M5" s="5"/>
      <c r="N5" s="20"/>
    </row>
    <row r="6" spans="2:19" ht="15.75" x14ac:dyDescent="0.25">
      <c r="B6" s="96"/>
      <c r="C6" s="29"/>
      <c r="D6" s="29"/>
      <c r="E6" s="29"/>
      <c r="F6" s="5"/>
      <c r="G6" s="5"/>
      <c r="H6" s="5"/>
      <c r="I6" s="5"/>
      <c r="J6" s="5"/>
      <c r="K6" s="5"/>
      <c r="L6" s="5"/>
      <c r="M6" s="5"/>
      <c r="N6" s="20"/>
    </row>
    <row r="7" spans="2:19" ht="32.25" customHeight="1" x14ac:dyDescent="0.2">
      <c r="B7" s="96"/>
      <c r="C7" s="98" t="s">
        <v>43</v>
      </c>
      <c r="D7" s="123" t="s">
        <v>44</v>
      </c>
      <c r="E7" s="238" t="s">
        <v>45</v>
      </c>
      <c r="F7" s="5"/>
      <c r="G7" s="261" t="s">
        <v>46</v>
      </c>
      <c r="H7" s="261"/>
      <c r="I7" s="261"/>
      <c r="J7" s="261"/>
      <c r="K7" s="261"/>
      <c r="L7" s="261"/>
      <c r="M7" s="261"/>
      <c r="N7" s="262"/>
    </row>
    <row r="8" spans="2:19" x14ac:dyDescent="0.2">
      <c r="B8" s="96"/>
      <c r="C8" s="124" t="s">
        <v>29</v>
      </c>
      <c r="D8" s="125" t="s">
        <v>3</v>
      </c>
      <c r="E8" s="196">
        <v>2.2817999999999998E-2</v>
      </c>
      <c r="F8" s="5"/>
      <c r="G8" s="5" t="s">
        <v>47</v>
      </c>
      <c r="H8" s="31">
        <v>1</v>
      </c>
      <c r="I8" s="48">
        <f>H8/SUM($H$8:$H$10)</f>
        <v>1</v>
      </c>
      <c r="J8" s="5"/>
      <c r="K8" s="31"/>
      <c r="L8" s="5"/>
      <c r="M8" s="5"/>
      <c r="N8" s="20"/>
      <c r="S8" s="52"/>
    </row>
    <row r="9" spans="2:19" ht="15.75" customHeight="1" x14ac:dyDescent="0.2">
      <c r="B9" s="96"/>
      <c r="C9" s="126" t="s">
        <v>31</v>
      </c>
      <c r="D9" s="38" t="s">
        <v>6</v>
      </c>
      <c r="E9" s="196">
        <v>1.9533000000000002E-2</v>
      </c>
      <c r="F9" s="5"/>
      <c r="G9" s="5" t="s">
        <v>57</v>
      </c>
      <c r="H9" s="6">
        <v>0</v>
      </c>
      <c r="I9" s="48">
        <f>H9/SUM($H$8:$H$10)</f>
        <v>0</v>
      </c>
      <c r="J9" s="5" t="s">
        <v>101</v>
      </c>
      <c r="K9" s="31">
        <f>E23+E25</f>
        <v>0.20798499999999998</v>
      </c>
      <c r="L9" s="5"/>
      <c r="M9" s="5"/>
      <c r="N9" s="20"/>
      <c r="S9" s="52"/>
    </row>
    <row r="10" spans="2:19" x14ac:dyDescent="0.2">
      <c r="B10" s="96"/>
      <c r="C10" s="126" t="s">
        <v>32</v>
      </c>
      <c r="D10" s="38" t="s">
        <v>3</v>
      </c>
      <c r="E10" s="196">
        <v>1.6566999999999998E-2</v>
      </c>
      <c r="F10" s="31"/>
      <c r="G10" s="5" t="s">
        <v>48</v>
      </c>
      <c r="H10" s="6">
        <v>0</v>
      </c>
      <c r="I10" s="48">
        <f>H10/SUM($H$8:$H$10)</f>
        <v>0</v>
      </c>
      <c r="J10" s="5" t="s">
        <v>20</v>
      </c>
      <c r="K10" s="31">
        <f>E40</f>
        <v>6.1840999999999979E-2</v>
      </c>
      <c r="L10" s="5"/>
      <c r="M10" s="5"/>
      <c r="N10" s="20"/>
      <c r="S10" s="52"/>
    </row>
    <row r="11" spans="2:19" x14ac:dyDescent="0.2">
      <c r="B11" s="96"/>
      <c r="C11" s="126" t="s">
        <v>28</v>
      </c>
      <c r="D11" s="38" t="s">
        <v>109</v>
      </c>
      <c r="E11" s="196">
        <v>1.2744999999999999E-2</v>
      </c>
      <c r="F11" s="5"/>
      <c r="G11" s="5"/>
      <c r="H11" s="5"/>
      <c r="I11" s="5"/>
      <c r="J11" s="5"/>
      <c r="K11" s="31"/>
      <c r="L11" s="5"/>
      <c r="M11" s="5"/>
      <c r="N11" s="20"/>
      <c r="S11" s="52"/>
    </row>
    <row r="12" spans="2:19" ht="15.75" customHeight="1" x14ac:dyDescent="0.2">
      <c r="B12" s="96"/>
      <c r="C12" s="126" t="s">
        <v>34</v>
      </c>
      <c r="D12" s="38" t="s">
        <v>23</v>
      </c>
      <c r="E12" s="196">
        <v>9.1760000000000001E-3</v>
      </c>
      <c r="F12" s="31"/>
      <c r="G12" s="5"/>
      <c r="H12" s="31"/>
      <c r="I12" s="5"/>
      <c r="J12" s="5" t="s">
        <v>41</v>
      </c>
      <c r="K12" s="31">
        <f>E35</f>
        <v>0.109988</v>
      </c>
      <c r="L12" s="5"/>
      <c r="M12" s="5"/>
      <c r="N12" s="20"/>
      <c r="S12" s="52"/>
    </row>
    <row r="13" spans="2:19" x14ac:dyDescent="0.2">
      <c r="B13" s="96"/>
      <c r="C13" s="126" t="s">
        <v>33</v>
      </c>
      <c r="D13" s="38" t="s">
        <v>109</v>
      </c>
      <c r="E13" s="196">
        <v>8.3240000000000015E-3</v>
      </c>
      <c r="F13" s="31"/>
      <c r="G13" s="5"/>
      <c r="H13" s="5"/>
      <c r="I13" s="5"/>
      <c r="J13" s="5"/>
      <c r="K13" s="31"/>
      <c r="L13" s="5"/>
      <c r="M13" s="5"/>
      <c r="N13" s="20"/>
      <c r="S13" s="52"/>
    </row>
    <row r="14" spans="2:19" x14ac:dyDescent="0.2">
      <c r="B14" s="96"/>
      <c r="C14" s="126" t="s">
        <v>30</v>
      </c>
      <c r="D14" s="38" t="s">
        <v>119</v>
      </c>
      <c r="E14" s="196">
        <v>8.3049999999999999E-3</v>
      </c>
      <c r="F14" s="31"/>
      <c r="G14" s="5"/>
      <c r="H14" s="5"/>
      <c r="I14" s="5"/>
      <c r="J14" s="5" t="s">
        <v>237</v>
      </c>
      <c r="K14" s="31">
        <f>E27</f>
        <v>6.8736000000000005E-2</v>
      </c>
      <c r="L14" s="5"/>
      <c r="M14" s="5"/>
      <c r="N14" s="20"/>
      <c r="S14" s="52"/>
    </row>
    <row r="15" spans="2:19" x14ac:dyDescent="0.2">
      <c r="B15" s="96"/>
      <c r="C15" s="126" t="s">
        <v>70</v>
      </c>
      <c r="D15" s="38" t="s">
        <v>12</v>
      </c>
      <c r="E15" s="196">
        <v>7.6269999999999992E-3</v>
      </c>
      <c r="F15" s="5"/>
      <c r="G15" s="5"/>
      <c r="H15" s="5"/>
      <c r="I15" s="5"/>
      <c r="J15" s="5" t="s">
        <v>42</v>
      </c>
      <c r="K15" s="31">
        <f>E38</f>
        <v>5.2330000000000002E-2</v>
      </c>
      <c r="L15" s="5"/>
      <c r="M15" s="5"/>
      <c r="N15" s="20"/>
      <c r="S15" s="52"/>
    </row>
    <row r="16" spans="2:19" x14ac:dyDescent="0.2">
      <c r="B16" s="96"/>
      <c r="C16" s="126" t="s">
        <v>80</v>
      </c>
      <c r="D16" s="38" t="s">
        <v>3</v>
      </c>
      <c r="E16" s="196">
        <v>6.5589999999999954E-3</v>
      </c>
      <c r="F16" s="5"/>
      <c r="G16" s="5"/>
      <c r="H16" s="5"/>
      <c r="I16" s="5"/>
      <c r="J16" s="5" t="s">
        <v>60</v>
      </c>
      <c r="K16" s="31">
        <f>E29</f>
        <v>0.49912000000000001</v>
      </c>
      <c r="L16" s="5"/>
      <c r="M16" s="5"/>
      <c r="N16" s="20"/>
      <c r="S16" s="52"/>
    </row>
    <row r="17" spans="2:19" x14ac:dyDescent="0.2">
      <c r="B17" s="96"/>
      <c r="C17" s="127" t="s">
        <v>36</v>
      </c>
      <c r="D17" s="109" t="s">
        <v>3</v>
      </c>
      <c r="E17" s="196">
        <v>6.1600000000000023E-3</v>
      </c>
      <c r="F17" s="5"/>
      <c r="G17" s="5"/>
      <c r="H17" s="5"/>
      <c r="I17" s="5"/>
      <c r="J17" s="5"/>
      <c r="K17" s="5"/>
      <c r="L17" s="5"/>
      <c r="M17" s="5"/>
      <c r="N17" s="20"/>
      <c r="S17" s="52"/>
    </row>
    <row r="18" spans="2:19" x14ac:dyDescent="0.2">
      <c r="B18" s="96"/>
      <c r="C18" s="126" t="s">
        <v>35</v>
      </c>
      <c r="D18" s="38" t="s">
        <v>3</v>
      </c>
      <c r="E18" s="196">
        <v>5.0460000000000001E-3</v>
      </c>
      <c r="F18" s="5"/>
      <c r="G18" s="5"/>
      <c r="H18" s="5"/>
      <c r="I18" s="5"/>
      <c r="J18" s="5"/>
      <c r="K18" s="5"/>
      <c r="L18" s="5"/>
      <c r="M18" s="5"/>
      <c r="N18" s="20"/>
      <c r="S18" s="52"/>
    </row>
    <row r="19" spans="2:19" x14ac:dyDescent="0.2">
      <c r="B19" s="96"/>
      <c r="C19" s="126" t="s">
        <v>122</v>
      </c>
      <c r="D19" s="38" t="s">
        <v>114</v>
      </c>
      <c r="E19" s="196">
        <v>4.6980000000000008E-3</v>
      </c>
      <c r="F19" s="5"/>
      <c r="G19" s="5"/>
      <c r="H19" s="5"/>
      <c r="I19" s="5"/>
      <c r="J19" s="5"/>
      <c r="K19" s="5"/>
      <c r="L19" s="5"/>
      <c r="M19" s="5"/>
      <c r="N19" s="20"/>
      <c r="S19" s="52"/>
    </row>
    <row r="20" spans="2:19" ht="15.75" customHeight="1" x14ac:dyDescent="0.25">
      <c r="B20" s="96"/>
      <c r="C20" s="126" t="s">
        <v>37</v>
      </c>
      <c r="D20" s="38" t="s">
        <v>119</v>
      </c>
      <c r="E20" s="196">
        <v>4.1200000000000004E-3</v>
      </c>
      <c r="F20" s="5"/>
      <c r="G20" s="279" t="s">
        <v>102</v>
      </c>
      <c r="H20" s="280"/>
      <c r="I20" s="280"/>
      <c r="J20" s="280"/>
      <c r="K20" s="280"/>
      <c r="L20" s="185">
        <v>2.9313842621534008</v>
      </c>
      <c r="M20" s="128"/>
      <c r="N20" s="111"/>
      <c r="P20" s="19"/>
      <c r="S20" s="52"/>
    </row>
    <row r="21" spans="2:19" ht="15.75" x14ac:dyDescent="0.25">
      <c r="B21" s="96"/>
      <c r="C21" s="126" t="s">
        <v>62</v>
      </c>
      <c r="D21" s="38" t="s">
        <v>10</v>
      </c>
      <c r="E21" s="196">
        <v>4.0239999999999998E-3</v>
      </c>
      <c r="F21" s="5"/>
      <c r="G21" s="5"/>
      <c r="H21" s="5"/>
      <c r="I21" s="5"/>
      <c r="J21" s="5"/>
      <c r="K21" s="5"/>
      <c r="L21" s="5"/>
      <c r="M21" s="5"/>
      <c r="N21" s="20"/>
      <c r="P21" s="19"/>
      <c r="S21" s="52"/>
    </row>
    <row r="22" spans="2:19" ht="15.75" x14ac:dyDescent="0.25">
      <c r="B22" s="96"/>
      <c r="C22" s="126" t="s">
        <v>81</v>
      </c>
      <c r="D22" s="38" t="s">
        <v>114</v>
      </c>
      <c r="E22" s="196">
        <v>3.8670000000000002E-3</v>
      </c>
      <c r="F22" s="5"/>
      <c r="G22" s="31"/>
      <c r="H22" s="31"/>
      <c r="I22" s="31"/>
      <c r="J22" s="5"/>
      <c r="K22" s="31"/>
      <c r="L22" s="5"/>
      <c r="M22" s="5"/>
      <c r="N22" s="20"/>
      <c r="P22" s="19"/>
      <c r="S22" s="52"/>
    </row>
    <row r="23" spans="2:19" ht="15.75" customHeight="1" x14ac:dyDescent="0.25">
      <c r="B23" s="96"/>
      <c r="C23" s="112" t="s">
        <v>91</v>
      </c>
      <c r="D23" s="112"/>
      <c r="E23" s="113">
        <f>SUM(E8:E22)</f>
        <v>0.139569</v>
      </c>
      <c r="F23" s="5"/>
      <c r="G23" s="261" t="s">
        <v>50</v>
      </c>
      <c r="H23" s="261"/>
      <c r="I23" s="261"/>
      <c r="J23" s="261"/>
      <c r="K23" s="261"/>
      <c r="L23" s="261"/>
      <c r="M23" s="261"/>
      <c r="N23" s="262"/>
      <c r="P23" s="19"/>
      <c r="S23" s="52"/>
    </row>
    <row r="24" spans="2:19" ht="15.75" x14ac:dyDescent="0.25">
      <c r="B24" s="96"/>
      <c r="C24" s="4"/>
      <c r="D24" s="4"/>
      <c r="E24" s="6"/>
      <c r="F24" s="5"/>
      <c r="G24" s="5"/>
      <c r="H24" s="5"/>
      <c r="I24" s="5"/>
      <c r="J24" s="5"/>
      <c r="K24" s="5"/>
      <c r="L24" s="5"/>
      <c r="M24" s="5"/>
      <c r="N24" s="20"/>
      <c r="P24" s="19"/>
      <c r="S24" s="52"/>
    </row>
    <row r="25" spans="2:19" ht="15.75" x14ac:dyDescent="0.25">
      <c r="B25" s="96"/>
      <c r="C25" s="112" t="s">
        <v>92</v>
      </c>
      <c r="D25" s="112"/>
      <c r="E25" s="113">
        <v>6.8415999999999963E-2</v>
      </c>
      <c r="F25" s="5"/>
      <c r="G25" s="5"/>
      <c r="H25" s="5"/>
      <c r="I25" s="5"/>
      <c r="J25" s="5"/>
      <c r="K25" s="5"/>
      <c r="L25" s="5"/>
      <c r="M25" s="5"/>
      <c r="N25" s="20"/>
      <c r="P25" s="19"/>
      <c r="S25" s="52"/>
    </row>
    <row r="26" spans="2:19" ht="15.75" x14ac:dyDescent="0.25">
      <c r="B26" s="96"/>
      <c r="C26" s="4"/>
      <c r="D26" s="4"/>
      <c r="E26" s="258"/>
      <c r="F26" s="5"/>
      <c r="G26" s="5"/>
      <c r="H26" s="5"/>
      <c r="I26" s="5"/>
      <c r="J26" s="5"/>
      <c r="K26" s="5"/>
      <c r="L26" s="5"/>
      <c r="M26" s="5"/>
      <c r="N26" s="20"/>
      <c r="P26" s="19"/>
      <c r="S26" s="52"/>
    </row>
    <row r="27" spans="2:19" ht="31.5" x14ac:dyDescent="0.25">
      <c r="B27" s="96"/>
      <c r="C27" s="112" t="s">
        <v>236</v>
      </c>
      <c r="D27" s="129"/>
      <c r="E27" s="190">
        <v>6.8736000000000005E-2</v>
      </c>
      <c r="F27" s="5"/>
      <c r="G27" s="5"/>
      <c r="H27" s="5"/>
      <c r="I27" s="5"/>
      <c r="J27" s="5"/>
      <c r="K27" s="5"/>
      <c r="L27" s="5"/>
      <c r="M27" s="5"/>
      <c r="N27" s="20"/>
      <c r="P27" s="19"/>
      <c r="S27" s="52"/>
    </row>
    <row r="28" spans="2:19" ht="15.75" x14ac:dyDescent="0.25">
      <c r="B28" s="96"/>
      <c r="C28" s="4"/>
      <c r="D28" s="4"/>
      <c r="E28" s="6"/>
      <c r="F28" s="5"/>
      <c r="G28" s="5"/>
      <c r="H28" s="5"/>
      <c r="I28" s="5"/>
      <c r="J28" s="5"/>
      <c r="K28" s="5"/>
      <c r="L28" s="5"/>
      <c r="M28" s="5"/>
      <c r="N28" s="20"/>
      <c r="P28" s="19"/>
      <c r="S28" s="52"/>
    </row>
    <row r="29" spans="2:19" ht="15.75" x14ac:dyDescent="0.25">
      <c r="B29" s="96"/>
      <c r="C29" s="112" t="s">
        <v>58</v>
      </c>
      <c r="D29" s="112"/>
      <c r="E29" s="190">
        <v>0.49912000000000001</v>
      </c>
      <c r="F29" s="5"/>
      <c r="G29" s="5"/>
      <c r="H29" s="5"/>
      <c r="I29" s="5"/>
      <c r="J29" s="5"/>
      <c r="K29" s="5"/>
      <c r="L29" s="5"/>
      <c r="M29" s="5"/>
      <c r="N29" s="20"/>
      <c r="P29" s="19"/>
      <c r="S29" s="52"/>
    </row>
    <row r="30" spans="2:19" ht="15.75" x14ac:dyDescent="0.25">
      <c r="B30" s="96"/>
      <c r="C30" s="215"/>
      <c r="D30" s="215"/>
      <c r="E30" s="197"/>
      <c r="F30" s="5"/>
      <c r="G30" s="5"/>
      <c r="H30" s="5"/>
      <c r="I30" s="5"/>
      <c r="J30" s="5"/>
      <c r="K30" s="5"/>
      <c r="L30" s="5"/>
      <c r="M30" s="5"/>
      <c r="N30" s="20"/>
      <c r="P30" s="19"/>
      <c r="S30" s="52"/>
    </row>
    <row r="31" spans="2:19" ht="15.75" x14ac:dyDescent="0.25">
      <c r="B31" s="96"/>
      <c r="C31" s="215"/>
      <c r="D31" s="215"/>
      <c r="E31" s="196"/>
      <c r="F31" s="5"/>
      <c r="G31" s="5"/>
      <c r="H31" s="5"/>
      <c r="I31" s="5"/>
      <c r="J31" s="5"/>
      <c r="K31" s="5"/>
      <c r="L31" s="5"/>
      <c r="M31" s="5"/>
      <c r="N31" s="20"/>
      <c r="P31" s="19"/>
      <c r="S31" s="52"/>
    </row>
    <row r="32" spans="2:19" ht="15.75" x14ac:dyDescent="0.25">
      <c r="B32" s="96"/>
      <c r="C32" s="215" t="s">
        <v>185</v>
      </c>
      <c r="D32" s="215" t="s">
        <v>63</v>
      </c>
      <c r="E32" s="196">
        <v>3.6544E-2</v>
      </c>
      <c r="F32" s="5"/>
      <c r="G32" s="5"/>
      <c r="H32" s="5"/>
      <c r="I32" s="5"/>
      <c r="J32" s="5"/>
      <c r="K32" s="5"/>
      <c r="L32" s="5"/>
      <c r="M32" s="5"/>
      <c r="N32" s="20"/>
      <c r="P32" s="19"/>
      <c r="S32" s="52"/>
    </row>
    <row r="33" spans="2:19" ht="15" customHeight="1" x14ac:dyDescent="0.25">
      <c r="B33" s="96"/>
      <c r="C33" s="215" t="s">
        <v>75</v>
      </c>
      <c r="D33" s="215" t="s">
        <v>63</v>
      </c>
      <c r="E33" s="196">
        <v>3.6717E-2</v>
      </c>
      <c r="F33" s="5"/>
      <c r="G33" s="5"/>
      <c r="H33" s="5"/>
      <c r="I33" s="5"/>
      <c r="J33" s="5"/>
      <c r="K33" s="5"/>
      <c r="L33" s="5"/>
      <c r="M33" s="5"/>
      <c r="N33" s="20"/>
      <c r="P33" s="19"/>
      <c r="S33" s="52"/>
    </row>
    <row r="34" spans="2:19" ht="15" customHeight="1" x14ac:dyDescent="0.25">
      <c r="B34" s="96"/>
      <c r="C34" s="215" t="s">
        <v>77</v>
      </c>
      <c r="D34" s="215" t="s">
        <v>63</v>
      </c>
      <c r="E34" s="196">
        <v>3.6727000000000003E-2</v>
      </c>
      <c r="F34" s="5"/>
      <c r="G34" s="5"/>
      <c r="H34" s="5"/>
      <c r="I34" s="5"/>
      <c r="J34" s="5"/>
      <c r="K34" s="5"/>
      <c r="L34" s="5"/>
      <c r="M34" s="5"/>
      <c r="N34" s="20"/>
      <c r="P34" s="19"/>
      <c r="S34" s="52"/>
    </row>
    <row r="35" spans="2:19" s="51" customFormat="1" ht="15.75" x14ac:dyDescent="0.25">
      <c r="B35" s="114"/>
      <c r="C35" s="112" t="s">
        <v>49</v>
      </c>
      <c r="D35" s="112"/>
      <c r="E35" s="190">
        <v>0.109988</v>
      </c>
      <c r="F35" s="41"/>
      <c r="G35" s="41"/>
      <c r="H35" s="41"/>
      <c r="I35" s="41"/>
      <c r="J35" s="41"/>
      <c r="K35" s="41"/>
      <c r="L35" s="41"/>
      <c r="M35" s="41"/>
      <c r="N35" s="115"/>
      <c r="P35" s="56"/>
      <c r="S35" s="116"/>
    </row>
    <row r="36" spans="2:19" s="51" customFormat="1" ht="15.75" x14ac:dyDescent="0.25">
      <c r="B36" s="114"/>
      <c r="C36" s="117"/>
      <c r="D36" s="117"/>
      <c r="E36" s="118"/>
      <c r="F36" s="41"/>
      <c r="G36" s="41"/>
      <c r="H36" s="41"/>
      <c r="I36" s="41"/>
      <c r="J36" s="41"/>
      <c r="K36" s="41"/>
      <c r="L36" s="41"/>
      <c r="M36" s="41"/>
      <c r="N36" s="115"/>
      <c r="P36" s="56"/>
      <c r="S36" s="116"/>
    </row>
    <row r="37" spans="2:19" ht="15.75" x14ac:dyDescent="0.25">
      <c r="B37" s="96"/>
      <c r="C37" s="27" t="s">
        <v>208</v>
      </c>
      <c r="D37" s="27" t="s">
        <v>61</v>
      </c>
      <c r="E37" s="196">
        <v>5.2330000000000002E-2</v>
      </c>
      <c r="F37" s="5"/>
      <c r="G37" s="5"/>
      <c r="H37" s="5"/>
      <c r="I37" s="5"/>
      <c r="J37" s="5"/>
      <c r="K37" s="5"/>
      <c r="L37" s="5"/>
      <c r="M37" s="5"/>
      <c r="N37" s="20"/>
      <c r="P37" s="19"/>
      <c r="S37" s="52"/>
    </row>
    <row r="38" spans="2:19" ht="15.75" x14ac:dyDescent="0.25">
      <c r="B38" s="96"/>
      <c r="C38" s="112" t="s">
        <v>42</v>
      </c>
      <c r="D38" s="112"/>
      <c r="E38" s="190">
        <v>5.2330000000000002E-2</v>
      </c>
      <c r="F38" s="5"/>
      <c r="G38" s="5"/>
      <c r="H38" s="5"/>
      <c r="I38" s="5"/>
      <c r="J38" s="5"/>
      <c r="K38" s="5"/>
      <c r="L38" s="5"/>
      <c r="M38" s="5"/>
      <c r="N38" s="20"/>
      <c r="P38" s="19"/>
      <c r="S38" s="52"/>
    </row>
    <row r="39" spans="2:19" ht="15.75" x14ac:dyDescent="0.25">
      <c r="B39" s="96"/>
      <c r="C39" s="4"/>
      <c r="D39" s="4"/>
      <c r="E39" s="32"/>
      <c r="F39" s="5"/>
      <c r="G39" s="5"/>
      <c r="H39" s="5"/>
      <c r="I39" s="5"/>
      <c r="J39" s="5"/>
      <c r="K39" s="5"/>
      <c r="L39" s="5"/>
      <c r="M39" s="5"/>
      <c r="N39" s="20"/>
      <c r="P39" s="19"/>
      <c r="S39" s="52"/>
    </row>
    <row r="40" spans="2:19" ht="15.75" x14ac:dyDescent="0.25">
      <c r="B40" s="96"/>
      <c r="C40" s="112" t="s">
        <v>20</v>
      </c>
      <c r="D40" s="112"/>
      <c r="E40" s="190">
        <v>6.1840999999999979E-2</v>
      </c>
      <c r="F40" s="5"/>
      <c r="G40" s="5"/>
      <c r="H40" s="5"/>
      <c r="I40" s="5"/>
      <c r="J40" s="5"/>
      <c r="K40" s="5"/>
      <c r="L40" s="5"/>
      <c r="M40" s="5"/>
      <c r="N40" s="20"/>
      <c r="P40" s="19"/>
      <c r="S40" s="52"/>
    </row>
    <row r="41" spans="2:19" ht="15.75" x14ac:dyDescent="0.25">
      <c r="B41" s="96"/>
      <c r="C41" s="4"/>
      <c r="D41" s="4"/>
      <c r="E41" s="32"/>
      <c r="F41" s="5"/>
      <c r="G41" s="5"/>
      <c r="H41" s="5"/>
      <c r="I41" s="5"/>
      <c r="J41" s="5"/>
      <c r="K41" s="5"/>
      <c r="L41" s="5"/>
      <c r="M41" s="5"/>
      <c r="N41" s="20"/>
      <c r="P41" s="19"/>
      <c r="S41" s="52"/>
    </row>
    <row r="42" spans="2:19" ht="15.75" x14ac:dyDescent="0.25">
      <c r="B42" s="96"/>
      <c r="C42" s="119" t="s">
        <v>21</v>
      </c>
      <c r="D42" s="119"/>
      <c r="E42" s="120">
        <v>1</v>
      </c>
      <c r="F42" s="5"/>
      <c r="G42" s="5"/>
      <c r="H42" s="5"/>
      <c r="I42" s="5"/>
      <c r="J42" s="5"/>
      <c r="K42" s="5"/>
      <c r="L42" s="5"/>
      <c r="M42" s="5"/>
      <c r="N42" s="20"/>
      <c r="P42" s="19"/>
      <c r="S42" s="52"/>
    </row>
    <row r="43" spans="2:19" ht="15.75" x14ac:dyDescent="0.25">
      <c r="B43" s="96"/>
      <c r="F43" s="5"/>
      <c r="G43" s="5"/>
      <c r="H43" s="5"/>
      <c r="I43" s="5"/>
      <c r="J43" s="5"/>
      <c r="K43" s="5"/>
      <c r="L43" s="5"/>
      <c r="M43" s="5"/>
      <c r="N43" s="20"/>
      <c r="P43" s="19"/>
      <c r="S43" s="52"/>
    </row>
    <row r="44" spans="2:19" ht="15.75" x14ac:dyDescent="0.25">
      <c r="B44" s="96"/>
      <c r="C44" s="5"/>
      <c r="D44" s="5"/>
      <c r="E44" s="5"/>
      <c r="F44" s="5"/>
      <c r="G44" s="5"/>
      <c r="H44" s="5"/>
      <c r="I44" s="5"/>
      <c r="J44" s="5"/>
      <c r="K44" s="5"/>
      <c r="L44" s="5"/>
      <c r="M44" s="5"/>
      <c r="N44" s="20"/>
      <c r="P44" s="19"/>
      <c r="S44" s="52"/>
    </row>
    <row r="45" spans="2:19" ht="15.75" x14ac:dyDescent="0.25">
      <c r="B45" s="96"/>
      <c r="C45" s="5"/>
      <c r="D45" s="5"/>
      <c r="E45" s="5"/>
      <c r="F45" s="5"/>
      <c r="G45" s="5"/>
      <c r="H45" s="5"/>
      <c r="I45" s="5"/>
      <c r="J45" s="5"/>
      <c r="K45" s="5"/>
      <c r="L45" s="5"/>
      <c r="M45" s="5"/>
      <c r="N45" s="20"/>
      <c r="P45" s="19"/>
      <c r="S45" s="52"/>
    </row>
    <row r="46" spans="2:19" ht="11.25" customHeight="1" thickBot="1" x14ac:dyDescent="0.25">
      <c r="B46" s="99"/>
      <c r="C46" s="47"/>
      <c r="D46" s="47"/>
      <c r="E46" s="47"/>
      <c r="F46" s="47"/>
      <c r="G46" s="47"/>
      <c r="H46" s="47"/>
      <c r="I46" s="47"/>
      <c r="J46" s="47"/>
      <c r="K46" s="47"/>
      <c r="L46" s="47"/>
      <c r="M46" s="47"/>
      <c r="N46" s="122"/>
      <c r="S46" s="52"/>
    </row>
    <row r="47" spans="2:19" ht="15.75" thickBot="1" x14ac:dyDescent="0.25">
      <c r="S47" s="52"/>
    </row>
    <row r="48" spans="2:19" ht="15" customHeight="1" x14ac:dyDescent="0.2">
      <c r="B48" s="265" t="s">
        <v>186</v>
      </c>
      <c r="C48" s="266"/>
      <c r="D48" s="266"/>
      <c r="E48" s="266"/>
      <c r="F48" s="266"/>
      <c r="G48" s="266"/>
      <c r="H48" s="266"/>
      <c r="I48" s="266"/>
      <c r="J48" s="266"/>
      <c r="K48" s="266"/>
      <c r="L48" s="266"/>
      <c r="M48" s="266"/>
      <c r="N48" s="266"/>
      <c r="O48" s="266"/>
      <c r="P48" s="266"/>
      <c r="Q48" s="266"/>
      <c r="R48" s="267"/>
      <c r="S48" s="52"/>
    </row>
    <row r="49" spans="2:19" x14ac:dyDescent="0.2">
      <c r="B49" s="268"/>
      <c r="C49" s="269"/>
      <c r="D49" s="269"/>
      <c r="E49" s="269"/>
      <c r="F49" s="269"/>
      <c r="G49" s="269"/>
      <c r="H49" s="269"/>
      <c r="I49" s="269"/>
      <c r="J49" s="269"/>
      <c r="K49" s="269"/>
      <c r="L49" s="269"/>
      <c r="M49" s="269"/>
      <c r="N49" s="269"/>
      <c r="O49" s="269"/>
      <c r="P49" s="269"/>
      <c r="Q49" s="269"/>
      <c r="R49" s="270"/>
      <c r="S49" s="52"/>
    </row>
    <row r="50" spans="2:19" x14ac:dyDescent="0.2">
      <c r="B50" s="268"/>
      <c r="C50" s="269"/>
      <c r="D50" s="269"/>
      <c r="E50" s="269"/>
      <c r="F50" s="269"/>
      <c r="G50" s="269"/>
      <c r="H50" s="269"/>
      <c r="I50" s="269"/>
      <c r="J50" s="269"/>
      <c r="K50" s="269"/>
      <c r="L50" s="269"/>
      <c r="M50" s="269"/>
      <c r="N50" s="269"/>
      <c r="O50" s="269"/>
      <c r="P50" s="269"/>
      <c r="Q50" s="269"/>
      <c r="R50" s="270"/>
      <c r="S50" s="52"/>
    </row>
    <row r="51" spans="2:19" x14ac:dyDescent="0.2">
      <c r="B51" s="268"/>
      <c r="C51" s="269"/>
      <c r="D51" s="269"/>
      <c r="E51" s="269"/>
      <c r="F51" s="269"/>
      <c r="G51" s="269"/>
      <c r="H51" s="269"/>
      <c r="I51" s="269"/>
      <c r="J51" s="269"/>
      <c r="K51" s="269"/>
      <c r="L51" s="269"/>
      <c r="M51" s="269"/>
      <c r="N51" s="269"/>
      <c r="O51" s="269"/>
      <c r="P51" s="269"/>
      <c r="Q51" s="269"/>
      <c r="R51" s="270"/>
      <c r="S51" s="52"/>
    </row>
    <row r="52" spans="2:19" x14ac:dyDescent="0.2">
      <c r="B52" s="268"/>
      <c r="C52" s="269"/>
      <c r="D52" s="269"/>
      <c r="E52" s="269"/>
      <c r="F52" s="269"/>
      <c r="G52" s="269"/>
      <c r="H52" s="269"/>
      <c r="I52" s="269"/>
      <c r="J52" s="269"/>
      <c r="K52" s="269"/>
      <c r="L52" s="269"/>
      <c r="M52" s="269"/>
      <c r="N52" s="269"/>
      <c r="O52" s="269"/>
      <c r="P52" s="269"/>
      <c r="Q52" s="269"/>
      <c r="R52" s="270"/>
      <c r="S52" s="52"/>
    </row>
    <row r="53" spans="2:19" x14ac:dyDescent="0.2">
      <c r="B53" s="268"/>
      <c r="C53" s="269"/>
      <c r="D53" s="269"/>
      <c r="E53" s="269"/>
      <c r="F53" s="269"/>
      <c r="G53" s="269"/>
      <c r="H53" s="269"/>
      <c r="I53" s="269"/>
      <c r="J53" s="269"/>
      <c r="K53" s="269"/>
      <c r="L53" s="269"/>
      <c r="M53" s="269"/>
      <c r="N53" s="269"/>
      <c r="O53" s="269"/>
      <c r="P53" s="269"/>
      <c r="Q53" s="269"/>
      <c r="R53" s="270"/>
      <c r="S53" s="52"/>
    </row>
    <row r="54" spans="2:19" ht="15.75" thickBot="1" x14ac:dyDescent="0.25">
      <c r="B54" s="271"/>
      <c r="C54" s="272"/>
      <c r="D54" s="272"/>
      <c r="E54" s="272"/>
      <c r="F54" s="272"/>
      <c r="G54" s="272"/>
      <c r="H54" s="272"/>
      <c r="I54" s="272"/>
      <c r="J54" s="272"/>
      <c r="K54" s="272"/>
      <c r="L54" s="272"/>
      <c r="M54" s="272"/>
      <c r="N54" s="272"/>
      <c r="O54" s="272"/>
      <c r="P54" s="272"/>
      <c r="Q54" s="272"/>
      <c r="R54" s="273"/>
      <c r="S54" s="52"/>
    </row>
    <row r="55" spans="2:19" x14ac:dyDescent="0.2">
      <c r="S55" s="52"/>
    </row>
    <row r="56" spans="2:19" x14ac:dyDescent="0.2">
      <c r="S56" s="52"/>
    </row>
    <row r="57" spans="2:19" x14ac:dyDescent="0.2">
      <c r="S57" s="52"/>
    </row>
    <row r="58" spans="2:19" x14ac:dyDescent="0.2">
      <c r="S58" s="52"/>
    </row>
    <row r="59" spans="2:19" x14ac:dyDescent="0.2">
      <c r="S59" s="52"/>
    </row>
    <row r="60" spans="2:19" x14ac:dyDescent="0.2">
      <c r="S60" s="52"/>
    </row>
    <row r="61" spans="2:19" x14ac:dyDescent="0.2">
      <c r="S61" s="52"/>
    </row>
    <row r="62" spans="2:19" x14ac:dyDescent="0.2">
      <c r="S62" s="52"/>
    </row>
    <row r="63" spans="2:19" x14ac:dyDescent="0.2">
      <c r="S63" s="52"/>
    </row>
    <row r="64" spans="2: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sheetData>
  <sortState ref="C32:E34">
    <sortCondition descending="1" ref="E32"/>
  </sortState>
  <mergeCells count="6">
    <mergeCell ref="B48:R54"/>
    <mergeCell ref="C3:N3"/>
    <mergeCell ref="D5:E5"/>
    <mergeCell ref="G7:N7"/>
    <mergeCell ref="G20:K20"/>
    <mergeCell ref="G23:N23"/>
  </mergeCells>
  <pageMargins left="0.7" right="0.7" top="0.75" bottom="0.75" header="0.3" footer="0.3"/>
  <pageSetup paperSize="9" scale="4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V672"/>
  <sheetViews>
    <sheetView showGridLines="0" zoomScale="80" zoomScaleNormal="80" workbookViewId="0"/>
  </sheetViews>
  <sheetFormatPr defaultRowHeight="15" x14ac:dyDescent="0.2"/>
  <cols>
    <col min="1" max="1" width="2.85546875" style="3" customWidth="1"/>
    <col min="2" max="2" width="3.85546875" style="3" customWidth="1"/>
    <col min="3" max="3" width="58.7109375" style="3" bestFit="1" customWidth="1"/>
    <col min="4" max="4" width="31" style="3" customWidth="1"/>
    <col min="5" max="5" width="16.7109375" style="3" customWidth="1"/>
    <col min="6" max="6" width="9.140625" style="3"/>
    <col min="7"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4"/>
      <c r="C2" s="42"/>
      <c r="D2" s="42"/>
      <c r="E2" s="42"/>
      <c r="F2" s="42"/>
      <c r="G2" s="42"/>
      <c r="H2" s="42"/>
      <c r="I2" s="42"/>
      <c r="J2" s="42"/>
      <c r="K2" s="42"/>
      <c r="L2" s="42"/>
      <c r="M2" s="42"/>
      <c r="N2" s="95"/>
    </row>
    <row r="3" spans="2:18" ht="20.25" customHeight="1" x14ac:dyDescent="0.2">
      <c r="B3" s="96"/>
      <c r="C3" s="259" t="s">
        <v>314</v>
      </c>
      <c r="D3" s="259"/>
      <c r="E3" s="259"/>
      <c r="F3" s="259"/>
      <c r="G3" s="259"/>
      <c r="H3" s="259"/>
      <c r="I3" s="259"/>
      <c r="J3" s="259"/>
      <c r="K3" s="259"/>
      <c r="L3" s="259"/>
      <c r="M3" s="259"/>
      <c r="N3" s="260"/>
    </row>
    <row r="4" spans="2:18" ht="15.75" x14ac:dyDescent="0.25">
      <c r="B4" s="96"/>
      <c r="C4" s="70" t="s">
        <v>367</v>
      </c>
      <c r="D4" s="29"/>
      <c r="E4" s="29"/>
      <c r="F4" s="5"/>
      <c r="G4" s="5"/>
      <c r="H4" s="5"/>
      <c r="I4" s="5"/>
      <c r="J4" s="5"/>
      <c r="K4" s="5"/>
      <c r="L4" s="5"/>
      <c r="M4" s="5"/>
      <c r="N4" s="20"/>
    </row>
    <row r="5" spans="2:18" ht="20.25" customHeight="1" x14ac:dyDescent="0.2">
      <c r="B5" s="96"/>
      <c r="C5" s="228" t="s">
        <v>366</v>
      </c>
      <c r="D5" s="276" t="s">
        <v>334</v>
      </c>
      <c r="E5" s="276"/>
      <c r="F5" s="5"/>
      <c r="G5" s="5"/>
      <c r="H5" s="5"/>
      <c r="I5" s="5"/>
      <c r="J5" s="5"/>
      <c r="K5" s="5"/>
      <c r="L5" s="5"/>
      <c r="M5" s="5"/>
      <c r="N5" s="20"/>
    </row>
    <row r="6" spans="2:18" ht="15.75" x14ac:dyDescent="0.25">
      <c r="B6" s="96"/>
      <c r="C6" s="29"/>
      <c r="D6" s="29"/>
      <c r="E6" s="29"/>
      <c r="F6" s="5"/>
      <c r="G6" s="5"/>
      <c r="H6" s="5"/>
      <c r="I6" s="5"/>
      <c r="J6" s="5"/>
      <c r="K6" s="5"/>
      <c r="L6" s="5"/>
      <c r="M6" s="5"/>
      <c r="N6" s="20"/>
    </row>
    <row r="7" spans="2:18" ht="32.25" customHeight="1" x14ac:dyDescent="0.2">
      <c r="B7" s="96"/>
      <c r="C7" s="171" t="s">
        <v>43</v>
      </c>
      <c r="D7" s="238" t="s">
        <v>44</v>
      </c>
      <c r="E7" s="123" t="s">
        <v>45</v>
      </c>
      <c r="F7" s="5"/>
      <c r="G7" s="261" t="s">
        <v>46</v>
      </c>
      <c r="H7" s="261"/>
      <c r="I7" s="261"/>
      <c r="J7" s="261"/>
      <c r="K7" s="261"/>
      <c r="L7" s="261"/>
      <c r="M7" s="261"/>
      <c r="N7" s="262"/>
    </row>
    <row r="8" spans="2:18" x14ac:dyDescent="0.2">
      <c r="B8" s="96"/>
      <c r="C8" s="235" t="s">
        <v>136</v>
      </c>
      <c r="D8" s="201" t="s">
        <v>114</v>
      </c>
      <c r="E8" s="208">
        <v>1.5129999999999999E-2</v>
      </c>
      <c r="F8" s="5"/>
      <c r="G8" s="5" t="s">
        <v>47</v>
      </c>
      <c r="H8" s="49">
        <f>100%-H9-H10</f>
        <v>0.89618299999999995</v>
      </c>
      <c r="I8" s="48">
        <f>H8/SUM($H$8:$H$10)</f>
        <v>0.89618299999999995</v>
      </c>
      <c r="J8" s="5"/>
      <c r="K8" s="31"/>
      <c r="L8" s="5"/>
      <c r="M8" s="5"/>
      <c r="N8" s="20"/>
      <c r="R8" s="52"/>
    </row>
    <row r="9" spans="2:18" ht="15.75" customHeight="1" x14ac:dyDescent="0.2">
      <c r="B9" s="96"/>
      <c r="C9" s="191" t="s">
        <v>138</v>
      </c>
      <c r="D9" s="201" t="s">
        <v>112</v>
      </c>
      <c r="E9" s="209">
        <v>1.1004E-2</v>
      </c>
      <c r="F9" s="5"/>
      <c r="G9" s="5" t="s">
        <v>57</v>
      </c>
      <c r="H9" s="49">
        <f>E37</f>
        <v>3.4472000000000003E-2</v>
      </c>
      <c r="I9" s="48">
        <f t="shared" ref="I9:I10" si="0">H9/SUM($H$8:$H$10)</f>
        <v>3.4472000000000003E-2</v>
      </c>
      <c r="J9" s="5" t="s">
        <v>41</v>
      </c>
      <c r="K9" s="31">
        <f>E40</f>
        <v>0.27836499999999997</v>
      </c>
      <c r="L9" s="5"/>
      <c r="M9" s="5"/>
      <c r="N9" s="20"/>
      <c r="R9" s="52"/>
    </row>
    <row r="10" spans="2:18" x14ac:dyDescent="0.2">
      <c r="B10" s="96"/>
      <c r="C10" s="191" t="s">
        <v>153</v>
      </c>
      <c r="D10" s="201" t="s">
        <v>123</v>
      </c>
      <c r="E10" s="209">
        <v>9.7630000000000008E-3</v>
      </c>
      <c r="F10" s="31"/>
      <c r="G10" s="5" t="s">
        <v>48</v>
      </c>
      <c r="H10" s="49">
        <f>E36+E38</f>
        <v>6.934499999999999E-2</v>
      </c>
      <c r="I10" s="48">
        <f t="shared" si="0"/>
        <v>6.934499999999999E-2</v>
      </c>
      <c r="J10" s="5" t="s">
        <v>99</v>
      </c>
      <c r="K10" s="31">
        <f>E24+E27+E29</f>
        <v>0.24529500000000001</v>
      </c>
      <c r="L10" s="5"/>
      <c r="M10" s="5"/>
      <c r="N10" s="20"/>
      <c r="R10" s="52"/>
    </row>
    <row r="11" spans="2:18" x14ac:dyDescent="0.2">
      <c r="B11" s="96"/>
      <c r="C11" s="191" t="s">
        <v>187</v>
      </c>
      <c r="D11" s="201" t="s">
        <v>112</v>
      </c>
      <c r="E11" s="209">
        <v>9.6109999999999998E-3</v>
      </c>
      <c r="F11" s="5"/>
      <c r="G11" s="5"/>
      <c r="H11" s="5"/>
      <c r="I11" s="5"/>
      <c r="J11" s="5" t="s">
        <v>20</v>
      </c>
      <c r="K11" s="31">
        <f>E49</f>
        <v>0.11233699999999999</v>
      </c>
      <c r="L11" s="5"/>
      <c r="M11" s="5"/>
      <c r="N11" s="20"/>
      <c r="R11" s="52"/>
    </row>
    <row r="12" spans="2:18" ht="15.75" customHeight="1" x14ac:dyDescent="0.2">
      <c r="B12" s="96"/>
      <c r="C12" s="191" t="s">
        <v>33</v>
      </c>
      <c r="D12" s="201" t="s">
        <v>109</v>
      </c>
      <c r="E12" s="209">
        <v>8.966E-3</v>
      </c>
      <c r="F12" s="31"/>
      <c r="G12" s="5"/>
      <c r="H12" s="31"/>
      <c r="I12" s="5"/>
      <c r="J12" s="5" t="s">
        <v>42</v>
      </c>
      <c r="K12" s="31">
        <f>E47</f>
        <v>0.360786</v>
      </c>
      <c r="L12" s="5"/>
      <c r="M12" s="5"/>
      <c r="N12" s="20"/>
      <c r="R12" s="52"/>
    </row>
    <row r="13" spans="2:18" x14ac:dyDescent="0.2">
      <c r="B13" s="96"/>
      <c r="C13" s="191" t="s">
        <v>107</v>
      </c>
      <c r="D13" s="201" t="s">
        <v>4</v>
      </c>
      <c r="E13" s="209">
        <v>8.7899999999999992E-3</v>
      </c>
      <c r="F13" s="31"/>
      <c r="G13" s="5"/>
      <c r="H13" s="5"/>
      <c r="I13" s="5"/>
      <c r="J13" s="5"/>
      <c r="K13" s="31"/>
      <c r="L13" s="5"/>
      <c r="M13" s="5"/>
      <c r="N13" s="20"/>
      <c r="R13" s="52"/>
    </row>
    <row r="14" spans="2:18" x14ac:dyDescent="0.2">
      <c r="B14" s="96"/>
      <c r="C14" s="191" t="s">
        <v>151</v>
      </c>
      <c r="D14" s="201" t="s">
        <v>109</v>
      </c>
      <c r="E14" s="209">
        <v>7.8600000000000007E-3</v>
      </c>
      <c r="F14" s="31"/>
      <c r="G14" s="5"/>
      <c r="H14" s="5"/>
      <c r="I14" s="5"/>
      <c r="J14" s="3" t="s">
        <v>209</v>
      </c>
      <c r="K14" s="225">
        <f>E32</f>
        <v>3.2169999999999998E-3</v>
      </c>
      <c r="L14" s="5"/>
      <c r="M14" s="5"/>
      <c r="N14" s="20"/>
      <c r="R14" s="52"/>
    </row>
    <row r="15" spans="2:18" x14ac:dyDescent="0.2">
      <c r="B15" s="96"/>
      <c r="C15" s="191" t="s">
        <v>29</v>
      </c>
      <c r="D15" s="201" t="s">
        <v>3</v>
      </c>
      <c r="E15" s="209">
        <v>6.6959999999999997E-3</v>
      </c>
      <c r="F15" s="5"/>
      <c r="G15" s="5"/>
      <c r="H15" s="5"/>
      <c r="I15" s="5"/>
      <c r="L15" s="5"/>
      <c r="M15" s="5"/>
      <c r="N15" s="20"/>
      <c r="R15" s="52"/>
    </row>
    <row r="16" spans="2:18" x14ac:dyDescent="0.2">
      <c r="B16" s="96"/>
      <c r="C16" s="191" t="s">
        <v>36</v>
      </c>
      <c r="D16" s="201" t="s">
        <v>3</v>
      </c>
      <c r="E16" s="209">
        <v>2.8779999999999999E-3</v>
      </c>
      <c r="F16" s="5"/>
      <c r="G16" s="5"/>
      <c r="H16" s="5"/>
      <c r="I16" s="5"/>
      <c r="J16" s="5"/>
      <c r="K16" s="5"/>
      <c r="L16" s="5"/>
      <c r="M16" s="5"/>
      <c r="N16" s="20"/>
      <c r="R16" s="52"/>
    </row>
    <row r="17" spans="2:22" x14ac:dyDescent="0.2">
      <c r="B17" s="96"/>
      <c r="C17" s="191" t="s">
        <v>137</v>
      </c>
      <c r="D17" s="201" t="s">
        <v>3</v>
      </c>
      <c r="E17" s="209">
        <v>2.7130000000000001E-3</v>
      </c>
      <c r="F17" s="5"/>
      <c r="G17" s="5"/>
      <c r="H17" s="5"/>
      <c r="I17" s="5"/>
      <c r="J17" s="5"/>
      <c r="K17" s="5"/>
      <c r="L17" s="5"/>
      <c r="M17" s="5"/>
      <c r="N17" s="20"/>
      <c r="R17" s="52"/>
    </row>
    <row r="18" spans="2:22" x14ac:dyDescent="0.2">
      <c r="B18" s="96"/>
      <c r="C18" s="191"/>
      <c r="D18" s="201"/>
      <c r="E18" s="209"/>
      <c r="F18" s="5"/>
      <c r="G18" s="5"/>
      <c r="H18" s="5"/>
      <c r="I18" s="5"/>
      <c r="J18" s="5"/>
      <c r="K18" s="5"/>
      <c r="L18" s="5"/>
      <c r="M18" s="5"/>
      <c r="N18" s="20"/>
      <c r="R18" s="52"/>
    </row>
    <row r="19" spans="2:22" x14ac:dyDescent="0.2">
      <c r="B19" s="96"/>
      <c r="C19" s="191"/>
      <c r="D19" s="201"/>
      <c r="E19" s="209"/>
      <c r="F19" s="5"/>
      <c r="G19" s="5"/>
      <c r="H19" s="5"/>
      <c r="I19" s="5"/>
      <c r="J19" s="5"/>
      <c r="K19" s="5"/>
      <c r="L19" s="5"/>
      <c r="M19" s="5"/>
      <c r="N19" s="20"/>
      <c r="R19" s="52"/>
    </row>
    <row r="20" spans="2:22" ht="15.75" customHeight="1" x14ac:dyDescent="0.25">
      <c r="B20" s="96"/>
      <c r="C20" s="191"/>
      <c r="D20" s="201"/>
      <c r="E20" s="209"/>
      <c r="F20" s="5"/>
      <c r="G20" s="279" t="s">
        <v>102</v>
      </c>
      <c r="H20" s="280"/>
      <c r="I20" s="280"/>
      <c r="J20" s="280"/>
      <c r="K20" s="280"/>
      <c r="L20" s="185">
        <v>10.213102017946344</v>
      </c>
      <c r="M20" s="110"/>
      <c r="N20" s="111"/>
      <c r="R20" s="52"/>
    </row>
    <row r="21" spans="2:22" x14ac:dyDescent="0.2">
      <c r="B21" s="96"/>
      <c r="C21" s="191"/>
      <c r="D21" s="201"/>
      <c r="E21" s="209"/>
      <c r="F21" s="5"/>
      <c r="G21" s="5"/>
      <c r="H21" s="5"/>
      <c r="I21" s="5"/>
      <c r="J21" s="5"/>
      <c r="K21" s="5"/>
      <c r="L21" s="5"/>
      <c r="M21" s="5"/>
      <c r="N21" s="20"/>
      <c r="R21" s="52"/>
    </row>
    <row r="22" spans="2:22" x14ac:dyDescent="0.2">
      <c r="B22" s="96"/>
      <c r="C22" s="191"/>
      <c r="D22" s="201"/>
      <c r="E22" s="209"/>
      <c r="F22" s="5"/>
      <c r="G22" s="31"/>
      <c r="H22" s="31"/>
      <c r="I22" s="31"/>
      <c r="J22" s="5"/>
      <c r="K22" s="31"/>
      <c r="L22" s="5"/>
      <c r="M22" s="5"/>
      <c r="N22" s="20"/>
      <c r="R22" s="52"/>
    </row>
    <row r="23" spans="2:22" ht="15.75" customHeight="1" x14ac:dyDescent="0.2">
      <c r="B23" s="96"/>
      <c r="C23" s="218"/>
      <c r="D23" s="4"/>
      <c r="E23" s="49"/>
      <c r="F23" s="5"/>
      <c r="G23" s="261" t="s">
        <v>50</v>
      </c>
      <c r="H23" s="261"/>
      <c r="I23" s="261"/>
      <c r="J23" s="261"/>
      <c r="K23" s="261"/>
      <c r="L23" s="261"/>
      <c r="M23" s="261"/>
      <c r="N23" s="262"/>
      <c r="R23" s="52"/>
    </row>
    <row r="24" spans="2:22" ht="15.75" x14ac:dyDescent="0.2">
      <c r="B24" s="96"/>
      <c r="C24" s="236" t="s">
        <v>56</v>
      </c>
      <c r="D24" s="121"/>
      <c r="E24" s="237">
        <f>SUM(E8:E22)</f>
        <v>8.3411000000000013E-2</v>
      </c>
      <c r="F24" s="5"/>
      <c r="G24" s="5"/>
      <c r="H24" s="5"/>
      <c r="I24" s="5"/>
      <c r="J24" s="5"/>
      <c r="K24" s="5"/>
      <c r="L24" s="5"/>
      <c r="M24" s="5"/>
      <c r="N24" s="20"/>
      <c r="R24" s="52"/>
    </row>
    <row r="25" spans="2:22" x14ac:dyDescent="0.2">
      <c r="B25" s="96"/>
      <c r="C25" s="218"/>
      <c r="D25" s="4"/>
      <c r="E25" s="49"/>
      <c r="F25" s="5"/>
      <c r="G25" s="5"/>
      <c r="H25" s="5"/>
      <c r="I25" s="5"/>
      <c r="J25" s="5"/>
      <c r="K25" s="5"/>
      <c r="L25" s="5"/>
      <c r="M25" s="5"/>
      <c r="N25" s="20"/>
      <c r="R25" s="52"/>
    </row>
    <row r="26" spans="2:22" x14ac:dyDescent="0.2">
      <c r="B26" s="96"/>
      <c r="C26" s="218" t="s">
        <v>177</v>
      </c>
      <c r="D26" s="4"/>
      <c r="E26" s="220">
        <v>0.161884</v>
      </c>
      <c r="F26" s="5"/>
      <c r="G26" s="5"/>
      <c r="H26" s="5"/>
      <c r="I26" s="5"/>
      <c r="J26" s="5"/>
      <c r="K26" s="5"/>
      <c r="L26" s="5"/>
      <c r="M26" s="5"/>
      <c r="N26" s="20"/>
      <c r="R26" s="52"/>
    </row>
    <row r="27" spans="2:22" ht="15.75" x14ac:dyDescent="0.2">
      <c r="B27" s="96"/>
      <c r="C27" s="132" t="s">
        <v>83</v>
      </c>
      <c r="D27" s="112"/>
      <c r="E27" s="195">
        <v>0.161884</v>
      </c>
      <c r="F27" s="5"/>
      <c r="G27" s="5"/>
      <c r="H27" s="5"/>
      <c r="I27" s="5"/>
      <c r="J27" s="5"/>
      <c r="K27" s="5"/>
      <c r="L27" s="5"/>
      <c r="M27" s="5"/>
      <c r="N27" s="20"/>
      <c r="R27" s="52"/>
    </row>
    <row r="28" spans="2:22" s="51" customFormat="1" ht="15.75" x14ac:dyDescent="0.2">
      <c r="B28" s="114"/>
      <c r="C28" s="229"/>
      <c r="D28" s="117"/>
      <c r="E28" s="258"/>
      <c r="F28" s="41"/>
      <c r="G28" s="41"/>
      <c r="H28" s="41"/>
      <c r="I28" s="41"/>
      <c r="J28" s="41"/>
      <c r="K28" s="41"/>
      <c r="L28" s="41"/>
      <c r="M28" s="41"/>
      <c r="N28" s="115"/>
      <c r="R28" s="116"/>
    </row>
    <row r="29" spans="2:22" ht="15.75" x14ac:dyDescent="0.2">
      <c r="B29" s="96"/>
      <c r="C29" s="132" t="s">
        <v>66</v>
      </c>
      <c r="D29" s="112"/>
      <c r="E29" s="221">
        <v>0</v>
      </c>
      <c r="F29" s="5"/>
      <c r="G29" s="5"/>
      <c r="H29" s="5"/>
      <c r="I29" s="5"/>
      <c r="J29" s="5"/>
      <c r="K29" s="5"/>
      <c r="L29" s="5"/>
      <c r="M29" s="5"/>
      <c r="N29" s="20"/>
      <c r="R29" s="52"/>
      <c r="U29" s="3" t="s">
        <v>11</v>
      </c>
      <c r="V29" s="3">
        <v>1.1159000000000001E-2</v>
      </c>
    </row>
    <row r="30" spans="2:22" x14ac:dyDescent="0.2">
      <c r="B30" s="96"/>
      <c r="C30" s="105"/>
      <c r="D30" s="38"/>
      <c r="E30" s="234"/>
      <c r="F30" s="5"/>
      <c r="G30" s="5"/>
      <c r="H30" s="5"/>
      <c r="I30" s="5"/>
      <c r="J30" s="5"/>
      <c r="K30" s="5"/>
      <c r="L30" s="5"/>
      <c r="M30" s="5"/>
      <c r="N30" s="20"/>
      <c r="R30" s="52"/>
      <c r="U30" s="3" t="s">
        <v>18</v>
      </c>
      <c r="V30" s="3">
        <v>1.0543E-2</v>
      </c>
    </row>
    <row r="31" spans="2:22" x14ac:dyDescent="0.2">
      <c r="B31" s="96"/>
      <c r="C31" s="105" t="s">
        <v>209</v>
      </c>
      <c r="D31" s="38"/>
      <c r="E31" s="220">
        <v>3.2169999999999998E-3</v>
      </c>
      <c r="F31" s="5"/>
      <c r="G31" s="5"/>
      <c r="H31" s="5"/>
      <c r="I31" s="5"/>
      <c r="J31" s="5"/>
      <c r="K31" s="5"/>
      <c r="L31" s="5"/>
      <c r="M31" s="5"/>
      <c r="N31" s="20"/>
      <c r="R31" s="52"/>
    </row>
    <row r="32" spans="2:22" ht="15.75" x14ac:dyDescent="0.2">
      <c r="B32" s="96"/>
      <c r="C32" s="132" t="s">
        <v>209</v>
      </c>
      <c r="D32" s="112"/>
      <c r="E32" s="195">
        <v>3.2169999999999998E-3</v>
      </c>
      <c r="F32" s="5"/>
      <c r="G32" s="5"/>
      <c r="H32" s="5"/>
      <c r="I32" s="5"/>
      <c r="J32" s="5"/>
      <c r="K32" s="5"/>
      <c r="L32" s="5"/>
      <c r="M32" s="5"/>
      <c r="N32" s="20"/>
      <c r="R32" s="52"/>
    </row>
    <row r="33" spans="1:18" x14ac:dyDescent="0.2">
      <c r="B33" s="96"/>
      <c r="C33" s="105"/>
      <c r="D33" s="205"/>
      <c r="E33" s="220"/>
      <c r="F33" s="5"/>
      <c r="G33" s="5"/>
      <c r="H33" s="5"/>
      <c r="I33" s="5"/>
      <c r="J33" s="5"/>
      <c r="K33" s="5"/>
      <c r="L33" s="5"/>
      <c r="M33" s="5"/>
      <c r="N33" s="20"/>
      <c r="R33" s="52"/>
    </row>
    <row r="34" spans="1:18" x14ac:dyDescent="0.2">
      <c r="B34" s="96"/>
      <c r="C34" s="217" t="s">
        <v>77</v>
      </c>
      <c r="D34" s="205" t="s">
        <v>63</v>
      </c>
      <c r="E34" s="220">
        <v>8.6152999999999993E-2</v>
      </c>
      <c r="F34" s="5"/>
      <c r="G34" s="5"/>
      <c r="H34" s="5"/>
      <c r="I34" s="5"/>
      <c r="J34" s="5"/>
      <c r="K34" s="5"/>
      <c r="L34" s="5"/>
      <c r="M34" s="5"/>
      <c r="N34" s="20"/>
      <c r="R34" s="52"/>
    </row>
    <row r="35" spans="1:18" x14ac:dyDescent="0.2">
      <c r="B35" s="96"/>
      <c r="C35" s="105" t="s">
        <v>82</v>
      </c>
      <c r="D35" s="205" t="s">
        <v>63</v>
      </c>
      <c r="E35" s="239">
        <v>8.5815000000000002E-2</v>
      </c>
      <c r="F35" s="5"/>
      <c r="G35" s="5"/>
      <c r="H35" s="5"/>
      <c r="I35" s="5"/>
      <c r="J35" s="5"/>
      <c r="K35" s="5"/>
      <c r="L35" s="5"/>
      <c r="M35" s="5"/>
      <c r="N35" s="20"/>
      <c r="R35" s="52"/>
    </row>
    <row r="36" spans="1:18" x14ac:dyDescent="0.2">
      <c r="B36" s="96"/>
      <c r="C36" s="105" t="s">
        <v>310</v>
      </c>
      <c r="D36" s="205" t="s">
        <v>370</v>
      </c>
      <c r="E36" s="239">
        <v>3.4931999999999998E-2</v>
      </c>
      <c r="F36" s="5"/>
      <c r="G36" s="5"/>
      <c r="H36" s="5"/>
      <c r="I36" s="5"/>
      <c r="J36" s="5"/>
      <c r="K36" s="5"/>
      <c r="L36" s="5"/>
      <c r="M36" s="5"/>
      <c r="N36" s="20"/>
      <c r="R36" s="52"/>
    </row>
    <row r="37" spans="1:18" x14ac:dyDescent="0.2">
      <c r="B37" s="96"/>
      <c r="C37" s="217" t="s">
        <v>311</v>
      </c>
      <c r="D37" s="205" t="s">
        <v>312</v>
      </c>
      <c r="E37" s="220">
        <v>3.4472000000000003E-2</v>
      </c>
      <c r="F37" s="5"/>
      <c r="G37" s="5"/>
      <c r="H37" s="5"/>
      <c r="I37" s="5"/>
      <c r="J37" s="5"/>
      <c r="K37" s="5"/>
      <c r="L37" s="5"/>
      <c r="M37" s="5"/>
      <c r="N37" s="20"/>
      <c r="R37" s="52"/>
    </row>
    <row r="38" spans="1:18" x14ac:dyDescent="0.2">
      <c r="B38" s="96"/>
      <c r="C38" s="217" t="s">
        <v>315</v>
      </c>
      <c r="D38" s="205" t="s">
        <v>370</v>
      </c>
      <c r="E38" s="220">
        <v>3.4412999999999999E-2</v>
      </c>
      <c r="F38" s="5"/>
      <c r="G38" s="5"/>
      <c r="H38" s="5"/>
      <c r="I38" s="5"/>
      <c r="J38" s="5"/>
      <c r="K38" s="5"/>
      <c r="L38" s="5"/>
      <c r="M38" s="5"/>
      <c r="N38" s="20"/>
      <c r="R38" s="52"/>
    </row>
    <row r="39" spans="1:18" x14ac:dyDescent="0.2">
      <c r="B39" s="96"/>
      <c r="C39" s="105" t="s">
        <v>71</v>
      </c>
      <c r="D39" s="205" t="s">
        <v>63</v>
      </c>
      <c r="E39" s="220">
        <v>2.5799999999999998E-3</v>
      </c>
      <c r="F39" s="5"/>
      <c r="G39" s="5"/>
      <c r="H39" s="5"/>
      <c r="I39" s="5"/>
      <c r="J39" s="5"/>
      <c r="K39" s="5"/>
      <c r="L39" s="5"/>
      <c r="M39" s="5"/>
      <c r="N39" s="20"/>
      <c r="R39" s="52"/>
    </row>
    <row r="40" spans="1:18" ht="15.75" x14ac:dyDescent="0.2">
      <c r="B40" s="96"/>
      <c r="C40" s="132" t="s">
        <v>49</v>
      </c>
      <c r="D40" s="112"/>
      <c r="E40" s="221">
        <v>0.27836499999999997</v>
      </c>
      <c r="F40" s="5"/>
      <c r="G40" s="5"/>
      <c r="H40" s="5"/>
      <c r="I40" s="5"/>
      <c r="J40" s="5"/>
      <c r="K40" s="5"/>
      <c r="L40" s="5"/>
      <c r="M40" s="5"/>
      <c r="N40" s="20"/>
      <c r="R40" s="52"/>
    </row>
    <row r="41" spans="1:18" x14ac:dyDescent="0.2">
      <c r="B41" s="96"/>
      <c r="C41" s="105"/>
      <c r="D41" s="38"/>
      <c r="E41" s="220"/>
      <c r="F41" s="5"/>
      <c r="G41" s="5"/>
      <c r="H41" s="5"/>
      <c r="I41" s="5"/>
      <c r="J41" s="5"/>
      <c r="K41" s="5"/>
      <c r="L41" s="5"/>
      <c r="M41" s="5"/>
      <c r="N41" s="20"/>
      <c r="R41" s="52"/>
    </row>
    <row r="42" spans="1:18" x14ac:dyDescent="0.2">
      <c r="B42" s="96"/>
      <c r="C42" s="105" t="s">
        <v>235</v>
      </c>
      <c r="D42" s="38" t="s">
        <v>61</v>
      </c>
      <c r="E42" s="220">
        <v>0.19490099999999999</v>
      </c>
      <c r="F42" s="5"/>
      <c r="G42" s="5"/>
      <c r="H42" s="5"/>
      <c r="I42" s="5"/>
      <c r="J42" s="5"/>
      <c r="K42" s="5"/>
      <c r="L42" s="5"/>
      <c r="M42" s="5"/>
      <c r="N42" s="20"/>
      <c r="R42" s="52"/>
    </row>
    <row r="43" spans="1:18" x14ac:dyDescent="0.2">
      <c r="B43" s="96"/>
      <c r="C43" s="105" t="s">
        <v>203</v>
      </c>
      <c r="D43" s="38" t="s">
        <v>61</v>
      </c>
      <c r="E43" s="220">
        <v>0.13087699999999999</v>
      </c>
      <c r="F43" s="5"/>
      <c r="G43" s="5"/>
      <c r="H43" s="5"/>
      <c r="I43" s="5"/>
      <c r="J43" s="5"/>
      <c r="K43" s="5"/>
      <c r="L43" s="5"/>
      <c r="M43" s="5"/>
      <c r="N43" s="20"/>
      <c r="R43" s="52"/>
    </row>
    <row r="44" spans="1:18" x14ac:dyDescent="0.2">
      <c r="B44" s="96"/>
      <c r="C44" s="105" t="s">
        <v>105</v>
      </c>
      <c r="D44" s="38" t="s">
        <v>61</v>
      </c>
      <c r="E44" s="220">
        <v>2.2977000000000001E-2</v>
      </c>
      <c r="F44" s="5"/>
      <c r="G44" s="46"/>
      <c r="H44" s="5"/>
      <c r="I44" s="5"/>
      <c r="J44" s="5"/>
      <c r="K44" s="5"/>
      <c r="L44" s="5"/>
      <c r="M44" s="5"/>
      <c r="N44" s="20"/>
      <c r="R44" s="52"/>
    </row>
    <row r="45" spans="1:18" x14ac:dyDescent="0.2">
      <c r="B45" s="96"/>
      <c r="C45" s="105" t="s">
        <v>142</v>
      </c>
      <c r="D45" s="38" t="s">
        <v>61</v>
      </c>
      <c r="E45" s="220">
        <v>1.0468E-2</v>
      </c>
      <c r="F45" s="5"/>
      <c r="G45" s="5"/>
      <c r="H45" s="5"/>
      <c r="I45" s="5"/>
      <c r="J45" s="5"/>
      <c r="K45" s="5"/>
      <c r="L45" s="5"/>
      <c r="M45" s="5"/>
      <c r="N45" s="20"/>
      <c r="R45" s="52"/>
    </row>
    <row r="46" spans="1:18" x14ac:dyDescent="0.2">
      <c r="A46" s="5"/>
      <c r="B46" s="96"/>
      <c r="C46" s="105" t="s">
        <v>67</v>
      </c>
      <c r="D46" s="38" t="s">
        <v>61</v>
      </c>
      <c r="E46" s="220">
        <v>1.5629999999999999E-3</v>
      </c>
      <c r="F46" s="5"/>
      <c r="J46" s="5"/>
      <c r="K46" s="5"/>
      <c r="L46" s="5"/>
      <c r="M46" s="5"/>
      <c r="N46" s="20"/>
      <c r="O46" s="5"/>
      <c r="R46" s="52"/>
    </row>
    <row r="47" spans="1:18" ht="15.75" x14ac:dyDescent="0.2">
      <c r="A47" s="5"/>
      <c r="B47" s="96"/>
      <c r="C47" s="132" t="s">
        <v>42</v>
      </c>
      <c r="D47" s="112"/>
      <c r="E47" s="195">
        <v>0.360786</v>
      </c>
      <c r="F47" s="5"/>
      <c r="G47" s="5"/>
      <c r="H47" s="5"/>
      <c r="I47" s="5"/>
      <c r="J47" s="5"/>
      <c r="K47" s="5"/>
      <c r="L47" s="5"/>
      <c r="M47" s="5"/>
      <c r="N47" s="20"/>
      <c r="O47" s="5"/>
      <c r="R47" s="52"/>
    </row>
    <row r="48" spans="1:18" x14ac:dyDescent="0.2">
      <c r="A48" s="5"/>
      <c r="B48" s="96"/>
      <c r="C48" s="105"/>
      <c r="D48" s="38"/>
      <c r="E48" s="222"/>
      <c r="F48" s="5"/>
      <c r="G48" s="5"/>
      <c r="H48" s="5"/>
      <c r="I48" s="5"/>
      <c r="J48" s="5"/>
      <c r="K48" s="5"/>
      <c r="L48" s="5"/>
      <c r="M48" s="5"/>
      <c r="N48" s="20"/>
      <c r="O48" s="5"/>
      <c r="R48" s="52"/>
    </row>
    <row r="49" spans="1:18" ht="15.75" x14ac:dyDescent="0.2">
      <c r="A49" s="5"/>
      <c r="B49" s="96"/>
      <c r="C49" s="132" t="s">
        <v>20</v>
      </c>
      <c r="D49" s="112"/>
      <c r="E49" s="221">
        <v>0.11233699999999999</v>
      </c>
      <c r="F49" s="5"/>
      <c r="G49" s="5"/>
      <c r="H49" s="5"/>
      <c r="I49" s="5"/>
      <c r="J49" s="5"/>
      <c r="K49" s="5"/>
      <c r="L49" s="5"/>
      <c r="M49" s="5"/>
      <c r="N49" s="20"/>
      <c r="O49" s="5"/>
      <c r="R49" s="52"/>
    </row>
    <row r="50" spans="1:18" x14ac:dyDescent="0.2">
      <c r="A50" s="5"/>
      <c r="B50" s="96"/>
      <c r="C50" s="218"/>
      <c r="D50" s="4"/>
      <c r="E50" s="223"/>
      <c r="F50" s="5"/>
      <c r="G50" s="5"/>
      <c r="H50" s="5"/>
      <c r="I50" s="5"/>
      <c r="J50" s="5"/>
      <c r="K50" s="5"/>
      <c r="L50" s="5"/>
      <c r="M50" s="5"/>
      <c r="N50" s="20"/>
      <c r="O50" s="5"/>
      <c r="R50" s="52"/>
    </row>
    <row r="51" spans="1:18" ht="15.75" x14ac:dyDescent="0.2">
      <c r="A51" s="5"/>
      <c r="B51" s="96"/>
      <c r="C51" s="219" t="s">
        <v>21</v>
      </c>
      <c r="D51" s="119"/>
      <c r="E51" s="224">
        <f>E49+E47+E40+E32+E29+E27+E24</f>
        <v>1</v>
      </c>
      <c r="F51" s="5"/>
      <c r="G51" s="5"/>
      <c r="H51" s="5"/>
      <c r="I51" s="5"/>
      <c r="J51" s="5"/>
      <c r="K51" s="5"/>
      <c r="L51" s="5"/>
      <c r="M51" s="5"/>
      <c r="N51" s="20"/>
      <c r="O51" s="5"/>
      <c r="R51" s="52"/>
    </row>
    <row r="52" spans="1:18" x14ac:dyDescent="0.2">
      <c r="A52" s="5"/>
      <c r="B52" s="96"/>
      <c r="F52" s="5"/>
      <c r="G52" s="5"/>
      <c r="H52" s="5"/>
      <c r="I52" s="5"/>
      <c r="J52" s="5"/>
      <c r="K52" s="5"/>
      <c r="L52" s="5"/>
      <c r="M52" s="5"/>
      <c r="N52" s="20"/>
      <c r="O52" s="5"/>
      <c r="R52" s="52"/>
    </row>
    <row r="53" spans="1:18" ht="15.75" thickBot="1" x14ac:dyDescent="0.25">
      <c r="A53" s="5"/>
      <c r="B53" s="99"/>
      <c r="C53" s="57"/>
      <c r="D53" s="57"/>
      <c r="E53" s="58"/>
      <c r="F53" s="47"/>
      <c r="G53" s="47"/>
      <c r="H53" s="47"/>
      <c r="I53" s="47"/>
      <c r="J53" s="47"/>
      <c r="K53" s="47"/>
      <c r="L53" s="47"/>
      <c r="M53" s="47"/>
      <c r="N53" s="122"/>
      <c r="O53" s="5"/>
      <c r="R53" s="52"/>
    </row>
    <row r="54" spans="1:18" ht="15.75" thickBot="1" x14ac:dyDescent="0.25">
      <c r="R54" s="52"/>
    </row>
    <row r="55" spans="1:18" ht="15" customHeight="1" x14ac:dyDescent="0.2">
      <c r="B55" s="265" t="s">
        <v>186</v>
      </c>
      <c r="C55" s="266"/>
      <c r="D55" s="266"/>
      <c r="E55" s="266"/>
      <c r="F55" s="266"/>
      <c r="G55" s="266"/>
      <c r="H55" s="266"/>
      <c r="I55" s="266"/>
      <c r="J55" s="266"/>
      <c r="K55" s="266"/>
      <c r="L55" s="266"/>
      <c r="M55" s="266"/>
      <c r="N55" s="266"/>
      <c r="O55" s="266"/>
      <c r="P55" s="266"/>
      <c r="Q55" s="266"/>
      <c r="R55" s="267"/>
    </row>
    <row r="56" spans="1:18" x14ac:dyDescent="0.2">
      <c r="B56" s="268"/>
      <c r="C56" s="269"/>
      <c r="D56" s="269"/>
      <c r="E56" s="269"/>
      <c r="F56" s="269"/>
      <c r="G56" s="269"/>
      <c r="H56" s="269"/>
      <c r="I56" s="269"/>
      <c r="J56" s="269"/>
      <c r="K56" s="269"/>
      <c r="L56" s="269"/>
      <c r="M56" s="269"/>
      <c r="N56" s="269"/>
      <c r="O56" s="269"/>
      <c r="P56" s="269"/>
      <c r="Q56" s="269"/>
      <c r="R56" s="270"/>
    </row>
    <row r="57" spans="1:18" x14ac:dyDescent="0.2">
      <c r="B57" s="268"/>
      <c r="C57" s="269"/>
      <c r="D57" s="269"/>
      <c r="E57" s="269"/>
      <c r="F57" s="269"/>
      <c r="G57" s="269"/>
      <c r="H57" s="269"/>
      <c r="I57" s="269"/>
      <c r="J57" s="269"/>
      <c r="K57" s="269"/>
      <c r="L57" s="269"/>
      <c r="M57" s="269"/>
      <c r="N57" s="269"/>
      <c r="O57" s="269"/>
      <c r="P57" s="269"/>
      <c r="Q57" s="269"/>
      <c r="R57" s="270"/>
    </row>
    <row r="58" spans="1:18" x14ac:dyDescent="0.2">
      <c r="B58" s="268"/>
      <c r="C58" s="269"/>
      <c r="D58" s="269"/>
      <c r="E58" s="269"/>
      <c r="F58" s="269"/>
      <c r="G58" s="269"/>
      <c r="H58" s="269"/>
      <c r="I58" s="269"/>
      <c r="J58" s="269"/>
      <c r="K58" s="269"/>
      <c r="L58" s="269"/>
      <c r="M58" s="269"/>
      <c r="N58" s="269"/>
      <c r="O58" s="269"/>
      <c r="P58" s="269"/>
      <c r="Q58" s="269"/>
      <c r="R58" s="270"/>
    </row>
    <row r="59" spans="1:18" x14ac:dyDescent="0.2">
      <c r="B59" s="268"/>
      <c r="C59" s="269"/>
      <c r="D59" s="269"/>
      <c r="E59" s="269"/>
      <c r="F59" s="269"/>
      <c r="G59" s="269"/>
      <c r="H59" s="269"/>
      <c r="I59" s="269"/>
      <c r="J59" s="269"/>
      <c r="K59" s="269"/>
      <c r="L59" s="269"/>
      <c r="M59" s="269"/>
      <c r="N59" s="269"/>
      <c r="O59" s="269"/>
      <c r="P59" s="269"/>
      <c r="Q59" s="269"/>
      <c r="R59" s="270"/>
    </row>
    <row r="60" spans="1:18" x14ac:dyDescent="0.2">
      <c r="B60" s="268"/>
      <c r="C60" s="269"/>
      <c r="D60" s="269"/>
      <c r="E60" s="269"/>
      <c r="F60" s="269"/>
      <c r="G60" s="269"/>
      <c r="H60" s="269"/>
      <c r="I60" s="269"/>
      <c r="J60" s="269"/>
      <c r="K60" s="269"/>
      <c r="L60" s="269"/>
      <c r="M60" s="269"/>
      <c r="N60" s="269"/>
      <c r="O60" s="269"/>
      <c r="P60" s="269"/>
      <c r="Q60" s="269"/>
      <c r="R60" s="270"/>
    </row>
    <row r="61" spans="1:18" ht="15.75" thickBot="1" x14ac:dyDescent="0.25">
      <c r="B61" s="271"/>
      <c r="C61" s="272"/>
      <c r="D61" s="272"/>
      <c r="E61" s="272"/>
      <c r="F61" s="272"/>
      <c r="G61" s="272"/>
      <c r="H61" s="272"/>
      <c r="I61" s="272"/>
      <c r="J61" s="272"/>
      <c r="K61" s="272"/>
      <c r="L61" s="272"/>
      <c r="M61" s="272"/>
      <c r="N61" s="272"/>
      <c r="O61" s="272"/>
      <c r="P61" s="272"/>
      <c r="Q61" s="272"/>
      <c r="R61" s="273"/>
    </row>
    <row r="62" spans="1:18" ht="15.75" thickBot="1" x14ac:dyDescent="0.25">
      <c r="R62" s="52"/>
    </row>
    <row r="63" spans="1:18" x14ac:dyDescent="0.2">
      <c r="B63" s="281" t="s">
        <v>214</v>
      </c>
      <c r="C63" s="282"/>
      <c r="D63" s="282"/>
      <c r="E63" s="282"/>
      <c r="F63" s="282"/>
      <c r="G63" s="282"/>
      <c r="H63" s="282"/>
      <c r="I63" s="282"/>
      <c r="J63" s="282"/>
      <c r="K63" s="282"/>
      <c r="L63" s="282"/>
      <c r="M63" s="282"/>
      <c r="N63" s="283"/>
      <c r="R63" s="52"/>
    </row>
    <row r="64" spans="1:18" x14ac:dyDescent="0.2">
      <c r="B64" s="284"/>
      <c r="C64" s="285"/>
      <c r="D64" s="285"/>
      <c r="E64" s="285"/>
      <c r="F64" s="285"/>
      <c r="G64" s="285"/>
      <c r="H64" s="285"/>
      <c r="I64" s="285"/>
      <c r="J64" s="285"/>
      <c r="K64" s="285"/>
      <c r="L64" s="285"/>
      <c r="M64" s="285"/>
      <c r="N64" s="286"/>
      <c r="R64" s="52"/>
    </row>
    <row r="65" spans="2:18" x14ac:dyDescent="0.2">
      <c r="B65" s="284"/>
      <c r="C65" s="285"/>
      <c r="D65" s="285"/>
      <c r="E65" s="285"/>
      <c r="F65" s="285"/>
      <c r="G65" s="285"/>
      <c r="H65" s="285"/>
      <c r="I65" s="285"/>
      <c r="J65" s="285"/>
      <c r="K65" s="285"/>
      <c r="L65" s="285"/>
      <c r="M65" s="285"/>
      <c r="N65" s="286"/>
      <c r="R65" s="52"/>
    </row>
    <row r="66" spans="2:18" ht="15.75" thickBot="1" x14ac:dyDescent="0.25">
      <c r="B66" s="287"/>
      <c r="C66" s="288"/>
      <c r="D66" s="288"/>
      <c r="E66" s="288"/>
      <c r="F66" s="288"/>
      <c r="G66" s="288"/>
      <c r="H66" s="288"/>
      <c r="I66" s="288"/>
      <c r="J66" s="288"/>
      <c r="K66" s="288"/>
      <c r="L66" s="288"/>
      <c r="M66" s="288"/>
      <c r="N66" s="289"/>
      <c r="R66" s="52"/>
    </row>
    <row r="67" spans="2:18" x14ac:dyDescent="0.2">
      <c r="R67" s="52"/>
    </row>
    <row r="68" spans="2:18" x14ac:dyDescent="0.2">
      <c r="R68" s="52"/>
    </row>
    <row r="69" spans="2:18" x14ac:dyDescent="0.2">
      <c r="R69" s="52"/>
    </row>
    <row r="70" spans="2:18" x14ac:dyDescent="0.2">
      <c r="R70" s="52"/>
    </row>
    <row r="71" spans="2:18" x14ac:dyDescent="0.2">
      <c r="R71" s="52"/>
    </row>
    <row r="72" spans="2:18" x14ac:dyDescent="0.2">
      <c r="R72" s="52"/>
    </row>
    <row r="73" spans="2:18" x14ac:dyDescent="0.2">
      <c r="R73" s="52"/>
    </row>
    <row r="74" spans="2:18" x14ac:dyDescent="0.2">
      <c r="R74" s="52"/>
    </row>
    <row r="75" spans="2:18" x14ac:dyDescent="0.2">
      <c r="R75" s="52"/>
    </row>
    <row r="76" spans="2:18" x14ac:dyDescent="0.2">
      <c r="R76" s="52"/>
    </row>
    <row r="77" spans="2:18" x14ac:dyDescent="0.2">
      <c r="R77" s="52"/>
    </row>
    <row r="78" spans="2:18" x14ac:dyDescent="0.2">
      <c r="R78" s="52"/>
    </row>
    <row r="79" spans="2:18" x14ac:dyDescent="0.2">
      <c r="R79" s="52"/>
    </row>
    <row r="80" spans="2:18" x14ac:dyDescent="0.2">
      <c r="R80" s="52"/>
    </row>
    <row r="81" spans="18:18" x14ac:dyDescent="0.2">
      <c r="R81" s="52"/>
    </row>
    <row r="82" spans="18:18" x14ac:dyDescent="0.2">
      <c r="R82" s="52"/>
    </row>
    <row r="83" spans="18:18" x14ac:dyDescent="0.2">
      <c r="R83" s="52"/>
    </row>
    <row r="84" spans="18:18" x14ac:dyDescent="0.2">
      <c r="R84" s="52"/>
    </row>
    <row r="85" spans="18:18" x14ac:dyDescent="0.2">
      <c r="R85" s="52"/>
    </row>
    <row r="86" spans="18:18" x14ac:dyDescent="0.2">
      <c r="R86" s="52"/>
    </row>
    <row r="87" spans="18:18" x14ac:dyDescent="0.2">
      <c r="R87" s="52"/>
    </row>
    <row r="88" spans="18:18" x14ac:dyDescent="0.2">
      <c r="R88" s="52"/>
    </row>
    <row r="89" spans="18:18" x14ac:dyDescent="0.2">
      <c r="R89" s="52"/>
    </row>
    <row r="90" spans="18:18" x14ac:dyDescent="0.2">
      <c r="R90" s="52"/>
    </row>
    <row r="91" spans="18:18" x14ac:dyDescent="0.2">
      <c r="R91" s="52"/>
    </row>
    <row r="92" spans="18:18" x14ac:dyDescent="0.2">
      <c r="R92" s="52"/>
    </row>
    <row r="93" spans="18:18" x14ac:dyDescent="0.2">
      <c r="R93" s="52"/>
    </row>
    <row r="94" spans="18:18" x14ac:dyDescent="0.2">
      <c r="R94" s="52"/>
    </row>
    <row r="95" spans="18:18" x14ac:dyDescent="0.2">
      <c r="R95" s="52"/>
    </row>
    <row r="96" spans="18:18" x14ac:dyDescent="0.2">
      <c r="R96" s="52"/>
    </row>
    <row r="97" spans="18:18" x14ac:dyDescent="0.2">
      <c r="R97" s="52"/>
    </row>
    <row r="98" spans="18:18" x14ac:dyDescent="0.2">
      <c r="R98" s="52"/>
    </row>
    <row r="99" spans="18:18" x14ac:dyDescent="0.2">
      <c r="R99" s="52"/>
    </row>
    <row r="100" spans="18:18" x14ac:dyDescent="0.2">
      <c r="R100" s="52"/>
    </row>
    <row r="101" spans="18:18" x14ac:dyDescent="0.2">
      <c r="R101" s="52"/>
    </row>
    <row r="102" spans="18:18" x14ac:dyDescent="0.2">
      <c r="R102" s="52"/>
    </row>
    <row r="103" spans="18:18" x14ac:dyDescent="0.2">
      <c r="R103" s="52"/>
    </row>
    <row r="104" spans="18:18" x14ac:dyDescent="0.2">
      <c r="R104" s="52"/>
    </row>
    <row r="105" spans="18:18" x14ac:dyDescent="0.2">
      <c r="R105" s="52"/>
    </row>
    <row r="106" spans="18:18" x14ac:dyDescent="0.2">
      <c r="R106" s="52"/>
    </row>
    <row r="107" spans="18:18" x14ac:dyDescent="0.2">
      <c r="R107" s="52"/>
    </row>
    <row r="108" spans="18:18" x14ac:dyDescent="0.2">
      <c r="R108" s="52"/>
    </row>
    <row r="109" spans="18:18" x14ac:dyDescent="0.2">
      <c r="R109" s="52"/>
    </row>
    <row r="110" spans="18:18" x14ac:dyDescent="0.2">
      <c r="R110" s="52"/>
    </row>
    <row r="111" spans="18:18" x14ac:dyDescent="0.2">
      <c r="R111" s="52"/>
    </row>
    <row r="112" spans="18: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row r="658" spans="18:18" x14ac:dyDescent="0.2">
      <c r="R658" s="52"/>
    </row>
    <row r="659" spans="18:18" x14ac:dyDescent="0.2">
      <c r="R659" s="52"/>
    </row>
    <row r="660" spans="18:18" x14ac:dyDescent="0.2">
      <c r="R660" s="52"/>
    </row>
    <row r="661" spans="18:18" x14ac:dyDescent="0.2">
      <c r="R661" s="52"/>
    </row>
    <row r="662" spans="18:18" x14ac:dyDescent="0.2">
      <c r="R662" s="52"/>
    </row>
    <row r="663" spans="18:18" x14ac:dyDescent="0.2">
      <c r="R663" s="52"/>
    </row>
    <row r="664" spans="18:18" x14ac:dyDescent="0.2">
      <c r="R664" s="52"/>
    </row>
    <row r="665" spans="18:18" x14ac:dyDescent="0.2">
      <c r="R665" s="52"/>
    </row>
    <row r="666" spans="18:18" x14ac:dyDescent="0.2">
      <c r="R666" s="52"/>
    </row>
    <row r="667" spans="18:18" x14ac:dyDescent="0.2">
      <c r="R667" s="52"/>
    </row>
    <row r="668" spans="18:18" x14ac:dyDescent="0.2">
      <c r="R668" s="52"/>
    </row>
    <row r="669" spans="18:18" x14ac:dyDescent="0.2">
      <c r="R669" s="52"/>
    </row>
    <row r="670" spans="18:18" x14ac:dyDescent="0.2">
      <c r="R670" s="52"/>
    </row>
    <row r="671" spans="18:18" x14ac:dyDescent="0.2">
      <c r="R671" s="52"/>
    </row>
    <row r="672" spans="18:18" x14ac:dyDescent="0.2">
      <c r="R672" s="52"/>
    </row>
  </sheetData>
  <sortState ref="C8:E18">
    <sortCondition descending="1" ref="E8"/>
  </sortState>
  <mergeCells count="7">
    <mergeCell ref="B63:N66"/>
    <mergeCell ref="B55:R61"/>
    <mergeCell ref="C3:N3"/>
    <mergeCell ref="D5:E5"/>
    <mergeCell ref="G7:N7"/>
    <mergeCell ref="G20:K20"/>
    <mergeCell ref="G23:N23"/>
  </mergeCells>
  <pageMargins left="0.7" right="0.7" top="0.75" bottom="0.75" header="0.3" footer="0.3"/>
  <pageSetup paperSize="9" scale="1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9">
    <pageSetUpPr fitToPage="1"/>
  </sheetPr>
  <dimension ref="A1:R667"/>
  <sheetViews>
    <sheetView showGridLines="0" topLeftCell="A2" zoomScale="75" zoomScaleNormal="75" zoomScaleSheetLayoutView="76" workbookViewId="0">
      <selection activeCell="M11" sqref="M11"/>
    </sheetView>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8" ht="15.75" thickBot="1" x14ac:dyDescent="0.25"/>
    <row r="2" spans="2:18" x14ac:dyDescent="0.2">
      <c r="B2" s="94"/>
      <c r="C2" s="42"/>
      <c r="D2" s="42"/>
      <c r="E2" s="42"/>
      <c r="F2" s="42"/>
      <c r="G2" s="42"/>
      <c r="H2" s="42"/>
      <c r="I2" s="42"/>
      <c r="J2" s="42"/>
      <c r="K2" s="42"/>
      <c r="L2" s="42"/>
      <c r="M2" s="42"/>
      <c r="N2" s="95"/>
    </row>
    <row r="3" spans="2:18" ht="20.25" customHeight="1" x14ac:dyDescent="0.2">
      <c r="B3" s="96"/>
      <c r="C3" s="259" t="s">
        <v>163</v>
      </c>
      <c r="D3" s="259"/>
      <c r="E3" s="259"/>
      <c r="F3" s="259"/>
      <c r="G3" s="259"/>
      <c r="H3" s="259"/>
      <c r="I3" s="259"/>
      <c r="J3" s="259"/>
      <c r="K3" s="259"/>
      <c r="L3" s="259"/>
      <c r="M3" s="259"/>
      <c r="N3" s="260"/>
    </row>
    <row r="4" spans="2:18" ht="15.75" x14ac:dyDescent="0.25">
      <c r="B4" s="96"/>
      <c r="C4" s="70" t="s">
        <v>367</v>
      </c>
      <c r="D4" s="29"/>
      <c r="E4" s="29"/>
      <c r="F4" s="5"/>
      <c r="G4" s="5"/>
      <c r="H4" s="5"/>
      <c r="I4" s="5"/>
      <c r="J4" s="5"/>
      <c r="K4" s="5"/>
      <c r="L4" s="5"/>
      <c r="M4" s="5"/>
      <c r="N4" s="20"/>
    </row>
    <row r="5" spans="2:18" ht="20.25" customHeight="1" x14ac:dyDescent="0.2">
      <c r="B5" s="96"/>
      <c r="C5" s="228" t="s">
        <v>366</v>
      </c>
      <c r="D5" s="276" t="s">
        <v>335</v>
      </c>
      <c r="E5" s="276"/>
      <c r="F5" s="5"/>
      <c r="G5" s="5"/>
      <c r="H5" s="5"/>
      <c r="I5" s="5"/>
      <c r="J5" s="5"/>
      <c r="K5" s="5"/>
      <c r="L5" s="5"/>
      <c r="M5" s="5"/>
      <c r="N5" s="20"/>
    </row>
    <row r="6" spans="2:18" ht="15.75" x14ac:dyDescent="0.25">
      <c r="B6" s="96"/>
      <c r="C6" s="29"/>
      <c r="D6" s="29"/>
      <c r="E6" s="29"/>
      <c r="F6" s="5"/>
      <c r="G6" s="5"/>
      <c r="H6" s="5"/>
      <c r="I6" s="5"/>
      <c r="J6" s="5"/>
      <c r="K6" s="5"/>
      <c r="L6" s="5"/>
      <c r="M6" s="5"/>
      <c r="N6" s="20"/>
    </row>
    <row r="7" spans="2:18" ht="32.25" customHeight="1" x14ac:dyDescent="0.2">
      <c r="B7" s="96"/>
      <c r="C7" s="98" t="s">
        <v>43</v>
      </c>
      <c r="D7" s="98" t="s">
        <v>44</v>
      </c>
      <c r="E7" s="98" t="s">
        <v>45</v>
      </c>
      <c r="F7" s="5"/>
      <c r="G7" s="261" t="s">
        <v>46</v>
      </c>
      <c r="H7" s="261"/>
      <c r="I7" s="261"/>
      <c r="J7" s="261"/>
      <c r="K7" s="261"/>
      <c r="L7" s="261"/>
      <c r="M7" s="261"/>
      <c r="N7" s="262"/>
    </row>
    <row r="8" spans="2:18" x14ac:dyDescent="0.2">
      <c r="B8" s="96"/>
      <c r="C8" s="38" t="s">
        <v>70</v>
      </c>
      <c r="D8" s="61" t="s">
        <v>12</v>
      </c>
      <c r="E8" s="6">
        <v>3.5557999999999999E-2</v>
      </c>
      <c r="F8" s="5"/>
      <c r="G8" s="41" t="s">
        <v>47</v>
      </c>
      <c r="H8" s="44">
        <f>100%-H9-H10</f>
        <v>0.97617600000000004</v>
      </c>
      <c r="I8" s="43">
        <f>H8/SUM($H$8:$H$10)</f>
        <v>0.97617600000000004</v>
      </c>
      <c r="J8" s="5"/>
      <c r="K8" s="31"/>
      <c r="L8" s="5"/>
      <c r="M8" s="5"/>
      <c r="N8" s="20"/>
      <c r="R8" s="52"/>
    </row>
    <row r="9" spans="2:18" ht="15.75" customHeight="1" x14ac:dyDescent="0.2">
      <c r="B9" s="96"/>
      <c r="C9" s="38" t="s">
        <v>31</v>
      </c>
      <c r="D9" s="61" t="s">
        <v>6</v>
      </c>
      <c r="E9" s="6">
        <v>3.3871999999999999E-2</v>
      </c>
      <c r="F9" s="5"/>
      <c r="G9" s="41" t="s">
        <v>57</v>
      </c>
      <c r="H9" s="44">
        <v>7.9109999999999996E-3</v>
      </c>
      <c r="I9" s="43">
        <f>H9/SUM($H$8:$H$10)</f>
        <v>7.9109999999999996E-3</v>
      </c>
      <c r="J9" s="5" t="s">
        <v>41</v>
      </c>
      <c r="K9" s="31">
        <f>E37</f>
        <v>9.7309999999999994E-2</v>
      </c>
      <c r="L9" s="5"/>
      <c r="M9" s="5"/>
      <c r="N9" s="20"/>
      <c r="R9" s="52"/>
    </row>
    <row r="10" spans="2:18" x14ac:dyDescent="0.2">
      <c r="B10" s="96"/>
      <c r="C10" s="38" t="s">
        <v>28</v>
      </c>
      <c r="D10" s="61" t="s">
        <v>109</v>
      </c>
      <c r="E10" s="6">
        <v>3.1891000000000003E-2</v>
      </c>
      <c r="F10" s="31"/>
      <c r="G10" s="41" t="s">
        <v>48</v>
      </c>
      <c r="H10" s="44">
        <f>E31+E34</f>
        <v>1.5913E-2</v>
      </c>
      <c r="I10" s="43">
        <f>H10/SUM($H$8:$H$10)</f>
        <v>1.5913E-2</v>
      </c>
      <c r="J10" s="5" t="s">
        <v>143</v>
      </c>
      <c r="K10" s="31">
        <f>E24+E26</f>
        <v>0.77510400000000002</v>
      </c>
      <c r="L10" s="5"/>
      <c r="M10" s="5"/>
      <c r="N10" s="20"/>
      <c r="R10" s="52"/>
    </row>
    <row r="11" spans="2:18" x14ac:dyDescent="0.2">
      <c r="B11" s="96"/>
      <c r="C11" s="38" t="s">
        <v>29</v>
      </c>
      <c r="D11" s="61" t="s">
        <v>3</v>
      </c>
      <c r="E11" s="6">
        <v>3.0886E-2</v>
      </c>
      <c r="F11" s="5"/>
      <c r="G11" s="5"/>
      <c r="H11" s="5"/>
      <c r="I11" s="5"/>
      <c r="J11" s="5" t="s">
        <v>316</v>
      </c>
      <c r="K11" s="31">
        <f>E28</f>
        <v>1.013E-2</v>
      </c>
      <c r="L11" s="5"/>
      <c r="M11" s="5"/>
      <c r="N11" s="20"/>
      <c r="R11" s="52"/>
    </row>
    <row r="12" spans="2:18" ht="15.75" customHeight="1" x14ac:dyDescent="0.2">
      <c r="B12" s="96"/>
      <c r="C12" s="38" t="s">
        <v>36</v>
      </c>
      <c r="D12" s="61" t="s">
        <v>3</v>
      </c>
      <c r="E12" s="6">
        <v>2.9364000000000001E-2</v>
      </c>
      <c r="F12" s="31"/>
      <c r="G12" s="5"/>
      <c r="H12" s="31"/>
      <c r="I12" s="5"/>
      <c r="J12" s="5" t="s">
        <v>20</v>
      </c>
      <c r="K12" s="31">
        <f>E45</f>
        <v>1.9111E-2</v>
      </c>
      <c r="L12" s="5"/>
      <c r="M12" s="5"/>
      <c r="N12" s="20"/>
      <c r="R12" s="52"/>
    </row>
    <row r="13" spans="2:18" x14ac:dyDescent="0.2">
      <c r="B13" s="96"/>
      <c r="C13" s="38" t="s">
        <v>62</v>
      </c>
      <c r="D13" s="61" t="s">
        <v>10</v>
      </c>
      <c r="E13" s="6">
        <v>2.8677999999999999E-2</v>
      </c>
      <c r="F13" s="31"/>
      <c r="G13" s="5"/>
      <c r="H13" s="5"/>
      <c r="I13" s="5"/>
      <c r="J13" s="5" t="s">
        <v>42</v>
      </c>
      <c r="K13" s="31">
        <f>E43</f>
        <v>9.8345000000000002E-2</v>
      </c>
      <c r="L13" s="5"/>
      <c r="M13" s="5"/>
      <c r="N13" s="20"/>
      <c r="R13" s="52"/>
    </row>
    <row r="14" spans="2:18" x14ac:dyDescent="0.2">
      <c r="B14" s="96"/>
      <c r="C14" s="38" t="s">
        <v>239</v>
      </c>
      <c r="D14" s="61" t="s">
        <v>26</v>
      </c>
      <c r="E14" s="6">
        <v>2.6894999999999999E-2</v>
      </c>
      <c r="F14" s="31"/>
      <c r="G14" s="5"/>
      <c r="H14" s="5"/>
      <c r="I14" s="5"/>
      <c r="J14" s="5"/>
      <c r="K14" s="31"/>
      <c r="L14" s="5"/>
      <c r="M14" s="5"/>
      <c r="N14" s="20"/>
      <c r="R14" s="52"/>
    </row>
    <row r="15" spans="2:18" x14ac:dyDescent="0.2">
      <c r="B15" s="96"/>
      <c r="C15" s="38" t="s">
        <v>195</v>
      </c>
      <c r="D15" s="61" t="s">
        <v>109</v>
      </c>
      <c r="E15" s="6">
        <v>2.3910000000000001E-2</v>
      </c>
      <c r="F15" s="5"/>
      <c r="G15" s="5"/>
      <c r="H15" s="5"/>
      <c r="I15" s="5"/>
      <c r="J15" s="5"/>
      <c r="K15" s="31"/>
      <c r="L15" s="5"/>
      <c r="M15" s="5"/>
      <c r="N15" s="20"/>
      <c r="R15" s="52"/>
    </row>
    <row r="16" spans="2:18" x14ac:dyDescent="0.2">
      <c r="B16" s="96"/>
      <c r="C16" s="38" t="s">
        <v>69</v>
      </c>
      <c r="D16" s="61" t="s">
        <v>4</v>
      </c>
      <c r="E16" s="6">
        <v>2.2123E-2</v>
      </c>
      <c r="F16" s="5"/>
      <c r="G16" s="5"/>
      <c r="H16" s="5"/>
      <c r="I16" s="5"/>
      <c r="J16" s="5"/>
      <c r="K16" s="5"/>
      <c r="L16" s="5"/>
      <c r="M16" s="5"/>
      <c r="N16" s="20"/>
      <c r="R16" s="52"/>
    </row>
    <row r="17" spans="2:18" x14ac:dyDescent="0.2">
      <c r="B17" s="96"/>
      <c r="C17" s="38" t="s">
        <v>122</v>
      </c>
      <c r="D17" s="61" t="s">
        <v>114</v>
      </c>
      <c r="E17" s="6">
        <v>2.1968000000000001E-2</v>
      </c>
      <c r="F17" s="5"/>
      <c r="G17" s="5"/>
      <c r="H17" s="5"/>
      <c r="I17" s="5"/>
      <c r="J17" s="5"/>
      <c r="K17" s="5"/>
      <c r="L17" s="5"/>
      <c r="M17" s="5"/>
      <c r="N17" s="20"/>
      <c r="R17" s="52"/>
    </row>
    <row r="18" spans="2:18" x14ac:dyDescent="0.2">
      <c r="B18" s="96"/>
      <c r="C18" s="38" t="s">
        <v>204</v>
      </c>
      <c r="D18" s="61" t="s">
        <v>108</v>
      </c>
      <c r="E18" s="6">
        <v>1.8568999999999999E-2</v>
      </c>
      <c r="F18" s="5"/>
      <c r="G18" s="5"/>
      <c r="H18" s="5"/>
      <c r="I18" s="5"/>
      <c r="J18" s="5"/>
      <c r="K18" s="5"/>
      <c r="L18" s="5"/>
      <c r="M18" s="5"/>
      <c r="N18" s="20"/>
      <c r="R18" s="52"/>
    </row>
    <row r="19" spans="2:18" ht="30" x14ac:dyDescent="0.2">
      <c r="B19" s="96"/>
      <c r="C19" s="38" t="s">
        <v>302</v>
      </c>
      <c r="D19" s="61" t="s">
        <v>113</v>
      </c>
      <c r="E19" s="6">
        <v>1.7651E-2</v>
      </c>
      <c r="F19" s="5"/>
      <c r="G19" s="5"/>
      <c r="H19" s="5"/>
      <c r="I19" s="5"/>
      <c r="J19" s="5"/>
      <c r="K19" s="5"/>
      <c r="L19" s="5"/>
      <c r="M19" s="5"/>
      <c r="N19" s="20"/>
      <c r="R19" s="52"/>
    </row>
    <row r="20" spans="2:18" ht="15.75" customHeight="1" x14ac:dyDescent="0.25">
      <c r="B20" s="96"/>
      <c r="C20" s="38" t="s">
        <v>77</v>
      </c>
      <c r="D20" s="61" t="s">
        <v>4</v>
      </c>
      <c r="E20" s="6">
        <v>1.7073999999999999E-2</v>
      </c>
      <c r="F20" s="5"/>
      <c r="G20" s="279" t="s">
        <v>102</v>
      </c>
      <c r="H20" s="280"/>
      <c r="I20" s="280"/>
      <c r="J20" s="280"/>
      <c r="K20" s="280"/>
      <c r="L20" s="185">
        <v>9.9125924026738055</v>
      </c>
      <c r="M20" s="110"/>
      <c r="N20" s="181"/>
      <c r="R20" s="52"/>
    </row>
    <row r="21" spans="2:18" ht="30" x14ac:dyDescent="0.2">
      <c r="B21" s="96"/>
      <c r="C21" s="38" t="s">
        <v>277</v>
      </c>
      <c r="D21" s="61" t="s">
        <v>113</v>
      </c>
      <c r="E21" s="6">
        <v>1.6625000000000001E-2</v>
      </c>
      <c r="F21" s="5"/>
      <c r="G21" s="5"/>
      <c r="H21" s="5"/>
      <c r="I21" s="5"/>
      <c r="J21" s="5"/>
      <c r="K21" s="5"/>
      <c r="L21" s="5"/>
      <c r="M21" s="5"/>
      <c r="N21" s="20"/>
      <c r="R21" s="52"/>
    </row>
    <row r="22" spans="2:18" x14ac:dyDescent="0.2">
      <c r="B22" s="96"/>
      <c r="C22" s="38" t="s">
        <v>279</v>
      </c>
      <c r="D22" s="61" t="s">
        <v>4</v>
      </c>
      <c r="E22" s="6">
        <v>1.6506E-2</v>
      </c>
      <c r="F22" s="5"/>
      <c r="G22" s="31"/>
      <c r="H22" s="31"/>
      <c r="I22" s="31"/>
      <c r="J22" s="5"/>
      <c r="K22" s="31"/>
      <c r="L22" s="5"/>
      <c r="M22" s="5"/>
      <c r="N22" s="20"/>
      <c r="R22" s="52"/>
    </row>
    <row r="23" spans="2:18" ht="15.75" customHeight="1" x14ac:dyDescent="0.2">
      <c r="B23" s="96"/>
      <c r="C23" s="38"/>
      <c r="D23" s="4"/>
      <c r="E23" s="6"/>
      <c r="F23" s="5"/>
      <c r="G23" s="261" t="s">
        <v>50</v>
      </c>
      <c r="H23" s="261"/>
      <c r="I23" s="261"/>
      <c r="J23" s="261"/>
      <c r="K23" s="261"/>
      <c r="L23" s="261"/>
      <c r="M23" s="261"/>
      <c r="N23" s="262"/>
      <c r="R23" s="52"/>
    </row>
    <row r="24" spans="2:18" ht="15.75" x14ac:dyDescent="0.2">
      <c r="B24" s="96"/>
      <c r="C24" s="112" t="s">
        <v>56</v>
      </c>
      <c r="D24" s="112"/>
      <c r="E24" s="113">
        <f>SUM(E8:E22)</f>
        <v>0.37157000000000001</v>
      </c>
      <c r="F24" s="5"/>
      <c r="G24" s="5"/>
      <c r="H24" s="5"/>
      <c r="I24" s="5"/>
      <c r="J24" s="5"/>
      <c r="K24" s="5"/>
      <c r="L24" s="5"/>
      <c r="M24" s="5"/>
      <c r="N24" s="20"/>
      <c r="R24" s="52"/>
    </row>
    <row r="25" spans="2:18" x14ac:dyDescent="0.2">
      <c r="B25" s="96"/>
      <c r="C25" s="4"/>
      <c r="D25" s="4"/>
      <c r="E25" s="6"/>
      <c r="F25" s="5"/>
      <c r="G25" s="5"/>
      <c r="H25" s="5"/>
      <c r="I25" s="5"/>
      <c r="J25" s="5"/>
      <c r="K25" s="5"/>
      <c r="L25" s="5"/>
      <c r="M25" s="5"/>
      <c r="N25" s="20"/>
      <c r="R25" s="52"/>
    </row>
    <row r="26" spans="2:18" ht="15.75" x14ac:dyDescent="0.2">
      <c r="B26" s="96"/>
      <c r="C26" s="112" t="s">
        <v>66</v>
      </c>
      <c r="D26" s="112"/>
      <c r="E26" s="113">
        <v>0.40353399999999995</v>
      </c>
      <c r="F26" s="31"/>
      <c r="G26" s="5"/>
      <c r="H26" s="5"/>
      <c r="I26" s="5"/>
      <c r="J26" s="5"/>
      <c r="K26" s="5"/>
      <c r="L26" s="5"/>
      <c r="M26" s="5"/>
      <c r="N26" s="20"/>
      <c r="R26" s="52"/>
    </row>
    <row r="27" spans="2:18" x14ac:dyDescent="0.2">
      <c r="B27" s="96"/>
      <c r="C27" s="38" t="s">
        <v>278</v>
      </c>
      <c r="D27" s="61" t="s">
        <v>78</v>
      </c>
      <c r="E27" s="6">
        <v>1.013E-2</v>
      </c>
      <c r="F27" s="5"/>
      <c r="G27" s="5"/>
      <c r="H27" s="5"/>
      <c r="I27" s="5"/>
      <c r="J27" s="5"/>
      <c r="K27" s="5"/>
      <c r="L27" s="5"/>
      <c r="M27" s="5"/>
      <c r="N27" s="20"/>
      <c r="R27" s="52"/>
    </row>
    <row r="28" spans="2:18" s="51" customFormat="1" ht="13.5" customHeight="1" x14ac:dyDescent="0.2">
      <c r="B28" s="114"/>
      <c r="C28" s="112" t="s">
        <v>316</v>
      </c>
      <c r="D28" s="112"/>
      <c r="E28" s="113">
        <v>1.013E-2</v>
      </c>
      <c r="F28" s="41"/>
      <c r="G28" s="41"/>
      <c r="H28" s="41"/>
      <c r="I28" s="41"/>
      <c r="J28" s="41"/>
      <c r="K28" s="41"/>
      <c r="L28" s="41"/>
      <c r="M28" s="41"/>
      <c r="N28" s="115"/>
      <c r="R28" s="116"/>
    </row>
    <row r="29" spans="2:18" x14ac:dyDescent="0.2">
      <c r="B29" s="96"/>
      <c r="C29" s="38" t="s">
        <v>75</v>
      </c>
      <c r="D29" s="61" t="s">
        <v>63</v>
      </c>
      <c r="E29" s="6">
        <v>3.2777000000000001E-2</v>
      </c>
      <c r="F29" s="5"/>
      <c r="G29" s="5"/>
      <c r="H29" s="5"/>
      <c r="I29" s="5"/>
      <c r="J29" s="5"/>
      <c r="K29" s="5"/>
      <c r="L29" s="5"/>
      <c r="M29" s="5"/>
      <c r="N29" s="20"/>
      <c r="R29" s="52"/>
    </row>
    <row r="30" spans="2:18" x14ac:dyDescent="0.2">
      <c r="B30" s="96"/>
      <c r="C30" s="38" t="s">
        <v>82</v>
      </c>
      <c r="D30" s="61" t="s">
        <v>63</v>
      </c>
      <c r="E30" s="6">
        <v>1.9694E-2</v>
      </c>
      <c r="F30" s="5"/>
      <c r="G30" s="5"/>
      <c r="H30" s="5"/>
      <c r="I30" s="5"/>
      <c r="J30" s="5"/>
      <c r="K30" s="5"/>
      <c r="L30" s="5"/>
      <c r="M30" s="5"/>
      <c r="N30" s="20"/>
      <c r="R30" s="52"/>
    </row>
    <row r="31" spans="2:18" x14ac:dyDescent="0.2">
      <c r="B31" s="96"/>
      <c r="C31" s="38" t="s">
        <v>310</v>
      </c>
      <c r="D31" s="61" t="s">
        <v>371</v>
      </c>
      <c r="E31" s="6">
        <v>8.0160000000000006E-3</v>
      </c>
      <c r="F31" s="5"/>
      <c r="G31" s="5"/>
      <c r="H31" s="5"/>
      <c r="I31" s="5"/>
      <c r="J31" s="5"/>
      <c r="K31" s="5"/>
      <c r="L31" s="5"/>
      <c r="M31" s="5"/>
      <c r="N31" s="20"/>
      <c r="R31" s="52"/>
    </row>
    <row r="32" spans="2:18" x14ac:dyDescent="0.2">
      <c r="B32" s="96"/>
      <c r="C32" s="38" t="s">
        <v>311</v>
      </c>
      <c r="D32" s="61" t="s">
        <v>312</v>
      </c>
      <c r="E32" s="6">
        <v>7.9109999999999996E-3</v>
      </c>
      <c r="F32" s="5"/>
      <c r="G32" s="5"/>
      <c r="H32" s="5"/>
      <c r="I32" s="5"/>
      <c r="J32" s="5"/>
      <c r="K32" s="5"/>
      <c r="L32" s="5"/>
      <c r="M32" s="5"/>
      <c r="N32" s="20"/>
      <c r="R32" s="52"/>
    </row>
    <row r="33" spans="1:18" x14ac:dyDescent="0.2">
      <c r="B33" s="96"/>
      <c r="C33" s="38" t="s">
        <v>77</v>
      </c>
      <c r="D33" s="61" t="s">
        <v>63</v>
      </c>
      <c r="E33" s="6">
        <v>7.9100000000000004E-3</v>
      </c>
      <c r="F33" s="5"/>
      <c r="G33" s="5"/>
      <c r="H33" s="5"/>
      <c r="I33" s="5"/>
      <c r="J33" s="5"/>
      <c r="K33" s="5"/>
      <c r="L33" s="5"/>
      <c r="M33" s="5"/>
      <c r="N33" s="20"/>
      <c r="R33" s="52"/>
    </row>
    <row r="34" spans="1:18" x14ac:dyDescent="0.2">
      <c r="B34" s="96"/>
      <c r="C34" s="38" t="s">
        <v>315</v>
      </c>
      <c r="D34" s="61" t="s">
        <v>371</v>
      </c>
      <c r="E34" s="6">
        <v>7.8969999999999995E-3</v>
      </c>
      <c r="F34" s="5"/>
      <c r="G34" s="5"/>
      <c r="H34" s="5"/>
      <c r="I34" s="5"/>
      <c r="J34" s="5"/>
      <c r="K34" s="5"/>
      <c r="L34" s="5"/>
      <c r="M34" s="5"/>
      <c r="N34" s="20"/>
      <c r="R34" s="52"/>
    </row>
    <row r="35" spans="1:18" x14ac:dyDescent="0.2">
      <c r="B35" s="96"/>
      <c r="C35" s="38" t="s">
        <v>29</v>
      </c>
      <c r="D35" s="61" t="s">
        <v>63</v>
      </c>
      <c r="E35" s="6">
        <v>6.5550000000000001E-3</v>
      </c>
      <c r="F35" s="5"/>
      <c r="G35" s="5"/>
      <c r="H35" s="5"/>
      <c r="I35" s="5"/>
      <c r="J35" s="5"/>
      <c r="K35" s="5"/>
      <c r="L35" s="5"/>
      <c r="M35" s="5"/>
      <c r="N35" s="20"/>
      <c r="R35" s="52"/>
    </row>
    <row r="36" spans="1:18" x14ac:dyDescent="0.2">
      <c r="B36" s="96"/>
      <c r="C36" s="38" t="s">
        <v>69</v>
      </c>
      <c r="D36" s="61" t="s">
        <v>63</v>
      </c>
      <c r="E36" s="6">
        <v>6.5500000000000003E-3</v>
      </c>
      <c r="F36" s="5"/>
      <c r="G36" s="5"/>
      <c r="H36" s="5"/>
      <c r="I36" s="5"/>
      <c r="J36" s="5"/>
      <c r="K36" s="5"/>
      <c r="L36" s="5"/>
      <c r="M36" s="5"/>
      <c r="N36" s="20"/>
      <c r="R36" s="52"/>
    </row>
    <row r="37" spans="1:18" ht="15.75" x14ac:dyDescent="0.2">
      <c r="B37" s="96"/>
      <c r="C37" s="112" t="s">
        <v>49</v>
      </c>
      <c r="D37" s="112"/>
      <c r="E37" s="113">
        <v>9.7309999999999994E-2</v>
      </c>
      <c r="F37" s="5"/>
      <c r="G37" s="5"/>
      <c r="H37" s="5"/>
      <c r="I37" s="5"/>
      <c r="J37" s="5"/>
      <c r="K37" s="5"/>
      <c r="L37" s="5"/>
      <c r="M37" s="5"/>
      <c r="N37" s="20"/>
      <c r="R37" s="52"/>
    </row>
    <row r="38" spans="1:18" x14ac:dyDescent="0.2">
      <c r="B38" s="96"/>
      <c r="C38" s="125" t="s">
        <v>74</v>
      </c>
      <c r="D38" s="252" t="s">
        <v>61</v>
      </c>
      <c r="E38" s="108">
        <v>6.0991999999999998E-2</v>
      </c>
      <c r="F38" s="5"/>
      <c r="G38" s="5"/>
      <c r="H38" s="5"/>
      <c r="I38" s="5"/>
      <c r="J38" s="5"/>
      <c r="K38" s="5"/>
      <c r="L38" s="5"/>
      <c r="M38" s="5"/>
      <c r="N38" s="20"/>
      <c r="R38" s="52"/>
    </row>
    <row r="39" spans="1:18" s="51" customFormat="1" x14ac:dyDescent="0.2">
      <c r="B39" s="114"/>
      <c r="C39" s="38" t="s">
        <v>67</v>
      </c>
      <c r="D39" s="4" t="s">
        <v>61</v>
      </c>
      <c r="E39" s="204">
        <v>2.6698E-2</v>
      </c>
      <c r="F39" s="41"/>
      <c r="G39" s="5"/>
      <c r="H39" s="5"/>
      <c r="I39" s="5"/>
      <c r="J39" s="5"/>
      <c r="K39" s="5"/>
      <c r="L39" s="41"/>
      <c r="M39" s="41"/>
      <c r="N39" s="115"/>
      <c r="R39" s="116"/>
    </row>
    <row r="40" spans="1:18" x14ac:dyDescent="0.2">
      <c r="B40" s="96"/>
      <c r="C40" s="38" t="s">
        <v>67</v>
      </c>
      <c r="D40" s="4" t="s">
        <v>61</v>
      </c>
      <c r="E40" s="204">
        <v>6.79E-3</v>
      </c>
      <c r="F40" s="5"/>
      <c r="G40" s="5"/>
      <c r="H40" s="5"/>
      <c r="I40" s="5"/>
      <c r="J40" s="5"/>
      <c r="K40" s="5"/>
      <c r="L40" s="5"/>
      <c r="M40" s="5"/>
      <c r="N40" s="20"/>
      <c r="R40" s="52"/>
    </row>
    <row r="41" spans="1:18" x14ac:dyDescent="0.2">
      <c r="A41" s="5"/>
      <c r="B41" s="96"/>
      <c r="C41" s="38" t="s">
        <v>73</v>
      </c>
      <c r="D41" s="4" t="s">
        <v>61</v>
      </c>
      <c r="E41" s="204">
        <v>2.6570000000000001E-3</v>
      </c>
      <c r="F41" s="5"/>
      <c r="G41" s="5"/>
      <c r="H41" s="5"/>
      <c r="I41" s="5"/>
      <c r="J41" s="5"/>
      <c r="K41" s="5"/>
      <c r="L41" s="5"/>
      <c r="M41" s="5"/>
      <c r="N41" s="20"/>
      <c r="O41" s="5"/>
      <c r="R41" s="52"/>
    </row>
    <row r="42" spans="1:18" x14ac:dyDescent="0.2">
      <c r="A42" s="5"/>
      <c r="B42" s="96"/>
      <c r="C42" s="38" t="s">
        <v>208</v>
      </c>
      <c r="D42" s="4" t="s">
        <v>61</v>
      </c>
      <c r="E42" s="204">
        <v>1.2080000000000001E-3</v>
      </c>
      <c r="F42" s="5"/>
      <c r="G42" s="5"/>
      <c r="H42" s="5"/>
      <c r="I42" s="5"/>
      <c r="J42" s="5"/>
      <c r="K42" s="5"/>
      <c r="L42" s="5"/>
      <c r="M42" s="5"/>
      <c r="N42" s="20"/>
      <c r="O42" s="5"/>
      <c r="R42" s="52"/>
    </row>
    <row r="43" spans="1:18" ht="15.75" x14ac:dyDescent="0.2">
      <c r="A43" s="5"/>
      <c r="B43" s="96"/>
      <c r="C43" s="112" t="s">
        <v>42</v>
      </c>
      <c r="D43" s="112"/>
      <c r="E43" s="113">
        <v>9.8345000000000002E-2</v>
      </c>
      <c r="F43" s="5"/>
      <c r="G43" s="5"/>
      <c r="H43" s="5"/>
      <c r="I43" s="5"/>
      <c r="J43" s="5"/>
      <c r="K43" s="5"/>
      <c r="L43" s="5"/>
      <c r="M43" s="5"/>
      <c r="N43" s="20"/>
      <c r="O43" s="5"/>
      <c r="R43" s="52"/>
    </row>
    <row r="44" spans="1:18" ht="15.75" x14ac:dyDescent="0.2">
      <c r="A44" s="5"/>
      <c r="B44" s="96"/>
      <c r="C44" s="117"/>
      <c r="D44" s="117"/>
      <c r="E44" s="118"/>
      <c r="F44" s="5"/>
      <c r="G44" s="5"/>
      <c r="H44" s="5"/>
      <c r="I44" s="5"/>
      <c r="J44" s="5"/>
      <c r="K44" s="5"/>
      <c r="L44" s="5"/>
      <c r="M44" s="5"/>
      <c r="N44" s="20"/>
      <c r="O44" s="5"/>
      <c r="R44" s="52"/>
    </row>
    <row r="45" spans="1:18" ht="15.75" x14ac:dyDescent="0.2">
      <c r="A45" s="5"/>
      <c r="B45" s="96"/>
      <c r="C45" s="112" t="s">
        <v>20</v>
      </c>
      <c r="D45" s="112"/>
      <c r="E45" s="113">
        <v>1.9111E-2</v>
      </c>
      <c r="F45" s="5"/>
      <c r="G45" s="5"/>
      <c r="H45" s="5"/>
      <c r="I45" s="5"/>
      <c r="J45" s="5"/>
      <c r="K45" s="5"/>
      <c r="L45" s="5"/>
      <c r="M45" s="5"/>
      <c r="N45" s="20"/>
      <c r="O45" s="5"/>
      <c r="R45" s="52"/>
    </row>
    <row r="46" spans="1:18" x14ac:dyDescent="0.2">
      <c r="A46" s="5"/>
      <c r="B46" s="96"/>
      <c r="C46" s="4"/>
      <c r="D46" s="4"/>
      <c r="E46" s="32"/>
      <c r="F46" s="5"/>
      <c r="G46" s="5"/>
      <c r="H46" s="5"/>
      <c r="I46" s="5"/>
      <c r="J46" s="5"/>
      <c r="K46" s="5"/>
      <c r="L46" s="5"/>
      <c r="M46" s="5"/>
      <c r="N46" s="20"/>
      <c r="O46" s="5"/>
      <c r="R46" s="52"/>
    </row>
    <row r="47" spans="1:18" ht="15.75" x14ac:dyDescent="0.2">
      <c r="A47" s="5"/>
      <c r="B47" s="96"/>
      <c r="C47" s="119" t="s">
        <v>21</v>
      </c>
      <c r="D47" s="119"/>
      <c r="E47" s="120">
        <f>E45+E43+E37+E28+E26+E24</f>
        <v>1</v>
      </c>
      <c r="F47" s="5"/>
      <c r="G47" s="5"/>
      <c r="H47" s="5"/>
      <c r="I47" s="5"/>
      <c r="J47" s="5"/>
      <c r="K47" s="5"/>
      <c r="L47" s="5"/>
      <c r="M47" s="5"/>
      <c r="N47" s="20"/>
      <c r="O47" s="5"/>
      <c r="R47" s="52"/>
    </row>
    <row r="48" spans="1:18" ht="15.75" thickBot="1" x14ac:dyDescent="0.25">
      <c r="A48" s="5"/>
      <c r="B48" s="99"/>
      <c r="C48" s="47"/>
      <c r="D48" s="47"/>
      <c r="E48" s="47"/>
      <c r="F48" s="47"/>
      <c r="G48" s="47"/>
      <c r="H48" s="47"/>
      <c r="I48" s="47"/>
      <c r="J48" s="47"/>
      <c r="K48" s="47"/>
      <c r="L48" s="47"/>
      <c r="M48" s="47"/>
      <c r="N48" s="122"/>
      <c r="O48" s="5"/>
      <c r="R48" s="52"/>
    </row>
    <row r="49" spans="2:18" ht="15.75" thickBot="1" x14ac:dyDescent="0.25">
      <c r="R49" s="52"/>
    </row>
    <row r="50" spans="2:18" ht="15" customHeight="1" x14ac:dyDescent="0.2">
      <c r="B50" s="265" t="s">
        <v>186</v>
      </c>
      <c r="C50" s="266"/>
      <c r="D50" s="266"/>
      <c r="E50" s="266"/>
      <c r="F50" s="266"/>
      <c r="G50" s="266"/>
      <c r="H50" s="266"/>
      <c r="I50" s="266"/>
      <c r="J50" s="266"/>
      <c r="K50" s="266"/>
      <c r="L50" s="266"/>
      <c r="M50" s="266"/>
      <c r="N50" s="266"/>
      <c r="O50" s="266"/>
      <c r="P50" s="266"/>
      <c r="Q50" s="266"/>
      <c r="R50" s="267"/>
    </row>
    <row r="51" spans="2:18" x14ac:dyDescent="0.2">
      <c r="B51" s="268"/>
      <c r="C51" s="269"/>
      <c r="D51" s="269"/>
      <c r="E51" s="269"/>
      <c r="F51" s="269"/>
      <c r="G51" s="269"/>
      <c r="H51" s="269"/>
      <c r="I51" s="269"/>
      <c r="J51" s="269"/>
      <c r="K51" s="269"/>
      <c r="L51" s="269"/>
      <c r="M51" s="269"/>
      <c r="N51" s="269"/>
      <c r="O51" s="269"/>
      <c r="P51" s="269"/>
      <c r="Q51" s="269"/>
      <c r="R51" s="270"/>
    </row>
    <row r="52" spans="2:18" x14ac:dyDescent="0.2">
      <c r="B52" s="268"/>
      <c r="C52" s="269"/>
      <c r="D52" s="269"/>
      <c r="E52" s="269"/>
      <c r="F52" s="269"/>
      <c r="G52" s="269"/>
      <c r="H52" s="269"/>
      <c r="I52" s="269"/>
      <c r="J52" s="269"/>
      <c r="K52" s="269"/>
      <c r="L52" s="269"/>
      <c r="M52" s="269"/>
      <c r="N52" s="269"/>
      <c r="O52" s="269"/>
      <c r="P52" s="269"/>
      <c r="Q52" s="269"/>
      <c r="R52" s="270"/>
    </row>
    <row r="53" spans="2:18" x14ac:dyDescent="0.2">
      <c r="B53" s="268"/>
      <c r="C53" s="269"/>
      <c r="D53" s="269"/>
      <c r="E53" s="269"/>
      <c r="F53" s="269"/>
      <c r="G53" s="269"/>
      <c r="H53" s="269"/>
      <c r="I53" s="269"/>
      <c r="J53" s="269"/>
      <c r="K53" s="269"/>
      <c r="L53" s="269"/>
      <c r="M53" s="269"/>
      <c r="N53" s="269"/>
      <c r="O53" s="269"/>
      <c r="P53" s="269"/>
      <c r="Q53" s="269"/>
      <c r="R53" s="270"/>
    </row>
    <row r="54" spans="2:18" x14ac:dyDescent="0.2">
      <c r="B54" s="268"/>
      <c r="C54" s="269"/>
      <c r="D54" s="269"/>
      <c r="E54" s="269"/>
      <c r="F54" s="269"/>
      <c r="G54" s="269"/>
      <c r="H54" s="269"/>
      <c r="I54" s="269"/>
      <c r="J54" s="269"/>
      <c r="K54" s="269"/>
      <c r="L54" s="269"/>
      <c r="M54" s="269"/>
      <c r="N54" s="269"/>
      <c r="O54" s="269"/>
      <c r="P54" s="269"/>
      <c r="Q54" s="269"/>
      <c r="R54" s="270"/>
    </row>
    <row r="55" spans="2:18" x14ac:dyDescent="0.2">
      <c r="B55" s="268"/>
      <c r="C55" s="269"/>
      <c r="D55" s="269"/>
      <c r="E55" s="269"/>
      <c r="F55" s="269"/>
      <c r="G55" s="269"/>
      <c r="H55" s="269"/>
      <c r="I55" s="269"/>
      <c r="J55" s="269"/>
      <c r="K55" s="269"/>
      <c r="L55" s="269"/>
      <c r="M55" s="269"/>
      <c r="N55" s="269"/>
      <c r="O55" s="269"/>
      <c r="P55" s="269"/>
      <c r="Q55" s="269"/>
      <c r="R55" s="270"/>
    </row>
    <row r="56" spans="2:18" ht="15.75" thickBot="1" x14ac:dyDescent="0.25">
      <c r="B56" s="271"/>
      <c r="C56" s="272"/>
      <c r="D56" s="272"/>
      <c r="E56" s="272"/>
      <c r="F56" s="272"/>
      <c r="G56" s="272"/>
      <c r="H56" s="272"/>
      <c r="I56" s="272"/>
      <c r="J56" s="272"/>
      <c r="K56" s="272"/>
      <c r="L56" s="272"/>
      <c r="M56" s="272"/>
      <c r="N56" s="272"/>
      <c r="O56" s="272"/>
      <c r="P56" s="272"/>
      <c r="Q56" s="272"/>
      <c r="R56" s="273"/>
    </row>
    <row r="57" spans="2:18" x14ac:dyDescent="0.2">
      <c r="R57" s="52"/>
    </row>
    <row r="58" spans="2:18" x14ac:dyDescent="0.2">
      <c r="R58" s="52"/>
    </row>
    <row r="59" spans="2:18" x14ac:dyDescent="0.2">
      <c r="R59" s="52"/>
    </row>
    <row r="60" spans="2:18" x14ac:dyDescent="0.2">
      <c r="R60" s="52"/>
    </row>
    <row r="61" spans="2:18" x14ac:dyDescent="0.2">
      <c r="R61" s="52"/>
    </row>
    <row r="62" spans="2:18" x14ac:dyDescent="0.2">
      <c r="R62" s="52"/>
    </row>
    <row r="63" spans="2:18" x14ac:dyDescent="0.2">
      <c r="R63" s="52"/>
    </row>
    <row r="64" spans="2:18" x14ac:dyDescent="0.2">
      <c r="R64" s="52"/>
    </row>
    <row r="65" spans="18:18" x14ac:dyDescent="0.2">
      <c r="R65" s="52"/>
    </row>
    <row r="66" spans="18:18" x14ac:dyDescent="0.2">
      <c r="R66" s="52"/>
    </row>
    <row r="67" spans="18:18" x14ac:dyDescent="0.2">
      <c r="R67" s="52"/>
    </row>
    <row r="68" spans="18:18" x14ac:dyDescent="0.2">
      <c r="R68" s="52"/>
    </row>
    <row r="69" spans="18:18" x14ac:dyDescent="0.2">
      <c r="R69" s="52"/>
    </row>
    <row r="70" spans="18:18" x14ac:dyDescent="0.2">
      <c r="R70" s="52"/>
    </row>
    <row r="71" spans="18:18" x14ac:dyDescent="0.2">
      <c r="R71" s="52"/>
    </row>
    <row r="72" spans="18:18" x14ac:dyDescent="0.2">
      <c r="R72" s="52"/>
    </row>
    <row r="73" spans="18:18" x14ac:dyDescent="0.2">
      <c r="R73" s="52"/>
    </row>
    <row r="74" spans="18:18" x14ac:dyDescent="0.2">
      <c r="R74" s="52"/>
    </row>
    <row r="75" spans="18:18" x14ac:dyDescent="0.2">
      <c r="R75" s="52"/>
    </row>
    <row r="76" spans="18:18" x14ac:dyDescent="0.2">
      <c r="R76" s="52"/>
    </row>
    <row r="77" spans="18:18" x14ac:dyDescent="0.2">
      <c r="R77" s="52"/>
    </row>
    <row r="78" spans="18:18" x14ac:dyDescent="0.2">
      <c r="R78" s="52"/>
    </row>
    <row r="79" spans="18:18" x14ac:dyDescent="0.2">
      <c r="R79" s="52"/>
    </row>
    <row r="80" spans="18:18" x14ac:dyDescent="0.2">
      <c r="R80" s="52"/>
    </row>
    <row r="81" spans="18:18" x14ac:dyDescent="0.2">
      <c r="R81" s="52"/>
    </row>
    <row r="82" spans="18:18" x14ac:dyDescent="0.2">
      <c r="R82" s="52"/>
    </row>
    <row r="83" spans="18:18" x14ac:dyDescent="0.2">
      <c r="R83" s="52"/>
    </row>
    <row r="84" spans="18:18" x14ac:dyDescent="0.2">
      <c r="R84" s="52"/>
    </row>
    <row r="85" spans="18:18" x14ac:dyDescent="0.2">
      <c r="R85" s="52"/>
    </row>
    <row r="86" spans="18:18" x14ac:dyDescent="0.2">
      <c r="R86" s="52"/>
    </row>
    <row r="87" spans="18:18" x14ac:dyDescent="0.2">
      <c r="R87" s="52"/>
    </row>
    <row r="88" spans="18:18" x14ac:dyDescent="0.2">
      <c r="R88" s="52"/>
    </row>
    <row r="89" spans="18:18" x14ac:dyDescent="0.2">
      <c r="R89" s="52"/>
    </row>
    <row r="90" spans="18:18" x14ac:dyDescent="0.2">
      <c r="R90" s="52"/>
    </row>
    <row r="91" spans="18:18" x14ac:dyDescent="0.2">
      <c r="R91" s="52"/>
    </row>
    <row r="92" spans="18:18" x14ac:dyDescent="0.2">
      <c r="R92" s="52"/>
    </row>
    <row r="93" spans="18:18" x14ac:dyDescent="0.2">
      <c r="R93" s="52"/>
    </row>
    <row r="94" spans="18:18" x14ac:dyDescent="0.2">
      <c r="R94" s="52"/>
    </row>
    <row r="95" spans="18:18" x14ac:dyDescent="0.2">
      <c r="R95" s="52"/>
    </row>
    <row r="96" spans="18:18" x14ac:dyDescent="0.2">
      <c r="R96" s="52"/>
    </row>
    <row r="97" spans="18:18" x14ac:dyDescent="0.2">
      <c r="R97" s="52"/>
    </row>
    <row r="98" spans="18:18" x14ac:dyDescent="0.2">
      <c r="R98" s="52"/>
    </row>
    <row r="99" spans="18:18" x14ac:dyDescent="0.2">
      <c r="R99" s="52"/>
    </row>
    <row r="100" spans="18:18" x14ac:dyDescent="0.2">
      <c r="R100" s="52"/>
    </row>
    <row r="101" spans="18:18" x14ac:dyDescent="0.2">
      <c r="R101" s="52"/>
    </row>
    <row r="102" spans="18:18" x14ac:dyDescent="0.2">
      <c r="R102" s="52"/>
    </row>
    <row r="103" spans="18:18" x14ac:dyDescent="0.2">
      <c r="R103" s="52"/>
    </row>
    <row r="104" spans="18:18" x14ac:dyDescent="0.2">
      <c r="R104" s="52"/>
    </row>
    <row r="105" spans="18:18" x14ac:dyDescent="0.2">
      <c r="R105" s="52"/>
    </row>
    <row r="106" spans="18:18" x14ac:dyDescent="0.2">
      <c r="R106" s="52"/>
    </row>
    <row r="107" spans="18:18" x14ac:dyDescent="0.2">
      <c r="R107" s="52"/>
    </row>
    <row r="108" spans="18:18" x14ac:dyDescent="0.2">
      <c r="R108" s="52"/>
    </row>
    <row r="109" spans="18:18" x14ac:dyDescent="0.2">
      <c r="R109" s="52"/>
    </row>
    <row r="110" spans="18:18" x14ac:dyDescent="0.2">
      <c r="R110" s="52"/>
    </row>
    <row r="111" spans="18:18" x14ac:dyDescent="0.2">
      <c r="R111" s="52"/>
    </row>
    <row r="112" spans="18: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row r="658" spans="18:18" x14ac:dyDescent="0.2">
      <c r="R658" s="52"/>
    </row>
    <row r="659" spans="18:18" x14ac:dyDescent="0.2">
      <c r="R659" s="52"/>
    </row>
    <row r="660" spans="18:18" x14ac:dyDescent="0.2">
      <c r="R660" s="52"/>
    </row>
    <row r="661" spans="18:18" x14ac:dyDescent="0.2">
      <c r="R661" s="52"/>
    </row>
    <row r="662" spans="18:18" x14ac:dyDescent="0.2">
      <c r="R662" s="52"/>
    </row>
    <row r="663" spans="18:18" x14ac:dyDescent="0.2">
      <c r="R663" s="52"/>
    </row>
    <row r="664" spans="18:18" x14ac:dyDescent="0.2">
      <c r="R664" s="52"/>
    </row>
    <row r="665" spans="18:18" x14ac:dyDescent="0.2">
      <c r="R665" s="52"/>
    </row>
    <row r="666" spans="18:18" x14ac:dyDescent="0.2">
      <c r="R666" s="52"/>
    </row>
    <row r="667" spans="18:18" x14ac:dyDescent="0.2">
      <c r="R667" s="52"/>
    </row>
  </sheetData>
  <sortState ref="C36:E40">
    <sortCondition descending="1" ref="E36"/>
  </sortState>
  <mergeCells count="6">
    <mergeCell ref="B50:R56"/>
    <mergeCell ref="G23:N23"/>
    <mergeCell ref="C3:N3"/>
    <mergeCell ref="D5:E5"/>
    <mergeCell ref="G7:N7"/>
    <mergeCell ref="G20:K20"/>
  </mergeCells>
  <pageMargins left="0.7" right="0.7" top="0.75" bottom="0.75" header="0.3" footer="0.3"/>
  <pageSetup paperSize="9" scale="4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5779-1004-453F-914C-73A5F7AB789E}">
  <sheetPr>
    <pageSetUpPr fitToPage="1"/>
  </sheetPr>
  <dimension ref="A1:S657"/>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4"/>
      <c r="C2" s="42"/>
      <c r="D2" s="42"/>
      <c r="E2" s="42"/>
      <c r="F2" s="42"/>
      <c r="G2" s="42"/>
      <c r="H2" s="42"/>
      <c r="I2" s="42"/>
      <c r="J2" s="42"/>
      <c r="K2" s="42"/>
      <c r="L2" s="42"/>
      <c r="M2" s="42"/>
      <c r="N2" s="95"/>
      <c r="S2" s="227"/>
    </row>
    <row r="3" spans="2:19" ht="20.25" customHeight="1" x14ac:dyDescent="0.2">
      <c r="B3" s="96"/>
      <c r="C3" s="259" t="s">
        <v>210</v>
      </c>
      <c r="D3" s="259"/>
      <c r="E3" s="259"/>
      <c r="F3" s="259"/>
      <c r="G3" s="259"/>
      <c r="H3" s="259"/>
      <c r="I3" s="259"/>
      <c r="J3" s="259"/>
      <c r="K3" s="259"/>
      <c r="L3" s="259"/>
      <c r="M3" s="259"/>
      <c r="N3" s="260"/>
    </row>
    <row r="4" spans="2:19" ht="15.75" x14ac:dyDescent="0.25">
      <c r="B4" s="96"/>
      <c r="C4" s="70" t="s">
        <v>367</v>
      </c>
      <c r="D4" s="29"/>
      <c r="E4" s="29"/>
      <c r="F4" s="5"/>
      <c r="G4" s="5"/>
      <c r="H4" s="5"/>
      <c r="I4" s="5"/>
      <c r="J4" s="5"/>
      <c r="K4" s="5"/>
      <c r="L4" s="5"/>
      <c r="M4" s="5"/>
      <c r="N4" s="20"/>
    </row>
    <row r="5" spans="2:19" ht="20.25" customHeight="1" x14ac:dyDescent="0.2">
      <c r="B5" s="96"/>
      <c r="C5" s="228" t="s">
        <v>366</v>
      </c>
      <c r="D5" s="276" t="s">
        <v>336</v>
      </c>
      <c r="E5" s="276"/>
      <c r="F5" s="5"/>
      <c r="G5" s="5"/>
      <c r="H5" s="5"/>
      <c r="I5" s="5"/>
      <c r="J5" s="5"/>
      <c r="K5" s="5"/>
      <c r="L5" s="5"/>
      <c r="M5" s="5"/>
      <c r="N5" s="20"/>
    </row>
    <row r="6" spans="2:19" ht="15.75" x14ac:dyDescent="0.25">
      <c r="B6" s="96"/>
      <c r="C6" s="29"/>
      <c r="D6" s="29"/>
      <c r="E6" s="29"/>
      <c r="F6" s="5"/>
      <c r="G6" s="5"/>
      <c r="H6" s="5"/>
      <c r="I6" s="5"/>
      <c r="J6" s="5"/>
      <c r="K6" s="5"/>
      <c r="L6" s="5"/>
      <c r="M6" s="5"/>
      <c r="N6" s="20"/>
      <c r="P6" s="39" t="s">
        <v>22</v>
      </c>
      <c r="Q6" s="39" t="s">
        <v>2</v>
      </c>
    </row>
    <row r="7" spans="2:19" ht="32.25" customHeight="1" x14ac:dyDescent="0.25">
      <c r="B7" s="96"/>
      <c r="C7" s="98" t="s">
        <v>43</v>
      </c>
      <c r="D7" s="98" t="s">
        <v>44</v>
      </c>
      <c r="E7" s="238" t="s">
        <v>45</v>
      </c>
      <c r="F7" s="5"/>
      <c r="G7" s="5"/>
      <c r="H7" s="5"/>
      <c r="I7" s="5"/>
      <c r="J7" s="5"/>
      <c r="K7" s="5"/>
      <c r="L7" s="5"/>
      <c r="M7" s="5"/>
      <c r="N7" s="20"/>
      <c r="P7" s="246" t="s">
        <v>3</v>
      </c>
      <c r="Q7" s="245">
        <v>8.8379999999999986E-2</v>
      </c>
    </row>
    <row r="8" spans="2:19" ht="15.75" x14ac:dyDescent="0.25">
      <c r="B8" s="96"/>
      <c r="C8" s="203" t="s">
        <v>31</v>
      </c>
      <c r="D8" s="107" t="s">
        <v>6</v>
      </c>
      <c r="E8" s="204">
        <v>3.5381000000000003E-2</v>
      </c>
      <c r="F8" s="5"/>
      <c r="G8" s="5"/>
      <c r="H8" s="5"/>
      <c r="I8" s="5"/>
      <c r="J8" s="5"/>
      <c r="K8" s="5"/>
      <c r="L8" s="5"/>
      <c r="M8" s="5"/>
      <c r="N8" s="20"/>
      <c r="P8" s="246" t="s">
        <v>4</v>
      </c>
      <c r="Q8" s="245">
        <v>4.0802999999999999E-2</v>
      </c>
      <c r="R8" s="52"/>
    </row>
    <row r="9" spans="2:19" ht="15.75" customHeight="1" x14ac:dyDescent="0.25">
      <c r="B9" s="96"/>
      <c r="C9" s="126" t="s">
        <v>29</v>
      </c>
      <c r="D9" s="38" t="s">
        <v>3</v>
      </c>
      <c r="E9" s="204">
        <v>2.8968000000000001E-2</v>
      </c>
      <c r="F9" s="5"/>
      <c r="G9" s="5"/>
      <c r="H9" s="5"/>
      <c r="I9" s="5"/>
      <c r="J9" s="5"/>
      <c r="K9" s="5"/>
      <c r="L9" s="5"/>
      <c r="M9" s="5"/>
      <c r="N9" s="20"/>
      <c r="P9" s="246" t="s">
        <v>6</v>
      </c>
      <c r="Q9" s="245">
        <v>3.5381000000000003E-2</v>
      </c>
      <c r="R9" s="52"/>
    </row>
    <row r="10" spans="2:19" ht="15.75" x14ac:dyDescent="0.25">
      <c r="B10" s="96"/>
      <c r="C10" s="126" t="s">
        <v>32</v>
      </c>
      <c r="D10" s="38" t="s">
        <v>3</v>
      </c>
      <c r="E10" s="204">
        <v>2.4149000000000004E-2</v>
      </c>
      <c r="F10" s="31"/>
      <c r="G10" s="5"/>
      <c r="H10" s="5"/>
      <c r="I10" s="5"/>
      <c r="J10" s="5"/>
      <c r="K10" s="5"/>
      <c r="L10" s="5"/>
      <c r="M10" s="5"/>
      <c r="N10" s="20"/>
      <c r="P10" s="246" t="s">
        <v>109</v>
      </c>
      <c r="Q10" s="245">
        <v>3.5044000000000006E-2</v>
      </c>
      <c r="R10" s="52"/>
    </row>
    <row r="11" spans="2:19" ht="15.75" x14ac:dyDescent="0.25">
      <c r="B11" s="96"/>
      <c r="C11" s="126" t="s">
        <v>36</v>
      </c>
      <c r="D11" s="38" t="s">
        <v>3</v>
      </c>
      <c r="E11" s="204">
        <v>2.2796E-2</v>
      </c>
      <c r="F11" s="5"/>
      <c r="G11" s="5"/>
      <c r="H11" s="5"/>
      <c r="I11" s="5"/>
      <c r="J11" s="5"/>
      <c r="K11" s="5"/>
      <c r="L11" s="5"/>
      <c r="M11" s="5"/>
      <c r="N11" s="20"/>
      <c r="P11" s="246" t="s">
        <v>26</v>
      </c>
      <c r="Q11" s="245">
        <v>3.4858E-2</v>
      </c>
      <c r="R11" s="52"/>
    </row>
    <row r="12" spans="2:19" ht="15.75" customHeight="1" x14ac:dyDescent="0.25">
      <c r="B12" s="96"/>
      <c r="C12" s="126" t="s">
        <v>30</v>
      </c>
      <c r="D12" s="38" t="s">
        <v>119</v>
      </c>
      <c r="E12" s="204">
        <v>2.1498E-2</v>
      </c>
      <c r="F12" s="31"/>
      <c r="G12" s="5"/>
      <c r="H12" s="5"/>
      <c r="I12" s="5"/>
      <c r="J12" s="5"/>
      <c r="K12" s="5"/>
      <c r="L12" s="5"/>
      <c r="M12" s="5"/>
      <c r="N12" s="20"/>
      <c r="P12" s="246" t="s">
        <v>114</v>
      </c>
      <c r="Q12" s="245">
        <v>3.0879000000000004E-2</v>
      </c>
      <c r="R12" s="52"/>
    </row>
    <row r="13" spans="2:19" ht="15.75" x14ac:dyDescent="0.25">
      <c r="B13" s="96"/>
      <c r="C13" s="126" t="s">
        <v>28</v>
      </c>
      <c r="D13" s="38" t="s">
        <v>109</v>
      </c>
      <c r="E13" s="204">
        <v>1.9966999999999999E-2</v>
      </c>
      <c r="F13" s="31"/>
      <c r="G13" s="5"/>
      <c r="H13" s="5"/>
      <c r="I13" s="5"/>
      <c r="J13" s="5"/>
      <c r="K13" s="5"/>
      <c r="L13" s="5"/>
      <c r="M13" s="5"/>
      <c r="N13" s="20"/>
      <c r="P13" s="246" t="s">
        <v>11</v>
      </c>
      <c r="Q13" s="245">
        <v>2.3493999999999998E-2</v>
      </c>
      <c r="R13" s="52"/>
    </row>
    <row r="14" spans="2:19" ht="15.75" x14ac:dyDescent="0.25">
      <c r="B14" s="96"/>
      <c r="C14" s="126" t="s">
        <v>250</v>
      </c>
      <c r="D14" s="38" t="s">
        <v>26</v>
      </c>
      <c r="E14" s="204">
        <v>1.8984999999999998E-2</v>
      </c>
      <c r="F14" s="31"/>
      <c r="G14" s="5"/>
      <c r="H14" s="5"/>
      <c r="I14" s="5"/>
      <c r="J14" s="5"/>
      <c r="K14" s="5"/>
      <c r="L14" s="5"/>
      <c r="M14" s="5"/>
      <c r="N14" s="20"/>
      <c r="P14" s="246" t="s">
        <v>119</v>
      </c>
      <c r="Q14" s="245">
        <v>2.1498E-2</v>
      </c>
      <c r="R14" s="52"/>
    </row>
    <row r="15" spans="2:19" ht="15.75" x14ac:dyDescent="0.25">
      <c r="B15" s="96"/>
      <c r="C15" s="126" t="s">
        <v>70</v>
      </c>
      <c r="D15" s="38" t="s">
        <v>12</v>
      </c>
      <c r="E15" s="204">
        <v>1.8442E-2</v>
      </c>
      <c r="F15" s="5"/>
      <c r="G15" s="5"/>
      <c r="H15" s="5"/>
      <c r="I15" s="5"/>
      <c r="J15" s="5"/>
      <c r="K15" s="5"/>
      <c r="L15" s="5"/>
      <c r="M15" s="5"/>
      <c r="N15" s="20"/>
      <c r="P15" s="246" t="s">
        <v>23</v>
      </c>
      <c r="Q15" s="245">
        <v>2.0262999999999996E-2</v>
      </c>
      <c r="R15" s="52"/>
    </row>
    <row r="16" spans="2:19" ht="15.75" x14ac:dyDescent="0.25">
      <c r="B16" s="96"/>
      <c r="C16" s="126" t="s">
        <v>77</v>
      </c>
      <c r="D16" s="38" t="s">
        <v>4</v>
      </c>
      <c r="E16" s="204">
        <v>1.7517999999999999E-2</v>
      </c>
      <c r="F16" s="5"/>
      <c r="G16" s="5"/>
      <c r="H16" s="5"/>
      <c r="I16" s="5"/>
      <c r="J16" s="5"/>
      <c r="K16" s="5"/>
      <c r="L16" s="5"/>
      <c r="M16" s="5"/>
      <c r="N16" s="20"/>
      <c r="P16" s="246" t="s">
        <v>12</v>
      </c>
      <c r="Q16" s="245">
        <v>2.0219000000000001E-2</v>
      </c>
      <c r="R16" s="52"/>
    </row>
    <row r="17" spans="2:18" ht="15.75" x14ac:dyDescent="0.25">
      <c r="B17" s="96"/>
      <c r="C17" s="126" t="s">
        <v>76</v>
      </c>
      <c r="D17" s="109" t="s">
        <v>11</v>
      </c>
      <c r="E17" s="204">
        <v>1.7104999999999999E-2</v>
      </c>
      <c r="F17" s="5"/>
      <c r="G17" s="5"/>
      <c r="H17" s="5"/>
      <c r="I17" s="5"/>
      <c r="J17" s="5"/>
      <c r="K17" s="5"/>
      <c r="L17" s="5"/>
      <c r="M17" s="5"/>
      <c r="N17" s="20"/>
      <c r="P17" s="246" t="s">
        <v>113</v>
      </c>
      <c r="Q17" s="245">
        <v>1.9666999999999997E-2</v>
      </c>
      <c r="R17" s="52"/>
    </row>
    <row r="18" spans="2:18" ht="15.75" x14ac:dyDescent="0.25">
      <c r="B18" s="96"/>
      <c r="C18" s="126" t="s">
        <v>239</v>
      </c>
      <c r="D18" s="38" t="s">
        <v>26</v>
      </c>
      <c r="E18" s="204">
        <v>1.5873000000000002E-2</v>
      </c>
      <c r="F18" s="5"/>
      <c r="G18" s="5"/>
      <c r="H18" s="5"/>
      <c r="I18" s="5"/>
      <c r="J18" s="5"/>
      <c r="K18" s="5"/>
      <c r="L18" s="5"/>
      <c r="M18" s="5"/>
      <c r="N18" s="20"/>
      <c r="P18" s="246" t="s">
        <v>121</v>
      </c>
      <c r="Q18" s="245">
        <v>1.6742E-2</v>
      </c>
      <c r="R18" s="52"/>
    </row>
    <row r="19" spans="2:18" ht="15.75" x14ac:dyDescent="0.25">
      <c r="B19" s="96"/>
      <c r="C19" s="126" t="s">
        <v>193</v>
      </c>
      <c r="D19" s="38" t="s">
        <v>10</v>
      </c>
      <c r="E19" s="204">
        <v>1.5672999999999999E-2</v>
      </c>
      <c r="F19" s="5"/>
      <c r="G19" s="5"/>
      <c r="H19" s="5"/>
      <c r="I19" s="5"/>
      <c r="J19" s="5"/>
      <c r="K19" s="5"/>
      <c r="L19" s="5"/>
      <c r="M19" s="5"/>
      <c r="N19" s="20"/>
      <c r="P19" s="246" t="s">
        <v>10</v>
      </c>
      <c r="Q19" s="245">
        <v>1.5672999999999999E-2</v>
      </c>
      <c r="R19" s="52"/>
    </row>
    <row r="20" spans="2:18" ht="15.75" customHeight="1" x14ac:dyDescent="0.25">
      <c r="B20" s="96"/>
      <c r="C20" s="126" t="s">
        <v>34</v>
      </c>
      <c r="D20" s="38" t="s">
        <v>23</v>
      </c>
      <c r="E20" s="204">
        <v>1.4512999999999998E-2</v>
      </c>
      <c r="F20" s="5"/>
      <c r="G20" s="5"/>
      <c r="H20" s="5"/>
      <c r="I20" s="5"/>
      <c r="J20" s="5"/>
      <c r="K20" s="5"/>
      <c r="L20" s="5"/>
      <c r="M20" s="5"/>
      <c r="N20" s="20"/>
      <c r="P20" s="246" t="s">
        <v>112</v>
      </c>
      <c r="Q20" s="245">
        <v>1.5136999999999999E-2</v>
      </c>
      <c r="R20" s="52"/>
    </row>
    <row r="21" spans="2:18" ht="15.75" x14ac:dyDescent="0.25">
      <c r="B21" s="96"/>
      <c r="C21" s="126" t="s">
        <v>148</v>
      </c>
      <c r="D21" s="38" t="s">
        <v>126</v>
      </c>
      <c r="E21" s="204">
        <v>1.3814999999999999E-2</v>
      </c>
      <c r="F21" s="5"/>
      <c r="G21" s="5"/>
      <c r="H21" s="5"/>
      <c r="I21" s="5"/>
      <c r="J21" s="5"/>
      <c r="K21" s="5"/>
      <c r="L21" s="5"/>
      <c r="M21" s="5"/>
      <c r="N21" s="20"/>
      <c r="P21" s="246" t="s">
        <v>108</v>
      </c>
      <c r="Q21" s="245">
        <v>1.4839000000000001E-2</v>
      </c>
      <c r="R21" s="52"/>
    </row>
    <row r="22" spans="2:18" ht="15.75" x14ac:dyDescent="0.25">
      <c r="B22" s="96"/>
      <c r="C22" s="126" t="s">
        <v>138</v>
      </c>
      <c r="D22" s="38" t="s">
        <v>112</v>
      </c>
      <c r="E22" s="204">
        <v>1.3627999999999999E-2</v>
      </c>
      <c r="F22" s="5"/>
      <c r="G22" s="31"/>
      <c r="H22" s="31"/>
      <c r="I22" s="31"/>
      <c r="J22" s="5"/>
      <c r="K22" s="31"/>
      <c r="L22" s="5"/>
      <c r="M22" s="5"/>
      <c r="N22" s="20"/>
      <c r="P22" s="246" t="s">
        <v>87</v>
      </c>
      <c r="Q22" s="245">
        <v>1.4756E-2</v>
      </c>
      <c r="R22" s="52"/>
    </row>
    <row r="23" spans="2:18" ht="15.75" customHeight="1" x14ac:dyDescent="0.25">
      <c r="B23" s="96"/>
      <c r="C23" s="38"/>
      <c r="D23" s="4"/>
      <c r="E23" s="6"/>
      <c r="F23" s="5"/>
      <c r="G23" s="31"/>
      <c r="H23" s="31"/>
      <c r="I23" s="31"/>
      <c r="J23" s="5"/>
      <c r="K23" s="31"/>
      <c r="L23" s="5"/>
      <c r="M23" s="5"/>
      <c r="N23" s="20"/>
      <c r="P23" s="246" t="s">
        <v>126</v>
      </c>
      <c r="Q23" s="245">
        <v>1.3814999999999999E-2</v>
      </c>
      <c r="R23" s="52"/>
    </row>
    <row r="24" spans="2:18" ht="15.75" x14ac:dyDescent="0.25">
      <c r="B24" s="96"/>
      <c r="C24" s="112" t="s">
        <v>56</v>
      </c>
      <c r="D24" s="112"/>
      <c r="E24" s="113">
        <v>0.29831099999999999</v>
      </c>
      <c r="F24" s="5"/>
      <c r="G24" s="5"/>
      <c r="H24" s="5"/>
      <c r="I24" s="5"/>
      <c r="J24" s="5"/>
      <c r="K24" s="5"/>
      <c r="L24" s="5"/>
      <c r="M24" s="5"/>
      <c r="N24" s="20"/>
      <c r="P24" s="246" t="s">
        <v>133</v>
      </c>
      <c r="Q24" s="245">
        <v>1.3004999999999999E-2</v>
      </c>
      <c r="R24" s="52"/>
    </row>
    <row r="25" spans="2:18" ht="15.75" x14ac:dyDescent="0.25">
      <c r="B25" s="96"/>
      <c r="C25" s="4"/>
      <c r="D25" s="4"/>
      <c r="E25" s="6"/>
      <c r="F25" s="5"/>
      <c r="G25" s="5"/>
      <c r="H25" s="5"/>
      <c r="I25" s="5"/>
      <c r="J25" s="5"/>
      <c r="K25" s="5"/>
      <c r="L25" s="5"/>
      <c r="M25" s="5"/>
      <c r="N25" s="20"/>
      <c r="P25" s="246" t="s">
        <v>118</v>
      </c>
      <c r="Q25" s="245">
        <v>1.2284E-2</v>
      </c>
      <c r="R25" s="52"/>
    </row>
    <row r="26" spans="2:18" ht="15.75" x14ac:dyDescent="0.25">
      <c r="B26" s="96"/>
      <c r="C26" s="112" t="s">
        <v>66</v>
      </c>
      <c r="D26" s="112"/>
      <c r="E26" s="113">
        <v>0.24180100000000002</v>
      </c>
      <c r="F26" s="31"/>
      <c r="G26" s="5"/>
      <c r="H26" s="5"/>
      <c r="I26" s="5"/>
      <c r="J26" s="5"/>
      <c r="K26" s="5"/>
      <c r="L26" s="5"/>
      <c r="M26" s="5"/>
      <c r="N26" s="20"/>
      <c r="P26" s="246" t="s">
        <v>15</v>
      </c>
      <c r="Q26" s="245">
        <v>1.0899000000000001E-2</v>
      </c>
      <c r="R26" s="52"/>
    </row>
    <row r="27" spans="2:18" ht="15.75" x14ac:dyDescent="0.25">
      <c r="B27" s="96"/>
      <c r="C27" s="38"/>
      <c r="D27" s="61"/>
      <c r="E27" s="6"/>
      <c r="F27" s="5"/>
      <c r="G27" s="5"/>
      <c r="H27" s="5"/>
      <c r="I27" s="5"/>
      <c r="J27" s="5"/>
      <c r="K27" s="5"/>
      <c r="L27" s="5"/>
      <c r="M27" s="5"/>
      <c r="N27" s="20"/>
      <c r="P27" s="246" t="s">
        <v>115</v>
      </c>
      <c r="Q27" s="245">
        <v>9.7650000000000011E-3</v>
      </c>
      <c r="R27" s="52"/>
    </row>
    <row r="28" spans="2:18" s="51" customFormat="1" ht="13.5" customHeight="1" x14ac:dyDescent="0.25">
      <c r="B28" s="114"/>
      <c r="C28" s="112" t="s">
        <v>58</v>
      </c>
      <c r="D28" s="112"/>
      <c r="E28" s="190">
        <v>0.20702300000000001</v>
      </c>
      <c r="F28" s="41"/>
      <c r="G28" s="41"/>
      <c r="H28" s="41"/>
      <c r="I28" s="41"/>
      <c r="J28" s="41"/>
      <c r="K28" s="41"/>
      <c r="L28" s="41"/>
      <c r="M28" s="41"/>
      <c r="N28" s="115"/>
      <c r="P28" s="246" t="s">
        <v>16</v>
      </c>
      <c r="Q28" s="245">
        <v>8.092000000000002E-3</v>
      </c>
      <c r="R28" s="116"/>
    </row>
    <row r="29" spans="2:18" ht="15.75" x14ac:dyDescent="0.25">
      <c r="B29" s="96"/>
      <c r="C29" s="38"/>
      <c r="D29" s="38"/>
      <c r="E29" s="38"/>
      <c r="F29" s="5"/>
      <c r="G29" s="5"/>
      <c r="H29" s="5"/>
      <c r="I29" s="5"/>
      <c r="J29" s="5"/>
      <c r="K29" s="5"/>
      <c r="L29" s="5"/>
      <c r="M29" s="5"/>
      <c r="N29" s="20"/>
      <c r="P29" s="246" t="s">
        <v>120</v>
      </c>
      <c r="Q29" s="245">
        <v>7.1060000000000003E-3</v>
      </c>
      <c r="R29" s="52"/>
    </row>
    <row r="30" spans="2:18" ht="15.75" x14ac:dyDescent="0.25">
      <c r="B30" s="96"/>
      <c r="C30" s="38" t="s">
        <v>235</v>
      </c>
      <c r="D30" s="4" t="s">
        <v>61</v>
      </c>
      <c r="E30" s="204">
        <v>0.17844699999999999</v>
      </c>
      <c r="F30" s="5"/>
      <c r="G30" s="5"/>
      <c r="H30" s="5"/>
      <c r="I30" s="5"/>
      <c r="J30" s="5"/>
      <c r="K30" s="5"/>
      <c r="L30" s="5"/>
      <c r="M30" s="5"/>
      <c r="N30" s="20"/>
      <c r="P30" s="246" t="s">
        <v>132</v>
      </c>
      <c r="Q30" s="245">
        <v>6.3460000000000001E-3</v>
      </c>
      <c r="R30" s="52"/>
    </row>
    <row r="31" spans="2:18" ht="15.75" x14ac:dyDescent="0.25">
      <c r="B31" s="96"/>
      <c r="C31" s="38" t="s">
        <v>208</v>
      </c>
      <c r="D31" s="4" t="s">
        <v>61</v>
      </c>
      <c r="E31" s="204">
        <v>5.8712E-2</v>
      </c>
      <c r="F31" s="5"/>
      <c r="G31" s="5"/>
      <c r="H31" s="5"/>
      <c r="I31" s="5"/>
      <c r="J31" s="5"/>
      <c r="K31" s="5"/>
      <c r="L31" s="5"/>
      <c r="M31" s="5"/>
      <c r="N31" s="20"/>
      <c r="P31" s="246" t="s">
        <v>86</v>
      </c>
      <c r="Q31" s="245">
        <v>3.6120000000000002E-3</v>
      </c>
      <c r="R31" s="52"/>
    </row>
    <row r="32" spans="2:18" ht="15.75" x14ac:dyDescent="0.25">
      <c r="B32" s="96"/>
      <c r="C32" s="112" t="s">
        <v>42</v>
      </c>
      <c r="D32" s="112"/>
      <c r="E32" s="113">
        <v>0.23715900000000001</v>
      </c>
      <c r="F32" s="5"/>
      <c r="G32" s="5"/>
      <c r="H32" s="5"/>
      <c r="I32" s="5"/>
      <c r="J32" s="5"/>
      <c r="K32" s="5"/>
      <c r="L32" s="5"/>
      <c r="M32" s="5"/>
      <c r="N32" s="20"/>
      <c r="P32" s="246" t="s">
        <v>85</v>
      </c>
      <c r="Q32" s="245">
        <v>3.4069999999999999E-3</v>
      </c>
      <c r="R32" s="52"/>
    </row>
    <row r="33" spans="1:18" ht="15.75" x14ac:dyDescent="0.25">
      <c r="B33" s="96"/>
      <c r="C33" s="117"/>
      <c r="D33" s="117"/>
      <c r="E33" s="118"/>
      <c r="F33" s="5"/>
      <c r="G33" s="5"/>
      <c r="H33" s="5"/>
      <c r="I33" s="5"/>
      <c r="J33" s="5"/>
      <c r="K33" s="5"/>
      <c r="L33" s="5"/>
      <c r="M33" s="5"/>
      <c r="N33" s="20"/>
      <c r="P33" s="246" t="s">
        <v>97</v>
      </c>
      <c r="Q33" s="245">
        <v>2.2260000000000001E-3</v>
      </c>
      <c r="R33" s="52"/>
    </row>
    <row r="34" spans="1:18" ht="15.75" x14ac:dyDescent="0.25">
      <c r="B34" s="96"/>
      <c r="C34" s="112" t="s">
        <v>20</v>
      </c>
      <c r="D34" s="112"/>
      <c r="E34" s="113">
        <v>1.570599999999998E-2</v>
      </c>
      <c r="F34" s="5"/>
      <c r="G34" s="5"/>
      <c r="H34" s="5"/>
      <c r="I34" s="5"/>
      <c r="J34" s="5"/>
      <c r="K34" s="5"/>
      <c r="L34" s="5"/>
      <c r="M34" s="5"/>
      <c r="N34" s="20"/>
      <c r="P34" s="246" t="s">
        <v>25</v>
      </c>
      <c r="Q34" s="245">
        <v>1.204E-3</v>
      </c>
      <c r="R34" s="52"/>
    </row>
    <row r="35" spans="1:18" ht="15.75" x14ac:dyDescent="0.25">
      <c r="B35" s="96"/>
      <c r="C35" s="4"/>
      <c r="D35" s="4"/>
      <c r="E35" s="32"/>
      <c r="F35" s="5"/>
      <c r="G35" s="5"/>
      <c r="H35" s="5"/>
      <c r="I35" s="5"/>
      <c r="J35" s="5"/>
      <c r="K35" s="5"/>
      <c r="L35" s="5"/>
      <c r="M35" s="5"/>
      <c r="N35" s="20"/>
      <c r="P35" s="246" t="s">
        <v>78</v>
      </c>
      <c r="Q35" s="245">
        <v>7.18E-4</v>
      </c>
      <c r="R35" s="52"/>
    </row>
    <row r="36" spans="1:18" ht="15.75" x14ac:dyDescent="0.2">
      <c r="B36" s="96"/>
      <c r="C36" s="119" t="s">
        <v>21</v>
      </c>
      <c r="D36" s="119"/>
      <c r="E36" s="120">
        <f>E34+E32+E28+E26+E24</f>
        <v>1</v>
      </c>
      <c r="F36" s="5"/>
      <c r="G36" s="5"/>
      <c r="H36" s="5"/>
      <c r="I36" s="5"/>
      <c r="J36" s="5"/>
      <c r="K36" s="5"/>
      <c r="L36" s="5"/>
      <c r="M36" s="5"/>
      <c r="N36" s="20"/>
      <c r="R36" s="52"/>
    </row>
    <row r="37" spans="1:18" x14ac:dyDescent="0.2">
      <c r="B37" s="96"/>
      <c r="F37" s="5"/>
      <c r="G37" s="5"/>
      <c r="H37" s="5"/>
      <c r="I37" s="5"/>
      <c r="J37" s="5"/>
      <c r="K37" s="5"/>
      <c r="L37" s="5"/>
      <c r="M37" s="5"/>
      <c r="N37" s="20"/>
      <c r="R37" s="52"/>
    </row>
    <row r="38" spans="1:18" x14ac:dyDescent="0.2">
      <c r="B38" s="96"/>
      <c r="F38" s="5"/>
      <c r="G38" s="5"/>
      <c r="H38" s="5"/>
      <c r="I38" s="5"/>
      <c r="J38" s="5"/>
      <c r="K38" s="5"/>
      <c r="L38" s="5"/>
      <c r="M38" s="5"/>
      <c r="N38" s="20"/>
      <c r="R38" s="52"/>
    </row>
    <row r="39" spans="1:18" s="51" customFormat="1" x14ac:dyDescent="0.2">
      <c r="B39" s="114"/>
      <c r="F39" s="41"/>
      <c r="G39" s="5"/>
      <c r="H39" s="5"/>
      <c r="I39" s="5"/>
      <c r="J39" s="5"/>
      <c r="K39" s="5"/>
      <c r="L39" s="41"/>
      <c r="M39" s="41"/>
      <c r="N39" s="115"/>
      <c r="R39" s="116"/>
    </row>
    <row r="40" spans="1:18" x14ac:dyDescent="0.2">
      <c r="B40" s="96"/>
      <c r="F40" s="5"/>
      <c r="G40" s="5"/>
      <c r="H40" s="5"/>
      <c r="I40" s="5"/>
      <c r="J40" s="5"/>
      <c r="K40" s="5"/>
      <c r="L40" s="5"/>
      <c r="M40" s="5"/>
      <c r="N40" s="20"/>
      <c r="R40" s="52"/>
    </row>
    <row r="41" spans="1:18" x14ac:dyDescent="0.2">
      <c r="A41" s="5"/>
      <c r="B41" s="96"/>
      <c r="F41" s="5"/>
      <c r="G41" s="5"/>
      <c r="H41" s="5"/>
      <c r="I41" s="5"/>
      <c r="J41" s="5"/>
      <c r="K41" s="5"/>
      <c r="L41" s="5"/>
      <c r="M41" s="5"/>
      <c r="N41" s="20"/>
      <c r="O41" s="5"/>
      <c r="R41" s="52"/>
    </row>
    <row r="42" spans="1:18" ht="15.75" thickBot="1" x14ac:dyDescent="0.25">
      <c r="A42" s="5"/>
      <c r="B42" s="99"/>
      <c r="C42" s="47"/>
      <c r="D42" s="47"/>
      <c r="E42" s="47"/>
      <c r="F42" s="47"/>
      <c r="G42" s="47"/>
      <c r="H42" s="47"/>
      <c r="I42" s="47"/>
      <c r="J42" s="47"/>
      <c r="K42" s="47"/>
      <c r="L42" s="47"/>
      <c r="M42" s="47"/>
      <c r="N42" s="122"/>
      <c r="O42" s="5"/>
      <c r="R42" s="52"/>
    </row>
    <row r="43" spans="1:18" ht="15.75" thickBot="1" x14ac:dyDescent="0.25">
      <c r="R43" s="52"/>
    </row>
    <row r="44" spans="1:18" ht="15" customHeight="1" x14ac:dyDescent="0.2">
      <c r="B44" s="265" t="s">
        <v>186</v>
      </c>
      <c r="C44" s="266"/>
      <c r="D44" s="266"/>
      <c r="E44" s="266"/>
      <c r="F44" s="266"/>
      <c r="G44" s="266"/>
      <c r="H44" s="266"/>
      <c r="I44" s="266"/>
      <c r="J44" s="266"/>
      <c r="K44" s="266"/>
      <c r="L44" s="266"/>
      <c r="M44" s="266"/>
      <c r="N44" s="266"/>
      <c r="O44" s="266"/>
      <c r="P44" s="266"/>
      <c r="Q44" s="266"/>
      <c r="R44" s="267"/>
    </row>
    <row r="45" spans="1:18" x14ac:dyDescent="0.2">
      <c r="B45" s="268"/>
      <c r="C45" s="269"/>
      <c r="D45" s="269"/>
      <c r="E45" s="269"/>
      <c r="F45" s="269"/>
      <c r="G45" s="269"/>
      <c r="H45" s="269"/>
      <c r="I45" s="269"/>
      <c r="J45" s="269"/>
      <c r="K45" s="269"/>
      <c r="L45" s="269"/>
      <c r="M45" s="269"/>
      <c r="N45" s="269"/>
      <c r="O45" s="269"/>
      <c r="P45" s="269"/>
      <c r="Q45" s="269"/>
      <c r="R45" s="270"/>
    </row>
    <row r="46" spans="1:18" x14ac:dyDescent="0.2">
      <c r="B46" s="268"/>
      <c r="C46" s="269"/>
      <c r="D46" s="269"/>
      <c r="E46" s="269"/>
      <c r="F46" s="269"/>
      <c r="G46" s="269"/>
      <c r="H46" s="269"/>
      <c r="I46" s="269"/>
      <c r="J46" s="269"/>
      <c r="K46" s="269"/>
      <c r="L46" s="269"/>
      <c r="M46" s="269"/>
      <c r="N46" s="269"/>
      <c r="O46" s="269"/>
      <c r="P46" s="269"/>
      <c r="Q46" s="269"/>
      <c r="R46" s="270"/>
    </row>
    <row r="47" spans="1:18" x14ac:dyDescent="0.2">
      <c r="B47" s="268"/>
      <c r="C47" s="269"/>
      <c r="D47" s="269"/>
      <c r="E47" s="269"/>
      <c r="F47" s="269"/>
      <c r="G47" s="269"/>
      <c r="H47" s="269"/>
      <c r="I47" s="269"/>
      <c r="J47" s="269"/>
      <c r="K47" s="269"/>
      <c r="L47" s="269"/>
      <c r="M47" s="269"/>
      <c r="N47" s="269"/>
      <c r="O47" s="269"/>
      <c r="P47" s="269"/>
      <c r="Q47" s="269"/>
      <c r="R47" s="270"/>
    </row>
    <row r="48" spans="1:18" x14ac:dyDescent="0.2">
      <c r="B48" s="268"/>
      <c r="C48" s="269"/>
      <c r="D48" s="269"/>
      <c r="E48" s="269"/>
      <c r="F48" s="269"/>
      <c r="G48" s="269"/>
      <c r="H48" s="269"/>
      <c r="I48" s="269"/>
      <c r="J48" s="269"/>
      <c r="K48" s="269"/>
      <c r="L48" s="269"/>
      <c r="M48" s="269"/>
      <c r="N48" s="269"/>
      <c r="O48" s="269"/>
      <c r="P48" s="269"/>
      <c r="Q48" s="269"/>
      <c r="R48" s="270"/>
    </row>
    <row r="49" spans="2:18" x14ac:dyDescent="0.2">
      <c r="B49" s="268"/>
      <c r="C49" s="269"/>
      <c r="D49" s="269"/>
      <c r="E49" s="269"/>
      <c r="F49" s="269"/>
      <c r="G49" s="269"/>
      <c r="H49" s="269"/>
      <c r="I49" s="269"/>
      <c r="J49" s="269"/>
      <c r="K49" s="269"/>
      <c r="L49" s="269"/>
      <c r="M49" s="269"/>
      <c r="N49" s="269"/>
      <c r="O49" s="269"/>
      <c r="P49" s="269"/>
      <c r="Q49" s="269"/>
      <c r="R49" s="270"/>
    </row>
    <row r="50" spans="2:18" ht="15.75" thickBot="1" x14ac:dyDescent="0.25">
      <c r="B50" s="271"/>
      <c r="C50" s="272"/>
      <c r="D50" s="272"/>
      <c r="E50" s="272"/>
      <c r="F50" s="272"/>
      <c r="G50" s="272"/>
      <c r="H50" s="272"/>
      <c r="I50" s="272"/>
      <c r="J50" s="272"/>
      <c r="K50" s="272"/>
      <c r="L50" s="272"/>
      <c r="M50" s="272"/>
      <c r="N50" s="272"/>
      <c r="O50" s="272"/>
      <c r="P50" s="272"/>
      <c r="Q50" s="272"/>
      <c r="R50" s="273"/>
    </row>
    <row r="51" spans="2:18" x14ac:dyDescent="0.2">
      <c r="R51" s="52"/>
    </row>
    <row r="52" spans="2:18" x14ac:dyDescent="0.2">
      <c r="R52" s="52"/>
    </row>
    <row r="53" spans="2:18" x14ac:dyDescent="0.2">
      <c r="R53" s="52"/>
    </row>
    <row r="54" spans="2:18" x14ac:dyDescent="0.2">
      <c r="R54" s="52"/>
    </row>
    <row r="55" spans="2:18" x14ac:dyDescent="0.2">
      <c r="R55" s="52"/>
    </row>
    <row r="56" spans="2:18" x14ac:dyDescent="0.2">
      <c r="R56" s="52"/>
    </row>
    <row r="57" spans="2:18" x14ac:dyDescent="0.2">
      <c r="R57" s="52"/>
    </row>
    <row r="58" spans="2:18" x14ac:dyDescent="0.2">
      <c r="R58" s="52"/>
    </row>
    <row r="59" spans="2:18" x14ac:dyDescent="0.2">
      <c r="R59" s="52"/>
    </row>
    <row r="60" spans="2:18" x14ac:dyDescent="0.2">
      <c r="R60" s="52"/>
    </row>
    <row r="61" spans="2:18" x14ac:dyDescent="0.2">
      <c r="R61" s="52"/>
    </row>
    <row r="62" spans="2:18" x14ac:dyDescent="0.2">
      <c r="R62" s="52"/>
    </row>
    <row r="63" spans="2:18" x14ac:dyDescent="0.2">
      <c r="R63" s="52"/>
    </row>
    <row r="64" spans="2:18" x14ac:dyDescent="0.2">
      <c r="R64" s="52"/>
    </row>
    <row r="65" spans="18:18" x14ac:dyDescent="0.2">
      <c r="R65" s="52"/>
    </row>
    <row r="66" spans="18:18" x14ac:dyDescent="0.2">
      <c r="R66" s="52"/>
    </row>
    <row r="67" spans="18:18" x14ac:dyDescent="0.2">
      <c r="R67" s="52"/>
    </row>
    <row r="68" spans="18:18" x14ac:dyDescent="0.2">
      <c r="R68" s="52"/>
    </row>
    <row r="69" spans="18:18" x14ac:dyDescent="0.2">
      <c r="R69" s="52"/>
    </row>
    <row r="70" spans="18:18" x14ac:dyDescent="0.2">
      <c r="R70" s="52"/>
    </row>
    <row r="71" spans="18:18" x14ac:dyDescent="0.2">
      <c r="R71" s="52"/>
    </row>
    <row r="72" spans="18:18" x14ac:dyDescent="0.2">
      <c r="R72" s="52"/>
    </row>
    <row r="73" spans="18:18" x14ac:dyDescent="0.2">
      <c r="R73" s="52"/>
    </row>
    <row r="74" spans="18:18" x14ac:dyDescent="0.2">
      <c r="R74" s="52"/>
    </row>
    <row r="75" spans="18:18" x14ac:dyDescent="0.2">
      <c r="R75" s="52"/>
    </row>
    <row r="76" spans="18:18" x14ac:dyDescent="0.2">
      <c r="R76" s="52"/>
    </row>
    <row r="77" spans="18:18" x14ac:dyDescent="0.2">
      <c r="R77" s="52"/>
    </row>
    <row r="78" spans="18:18" x14ac:dyDescent="0.2">
      <c r="R78" s="52"/>
    </row>
    <row r="79" spans="18:18" x14ac:dyDescent="0.2">
      <c r="R79" s="52"/>
    </row>
    <row r="80" spans="18:18" x14ac:dyDescent="0.2">
      <c r="R80" s="52"/>
    </row>
    <row r="81" spans="18:18" x14ac:dyDescent="0.2">
      <c r="R81" s="52"/>
    </row>
    <row r="82" spans="18:18" x14ac:dyDescent="0.2">
      <c r="R82" s="52"/>
    </row>
    <row r="83" spans="18:18" x14ac:dyDescent="0.2">
      <c r="R83" s="52"/>
    </row>
    <row r="84" spans="18:18" x14ac:dyDescent="0.2">
      <c r="R84" s="52"/>
    </row>
    <row r="85" spans="18:18" x14ac:dyDescent="0.2">
      <c r="R85" s="52"/>
    </row>
    <row r="86" spans="18:18" x14ac:dyDescent="0.2">
      <c r="R86" s="52"/>
    </row>
    <row r="87" spans="18:18" x14ac:dyDescent="0.2">
      <c r="R87" s="52"/>
    </row>
    <row r="88" spans="18:18" x14ac:dyDescent="0.2">
      <c r="R88" s="52"/>
    </row>
    <row r="89" spans="18:18" x14ac:dyDescent="0.2">
      <c r="R89" s="52"/>
    </row>
    <row r="90" spans="18:18" x14ac:dyDescent="0.2">
      <c r="R90" s="52"/>
    </row>
    <row r="91" spans="18:18" x14ac:dyDescent="0.2">
      <c r="R91" s="52"/>
    </row>
    <row r="92" spans="18:18" x14ac:dyDescent="0.2">
      <c r="R92" s="52"/>
    </row>
    <row r="93" spans="18:18" x14ac:dyDescent="0.2">
      <c r="R93" s="52"/>
    </row>
    <row r="94" spans="18:18" x14ac:dyDescent="0.2">
      <c r="R94" s="52"/>
    </row>
    <row r="95" spans="18:18" x14ac:dyDescent="0.2">
      <c r="R95" s="52"/>
    </row>
    <row r="96" spans="18:18" x14ac:dyDescent="0.2">
      <c r="R96" s="52"/>
    </row>
    <row r="97" spans="18:18" x14ac:dyDescent="0.2">
      <c r="R97" s="52"/>
    </row>
    <row r="98" spans="18:18" x14ac:dyDescent="0.2">
      <c r="R98" s="52"/>
    </row>
    <row r="99" spans="18:18" x14ac:dyDescent="0.2">
      <c r="R99" s="52"/>
    </row>
    <row r="100" spans="18:18" x14ac:dyDescent="0.2">
      <c r="R100" s="52"/>
    </row>
    <row r="101" spans="18:18" x14ac:dyDescent="0.2">
      <c r="R101" s="52"/>
    </row>
    <row r="102" spans="18:18" x14ac:dyDescent="0.2">
      <c r="R102" s="52"/>
    </row>
    <row r="103" spans="18:18" x14ac:dyDescent="0.2">
      <c r="R103" s="52"/>
    </row>
    <row r="104" spans="18:18" x14ac:dyDescent="0.2">
      <c r="R104" s="52"/>
    </row>
    <row r="105" spans="18:18" x14ac:dyDescent="0.2">
      <c r="R105" s="52"/>
    </row>
    <row r="106" spans="18:18" x14ac:dyDescent="0.2">
      <c r="R106" s="52"/>
    </row>
    <row r="107" spans="18:18" x14ac:dyDescent="0.2">
      <c r="R107" s="52"/>
    </row>
    <row r="108" spans="18:18" x14ac:dyDescent="0.2">
      <c r="R108" s="52"/>
    </row>
    <row r="109" spans="18:18" x14ac:dyDescent="0.2">
      <c r="R109" s="52"/>
    </row>
    <row r="110" spans="18:18" x14ac:dyDescent="0.2">
      <c r="R110" s="52"/>
    </row>
    <row r="111" spans="18:18" x14ac:dyDescent="0.2">
      <c r="R111" s="52"/>
    </row>
    <row r="112" spans="18: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sheetData>
  <sortState ref="C30:E31">
    <sortCondition descending="1" ref="E30"/>
  </sortState>
  <mergeCells count="3">
    <mergeCell ref="B44:R50"/>
    <mergeCell ref="C3:N3"/>
    <mergeCell ref="D5:E5"/>
  </mergeCells>
  <pageMargins left="0.7" right="0.7" top="0.75" bottom="0.75" header="0.3" footer="0.3"/>
  <pageSetup paperSize="9" scale="49"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27A8C-0A2A-41E5-A1EA-0146AF1510D8}">
  <sheetPr>
    <pageSetUpPr fitToPage="1"/>
  </sheetPr>
  <dimension ref="A1:S660"/>
  <sheetViews>
    <sheetView showGridLines="0" zoomScale="75" zoomScaleNormal="75" zoomScaleSheetLayoutView="76" workbookViewId="0"/>
  </sheetViews>
  <sheetFormatPr defaultRowHeight="15" x14ac:dyDescent="0.2"/>
  <cols>
    <col min="1" max="1" width="2.85546875" style="3" customWidth="1"/>
    <col min="2" max="2" width="3.85546875" style="3" customWidth="1"/>
    <col min="3" max="3" width="59.140625" style="3" bestFit="1" customWidth="1"/>
    <col min="4" max="4" width="28.42578125" style="3" customWidth="1"/>
    <col min="5" max="5" width="16.7109375" style="3" customWidth="1"/>
    <col min="6" max="6" width="9.140625" style="3"/>
    <col min="7" max="9" width="12" style="3" customWidth="1"/>
    <col min="10" max="10" width="26.5703125" style="3" customWidth="1"/>
    <col min="11" max="14" width="12" style="3" customWidth="1"/>
    <col min="15" max="16" width="9.140625" style="3"/>
    <col min="17" max="17" width="9.85546875" style="3" customWidth="1"/>
    <col min="18" max="18" width="13.140625" style="3" bestFit="1" customWidth="1"/>
    <col min="19" max="19" width="9.28515625" style="3" bestFit="1" customWidth="1"/>
    <col min="20" max="16384" width="9.140625" style="3"/>
  </cols>
  <sheetData>
    <row r="1" spans="2:19" ht="15.75" thickBot="1" x14ac:dyDescent="0.25"/>
    <row r="2" spans="2:19" x14ac:dyDescent="0.2">
      <c r="B2" s="94"/>
      <c r="C2" s="42"/>
      <c r="D2" s="42"/>
      <c r="E2" s="42"/>
      <c r="F2" s="42"/>
      <c r="G2" s="42"/>
      <c r="H2" s="42"/>
      <c r="I2" s="42"/>
      <c r="J2" s="42"/>
      <c r="K2" s="42"/>
      <c r="L2" s="42"/>
      <c r="M2" s="42"/>
      <c r="N2" s="95"/>
      <c r="S2" s="227"/>
    </row>
    <row r="3" spans="2:19" ht="20.25" customHeight="1" x14ac:dyDescent="0.2">
      <c r="B3" s="96"/>
      <c r="C3" s="259" t="s">
        <v>249</v>
      </c>
      <c r="D3" s="259" t="s">
        <v>249</v>
      </c>
      <c r="E3" s="259" t="s">
        <v>249</v>
      </c>
      <c r="F3" s="259" t="s">
        <v>249</v>
      </c>
      <c r="G3" s="259" t="s">
        <v>249</v>
      </c>
      <c r="H3" s="259" t="s">
        <v>249</v>
      </c>
      <c r="I3" s="259" t="s">
        <v>249</v>
      </c>
      <c r="J3" s="259" t="s">
        <v>249</v>
      </c>
      <c r="K3" s="259" t="s">
        <v>249</v>
      </c>
      <c r="L3" s="259" t="s">
        <v>249</v>
      </c>
      <c r="M3" s="259" t="s">
        <v>249</v>
      </c>
      <c r="N3" s="260" t="s">
        <v>249</v>
      </c>
    </row>
    <row r="4" spans="2:19" ht="15.75" x14ac:dyDescent="0.25">
      <c r="B4" s="96"/>
      <c r="C4" s="70" t="s">
        <v>367</v>
      </c>
      <c r="D4" s="29"/>
      <c r="E4" s="29"/>
      <c r="F4" s="5"/>
      <c r="G4" s="5"/>
      <c r="H4" s="5"/>
      <c r="I4" s="5"/>
      <c r="J4" s="5"/>
      <c r="K4" s="5"/>
      <c r="L4" s="5"/>
      <c r="M4" s="5"/>
      <c r="N4" s="20"/>
    </row>
    <row r="5" spans="2:19" ht="20.25" customHeight="1" x14ac:dyDescent="0.2">
      <c r="B5" s="96"/>
      <c r="C5" s="228" t="s">
        <v>366</v>
      </c>
      <c r="D5" s="276" t="s">
        <v>337</v>
      </c>
      <c r="E5" s="276"/>
      <c r="F5" s="5"/>
      <c r="G5" s="5"/>
      <c r="H5" s="5"/>
      <c r="I5" s="5"/>
      <c r="J5" s="5"/>
      <c r="K5" s="5"/>
      <c r="L5" s="5"/>
      <c r="M5" s="5"/>
      <c r="N5" s="20"/>
    </row>
    <row r="6" spans="2:19" ht="15.75" x14ac:dyDescent="0.25">
      <c r="B6" s="96"/>
      <c r="C6" s="29"/>
      <c r="D6" s="29"/>
      <c r="E6" s="29"/>
      <c r="F6" s="5"/>
      <c r="G6" s="5"/>
      <c r="H6" s="5"/>
      <c r="I6" s="5"/>
      <c r="J6" s="5"/>
      <c r="K6" s="5"/>
      <c r="L6" s="5"/>
      <c r="M6" s="5"/>
      <c r="N6" s="20"/>
      <c r="P6" s="39" t="s">
        <v>22</v>
      </c>
      <c r="Q6" s="39" t="s">
        <v>2</v>
      </c>
    </row>
    <row r="7" spans="2:19" ht="32.25" customHeight="1" x14ac:dyDescent="0.25">
      <c r="B7" s="96"/>
      <c r="C7" s="98" t="s">
        <v>43</v>
      </c>
      <c r="D7" s="98" t="s">
        <v>44</v>
      </c>
      <c r="E7" s="98" t="s">
        <v>45</v>
      </c>
      <c r="F7" s="5"/>
      <c r="G7" s="5"/>
      <c r="H7" s="5"/>
      <c r="I7" s="5"/>
      <c r="J7" s="5"/>
      <c r="K7" s="5"/>
      <c r="L7" s="5"/>
      <c r="M7" s="5"/>
      <c r="N7" s="20"/>
      <c r="P7" s="248" t="s">
        <v>3</v>
      </c>
      <c r="Q7" s="247">
        <v>8.8692999999999994E-2</v>
      </c>
    </row>
    <row r="8" spans="2:19" ht="15.75" x14ac:dyDescent="0.25">
      <c r="B8" s="96"/>
      <c r="C8" s="38" t="s">
        <v>29</v>
      </c>
      <c r="D8" s="38" t="s">
        <v>3</v>
      </c>
      <c r="E8" s="6">
        <v>2.2272E-2</v>
      </c>
      <c r="F8" s="5"/>
      <c r="G8" s="5"/>
      <c r="H8" s="5"/>
      <c r="I8" s="5"/>
      <c r="J8" s="5"/>
      <c r="K8" s="5"/>
      <c r="L8" s="5"/>
      <c r="M8" s="5"/>
      <c r="N8" s="20"/>
      <c r="P8" s="248" t="s">
        <v>109</v>
      </c>
      <c r="Q8" s="247">
        <v>3.0068000000000018E-2</v>
      </c>
      <c r="R8" s="52"/>
    </row>
    <row r="9" spans="2:19" ht="15.75" customHeight="1" x14ac:dyDescent="0.25">
      <c r="B9" s="96"/>
      <c r="C9" s="38" t="s">
        <v>32</v>
      </c>
      <c r="D9" s="38" t="s">
        <v>3</v>
      </c>
      <c r="E9" s="6">
        <v>2.0334999999999999E-2</v>
      </c>
      <c r="F9" s="5"/>
      <c r="G9" s="5"/>
      <c r="H9" s="5"/>
      <c r="I9" s="5"/>
      <c r="J9" s="5"/>
      <c r="K9" s="5"/>
      <c r="L9" s="5"/>
      <c r="M9" s="5"/>
      <c r="N9" s="20"/>
      <c r="P9" s="248" t="s">
        <v>26</v>
      </c>
      <c r="Q9" s="247">
        <v>2.8282999999999999E-2</v>
      </c>
      <c r="R9" s="52"/>
    </row>
    <row r="10" spans="2:19" ht="15.75" x14ac:dyDescent="0.25">
      <c r="B10" s="96"/>
      <c r="C10" s="38" t="s">
        <v>28</v>
      </c>
      <c r="D10" s="38" t="s">
        <v>109</v>
      </c>
      <c r="E10" s="6">
        <v>1.6531000000000001E-2</v>
      </c>
      <c r="F10" s="31"/>
      <c r="G10" s="5"/>
      <c r="H10" s="5"/>
      <c r="I10" s="5"/>
      <c r="J10" s="5"/>
      <c r="K10" s="5"/>
      <c r="L10" s="5"/>
      <c r="M10" s="5"/>
      <c r="N10" s="20"/>
      <c r="P10" s="248" t="s">
        <v>4</v>
      </c>
      <c r="Q10" s="247">
        <v>2.8173999999999998E-2</v>
      </c>
      <c r="R10" s="52"/>
    </row>
    <row r="11" spans="2:19" ht="15.75" x14ac:dyDescent="0.25">
      <c r="B11" s="96"/>
      <c r="C11" s="38" t="s">
        <v>31</v>
      </c>
      <c r="D11" s="38" t="s">
        <v>6</v>
      </c>
      <c r="E11" s="6">
        <v>1.1473000000000001E-2</v>
      </c>
      <c r="F11" s="5"/>
      <c r="G11" s="5"/>
      <c r="H11" s="5"/>
      <c r="I11" s="5"/>
      <c r="J11" s="5"/>
      <c r="K11" s="5"/>
      <c r="L11" s="5"/>
      <c r="M11" s="5"/>
      <c r="N11" s="20"/>
      <c r="P11" s="248" t="s">
        <v>113</v>
      </c>
      <c r="Q11" s="247">
        <v>2.7453999999999999E-2</v>
      </c>
      <c r="R11" s="52"/>
    </row>
    <row r="12" spans="2:19" ht="15.75" customHeight="1" x14ac:dyDescent="0.25">
      <c r="B12" s="96"/>
      <c r="C12" s="38" t="s">
        <v>36</v>
      </c>
      <c r="D12" s="38" t="s">
        <v>3</v>
      </c>
      <c r="E12" s="6">
        <v>1.0441000000000001E-2</v>
      </c>
      <c r="F12" s="31"/>
      <c r="G12" s="5"/>
      <c r="H12" s="5"/>
      <c r="I12" s="5"/>
      <c r="J12" s="5"/>
      <c r="K12" s="5"/>
      <c r="L12" s="5"/>
      <c r="M12" s="5"/>
      <c r="N12" s="20"/>
      <c r="P12" s="248" t="s">
        <v>16</v>
      </c>
      <c r="Q12" s="247">
        <v>2.7268000000000001E-2</v>
      </c>
      <c r="R12" s="52"/>
    </row>
    <row r="13" spans="2:19" ht="15.75" x14ac:dyDescent="0.25">
      <c r="B13" s="96"/>
      <c r="C13" s="38" t="s">
        <v>37</v>
      </c>
      <c r="D13" s="38" t="s">
        <v>119</v>
      </c>
      <c r="E13" s="6">
        <v>9.8720000000000006E-3</v>
      </c>
      <c r="F13" s="31"/>
      <c r="G13" s="5"/>
      <c r="H13" s="5"/>
      <c r="I13" s="5"/>
      <c r="J13" s="5"/>
      <c r="K13" s="5"/>
      <c r="L13" s="5"/>
      <c r="M13" s="5"/>
      <c r="N13" s="20"/>
      <c r="P13" s="248" t="s">
        <v>121</v>
      </c>
      <c r="Q13" s="247">
        <v>1.9545E-2</v>
      </c>
      <c r="R13" s="52"/>
    </row>
    <row r="14" spans="2:19" ht="15.75" x14ac:dyDescent="0.25">
      <c r="B14" s="96"/>
      <c r="C14" s="38" t="s">
        <v>35</v>
      </c>
      <c r="D14" s="38" t="s">
        <v>3</v>
      </c>
      <c r="E14" s="6">
        <v>9.6019999999999994E-3</v>
      </c>
      <c r="F14" s="31"/>
      <c r="G14" s="5"/>
      <c r="H14" s="5"/>
      <c r="I14" s="5"/>
      <c r="J14" s="5"/>
      <c r="K14" s="5"/>
      <c r="L14" s="5"/>
      <c r="M14" s="5"/>
      <c r="N14" s="20"/>
      <c r="P14" s="248" t="s">
        <v>114</v>
      </c>
      <c r="Q14" s="247">
        <v>1.8089000000000001E-2</v>
      </c>
      <c r="R14" s="52"/>
    </row>
    <row r="15" spans="2:19" ht="15.75" x14ac:dyDescent="0.25">
      <c r="B15" s="96"/>
      <c r="C15" s="38" t="s">
        <v>62</v>
      </c>
      <c r="D15" s="38" t="s">
        <v>10</v>
      </c>
      <c r="E15" s="6">
        <v>7.8609999999999999E-3</v>
      </c>
      <c r="F15" s="5"/>
      <c r="G15" s="5"/>
      <c r="H15" s="5"/>
      <c r="I15" s="5"/>
      <c r="J15" s="5"/>
      <c r="K15" s="5"/>
      <c r="L15" s="5"/>
      <c r="M15" s="5"/>
      <c r="N15" s="20"/>
      <c r="P15" s="248" t="s">
        <v>23</v>
      </c>
      <c r="Q15" s="247">
        <v>1.797E-2</v>
      </c>
      <c r="R15" s="52"/>
    </row>
    <row r="16" spans="2:19" ht="15.75" x14ac:dyDescent="0.25">
      <c r="B16" s="96"/>
      <c r="C16" s="38" t="s">
        <v>30</v>
      </c>
      <c r="D16" s="38" t="s">
        <v>119</v>
      </c>
      <c r="E16" s="6">
        <v>7.4329999999999986E-3</v>
      </c>
      <c r="F16" s="5"/>
      <c r="G16" s="5"/>
      <c r="H16" s="5"/>
      <c r="I16" s="5"/>
      <c r="J16" s="5"/>
      <c r="K16" s="5"/>
      <c r="L16" s="5"/>
      <c r="M16" s="5"/>
      <c r="N16" s="20"/>
      <c r="P16" s="248" t="s">
        <v>119</v>
      </c>
      <c r="Q16" s="247">
        <v>1.7305000000000001E-2</v>
      </c>
      <c r="R16" s="52"/>
    </row>
    <row r="17" spans="2:18" ht="15.75" x14ac:dyDescent="0.25">
      <c r="B17" s="96"/>
      <c r="C17" s="38" t="s">
        <v>258</v>
      </c>
      <c r="D17" s="38" t="s">
        <v>26</v>
      </c>
      <c r="E17" s="6">
        <v>7.2919999999999999E-3</v>
      </c>
      <c r="F17" s="5"/>
      <c r="G17" s="5"/>
      <c r="H17" s="5"/>
      <c r="I17" s="5"/>
      <c r="J17" s="5"/>
      <c r="K17" s="5"/>
      <c r="L17" s="5"/>
      <c r="M17" s="5"/>
      <c r="N17" s="20"/>
      <c r="P17" s="248" t="s">
        <v>87</v>
      </c>
      <c r="Q17" s="247">
        <v>1.5385999999999999E-2</v>
      </c>
      <c r="R17" s="52"/>
    </row>
    <row r="18" spans="2:18" ht="15.75" x14ac:dyDescent="0.25">
      <c r="B18" s="96"/>
      <c r="C18" s="38" t="s">
        <v>34</v>
      </c>
      <c r="D18" s="38" t="s">
        <v>23</v>
      </c>
      <c r="E18" s="6">
        <v>6.9769999999999997E-3</v>
      </c>
      <c r="F18" s="5"/>
      <c r="G18" s="5"/>
      <c r="H18" s="5"/>
      <c r="I18" s="5"/>
      <c r="J18" s="5"/>
      <c r="K18" s="5"/>
      <c r="L18" s="5"/>
      <c r="M18" s="5"/>
      <c r="N18" s="20"/>
      <c r="P18" s="248" t="s">
        <v>24</v>
      </c>
      <c r="Q18" s="247">
        <v>1.4657E-2</v>
      </c>
      <c r="R18" s="52"/>
    </row>
    <row r="19" spans="2:18" ht="15.75" x14ac:dyDescent="0.25">
      <c r="B19" s="96"/>
      <c r="C19" s="38" t="s">
        <v>267</v>
      </c>
      <c r="D19" s="38" t="s">
        <v>121</v>
      </c>
      <c r="E19" s="6">
        <v>6.8580000000000004E-3</v>
      </c>
      <c r="F19" s="5"/>
      <c r="G19" s="5"/>
      <c r="H19" s="5"/>
      <c r="I19" s="5"/>
      <c r="J19" s="5"/>
      <c r="K19" s="5"/>
      <c r="L19" s="5"/>
      <c r="M19" s="5"/>
      <c r="N19" s="20"/>
      <c r="P19" s="248" t="s">
        <v>112</v>
      </c>
      <c r="Q19" s="247">
        <v>1.4179000000000001E-2</v>
      </c>
      <c r="R19" s="52"/>
    </row>
    <row r="20" spans="2:18" ht="15.75" customHeight="1" x14ac:dyDescent="0.25">
      <c r="B20" s="96"/>
      <c r="C20" s="38" t="s">
        <v>82</v>
      </c>
      <c r="D20" s="38" t="s">
        <v>4</v>
      </c>
      <c r="E20" s="6">
        <v>6.6420000000000021E-3</v>
      </c>
      <c r="F20" s="5"/>
      <c r="G20" s="5"/>
      <c r="H20" s="5"/>
      <c r="I20" s="5"/>
      <c r="J20" s="5"/>
      <c r="K20" s="5"/>
      <c r="L20" s="5"/>
      <c r="M20" s="5"/>
      <c r="N20" s="20"/>
      <c r="P20" s="248" t="s">
        <v>10</v>
      </c>
      <c r="Q20" s="247">
        <v>1.3061E-2</v>
      </c>
      <c r="R20" s="52"/>
    </row>
    <row r="21" spans="2:18" ht="15.75" x14ac:dyDescent="0.25">
      <c r="B21" s="96"/>
      <c r="C21" s="38" t="s">
        <v>70</v>
      </c>
      <c r="D21" s="38" t="s">
        <v>12</v>
      </c>
      <c r="E21" s="6">
        <v>6.2740000000000001E-3</v>
      </c>
      <c r="F21" s="5"/>
      <c r="G21" s="5"/>
      <c r="H21" s="5"/>
      <c r="I21" s="5"/>
      <c r="J21" s="5"/>
      <c r="K21" s="5"/>
      <c r="L21" s="5"/>
      <c r="M21" s="5"/>
      <c r="N21" s="20"/>
      <c r="P21" s="248" t="s">
        <v>6</v>
      </c>
      <c r="Q21" s="247">
        <v>1.1473000000000001E-2</v>
      </c>
      <c r="R21" s="52"/>
    </row>
    <row r="22" spans="2:18" ht="15.75" x14ac:dyDescent="0.25">
      <c r="B22" s="96"/>
      <c r="C22" s="38" t="s">
        <v>137</v>
      </c>
      <c r="D22" s="38" t="s">
        <v>3</v>
      </c>
      <c r="E22" s="6">
        <v>6.2400000000000008E-3</v>
      </c>
      <c r="F22" s="5"/>
      <c r="G22" s="31"/>
      <c r="H22" s="31"/>
      <c r="I22" s="31"/>
      <c r="J22" s="5"/>
      <c r="K22" s="31"/>
      <c r="L22" s="5"/>
      <c r="M22" s="5"/>
      <c r="N22" s="20"/>
      <c r="P22" s="248" t="s">
        <v>85</v>
      </c>
      <c r="Q22" s="247">
        <v>1.0484E-2</v>
      </c>
      <c r="R22" s="52"/>
    </row>
    <row r="23" spans="2:18" ht="15.75" customHeight="1" x14ac:dyDescent="0.25">
      <c r="B23" s="96"/>
      <c r="C23" s="38"/>
      <c r="D23" s="4"/>
      <c r="E23" s="6"/>
      <c r="F23" s="5"/>
      <c r="G23" s="31"/>
      <c r="H23" s="31"/>
      <c r="I23" s="31"/>
      <c r="J23" s="5"/>
      <c r="K23" s="31"/>
      <c r="L23" s="5"/>
      <c r="M23" s="5"/>
      <c r="N23" s="20"/>
      <c r="P23" s="248" t="s">
        <v>115</v>
      </c>
      <c r="Q23" s="247">
        <v>9.8449999999999996E-3</v>
      </c>
      <c r="R23" s="52"/>
    </row>
    <row r="24" spans="2:18" ht="15.75" x14ac:dyDescent="0.25">
      <c r="B24" s="96"/>
      <c r="C24" s="112" t="s">
        <v>56</v>
      </c>
      <c r="D24" s="112"/>
      <c r="E24" s="113">
        <f>SUM(E8:E22)</f>
        <v>0.15610300000000002</v>
      </c>
      <c r="F24" s="5"/>
      <c r="G24" s="5"/>
      <c r="H24" s="5"/>
      <c r="I24" s="5"/>
      <c r="J24" s="5"/>
      <c r="K24" s="5"/>
      <c r="L24" s="5"/>
      <c r="M24" s="5"/>
      <c r="N24" s="20"/>
      <c r="P24" s="248" t="s">
        <v>13</v>
      </c>
      <c r="Q24" s="247">
        <v>9.8300000000000002E-3</v>
      </c>
      <c r="R24" s="52"/>
    </row>
    <row r="25" spans="2:18" ht="15.75" x14ac:dyDescent="0.25">
      <c r="B25" s="96"/>
      <c r="C25" s="4"/>
      <c r="D25" s="4"/>
      <c r="E25" s="6"/>
      <c r="F25" s="5"/>
      <c r="G25" s="5"/>
      <c r="H25" s="5"/>
      <c r="I25" s="5"/>
      <c r="J25" s="5"/>
      <c r="K25" s="5"/>
      <c r="L25" s="5"/>
      <c r="M25" s="5"/>
      <c r="N25" s="20"/>
      <c r="P25" s="248" t="s">
        <v>84</v>
      </c>
      <c r="Q25" s="247">
        <v>9.2029999999999994E-3</v>
      </c>
      <c r="R25" s="52"/>
    </row>
    <row r="26" spans="2:18" ht="15.75" x14ac:dyDescent="0.25">
      <c r="B26" s="96"/>
      <c r="C26" s="112" t="s">
        <v>66</v>
      </c>
      <c r="D26" s="112"/>
      <c r="E26" s="113">
        <v>0.35513100000000003</v>
      </c>
      <c r="F26" s="31"/>
      <c r="G26" s="5"/>
      <c r="H26" s="5"/>
      <c r="I26" s="5"/>
      <c r="J26" s="5"/>
      <c r="K26" s="5"/>
      <c r="L26" s="5"/>
      <c r="M26" s="5"/>
      <c r="N26" s="20"/>
      <c r="P26" s="248" t="s">
        <v>25</v>
      </c>
      <c r="Q26" s="247">
        <v>9.1999999999999998E-3</v>
      </c>
      <c r="R26" s="52"/>
    </row>
    <row r="27" spans="2:18" ht="15.75" x14ac:dyDescent="0.25">
      <c r="B27" s="96"/>
      <c r="C27" s="38"/>
      <c r="D27" s="61"/>
      <c r="E27" s="6"/>
      <c r="F27" s="5"/>
      <c r="G27" s="5"/>
      <c r="H27" s="5"/>
      <c r="I27" s="5"/>
      <c r="J27" s="5"/>
      <c r="K27" s="5"/>
      <c r="L27" s="5"/>
      <c r="M27" s="5"/>
      <c r="N27" s="20"/>
      <c r="P27" s="248" t="s">
        <v>128</v>
      </c>
      <c r="Q27" s="247">
        <v>9.0559999999999998E-3</v>
      </c>
      <c r="R27" s="52"/>
    </row>
    <row r="28" spans="2:18" s="51" customFormat="1" ht="13.5" customHeight="1" x14ac:dyDescent="0.25">
      <c r="B28" s="114"/>
      <c r="C28" s="112" t="s">
        <v>58</v>
      </c>
      <c r="D28" s="112"/>
      <c r="E28" s="190">
        <v>0.158605</v>
      </c>
      <c r="F28" s="41"/>
      <c r="G28" s="41"/>
      <c r="H28" s="41"/>
      <c r="I28" s="41"/>
      <c r="J28" s="41"/>
      <c r="K28" s="41"/>
      <c r="L28" s="41"/>
      <c r="M28" s="41"/>
      <c r="N28" s="115"/>
      <c r="P28" s="248" t="s">
        <v>11</v>
      </c>
      <c r="Q28" s="247">
        <v>8.5510000000000013E-3</v>
      </c>
      <c r="R28" s="116"/>
    </row>
    <row r="29" spans="2:18" ht="15.75" x14ac:dyDescent="0.25">
      <c r="B29" s="96"/>
      <c r="C29" s="38"/>
      <c r="D29" s="38"/>
      <c r="E29" s="6"/>
      <c r="F29" s="5"/>
      <c r="G29" s="5"/>
      <c r="H29" s="5"/>
      <c r="I29" s="5"/>
      <c r="J29" s="5"/>
      <c r="K29" s="5"/>
      <c r="L29" s="5"/>
      <c r="M29" s="5"/>
      <c r="N29" s="20"/>
      <c r="P29" s="248" t="s">
        <v>120</v>
      </c>
      <c r="Q29" s="247">
        <v>7.7619999999999998E-3</v>
      </c>
      <c r="R29" s="52"/>
    </row>
    <row r="30" spans="2:18" ht="15.75" x14ac:dyDescent="0.25">
      <c r="B30" s="96"/>
      <c r="C30" s="38" t="s">
        <v>248</v>
      </c>
      <c r="D30" s="38" t="s">
        <v>246</v>
      </c>
      <c r="E30" s="6">
        <v>5.4584000000000001E-2</v>
      </c>
      <c r="F30" s="5"/>
      <c r="G30" s="5"/>
      <c r="H30" s="5"/>
      <c r="I30" s="5"/>
      <c r="J30" s="5"/>
      <c r="K30" s="5"/>
      <c r="L30" s="5"/>
      <c r="M30" s="5"/>
      <c r="N30" s="20"/>
      <c r="P30" s="248" t="s">
        <v>86</v>
      </c>
      <c r="Q30" s="247">
        <v>6.8780000000000004E-3</v>
      </c>
      <c r="R30" s="52"/>
    </row>
    <row r="31" spans="2:18" ht="15.75" x14ac:dyDescent="0.25">
      <c r="B31" s="96"/>
      <c r="C31" s="38" t="s">
        <v>247</v>
      </c>
      <c r="D31" s="38" t="s">
        <v>246</v>
      </c>
      <c r="E31" s="6">
        <v>5.2045000000000001E-2</v>
      </c>
      <c r="F31" s="5"/>
      <c r="G31" s="5"/>
      <c r="H31" s="5"/>
      <c r="I31" s="5"/>
      <c r="J31" s="5"/>
      <c r="K31" s="5"/>
      <c r="L31" s="5"/>
      <c r="M31" s="5"/>
      <c r="N31" s="20"/>
      <c r="P31" s="248" t="s">
        <v>12</v>
      </c>
      <c r="Q31" s="247">
        <v>6.2740000000000001E-3</v>
      </c>
      <c r="R31" s="52"/>
    </row>
    <row r="32" spans="2:18" ht="15.75" x14ac:dyDescent="0.25">
      <c r="B32" s="96"/>
      <c r="C32" s="112" t="s">
        <v>245</v>
      </c>
      <c r="D32" s="112"/>
      <c r="E32" s="190">
        <v>0.106629</v>
      </c>
      <c r="F32" s="5"/>
      <c r="G32" s="5"/>
      <c r="H32" s="5"/>
      <c r="I32" s="5"/>
      <c r="J32" s="5"/>
      <c r="K32" s="5"/>
      <c r="L32" s="5"/>
      <c r="M32" s="5"/>
      <c r="N32" s="20"/>
      <c r="P32" s="248" t="s">
        <v>78</v>
      </c>
      <c r="Q32" s="247">
        <v>5.7660000000000003E-3</v>
      </c>
      <c r="R32" s="52"/>
    </row>
    <row r="33" spans="1:18" ht="15.75" x14ac:dyDescent="0.25">
      <c r="B33" s="96"/>
      <c r="C33" s="38"/>
      <c r="D33" s="4"/>
      <c r="E33" s="204"/>
      <c r="F33" s="5"/>
      <c r="G33" s="5"/>
      <c r="H33" s="5"/>
      <c r="I33" s="5"/>
      <c r="J33" s="5"/>
      <c r="K33" s="5"/>
      <c r="L33" s="5"/>
      <c r="M33" s="5"/>
      <c r="N33" s="20"/>
      <c r="P33" s="248" t="s">
        <v>118</v>
      </c>
      <c r="Q33" s="247">
        <v>5.7280000000000005E-3</v>
      </c>
      <c r="R33" s="52"/>
    </row>
    <row r="34" spans="1:18" ht="15.75" x14ac:dyDescent="0.25">
      <c r="B34" s="96"/>
      <c r="C34" s="38" t="s">
        <v>235</v>
      </c>
      <c r="D34" s="4" t="s">
        <v>61</v>
      </c>
      <c r="E34" s="204">
        <v>8.5209999999999994E-2</v>
      </c>
      <c r="F34" s="5"/>
      <c r="G34" s="5"/>
      <c r="H34" s="5"/>
      <c r="I34" s="5"/>
      <c r="J34" s="5"/>
      <c r="K34" s="5"/>
      <c r="L34" s="5"/>
      <c r="M34" s="5"/>
      <c r="N34" s="20"/>
      <c r="P34" s="248" t="s">
        <v>133</v>
      </c>
      <c r="Q34" s="247">
        <v>5.0109999999999998E-3</v>
      </c>
      <c r="R34" s="52"/>
    </row>
    <row r="35" spans="1:18" ht="15.75" x14ac:dyDescent="0.25">
      <c r="B35" s="96"/>
      <c r="C35" s="112" t="s">
        <v>42</v>
      </c>
      <c r="D35" s="112"/>
      <c r="E35" s="113">
        <v>8.5209999999999994E-2</v>
      </c>
      <c r="F35" s="5"/>
      <c r="G35" s="5"/>
      <c r="H35" s="5"/>
      <c r="I35" s="5"/>
      <c r="J35" s="5"/>
      <c r="K35" s="5"/>
      <c r="L35" s="5"/>
      <c r="M35" s="5"/>
      <c r="N35" s="20"/>
      <c r="P35" s="248" t="s">
        <v>110</v>
      </c>
      <c r="Q35" s="247">
        <v>4.8380000000000003E-3</v>
      </c>
      <c r="R35" s="52"/>
    </row>
    <row r="36" spans="1:18" ht="15.75" x14ac:dyDescent="0.25">
      <c r="B36" s="96"/>
      <c r="C36" s="117"/>
      <c r="D36" s="117"/>
      <c r="E36" s="118"/>
      <c r="F36" s="5"/>
      <c r="G36" s="5"/>
      <c r="H36" s="5"/>
      <c r="I36" s="5"/>
      <c r="J36" s="5"/>
      <c r="K36" s="5"/>
      <c r="L36" s="5"/>
      <c r="M36" s="5"/>
      <c r="N36" s="20"/>
      <c r="P36" s="248" t="s">
        <v>124</v>
      </c>
      <c r="Q36" s="247">
        <v>4.5690000000000001E-3</v>
      </c>
      <c r="R36" s="52"/>
    </row>
    <row r="37" spans="1:18" ht="15.75" x14ac:dyDescent="0.25">
      <c r="B37" s="96"/>
      <c r="C37" s="38" t="s">
        <v>244</v>
      </c>
      <c r="D37" s="38" t="s">
        <v>246</v>
      </c>
      <c r="E37" s="204">
        <v>9.9585999999999994E-2</v>
      </c>
      <c r="F37" s="5"/>
      <c r="G37" s="5"/>
      <c r="H37" s="5"/>
      <c r="I37" s="5"/>
      <c r="J37" s="5"/>
      <c r="K37" s="5"/>
      <c r="L37" s="5"/>
      <c r="M37" s="5"/>
      <c r="N37" s="20"/>
      <c r="P37" s="248" t="s">
        <v>108</v>
      </c>
      <c r="Q37" s="247">
        <v>4.4489999999999998E-3</v>
      </c>
      <c r="R37" s="52"/>
    </row>
    <row r="38" spans="1:18" ht="15.75" x14ac:dyDescent="0.25">
      <c r="B38" s="96"/>
      <c r="C38" s="112" t="s">
        <v>243</v>
      </c>
      <c r="D38" s="112"/>
      <c r="E38" s="113">
        <v>9.9585999999999994E-2</v>
      </c>
      <c r="F38" s="5"/>
      <c r="G38" s="5"/>
      <c r="H38" s="5"/>
      <c r="I38" s="5"/>
      <c r="J38" s="5"/>
      <c r="K38" s="5"/>
      <c r="L38" s="5"/>
      <c r="M38" s="5"/>
      <c r="N38" s="20"/>
      <c r="P38" s="248" t="s">
        <v>149</v>
      </c>
      <c r="Q38" s="247">
        <v>4.4089999999999997E-3</v>
      </c>
      <c r="R38" s="52"/>
    </row>
    <row r="39" spans="1:18" ht="15.75" x14ac:dyDescent="0.25">
      <c r="B39" s="96"/>
      <c r="C39" s="117"/>
      <c r="D39" s="117"/>
      <c r="E39" s="118"/>
      <c r="F39" s="5"/>
      <c r="G39" s="5"/>
      <c r="H39" s="5"/>
      <c r="I39" s="5"/>
      <c r="J39" s="5"/>
      <c r="K39" s="5"/>
      <c r="L39" s="5"/>
      <c r="M39" s="5"/>
      <c r="N39" s="20"/>
      <c r="P39" s="248" t="s">
        <v>15</v>
      </c>
      <c r="Q39" s="247">
        <v>3.0509999999999999E-3</v>
      </c>
      <c r="R39" s="52"/>
    </row>
    <row r="40" spans="1:18" ht="15.75" x14ac:dyDescent="0.25">
      <c r="B40" s="96"/>
      <c r="C40" s="112" t="s">
        <v>20</v>
      </c>
      <c r="D40" s="112"/>
      <c r="E40" s="113">
        <v>3.8736000000000007E-2</v>
      </c>
      <c r="F40" s="5"/>
      <c r="G40" s="5"/>
      <c r="H40" s="5"/>
      <c r="I40" s="5"/>
      <c r="J40" s="5"/>
      <c r="K40" s="5"/>
      <c r="L40" s="5"/>
      <c r="M40" s="5"/>
      <c r="N40" s="20"/>
      <c r="P40" s="248" t="s">
        <v>126</v>
      </c>
      <c r="Q40" s="247">
        <v>2.9759999999999999E-3</v>
      </c>
      <c r="R40" s="52"/>
    </row>
    <row r="41" spans="1:18" ht="15.75" x14ac:dyDescent="0.25">
      <c r="B41" s="96"/>
      <c r="C41" s="4"/>
      <c r="D41" s="4"/>
      <c r="E41" s="32"/>
      <c r="F41" s="5"/>
      <c r="G41" s="5"/>
      <c r="H41" s="5"/>
      <c r="I41" s="5"/>
      <c r="J41" s="5"/>
      <c r="K41" s="5"/>
      <c r="L41" s="5"/>
      <c r="M41" s="5"/>
      <c r="N41" s="20"/>
      <c r="P41" s="248" t="s">
        <v>123</v>
      </c>
      <c r="Q41" s="247">
        <v>2.7330000000000002E-3</v>
      </c>
      <c r="R41" s="52"/>
    </row>
    <row r="42" spans="1:18" s="51" customFormat="1" ht="15.75" x14ac:dyDescent="0.25">
      <c r="B42" s="114"/>
      <c r="C42" s="119" t="s">
        <v>21</v>
      </c>
      <c r="D42" s="119"/>
      <c r="E42" s="120">
        <f>E40+E38+E35+E32+E28+E26+E24</f>
        <v>1.0000000000000002</v>
      </c>
      <c r="F42" s="41"/>
      <c r="G42" s="5"/>
      <c r="H42" s="5"/>
      <c r="I42" s="5"/>
      <c r="J42" s="5"/>
      <c r="K42" s="5"/>
      <c r="L42" s="41"/>
      <c r="M42" s="41"/>
      <c r="N42" s="115"/>
      <c r="P42" s="248" t="s">
        <v>116</v>
      </c>
      <c r="Q42" s="247">
        <v>2.5869999999999999E-3</v>
      </c>
      <c r="R42" s="116"/>
    </row>
    <row r="43" spans="1:18" ht="15.75" x14ac:dyDescent="0.25">
      <c r="B43" s="96"/>
      <c r="F43" s="5"/>
      <c r="G43" s="5"/>
      <c r="H43" s="5"/>
      <c r="I43" s="5"/>
      <c r="J43" s="5"/>
      <c r="K43" s="5"/>
      <c r="L43" s="5"/>
      <c r="M43" s="5"/>
      <c r="N43" s="20"/>
      <c r="P43" s="248" t="s">
        <v>88</v>
      </c>
      <c r="Q43" s="247">
        <v>2.4989999999999999E-3</v>
      </c>
      <c r="R43" s="52"/>
    </row>
    <row r="44" spans="1:18" ht="15.75" x14ac:dyDescent="0.25">
      <c r="A44" s="5"/>
      <c r="B44" s="96"/>
      <c r="F44" s="5"/>
      <c r="G44" s="5"/>
      <c r="H44" s="5"/>
      <c r="I44" s="5"/>
      <c r="J44" s="5"/>
      <c r="K44" s="5"/>
      <c r="L44" s="5"/>
      <c r="M44" s="5"/>
      <c r="N44" s="20"/>
      <c r="O44" s="5"/>
      <c r="P44" s="248" t="s">
        <v>125</v>
      </c>
      <c r="Q44" s="247">
        <v>2.1410000000000001E-3</v>
      </c>
      <c r="R44" s="52"/>
    </row>
    <row r="45" spans="1:18" ht="16.5" thickBot="1" x14ac:dyDescent="0.3">
      <c r="A45" s="5"/>
      <c r="B45" s="99"/>
      <c r="C45" s="47"/>
      <c r="D45" s="47"/>
      <c r="E45" s="47"/>
      <c r="F45" s="47"/>
      <c r="G45" s="47"/>
      <c r="H45" s="47"/>
      <c r="I45" s="47"/>
      <c r="J45" s="47"/>
      <c r="K45" s="47"/>
      <c r="L45" s="47"/>
      <c r="M45" s="47"/>
      <c r="N45" s="122"/>
      <c r="O45" s="5"/>
      <c r="P45" s="19" t="s">
        <v>253</v>
      </c>
      <c r="Q45" s="226">
        <v>1.1039999999999999E-3</v>
      </c>
      <c r="R45" s="52"/>
    </row>
    <row r="46" spans="1:18" ht="16.5" thickBot="1" x14ac:dyDescent="0.3">
      <c r="P46" s="19" t="s">
        <v>135</v>
      </c>
      <c r="Q46" s="226">
        <v>6.8499999999999995E-4</v>
      </c>
      <c r="R46" s="52"/>
    </row>
    <row r="47" spans="1:18" ht="15" customHeight="1" x14ac:dyDescent="0.2">
      <c r="B47" s="265" t="s">
        <v>186</v>
      </c>
      <c r="C47" s="266"/>
      <c r="D47" s="266"/>
      <c r="E47" s="266"/>
      <c r="F47" s="266"/>
      <c r="G47" s="266"/>
      <c r="H47" s="266"/>
      <c r="I47" s="266"/>
      <c r="J47" s="266"/>
      <c r="K47" s="266"/>
      <c r="L47" s="266"/>
      <c r="M47" s="266"/>
      <c r="N47" s="266"/>
      <c r="O47" s="266"/>
      <c r="P47" s="266"/>
      <c r="Q47" s="266"/>
      <c r="R47" s="267"/>
    </row>
    <row r="48" spans="1:18" x14ac:dyDescent="0.2">
      <c r="B48" s="268"/>
      <c r="C48" s="269"/>
      <c r="D48" s="269"/>
      <c r="E48" s="269"/>
      <c r="F48" s="269"/>
      <c r="G48" s="269"/>
      <c r="H48" s="269"/>
      <c r="I48" s="269"/>
      <c r="J48" s="269"/>
      <c r="K48" s="269"/>
      <c r="L48" s="269"/>
      <c r="M48" s="269"/>
      <c r="N48" s="269"/>
      <c r="O48" s="269"/>
      <c r="P48" s="269"/>
      <c r="Q48" s="269"/>
      <c r="R48" s="270"/>
    </row>
    <row r="49" spans="2:18" x14ac:dyDescent="0.2">
      <c r="B49" s="268"/>
      <c r="C49" s="269"/>
      <c r="D49" s="269"/>
      <c r="E49" s="269"/>
      <c r="F49" s="269"/>
      <c r="G49" s="269"/>
      <c r="H49" s="269"/>
      <c r="I49" s="269"/>
      <c r="J49" s="269"/>
      <c r="K49" s="269"/>
      <c r="L49" s="269"/>
      <c r="M49" s="269"/>
      <c r="N49" s="269"/>
      <c r="O49" s="269"/>
      <c r="P49" s="269"/>
      <c r="Q49" s="269"/>
      <c r="R49" s="270"/>
    </row>
    <row r="50" spans="2:18" x14ac:dyDescent="0.2">
      <c r="B50" s="268"/>
      <c r="C50" s="269"/>
      <c r="D50" s="269"/>
      <c r="E50" s="269"/>
      <c r="F50" s="269"/>
      <c r="G50" s="269"/>
      <c r="H50" s="269"/>
      <c r="I50" s="269"/>
      <c r="J50" s="269"/>
      <c r="K50" s="269"/>
      <c r="L50" s="269"/>
      <c r="M50" s="269"/>
      <c r="N50" s="269"/>
      <c r="O50" s="269"/>
      <c r="P50" s="269"/>
      <c r="Q50" s="269"/>
      <c r="R50" s="270"/>
    </row>
    <row r="51" spans="2:18" x14ac:dyDescent="0.2">
      <c r="B51" s="268"/>
      <c r="C51" s="269"/>
      <c r="D51" s="269"/>
      <c r="E51" s="269"/>
      <c r="F51" s="269"/>
      <c r="G51" s="269"/>
      <c r="H51" s="269"/>
      <c r="I51" s="269"/>
      <c r="J51" s="269"/>
      <c r="K51" s="269"/>
      <c r="L51" s="269"/>
      <c r="M51" s="269"/>
      <c r="N51" s="269"/>
      <c r="O51" s="269"/>
      <c r="P51" s="269"/>
      <c r="Q51" s="269"/>
      <c r="R51" s="270"/>
    </row>
    <row r="52" spans="2:18" x14ac:dyDescent="0.2">
      <c r="B52" s="268"/>
      <c r="C52" s="269"/>
      <c r="D52" s="269"/>
      <c r="E52" s="269"/>
      <c r="F52" s="269"/>
      <c r="G52" s="269"/>
      <c r="H52" s="269"/>
      <c r="I52" s="269"/>
      <c r="J52" s="269"/>
      <c r="K52" s="269"/>
      <c r="L52" s="269"/>
      <c r="M52" s="269"/>
      <c r="N52" s="269"/>
      <c r="O52" s="269"/>
      <c r="P52" s="269"/>
      <c r="Q52" s="269"/>
      <c r="R52" s="270"/>
    </row>
    <row r="53" spans="2:18" ht="15.75" thickBot="1" x14ac:dyDescent="0.25">
      <c r="B53" s="271"/>
      <c r="C53" s="272"/>
      <c r="D53" s="272"/>
      <c r="E53" s="272"/>
      <c r="F53" s="272"/>
      <c r="G53" s="272"/>
      <c r="H53" s="272"/>
      <c r="I53" s="272"/>
      <c r="J53" s="272"/>
      <c r="K53" s="272"/>
      <c r="L53" s="272"/>
      <c r="M53" s="272"/>
      <c r="N53" s="272"/>
      <c r="O53" s="272"/>
      <c r="P53" s="272"/>
      <c r="Q53" s="272"/>
      <c r="R53" s="273"/>
    </row>
    <row r="54" spans="2:18" x14ac:dyDescent="0.2">
      <c r="R54" s="52"/>
    </row>
    <row r="55" spans="2:18" x14ac:dyDescent="0.2">
      <c r="R55" s="52"/>
    </row>
    <row r="56" spans="2:18" x14ac:dyDescent="0.2">
      <c r="R56" s="52"/>
    </row>
    <row r="57" spans="2:18" x14ac:dyDescent="0.2">
      <c r="R57" s="52"/>
    </row>
    <row r="58" spans="2:18" x14ac:dyDescent="0.2">
      <c r="R58" s="52"/>
    </row>
    <row r="59" spans="2:18" x14ac:dyDescent="0.2">
      <c r="R59" s="52"/>
    </row>
    <row r="60" spans="2:18" x14ac:dyDescent="0.2">
      <c r="R60" s="52"/>
    </row>
    <row r="61" spans="2:18" x14ac:dyDescent="0.2">
      <c r="R61" s="52"/>
    </row>
    <row r="62" spans="2:18" x14ac:dyDescent="0.2">
      <c r="R62" s="52"/>
    </row>
    <row r="63" spans="2:18" x14ac:dyDescent="0.2">
      <c r="R63" s="52"/>
    </row>
    <row r="64" spans="2:18" x14ac:dyDescent="0.2">
      <c r="R64" s="52"/>
    </row>
    <row r="65" spans="18:18" x14ac:dyDescent="0.2">
      <c r="R65" s="52"/>
    </row>
    <row r="66" spans="18:18" x14ac:dyDescent="0.2">
      <c r="R66" s="52"/>
    </row>
    <row r="67" spans="18:18" x14ac:dyDescent="0.2">
      <c r="R67" s="52"/>
    </row>
    <row r="68" spans="18:18" x14ac:dyDescent="0.2">
      <c r="R68" s="52"/>
    </row>
    <row r="69" spans="18:18" x14ac:dyDescent="0.2">
      <c r="R69" s="52"/>
    </row>
    <row r="70" spans="18:18" x14ac:dyDescent="0.2">
      <c r="R70" s="52"/>
    </row>
    <row r="71" spans="18:18" x14ac:dyDescent="0.2">
      <c r="R71" s="52"/>
    </row>
    <row r="72" spans="18:18" x14ac:dyDescent="0.2">
      <c r="R72" s="52"/>
    </row>
    <row r="73" spans="18:18" x14ac:dyDescent="0.2">
      <c r="R73" s="52"/>
    </row>
    <row r="74" spans="18:18" x14ac:dyDescent="0.2">
      <c r="R74" s="52"/>
    </row>
    <row r="75" spans="18:18" x14ac:dyDescent="0.2">
      <c r="R75" s="52"/>
    </row>
    <row r="76" spans="18:18" x14ac:dyDescent="0.2">
      <c r="R76" s="52"/>
    </row>
    <row r="77" spans="18:18" x14ac:dyDescent="0.2">
      <c r="R77" s="52"/>
    </row>
    <row r="78" spans="18:18" x14ac:dyDescent="0.2">
      <c r="R78" s="52"/>
    </row>
    <row r="79" spans="18:18" x14ac:dyDescent="0.2">
      <c r="R79" s="52"/>
    </row>
    <row r="80" spans="18:18" x14ac:dyDescent="0.2">
      <c r="R80" s="52"/>
    </row>
    <row r="81" spans="18:18" x14ac:dyDescent="0.2">
      <c r="R81" s="52"/>
    </row>
    <row r="82" spans="18:18" x14ac:dyDescent="0.2">
      <c r="R82" s="52"/>
    </row>
    <row r="83" spans="18:18" x14ac:dyDescent="0.2">
      <c r="R83" s="52"/>
    </row>
    <row r="84" spans="18:18" x14ac:dyDescent="0.2">
      <c r="R84" s="52"/>
    </row>
    <row r="85" spans="18:18" x14ac:dyDescent="0.2">
      <c r="R85" s="52"/>
    </row>
    <row r="86" spans="18:18" x14ac:dyDescent="0.2">
      <c r="R86" s="52"/>
    </row>
    <row r="87" spans="18:18" x14ac:dyDescent="0.2">
      <c r="R87" s="52"/>
    </row>
    <row r="88" spans="18:18" x14ac:dyDescent="0.2">
      <c r="R88" s="52"/>
    </row>
    <row r="89" spans="18:18" x14ac:dyDescent="0.2">
      <c r="R89" s="52"/>
    </row>
    <row r="90" spans="18:18" x14ac:dyDescent="0.2">
      <c r="R90" s="52"/>
    </row>
    <row r="91" spans="18:18" x14ac:dyDescent="0.2">
      <c r="R91" s="52"/>
    </row>
    <row r="92" spans="18:18" x14ac:dyDescent="0.2">
      <c r="R92" s="52"/>
    </row>
    <row r="93" spans="18:18" x14ac:dyDescent="0.2">
      <c r="R93" s="52"/>
    </row>
    <row r="94" spans="18:18" x14ac:dyDescent="0.2">
      <c r="R94" s="52"/>
    </row>
    <row r="95" spans="18:18" x14ac:dyDescent="0.2">
      <c r="R95" s="52"/>
    </row>
    <row r="96" spans="18:18" x14ac:dyDescent="0.2">
      <c r="R96" s="52"/>
    </row>
    <row r="97" spans="18:18" x14ac:dyDescent="0.2">
      <c r="R97" s="52"/>
    </row>
    <row r="98" spans="18:18" x14ac:dyDescent="0.2">
      <c r="R98" s="52"/>
    </row>
    <row r="99" spans="18:18" x14ac:dyDescent="0.2">
      <c r="R99" s="52"/>
    </row>
    <row r="100" spans="18:18" x14ac:dyDescent="0.2">
      <c r="R100" s="52"/>
    </row>
    <row r="101" spans="18:18" x14ac:dyDescent="0.2">
      <c r="R101" s="52"/>
    </row>
    <row r="102" spans="18:18" x14ac:dyDescent="0.2">
      <c r="R102" s="52"/>
    </row>
    <row r="103" spans="18:18" x14ac:dyDescent="0.2">
      <c r="R103" s="52"/>
    </row>
    <row r="104" spans="18:18" x14ac:dyDescent="0.2">
      <c r="R104" s="52"/>
    </row>
    <row r="105" spans="18:18" x14ac:dyDescent="0.2">
      <c r="R105" s="52"/>
    </row>
    <row r="106" spans="18:18" x14ac:dyDescent="0.2">
      <c r="R106" s="52"/>
    </row>
    <row r="107" spans="18:18" x14ac:dyDescent="0.2">
      <c r="R107" s="52"/>
    </row>
    <row r="108" spans="18:18" x14ac:dyDescent="0.2">
      <c r="R108" s="52"/>
    </row>
    <row r="109" spans="18:18" x14ac:dyDescent="0.2">
      <c r="R109" s="52"/>
    </row>
    <row r="110" spans="18:18" x14ac:dyDescent="0.2">
      <c r="R110" s="52"/>
    </row>
    <row r="111" spans="18:18" x14ac:dyDescent="0.2">
      <c r="R111" s="52"/>
    </row>
    <row r="112" spans="18:18" x14ac:dyDescent="0.2">
      <c r="R112" s="52"/>
    </row>
    <row r="113" spans="18:18" x14ac:dyDescent="0.2">
      <c r="R113" s="52"/>
    </row>
    <row r="114" spans="18:18" x14ac:dyDescent="0.2">
      <c r="R114" s="52"/>
    </row>
    <row r="115" spans="18:18" x14ac:dyDescent="0.2">
      <c r="R115" s="52"/>
    </row>
    <row r="116" spans="18:18" x14ac:dyDescent="0.2">
      <c r="R116" s="52"/>
    </row>
    <row r="117" spans="18:18" x14ac:dyDescent="0.2">
      <c r="R117" s="52"/>
    </row>
    <row r="118" spans="18:18" x14ac:dyDescent="0.2">
      <c r="R118" s="52"/>
    </row>
    <row r="119" spans="18:18" x14ac:dyDescent="0.2">
      <c r="R119" s="52"/>
    </row>
    <row r="120" spans="18:18" x14ac:dyDescent="0.2">
      <c r="R120" s="52"/>
    </row>
    <row r="121" spans="18:18" x14ac:dyDescent="0.2">
      <c r="R121" s="52"/>
    </row>
    <row r="122" spans="18:18" x14ac:dyDescent="0.2">
      <c r="R122" s="52"/>
    </row>
    <row r="123" spans="18:18" x14ac:dyDescent="0.2">
      <c r="R123" s="52"/>
    </row>
    <row r="124" spans="18:18" x14ac:dyDescent="0.2">
      <c r="R124" s="52"/>
    </row>
    <row r="125" spans="18:18" x14ac:dyDescent="0.2">
      <c r="R125" s="52"/>
    </row>
    <row r="126" spans="18:18" x14ac:dyDescent="0.2">
      <c r="R126" s="52"/>
    </row>
    <row r="127" spans="18:18" x14ac:dyDescent="0.2">
      <c r="R127" s="52"/>
    </row>
    <row r="128" spans="18:18" x14ac:dyDescent="0.2">
      <c r="R128" s="52"/>
    </row>
    <row r="129" spans="18:18" x14ac:dyDescent="0.2">
      <c r="R129" s="52"/>
    </row>
    <row r="130" spans="18:18" x14ac:dyDescent="0.2">
      <c r="R130" s="52"/>
    </row>
    <row r="131" spans="18:18" x14ac:dyDescent="0.2">
      <c r="R131" s="52"/>
    </row>
    <row r="132" spans="18:18" x14ac:dyDescent="0.2">
      <c r="R132" s="52"/>
    </row>
    <row r="133" spans="18:18" x14ac:dyDescent="0.2">
      <c r="R133" s="52"/>
    </row>
    <row r="134" spans="18:18" x14ac:dyDescent="0.2">
      <c r="R134" s="52"/>
    </row>
    <row r="135" spans="18:18" x14ac:dyDescent="0.2">
      <c r="R135" s="52"/>
    </row>
    <row r="136" spans="18:18" x14ac:dyDescent="0.2">
      <c r="R136" s="52"/>
    </row>
    <row r="137" spans="18:18" x14ac:dyDescent="0.2">
      <c r="R137" s="52"/>
    </row>
    <row r="138" spans="18:18" x14ac:dyDescent="0.2">
      <c r="R138" s="52"/>
    </row>
    <row r="139" spans="18:18" x14ac:dyDescent="0.2">
      <c r="R139" s="52"/>
    </row>
    <row r="140" spans="18:18" x14ac:dyDescent="0.2">
      <c r="R140" s="52"/>
    </row>
    <row r="141" spans="18:18" x14ac:dyDescent="0.2">
      <c r="R141" s="52"/>
    </row>
    <row r="142" spans="18:18" x14ac:dyDescent="0.2">
      <c r="R142" s="52"/>
    </row>
    <row r="143" spans="18:18" x14ac:dyDescent="0.2">
      <c r="R143" s="52"/>
    </row>
    <row r="144" spans="18:18" x14ac:dyDescent="0.2">
      <c r="R144" s="52"/>
    </row>
    <row r="145" spans="18:18" x14ac:dyDescent="0.2">
      <c r="R145" s="52"/>
    </row>
    <row r="146" spans="18:18" x14ac:dyDescent="0.2">
      <c r="R146" s="52"/>
    </row>
    <row r="147" spans="18:18" x14ac:dyDescent="0.2">
      <c r="R147" s="52"/>
    </row>
    <row r="148" spans="18:18" x14ac:dyDescent="0.2">
      <c r="R148" s="52"/>
    </row>
    <row r="149" spans="18:18" x14ac:dyDescent="0.2">
      <c r="R149" s="52"/>
    </row>
    <row r="150" spans="18:18" x14ac:dyDescent="0.2">
      <c r="R150" s="52"/>
    </row>
    <row r="151" spans="18:18" x14ac:dyDescent="0.2">
      <c r="R151" s="52"/>
    </row>
    <row r="152" spans="18:18" x14ac:dyDescent="0.2">
      <c r="R152" s="52"/>
    </row>
    <row r="153" spans="18:18" x14ac:dyDescent="0.2">
      <c r="R153" s="52"/>
    </row>
    <row r="154" spans="18:18" x14ac:dyDescent="0.2">
      <c r="R154" s="52"/>
    </row>
    <row r="155" spans="18:18" x14ac:dyDescent="0.2">
      <c r="R155" s="52"/>
    </row>
    <row r="156" spans="18:18" x14ac:dyDescent="0.2">
      <c r="R156" s="52"/>
    </row>
    <row r="157" spans="18:18" x14ac:dyDescent="0.2">
      <c r="R157" s="52"/>
    </row>
    <row r="158" spans="18:18" x14ac:dyDescent="0.2">
      <c r="R158" s="52"/>
    </row>
    <row r="159" spans="18:18" x14ac:dyDescent="0.2">
      <c r="R159" s="52"/>
    </row>
    <row r="160" spans="18:18" x14ac:dyDescent="0.2">
      <c r="R160" s="52"/>
    </row>
    <row r="161" spans="18:18" x14ac:dyDescent="0.2">
      <c r="R161" s="52"/>
    </row>
    <row r="162" spans="18:18" x14ac:dyDescent="0.2">
      <c r="R162" s="52"/>
    </row>
    <row r="163" spans="18:18" x14ac:dyDescent="0.2">
      <c r="R163" s="52"/>
    </row>
    <row r="164" spans="18:18" x14ac:dyDescent="0.2">
      <c r="R164" s="52"/>
    </row>
    <row r="165" spans="18:18" x14ac:dyDescent="0.2">
      <c r="R165" s="52"/>
    </row>
    <row r="166" spans="18:18" x14ac:dyDescent="0.2">
      <c r="R166" s="52"/>
    </row>
    <row r="167" spans="18:18" x14ac:dyDescent="0.2">
      <c r="R167" s="52"/>
    </row>
    <row r="168" spans="18:18" x14ac:dyDescent="0.2">
      <c r="R168" s="52"/>
    </row>
    <row r="169" spans="18:18" x14ac:dyDescent="0.2">
      <c r="R169" s="52"/>
    </row>
    <row r="170" spans="18:18" x14ac:dyDescent="0.2">
      <c r="R170" s="52"/>
    </row>
    <row r="171" spans="18:18" x14ac:dyDescent="0.2">
      <c r="R171" s="52"/>
    </row>
    <row r="172" spans="18:18" x14ac:dyDescent="0.2">
      <c r="R172" s="52"/>
    </row>
    <row r="173" spans="18:18" x14ac:dyDescent="0.2">
      <c r="R173" s="52"/>
    </row>
    <row r="174" spans="18:18" x14ac:dyDescent="0.2">
      <c r="R174" s="52"/>
    </row>
    <row r="175" spans="18:18" x14ac:dyDescent="0.2">
      <c r="R175" s="52"/>
    </row>
    <row r="176" spans="18:18" x14ac:dyDescent="0.2">
      <c r="R176" s="52"/>
    </row>
    <row r="177" spans="18:18" x14ac:dyDescent="0.2">
      <c r="R177" s="52"/>
    </row>
    <row r="178" spans="18:18" x14ac:dyDescent="0.2">
      <c r="R178" s="52"/>
    </row>
    <row r="179" spans="18:18" x14ac:dyDescent="0.2">
      <c r="R179" s="52"/>
    </row>
    <row r="180" spans="18:18" x14ac:dyDescent="0.2">
      <c r="R180" s="52"/>
    </row>
    <row r="181" spans="18:18" x14ac:dyDescent="0.2">
      <c r="R181" s="52"/>
    </row>
    <row r="182" spans="18:18" x14ac:dyDescent="0.2">
      <c r="R182" s="52"/>
    </row>
    <row r="183" spans="18:18" x14ac:dyDescent="0.2">
      <c r="R183" s="52"/>
    </row>
    <row r="184" spans="18:18" x14ac:dyDescent="0.2">
      <c r="R184" s="52"/>
    </row>
    <row r="185" spans="18:18" x14ac:dyDescent="0.2">
      <c r="R185" s="52"/>
    </row>
    <row r="186" spans="18:18" x14ac:dyDescent="0.2">
      <c r="R186" s="52"/>
    </row>
    <row r="187" spans="18:18" x14ac:dyDescent="0.2">
      <c r="R187" s="52"/>
    </row>
    <row r="188" spans="18:18" x14ac:dyDescent="0.2">
      <c r="R188" s="52"/>
    </row>
    <row r="189" spans="18:18" x14ac:dyDescent="0.2">
      <c r="R189" s="52"/>
    </row>
    <row r="190" spans="18:18" x14ac:dyDescent="0.2">
      <c r="R190" s="52"/>
    </row>
    <row r="191" spans="18:18" x14ac:dyDescent="0.2">
      <c r="R191" s="52"/>
    </row>
    <row r="192" spans="18:18" x14ac:dyDescent="0.2">
      <c r="R192" s="52"/>
    </row>
    <row r="193" spans="18:18" x14ac:dyDescent="0.2">
      <c r="R193" s="52"/>
    </row>
    <row r="194" spans="18:18" x14ac:dyDescent="0.2">
      <c r="R194" s="52"/>
    </row>
    <row r="195" spans="18:18" x14ac:dyDescent="0.2">
      <c r="R195" s="52"/>
    </row>
    <row r="196" spans="18:18" x14ac:dyDescent="0.2">
      <c r="R196" s="52"/>
    </row>
    <row r="197" spans="18:18" x14ac:dyDescent="0.2">
      <c r="R197" s="52"/>
    </row>
    <row r="198" spans="18:18" x14ac:dyDescent="0.2">
      <c r="R198" s="52"/>
    </row>
    <row r="199" spans="18:18" x14ac:dyDescent="0.2">
      <c r="R199" s="52"/>
    </row>
    <row r="200" spans="18:18" x14ac:dyDescent="0.2">
      <c r="R200" s="52"/>
    </row>
    <row r="201" spans="18:18" x14ac:dyDescent="0.2">
      <c r="R201" s="52"/>
    </row>
    <row r="202" spans="18:18" x14ac:dyDescent="0.2">
      <c r="R202" s="52"/>
    </row>
    <row r="203" spans="18:18" x14ac:dyDescent="0.2">
      <c r="R203" s="52"/>
    </row>
    <row r="204" spans="18:18" x14ac:dyDescent="0.2">
      <c r="R204" s="52"/>
    </row>
    <row r="205" spans="18:18" x14ac:dyDescent="0.2">
      <c r="R205" s="52"/>
    </row>
    <row r="206" spans="18:18" x14ac:dyDescent="0.2">
      <c r="R206" s="52"/>
    </row>
    <row r="207" spans="18:18" x14ac:dyDescent="0.2">
      <c r="R207" s="52"/>
    </row>
    <row r="208" spans="18:18" x14ac:dyDescent="0.2">
      <c r="R208" s="52"/>
    </row>
    <row r="209" spans="18:18" x14ac:dyDescent="0.2">
      <c r="R209" s="52"/>
    </row>
    <row r="210" spans="18:18" x14ac:dyDescent="0.2">
      <c r="R210" s="52"/>
    </row>
    <row r="211" spans="18:18" x14ac:dyDescent="0.2">
      <c r="R211" s="52"/>
    </row>
    <row r="212" spans="18:18" x14ac:dyDescent="0.2">
      <c r="R212" s="52"/>
    </row>
    <row r="213" spans="18:18" x14ac:dyDescent="0.2">
      <c r="R213" s="52"/>
    </row>
    <row r="214" spans="18:18" x14ac:dyDescent="0.2">
      <c r="R214" s="52"/>
    </row>
    <row r="215" spans="18:18" x14ac:dyDescent="0.2">
      <c r="R215" s="52"/>
    </row>
    <row r="216" spans="18:18" x14ac:dyDescent="0.2">
      <c r="R216" s="52"/>
    </row>
    <row r="217" spans="18:18" x14ac:dyDescent="0.2">
      <c r="R217" s="52"/>
    </row>
    <row r="218" spans="18:18" x14ac:dyDescent="0.2">
      <c r="R218" s="52"/>
    </row>
    <row r="219" spans="18:18" x14ac:dyDescent="0.2">
      <c r="R219" s="52"/>
    </row>
    <row r="220" spans="18:18" x14ac:dyDescent="0.2">
      <c r="R220" s="52"/>
    </row>
    <row r="221" spans="18:18" x14ac:dyDescent="0.2">
      <c r="R221" s="52"/>
    </row>
    <row r="222" spans="18:18" x14ac:dyDescent="0.2">
      <c r="R222" s="52"/>
    </row>
    <row r="223" spans="18:18" x14ac:dyDescent="0.2">
      <c r="R223" s="52"/>
    </row>
    <row r="224" spans="18:18" x14ac:dyDescent="0.2">
      <c r="R224" s="52"/>
    </row>
    <row r="225" spans="18:18" x14ac:dyDescent="0.2">
      <c r="R225" s="52"/>
    </row>
    <row r="226" spans="18:18" x14ac:dyDescent="0.2">
      <c r="R226" s="52"/>
    </row>
    <row r="227" spans="18:18" x14ac:dyDescent="0.2">
      <c r="R227" s="52"/>
    </row>
    <row r="228" spans="18:18" x14ac:dyDescent="0.2">
      <c r="R228" s="52"/>
    </row>
    <row r="229" spans="18:18" x14ac:dyDescent="0.2">
      <c r="R229" s="52"/>
    </row>
    <row r="230" spans="18:18" x14ac:dyDescent="0.2">
      <c r="R230" s="52"/>
    </row>
    <row r="231" spans="18:18" x14ac:dyDescent="0.2">
      <c r="R231" s="52"/>
    </row>
    <row r="232" spans="18:18" x14ac:dyDescent="0.2">
      <c r="R232" s="52"/>
    </row>
    <row r="233" spans="18:18" x14ac:dyDescent="0.2">
      <c r="R233" s="52"/>
    </row>
    <row r="234" spans="18:18" x14ac:dyDescent="0.2">
      <c r="R234" s="52"/>
    </row>
    <row r="235" spans="18:18" x14ac:dyDescent="0.2">
      <c r="R235" s="52"/>
    </row>
    <row r="236" spans="18:18" x14ac:dyDescent="0.2">
      <c r="R236" s="52"/>
    </row>
    <row r="237" spans="18:18" x14ac:dyDescent="0.2">
      <c r="R237" s="52"/>
    </row>
    <row r="238" spans="18:18" x14ac:dyDescent="0.2">
      <c r="R238" s="52"/>
    </row>
    <row r="239" spans="18:18" x14ac:dyDescent="0.2">
      <c r="R239" s="52"/>
    </row>
    <row r="240" spans="18:18" x14ac:dyDescent="0.2">
      <c r="R240" s="52"/>
    </row>
    <row r="241" spans="18:18" x14ac:dyDescent="0.2">
      <c r="R241" s="52"/>
    </row>
    <row r="242" spans="18:18" x14ac:dyDescent="0.2">
      <c r="R242" s="52"/>
    </row>
    <row r="243" spans="18:18" x14ac:dyDescent="0.2">
      <c r="R243" s="52"/>
    </row>
    <row r="244" spans="18:18" x14ac:dyDescent="0.2">
      <c r="R244" s="52"/>
    </row>
    <row r="245" spans="18:18" x14ac:dyDescent="0.2">
      <c r="R245" s="52"/>
    </row>
    <row r="246" spans="18:18" x14ac:dyDescent="0.2">
      <c r="R246" s="52"/>
    </row>
    <row r="247" spans="18:18" x14ac:dyDescent="0.2">
      <c r="R247" s="52"/>
    </row>
    <row r="248" spans="18:18" x14ac:dyDescent="0.2">
      <c r="R248" s="52"/>
    </row>
    <row r="249" spans="18:18" x14ac:dyDescent="0.2">
      <c r="R249" s="52"/>
    </row>
    <row r="250" spans="18:18" x14ac:dyDescent="0.2">
      <c r="R250" s="52"/>
    </row>
    <row r="251" spans="18:18" x14ac:dyDescent="0.2">
      <c r="R251" s="52"/>
    </row>
    <row r="252" spans="18:18" x14ac:dyDescent="0.2">
      <c r="R252" s="52"/>
    </row>
    <row r="253" spans="18:18" x14ac:dyDescent="0.2">
      <c r="R253" s="52"/>
    </row>
    <row r="254" spans="18:18" x14ac:dyDescent="0.2">
      <c r="R254" s="52"/>
    </row>
    <row r="255" spans="18:18" x14ac:dyDescent="0.2">
      <c r="R255" s="52"/>
    </row>
    <row r="256" spans="18:18" x14ac:dyDescent="0.2">
      <c r="R256" s="52"/>
    </row>
    <row r="257" spans="18:18" x14ac:dyDescent="0.2">
      <c r="R257" s="52"/>
    </row>
    <row r="258" spans="18:18" x14ac:dyDescent="0.2">
      <c r="R258" s="52"/>
    </row>
    <row r="259" spans="18:18" x14ac:dyDescent="0.2">
      <c r="R259" s="52"/>
    </row>
    <row r="260" spans="18:18" x14ac:dyDescent="0.2">
      <c r="R260" s="52"/>
    </row>
    <row r="261" spans="18:18" x14ac:dyDescent="0.2">
      <c r="R261" s="52"/>
    </row>
    <row r="262" spans="18:18" x14ac:dyDescent="0.2">
      <c r="R262" s="52"/>
    </row>
    <row r="263" spans="18:18" x14ac:dyDescent="0.2">
      <c r="R263" s="52"/>
    </row>
    <row r="264" spans="18:18" x14ac:dyDescent="0.2">
      <c r="R264" s="52"/>
    </row>
    <row r="265" spans="18:18" x14ac:dyDescent="0.2">
      <c r="R265" s="52"/>
    </row>
    <row r="266" spans="18:18" x14ac:dyDescent="0.2">
      <c r="R266" s="52"/>
    </row>
    <row r="267" spans="18:18" x14ac:dyDescent="0.2">
      <c r="R267" s="52"/>
    </row>
    <row r="268" spans="18:18" x14ac:dyDescent="0.2">
      <c r="R268" s="52"/>
    </row>
    <row r="269" spans="18:18" x14ac:dyDescent="0.2">
      <c r="R269" s="52"/>
    </row>
    <row r="270" spans="18:18" x14ac:dyDescent="0.2">
      <c r="R270" s="52"/>
    </row>
    <row r="271" spans="18:18" x14ac:dyDescent="0.2">
      <c r="R271" s="52"/>
    </row>
    <row r="272" spans="18:18" x14ac:dyDescent="0.2">
      <c r="R272" s="52"/>
    </row>
    <row r="273" spans="18:18" x14ac:dyDescent="0.2">
      <c r="R273" s="52"/>
    </row>
    <row r="274" spans="18:18" x14ac:dyDescent="0.2">
      <c r="R274" s="52"/>
    </row>
    <row r="275" spans="18:18" x14ac:dyDescent="0.2">
      <c r="R275" s="52"/>
    </row>
    <row r="276" spans="18:18" x14ac:dyDescent="0.2">
      <c r="R276" s="52"/>
    </row>
    <row r="277" spans="18:18" x14ac:dyDescent="0.2">
      <c r="R277" s="52"/>
    </row>
    <row r="278" spans="18:18" x14ac:dyDescent="0.2">
      <c r="R278" s="52"/>
    </row>
    <row r="279" spans="18:18" x14ac:dyDescent="0.2">
      <c r="R279" s="52"/>
    </row>
    <row r="280" spans="18:18" x14ac:dyDescent="0.2">
      <c r="R280" s="52"/>
    </row>
    <row r="281" spans="18:18" x14ac:dyDescent="0.2">
      <c r="R281" s="52"/>
    </row>
    <row r="282" spans="18:18" x14ac:dyDescent="0.2">
      <c r="R282" s="52"/>
    </row>
    <row r="283" spans="18:18" x14ac:dyDescent="0.2">
      <c r="R283" s="52"/>
    </row>
    <row r="284" spans="18:18" x14ac:dyDescent="0.2">
      <c r="R284" s="52"/>
    </row>
    <row r="285" spans="18:18" x14ac:dyDescent="0.2">
      <c r="R285" s="52"/>
    </row>
    <row r="286" spans="18:18" x14ac:dyDescent="0.2">
      <c r="R286" s="52"/>
    </row>
    <row r="287" spans="18:18" x14ac:dyDescent="0.2">
      <c r="R287" s="52"/>
    </row>
    <row r="288" spans="18:18" x14ac:dyDescent="0.2">
      <c r="R288" s="52"/>
    </row>
    <row r="289" spans="18:18" x14ac:dyDescent="0.2">
      <c r="R289" s="52"/>
    </row>
    <row r="290" spans="18:18" x14ac:dyDescent="0.2">
      <c r="R290" s="52"/>
    </row>
    <row r="291" spans="18:18" x14ac:dyDescent="0.2">
      <c r="R291" s="52"/>
    </row>
    <row r="292" spans="18:18" x14ac:dyDescent="0.2">
      <c r="R292" s="52"/>
    </row>
    <row r="293" spans="18:18" x14ac:dyDescent="0.2">
      <c r="R293" s="52"/>
    </row>
    <row r="294" spans="18:18" x14ac:dyDescent="0.2">
      <c r="R294" s="52"/>
    </row>
    <row r="295" spans="18:18" x14ac:dyDescent="0.2">
      <c r="R295" s="52"/>
    </row>
    <row r="296" spans="18:18" x14ac:dyDescent="0.2">
      <c r="R296" s="52"/>
    </row>
    <row r="297" spans="18:18" x14ac:dyDescent="0.2">
      <c r="R297" s="52"/>
    </row>
    <row r="298" spans="18:18" x14ac:dyDescent="0.2">
      <c r="R298" s="52"/>
    </row>
    <row r="299" spans="18:18" x14ac:dyDescent="0.2">
      <c r="R299" s="52"/>
    </row>
    <row r="300" spans="18:18" x14ac:dyDescent="0.2">
      <c r="R300" s="52"/>
    </row>
    <row r="301" spans="18:18" x14ac:dyDescent="0.2">
      <c r="R301" s="52"/>
    </row>
    <row r="302" spans="18:18" x14ac:dyDescent="0.2">
      <c r="R302" s="52"/>
    </row>
    <row r="303" spans="18:18" x14ac:dyDescent="0.2">
      <c r="R303" s="52"/>
    </row>
    <row r="304" spans="18:18" x14ac:dyDescent="0.2">
      <c r="R304" s="52"/>
    </row>
    <row r="305" spans="18:18" x14ac:dyDescent="0.2">
      <c r="R305" s="52"/>
    </row>
    <row r="306" spans="18:18" x14ac:dyDescent="0.2">
      <c r="R306" s="52"/>
    </row>
    <row r="307" spans="18:18" x14ac:dyDescent="0.2">
      <c r="R307" s="52"/>
    </row>
    <row r="308" spans="18:18" x14ac:dyDescent="0.2">
      <c r="R308" s="52"/>
    </row>
    <row r="309" spans="18:18" x14ac:dyDescent="0.2">
      <c r="R309" s="52"/>
    </row>
    <row r="310" spans="18:18" x14ac:dyDescent="0.2">
      <c r="R310" s="52"/>
    </row>
    <row r="311" spans="18:18" x14ac:dyDescent="0.2">
      <c r="R311" s="52"/>
    </row>
    <row r="312" spans="18:18" x14ac:dyDescent="0.2">
      <c r="R312" s="52"/>
    </row>
    <row r="313" spans="18:18" x14ac:dyDescent="0.2">
      <c r="R313" s="52"/>
    </row>
    <row r="314" spans="18:18" x14ac:dyDescent="0.2">
      <c r="R314" s="52"/>
    </row>
    <row r="315" spans="18:18" x14ac:dyDescent="0.2">
      <c r="R315" s="52"/>
    </row>
    <row r="316" spans="18:18" x14ac:dyDescent="0.2">
      <c r="R316" s="52"/>
    </row>
    <row r="317" spans="18:18" x14ac:dyDescent="0.2">
      <c r="R317" s="52"/>
    </row>
    <row r="318" spans="18:18" x14ac:dyDescent="0.2">
      <c r="R318" s="52"/>
    </row>
    <row r="319" spans="18:18" x14ac:dyDescent="0.2">
      <c r="R319" s="52"/>
    </row>
    <row r="320" spans="18:18" x14ac:dyDescent="0.2">
      <c r="R320" s="52"/>
    </row>
    <row r="321" spans="18:18" x14ac:dyDescent="0.2">
      <c r="R321" s="52"/>
    </row>
    <row r="322" spans="18:18" x14ac:dyDescent="0.2">
      <c r="R322" s="52"/>
    </row>
    <row r="323" spans="18:18" x14ac:dyDescent="0.2">
      <c r="R323" s="52"/>
    </row>
    <row r="324" spans="18:18" x14ac:dyDescent="0.2">
      <c r="R324" s="52"/>
    </row>
    <row r="325" spans="18:18" x14ac:dyDescent="0.2">
      <c r="R325" s="52"/>
    </row>
    <row r="326" spans="18:18" x14ac:dyDescent="0.2">
      <c r="R326" s="52"/>
    </row>
    <row r="327" spans="18:18" x14ac:dyDescent="0.2">
      <c r="R327" s="52"/>
    </row>
    <row r="328" spans="18:18" x14ac:dyDescent="0.2">
      <c r="R328" s="52"/>
    </row>
    <row r="329" spans="18:18" x14ac:dyDescent="0.2">
      <c r="R329" s="52"/>
    </row>
    <row r="330" spans="18:18" x14ac:dyDescent="0.2">
      <c r="R330" s="52"/>
    </row>
    <row r="331" spans="18:18" x14ac:dyDescent="0.2">
      <c r="R331" s="52"/>
    </row>
    <row r="332" spans="18:18" x14ac:dyDescent="0.2">
      <c r="R332" s="52"/>
    </row>
    <row r="333" spans="18:18" x14ac:dyDescent="0.2">
      <c r="R333" s="52"/>
    </row>
    <row r="334" spans="18:18" x14ac:dyDescent="0.2">
      <c r="R334" s="52"/>
    </row>
    <row r="335" spans="18:18" x14ac:dyDescent="0.2">
      <c r="R335" s="52"/>
    </row>
    <row r="336" spans="18:18" x14ac:dyDescent="0.2">
      <c r="R336" s="52"/>
    </row>
    <row r="337" spans="18:18" x14ac:dyDescent="0.2">
      <c r="R337" s="52"/>
    </row>
    <row r="338" spans="18:18" x14ac:dyDescent="0.2">
      <c r="R338" s="52"/>
    </row>
    <row r="339" spans="18:18" x14ac:dyDescent="0.2">
      <c r="R339" s="52"/>
    </row>
    <row r="340" spans="18:18" x14ac:dyDescent="0.2">
      <c r="R340" s="52"/>
    </row>
    <row r="341" spans="18:18" x14ac:dyDescent="0.2">
      <c r="R341" s="52"/>
    </row>
    <row r="342" spans="18:18" x14ac:dyDescent="0.2">
      <c r="R342" s="52"/>
    </row>
    <row r="343" spans="18:18" x14ac:dyDescent="0.2">
      <c r="R343" s="52"/>
    </row>
    <row r="344" spans="18:18" x14ac:dyDescent="0.2">
      <c r="R344" s="52"/>
    </row>
    <row r="345" spans="18:18" x14ac:dyDescent="0.2">
      <c r="R345" s="52"/>
    </row>
    <row r="346" spans="18:18" x14ac:dyDescent="0.2">
      <c r="R346" s="52"/>
    </row>
    <row r="347" spans="18:18" x14ac:dyDescent="0.2">
      <c r="R347" s="52"/>
    </row>
    <row r="348" spans="18:18" x14ac:dyDescent="0.2">
      <c r="R348" s="52"/>
    </row>
    <row r="349" spans="18:18" x14ac:dyDescent="0.2">
      <c r="R349" s="52"/>
    </row>
    <row r="350" spans="18:18" x14ac:dyDescent="0.2">
      <c r="R350" s="52"/>
    </row>
    <row r="351" spans="18:18" x14ac:dyDescent="0.2">
      <c r="R351" s="52"/>
    </row>
    <row r="352" spans="18:18" x14ac:dyDescent="0.2">
      <c r="R352" s="52"/>
    </row>
    <row r="353" spans="18:18" x14ac:dyDescent="0.2">
      <c r="R353" s="52"/>
    </row>
    <row r="354" spans="18:18" x14ac:dyDescent="0.2">
      <c r="R354" s="52"/>
    </row>
    <row r="355" spans="18:18" x14ac:dyDescent="0.2">
      <c r="R355" s="52"/>
    </row>
    <row r="356" spans="18:18" x14ac:dyDescent="0.2">
      <c r="R356" s="52"/>
    </row>
    <row r="357" spans="18:18" x14ac:dyDescent="0.2">
      <c r="R357" s="52"/>
    </row>
    <row r="358" spans="18:18" x14ac:dyDescent="0.2">
      <c r="R358" s="52"/>
    </row>
    <row r="359" spans="18:18" x14ac:dyDescent="0.2">
      <c r="R359" s="52"/>
    </row>
    <row r="360" spans="18:18" x14ac:dyDescent="0.2">
      <c r="R360" s="52"/>
    </row>
    <row r="361" spans="18:18" x14ac:dyDescent="0.2">
      <c r="R361" s="52"/>
    </row>
    <row r="362" spans="18:18" x14ac:dyDescent="0.2">
      <c r="R362" s="52"/>
    </row>
    <row r="363" spans="18:18" x14ac:dyDescent="0.2">
      <c r="R363" s="52"/>
    </row>
    <row r="364" spans="18:18" x14ac:dyDescent="0.2">
      <c r="R364" s="52"/>
    </row>
    <row r="365" spans="18:18" x14ac:dyDescent="0.2">
      <c r="R365" s="52"/>
    </row>
    <row r="366" spans="18:18" x14ac:dyDescent="0.2">
      <c r="R366" s="52"/>
    </row>
    <row r="367" spans="18:18" x14ac:dyDescent="0.2">
      <c r="R367" s="52"/>
    </row>
    <row r="368" spans="18:18" x14ac:dyDescent="0.2">
      <c r="R368" s="52"/>
    </row>
    <row r="369" spans="18:18" x14ac:dyDescent="0.2">
      <c r="R369" s="52"/>
    </row>
    <row r="370" spans="18:18" x14ac:dyDescent="0.2">
      <c r="R370" s="52"/>
    </row>
    <row r="371" spans="18:18" x14ac:dyDescent="0.2">
      <c r="R371" s="52"/>
    </row>
    <row r="372" spans="18:18" x14ac:dyDescent="0.2">
      <c r="R372" s="52"/>
    </row>
    <row r="373" spans="18:18" x14ac:dyDescent="0.2">
      <c r="R373" s="52"/>
    </row>
    <row r="374" spans="18:18" x14ac:dyDescent="0.2">
      <c r="R374" s="52"/>
    </row>
    <row r="375" spans="18:18" x14ac:dyDescent="0.2">
      <c r="R375" s="52"/>
    </row>
    <row r="376" spans="18:18" x14ac:dyDescent="0.2">
      <c r="R376" s="52"/>
    </row>
    <row r="377" spans="18:18" x14ac:dyDescent="0.2">
      <c r="R377" s="52"/>
    </row>
    <row r="378" spans="18:18" x14ac:dyDescent="0.2">
      <c r="R378" s="52"/>
    </row>
    <row r="379" spans="18:18" x14ac:dyDescent="0.2">
      <c r="R379" s="52"/>
    </row>
    <row r="380" spans="18:18" x14ac:dyDescent="0.2">
      <c r="R380" s="52"/>
    </row>
    <row r="381" spans="18:18" x14ac:dyDescent="0.2">
      <c r="R381" s="52"/>
    </row>
    <row r="382" spans="18:18" x14ac:dyDescent="0.2">
      <c r="R382" s="52"/>
    </row>
    <row r="383" spans="18:18" x14ac:dyDescent="0.2">
      <c r="R383" s="52"/>
    </row>
    <row r="384" spans="18:18" x14ac:dyDescent="0.2">
      <c r="R384" s="52"/>
    </row>
    <row r="385" spans="18:18" x14ac:dyDescent="0.2">
      <c r="R385" s="52"/>
    </row>
    <row r="386" spans="18:18" x14ac:dyDescent="0.2">
      <c r="R386" s="52"/>
    </row>
    <row r="387" spans="18:18" x14ac:dyDescent="0.2">
      <c r="R387" s="52"/>
    </row>
    <row r="388" spans="18:18" x14ac:dyDescent="0.2">
      <c r="R388" s="52"/>
    </row>
    <row r="389" spans="18:18" x14ac:dyDescent="0.2">
      <c r="R389" s="52"/>
    </row>
    <row r="390" spans="18:18" x14ac:dyDescent="0.2">
      <c r="R390" s="52"/>
    </row>
    <row r="391" spans="18:18" x14ac:dyDescent="0.2">
      <c r="R391" s="52"/>
    </row>
    <row r="392" spans="18:18" x14ac:dyDescent="0.2">
      <c r="R392" s="52"/>
    </row>
    <row r="393" spans="18:18" x14ac:dyDescent="0.2">
      <c r="R393" s="52"/>
    </row>
    <row r="394" spans="18:18" x14ac:dyDescent="0.2">
      <c r="R394" s="52"/>
    </row>
    <row r="395" spans="18:18" x14ac:dyDescent="0.2">
      <c r="R395" s="52"/>
    </row>
    <row r="396" spans="18:18" x14ac:dyDescent="0.2">
      <c r="R396" s="52"/>
    </row>
    <row r="397" spans="18:18" x14ac:dyDescent="0.2">
      <c r="R397" s="52"/>
    </row>
    <row r="398" spans="18:18" x14ac:dyDescent="0.2">
      <c r="R398" s="52"/>
    </row>
    <row r="399" spans="18:18" x14ac:dyDescent="0.2">
      <c r="R399" s="52"/>
    </row>
    <row r="400" spans="18:18" x14ac:dyDescent="0.2">
      <c r="R400" s="52"/>
    </row>
    <row r="401" spans="18:18" x14ac:dyDescent="0.2">
      <c r="R401" s="52"/>
    </row>
    <row r="402" spans="18:18" x14ac:dyDescent="0.2">
      <c r="R402" s="52"/>
    </row>
    <row r="403" spans="18:18" x14ac:dyDescent="0.2">
      <c r="R403" s="52"/>
    </row>
    <row r="404" spans="18:18" x14ac:dyDescent="0.2">
      <c r="R404" s="52"/>
    </row>
    <row r="405" spans="18:18" x14ac:dyDescent="0.2">
      <c r="R405" s="52"/>
    </row>
    <row r="406" spans="18:18" x14ac:dyDescent="0.2">
      <c r="R406" s="52"/>
    </row>
    <row r="407" spans="18:18" x14ac:dyDescent="0.2">
      <c r="R407" s="52"/>
    </row>
    <row r="408" spans="18:18" x14ac:dyDescent="0.2">
      <c r="R408" s="52"/>
    </row>
    <row r="409" spans="18:18" x14ac:dyDescent="0.2">
      <c r="R409" s="52"/>
    </row>
    <row r="410" spans="18:18" x14ac:dyDescent="0.2">
      <c r="R410" s="52"/>
    </row>
    <row r="411" spans="18:18" x14ac:dyDescent="0.2">
      <c r="R411" s="52"/>
    </row>
    <row r="412" spans="18:18" x14ac:dyDescent="0.2">
      <c r="R412" s="52"/>
    </row>
    <row r="413" spans="18:18" x14ac:dyDescent="0.2">
      <c r="R413" s="52"/>
    </row>
    <row r="414" spans="18:18" x14ac:dyDescent="0.2">
      <c r="R414" s="52"/>
    </row>
    <row r="415" spans="18:18" x14ac:dyDescent="0.2">
      <c r="R415" s="52"/>
    </row>
    <row r="416" spans="18:18" x14ac:dyDescent="0.2">
      <c r="R416" s="52"/>
    </row>
    <row r="417" spans="18:18" x14ac:dyDescent="0.2">
      <c r="R417" s="52"/>
    </row>
    <row r="418" spans="18:18" x14ac:dyDescent="0.2">
      <c r="R418" s="52"/>
    </row>
    <row r="419" spans="18:18" x14ac:dyDescent="0.2">
      <c r="R419" s="52"/>
    </row>
    <row r="420" spans="18:18" x14ac:dyDescent="0.2">
      <c r="R420" s="52"/>
    </row>
    <row r="421" spans="18:18" x14ac:dyDescent="0.2">
      <c r="R421" s="52"/>
    </row>
    <row r="422" spans="18:18" x14ac:dyDescent="0.2">
      <c r="R422" s="52"/>
    </row>
    <row r="423" spans="18:18" x14ac:dyDescent="0.2">
      <c r="R423" s="52"/>
    </row>
    <row r="424" spans="18:18" x14ac:dyDescent="0.2">
      <c r="R424" s="52"/>
    </row>
    <row r="425" spans="18:18" x14ac:dyDescent="0.2">
      <c r="R425" s="52"/>
    </row>
    <row r="426" spans="18:18" x14ac:dyDescent="0.2">
      <c r="R426" s="52"/>
    </row>
    <row r="427" spans="18:18" x14ac:dyDescent="0.2">
      <c r="R427" s="52"/>
    </row>
    <row r="428" spans="18:18" x14ac:dyDescent="0.2">
      <c r="R428" s="52"/>
    </row>
    <row r="429" spans="18:18" x14ac:dyDescent="0.2">
      <c r="R429" s="52"/>
    </row>
    <row r="430" spans="18:18" x14ac:dyDescent="0.2">
      <c r="R430" s="52"/>
    </row>
    <row r="431" spans="18:18" x14ac:dyDescent="0.2">
      <c r="R431" s="52"/>
    </row>
    <row r="432" spans="18:18" x14ac:dyDescent="0.2">
      <c r="R432" s="52"/>
    </row>
    <row r="433" spans="18:18" x14ac:dyDescent="0.2">
      <c r="R433" s="52"/>
    </row>
    <row r="434" spans="18:18" x14ac:dyDescent="0.2">
      <c r="R434" s="52"/>
    </row>
    <row r="435" spans="18:18" x14ac:dyDescent="0.2">
      <c r="R435" s="52"/>
    </row>
    <row r="436" spans="18:18" x14ac:dyDescent="0.2">
      <c r="R436" s="52"/>
    </row>
    <row r="437" spans="18:18" x14ac:dyDescent="0.2">
      <c r="R437" s="52"/>
    </row>
    <row r="438" spans="18:18" x14ac:dyDescent="0.2">
      <c r="R438" s="52"/>
    </row>
    <row r="439" spans="18:18" x14ac:dyDescent="0.2">
      <c r="R439" s="52"/>
    </row>
    <row r="440" spans="18:18" x14ac:dyDescent="0.2">
      <c r="R440" s="52"/>
    </row>
    <row r="441" spans="18:18" x14ac:dyDescent="0.2">
      <c r="R441" s="52"/>
    </row>
    <row r="442" spans="18:18" x14ac:dyDescent="0.2">
      <c r="R442" s="52"/>
    </row>
    <row r="443" spans="18:18" x14ac:dyDescent="0.2">
      <c r="R443" s="52"/>
    </row>
    <row r="444" spans="18:18" x14ac:dyDescent="0.2">
      <c r="R444" s="52"/>
    </row>
    <row r="445" spans="18:18" x14ac:dyDescent="0.2">
      <c r="R445" s="52"/>
    </row>
    <row r="446" spans="18:18" x14ac:dyDescent="0.2">
      <c r="R446" s="52"/>
    </row>
    <row r="447" spans="18:18" x14ac:dyDescent="0.2">
      <c r="R447" s="52"/>
    </row>
    <row r="448" spans="18:18" x14ac:dyDescent="0.2">
      <c r="R448" s="52"/>
    </row>
    <row r="449" spans="18:18" x14ac:dyDescent="0.2">
      <c r="R449" s="52"/>
    </row>
    <row r="450" spans="18:18" x14ac:dyDescent="0.2">
      <c r="R450" s="52"/>
    </row>
    <row r="451" spans="18:18" x14ac:dyDescent="0.2">
      <c r="R451" s="52"/>
    </row>
    <row r="452" spans="18:18" x14ac:dyDescent="0.2">
      <c r="R452" s="52"/>
    </row>
    <row r="453" spans="18:18" x14ac:dyDescent="0.2">
      <c r="R453" s="52"/>
    </row>
    <row r="454" spans="18:18" x14ac:dyDescent="0.2">
      <c r="R454" s="52"/>
    </row>
    <row r="455" spans="18:18" x14ac:dyDescent="0.2">
      <c r="R455" s="52"/>
    </row>
    <row r="456" spans="18:18" x14ac:dyDescent="0.2">
      <c r="R456" s="52"/>
    </row>
    <row r="457" spans="18:18" x14ac:dyDescent="0.2">
      <c r="R457" s="52"/>
    </row>
    <row r="458" spans="18:18" x14ac:dyDescent="0.2">
      <c r="R458" s="52"/>
    </row>
    <row r="459" spans="18:18" x14ac:dyDescent="0.2">
      <c r="R459" s="52"/>
    </row>
    <row r="460" spans="18:18" x14ac:dyDescent="0.2">
      <c r="R460" s="52"/>
    </row>
    <row r="461" spans="18:18" x14ac:dyDescent="0.2">
      <c r="R461" s="52"/>
    </row>
    <row r="462" spans="18:18" x14ac:dyDescent="0.2">
      <c r="R462" s="52"/>
    </row>
    <row r="463" spans="18:18" x14ac:dyDescent="0.2">
      <c r="R463" s="52"/>
    </row>
    <row r="464" spans="18:18" x14ac:dyDescent="0.2">
      <c r="R464" s="52"/>
    </row>
    <row r="465" spans="18:18" x14ac:dyDescent="0.2">
      <c r="R465" s="52"/>
    </row>
    <row r="466" spans="18:18" x14ac:dyDescent="0.2">
      <c r="R466" s="52"/>
    </row>
    <row r="467" spans="18:18" x14ac:dyDescent="0.2">
      <c r="R467" s="52"/>
    </row>
    <row r="468" spans="18:18" x14ac:dyDescent="0.2">
      <c r="R468" s="52"/>
    </row>
    <row r="469" spans="18:18" x14ac:dyDescent="0.2">
      <c r="R469" s="52"/>
    </row>
    <row r="470" spans="18:18" x14ac:dyDescent="0.2">
      <c r="R470" s="52"/>
    </row>
    <row r="471" spans="18:18" x14ac:dyDescent="0.2">
      <c r="R471" s="52"/>
    </row>
    <row r="472" spans="18:18" x14ac:dyDescent="0.2">
      <c r="R472" s="52"/>
    </row>
    <row r="473" spans="18:18" x14ac:dyDescent="0.2">
      <c r="R473" s="52"/>
    </row>
    <row r="474" spans="18:18" x14ac:dyDescent="0.2">
      <c r="R474" s="52"/>
    </row>
    <row r="475" spans="18:18" x14ac:dyDescent="0.2">
      <c r="R475" s="52"/>
    </row>
    <row r="476" spans="18:18" x14ac:dyDescent="0.2">
      <c r="R476" s="52"/>
    </row>
    <row r="477" spans="18:18" x14ac:dyDescent="0.2">
      <c r="R477" s="52"/>
    </row>
    <row r="478" spans="18:18" x14ac:dyDescent="0.2">
      <c r="R478" s="52"/>
    </row>
    <row r="479" spans="18:18" x14ac:dyDescent="0.2">
      <c r="R479" s="52"/>
    </row>
    <row r="480" spans="18:18" x14ac:dyDescent="0.2">
      <c r="R480" s="52"/>
    </row>
    <row r="481" spans="18:18" x14ac:dyDescent="0.2">
      <c r="R481" s="52"/>
    </row>
    <row r="482" spans="18:18" x14ac:dyDescent="0.2">
      <c r="R482" s="52"/>
    </row>
    <row r="483" spans="18:18" x14ac:dyDescent="0.2">
      <c r="R483" s="52"/>
    </row>
    <row r="484" spans="18:18" x14ac:dyDescent="0.2">
      <c r="R484" s="52"/>
    </row>
    <row r="485" spans="18:18" x14ac:dyDescent="0.2">
      <c r="R485" s="52"/>
    </row>
    <row r="486" spans="18:18" x14ac:dyDescent="0.2">
      <c r="R486" s="52"/>
    </row>
    <row r="487" spans="18:18" x14ac:dyDescent="0.2">
      <c r="R487" s="52"/>
    </row>
    <row r="488" spans="18:18" x14ac:dyDescent="0.2">
      <c r="R488" s="52"/>
    </row>
    <row r="489" spans="18:18" x14ac:dyDescent="0.2">
      <c r="R489" s="52"/>
    </row>
    <row r="490" spans="18:18" x14ac:dyDescent="0.2">
      <c r="R490" s="52"/>
    </row>
    <row r="491" spans="18:18" x14ac:dyDescent="0.2">
      <c r="R491" s="52"/>
    </row>
    <row r="492" spans="18:18" x14ac:dyDescent="0.2">
      <c r="R492" s="52"/>
    </row>
    <row r="493" spans="18:18" x14ac:dyDescent="0.2">
      <c r="R493" s="52"/>
    </row>
    <row r="494" spans="18:18" x14ac:dyDescent="0.2">
      <c r="R494" s="52"/>
    </row>
    <row r="495" spans="18:18" x14ac:dyDescent="0.2">
      <c r="R495" s="52"/>
    </row>
    <row r="496" spans="18:18" x14ac:dyDescent="0.2">
      <c r="R496" s="52"/>
    </row>
    <row r="497" spans="18:18" x14ac:dyDescent="0.2">
      <c r="R497" s="52"/>
    </row>
    <row r="498" spans="18:18" x14ac:dyDescent="0.2">
      <c r="R498" s="52"/>
    </row>
    <row r="499" spans="18:18" x14ac:dyDescent="0.2">
      <c r="R499" s="52"/>
    </row>
    <row r="500" spans="18:18" x14ac:dyDescent="0.2">
      <c r="R500" s="52"/>
    </row>
    <row r="501" spans="18:18" x14ac:dyDescent="0.2">
      <c r="R501" s="52"/>
    </row>
    <row r="502" spans="18:18" x14ac:dyDescent="0.2">
      <c r="R502" s="52"/>
    </row>
    <row r="503" spans="18:18" x14ac:dyDescent="0.2">
      <c r="R503" s="52"/>
    </row>
    <row r="504" spans="18:18" x14ac:dyDescent="0.2">
      <c r="R504" s="52"/>
    </row>
    <row r="505" spans="18:18" x14ac:dyDescent="0.2">
      <c r="R505" s="52"/>
    </row>
    <row r="506" spans="18:18" x14ac:dyDescent="0.2">
      <c r="R506" s="52"/>
    </row>
    <row r="507" spans="18:18" x14ac:dyDescent="0.2">
      <c r="R507" s="52"/>
    </row>
    <row r="508" spans="18:18" x14ac:dyDescent="0.2">
      <c r="R508" s="52"/>
    </row>
    <row r="509" spans="18:18" x14ac:dyDescent="0.2">
      <c r="R509" s="52"/>
    </row>
    <row r="510" spans="18:18" x14ac:dyDescent="0.2">
      <c r="R510" s="52"/>
    </row>
    <row r="511" spans="18:18" x14ac:dyDescent="0.2">
      <c r="R511" s="52"/>
    </row>
    <row r="512" spans="18:18" x14ac:dyDescent="0.2">
      <c r="R512" s="52"/>
    </row>
    <row r="513" spans="18:18" x14ac:dyDescent="0.2">
      <c r="R513" s="52"/>
    </row>
    <row r="514" spans="18:18" x14ac:dyDescent="0.2">
      <c r="R514" s="52"/>
    </row>
    <row r="515" spans="18:18" x14ac:dyDescent="0.2">
      <c r="R515" s="52"/>
    </row>
    <row r="516" spans="18:18" x14ac:dyDescent="0.2">
      <c r="R516" s="52"/>
    </row>
    <row r="517" spans="18:18" x14ac:dyDescent="0.2">
      <c r="R517" s="52"/>
    </row>
    <row r="518" spans="18:18" x14ac:dyDescent="0.2">
      <c r="R518" s="52"/>
    </row>
    <row r="519" spans="18:18" x14ac:dyDescent="0.2">
      <c r="R519" s="52"/>
    </row>
    <row r="520" spans="18:18" x14ac:dyDescent="0.2">
      <c r="R520" s="52"/>
    </row>
    <row r="521" spans="18:18" x14ac:dyDescent="0.2">
      <c r="R521" s="52"/>
    </row>
    <row r="522" spans="18:18" x14ac:dyDescent="0.2">
      <c r="R522" s="52"/>
    </row>
    <row r="523" spans="18:18" x14ac:dyDescent="0.2">
      <c r="R523" s="52"/>
    </row>
    <row r="524" spans="18:18" x14ac:dyDescent="0.2">
      <c r="R524" s="52"/>
    </row>
    <row r="525" spans="18:18" x14ac:dyDescent="0.2">
      <c r="R525" s="52"/>
    </row>
    <row r="526" spans="18:18" x14ac:dyDescent="0.2">
      <c r="R526" s="52"/>
    </row>
    <row r="527" spans="18:18" x14ac:dyDescent="0.2">
      <c r="R527" s="52"/>
    </row>
    <row r="528" spans="18:18" x14ac:dyDescent="0.2">
      <c r="R528" s="52"/>
    </row>
    <row r="529" spans="18:18" x14ac:dyDescent="0.2">
      <c r="R529" s="52"/>
    </row>
    <row r="530" spans="18:18" x14ac:dyDescent="0.2">
      <c r="R530" s="52"/>
    </row>
    <row r="531" spans="18:18" x14ac:dyDescent="0.2">
      <c r="R531" s="52"/>
    </row>
    <row r="532" spans="18:18" x14ac:dyDescent="0.2">
      <c r="R532" s="52"/>
    </row>
    <row r="533" spans="18:18" x14ac:dyDescent="0.2">
      <c r="R533" s="52"/>
    </row>
    <row r="534" spans="18:18" x14ac:dyDescent="0.2">
      <c r="R534" s="52"/>
    </row>
    <row r="535" spans="18:18" x14ac:dyDescent="0.2">
      <c r="R535" s="52"/>
    </row>
    <row r="536" spans="18:18" x14ac:dyDescent="0.2">
      <c r="R536" s="52"/>
    </row>
    <row r="537" spans="18:18" x14ac:dyDescent="0.2">
      <c r="R537" s="52"/>
    </row>
    <row r="538" spans="18:18" x14ac:dyDescent="0.2">
      <c r="R538" s="52"/>
    </row>
    <row r="539" spans="18:18" x14ac:dyDescent="0.2">
      <c r="R539" s="52"/>
    </row>
    <row r="540" spans="18:18" x14ac:dyDescent="0.2">
      <c r="R540" s="52"/>
    </row>
    <row r="541" spans="18:18" x14ac:dyDescent="0.2">
      <c r="R541" s="52"/>
    </row>
    <row r="542" spans="18:18" x14ac:dyDescent="0.2">
      <c r="R542" s="52"/>
    </row>
    <row r="543" spans="18:18" x14ac:dyDescent="0.2">
      <c r="R543" s="52"/>
    </row>
    <row r="544" spans="18:18" x14ac:dyDescent="0.2">
      <c r="R544" s="52"/>
    </row>
    <row r="545" spans="18:18" x14ac:dyDescent="0.2">
      <c r="R545" s="52"/>
    </row>
    <row r="546" spans="18:18" x14ac:dyDescent="0.2">
      <c r="R546" s="52"/>
    </row>
    <row r="547" spans="18:18" x14ac:dyDescent="0.2">
      <c r="R547" s="52"/>
    </row>
    <row r="548" spans="18:18" x14ac:dyDescent="0.2">
      <c r="R548" s="52"/>
    </row>
    <row r="549" spans="18:18" x14ac:dyDescent="0.2">
      <c r="R549" s="52"/>
    </row>
    <row r="550" spans="18:18" x14ac:dyDescent="0.2">
      <c r="R550" s="52"/>
    </row>
    <row r="551" spans="18:18" x14ac:dyDescent="0.2">
      <c r="R551" s="52"/>
    </row>
    <row r="552" spans="18:18" x14ac:dyDescent="0.2">
      <c r="R552" s="52"/>
    </row>
    <row r="553" spans="18:18" x14ac:dyDescent="0.2">
      <c r="R553" s="52"/>
    </row>
    <row r="554" spans="18:18" x14ac:dyDescent="0.2">
      <c r="R554" s="52"/>
    </row>
    <row r="555" spans="18:18" x14ac:dyDescent="0.2">
      <c r="R555" s="52"/>
    </row>
    <row r="556" spans="18:18" x14ac:dyDescent="0.2">
      <c r="R556" s="52"/>
    </row>
    <row r="557" spans="18:18" x14ac:dyDescent="0.2">
      <c r="R557" s="52"/>
    </row>
    <row r="558" spans="18:18" x14ac:dyDescent="0.2">
      <c r="R558" s="52"/>
    </row>
    <row r="559" spans="18:18" x14ac:dyDescent="0.2">
      <c r="R559" s="52"/>
    </row>
    <row r="560" spans="18:18" x14ac:dyDescent="0.2">
      <c r="R560" s="52"/>
    </row>
    <row r="561" spans="18:18" x14ac:dyDescent="0.2">
      <c r="R561" s="52"/>
    </row>
    <row r="562" spans="18:18" x14ac:dyDescent="0.2">
      <c r="R562" s="52"/>
    </row>
    <row r="563" spans="18:18" x14ac:dyDescent="0.2">
      <c r="R563" s="52"/>
    </row>
    <row r="564" spans="18:18" x14ac:dyDescent="0.2">
      <c r="R564" s="52"/>
    </row>
    <row r="565" spans="18:18" x14ac:dyDescent="0.2">
      <c r="R565" s="52"/>
    </row>
    <row r="566" spans="18:18" x14ac:dyDescent="0.2">
      <c r="R566" s="52"/>
    </row>
    <row r="567" spans="18:18" x14ac:dyDescent="0.2">
      <c r="R567" s="52"/>
    </row>
    <row r="568" spans="18:18" x14ac:dyDescent="0.2">
      <c r="R568" s="52"/>
    </row>
    <row r="569" spans="18:18" x14ac:dyDescent="0.2">
      <c r="R569" s="52"/>
    </row>
    <row r="570" spans="18:18" x14ac:dyDescent="0.2">
      <c r="R570" s="52"/>
    </row>
    <row r="571" spans="18:18" x14ac:dyDescent="0.2">
      <c r="R571" s="52"/>
    </row>
    <row r="572" spans="18:18" x14ac:dyDescent="0.2">
      <c r="R572" s="52"/>
    </row>
    <row r="573" spans="18:18" x14ac:dyDescent="0.2">
      <c r="R573" s="52"/>
    </row>
    <row r="574" spans="18:18" x14ac:dyDescent="0.2">
      <c r="R574" s="52"/>
    </row>
    <row r="575" spans="18:18" x14ac:dyDescent="0.2">
      <c r="R575" s="52"/>
    </row>
    <row r="576" spans="18:18" x14ac:dyDescent="0.2">
      <c r="R576" s="52"/>
    </row>
    <row r="577" spans="18:18" x14ac:dyDescent="0.2">
      <c r="R577" s="52"/>
    </row>
    <row r="578" spans="18:18" x14ac:dyDescent="0.2">
      <c r="R578" s="52"/>
    </row>
    <row r="579" spans="18:18" x14ac:dyDescent="0.2">
      <c r="R579" s="52"/>
    </row>
    <row r="580" spans="18:18" x14ac:dyDescent="0.2">
      <c r="R580" s="52"/>
    </row>
    <row r="581" spans="18:18" x14ac:dyDescent="0.2">
      <c r="R581" s="52"/>
    </row>
    <row r="582" spans="18:18" x14ac:dyDescent="0.2">
      <c r="R582" s="52"/>
    </row>
    <row r="583" spans="18:18" x14ac:dyDescent="0.2">
      <c r="R583" s="52"/>
    </row>
    <row r="584" spans="18:18" x14ac:dyDescent="0.2">
      <c r="R584" s="52"/>
    </row>
    <row r="585" spans="18:18" x14ac:dyDescent="0.2">
      <c r="R585" s="52"/>
    </row>
    <row r="586" spans="18:18" x14ac:dyDescent="0.2">
      <c r="R586" s="52"/>
    </row>
    <row r="587" spans="18:18" x14ac:dyDescent="0.2">
      <c r="R587" s="52"/>
    </row>
    <row r="588" spans="18:18" x14ac:dyDescent="0.2">
      <c r="R588" s="52"/>
    </row>
    <row r="589" spans="18:18" x14ac:dyDescent="0.2">
      <c r="R589" s="52"/>
    </row>
    <row r="590" spans="18:18" x14ac:dyDescent="0.2">
      <c r="R590" s="52"/>
    </row>
    <row r="591" spans="18:18" x14ac:dyDescent="0.2">
      <c r="R591" s="52"/>
    </row>
    <row r="592" spans="18:18" x14ac:dyDescent="0.2">
      <c r="R592" s="52"/>
    </row>
    <row r="593" spans="18:18" x14ac:dyDescent="0.2">
      <c r="R593" s="52"/>
    </row>
    <row r="594" spans="18:18" x14ac:dyDescent="0.2">
      <c r="R594" s="52"/>
    </row>
    <row r="595" spans="18:18" x14ac:dyDescent="0.2">
      <c r="R595" s="52"/>
    </row>
    <row r="596" spans="18:18" x14ac:dyDescent="0.2">
      <c r="R596" s="52"/>
    </row>
    <row r="597" spans="18:18" x14ac:dyDescent="0.2">
      <c r="R597" s="52"/>
    </row>
    <row r="598" spans="18:18" x14ac:dyDescent="0.2">
      <c r="R598" s="52"/>
    </row>
    <row r="599" spans="18:18" x14ac:dyDescent="0.2">
      <c r="R599" s="52"/>
    </row>
    <row r="600" spans="18:18" x14ac:dyDescent="0.2">
      <c r="R600" s="52"/>
    </row>
    <row r="601" spans="18:18" x14ac:dyDescent="0.2">
      <c r="R601" s="52"/>
    </row>
    <row r="602" spans="18:18" x14ac:dyDescent="0.2">
      <c r="R602" s="52"/>
    </row>
    <row r="603" spans="18:18" x14ac:dyDescent="0.2">
      <c r="R603" s="52"/>
    </row>
    <row r="604" spans="18:18" x14ac:dyDescent="0.2">
      <c r="R604" s="52"/>
    </row>
    <row r="605" spans="18:18" x14ac:dyDescent="0.2">
      <c r="R605" s="52"/>
    </row>
    <row r="606" spans="18:18" x14ac:dyDescent="0.2">
      <c r="R606" s="52"/>
    </row>
    <row r="607" spans="18:18" x14ac:dyDescent="0.2">
      <c r="R607" s="52"/>
    </row>
    <row r="608" spans="18:18" x14ac:dyDescent="0.2">
      <c r="R608" s="52"/>
    </row>
    <row r="609" spans="18:18" x14ac:dyDescent="0.2">
      <c r="R609" s="52"/>
    </row>
    <row r="610" spans="18:18" x14ac:dyDescent="0.2">
      <c r="R610" s="52"/>
    </row>
    <row r="611" spans="18:18" x14ac:dyDescent="0.2">
      <c r="R611" s="52"/>
    </row>
    <row r="612" spans="18:18" x14ac:dyDescent="0.2">
      <c r="R612" s="52"/>
    </row>
    <row r="613" spans="18:18" x14ac:dyDescent="0.2">
      <c r="R613" s="52"/>
    </row>
    <row r="614" spans="18:18" x14ac:dyDescent="0.2">
      <c r="R614" s="52"/>
    </row>
    <row r="615" spans="18:18" x14ac:dyDescent="0.2">
      <c r="R615" s="52"/>
    </row>
    <row r="616" spans="18:18" x14ac:dyDescent="0.2">
      <c r="R616" s="52"/>
    </row>
    <row r="617" spans="18:18" x14ac:dyDescent="0.2">
      <c r="R617" s="52"/>
    </row>
    <row r="618" spans="18:18" x14ac:dyDescent="0.2">
      <c r="R618" s="52"/>
    </row>
    <row r="619" spans="18:18" x14ac:dyDescent="0.2">
      <c r="R619" s="52"/>
    </row>
    <row r="620" spans="18:18" x14ac:dyDescent="0.2">
      <c r="R620" s="52"/>
    </row>
    <row r="621" spans="18:18" x14ac:dyDescent="0.2">
      <c r="R621" s="52"/>
    </row>
    <row r="622" spans="18:18" x14ac:dyDescent="0.2">
      <c r="R622" s="52"/>
    </row>
    <row r="623" spans="18:18" x14ac:dyDescent="0.2">
      <c r="R623" s="52"/>
    </row>
    <row r="624" spans="18:18" x14ac:dyDescent="0.2">
      <c r="R624" s="52"/>
    </row>
    <row r="625" spans="18:18" x14ac:dyDescent="0.2">
      <c r="R625" s="52"/>
    </row>
    <row r="626" spans="18:18" x14ac:dyDescent="0.2">
      <c r="R626" s="52"/>
    </row>
    <row r="627" spans="18:18" x14ac:dyDescent="0.2">
      <c r="R627" s="52"/>
    </row>
    <row r="628" spans="18:18" x14ac:dyDescent="0.2">
      <c r="R628" s="52"/>
    </row>
    <row r="629" spans="18:18" x14ac:dyDescent="0.2">
      <c r="R629" s="52"/>
    </row>
    <row r="630" spans="18:18" x14ac:dyDescent="0.2">
      <c r="R630" s="52"/>
    </row>
    <row r="631" spans="18:18" x14ac:dyDescent="0.2">
      <c r="R631" s="52"/>
    </row>
    <row r="632" spans="18:18" x14ac:dyDescent="0.2">
      <c r="R632" s="52"/>
    </row>
    <row r="633" spans="18:18" x14ac:dyDescent="0.2">
      <c r="R633" s="52"/>
    </row>
    <row r="634" spans="18:18" x14ac:dyDescent="0.2">
      <c r="R634" s="52"/>
    </row>
    <row r="635" spans="18:18" x14ac:dyDescent="0.2">
      <c r="R635" s="52"/>
    </row>
    <row r="636" spans="18:18" x14ac:dyDescent="0.2">
      <c r="R636" s="52"/>
    </row>
    <row r="637" spans="18:18" x14ac:dyDescent="0.2">
      <c r="R637" s="52"/>
    </row>
    <row r="638" spans="18:18" x14ac:dyDescent="0.2">
      <c r="R638" s="52"/>
    </row>
    <row r="639" spans="18:18" x14ac:dyDescent="0.2">
      <c r="R639" s="52"/>
    </row>
    <row r="640" spans="18:18" x14ac:dyDescent="0.2">
      <c r="R640" s="52"/>
    </row>
    <row r="641" spans="18:18" x14ac:dyDescent="0.2">
      <c r="R641" s="52"/>
    </row>
    <row r="642" spans="18:18" x14ac:dyDescent="0.2">
      <c r="R642" s="52"/>
    </row>
    <row r="643" spans="18:18" x14ac:dyDescent="0.2">
      <c r="R643" s="52"/>
    </row>
    <row r="644" spans="18:18" x14ac:dyDescent="0.2">
      <c r="R644" s="52"/>
    </row>
    <row r="645" spans="18:18" x14ac:dyDescent="0.2">
      <c r="R645" s="52"/>
    </row>
    <row r="646" spans="18:18" x14ac:dyDescent="0.2">
      <c r="R646" s="52"/>
    </row>
    <row r="647" spans="18:18" x14ac:dyDescent="0.2">
      <c r="R647" s="52"/>
    </row>
    <row r="648" spans="18:18" x14ac:dyDescent="0.2">
      <c r="R648" s="52"/>
    </row>
    <row r="649" spans="18:18" x14ac:dyDescent="0.2">
      <c r="R649" s="52"/>
    </row>
    <row r="650" spans="18:18" x14ac:dyDescent="0.2">
      <c r="R650" s="52"/>
    </row>
    <row r="651" spans="18:18" x14ac:dyDescent="0.2">
      <c r="R651" s="52"/>
    </row>
    <row r="652" spans="18:18" x14ac:dyDescent="0.2">
      <c r="R652" s="52"/>
    </row>
    <row r="653" spans="18:18" x14ac:dyDescent="0.2">
      <c r="R653" s="52"/>
    </row>
    <row r="654" spans="18:18" x14ac:dyDescent="0.2">
      <c r="R654" s="52"/>
    </row>
    <row r="655" spans="18:18" x14ac:dyDescent="0.2">
      <c r="R655" s="52"/>
    </row>
    <row r="656" spans="18:18" x14ac:dyDescent="0.2">
      <c r="R656" s="52"/>
    </row>
    <row r="657" spans="18:18" x14ac:dyDescent="0.2">
      <c r="R657" s="52"/>
    </row>
    <row r="658" spans="18:18" x14ac:dyDescent="0.2">
      <c r="R658" s="52"/>
    </row>
    <row r="659" spans="18:18" x14ac:dyDescent="0.2">
      <c r="R659" s="52"/>
    </row>
    <row r="660" spans="18:18" x14ac:dyDescent="0.2">
      <c r="R660" s="52"/>
    </row>
  </sheetData>
  <sortState ref="C30:E31">
    <sortCondition descending="1" ref="E30"/>
  </sortState>
  <mergeCells count="3">
    <mergeCell ref="C3:N3"/>
    <mergeCell ref="D5:E5"/>
    <mergeCell ref="B47:R53"/>
  </mergeCells>
  <pageMargins left="0.7" right="0.7" top="0.75" bottom="0.75" header="0.3" footer="0.3"/>
  <pageSetup paperSize="9" scale="4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pageSetUpPr fitToPage="1"/>
  </sheetPr>
  <dimension ref="B1:R702"/>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2" width="9.140625" style="3"/>
    <col min="13" max="13" width="2" style="3" customWidth="1"/>
    <col min="14" max="15" width="9.140625" style="3"/>
    <col min="16" max="16" width="9.85546875" style="3" customWidth="1"/>
    <col min="17" max="18" width="9.28515625" style="3" bestFit="1" customWidth="1"/>
    <col min="19" max="16384" width="9.140625" style="3"/>
  </cols>
  <sheetData>
    <row r="1" spans="2:16" ht="15.75" thickBot="1" x14ac:dyDescent="0.25"/>
    <row r="2" spans="2:16" x14ac:dyDescent="0.2">
      <c r="B2" s="94"/>
      <c r="C2" s="42"/>
      <c r="D2" s="42"/>
      <c r="E2" s="42"/>
      <c r="F2" s="42"/>
      <c r="G2" s="42"/>
      <c r="H2" s="42"/>
      <c r="I2" s="42"/>
      <c r="J2" s="42"/>
      <c r="K2" s="42"/>
      <c r="L2" s="42"/>
      <c r="M2" s="95"/>
    </row>
    <row r="3" spans="2:16" ht="20.25" customHeight="1" x14ac:dyDescent="0.2">
      <c r="B3" s="96"/>
      <c r="C3" s="259" t="s">
        <v>162</v>
      </c>
      <c r="D3" s="259"/>
      <c r="E3" s="259"/>
      <c r="F3" s="259"/>
      <c r="G3" s="259"/>
      <c r="H3" s="259"/>
      <c r="I3" s="259"/>
      <c r="J3" s="259"/>
      <c r="K3" s="259"/>
      <c r="L3" s="259"/>
      <c r="M3" s="260"/>
    </row>
    <row r="4" spans="2:16" ht="15.75" x14ac:dyDescent="0.25">
      <c r="B4" s="96"/>
      <c r="C4" s="70" t="s">
        <v>367</v>
      </c>
      <c r="D4" s="29"/>
      <c r="E4" s="29"/>
      <c r="F4" s="5"/>
      <c r="G4" s="5"/>
      <c r="H4" s="5"/>
      <c r="I4" s="5"/>
      <c r="J4" s="5"/>
      <c r="K4" s="5"/>
      <c r="L4" s="5"/>
      <c r="M4" s="20"/>
    </row>
    <row r="5" spans="2:16" ht="20.25" customHeight="1" x14ac:dyDescent="0.25">
      <c r="B5" s="96"/>
      <c r="C5" s="228" t="s">
        <v>366</v>
      </c>
      <c r="D5" s="97" t="s">
        <v>338</v>
      </c>
      <c r="E5" s="19"/>
      <c r="F5" s="5"/>
      <c r="G5" s="5"/>
      <c r="H5" s="5"/>
      <c r="I5" s="5"/>
      <c r="J5" s="5"/>
      <c r="K5" s="5"/>
      <c r="L5" s="5"/>
      <c r="M5" s="20"/>
    </row>
    <row r="6" spans="2:16" x14ac:dyDescent="0.2">
      <c r="B6" s="96"/>
      <c r="C6" s="5"/>
      <c r="D6" s="5"/>
      <c r="E6" s="5"/>
      <c r="F6" s="5"/>
      <c r="G6" s="5"/>
      <c r="H6" s="5"/>
      <c r="I6" s="5"/>
      <c r="J6" s="5"/>
      <c r="K6" s="5"/>
      <c r="L6" s="5"/>
      <c r="M6" s="20"/>
    </row>
    <row r="7" spans="2:16" ht="32.25" customHeight="1" x14ac:dyDescent="0.2">
      <c r="B7" s="96"/>
      <c r="C7" s="98" t="s">
        <v>43</v>
      </c>
      <c r="D7" s="98" t="s">
        <v>45</v>
      </c>
      <c r="E7" s="5"/>
      <c r="F7" s="261" t="s">
        <v>50</v>
      </c>
      <c r="G7" s="261"/>
      <c r="H7" s="261"/>
      <c r="I7" s="261"/>
      <c r="J7" s="261"/>
      <c r="K7" s="261"/>
      <c r="L7" s="261"/>
      <c r="M7" s="262"/>
    </row>
    <row r="8" spans="2:16" ht="15.75" x14ac:dyDescent="0.25">
      <c r="B8" s="96"/>
      <c r="C8" s="38" t="s">
        <v>183</v>
      </c>
      <c r="D8" s="205">
        <v>9.8072000000000006E-2</v>
      </c>
      <c r="E8" s="29"/>
      <c r="F8" s="5"/>
      <c r="G8" s="31"/>
      <c r="H8" s="5"/>
      <c r="I8" s="5"/>
      <c r="J8" s="50"/>
      <c r="K8" s="5"/>
      <c r="L8" s="5"/>
      <c r="M8" s="20"/>
      <c r="P8" s="52"/>
    </row>
    <row r="9" spans="2:16" x14ac:dyDescent="0.2">
      <c r="B9" s="96"/>
      <c r="C9" s="105" t="s">
        <v>179</v>
      </c>
      <c r="D9" s="186">
        <v>9.4056000000000001E-2</v>
      </c>
      <c r="E9" s="5"/>
      <c r="F9" s="5"/>
      <c r="G9" s="5"/>
      <c r="H9" s="5"/>
      <c r="I9" s="5" t="s">
        <v>51</v>
      </c>
      <c r="J9" s="50">
        <f>D11</f>
        <v>0.28276299999999999</v>
      </c>
      <c r="K9" s="5"/>
      <c r="L9" s="5"/>
      <c r="M9" s="20"/>
      <c r="P9" s="52"/>
    </row>
    <row r="10" spans="2:16" x14ac:dyDescent="0.2">
      <c r="B10" s="96"/>
      <c r="C10" s="105" t="s">
        <v>180</v>
      </c>
      <c r="D10" s="186">
        <v>9.0634999999999993E-2</v>
      </c>
      <c r="E10" s="5"/>
      <c r="F10" s="5"/>
      <c r="G10" s="5"/>
      <c r="H10" s="5"/>
      <c r="I10" s="5" t="s">
        <v>53</v>
      </c>
      <c r="J10" s="50">
        <f>D16</f>
        <v>0.69096899999999994</v>
      </c>
      <c r="K10" s="5"/>
      <c r="L10" s="5"/>
      <c r="M10" s="20"/>
      <c r="P10" s="52"/>
    </row>
    <row r="11" spans="2:16" ht="15.75" x14ac:dyDescent="0.25">
      <c r="B11" s="96"/>
      <c r="C11" s="7" t="s">
        <v>52</v>
      </c>
      <c r="D11" s="8">
        <f>SUM(D8:D10)</f>
        <v>0.28276299999999999</v>
      </c>
      <c r="E11" s="5"/>
      <c r="F11" s="5"/>
      <c r="G11" s="5"/>
      <c r="H11" s="5"/>
      <c r="I11" s="5" t="s">
        <v>20</v>
      </c>
      <c r="J11" s="50">
        <f>D18</f>
        <v>2.6268E-2</v>
      </c>
      <c r="K11" s="5"/>
      <c r="L11" s="5"/>
      <c r="M11" s="20"/>
      <c r="P11" s="52"/>
    </row>
    <row r="12" spans="2:16" x14ac:dyDescent="0.2">
      <c r="B12" s="96"/>
      <c r="C12" s="105"/>
      <c r="D12" s="38"/>
      <c r="E12" s="5"/>
      <c r="F12" s="5"/>
      <c r="G12" s="5"/>
      <c r="H12" s="5"/>
      <c r="K12" s="5"/>
      <c r="L12" s="5"/>
      <c r="M12" s="20"/>
      <c r="P12" s="52"/>
    </row>
    <row r="13" spans="2:16" ht="15.75" customHeight="1" x14ac:dyDescent="0.2">
      <c r="B13" s="96"/>
      <c r="C13" s="4" t="s">
        <v>181</v>
      </c>
      <c r="D13" s="186">
        <v>6.0205000000000002E-2</v>
      </c>
      <c r="E13" s="5"/>
      <c r="F13" s="5"/>
      <c r="G13" s="5"/>
      <c r="H13" s="5"/>
      <c r="I13" s="5"/>
      <c r="J13" s="50"/>
      <c r="K13" s="5"/>
      <c r="L13" s="5"/>
      <c r="M13" s="20"/>
      <c r="P13" s="52"/>
    </row>
    <row r="14" spans="2:16" ht="15.75" customHeight="1" x14ac:dyDescent="0.2">
      <c r="B14" s="96"/>
      <c r="C14" s="4" t="s">
        <v>182</v>
      </c>
      <c r="D14" s="186">
        <v>0.61751199999999995</v>
      </c>
      <c r="E14" s="5"/>
      <c r="F14" s="5"/>
      <c r="G14" s="5"/>
      <c r="H14" s="5"/>
      <c r="I14" s="5"/>
      <c r="J14" s="50"/>
      <c r="K14" s="5"/>
      <c r="L14" s="5"/>
      <c r="M14" s="20"/>
      <c r="P14" s="52"/>
    </row>
    <row r="15" spans="2:16" x14ac:dyDescent="0.2">
      <c r="B15" s="96"/>
      <c r="C15" s="4" t="s">
        <v>220</v>
      </c>
      <c r="D15" s="186">
        <v>1.3252E-2</v>
      </c>
      <c r="E15" s="5"/>
      <c r="F15" s="5"/>
      <c r="G15" s="5"/>
      <c r="H15" s="5"/>
      <c r="I15" s="5"/>
      <c r="J15" s="106"/>
      <c r="K15" s="5"/>
      <c r="L15" s="5"/>
      <c r="M15" s="20"/>
      <c r="P15" s="52"/>
    </row>
    <row r="16" spans="2:16" ht="15.75" x14ac:dyDescent="0.25">
      <c r="B16" s="96"/>
      <c r="C16" s="7" t="s">
        <v>19</v>
      </c>
      <c r="D16" s="8">
        <f>SUM(D13:D15)</f>
        <v>0.69096899999999994</v>
      </c>
      <c r="E16" s="5"/>
      <c r="F16" s="5"/>
      <c r="G16" s="5"/>
      <c r="H16" s="5"/>
      <c r="I16" s="5"/>
      <c r="J16" s="5"/>
      <c r="K16" s="5"/>
      <c r="L16" s="5"/>
      <c r="M16" s="20"/>
      <c r="P16" s="52"/>
    </row>
    <row r="17" spans="2:18" ht="15.75" customHeight="1" x14ac:dyDescent="0.2">
      <c r="B17" s="96"/>
      <c r="C17" s="4"/>
      <c r="D17" s="6"/>
      <c r="E17" s="5"/>
      <c r="F17" s="5"/>
      <c r="G17" s="5"/>
      <c r="H17" s="5"/>
      <c r="I17" s="5"/>
      <c r="J17" s="5"/>
      <c r="K17" s="5"/>
      <c r="L17" s="5"/>
      <c r="M17" s="20"/>
      <c r="P17" s="52"/>
    </row>
    <row r="18" spans="2:18" ht="15.75" x14ac:dyDescent="0.25">
      <c r="B18" s="96"/>
      <c r="C18" s="7" t="s">
        <v>20</v>
      </c>
      <c r="D18" s="214">
        <v>2.6268E-2</v>
      </c>
      <c r="E18" s="5"/>
      <c r="F18" s="5"/>
      <c r="G18" s="5"/>
      <c r="H18" s="5"/>
      <c r="I18" s="5"/>
      <c r="J18" s="5"/>
      <c r="K18" s="5"/>
      <c r="L18" s="5"/>
      <c r="M18" s="20"/>
      <c r="P18" s="52"/>
    </row>
    <row r="19" spans="2:18" x14ac:dyDescent="0.2">
      <c r="B19" s="96"/>
      <c r="C19" s="4"/>
      <c r="D19" s="6"/>
      <c r="E19" s="5"/>
      <c r="F19" s="5"/>
      <c r="G19" s="5"/>
      <c r="H19" s="5"/>
      <c r="I19" s="5"/>
      <c r="J19" s="5"/>
      <c r="K19" s="5"/>
      <c r="L19" s="5"/>
      <c r="M19" s="20"/>
      <c r="P19" s="52"/>
    </row>
    <row r="20" spans="2:18" ht="15.75" x14ac:dyDescent="0.25">
      <c r="B20" s="96"/>
      <c r="C20" s="9" t="s">
        <v>54</v>
      </c>
      <c r="D20" s="10">
        <f>SUM(D18,D16,D11)</f>
        <v>0.99999999999999989</v>
      </c>
      <c r="E20" s="5"/>
      <c r="F20" s="5"/>
      <c r="G20" s="5"/>
      <c r="H20" s="5"/>
      <c r="I20" s="5"/>
      <c r="J20" s="5"/>
      <c r="K20" s="5"/>
      <c r="L20" s="5"/>
      <c r="M20" s="20"/>
      <c r="P20" s="52"/>
    </row>
    <row r="21" spans="2:18" x14ac:dyDescent="0.2">
      <c r="B21" s="96"/>
      <c r="E21" s="5"/>
      <c r="F21" s="5"/>
      <c r="G21" s="5"/>
      <c r="H21" s="5"/>
      <c r="I21" s="5"/>
      <c r="J21" s="5"/>
      <c r="K21" s="5"/>
      <c r="L21" s="5"/>
      <c r="M21" s="20"/>
      <c r="P21" s="52"/>
    </row>
    <row r="22" spans="2:18" x14ac:dyDescent="0.2">
      <c r="B22" s="96"/>
      <c r="E22" s="5"/>
      <c r="F22" s="5"/>
      <c r="G22" s="5"/>
      <c r="H22" s="5"/>
      <c r="I22" s="5"/>
      <c r="J22" s="5"/>
      <c r="K22" s="5"/>
      <c r="L22" s="5"/>
      <c r="M22" s="20"/>
      <c r="P22" s="52"/>
    </row>
    <row r="23" spans="2:18" ht="15" customHeight="1" x14ac:dyDescent="0.2">
      <c r="B23" s="96"/>
      <c r="C23" s="290"/>
      <c r="D23" s="290"/>
      <c r="E23" s="290"/>
      <c r="F23" s="290"/>
      <c r="G23" s="290"/>
      <c r="H23" s="5"/>
      <c r="I23" s="5"/>
      <c r="J23" s="5"/>
      <c r="K23" s="5"/>
      <c r="L23" s="5"/>
      <c r="M23" s="11"/>
      <c r="P23" s="52"/>
    </row>
    <row r="24" spans="2:18" ht="16.5" thickBot="1" x14ac:dyDescent="0.3">
      <c r="B24" s="99"/>
      <c r="C24" s="263"/>
      <c r="D24" s="263"/>
      <c r="E24" s="263"/>
      <c r="F24" s="263"/>
      <c r="G24" s="263"/>
      <c r="H24" s="263"/>
      <c r="I24" s="263"/>
      <c r="J24" s="263"/>
      <c r="K24" s="263"/>
      <c r="L24" s="263"/>
      <c r="M24" s="264"/>
      <c r="P24" s="52"/>
    </row>
    <row r="25" spans="2:18" ht="15.75" thickBot="1" x14ac:dyDescent="0.25">
      <c r="P25" s="52"/>
    </row>
    <row r="26" spans="2:18" ht="15" customHeight="1" x14ac:dyDescent="0.2">
      <c r="B26" s="265" t="s">
        <v>186</v>
      </c>
      <c r="C26" s="266"/>
      <c r="D26" s="266"/>
      <c r="E26" s="266"/>
      <c r="F26" s="266"/>
      <c r="G26" s="266"/>
      <c r="H26" s="266"/>
      <c r="I26" s="266"/>
      <c r="J26" s="266"/>
      <c r="K26" s="266"/>
      <c r="L26" s="266"/>
      <c r="M26" s="266"/>
      <c r="N26" s="266"/>
      <c r="O26" s="266"/>
      <c r="P26" s="266"/>
      <c r="Q26" s="266"/>
      <c r="R26" s="267"/>
    </row>
    <row r="27" spans="2:18" x14ac:dyDescent="0.2">
      <c r="B27" s="268"/>
      <c r="C27" s="269"/>
      <c r="D27" s="269"/>
      <c r="E27" s="269"/>
      <c r="F27" s="269"/>
      <c r="G27" s="269"/>
      <c r="H27" s="269"/>
      <c r="I27" s="269"/>
      <c r="J27" s="269"/>
      <c r="K27" s="269"/>
      <c r="L27" s="269"/>
      <c r="M27" s="269"/>
      <c r="N27" s="269"/>
      <c r="O27" s="269"/>
      <c r="P27" s="269"/>
      <c r="Q27" s="269"/>
      <c r="R27" s="270"/>
    </row>
    <row r="28" spans="2:18" x14ac:dyDescent="0.2">
      <c r="B28" s="268"/>
      <c r="C28" s="269"/>
      <c r="D28" s="269"/>
      <c r="E28" s="269"/>
      <c r="F28" s="269"/>
      <c r="G28" s="269"/>
      <c r="H28" s="269"/>
      <c r="I28" s="269"/>
      <c r="J28" s="269"/>
      <c r="K28" s="269"/>
      <c r="L28" s="269"/>
      <c r="M28" s="269"/>
      <c r="N28" s="269"/>
      <c r="O28" s="269"/>
      <c r="P28" s="269"/>
      <c r="Q28" s="269"/>
      <c r="R28" s="270"/>
    </row>
    <row r="29" spans="2:18" x14ac:dyDescent="0.2">
      <c r="B29" s="268"/>
      <c r="C29" s="269"/>
      <c r="D29" s="269"/>
      <c r="E29" s="269"/>
      <c r="F29" s="269"/>
      <c r="G29" s="269"/>
      <c r="H29" s="269"/>
      <c r="I29" s="269"/>
      <c r="J29" s="269"/>
      <c r="K29" s="269"/>
      <c r="L29" s="269"/>
      <c r="M29" s="269"/>
      <c r="N29" s="269"/>
      <c r="O29" s="269"/>
      <c r="P29" s="269"/>
      <c r="Q29" s="269"/>
      <c r="R29" s="270"/>
    </row>
    <row r="30" spans="2:18" x14ac:dyDescent="0.2">
      <c r="B30" s="268"/>
      <c r="C30" s="269"/>
      <c r="D30" s="269"/>
      <c r="E30" s="269"/>
      <c r="F30" s="269"/>
      <c r="G30" s="269"/>
      <c r="H30" s="269"/>
      <c r="I30" s="269"/>
      <c r="J30" s="269"/>
      <c r="K30" s="269"/>
      <c r="L30" s="269"/>
      <c r="M30" s="269"/>
      <c r="N30" s="269"/>
      <c r="O30" s="269"/>
      <c r="P30" s="269"/>
      <c r="Q30" s="269"/>
      <c r="R30" s="270"/>
    </row>
    <row r="31" spans="2:18" x14ac:dyDescent="0.2">
      <c r="B31" s="268"/>
      <c r="C31" s="269"/>
      <c r="D31" s="269"/>
      <c r="E31" s="269"/>
      <c r="F31" s="269"/>
      <c r="G31" s="269"/>
      <c r="H31" s="269"/>
      <c r="I31" s="269"/>
      <c r="J31" s="269"/>
      <c r="K31" s="269"/>
      <c r="L31" s="269"/>
      <c r="M31" s="269"/>
      <c r="N31" s="269"/>
      <c r="O31" s="269"/>
      <c r="P31" s="269"/>
      <c r="Q31" s="269"/>
      <c r="R31" s="270"/>
    </row>
    <row r="32" spans="2:18" ht="15.75" thickBot="1" x14ac:dyDescent="0.25">
      <c r="B32" s="271"/>
      <c r="C32" s="272"/>
      <c r="D32" s="272"/>
      <c r="E32" s="272"/>
      <c r="F32" s="272"/>
      <c r="G32" s="272"/>
      <c r="H32" s="272"/>
      <c r="I32" s="272"/>
      <c r="J32" s="272"/>
      <c r="K32" s="272"/>
      <c r="L32" s="272"/>
      <c r="M32" s="272"/>
      <c r="N32" s="272"/>
      <c r="O32" s="272"/>
      <c r="P32" s="272"/>
      <c r="Q32" s="272"/>
      <c r="R32" s="273"/>
    </row>
    <row r="33" spans="3:16" x14ac:dyDescent="0.2">
      <c r="P33" s="52"/>
    </row>
    <row r="34" spans="3:16" x14ac:dyDescent="0.2">
      <c r="C34" s="179"/>
      <c r="D34" s="180"/>
      <c r="P34" s="52"/>
    </row>
    <row r="35" spans="3:16" x14ac:dyDescent="0.2">
      <c r="C35" s="250"/>
      <c r="D35" s="249"/>
      <c r="P35" s="52"/>
    </row>
    <row r="36" spans="3:16" x14ac:dyDescent="0.2">
      <c r="C36" s="250"/>
      <c r="D36" s="249"/>
      <c r="P36" s="52"/>
    </row>
    <row r="37" spans="3:16" x14ac:dyDescent="0.2">
      <c r="C37" s="250"/>
      <c r="D37" s="249"/>
      <c r="P37" s="52"/>
    </row>
    <row r="38" spans="3:16" x14ac:dyDescent="0.2">
      <c r="C38" s="250"/>
      <c r="D38" s="249"/>
      <c r="P38" s="52"/>
    </row>
    <row r="39" spans="3:16" x14ac:dyDescent="0.2">
      <c r="C39" s="250"/>
      <c r="D39" s="249"/>
      <c r="P39" s="52"/>
    </row>
    <row r="40" spans="3:16" x14ac:dyDescent="0.2">
      <c r="C40" s="250"/>
      <c r="D40" s="249"/>
      <c r="P40" s="52"/>
    </row>
    <row r="41" spans="3:16" x14ac:dyDescent="0.2">
      <c r="C41" s="250"/>
      <c r="D41" s="249"/>
      <c r="P41" s="52"/>
    </row>
    <row r="42" spans="3:16" x14ac:dyDescent="0.2">
      <c r="C42" s="179"/>
      <c r="D42" s="180"/>
      <c r="P42" s="52"/>
    </row>
    <row r="43" spans="3:16" x14ac:dyDescent="0.2">
      <c r="C43" s="179"/>
      <c r="D43" s="180"/>
      <c r="P43" s="52"/>
    </row>
    <row r="44" spans="3:16" x14ac:dyDescent="0.2">
      <c r="C44" s="179"/>
      <c r="D44" s="180"/>
      <c r="P44" s="52"/>
    </row>
    <row r="45" spans="3:16" x14ac:dyDescent="0.2">
      <c r="D45" s="180"/>
      <c r="P45" s="52"/>
    </row>
    <row r="46" spans="3:16" x14ac:dyDescent="0.2">
      <c r="P46" s="52"/>
    </row>
    <row r="47" spans="3:16" x14ac:dyDescent="0.2">
      <c r="P47" s="52"/>
    </row>
    <row r="48" spans="3:16" x14ac:dyDescent="0.2">
      <c r="P48" s="52"/>
    </row>
    <row r="49" spans="16:16" x14ac:dyDescent="0.2">
      <c r="P49" s="52"/>
    </row>
    <row r="50" spans="16:16" x14ac:dyDescent="0.2">
      <c r="P50" s="52"/>
    </row>
    <row r="51" spans="16:16" x14ac:dyDescent="0.2">
      <c r="P51" s="52"/>
    </row>
    <row r="52" spans="16:16" x14ac:dyDescent="0.2">
      <c r="P52" s="52"/>
    </row>
    <row r="53" spans="16:16" x14ac:dyDescent="0.2">
      <c r="P53" s="52"/>
    </row>
    <row r="54" spans="16:16" x14ac:dyDescent="0.2">
      <c r="P54" s="52"/>
    </row>
    <row r="55" spans="16:16" x14ac:dyDescent="0.2">
      <c r="P55" s="52"/>
    </row>
    <row r="56" spans="16:16" x14ac:dyDescent="0.2">
      <c r="P56" s="52"/>
    </row>
    <row r="57" spans="16:16" x14ac:dyDescent="0.2">
      <c r="P57" s="52"/>
    </row>
    <row r="58" spans="16:16" x14ac:dyDescent="0.2">
      <c r="P58" s="52"/>
    </row>
    <row r="59" spans="16:16" x14ac:dyDescent="0.2">
      <c r="P59" s="52"/>
    </row>
    <row r="60" spans="16:16" x14ac:dyDescent="0.2">
      <c r="P60" s="52"/>
    </row>
    <row r="61" spans="16:16" x14ac:dyDescent="0.2">
      <c r="P61" s="52"/>
    </row>
    <row r="62" spans="16:16" x14ac:dyDescent="0.2">
      <c r="P62" s="52"/>
    </row>
    <row r="63" spans="16:16" x14ac:dyDescent="0.2">
      <c r="P63" s="52"/>
    </row>
    <row r="64" spans="16:16" x14ac:dyDescent="0.2">
      <c r="P64" s="52"/>
    </row>
    <row r="65" spans="16:16" x14ac:dyDescent="0.2">
      <c r="P65" s="52"/>
    </row>
    <row r="66" spans="16:16" x14ac:dyDescent="0.2">
      <c r="P66" s="52"/>
    </row>
    <row r="67" spans="16:16" x14ac:dyDescent="0.2">
      <c r="P67" s="52"/>
    </row>
    <row r="68" spans="16:16" x14ac:dyDescent="0.2">
      <c r="P68" s="52"/>
    </row>
    <row r="69" spans="16:16" x14ac:dyDescent="0.2">
      <c r="P69" s="52"/>
    </row>
    <row r="70" spans="16:16" x14ac:dyDescent="0.2">
      <c r="P70" s="52"/>
    </row>
    <row r="71" spans="16:16" x14ac:dyDescent="0.2">
      <c r="P71" s="52"/>
    </row>
    <row r="72" spans="16:16" x14ac:dyDescent="0.2">
      <c r="P72" s="52"/>
    </row>
    <row r="73" spans="16:16" x14ac:dyDescent="0.2">
      <c r="P73" s="52"/>
    </row>
    <row r="74" spans="16:16" x14ac:dyDescent="0.2">
      <c r="P74" s="52"/>
    </row>
    <row r="75" spans="16:16" x14ac:dyDescent="0.2">
      <c r="P75" s="52"/>
    </row>
    <row r="76" spans="16:16" x14ac:dyDescent="0.2">
      <c r="P76" s="52"/>
    </row>
    <row r="77" spans="16:16" x14ac:dyDescent="0.2">
      <c r="P77" s="52"/>
    </row>
    <row r="78" spans="16:16" x14ac:dyDescent="0.2">
      <c r="P78" s="52"/>
    </row>
    <row r="79" spans="16:16" x14ac:dyDescent="0.2">
      <c r="P79" s="52"/>
    </row>
    <row r="80" spans="16:16" x14ac:dyDescent="0.2">
      <c r="P80" s="52"/>
    </row>
    <row r="81" spans="16:16" x14ac:dyDescent="0.2">
      <c r="P81" s="52"/>
    </row>
    <row r="82" spans="16:16" x14ac:dyDescent="0.2">
      <c r="P82" s="52"/>
    </row>
    <row r="83" spans="16:16" x14ac:dyDescent="0.2">
      <c r="P83" s="52"/>
    </row>
    <row r="84" spans="16:16" x14ac:dyDescent="0.2">
      <c r="P84" s="52"/>
    </row>
    <row r="85" spans="16:16" x14ac:dyDescent="0.2">
      <c r="P85" s="52"/>
    </row>
    <row r="86" spans="16:16" x14ac:dyDescent="0.2">
      <c r="P86" s="52"/>
    </row>
    <row r="87" spans="16:16" x14ac:dyDescent="0.2">
      <c r="P87" s="52"/>
    </row>
    <row r="88" spans="16:16" x14ac:dyDescent="0.2">
      <c r="P88" s="52"/>
    </row>
    <row r="89" spans="16:16" x14ac:dyDescent="0.2">
      <c r="P89" s="52"/>
    </row>
    <row r="90" spans="16:16" x14ac:dyDescent="0.2">
      <c r="P90" s="52"/>
    </row>
    <row r="91" spans="16:16" x14ac:dyDescent="0.2">
      <c r="P91" s="52"/>
    </row>
    <row r="92" spans="16:16" x14ac:dyDescent="0.2">
      <c r="P92" s="52"/>
    </row>
    <row r="93" spans="16:16" x14ac:dyDescent="0.2">
      <c r="P93" s="52"/>
    </row>
    <row r="94" spans="16:16" x14ac:dyDescent="0.2">
      <c r="P94" s="52"/>
    </row>
    <row r="95" spans="16:16" x14ac:dyDescent="0.2">
      <c r="P95" s="52"/>
    </row>
    <row r="96" spans="16:16" x14ac:dyDescent="0.2">
      <c r="P96" s="52"/>
    </row>
    <row r="97" spans="16:16" x14ac:dyDescent="0.2">
      <c r="P97" s="52"/>
    </row>
    <row r="98" spans="16:16" x14ac:dyDescent="0.2">
      <c r="P98" s="52"/>
    </row>
    <row r="99" spans="16:16" x14ac:dyDescent="0.2">
      <c r="P99" s="52"/>
    </row>
    <row r="100" spans="16:16" x14ac:dyDescent="0.2">
      <c r="P100" s="52"/>
    </row>
    <row r="101" spans="16:16" x14ac:dyDescent="0.2">
      <c r="P101" s="52"/>
    </row>
    <row r="102" spans="16:16" x14ac:dyDescent="0.2">
      <c r="P102" s="52"/>
    </row>
    <row r="103" spans="16:16" x14ac:dyDescent="0.2">
      <c r="P103" s="52"/>
    </row>
    <row r="104" spans="16:16" x14ac:dyDescent="0.2">
      <c r="P104" s="52"/>
    </row>
    <row r="105" spans="16:16" x14ac:dyDescent="0.2">
      <c r="P105" s="52"/>
    </row>
    <row r="106" spans="16:16" x14ac:dyDescent="0.2">
      <c r="P106" s="52"/>
    </row>
    <row r="107" spans="16:16" x14ac:dyDescent="0.2">
      <c r="P107" s="52"/>
    </row>
    <row r="108" spans="16:16" x14ac:dyDescent="0.2">
      <c r="P108" s="52"/>
    </row>
    <row r="109" spans="16:16" x14ac:dyDescent="0.2">
      <c r="P109" s="52"/>
    </row>
    <row r="110" spans="16:16" x14ac:dyDescent="0.2">
      <c r="P110" s="52"/>
    </row>
    <row r="111" spans="16:16" x14ac:dyDescent="0.2">
      <c r="P111" s="52"/>
    </row>
    <row r="112" spans="16:16" x14ac:dyDescent="0.2">
      <c r="P112" s="52"/>
    </row>
    <row r="113" spans="16:16" x14ac:dyDescent="0.2">
      <c r="P113" s="52"/>
    </row>
    <row r="114" spans="16:16" x14ac:dyDescent="0.2">
      <c r="P114" s="52"/>
    </row>
    <row r="115" spans="16:16" x14ac:dyDescent="0.2">
      <c r="P115" s="52"/>
    </row>
    <row r="116" spans="16:16" x14ac:dyDescent="0.2">
      <c r="P116" s="52"/>
    </row>
    <row r="117" spans="16:16" x14ac:dyDescent="0.2">
      <c r="P117" s="52"/>
    </row>
    <row r="118" spans="16:16" x14ac:dyDescent="0.2">
      <c r="P118" s="52"/>
    </row>
    <row r="119" spans="16:16" x14ac:dyDescent="0.2">
      <c r="P119" s="52"/>
    </row>
    <row r="120" spans="16:16" x14ac:dyDescent="0.2">
      <c r="P120" s="52"/>
    </row>
    <row r="121" spans="16:16" x14ac:dyDescent="0.2">
      <c r="P121" s="52"/>
    </row>
    <row r="122" spans="16:16" x14ac:dyDescent="0.2">
      <c r="P122" s="52"/>
    </row>
    <row r="123" spans="16:16" x14ac:dyDescent="0.2">
      <c r="P123" s="52"/>
    </row>
    <row r="124" spans="16:16" x14ac:dyDescent="0.2">
      <c r="P124" s="52"/>
    </row>
    <row r="125" spans="16:16" x14ac:dyDescent="0.2">
      <c r="P125" s="52"/>
    </row>
    <row r="126" spans="16:16" x14ac:dyDescent="0.2">
      <c r="P126" s="52"/>
    </row>
    <row r="127" spans="16:16" x14ac:dyDescent="0.2">
      <c r="P127" s="52"/>
    </row>
    <row r="128" spans="16:16" x14ac:dyDescent="0.2">
      <c r="P128" s="52"/>
    </row>
    <row r="129" spans="16:16" x14ac:dyDescent="0.2">
      <c r="P129" s="52"/>
    </row>
    <row r="130" spans="16:16" x14ac:dyDescent="0.2">
      <c r="P130" s="52"/>
    </row>
    <row r="131" spans="16:16" x14ac:dyDescent="0.2">
      <c r="P131" s="52"/>
    </row>
    <row r="132" spans="16:16" x14ac:dyDescent="0.2">
      <c r="P132" s="52"/>
    </row>
    <row r="133" spans="16:16" x14ac:dyDescent="0.2">
      <c r="P133" s="52"/>
    </row>
    <row r="134" spans="16:16" x14ac:dyDescent="0.2">
      <c r="P134" s="52"/>
    </row>
    <row r="135" spans="16:16" x14ac:dyDescent="0.2">
      <c r="P135" s="52"/>
    </row>
    <row r="136" spans="16:16" x14ac:dyDescent="0.2">
      <c r="P136" s="52"/>
    </row>
    <row r="137" spans="16:16" x14ac:dyDescent="0.2">
      <c r="P137" s="52"/>
    </row>
    <row r="138" spans="16:16" x14ac:dyDescent="0.2">
      <c r="P138" s="52"/>
    </row>
    <row r="139" spans="16:16" x14ac:dyDescent="0.2">
      <c r="P139" s="52"/>
    </row>
    <row r="140" spans="16:16" x14ac:dyDescent="0.2">
      <c r="P140" s="52"/>
    </row>
    <row r="141" spans="16:16" x14ac:dyDescent="0.2">
      <c r="P141" s="52"/>
    </row>
    <row r="142" spans="16:16" x14ac:dyDescent="0.2">
      <c r="P142" s="52"/>
    </row>
    <row r="143" spans="16:16" x14ac:dyDescent="0.2">
      <c r="P143" s="52"/>
    </row>
    <row r="144" spans="16:16" x14ac:dyDescent="0.2">
      <c r="P144" s="52"/>
    </row>
    <row r="145" spans="16:16" x14ac:dyDescent="0.2">
      <c r="P145" s="52"/>
    </row>
    <row r="146" spans="16:16" x14ac:dyDescent="0.2">
      <c r="P146" s="52"/>
    </row>
    <row r="147" spans="16:16" x14ac:dyDescent="0.2">
      <c r="P147" s="52"/>
    </row>
    <row r="148" spans="16:16" x14ac:dyDescent="0.2">
      <c r="P148" s="52"/>
    </row>
    <row r="149" spans="16:16" x14ac:dyDescent="0.2">
      <c r="P149" s="52"/>
    </row>
    <row r="150" spans="16:16" x14ac:dyDescent="0.2">
      <c r="P150" s="52"/>
    </row>
    <row r="151" spans="16:16" x14ac:dyDescent="0.2">
      <c r="P151" s="52"/>
    </row>
    <row r="152" spans="16:16" x14ac:dyDescent="0.2">
      <c r="P152" s="52"/>
    </row>
    <row r="153" spans="16:16" x14ac:dyDescent="0.2">
      <c r="P153" s="52"/>
    </row>
    <row r="154" spans="16:16" x14ac:dyDescent="0.2">
      <c r="P154" s="52"/>
    </row>
    <row r="155" spans="16:16" x14ac:dyDescent="0.2">
      <c r="P155" s="52"/>
    </row>
    <row r="156" spans="16:16" x14ac:dyDescent="0.2">
      <c r="P156" s="52"/>
    </row>
    <row r="157" spans="16:16" x14ac:dyDescent="0.2">
      <c r="P157" s="52"/>
    </row>
    <row r="158" spans="16:16" x14ac:dyDescent="0.2">
      <c r="P158" s="52"/>
    </row>
    <row r="159" spans="16:16" x14ac:dyDescent="0.2">
      <c r="P159" s="52"/>
    </row>
    <row r="160" spans="16:16" x14ac:dyDescent="0.2">
      <c r="P160" s="52"/>
    </row>
    <row r="161" spans="16:16" x14ac:dyDescent="0.2">
      <c r="P161" s="52"/>
    </row>
    <row r="162" spans="16:16" x14ac:dyDescent="0.2">
      <c r="P162" s="52"/>
    </row>
    <row r="163" spans="16:16" x14ac:dyDescent="0.2">
      <c r="P163" s="52"/>
    </row>
    <row r="164" spans="16:16" x14ac:dyDescent="0.2">
      <c r="P164" s="52"/>
    </row>
    <row r="165" spans="16:16" x14ac:dyDescent="0.2">
      <c r="P165" s="52"/>
    </row>
    <row r="166" spans="16:16" x14ac:dyDescent="0.2">
      <c r="P166" s="52"/>
    </row>
    <row r="167" spans="16:16" x14ac:dyDescent="0.2">
      <c r="P167" s="52"/>
    </row>
    <row r="168" spans="16:16" x14ac:dyDescent="0.2">
      <c r="P168" s="52"/>
    </row>
    <row r="169" spans="16:16" x14ac:dyDescent="0.2">
      <c r="P169" s="52"/>
    </row>
    <row r="170" spans="16:16" x14ac:dyDescent="0.2">
      <c r="P170" s="52"/>
    </row>
    <row r="171" spans="16:16" x14ac:dyDescent="0.2">
      <c r="P171" s="52"/>
    </row>
    <row r="172" spans="16:16" x14ac:dyDescent="0.2">
      <c r="P172" s="52"/>
    </row>
    <row r="173" spans="16:16" x14ac:dyDescent="0.2">
      <c r="P173" s="52"/>
    </row>
    <row r="174" spans="16:16" x14ac:dyDescent="0.2">
      <c r="P174" s="52"/>
    </row>
    <row r="175" spans="16:16" x14ac:dyDescent="0.2">
      <c r="P175" s="52"/>
    </row>
    <row r="176" spans="16:16" x14ac:dyDescent="0.2">
      <c r="P176" s="52"/>
    </row>
    <row r="177" spans="16:16" x14ac:dyDescent="0.2">
      <c r="P177" s="52"/>
    </row>
    <row r="178" spans="16:16" x14ac:dyDescent="0.2">
      <c r="P178" s="52"/>
    </row>
    <row r="179" spans="16:16" x14ac:dyDescent="0.2">
      <c r="P179" s="52"/>
    </row>
    <row r="180" spans="16:16" x14ac:dyDescent="0.2">
      <c r="P180" s="52"/>
    </row>
    <row r="181" spans="16:16" x14ac:dyDescent="0.2">
      <c r="P181" s="52"/>
    </row>
    <row r="182" spans="16:16" x14ac:dyDescent="0.2">
      <c r="P182" s="52"/>
    </row>
    <row r="183" spans="16:16" x14ac:dyDescent="0.2">
      <c r="P183" s="52"/>
    </row>
    <row r="184" spans="16:16" x14ac:dyDescent="0.2">
      <c r="P184" s="52"/>
    </row>
    <row r="185" spans="16:16" x14ac:dyDescent="0.2">
      <c r="P185" s="52"/>
    </row>
    <row r="186" spans="16:16" x14ac:dyDescent="0.2">
      <c r="P186" s="52"/>
    </row>
    <row r="187" spans="16:16" x14ac:dyDescent="0.2">
      <c r="P187" s="52"/>
    </row>
    <row r="188" spans="16:16" x14ac:dyDescent="0.2">
      <c r="P188" s="52"/>
    </row>
    <row r="189" spans="16:16" x14ac:dyDescent="0.2">
      <c r="P189" s="52"/>
    </row>
    <row r="190" spans="16:16" x14ac:dyDescent="0.2">
      <c r="P190" s="52"/>
    </row>
    <row r="191" spans="16:16" x14ac:dyDescent="0.2">
      <c r="P191" s="52"/>
    </row>
    <row r="192" spans="16:16" x14ac:dyDescent="0.2">
      <c r="P192" s="52"/>
    </row>
    <row r="193" spans="16:16" x14ac:dyDescent="0.2">
      <c r="P193" s="52"/>
    </row>
    <row r="194" spans="16:16" x14ac:dyDescent="0.2">
      <c r="P194" s="52"/>
    </row>
    <row r="195" spans="16:16" x14ac:dyDescent="0.2">
      <c r="P195" s="52"/>
    </row>
    <row r="196" spans="16:16" x14ac:dyDescent="0.2">
      <c r="P196" s="52"/>
    </row>
    <row r="197" spans="16:16" x14ac:dyDescent="0.2">
      <c r="P197" s="52"/>
    </row>
    <row r="198" spans="16:16" x14ac:dyDescent="0.2">
      <c r="P198" s="52"/>
    </row>
    <row r="199" spans="16:16" x14ac:dyDescent="0.2">
      <c r="P199" s="52"/>
    </row>
    <row r="200" spans="16:16" x14ac:dyDescent="0.2">
      <c r="P200" s="52"/>
    </row>
    <row r="201" spans="16:16" x14ac:dyDescent="0.2">
      <c r="P201" s="52"/>
    </row>
    <row r="202" spans="16:16" x14ac:dyDescent="0.2">
      <c r="P202" s="52"/>
    </row>
    <row r="203" spans="16:16" x14ac:dyDescent="0.2">
      <c r="P203" s="52"/>
    </row>
    <row r="204" spans="16:16" x14ac:dyDescent="0.2">
      <c r="P204" s="52"/>
    </row>
    <row r="205" spans="16:16" x14ac:dyDescent="0.2">
      <c r="P205" s="52"/>
    </row>
    <row r="206" spans="16:16" x14ac:dyDescent="0.2">
      <c r="P206" s="52"/>
    </row>
    <row r="207" spans="16:16" x14ac:dyDescent="0.2">
      <c r="P207" s="52"/>
    </row>
    <row r="208" spans="16:16" x14ac:dyDescent="0.2">
      <c r="P208" s="52"/>
    </row>
    <row r="209" spans="16:16" x14ac:dyDescent="0.2">
      <c r="P209" s="52"/>
    </row>
    <row r="210" spans="16:16" x14ac:dyDescent="0.2">
      <c r="P210" s="52"/>
    </row>
    <row r="211" spans="16:16" x14ac:dyDescent="0.2">
      <c r="P211" s="52"/>
    </row>
    <row r="212" spans="16:16" x14ac:dyDescent="0.2">
      <c r="P212" s="52"/>
    </row>
    <row r="213" spans="16:16" x14ac:dyDescent="0.2">
      <c r="P213" s="52"/>
    </row>
    <row r="214" spans="16:16" x14ac:dyDescent="0.2">
      <c r="P214" s="52"/>
    </row>
    <row r="215" spans="16:16" x14ac:dyDescent="0.2">
      <c r="P215" s="52"/>
    </row>
    <row r="216" spans="16:16" x14ac:dyDescent="0.2">
      <c r="P216" s="52"/>
    </row>
    <row r="217" spans="16:16" x14ac:dyDescent="0.2">
      <c r="P217" s="52"/>
    </row>
    <row r="218" spans="16:16" x14ac:dyDescent="0.2">
      <c r="P218" s="52"/>
    </row>
    <row r="219" spans="16:16" x14ac:dyDescent="0.2">
      <c r="P219" s="52"/>
    </row>
    <row r="220" spans="16:16" x14ac:dyDescent="0.2">
      <c r="P220" s="52"/>
    </row>
    <row r="221" spans="16:16" x14ac:dyDescent="0.2">
      <c r="P221" s="52"/>
    </row>
    <row r="222" spans="16:16" x14ac:dyDescent="0.2">
      <c r="P222" s="52"/>
    </row>
    <row r="223" spans="16:16" x14ac:dyDescent="0.2">
      <c r="P223" s="52"/>
    </row>
    <row r="224" spans="16:16" x14ac:dyDescent="0.2">
      <c r="P224" s="52"/>
    </row>
    <row r="225" spans="16:16" x14ac:dyDescent="0.2">
      <c r="P225" s="52"/>
    </row>
    <row r="226" spans="16:16" x14ac:dyDescent="0.2">
      <c r="P226" s="52"/>
    </row>
    <row r="227" spans="16:16" x14ac:dyDescent="0.2">
      <c r="P227" s="52"/>
    </row>
    <row r="228" spans="16:16" x14ac:dyDescent="0.2">
      <c r="P228" s="52"/>
    </row>
    <row r="229" spans="16:16" x14ac:dyDescent="0.2">
      <c r="P229" s="52"/>
    </row>
    <row r="230" spans="16:16" x14ac:dyDescent="0.2">
      <c r="P230" s="52"/>
    </row>
    <row r="231" spans="16:16" x14ac:dyDescent="0.2">
      <c r="P231" s="52"/>
    </row>
    <row r="232" spans="16:16" x14ac:dyDescent="0.2">
      <c r="P232" s="52"/>
    </row>
    <row r="233" spans="16:16" x14ac:dyDescent="0.2">
      <c r="P233" s="52"/>
    </row>
    <row r="234" spans="16:16" x14ac:dyDescent="0.2">
      <c r="P234" s="52"/>
    </row>
    <row r="235" spans="16:16" x14ac:dyDescent="0.2">
      <c r="P235" s="52"/>
    </row>
    <row r="236" spans="16:16" x14ac:dyDescent="0.2">
      <c r="P236" s="52"/>
    </row>
    <row r="237" spans="16:16" x14ac:dyDescent="0.2">
      <c r="P237" s="52"/>
    </row>
    <row r="238" spans="16:16" x14ac:dyDescent="0.2">
      <c r="P238" s="52"/>
    </row>
    <row r="239" spans="16:16" x14ac:dyDescent="0.2">
      <c r="P239" s="52"/>
    </row>
    <row r="240" spans="16:16" x14ac:dyDescent="0.2">
      <c r="P240" s="52"/>
    </row>
    <row r="241" spans="16:16" x14ac:dyDescent="0.2">
      <c r="P241" s="52"/>
    </row>
    <row r="242" spans="16:16" x14ac:dyDescent="0.2">
      <c r="P242" s="52"/>
    </row>
    <row r="243" spans="16:16" x14ac:dyDescent="0.2">
      <c r="P243" s="52"/>
    </row>
    <row r="244" spans="16:16" x14ac:dyDescent="0.2">
      <c r="P244" s="52"/>
    </row>
    <row r="245" spans="16:16" x14ac:dyDescent="0.2">
      <c r="P245" s="52"/>
    </row>
    <row r="246" spans="16:16" x14ac:dyDescent="0.2">
      <c r="P246" s="52"/>
    </row>
    <row r="247" spans="16:16" x14ac:dyDescent="0.2">
      <c r="P247" s="52"/>
    </row>
    <row r="248" spans="16:16" x14ac:dyDescent="0.2">
      <c r="P248" s="52"/>
    </row>
    <row r="249" spans="16:16" x14ac:dyDescent="0.2">
      <c r="P249" s="52"/>
    </row>
    <row r="250" spans="16:16" x14ac:dyDescent="0.2">
      <c r="P250" s="52"/>
    </row>
    <row r="251" spans="16:16" x14ac:dyDescent="0.2">
      <c r="P251" s="52"/>
    </row>
    <row r="252" spans="16:16" x14ac:dyDescent="0.2">
      <c r="P252" s="52"/>
    </row>
    <row r="253" spans="16:16" x14ac:dyDescent="0.2">
      <c r="P253" s="52"/>
    </row>
    <row r="254" spans="16:16" x14ac:dyDescent="0.2">
      <c r="P254" s="52"/>
    </row>
    <row r="255" spans="16:16" x14ac:dyDescent="0.2">
      <c r="P255" s="52"/>
    </row>
    <row r="256" spans="16:16" x14ac:dyDescent="0.2">
      <c r="P256" s="52"/>
    </row>
    <row r="257" spans="16:16" x14ac:dyDescent="0.2">
      <c r="P257" s="52"/>
    </row>
    <row r="258" spans="16:16" x14ac:dyDescent="0.2">
      <c r="P258" s="52"/>
    </row>
    <row r="259" spans="16:16" x14ac:dyDescent="0.2">
      <c r="P259" s="52"/>
    </row>
    <row r="260" spans="16:16" x14ac:dyDescent="0.2">
      <c r="P260" s="52"/>
    </row>
    <row r="261" spans="16:16" x14ac:dyDescent="0.2">
      <c r="P261" s="52"/>
    </row>
    <row r="262" spans="16:16" x14ac:dyDescent="0.2">
      <c r="P262" s="52"/>
    </row>
    <row r="263" spans="16:16" x14ac:dyDescent="0.2">
      <c r="P263" s="52"/>
    </row>
    <row r="264" spans="16:16" x14ac:dyDescent="0.2">
      <c r="P264" s="52"/>
    </row>
    <row r="265" spans="16:16" x14ac:dyDescent="0.2">
      <c r="P265" s="52"/>
    </row>
    <row r="266" spans="16:16" x14ac:dyDescent="0.2">
      <c r="P266" s="52"/>
    </row>
    <row r="267" spans="16:16" x14ac:dyDescent="0.2">
      <c r="P267" s="52"/>
    </row>
    <row r="268" spans="16:16" x14ac:dyDescent="0.2">
      <c r="P268" s="52"/>
    </row>
    <row r="269" spans="16:16" x14ac:dyDescent="0.2">
      <c r="P269" s="52"/>
    </row>
    <row r="270" spans="16:16" x14ac:dyDescent="0.2">
      <c r="P270" s="52"/>
    </row>
    <row r="271" spans="16:16" x14ac:dyDescent="0.2">
      <c r="P271" s="52"/>
    </row>
    <row r="272" spans="16:16" x14ac:dyDescent="0.2">
      <c r="P272" s="52"/>
    </row>
    <row r="273" spans="16:16" x14ac:dyDescent="0.2">
      <c r="P273" s="52"/>
    </row>
    <row r="274" spans="16:16" x14ac:dyDescent="0.2">
      <c r="P274" s="52"/>
    </row>
    <row r="275" spans="16:16" x14ac:dyDescent="0.2">
      <c r="P275" s="52"/>
    </row>
    <row r="276" spans="16:16" x14ac:dyDescent="0.2">
      <c r="P276" s="52"/>
    </row>
    <row r="277" spans="16:16" x14ac:dyDescent="0.2">
      <c r="P277" s="52"/>
    </row>
    <row r="278" spans="16:16" x14ac:dyDescent="0.2">
      <c r="P278" s="52"/>
    </row>
    <row r="279" spans="16:16" x14ac:dyDescent="0.2">
      <c r="P279" s="52"/>
    </row>
    <row r="280" spans="16:16" x14ac:dyDescent="0.2">
      <c r="P280" s="52"/>
    </row>
    <row r="281" spans="16:16" x14ac:dyDescent="0.2">
      <c r="P281" s="52"/>
    </row>
    <row r="282" spans="16:16" x14ac:dyDescent="0.2">
      <c r="P282" s="52"/>
    </row>
    <row r="283" spans="16:16" x14ac:dyDescent="0.2">
      <c r="P283" s="52"/>
    </row>
    <row r="284" spans="16:16" x14ac:dyDescent="0.2">
      <c r="P284" s="52"/>
    </row>
    <row r="285" spans="16:16" x14ac:dyDescent="0.2">
      <c r="P285" s="52"/>
    </row>
    <row r="286" spans="16:16" x14ac:dyDescent="0.2">
      <c r="P286" s="52"/>
    </row>
    <row r="287" spans="16:16" x14ac:dyDescent="0.2">
      <c r="P287" s="52"/>
    </row>
    <row r="288" spans="16:16" x14ac:dyDescent="0.2">
      <c r="P288" s="52"/>
    </row>
    <row r="289" spans="16:16" x14ac:dyDescent="0.2">
      <c r="P289" s="52"/>
    </row>
    <row r="290" spans="16:16" x14ac:dyDescent="0.2">
      <c r="P290" s="52"/>
    </row>
    <row r="291" spans="16:16" x14ac:dyDescent="0.2">
      <c r="P291" s="52"/>
    </row>
    <row r="292" spans="16:16" x14ac:dyDescent="0.2">
      <c r="P292" s="52"/>
    </row>
    <row r="293" spans="16:16" x14ac:dyDescent="0.2">
      <c r="P293" s="52"/>
    </row>
    <row r="294" spans="16:16" x14ac:dyDescent="0.2">
      <c r="P294" s="52"/>
    </row>
    <row r="295" spans="16:16" x14ac:dyDescent="0.2">
      <c r="P295" s="52"/>
    </row>
    <row r="296" spans="16:16" x14ac:dyDescent="0.2">
      <c r="P296" s="52"/>
    </row>
    <row r="297" spans="16:16" x14ac:dyDescent="0.2">
      <c r="P297" s="52"/>
    </row>
    <row r="298" spans="16:16" x14ac:dyDescent="0.2">
      <c r="P298" s="52"/>
    </row>
    <row r="299" spans="16:16" x14ac:dyDescent="0.2">
      <c r="P299" s="52"/>
    </row>
    <row r="300" spans="16:16" x14ac:dyDescent="0.2">
      <c r="P300" s="52"/>
    </row>
    <row r="301" spans="16:16" x14ac:dyDescent="0.2">
      <c r="P301" s="52"/>
    </row>
    <row r="302" spans="16:16" x14ac:dyDescent="0.2">
      <c r="P302" s="52"/>
    </row>
    <row r="303" spans="16:16" x14ac:dyDescent="0.2">
      <c r="P303" s="52"/>
    </row>
    <row r="304" spans="16:16" x14ac:dyDescent="0.2">
      <c r="P304" s="52"/>
    </row>
    <row r="305" spans="16:16" x14ac:dyDescent="0.2">
      <c r="P305" s="52"/>
    </row>
    <row r="306" spans="16:16" x14ac:dyDescent="0.2">
      <c r="P306" s="52"/>
    </row>
    <row r="307" spans="16:16" x14ac:dyDescent="0.2">
      <c r="P307" s="52"/>
    </row>
    <row r="308" spans="16:16" x14ac:dyDescent="0.2">
      <c r="P308" s="52"/>
    </row>
    <row r="309" spans="16:16" x14ac:dyDescent="0.2">
      <c r="P309" s="52"/>
    </row>
    <row r="310" spans="16:16" x14ac:dyDescent="0.2">
      <c r="P310" s="52"/>
    </row>
    <row r="311" spans="16:16" x14ac:dyDescent="0.2">
      <c r="P311" s="52"/>
    </row>
    <row r="312" spans="16:16" x14ac:dyDescent="0.2">
      <c r="P312" s="52"/>
    </row>
    <row r="313" spans="16:16" x14ac:dyDescent="0.2">
      <c r="P313" s="52"/>
    </row>
    <row r="314" spans="16:16" x14ac:dyDescent="0.2">
      <c r="P314" s="52"/>
    </row>
    <row r="315" spans="16:16" x14ac:dyDescent="0.2">
      <c r="P315" s="52"/>
    </row>
    <row r="316" spans="16:16" x14ac:dyDescent="0.2">
      <c r="P316" s="52"/>
    </row>
    <row r="317" spans="16:16" x14ac:dyDescent="0.2">
      <c r="P317" s="52"/>
    </row>
    <row r="318" spans="16:16" x14ac:dyDescent="0.2">
      <c r="P318" s="52"/>
    </row>
    <row r="319" spans="16:16" x14ac:dyDescent="0.2">
      <c r="P319" s="52"/>
    </row>
    <row r="320" spans="16:16" x14ac:dyDescent="0.2">
      <c r="P320" s="52"/>
    </row>
    <row r="321" spans="16:16" x14ac:dyDescent="0.2">
      <c r="P321" s="52"/>
    </row>
    <row r="322" spans="16:16" x14ac:dyDescent="0.2">
      <c r="P322" s="52"/>
    </row>
    <row r="323" spans="16:16" x14ac:dyDescent="0.2">
      <c r="P323" s="52"/>
    </row>
    <row r="324" spans="16:16" x14ac:dyDescent="0.2">
      <c r="P324" s="52"/>
    </row>
    <row r="325" spans="16:16" x14ac:dyDescent="0.2">
      <c r="P325" s="52"/>
    </row>
    <row r="326" spans="16:16" x14ac:dyDescent="0.2">
      <c r="P326" s="52"/>
    </row>
    <row r="327" spans="16:16" x14ac:dyDescent="0.2">
      <c r="P327" s="52"/>
    </row>
    <row r="328" spans="16:16" x14ac:dyDescent="0.2">
      <c r="P328" s="52"/>
    </row>
    <row r="329" spans="16:16" x14ac:dyDescent="0.2">
      <c r="P329" s="52"/>
    </row>
    <row r="330" spans="16:16" x14ac:dyDescent="0.2">
      <c r="P330" s="52"/>
    </row>
    <row r="331" spans="16:16" x14ac:dyDescent="0.2">
      <c r="P331" s="52"/>
    </row>
    <row r="332" spans="16:16" x14ac:dyDescent="0.2">
      <c r="P332" s="52"/>
    </row>
    <row r="333" spans="16:16" x14ac:dyDescent="0.2">
      <c r="P333" s="52"/>
    </row>
    <row r="334" spans="16:16" x14ac:dyDescent="0.2">
      <c r="P334" s="52"/>
    </row>
    <row r="335" spans="16:16" x14ac:dyDescent="0.2">
      <c r="P335" s="52"/>
    </row>
    <row r="336" spans="16:16" x14ac:dyDescent="0.2">
      <c r="P336" s="52"/>
    </row>
    <row r="337" spans="16:16" x14ac:dyDescent="0.2">
      <c r="P337" s="52"/>
    </row>
    <row r="338" spans="16:16" x14ac:dyDescent="0.2">
      <c r="P338" s="52"/>
    </row>
    <row r="339" spans="16:16" x14ac:dyDescent="0.2">
      <c r="P339" s="52"/>
    </row>
    <row r="340" spans="16:16" x14ac:dyDescent="0.2">
      <c r="P340" s="52"/>
    </row>
    <row r="341" spans="16:16" x14ac:dyDescent="0.2">
      <c r="P341" s="52"/>
    </row>
    <row r="342" spans="16:16" x14ac:dyDescent="0.2">
      <c r="P342" s="52"/>
    </row>
    <row r="343" spans="16:16" x14ac:dyDescent="0.2">
      <c r="P343" s="52"/>
    </row>
    <row r="344" spans="16:16" x14ac:dyDescent="0.2">
      <c r="P344" s="52"/>
    </row>
    <row r="345" spans="16:16" x14ac:dyDescent="0.2">
      <c r="P345" s="52"/>
    </row>
    <row r="346" spans="16:16" x14ac:dyDescent="0.2">
      <c r="P346" s="52"/>
    </row>
    <row r="347" spans="16:16" x14ac:dyDescent="0.2">
      <c r="P347" s="52"/>
    </row>
    <row r="348" spans="16:16" x14ac:dyDescent="0.2">
      <c r="P348" s="52"/>
    </row>
    <row r="349" spans="16:16" x14ac:dyDescent="0.2">
      <c r="P349" s="52"/>
    </row>
    <row r="350" spans="16:16" x14ac:dyDescent="0.2">
      <c r="P350" s="52"/>
    </row>
    <row r="351" spans="16:16" x14ac:dyDescent="0.2">
      <c r="P351" s="52"/>
    </row>
    <row r="352" spans="16:16" x14ac:dyDescent="0.2">
      <c r="P352" s="52"/>
    </row>
    <row r="353" spans="16:16" x14ac:dyDescent="0.2">
      <c r="P353" s="52"/>
    </row>
    <row r="354" spans="16:16" x14ac:dyDescent="0.2">
      <c r="P354" s="52"/>
    </row>
    <row r="355" spans="16:16" x14ac:dyDescent="0.2">
      <c r="P355" s="52"/>
    </row>
    <row r="356" spans="16:16" x14ac:dyDescent="0.2">
      <c r="P356" s="52"/>
    </row>
    <row r="357" spans="16:16" x14ac:dyDescent="0.2">
      <c r="P357" s="52"/>
    </row>
    <row r="358" spans="16:16" x14ac:dyDescent="0.2">
      <c r="P358" s="52"/>
    </row>
    <row r="359" spans="16:16" x14ac:dyDescent="0.2">
      <c r="P359" s="52"/>
    </row>
    <row r="360" spans="16:16" x14ac:dyDescent="0.2">
      <c r="P360" s="52"/>
    </row>
    <row r="361" spans="16:16" x14ac:dyDescent="0.2">
      <c r="P361" s="52"/>
    </row>
    <row r="362" spans="16:16" x14ac:dyDescent="0.2">
      <c r="P362" s="52"/>
    </row>
    <row r="363" spans="16:16" x14ac:dyDescent="0.2">
      <c r="P363" s="52"/>
    </row>
    <row r="364" spans="16:16" x14ac:dyDescent="0.2">
      <c r="P364" s="52"/>
    </row>
    <row r="365" spans="16:16" x14ac:dyDescent="0.2">
      <c r="P365" s="52"/>
    </row>
    <row r="366" spans="16:16" x14ac:dyDescent="0.2">
      <c r="P366" s="52"/>
    </row>
    <row r="367" spans="16:16" x14ac:dyDescent="0.2">
      <c r="P367" s="52"/>
    </row>
    <row r="368" spans="16:16" x14ac:dyDescent="0.2">
      <c r="P368" s="52"/>
    </row>
    <row r="369" spans="16:16" x14ac:dyDescent="0.2">
      <c r="P369" s="52"/>
    </row>
    <row r="370" spans="16:16" x14ac:dyDescent="0.2">
      <c r="P370" s="52"/>
    </row>
    <row r="371" spans="16:16" x14ac:dyDescent="0.2">
      <c r="P371" s="52"/>
    </row>
    <row r="372" spans="16:16" x14ac:dyDescent="0.2">
      <c r="P372" s="52"/>
    </row>
    <row r="373" spans="16:16" x14ac:dyDescent="0.2">
      <c r="P373" s="52"/>
    </row>
    <row r="374" spans="16:16" x14ac:dyDescent="0.2">
      <c r="P374" s="52"/>
    </row>
    <row r="375" spans="16:16" x14ac:dyDescent="0.2">
      <c r="P375" s="52"/>
    </row>
    <row r="376" spans="16:16" x14ac:dyDescent="0.2">
      <c r="P376" s="52"/>
    </row>
    <row r="377" spans="16:16" x14ac:dyDescent="0.2">
      <c r="P377" s="52"/>
    </row>
    <row r="378" spans="16:16" x14ac:dyDescent="0.2">
      <c r="P378" s="52"/>
    </row>
    <row r="379" spans="16:16" x14ac:dyDescent="0.2">
      <c r="P379" s="52"/>
    </row>
    <row r="380" spans="16:16" x14ac:dyDescent="0.2">
      <c r="P380" s="52"/>
    </row>
    <row r="381" spans="16:16" x14ac:dyDescent="0.2">
      <c r="P381" s="52"/>
    </row>
    <row r="382" spans="16:16" x14ac:dyDescent="0.2">
      <c r="P382" s="52"/>
    </row>
    <row r="383" spans="16:16" x14ac:dyDescent="0.2">
      <c r="P383" s="52"/>
    </row>
    <row r="384" spans="16:16" x14ac:dyDescent="0.2">
      <c r="P384" s="52"/>
    </row>
    <row r="385" spans="16:16" x14ac:dyDescent="0.2">
      <c r="P385" s="52"/>
    </row>
    <row r="386" spans="16:16" x14ac:dyDescent="0.2">
      <c r="P386" s="52"/>
    </row>
    <row r="387" spans="16:16" x14ac:dyDescent="0.2">
      <c r="P387" s="52"/>
    </row>
    <row r="388" spans="16:16" x14ac:dyDescent="0.2">
      <c r="P388" s="52"/>
    </row>
    <row r="389" spans="16:16" x14ac:dyDescent="0.2">
      <c r="P389" s="52"/>
    </row>
    <row r="390" spans="16:16" x14ac:dyDescent="0.2">
      <c r="P390" s="52"/>
    </row>
    <row r="391" spans="16:16" x14ac:dyDescent="0.2">
      <c r="P391" s="52"/>
    </row>
    <row r="392" spans="16:16" x14ac:dyDescent="0.2">
      <c r="P392" s="52"/>
    </row>
    <row r="393" spans="16:16" x14ac:dyDescent="0.2">
      <c r="P393" s="52"/>
    </row>
    <row r="394" spans="16:16" x14ac:dyDescent="0.2">
      <c r="P394" s="52"/>
    </row>
    <row r="395" spans="16:16" x14ac:dyDescent="0.2">
      <c r="P395" s="52"/>
    </row>
    <row r="396" spans="16:16" x14ac:dyDescent="0.2">
      <c r="P396" s="52"/>
    </row>
    <row r="397" spans="16:16" x14ac:dyDescent="0.2">
      <c r="P397" s="52"/>
    </row>
    <row r="398" spans="16:16" x14ac:dyDescent="0.2">
      <c r="P398" s="52"/>
    </row>
    <row r="399" spans="16:16" x14ac:dyDescent="0.2">
      <c r="P399" s="52"/>
    </row>
    <row r="400" spans="16:16" x14ac:dyDescent="0.2">
      <c r="P400" s="52"/>
    </row>
    <row r="401" spans="16:16" x14ac:dyDescent="0.2">
      <c r="P401" s="52"/>
    </row>
    <row r="402" spans="16:16" x14ac:dyDescent="0.2">
      <c r="P402" s="52"/>
    </row>
    <row r="403" spans="16:16" x14ac:dyDescent="0.2">
      <c r="P403" s="52"/>
    </row>
    <row r="404" spans="16:16" x14ac:dyDescent="0.2">
      <c r="P404" s="52"/>
    </row>
    <row r="405" spans="16:16" x14ac:dyDescent="0.2">
      <c r="P405" s="52"/>
    </row>
    <row r="406" spans="16:16" x14ac:dyDescent="0.2">
      <c r="P406" s="52"/>
    </row>
    <row r="407" spans="16:16" x14ac:dyDescent="0.2">
      <c r="P407" s="52"/>
    </row>
    <row r="408" spans="16:16" x14ac:dyDescent="0.2">
      <c r="P408" s="52"/>
    </row>
    <row r="409" spans="16:16" x14ac:dyDescent="0.2">
      <c r="P409" s="52"/>
    </row>
    <row r="410" spans="16:16" x14ac:dyDescent="0.2">
      <c r="P410" s="52"/>
    </row>
    <row r="411" spans="16:16" x14ac:dyDescent="0.2">
      <c r="P411" s="52"/>
    </row>
    <row r="412" spans="16:16" x14ac:dyDescent="0.2">
      <c r="P412" s="52"/>
    </row>
    <row r="413" spans="16:16" x14ac:dyDescent="0.2">
      <c r="P413" s="52"/>
    </row>
    <row r="414" spans="16:16" x14ac:dyDescent="0.2">
      <c r="P414" s="52"/>
    </row>
    <row r="415" spans="16:16" x14ac:dyDescent="0.2">
      <c r="P415" s="52"/>
    </row>
    <row r="416" spans="16:16" x14ac:dyDescent="0.2">
      <c r="P416" s="52"/>
    </row>
    <row r="417" spans="16:16" x14ac:dyDescent="0.2">
      <c r="P417" s="52"/>
    </row>
    <row r="418" spans="16:16" x14ac:dyDescent="0.2">
      <c r="P418" s="52"/>
    </row>
    <row r="419" spans="16:16" x14ac:dyDescent="0.2">
      <c r="P419" s="52"/>
    </row>
    <row r="420" spans="16:16" x14ac:dyDescent="0.2">
      <c r="P420" s="52"/>
    </row>
    <row r="421" spans="16:16" x14ac:dyDescent="0.2">
      <c r="P421" s="52"/>
    </row>
    <row r="422" spans="16:16" x14ac:dyDescent="0.2">
      <c r="P422" s="52"/>
    </row>
    <row r="423" spans="16:16" x14ac:dyDescent="0.2">
      <c r="P423" s="52"/>
    </row>
    <row r="424" spans="16:16" x14ac:dyDescent="0.2">
      <c r="P424" s="52"/>
    </row>
    <row r="425" spans="16:16" x14ac:dyDescent="0.2">
      <c r="P425" s="52"/>
    </row>
    <row r="426" spans="16:16" x14ac:dyDescent="0.2">
      <c r="P426" s="52"/>
    </row>
    <row r="427" spans="16:16" x14ac:dyDescent="0.2">
      <c r="P427" s="52"/>
    </row>
    <row r="428" spans="16:16" x14ac:dyDescent="0.2">
      <c r="P428" s="52"/>
    </row>
    <row r="429" spans="16:16" x14ac:dyDescent="0.2">
      <c r="P429" s="52"/>
    </row>
    <row r="430" spans="16:16" x14ac:dyDescent="0.2">
      <c r="P430" s="52"/>
    </row>
    <row r="431" spans="16:16" x14ac:dyDescent="0.2">
      <c r="P431" s="52"/>
    </row>
    <row r="432" spans="16:16" x14ac:dyDescent="0.2">
      <c r="P432" s="52"/>
    </row>
    <row r="433" spans="16:16" x14ac:dyDescent="0.2">
      <c r="P433" s="52"/>
    </row>
    <row r="434" spans="16:16" x14ac:dyDescent="0.2">
      <c r="P434" s="52"/>
    </row>
    <row r="435" spans="16:16" x14ac:dyDescent="0.2">
      <c r="P435" s="52"/>
    </row>
    <row r="436" spans="16:16" x14ac:dyDescent="0.2">
      <c r="P436" s="52"/>
    </row>
    <row r="437" spans="16:16" x14ac:dyDescent="0.2">
      <c r="P437" s="52"/>
    </row>
    <row r="438" spans="16:16" x14ac:dyDescent="0.2">
      <c r="P438" s="52"/>
    </row>
    <row r="439" spans="16:16" x14ac:dyDescent="0.2">
      <c r="P439" s="52"/>
    </row>
    <row r="440" spans="16:16" x14ac:dyDescent="0.2">
      <c r="P440" s="52"/>
    </row>
    <row r="441" spans="16:16" x14ac:dyDescent="0.2">
      <c r="P441" s="52"/>
    </row>
    <row r="442" spans="16:16" x14ac:dyDescent="0.2">
      <c r="P442" s="52"/>
    </row>
    <row r="443" spans="16:16" x14ac:dyDescent="0.2">
      <c r="P443" s="52"/>
    </row>
    <row r="444" spans="16:16" x14ac:dyDescent="0.2">
      <c r="P444" s="52"/>
    </row>
    <row r="445" spans="16:16" x14ac:dyDescent="0.2">
      <c r="P445" s="52"/>
    </row>
    <row r="446" spans="16:16" x14ac:dyDescent="0.2">
      <c r="P446" s="52"/>
    </row>
    <row r="447" spans="16:16" x14ac:dyDescent="0.2">
      <c r="P447" s="52"/>
    </row>
    <row r="448" spans="16:16" x14ac:dyDescent="0.2">
      <c r="P448" s="52"/>
    </row>
    <row r="449" spans="16:16" x14ac:dyDescent="0.2">
      <c r="P449" s="52"/>
    </row>
    <row r="450" spans="16:16" x14ac:dyDescent="0.2">
      <c r="P450" s="52"/>
    </row>
    <row r="451" spans="16:16" x14ac:dyDescent="0.2">
      <c r="P451" s="52"/>
    </row>
    <row r="452" spans="16:16" x14ac:dyDescent="0.2">
      <c r="P452" s="52"/>
    </row>
    <row r="453" spans="16:16" x14ac:dyDescent="0.2">
      <c r="P453" s="52"/>
    </row>
    <row r="454" spans="16:16" x14ac:dyDescent="0.2">
      <c r="P454" s="52"/>
    </row>
    <row r="455" spans="16:16" x14ac:dyDescent="0.2">
      <c r="P455" s="52"/>
    </row>
    <row r="456" spans="16:16" x14ac:dyDescent="0.2">
      <c r="P456" s="52"/>
    </row>
    <row r="457" spans="16:16" x14ac:dyDescent="0.2">
      <c r="P457" s="52"/>
    </row>
    <row r="458" spans="16:16" x14ac:dyDescent="0.2">
      <c r="P458" s="52"/>
    </row>
    <row r="459" spans="16:16" x14ac:dyDescent="0.2">
      <c r="P459" s="52"/>
    </row>
    <row r="460" spans="16:16" x14ac:dyDescent="0.2">
      <c r="P460" s="52"/>
    </row>
    <row r="461" spans="16:16" x14ac:dyDescent="0.2">
      <c r="P461" s="52"/>
    </row>
    <row r="462" spans="16:16" x14ac:dyDescent="0.2">
      <c r="P462" s="52"/>
    </row>
    <row r="463" spans="16:16" x14ac:dyDescent="0.2">
      <c r="P463" s="52"/>
    </row>
    <row r="464" spans="16:16" x14ac:dyDescent="0.2">
      <c r="P464" s="52"/>
    </row>
    <row r="465" spans="16:16" x14ac:dyDescent="0.2">
      <c r="P465" s="52"/>
    </row>
    <row r="466" spans="16:16" x14ac:dyDescent="0.2">
      <c r="P466" s="52"/>
    </row>
    <row r="467" spans="16:16" x14ac:dyDescent="0.2">
      <c r="P467" s="52"/>
    </row>
    <row r="468" spans="16:16" x14ac:dyDescent="0.2">
      <c r="P468" s="52"/>
    </row>
    <row r="469" spans="16:16" x14ac:dyDescent="0.2">
      <c r="P469" s="52"/>
    </row>
    <row r="470" spans="16:16" x14ac:dyDescent="0.2">
      <c r="P470" s="52"/>
    </row>
    <row r="471" spans="16:16" x14ac:dyDescent="0.2">
      <c r="P471" s="52"/>
    </row>
    <row r="472" spans="16:16" x14ac:dyDescent="0.2">
      <c r="P472" s="52"/>
    </row>
    <row r="473" spans="16:16" x14ac:dyDescent="0.2">
      <c r="P473" s="52"/>
    </row>
    <row r="474" spans="16:16" x14ac:dyDescent="0.2">
      <c r="P474" s="52"/>
    </row>
    <row r="475" spans="16:16" x14ac:dyDescent="0.2">
      <c r="P475" s="52"/>
    </row>
    <row r="476" spans="16:16" x14ac:dyDescent="0.2">
      <c r="P476" s="52"/>
    </row>
    <row r="477" spans="16:16" x14ac:dyDescent="0.2">
      <c r="P477" s="52"/>
    </row>
    <row r="478" spans="16:16" x14ac:dyDescent="0.2">
      <c r="P478" s="52"/>
    </row>
    <row r="479" spans="16:16" x14ac:dyDescent="0.2">
      <c r="P479" s="52"/>
    </row>
    <row r="480" spans="16:16" x14ac:dyDescent="0.2">
      <c r="P480" s="52"/>
    </row>
    <row r="481" spans="16:16" x14ac:dyDescent="0.2">
      <c r="P481" s="52"/>
    </row>
    <row r="482" spans="16:16" x14ac:dyDescent="0.2">
      <c r="P482" s="52"/>
    </row>
    <row r="483" spans="16:16" x14ac:dyDescent="0.2">
      <c r="P483" s="52"/>
    </row>
    <row r="484" spans="16:16" x14ac:dyDescent="0.2">
      <c r="P484" s="52"/>
    </row>
    <row r="485" spans="16:16" x14ac:dyDescent="0.2">
      <c r="P485" s="52"/>
    </row>
    <row r="486" spans="16:16" x14ac:dyDescent="0.2">
      <c r="P486" s="52"/>
    </row>
    <row r="487" spans="16:16" x14ac:dyDescent="0.2">
      <c r="P487" s="52"/>
    </row>
    <row r="488" spans="16:16" x14ac:dyDescent="0.2">
      <c r="P488" s="52"/>
    </row>
    <row r="489" spans="16:16" x14ac:dyDescent="0.2">
      <c r="P489" s="52"/>
    </row>
    <row r="490" spans="16:16" x14ac:dyDescent="0.2">
      <c r="P490" s="52"/>
    </row>
    <row r="491" spans="16:16" x14ac:dyDescent="0.2">
      <c r="P491" s="52"/>
    </row>
    <row r="492" spans="16:16" x14ac:dyDescent="0.2">
      <c r="P492" s="52"/>
    </row>
    <row r="493" spans="16:16" x14ac:dyDescent="0.2">
      <c r="P493" s="52"/>
    </row>
    <row r="494" spans="16:16" x14ac:dyDescent="0.2">
      <c r="P494" s="52"/>
    </row>
    <row r="495" spans="16:16" x14ac:dyDescent="0.2">
      <c r="P495" s="52"/>
    </row>
    <row r="496" spans="16:16" x14ac:dyDescent="0.2">
      <c r="P496" s="52"/>
    </row>
    <row r="497" spans="16:16" x14ac:dyDescent="0.2">
      <c r="P497" s="52"/>
    </row>
    <row r="498" spans="16:16" x14ac:dyDescent="0.2">
      <c r="P498" s="52"/>
    </row>
    <row r="499" spans="16:16" x14ac:dyDescent="0.2">
      <c r="P499" s="52"/>
    </row>
    <row r="500" spans="16:16" x14ac:dyDescent="0.2">
      <c r="P500" s="52"/>
    </row>
    <row r="501" spans="16:16" x14ac:dyDescent="0.2">
      <c r="P501" s="52"/>
    </row>
    <row r="502" spans="16:16" x14ac:dyDescent="0.2">
      <c r="P502" s="52"/>
    </row>
    <row r="503" spans="16:16" x14ac:dyDescent="0.2">
      <c r="P503" s="52"/>
    </row>
    <row r="504" spans="16:16" x14ac:dyDescent="0.2">
      <c r="P504" s="52"/>
    </row>
    <row r="505" spans="16:16" x14ac:dyDescent="0.2">
      <c r="P505" s="52"/>
    </row>
    <row r="506" spans="16:16" x14ac:dyDescent="0.2">
      <c r="P506" s="52"/>
    </row>
    <row r="507" spans="16:16" x14ac:dyDescent="0.2">
      <c r="P507" s="52"/>
    </row>
    <row r="508" spans="16:16" x14ac:dyDescent="0.2">
      <c r="P508" s="52"/>
    </row>
    <row r="509" spans="16:16" x14ac:dyDescent="0.2">
      <c r="P509" s="52"/>
    </row>
    <row r="510" spans="16:16" x14ac:dyDescent="0.2">
      <c r="P510" s="52"/>
    </row>
    <row r="511" spans="16:16" x14ac:dyDescent="0.2">
      <c r="P511" s="52"/>
    </row>
    <row r="512" spans="16:16" x14ac:dyDescent="0.2">
      <c r="P512" s="52"/>
    </row>
    <row r="513" spans="16:16" x14ac:dyDescent="0.2">
      <c r="P513" s="52"/>
    </row>
    <row r="514" spans="16:16" x14ac:dyDescent="0.2">
      <c r="P514" s="52"/>
    </row>
    <row r="515" spans="16:16" x14ac:dyDescent="0.2">
      <c r="P515" s="52"/>
    </row>
    <row r="516" spans="16:16" x14ac:dyDescent="0.2">
      <c r="P516" s="52"/>
    </row>
    <row r="517" spans="16:16" x14ac:dyDescent="0.2">
      <c r="P517" s="52"/>
    </row>
    <row r="518" spans="16:16" x14ac:dyDescent="0.2">
      <c r="P518" s="52"/>
    </row>
    <row r="519" spans="16:16" x14ac:dyDescent="0.2">
      <c r="P519" s="52"/>
    </row>
    <row r="520" spans="16:16" x14ac:dyDescent="0.2">
      <c r="P520" s="52"/>
    </row>
    <row r="521" spans="16:16" x14ac:dyDescent="0.2">
      <c r="P521" s="52"/>
    </row>
    <row r="522" spans="16:16" x14ac:dyDescent="0.2">
      <c r="P522" s="52"/>
    </row>
    <row r="523" spans="16:16" x14ac:dyDescent="0.2">
      <c r="P523" s="52"/>
    </row>
    <row r="524" spans="16:16" x14ac:dyDescent="0.2">
      <c r="P524" s="52"/>
    </row>
    <row r="525" spans="16:16" x14ac:dyDescent="0.2">
      <c r="P525" s="52"/>
    </row>
    <row r="526" spans="16:16" x14ac:dyDescent="0.2">
      <c r="P526" s="52"/>
    </row>
    <row r="527" spans="16:16" x14ac:dyDescent="0.2">
      <c r="P527" s="52"/>
    </row>
    <row r="528" spans="16:16" x14ac:dyDescent="0.2">
      <c r="P528" s="52"/>
    </row>
    <row r="529" spans="16:16" x14ac:dyDescent="0.2">
      <c r="P529" s="52"/>
    </row>
    <row r="530" spans="16:16" x14ac:dyDescent="0.2">
      <c r="P530" s="52"/>
    </row>
    <row r="531" spans="16:16" x14ac:dyDescent="0.2">
      <c r="P531" s="52"/>
    </row>
    <row r="532" spans="16:16" x14ac:dyDescent="0.2">
      <c r="P532" s="52"/>
    </row>
    <row r="533" spans="16:16" x14ac:dyDescent="0.2">
      <c r="P533" s="52"/>
    </row>
    <row r="534" spans="16:16" x14ac:dyDescent="0.2">
      <c r="P534" s="52"/>
    </row>
    <row r="535" spans="16:16" x14ac:dyDescent="0.2">
      <c r="P535" s="52"/>
    </row>
    <row r="536" spans="16:16" x14ac:dyDescent="0.2">
      <c r="P536" s="52"/>
    </row>
    <row r="537" spans="16:16" x14ac:dyDescent="0.2">
      <c r="P537" s="52"/>
    </row>
    <row r="538" spans="16:16" x14ac:dyDescent="0.2">
      <c r="P538" s="52"/>
    </row>
    <row r="539" spans="16:16" x14ac:dyDescent="0.2">
      <c r="P539" s="52"/>
    </row>
    <row r="540" spans="16:16" x14ac:dyDescent="0.2">
      <c r="P540" s="52"/>
    </row>
    <row r="541" spans="16:16" x14ac:dyDescent="0.2">
      <c r="P541" s="52"/>
    </row>
    <row r="542" spans="16:16" x14ac:dyDescent="0.2">
      <c r="P542" s="52"/>
    </row>
    <row r="543" spans="16:16" x14ac:dyDescent="0.2">
      <c r="P543" s="52"/>
    </row>
    <row r="544" spans="16:16" x14ac:dyDescent="0.2">
      <c r="P544" s="52"/>
    </row>
    <row r="545" spans="16:16" x14ac:dyDescent="0.2">
      <c r="P545" s="52"/>
    </row>
    <row r="546" spans="16:16" x14ac:dyDescent="0.2">
      <c r="P546" s="52"/>
    </row>
    <row r="547" spans="16:16" x14ac:dyDescent="0.2">
      <c r="P547" s="52"/>
    </row>
    <row r="548" spans="16:16" x14ac:dyDescent="0.2">
      <c r="P548" s="52"/>
    </row>
    <row r="549" spans="16:16" x14ac:dyDescent="0.2">
      <c r="P549" s="52"/>
    </row>
    <row r="550" spans="16:16" x14ac:dyDescent="0.2">
      <c r="P550" s="52"/>
    </row>
    <row r="551" spans="16:16" x14ac:dyDescent="0.2">
      <c r="P551" s="52"/>
    </row>
    <row r="552" spans="16:16" x14ac:dyDescent="0.2">
      <c r="P552" s="52"/>
    </row>
    <row r="553" spans="16:16" x14ac:dyDescent="0.2">
      <c r="P553" s="52"/>
    </row>
    <row r="554" spans="16:16" x14ac:dyDescent="0.2">
      <c r="P554" s="52"/>
    </row>
    <row r="555" spans="16:16" x14ac:dyDescent="0.2">
      <c r="P555" s="52"/>
    </row>
    <row r="556" spans="16:16" x14ac:dyDescent="0.2">
      <c r="P556" s="52"/>
    </row>
    <row r="557" spans="16:16" x14ac:dyDescent="0.2">
      <c r="P557" s="52"/>
    </row>
    <row r="558" spans="16:16" x14ac:dyDescent="0.2">
      <c r="P558" s="52"/>
    </row>
    <row r="559" spans="16:16" x14ac:dyDescent="0.2">
      <c r="P559" s="52"/>
    </row>
    <row r="560" spans="16:16" x14ac:dyDescent="0.2">
      <c r="P560" s="52"/>
    </row>
    <row r="561" spans="16:16" x14ac:dyDescent="0.2">
      <c r="P561" s="52"/>
    </row>
    <row r="562" spans="16:16" x14ac:dyDescent="0.2">
      <c r="P562" s="52"/>
    </row>
    <row r="563" spans="16:16" x14ac:dyDescent="0.2">
      <c r="P563" s="52"/>
    </row>
    <row r="564" spans="16:16" x14ac:dyDescent="0.2">
      <c r="P564" s="52"/>
    </row>
    <row r="565" spans="16:16" x14ac:dyDescent="0.2">
      <c r="P565" s="52"/>
    </row>
    <row r="566" spans="16:16" x14ac:dyDescent="0.2">
      <c r="P566" s="52"/>
    </row>
    <row r="567" spans="16:16" x14ac:dyDescent="0.2">
      <c r="P567" s="52"/>
    </row>
    <row r="568" spans="16:16" x14ac:dyDescent="0.2">
      <c r="P568" s="52"/>
    </row>
    <row r="569" spans="16:16" x14ac:dyDescent="0.2">
      <c r="P569" s="52"/>
    </row>
    <row r="570" spans="16:16" x14ac:dyDescent="0.2">
      <c r="P570" s="52"/>
    </row>
    <row r="571" spans="16:16" x14ac:dyDescent="0.2">
      <c r="P571" s="52"/>
    </row>
    <row r="572" spans="16:16" x14ac:dyDescent="0.2">
      <c r="P572" s="52"/>
    </row>
    <row r="573" spans="16:16" x14ac:dyDescent="0.2">
      <c r="P573" s="52"/>
    </row>
    <row r="574" spans="16:16" x14ac:dyDescent="0.2">
      <c r="P574" s="52"/>
    </row>
    <row r="575" spans="16:16" x14ac:dyDescent="0.2">
      <c r="P575" s="52"/>
    </row>
    <row r="576" spans="16:16" x14ac:dyDescent="0.2">
      <c r="P576" s="52"/>
    </row>
    <row r="577" spans="16:16" x14ac:dyDescent="0.2">
      <c r="P577" s="52"/>
    </row>
    <row r="578" spans="16:16" x14ac:dyDescent="0.2">
      <c r="P578" s="52"/>
    </row>
    <row r="579" spans="16:16" x14ac:dyDescent="0.2">
      <c r="P579" s="52"/>
    </row>
    <row r="580" spans="16:16" x14ac:dyDescent="0.2">
      <c r="P580" s="52"/>
    </row>
    <row r="581" spans="16:16" x14ac:dyDescent="0.2">
      <c r="P581" s="52"/>
    </row>
    <row r="582" spans="16:16" x14ac:dyDescent="0.2">
      <c r="P582" s="52"/>
    </row>
    <row r="583" spans="16:16" x14ac:dyDescent="0.2">
      <c r="P583" s="52"/>
    </row>
    <row r="584" spans="16:16" x14ac:dyDescent="0.2">
      <c r="P584" s="52"/>
    </row>
    <row r="585" spans="16:16" x14ac:dyDescent="0.2">
      <c r="P585" s="52"/>
    </row>
    <row r="586" spans="16:16" x14ac:dyDescent="0.2">
      <c r="P586" s="52"/>
    </row>
    <row r="587" spans="16:16" x14ac:dyDescent="0.2">
      <c r="P587" s="52"/>
    </row>
    <row r="588" spans="16:16" x14ac:dyDescent="0.2">
      <c r="P588" s="52"/>
    </row>
    <row r="589" spans="16:16" x14ac:dyDescent="0.2">
      <c r="P589" s="52"/>
    </row>
    <row r="590" spans="16:16" x14ac:dyDescent="0.2">
      <c r="P590" s="52"/>
    </row>
    <row r="591" spans="16:16" x14ac:dyDescent="0.2">
      <c r="P591" s="52"/>
    </row>
    <row r="592" spans="16:16" x14ac:dyDescent="0.2">
      <c r="P592" s="52"/>
    </row>
    <row r="593" spans="16:16" x14ac:dyDescent="0.2">
      <c r="P593" s="52"/>
    </row>
    <row r="594" spans="16:16" x14ac:dyDescent="0.2">
      <c r="P594" s="52"/>
    </row>
    <row r="595" spans="16:16" x14ac:dyDescent="0.2">
      <c r="P595" s="52"/>
    </row>
    <row r="596" spans="16:16" x14ac:dyDescent="0.2">
      <c r="P596" s="52"/>
    </row>
    <row r="597" spans="16:16" x14ac:dyDescent="0.2">
      <c r="P597" s="52"/>
    </row>
    <row r="598" spans="16:16" x14ac:dyDescent="0.2">
      <c r="P598" s="52"/>
    </row>
    <row r="599" spans="16:16" x14ac:dyDescent="0.2">
      <c r="P599" s="52"/>
    </row>
    <row r="600" spans="16:16" x14ac:dyDescent="0.2">
      <c r="P600" s="52"/>
    </row>
    <row r="601" spans="16:16" x14ac:dyDescent="0.2">
      <c r="P601" s="52"/>
    </row>
    <row r="602" spans="16:16" x14ac:dyDescent="0.2">
      <c r="P602" s="52"/>
    </row>
    <row r="603" spans="16:16" x14ac:dyDescent="0.2">
      <c r="P603" s="52"/>
    </row>
    <row r="604" spans="16:16" x14ac:dyDescent="0.2">
      <c r="P604" s="52"/>
    </row>
    <row r="605" spans="16:16" x14ac:dyDescent="0.2">
      <c r="P605" s="52"/>
    </row>
    <row r="606" spans="16:16" x14ac:dyDescent="0.2">
      <c r="P606" s="52"/>
    </row>
    <row r="607" spans="16:16" x14ac:dyDescent="0.2">
      <c r="P607" s="52"/>
    </row>
    <row r="608" spans="16:16" x14ac:dyDescent="0.2">
      <c r="P608" s="52"/>
    </row>
    <row r="609" spans="16:16" x14ac:dyDescent="0.2">
      <c r="P609" s="52"/>
    </row>
    <row r="610" spans="16:16" x14ac:dyDescent="0.2">
      <c r="P610" s="52"/>
    </row>
    <row r="611" spans="16:16" x14ac:dyDescent="0.2">
      <c r="P611" s="52"/>
    </row>
    <row r="612" spans="16:16" x14ac:dyDescent="0.2">
      <c r="P612" s="52"/>
    </row>
    <row r="613" spans="16:16" x14ac:dyDescent="0.2">
      <c r="P613" s="52"/>
    </row>
    <row r="614" spans="16:16" x14ac:dyDescent="0.2">
      <c r="P614" s="52"/>
    </row>
    <row r="615" spans="16:16" x14ac:dyDescent="0.2">
      <c r="P615" s="52"/>
    </row>
    <row r="616" spans="16:16" x14ac:dyDescent="0.2">
      <c r="P616" s="52"/>
    </row>
    <row r="617" spans="16:16" x14ac:dyDescent="0.2">
      <c r="P617" s="52"/>
    </row>
    <row r="618" spans="16:16" x14ac:dyDescent="0.2">
      <c r="P618" s="52"/>
    </row>
    <row r="619" spans="16:16" x14ac:dyDescent="0.2">
      <c r="P619" s="52"/>
    </row>
    <row r="620" spans="16:16" x14ac:dyDescent="0.2">
      <c r="P620" s="52"/>
    </row>
    <row r="621" spans="16:16" x14ac:dyDescent="0.2">
      <c r="P621" s="52"/>
    </row>
    <row r="622" spans="16:16" x14ac:dyDescent="0.2">
      <c r="P622" s="52"/>
    </row>
    <row r="623" spans="16:16" x14ac:dyDescent="0.2">
      <c r="P623" s="52"/>
    </row>
    <row r="624" spans="16:16" x14ac:dyDescent="0.2">
      <c r="P624" s="52"/>
    </row>
    <row r="625" spans="16:16" x14ac:dyDescent="0.2">
      <c r="P625" s="52"/>
    </row>
    <row r="626" spans="16:16" x14ac:dyDescent="0.2">
      <c r="P626" s="52"/>
    </row>
    <row r="627" spans="16:16" x14ac:dyDescent="0.2">
      <c r="P627" s="52"/>
    </row>
    <row r="628" spans="16:16" x14ac:dyDescent="0.2">
      <c r="P628" s="52"/>
    </row>
    <row r="629" spans="16:16" x14ac:dyDescent="0.2">
      <c r="P629" s="52"/>
    </row>
    <row r="630" spans="16:16" x14ac:dyDescent="0.2">
      <c r="P630" s="52"/>
    </row>
    <row r="631" spans="16:16" x14ac:dyDescent="0.2">
      <c r="P631" s="52"/>
    </row>
    <row r="632" spans="16:16" x14ac:dyDescent="0.2">
      <c r="P632" s="52"/>
    </row>
    <row r="633" spans="16:16" x14ac:dyDescent="0.2">
      <c r="P633" s="52"/>
    </row>
    <row r="634" spans="16:16" x14ac:dyDescent="0.2">
      <c r="P634" s="52"/>
    </row>
    <row r="635" spans="16:16" x14ac:dyDescent="0.2">
      <c r="P635" s="52"/>
    </row>
    <row r="636" spans="16:16" x14ac:dyDescent="0.2">
      <c r="P636" s="52"/>
    </row>
    <row r="637" spans="16:16" x14ac:dyDescent="0.2">
      <c r="P637" s="52"/>
    </row>
    <row r="638" spans="16:16" x14ac:dyDescent="0.2">
      <c r="P638" s="52"/>
    </row>
    <row r="639" spans="16:16" x14ac:dyDescent="0.2">
      <c r="P639" s="52"/>
    </row>
    <row r="640" spans="16:16" x14ac:dyDescent="0.2">
      <c r="P640" s="52"/>
    </row>
    <row r="641" spans="16:16" x14ac:dyDescent="0.2">
      <c r="P641" s="52"/>
    </row>
    <row r="642" spans="16:16" x14ac:dyDescent="0.2">
      <c r="P642" s="52"/>
    </row>
    <row r="643" spans="16:16" x14ac:dyDescent="0.2">
      <c r="P643" s="52"/>
    </row>
    <row r="644" spans="16:16" x14ac:dyDescent="0.2">
      <c r="P644" s="52"/>
    </row>
    <row r="645" spans="16:16" x14ac:dyDescent="0.2">
      <c r="P645" s="52"/>
    </row>
    <row r="646" spans="16:16" x14ac:dyDescent="0.2">
      <c r="P646" s="52"/>
    </row>
    <row r="647" spans="16:16" x14ac:dyDescent="0.2">
      <c r="P647" s="52"/>
    </row>
    <row r="648" spans="16:16" x14ac:dyDescent="0.2">
      <c r="P648" s="52"/>
    </row>
    <row r="649" spans="16:16" x14ac:dyDescent="0.2">
      <c r="P649" s="52"/>
    </row>
    <row r="650" spans="16:16" x14ac:dyDescent="0.2">
      <c r="P650" s="52"/>
    </row>
    <row r="651" spans="16:16" x14ac:dyDescent="0.2">
      <c r="P651" s="52"/>
    </row>
    <row r="652" spans="16:16" x14ac:dyDescent="0.2">
      <c r="P652" s="52"/>
    </row>
    <row r="653" spans="16:16" x14ac:dyDescent="0.2">
      <c r="P653" s="52"/>
    </row>
    <row r="654" spans="16:16" x14ac:dyDescent="0.2">
      <c r="P654" s="52"/>
    </row>
    <row r="655" spans="16:16" x14ac:dyDescent="0.2">
      <c r="P655" s="52"/>
    </row>
    <row r="656" spans="16:16" x14ac:dyDescent="0.2">
      <c r="P656" s="52"/>
    </row>
    <row r="657" spans="16:16" x14ac:dyDescent="0.2">
      <c r="P657" s="52"/>
    </row>
    <row r="658" spans="16:16" x14ac:dyDescent="0.2">
      <c r="P658" s="52"/>
    </row>
    <row r="659" spans="16:16" x14ac:dyDescent="0.2">
      <c r="P659" s="52"/>
    </row>
    <row r="660" spans="16:16" x14ac:dyDescent="0.2">
      <c r="P660" s="52"/>
    </row>
    <row r="661" spans="16:16" x14ac:dyDescent="0.2">
      <c r="P661" s="52"/>
    </row>
    <row r="662" spans="16:16" x14ac:dyDescent="0.2">
      <c r="P662" s="52"/>
    </row>
    <row r="663" spans="16:16" x14ac:dyDescent="0.2">
      <c r="P663" s="52"/>
    </row>
    <row r="664" spans="16:16" x14ac:dyDescent="0.2">
      <c r="P664" s="52"/>
    </row>
    <row r="665" spans="16:16" x14ac:dyDescent="0.2">
      <c r="P665" s="52"/>
    </row>
    <row r="666" spans="16:16" x14ac:dyDescent="0.2">
      <c r="P666" s="52"/>
    </row>
    <row r="667" spans="16:16" x14ac:dyDescent="0.2">
      <c r="P667" s="52"/>
    </row>
    <row r="668" spans="16:16" x14ac:dyDescent="0.2">
      <c r="P668" s="52"/>
    </row>
    <row r="669" spans="16:16" x14ac:dyDescent="0.2">
      <c r="P669" s="52"/>
    </row>
    <row r="670" spans="16:16" x14ac:dyDescent="0.2">
      <c r="P670" s="52"/>
    </row>
    <row r="671" spans="16:16" x14ac:dyDescent="0.2">
      <c r="P671" s="52"/>
    </row>
    <row r="672" spans="16:16" x14ac:dyDescent="0.2">
      <c r="P672" s="52"/>
    </row>
    <row r="673" spans="16:16" x14ac:dyDescent="0.2">
      <c r="P673" s="52"/>
    </row>
    <row r="674" spans="16:16" x14ac:dyDescent="0.2">
      <c r="P674" s="52"/>
    </row>
    <row r="675" spans="16:16" x14ac:dyDescent="0.2">
      <c r="P675" s="52"/>
    </row>
    <row r="676" spans="16:16" x14ac:dyDescent="0.2">
      <c r="P676" s="52"/>
    </row>
    <row r="677" spans="16:16" x14ac:dyDescent="0.2">
      <c r="P677" s="52"/>
    </row>
    <row r="678" spans="16:16" x14ac:dyDescent="0.2">
      <c r="P678" s="52"/>
    </row>
    <row r="679" spans="16:16" x14ac:dyDescent="0.2">
      <c r="P679" s="52"/>
    </row>
    <row r="680" spans="16:16" x14ac:dyDescent="0.2">
      <c r="P680" s="52"/>
    </row>
    <row r="681" spans="16:16" x14ac:dyDescent="0.2">
      <c r="P681" s="52"/>
    </row>
    <row r="682" spans="16:16" x14ac:dyDescent="0.2">
      <c r="P682" s="52"/>
    </row>
    <row r="683" spans="16:16" x14ac:dyDescent="0.2">
      <c r="P683" s="52"/>
    </row>
    <row r="684" spans="16:16" x14ac:dyDescent="0.2">
      <c r="P684" s="52"/>
    </row>
    <row r="685" spans="16:16" x14ac:dyDescent="0.2">
      <c r="P685" s="52"/>
    </row>
    <row r="686" spans="16:16" x14ac:dyDescent="0.2">
      <c r="P686" s="52"/>
    </row>
    <row r="687" spans="16:16" x14ac:dyDescent="0.2">
      <c r="P687" s="52"/>
    </row>
    <row r="688" spans="16:16" x14ac:dyDescent="0.2">
      <c r="P688" s="52"/>
    </row>
    <row r="689" spans="16:16" x14ac:dyDescent="0.2">
      <c r="P689" s="52"/>
    </row>
    <row r="690" spans="16:16" x14ac:dyDescent="0.2">
      <c r="P690" s="52"/>
    </row>
    <row r="691" spans="16:16" x14ac:dyDescent="0.2">
      <c r="P691" s="52"/>
    </row>
    <row r="692" spans="16:16" x14ac:dyDescent="0.2">
      <c r="P692" s="52"/>
    </row>
    <row r="693" spans="16:16" x14ac:dyDescent="0.2">
      <c r="P693" s="52"/>
    </row>
    <row r="694" spans="16:16" x14ac:dyDescent="0.2">
      <c r="P694" s="52"/>
    </row>
    <row r="695" spans="16:16" x14ac:dyDescent="0.2">
      <c r="P695" s="52"/>
    </row>
    <row r="696" spans="16:16" x14ac:dyDescent="0.2">
      <c r="P696" s="52"/>
    </row>
    <row r="697" spans="16:16" x14ac:dyDescent="0.2">
      <c r="P697" s="52"/>
    </row>
    <row r="698" spans="16:16" x14ac:dyDescent="0.2">
      <c r="P698" s="52"/>
    </row>
    <row r="699" spans="16:16" x14ac:dyDescent="0.2">
      <c r="P699" s="52"/>
    </row>
    <row r="700" spans="16:16" x14ac:dyDescent="0.2">
      <c r="P700" s="52"/>
    </row>
    <row r="701" spans="16:16" x14ac:dyDescent="0.2">
      <c r="P701" s="52"/>
    </row>
    <row r="702" spans="16:16" x14ac:dyDescent="0.2">
      <c r="P702" s="52"/>
    </row>
  </sheetData>
  <sortState ref="C39:D41">
    <sortCondition descending="1" ref="D39"/>
  </sortState>
  <mergeCells count="5">
    <mergeCell ref="C3:M3"/>
    <mergeCell ref="F7:M7"/>
    <mergeCell ref="C24:M24"/>
    <mergeCell ref="C23:G23"/>
    <mergeCell ref="B26:R32"/>
  </mergeCells>
  <pageMargins left="0.7" right="0.7" top="0.75" bottom="0.75" header="0.3" footer="0.3"/>
  <pageSetup paperSize="9"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pageSetUpPr fitToPage="1"/>
  </sheetPr>
  <dimension ref="B1:S704"/>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4"/>
      <c r="C2" s="42"/>
      <c r="D2" s="42"/>
      <c r="E2" s="42"/>
      <c r="F2" s="42"/>
      <c r="G2" s="42"/>
      <c r="H2" s="42"/>
      <c r="I2" s="42"/>
      <c r="J2" s="42"/>
      <c r="K2" s="42"/>
      <c r="L2" s="42"/>
      <c r="M2" s="95"/>
    </row>
    <row r="3" spans="2:19" ht="20.25" customHeight="1" x14ac:dyDescent="0.2">
      <c r="B3" s="96"/>
      <c r="C3" s="259" t="s">
        <v>161</v>
      </c>
      <c r="D3" s="259"/>
      <c r="E3" s="259"/>
      <c r="F3" s="259"/>
      <c r="G3" s="259"/>
      <c r="H3" s="259"/>
      <c r="I3" s="259"/>
      <c r="J3" s="259"/>
      <c r="K3" s="259"/>
      <c r="L3" s="259"/>
      <c r="M3" s="260"/>
    </row>
    <row r="4" spans="2:19" ht="15.75" x14ac:dyDescent="0.25">
      <c r="B4" s="96"/>
      <c r="C4" s="70" t="s">
        <v>367</v>
      </c>
      <c r="D4" s="29"/>
      <c r="E4" s="29"/>
      <c r="F4" s="5"/>
      <c r="G4" s="5"/>
      <c r="H4" s="5"/>
      <c r="I4" s="5"/>
      <c r="J4" s="5"/>
      <c r="K4" s="5"/>
      <c r="L4" s="5"/>
      <c r="M4" s="20"/>
    </row>
    <row r="5" spans="2:19" ht="20.25" customHeight="1" x14ac:dyDescent="0.25">
      <c r="B5" s="96"/>
      <c r="C5" s="228" t="s">
        <v>366</v>
      </c>
      <c r="D5" s="97" t="s">
        <v>339</v>
      </c>
      <c r="E5" s="19"/>
      <c r="F5" s="5"/>
      <c r="G5" s="5"/>
      <c r="H5" s="5"/>
      <c r="I5" s="5"/>
      <c r="J5" s="5"/>
      <c r="K5" s="5"/>
      <c r="L5" s="5"/>
      <c r="M5" s="20"/>
    </row>
    <row r="6" spans="2:19" x14ac:dyDescent="0.2">
      <c r="B6" s="96"/>
      <c r="C6" s="5"/>
      <c r="D6" s="5"/>
      <c r="E6" s="5"/>
      <c r="F6" s="5"/>
      <c r="G6" s="5"/>
      <c r="H6" s="5"/>
      <c r="I6" s="5"/>
      <c r="J6" s="5"/>
      <c r="K6" s="5"/>
      <c r="L6" s="5"/>
      <c r="M6" s="20"/>
    </row>
    <row r="7" spans="2:19" ht="32.25" customHeight="1" x14ac:dyDescent="0.2">
      <c r="B7" s="96"/>
      <c r="C7" s="98" t="s">
        <v>43</v>
      </c>
      <c r="D7" s="98" t="s">
        <v>45</v>
      </c>
      <c r="E7" s="5"/>
      <c r="F7" s="261" t="s">
        <v>50</v>
      </c>
      <c r="G7" s="261"/>
      <c r="H7" s="261"/>
      <c r="I7" s="261"/>
      <c r="J7" s="261"/>
      <c r="K7" s="261"/>
      <c r="L7" s="261"/>
      <c r="M7" s="262"/>
    </row>
    <row r="8" spans="2:19" x14ac:dyDescent="0.2">
      <c r="B8" s="96"/>
      <c r="C8" s="4" t="s">
        <v>180</v>
      </c>
      <c r="D8" s="186">
        <v>0.253585</v>
      </c>
      <c r="E8" s="5"/>
      <c r="F8" s="5"/>
      <c r="G8" s="31"/>
      <c r="H8" s="5"/>
      <c r="I8" s="100" t="s">
        <v>51</v>
      </c>
      <c r="J8" s="101">
        <f>D11</f>
        <v>0.47577100000000005</v>
      </c>
      <c r="K8" s="5"/>
      <c r="L8" s="5"/>
      <c r="M8" s="20"/>
      <c r="S8" s="52"/>
    </row>
    <row r="9" spans="2:19" ht="15.75" customHeight="1" x14ac:dyDescent="0.2">
      <c r="B9" s="96"/>
      <c r="C9" s="4" t="s">
        <v>179</v>
      </c>
      <c r="D9" s="186">
        <v>0.12349300000000001</v>
      </c>
      <c r="E9" s="5"/>
      <c r="F9" s="5"/>
      <c r="G9" s="5"/>
      <c r="H9" s="5"/>
      <c r="I9" s="100" t="s">
        <v>53</v>
      </c>
      <c r="J9" s="102">
        <f>D17</f>
        <v>0.49978199999999995</v>
      </c>
      <c r="K9" s="5"/>
      <c r="L9" s="5"/>
      <c r="M9" s="20"/>
      <c r="S9" s="52"/>
    </row>
    <row r="10" spans="2:19" x14ac:dyDescent="0.2">
      <c r="B10" s="96"/>
      <c r="C10" s="38" t="s">
        <v>183</v>
      </c>
      <c r="D10" s="205">
        <v>9.8693000000000003E-2</v>
      </c>
      <c r="E10" s="5"/>
      <c r="F10" s="5"/>
      <c r="G10" s="5"/>
      <c r="H10" s="5"/>
      <c r="I10" s="100" t="s">
        <v>20</v>
      </c>
      <c r="J10" s="102">
        <f>D19</f>
        <v>2.4447000000000003E-2</v>
      </c>
      <c r="K10" s="5"/>
      <c r="L10" s="5"/>
      <c r="M10" s="20"/>
      <c r="S10" s="52"/>
    </row>
    <row r="11" spans="2:19" ht="15.75" customHeight="1" x14ac:dyDescent="0.25">
      <c r="B11" s="96"/>
      <c r="C11" s="7" t="s">
        <v>52</v>
      </c>
      <c r="D11" s="8">
        <f>SUM(D8:D10)</f>
        <v>0.47577100000000005</v>
      </c>
      <c r="E11" s="5"/>
      <c r="F11" s="5"/>
      <c r="G11" s="5"/>
      <c r="H11" s="5"/>
      <c r="K11" s="5"/>
      <c r="L11" s="5"/>
      <c r="M11" s="20"/>
      <c r="S11" s="52"/>
    </row>
    <row r="12" spans="2:19" x14ac:dyDescent="0.2">
      <c r="B12" s="96"/>
      <c r="C12" s="38"/>
      <c r="D12" s="38"/>
      <c r="E12" s="5"/>
      <c r="F12" s="5"/>
      <c r="G12" s="5"/>
      <c r="H12" s="5"/>
      <c r="K12" s="5"/>
      <c r="L12" s="5"/>
      <c r="M12" s="20"/>
      <c r="S12" s="52"/>
    </row>
    <row r="13" spans="2:19" ht="15.75" customHeight="1" x14ac:dyDescent="0.2">
      <c r="B13" s="96"/>
      <c r="C13" s="4" t="s">
        <v>182</v>
      </c>
      <c r="D13" s="186">
        <v>0.39082099999999997</v>
      </c>
      <c r="E13" s="5"/>
      <c r="F13" s="5"/>
      <c r="G13" s="5"/>
      <c r="H13" s="5"/>
      <c r="I13" s="100"/>
      <c r="J13" s="100"/>
      <c r="K13" s="5"/>
      <c r="L13" s="5"/>
      <c r="M13" s="20"/>
      <c r="S13" s="52"/>
    </row>
    <row r="14" spans="2:19" x14ac:dyDescent="0.2">
      <c r="B14" s="96"/>
      <c r="C14" s="4" t="s">
        <v>181</v>
      </c>
      <c r="D14" s="186">
        <v>0.108872</v>
      </c>
      <c r="E14" s="5"/>
      <c r="F14" s="5"/>
      <c r="G14" s="5"/>
      <c r="H14" s="5"/>
      <c r="I14" s="5"/>
      <c r="J14" s="5"/>
      <c r="K14" s="5"/>
      <c r="L14" s="5"/>
      <c r="M14" s="20"/>
      <c r="S14" s="52"/>
    </row>
    <row r="15" spans="2:19" x14ac:dyDescent="0.2">
      <c r="B15" s="96"/>
      <c r="C15" s="4" t="s">
        <v>220</v>
      </c>
      <c r="D15" s="186">
        <v>8.8999999999999995E-5</v>
      </c>
      <c r="E15" s="5"/>
      <c r="F15" s="5"/>
      <c r="G15" s="5"/>
      <c r="H15" s="5"/>
      <c r="I15" s="5"/>
      <c r="J15" s="5"/>
      <c r="K15" s="5"/>
      <c r="L15" s="5"/>
      <c r="M15" s="20"/>
      <c r="S15" s="52"/>
    </row>
    <row r="16" spans="2:19" x14ac:dyDescent="0.2">
      <c r="B16" s="96"/>
      <c r="C16" s="4"/>
      <c r="D16" s="6"/>
      <c r="E16" s="5"/>
      <c r="F16" s="5"/>
      <c r="G16" s="5"/>
      <c r="H16" s="5"/>
      <c r="I16" s="5"/>
      <c r="J16" s="5"/>
      <c r="K16" s="5"/>
      <c r="L16" s="5"/>
      <c r="M16" s="20"/>
      <c r="S16" s="52"/>
    </row>
    <row r="17" spans="2:19" ht="15.75" x14ac:dyDescent="0.25">
      <c r="B17" s="96"/>
      <c r="C17" s="7" t="s">
        <v>19</v>
      </c>
      <c r="D17" s="8">
        <f>SUM(D13:D16)</f>
        <v>0.49978199999999995</v>
      </c>
      <c r="E17" s="5"/>
      <c r="F17" s="5"/>
      <c r="G17" s="5"/>
      <c r="H17" s="5"/>
      <c r="I17" s="5"/>
      <c r="J17" s="5"/>
      <c r="K17" s="5"/>
      <c r="L17" s="5"/>
      <c r="M17" s="20"/>
      <c r="S17" s="52"/>
    </row>
    <row r="18" spans="2:19" x14ac:dyDescent="0.2">
      <c r="B18" s="96"/>
      <c r="C18" s="4"/>
      <c r="D18" s="6"/>
      <c r="E18" s="5"/>
      <c r="F18" s="5"/>
      <c r="G18" s="5"/>
      <c r="H18" s="5"/>
      <c r="I18" s="5"/>
      <c r="J18" s="5"/>
      <c r="K18" s="5"/>
      <c r="L18" s="5"/>
      <c r="M18" s="20"/>
      <c r="S18" s="52"/>
    </row>
    <row r="19" spans="2:19" ht="15.75" x14ac:dyDescent="0.25">
      <c r="B19" s="96"/>
      <c r="C19" s="7" t="s">
        <v>20</v>
      </c>
      <c r="D19" s="214">
        <v>2.4447000000000003E-2</v>
      </c>
      <c r="E19" s="5"/>
      <c r="F19" s="5"/>
      <c r="G19" s="5"/>
      <c r="H19" s="5"/>
      <c r="I19" s="5"/>
      <c r="J19" s="5"/>
      <c r="K19" s="5"/>
      <c r="L19" s="5"/>
      <c r="M19" s="20"/>
      <c r="S19" s="52"/>
    </row>
    <row r="20" spans="2:19" x14ac:dyDescent="0.2">
      <c r="B20" s="96"/>
      <c r="C20" s="4"/>
      <c r="D20" s="6"/>
      <c r="E20" s="5"/>
      <c r="F20" s="5"/>
      <c r="G20" s="5"/>
      <c r="H20" s="5"/>
      <c r="I20" s="5"/>
      <c r="J20" s="5"/>
      <c r="K20" s="5"/>
      <c r="L20" s="5"/>
      <c r="M20" s="20"/>
      <c r="S20" s="52"/>
    </row>
    <row r="21" spans="2:19" ht="15.75" x14ac:dyDescent="0.25">
      <c r="B21" s="96"/>
      <c r="C21" s="9" t="s">
        <v>54</v>
      </c>
      <c r="D21" s="10">
        <f>SUM(D19,D17,D11)</f>
        <v>1</v>
      </c>
      <c r="E21" s="5"/>
      <c r="F21" s="5"/>
      <c r="G21" s="5"/>
      <c r="H21" s="5"/>
      <c r="I21" s="5"/>
      <c r="J21" s="5"/>
      <c r="K21" s="5"/>
      <c r="L21" s="5"/>
      <c r="M21" s="20"/>
      <c r="S21" s="52"/>
    </row>
    <row r="22" spans="2:19" ht="15.75" customHeight="1" x14ac:dyDescent="0.2">
      <c r="B22" s="96"/>
      <c r="E22" s="5"/>
      <c r="F22" s="5"/>
      <c r="G22" s="5"/>
      <c r="H22" s="5"/>
      <c r="I22" s="5"/>
      <c r="J22" s="5"/>
      <c r="K22" s="5"/>
      <c r="L22" s="5"/>
      <c r="M22" s="20"/>
      <c r="S22" s="52"/>
    </row>
    <row r="23" spans="2:19" x14ac:dyDescent="0.2">
      <c r="B23" s="96"/>
      <c r="C23" s="33"/>
      <c r="D23" s="34"/>
      <c r="E23" s="5"/>
      <c r="F23" s="5"/>
      <c r="G23" s="5"/>
      <c r="H23" s="5"/>
      <c r="I23" s="5"/>
      <c r="J23" s="5"/>
      <c r="K23" s="5"/>
      <c r="L23" s="5"/>
      <c r="M23" s="20"/>
      <c r="S23" s="52"/>
    </row>
    <row r="24" spans="2:19" ht="15.75" x14ac:dyDescent="0.2">
      <c r="B24" s="96"/>
      <c r="C24" s="93"/>
      <c r="D24" s="93"/>
      <c r="E24" s="5"/>
      <c r="F24" s="31"/>
      <c r="G24" s="5"/>
      <c r="H24" s="5"/>
      <c r="I24" s="5"/>
      <c r="J24" s="5"/>
      <c r="K24" s="5"/>
      <c r="L24" s="5"/>
      <c r="M24" s="20"/>
      <c r="S24" s="52"/>
    </row>
    <row r="25" spans="2:19" ht="15.75" x14ac:dyDescent="0.2">
      <c r="B25" s="96"/>
      <c r="C25" s="93"/>
      <c r="D25" s="93"/>
      <c r="E25" s="5"/>
      <c r="F25" s="31"/>
      <c r="G25" s="5"/>
      <c r="H25" s="5"/>
      <c r="I25" s="5"/>
      <c r="J25" s="5"/>
      <c r="K25" s="5"/>
      <c r="L25" s="5"/>
      <c r="M25" s="20"/>
      <c r="S25" s="52"/>
    </row>
    <row r="26" spans="2:19" ht="16.5" thickBot="1" x14ac:dyDescent="0.3">
      <c r="B26" s="99"/>
      <c r="C26" s="103"/>
      <c r="D26" s="103"/>
      <c r="E26" s="103"/>
      <c r="F26" s="103"/>
      <c r="G26" s="103"/>
      <c r="H26" s="103"/>
      <c r="I26" s="103"/>
      <c r="J26" s="103"/>
      <c r="K26" s="103"/>
      <c r="L26" s="103"/>
      <c r="M26" s="104"/>
      <c r="S26" s="52"/>
    </row>
    <row r="27" spans="2:19" ht="15.75" thickBot="1" x14ac:dyDescent="0.25">
      <c r="S27" s="52"/>
    </row>
    <row r="28" spans="2:19" ht="15" customHeight="1" x14ac:dyDescent="0.2">
      <c r="B28" s="265" t="s">
        <v>186</v>
      </c>
      <c r="C28" s="266"/>
      <c r="D28" s="266"/>
      <c r="E28" s="266"/>
      <c r="F28" s="266"/>
      <c r="G28" s="266"/>
      <c r="H28" s="266"/>
      <c r="I28" s="266"/>
      <c r="J28" s="266"/>
      <c r="K28" s="266"/>
      <c r="L28" s="266"/>
      <c r="M28" s="266"/>
      <c r="N28" s="266"/>
      <c r="O28" s="266"/>
      <c r="P28" s="266"/>
      <c r="Q28" s="266"/>
      <c r="R28" s="267"/>
      <c r="S28" s="52"/>
    </row>
    <row r="29" spans="2:19" x14ac:dyDescent="0.2">
      <c r="B29" s="268"/>
      <c r="C29" s="269"/>
      <c r="D29" s="269"/>
      <c r="E29" s="269"/>
      <c r="F29" s="269"/>
      <c r="G29" s="269"/>
      <c r="H29" s="269"/>
      <c r="I29" s="269"/>
      <c r="J29" s="269"/>
      <c r="K29" s="269"/>
      <c r="L29" s="269"/>
      <c r="M29" s="269"/>
      <c r="N29" s="269"/>
      <c r="O29" s="269"/>
      <c r="P29" s="269"/>
      <c r="Q29" s="269"/>
      <c r="R29" s="270"/>
      <c r="S29" s="52"/>
    </row>
    <row r="30" spans="2:19" x14ac:dyDescent="0.2">
      <c r="B30" s="268"/>
      <c r="C30" s="269"/>
      <c r="D30" s="269"/>
      <c r="E30" s="269"/>
      <c r="F30" s="269"/>
      <c r="G30" s="269"/>
      <c r="H30" s="269"/>
      <c r="I30" s="269"/>
      <c r="J30" s="269"/>
      <c r="K30" s="269"/>
      <c r="L30" s="269"/>
      <c r="M30" s="269"/>
      <c r="N30" s="269"/>
      <c r="O30" s="269"/>
      <c r="P30" s="269"/>
      <c r="Q30" s="269"/>
      <c r="R30" s="270"/>
      <c r="S30" s="52"/>
    </row>
    <row r="31" spans="2:19" x14ac:dyDescent="0.2">
      <c r="B31" s="268"/>
      <c r="C31" s="269"/>
      <c r="D31" s="269"/>
      <c r="E31" s="269"/>
      <c r="F31" s="269"/>
      <c r="G31" s="269"/>
      <c r="H31" s="269"/>
      <c r="I31" s="269"/>
      <c r="J31" s="269"/>
      <c r="K31" s="269"/>
      <c r="L31" s="269"/>
      <c r="M31" s="269"/>
      <c r="N31" s="269"/>
      <c r="O31" s="269"/>
      <c r="P31" s="269"/>
      <c r="Q31" s="269"/>
      <c r="R31" s="270"/>
      <c r="S31" s="52"/>
    </row>
    <row r="32" spans="2:19" x14ac:dyDescent="0.2">
      <c r="B32" s="268"/>
      <c r="C32" s="269"/>
      <c r="D32" s="269"/>
      <c r="E32" s="269"/>
      <c r="F32" s="269"/>
      <c r="G32" s="269"/>
      <c r="H32" s="269"/>
      <c r="I32" s="269"/>
      <c r="J32" s="269"/>
      <c r="K32" s="269"/>
      <c r="L32" s="269"/>
      <c r="M32" s="269"/>
      <c r="N32" s="269"/>
      <c r="O32" s="269"/>
      <c r="P32" s="269"/>
      <c r="Q32" s="269"/>
      <c r="R32" s="270"/>
      <c r="S32" s="52"/>
    </row>
    <row r="33" spans="2:19" x14ac:dyDescent="0.2">
      <c r="B33" s="268"/>
      <c r="C33" s="269"/>
      <c r="D33" s="269"/>
      <c r="E33" s="269"/>
      <c r="F33" s="269"/>
      <c r="G33" s="269"/>
      <c r="H33" s="269"/>
      <c r="I33" s="269"/>
      <c r="J33" s="269"/>
      <c r="K33" s="269"/>
      <c r="L33" s="269"/>
      <c r="M33" s="269"/>
      <c r="N33" s="269"/>
      <c r="O33" s="269"/>
      <c r="P33" s="269"/>
      <c r="Q33" s="269"/>
      <c r="R33" s="270"/>
      <c r="S33" s="52"/>
    </row>
    <row r="34" spans="2:19" ht="15.75" thickBot="1" x14ac:dyDescent="0.25">
      <c r="B34" s="271"/>
      <c r="C34" s="272"/>
      <c r="D34" s="272"/>
      <c r="E34" s="272"/>
      <c r="F34" s="272"/>
      <c r="G34" s="272"/>
      <c r="H34" s="272"/>
      <c r="I34" s="272"/>
      <c r="J34" s="272"/>
      <c r="K34" s="272"/>
      <c r="L34" s="272"/>
      <c r="M34" s="272"/>
      <c r="N34" s="272"/>
      <c r="O34" s="272"/>
      <c r="P34" s="272"/>
      <c r="Q34" s="272"/>
      <c r="R34" s="273"/>
      <c r="S34" s="52"/>
    </row>
    <row r="35" spans="2:19" x14ac:dyDescent="0.2">
      <c r="S35" s="52"/>
    </row>
    <row r="36" spans="2:19" x14ac:dyDescent="0.2">
      <c r="C36" s="179"/>
      <c r="D36" s="180"/>
      <c r="S36" s="52"/>
    </row>
    <row r="37" spans="2:19" x14ac:dyDescent="0.2">
      <c r="C37" s="250"/>
      <c r="D37" s="249"/>
      <c r="S37" s="52"/>
    </row>
    <row r="38" spans="2:19" x14ac:dyDescent="0.2">
      <c r="C38" s="250"/>
      <c r="D38" s="249"/>
      <c r="S38" s="52"/>
    </row>
    <row r="39" spans="2:19" x14ac:dyDescent="0.2">
      <c r="C39" s="250"/>
      <c r="D39" s="249"/>
      <c r="S39" s="52"/>
    </row>
    <row r="40" spans="2:19" x14ac:dyDescent="0.2">
      <c r="C40" s="250"/>
      <c r="D40" s="249"/>
      <c r="S40" s="52"/>
    </row>
    <row r="41" spans="2:19" x14ac:dyDescent="0.2">
      <c r="C41" s="250"/>
      <c r="D41" s="249"/>
      <c r="S41" s="52"/>
    </row>
    <row r="42" spans="2:19" x14ac:dyDescent="0.2">
      <c r="C42" s="250"/>
      <c r="D42" s="249"/>
      <c r="S42" s="52"/>
    </row>
    <row r="43" spans="2:19" x14ac:dyDescent="0.2">
      <c r="S43" s="52"/>
    </row>
    <row r="44" spans="2:19" x14ac:dyDescent="0.2">
      <c r="S44" s="52"/>
    </row>
    <row r="45" spans="2:19" x14ac:dyDescent="0.2">
      <c r="S45" s="52"/>
    </row>
    <row r="46" spans="2:19" x14ac:dyDescent="0.2">
      <c r="S46" s="52"/>
    </row>
    <row r="47" spans="2:19" x14ac:dyDescent="0.2">
      <c r="S47" s="52"/>
    </row>
    <row r="48" spans="2:19" x14ac:dyDescent="0.2">
      <c r="S48" s="52"/>
    </row>
    <row r="49" spans="19:19" x14ac:dyDescent="0.2">
      <c r="S49" s="52"/>
    </row>
    <row r="50" spans="19:19" x14ac:dyDescent="0.2">
      <c r="S50" s="52"/>
    </row>
    <row r="51" spans="19:19" x14ac:dyDescent="0.2">
      <c r="S51" s="52"/>
    </row>
    <row r="52" spans="19:19" x14ac:dyDescent="0.2">
      <c r="S52" s="52"/>
    </row>
    <row r="53" spans="19:19" x14ac:dyDescent="0.2">
      <c r="S53" s="52"/>
    </row>
    <row r="54" spans="19:19" x14ac:dyDescent="0.2">
      <c r="S54" s="52"/>
    </row>
    <row r="55" spans="19:19" x14ac:dyDescent="0.2">
      <c r="S55" s="52"/>
    </row>
    <row r="56" spans="19:19" x14ac:dyDescent="0.2">
      <c r="S56" s="52"/>
    </row>
    <row r="57" spans="19:19" x14ac:dyDescent="0.2">
      <c r="S57" s="52"/>
    </row>
    <row r="58" spans="19:19" x14ac:dyDescent="0.2">
      <c r="S58" s="52"/>
    </row>
    <row r="59" spans="19:19" x14ac:dyDescent="0.2">
      <c r="S59" s="52"/>
    </row>
    <row r="60" spans="19:19" x14ac:dyDescent="0.2">
      <c r="S60" s="52"/>
    </row>
    <row r="61" spans="19:19" x14ac:dyDescent="0.2">
      <c r="S61" s="52"/>
    </row>
    <row r="62" spans="19:19" x14ac:dyDescent="0.2">
      <c r="S62" s="52"/>
    </row>
    <row r="63" spans="19:19" x14ac:dyDescent="0.2">
      <c r="S63" s="52"/>
    </row>
    <row r="64" spans="19: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row r="668" spans="19:19" x14ac:dyDescent="0.2">
      <c r="S668" s="52"/>
    </row>
    <row r="669" spans="19:19" x14ac:dyDescent="0.2">
      <c r="S669" s="52"/>
    </row>
    <row r="670" spans="19:19" x14ac:dyDescent="0.2">
      <c r="S670" s="52"/>
    </row>
    <row r="671" spans="19:19" x14ac:dyDescent="0.2">
      <c r="S671" s="52"/>
    </row>
    <row r="672" spans="19:19" x14ac:dyDescent="0.2">
      <c r="S672" s="52"/>
    </row>
    <row r="673" spans="19:19" x14ac:dyDescent="0.2">
      <c r="S673" s="52"/>
    </row>
    <row r="674" spans="19:19" x14ac:dyDescent="0.2">
      <c r="S674" s="52"/>
    </row>
    <row r="675" spans="19:19" x14ac:dyDescent="0.2">
      <c r="S675" s="52"/>
    </row>
    <row r="676" spans="19:19" x14ac:dyDescent="0.2">
      <c r="S676" s="52"/>
    </row>
    <row r="677" spans="19:19" x14ac:dyDescent="0.2">
      <c r="S677" s="52"/>
    </row>
    <row r="678" spans="19:19" x14ac:dyDescent="0.2">
      <c r="S678" s="52"/>
    </row>
    <row r="679" spans="19:19" x14ac:dyDescent="0.2">
      <c r="S679" s="52"/>
    </row>
    <row r="680" spans="19:19" x14ac:dyDescent="0.2">
      <c r="S680" s="52"/>
    </row>
    <row r="681" spans="19:19" x14ac:dyDescent="0.2">
      <c r="S681" s="52"/>
    </row>
    <row r="682" spans="19:19" x14ac:dyDescent="0.2">
      <c r="S682" s="52"/>
    </row>
    <row r="683" spans="19:19" x14ac:dyDescent="0.2">
      <c r="S683" s="52"/>
    </row>
    <row r="684" spans="19:19" x14ac:dyDescent="0.2">
      <c r="S684" s="52"/>
    </row>
    <row r="685" spans="19:19" x14ac:dyDescent="0.2">
      <c r="S685" s="52"/>
    </row>
    <row r="686" spans="19:19" x14ac:dyDescent="0.2">
      <c r="S686" s="52"/>
    </row>
    <row r="687" spans="19:19" x14ac:dyDescent="0.2">
      <c r="S687" s="52"/>
    </row>
    <row r="688" spans="19:19" x14ac:dyDescent="0.2">
      <c r="S688" s="52"/>
    </row>
    <row r="689" spans="19:19" x14ac:dyDescent="0.2">
      <c r="S689" s="52"/>
    </row>
    <row r="690" spans="19:19" x14ac:dyDescent="0.2">
      <c r="S690" s="52"/>
    </row>
    <row r="691" spans="19:19" x14ac:dyDescent="0.2">
      <c r="S691" s="52"/>
    </row>
    <row r="692" spans="19:19" x14ac:dyDescent="0.2">
      <c r="S692" s="52"/>
    </row>
    <row r="693" spans="19:19" x14ac:dyDescent="0.2">
      <c r="S693" s="52"/>
    </row>
    <row r="694" spans="19:19" x14ac:dyDescent="0.2">
      <c r="S694" s="52"/>
    </row>
    <row r="695" spans="19:19" x14ac:dyDescent="0.2">
      <c r="S695" s="52"/>
    </row>
    <row r="696" spans="19:19" x14ac:dyDescent="0.2">
      <c r="S696" s="52"/>
    </row>
    <row r="697" spans="19:19" x14ac:dyDescent="0.2">
      <c r="S697" s="52"/>
    </row>
    <row r="698" spans="19:19" x14ac:dyDescent="0.2">
      <c r="S698" s="52"/>
    </row>
    <row r="699" spans="19:19" x14ac:dyDescent="0.2">
      <c r="S699" s="52"/>
    </row>
    <row r="700" spans="19:19" x14ac:dyDescent="0.2">
      <c r="S700" s="52"/>
    </row>
    <row r="701" spans="19:19" x14ac:dyDescent="0.2">
      <c r="S701" s="52"/>
    </row>
    <row r="702" spans="19:19" x14ac:dyDescent="0.2">
      <c r="S702" s="52"/>
    </row>
    <row r="703" spans="19:19" x14ac:dyDescent="0.2">
      <c r="S703" s="52"/>
    </row>
    <row r="704" spans="19:19" x14ac:dyDescent="0.2">
      <c r="S704" s="52"/>
    </row>
  </sheetData>
  <sortState ref="C13:D15">
    <sortCondition descending="1" ref="D13"/>
  </sortState>
  <mergeCells count="3">
    <mergeCell ref="C3:M3"/>
    <mergeCell ref="F7:M7"/>
    <mergeCell ref="B28:R34"/>
  </mergeCells>
  <pageMargins left="0.7" right="0.7" top="0.75" bottom="0.75" header="0.3" footer="0.3"/>
  <pageSetup paperSize="9"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pageSetUpPr fitToPage="1"/>
  </sheetPr>
  <dimension ref="B1:S700"/>
  <sheetViews>
    <sheetView showGridLines="0" zoomScale="75" zoomScaleNormal="75" workbookViewId="0"/>
  </sheetViews>
  <sheetFormatPr defaultRowHeight="15" x14ac:dyDescent="0.2"/>
  <cols>
    <col min="1" max="1" width="2.85546875" style="3" customWidth="1"/>
    <col min="2" max="2" width="3.85546875" style="3" customWidth="1"/>
    <col min="3" max="3" width="59.140625" style="3" bestFit="1" customWidth="1"/>
    <col min="4" max="4" width="15.42578125" style="3" bestFit="1" customWidth="1"/>
    <col min="5" max="5" width="9.140625" style="3"/>
    <col min="6" max="6" width="10.7109375" style="3" customWidth="1"/>
    <col min="7" max="7" width="10.5703125" style="3" bestFit="1" customWidth="1"/>
    <col min="8" max="9" width="9.140625" style="3"/>
    <col min="10" max="11" width="16.42578125" style="3" customWidth="1"/>
    <col min="12" max="18" width="9.140625" style="3"/>
    <col min="19" max="19" width="9.85546875" style="3" customWidth="1"/>
    <col min="20" max="21" width="9.28515625" style="3" bestFit="1" customWidth="1"/>
    <col min="22" max="16384" width="9.140625" style="3"/>
  </cols>
  <sheetData>
    <row r="1" spans="2:19" ht="15.75" thickBot="1" x14ac:dyDescent="0.25"/>
    <row r="2" spans="2:19" x14ac:dyDescent="0.2">
      <c r="B2" s="94"/>
      <c r="C2" s="42"/>
      <c r="D2" s="42"/>
      <c r="E2" s="42"/>
      <c r="F2" s="42"/>
      <c r="G2" s="42"/>
      <c r="H2" s="42"/>
      <c r="I2" s="42"/>
      <c r="J2" s="42"/>
      <c r="K2" s="42"/>
      <c r="L2" s="42"/>
      <c r="M2" s="95"/>
    </row>
    <row r="3" spans="2:19" ht="20.25" customHeight="1" x14ac:dyDescent="0.2">
      <c r="B3" s="96"/>
      <c r="C3" s="259" t="s">
        <v>178</v>
      </c>
      <c r="D3" s="259"/>
      <c r="E3" s="259"/>
      <c r="F3" s="259"/>
      <c r="G3" s="259"/>
      <c r="H3" s="259"/>
      <c r="I3" s="259"/>
      <c r="J3" s="259"/>
      <c r="K3" s="259"/>
      <c r="L3" s="259"/>
      <c r="M3" s="260"/>
    </row>
    <row r="4" spans="2:19" ht="15.75" x14ac:dyDescent="0.25">
      <c r="B4" s="96"/>
      <c r="C4" s="70" t="s">
        <v>367</v>
      </c>
      <c r="D4" s="29"/>
      <c r="E4" s="29"/>
      <c r="F4" s="5"/>
      <c r="G4" s="5"/>
      <c r="H4" s="5"/>
      <c r="I4" s="5"/>
      <c r="J4" s="5"/>
      <c r="K4" s="5"/>
      <c r="L4" s="5"/>
      <c r="M4" s="20"/>
    </row>
    <row r="5" spans="2:19" ht="20.25" customHeight="1" x14ac:dyDescent="0.25">
      <c r="B5" s="96"/>
      <c r="C5" s="228" t="s">
        <v>366</v>
      </c>
      <c r="D5" s="97" t="s">
        <v>340</v>
      </c>
      <c r="E5" s="19"/>
      <c r="F5" s="5"/>
      <c r="G5" s="5"/>
      <c r="H5" s="5"/>
      <c r="I5" s="5"/>
      <c r="J5" s="5"/>
      <c r="K5" s="5"/>
      <c r="L5" s="5"/>
      <c r="M5" s="20"/>
    </row>
    <row r="6" spans="2:19" x14ac:dyDescent="0.2">
      <c r="B6" s="96"/>
      <c r="C6" s="5"/>
      <c r="D6" s="5"/>
      <c r="E6" s="5"/>
      <c r="F6" s="5"/>
      <c r="G6" s="5"/>
      <c r="H6" s="5"/>
      <c r="I6" s="5"/>
      <c r="J6" s="5"/>
      <c r="K6" s="5"/>
      <c r="L6" s="5"/>
      <c r="M6" s="20"/>
    </row>
    <row r="7" spans="2:19" ht="15.75" x14ac:dyDescent="0.2">
      <c r="B7" s="96"/>
      <c r="C7" s="98" t="s">
        <v>43</v>
      </c>
      <c r="D7" s="98" t="s">
        <v>45</v>
      </c>
      <c r="E7" s="5"/>
      <c r="F7" s="261" t="s">
        <v>50</v>
      </c>
      <c r="G7" s="261"/>
      <c r="H7" s="261"/>
      <c r="I7" s="261"/>
      <c r="J7" s="261"/>
      <c r="K7" s="261"/>
      <c r="L7" s="261"/>
      <c r="M7" s="262"/>
    </row>
    <row r="8" spans="2:19" x14ac:dyDescent="0.2">
      <c r="B8" s="96"/>
      <c r="C8" s="4" t="s">
        <v>180</v>
      </c>
      <c r="D8" s="186">
        <v>0.30653799999999998</v>
      </c>
      <c r="E8" s="5"/>
      <c r="F8" s="5"/>
      <c r="G8" s="31"/>
      <c r="H8" s="5"/>
      <c r="I8" s="5" t="s">
        <v>51</v>
      </c>
      <c r="J8" s="50">
        <f>D11</f>
        <v>0.7349389999999999</v>
      </c>
      <c r="K8" s="5"/>
      <c r="L8" s="5"/>
      <c r="M8" s="20"/>
      <c r="S8" s="52"/>
    </row>
    <row r="9" spans="2:19" ht="15.75" customHeight="1" x14ac:dyDescent="0.2">
      <c r="B9" s="96"/>
      <c r="C9" s="4" t="s">
        <v>179</v>
      </c>
      <c r="D9" s="186">
        <v>0.28093499999999999</v>
      </c>
      <c r="E9" s="5"/>
      <c r="F9" s="5"/>
      <c r="G9" s="5"/>
      <c r="H9" s="5"/>
      <c r="I9" s="5" t="s">
        <v>53</v>
      </c>
      <c r="J9" s="50">
        <f>D14</f>
        <v>0.23217499999999999</v>
      </c>
      <c r="K9" s="5"/>
      <c r="L9" s="5"/>
      <c r="M9" s="20"/>
      <c r="S9" s="52"/>
    </row>
    <row r="10" spans="2:19" x14ac:dyDescent="0.2">
      <c r="B10" s="96"/>
      <c r="C10" s="38" t="s">
        <v>183</v>
      </c>
      <c r="D10" s="204">
        <v>0.14746600000000001</v>
      </c>
      <c r="E10" s="5"/>
      <c r="F10" s="5"/>
      <c r="G10" s="5"/>
      <c r="H10" s="5"/>
      <c r="I10" s="5" t="s">
        <v>20</v>
      </c>
      <c r="J10" s="50">
        <f>D16</f>
        <v>3.2885999999999999E-2</v>
      </c>
      <c r="K10" s="5"/>
      <c r="L10" s="5"/>
      <c r="M10" s="20"/>
      <c r="S10" s="52"/>
    </row>
    <row r="11" spans="2:19" ht="15.75" x14ac:dyDescent="0.25">
      <c r="B11" s="96"/>
      <c r="C11" s="7" t="s">
        <v>52</v>
      </c>
      <c r="D11" s="8">
        <f>SUM(D8:D10)</f>
        <v>0.7349389999999999</v>
      </c>
      <c r="E11" s="5"/>
      <c r="F11" s="5"/>
      <c r="G11" s="5"/>
      <c r="H11" s="5"/>
      <c r="K11" s="5"/>
      <c r="L11" s="5"/>
      <c r="M11" s="20"/>
      <c r="S11" s="52"/>
    </row>
    <row r="12" spans="2:19" x14ac:dyDescent="0.2">
      <c r="B12" s="96"/>
      <c r="C12" s="4"/>
      <c r="D12" s="6"/>
      <c r="E12" s="5"/>
      <c r="F12" s="5"/>
      <c r="G12" s="5"/>
      <c r="H12" s="5"/>
      <c r="I12" s="5"/>
      <c r="J12" s="5"/>
      <c r="K12" s="5"/>
      <c r="L12" s="5"/>
      <c r="M12" s="20"/>
      <c r="S12" s="52"/>
    </row>
    <row r="13" spans="2:19" x14ac:dyDescent="0.2">
      <c r="B13" s="96"/>
      <c r="C13" s="4" t="s">
        <v>182</v>
      </c>
      <c r="D13" s="186">
        <v>0.23217499999999999</v>
      </c>
      <c r="E13" s="5"/>
      <c r="F13" s="5"/>
      <c r="G13" s="5"/>
      <c r="H13" s="5"/>
      <c r="I13" s="5"/>
      <c r="J13" s="5"/>
      <c r="K13" s="5"/>
      <c r="L13" s="5"/>
      <c r="M13" s="20"/>
      <c r="S13" s="52"/>
    </row>
    <row r="14" spans="2:19" ht="15.75" x14ac:dyDescent="0.25">
      <c r="B14" s="96"/>
      <c r="C14" s="7" t="s">
        <v>19</v>
      </c>
      <c r="D14" s="8">
        <v>0.23217499999999999</v>
      </c>
      <c r="E14" s="5"/>
      <c r="F14" s="5"/>
      <c r="G14" s="5"/>
      <c r="H14" s="5"/>
      <c r="I14" s="5"/>
      <c r="J14" s="5"/>
      <c r="K14" s="5"/>
      <c r="L14" s="5"/>
      <c r="M14" s="20"/>
      <c r="S14" s="52"/>
    </row>
    <row r="15" spans="2:19" x14ac:dyDescent="0.2">
      <c r="B15" s="96"/>
      <c r="C15" s="4"/>
      <c r="D15" s="6"/>
      <c r="E15" s="5"/>
      <c r="F15" s="5"/>
      <c r="G15" s="5"/>
      <c r="H15" s="5"/>
      <c r="I15" s="5"/>
      <c r="J15" s="5"/>
      <c r="K15" s="5"/>
      <c r="L15" s="5"/>
      <c r="M15" s="20"/>
      <c r="S15" s="52"/>
    </row>
    <row r="16" spans="2:19" ht="15.75" x14ac:dyDescent="0.25">
      <c r="B16" s="96"/>
      <c r="C16" s="7" t="s">
        <v>20</v>
      </c>
      <c r="D16" s="214">
        <v>3.2885999999999999E-2</v>
      </c>
      <c r="E16" s="5"/>
      <c r="F16" s="5"/>
      <c r="G16" s="5"/>
      <c r="H16" s="5"/>
      <c r="I16" s="5"/>
      <c r="J16" s="5"/>
      <c r="K16" s="5"/>
      <c r="L16" s="5"/>
      <c r="M16" s="20"/>
      <c r="S16" s="52"/>
    </row>
    <row r="17" spans="2:19" x14ac:dyDescent="0.2">
      <c r="B17" s="96"/>
      <c r="C17" s="4"/>
      <c r="D17" s="6"/>
      <c r="E17" s="5"/>
      <c r="F17" s="5"/>
      <c r="G17" s="5"/>
      <c r="H17" s="5"/>
      <c r="I17" s="5"/>
      <c r="J17" s="5"/>
      <c r="K17" s="5"/>
      <c r="L17" s="5"/>
      <c r="M17" s="20"/>
      <c r="S17" s="52"/>
    </row>
    <row r="18" spans="2:19" ht="15.75" x14ac:dyDescent="0.25">
      <c r="B18" s="96"/>
      <c r="C18" s="9" t="s">
        <v>54</v>
      </c>
      <c r="D18" s="10">
        <f>D16+D14+D11</f>
        <v>0.99999999999999989</v>
      </c>
      <c r="E18" s="5"/>
      <c r="F18" s="5"/>
      <c r="G18" s="5"/>
      <c r="H18" s="5"/>
      <c r="I18" s="5"/>
      <c r="J18" s="5"/>
      <c r="K18" s="5"/>
      <c r="L18" s="5"/>
      <c r="M18" s="20"/>
      <c r="S18" s="52"/>
    </row>
    <row r="19" spans="2:19" x14ac:dyDescent="0.2">
      <c r="B19" s="96"/>
      <c r="E19" s="5"/>
      <c r="F19" s="5"/>
      <c r="G19" s="5"/>
      <c r="H19" s="5"/>
      <c r="I19" s="5"/>
      <c r="J19" s="5"/>
      <c r="K19" s="5"/>
      <c r="L19" s="5"/>
      <c r="M19" s="20"/>
      <c r="S19" s="52"/>
    </row>
    <row r="20" spans="2:19" x14ac:dyDescent="0.2">
      <c r="B20" s="96"/>
      <c r="E20" s="5"/>
      <c r="F20" s="5"/>
      <c r="G20" s="5"/>
      <c r="H20" s="5"/>
      <c r="I20" s="5"/>
      <c r="J20" s="5"/>
      <c r="K20" s="5"/>
      <c r="L20" s="5"/>
      <c r="M20" s="20"/>
      <c r="S20" s="52"/>
    </row>
    <row r="21" spans="2:19" x14ac:dyDescent="0.2">
      <c r="B21" s="96"/>
      <c r="E21" s="5"/>
      <c r="F21" s="5"/>
      <c r="G21" s="5"/>
      <c r="H21" s="5"/>
      <c r="I21" s="5"/>
      <c r="J21" s="5"/>
      <c r="K21" s="5"/>
      <c r="L21" s="5"/>
      <c r="M21" s="20"/>
      <c r="S21" s="52"/>
    </row>
    <row r="22" spans="2:19" ht="16.5" thickBot="1" x14ac:dyDescent="0.3">
      <c r="B22" s="99"/>
      <c r="C22" s="263"/>
      <c r="D22" s="263"/>
      <c r="E22" s="263"/>
      <c r="F22" s="263"/>
      <c r="G22" s="263"/>
      <c r="H22" s="263"/>
      <c r="I22" s="263"/>
      <c r="J22" s="263"/>
      <c r="K22" s="263"/>
      <c r="L22" s="263"/>
      <c r="M22" s="264"/>
      <c r="S22" s="52"/>
    </row>
    <row r="23" spans="2:19" ht="15.75" thickBot="1" x14ac:dyDescent="0.25">
      <c r="S23" s="52"/>
    </row>
    <row r="24" spans="2:19" ht="15" customHeight="1" x14ac:dyDescent="0.2">
      <c r="B24" s="265" t="s">
        <v>186</v>
      </c>
      <c r="C24" s="266"/>
      <c r="D24" s="266"/>
      <c r="E24" s="266"/>
      <c r="F24" s="266"/>
      <c r="G24" s="266"/>
      <c r="H24" s="266"/>
      <c r="I24" s="266"/>
      <c r="J24" s="266"/>
      <c r="K24" s="266"/>
      <c r="L24" s="266"/>
      <c r="M24" s="266"/>
      <c r="N24" s="266"/>
      <c r="O24" s="266"/>
      <c r="P24" s="266"/>
      <c r="Q24" s="266"/>
      <c r="R24" s="267"/>
      <c r="S24" s="52"/>
    </row>
    <row r="25" spans="2:19" x14ac:dyDescent="0.2">
      <c r="B25" s="268"/>
      <c r="C25" s="269"/>
      <c r="D25" s="269"/>
      <c r="E25" s="269"/>
      <c r="F25" s="269"/>
      <c r="G25" s="269"/>
      <c r="H25" s="269"/>
      <c r="I25" s="269"/>
      <c r="J25" s="269"/>
      <c r="K25" s="269"/>
      <c r="L25" s="269"/>
      <c r="M25" s="269"/>
      <c r="N25" s="269"/>
      <c r="O25" s="269"/>
      <c r="P25" s="269"/>
      <c r="Q25" s="269"/>
      <c r="R25" s="270"/>
      <c r="S25" s="52"/>
    </row>
    <row r="26" spans="2:19" x14ac:dyDescent="0.2">
      <c r="B26" s="268"/>
      <c r="C26" s="269"/>
      <c r="D26" s="269"/>
      <c r="E26" s="269"/>
      <c r="F26" s="269"/>
      <c r="G26" s="269"/>
      <c r="H26" s="269"/>
      <c r="I26" s="269"/>
      <c r="J26" s="269"/>
      <c r="K26" s="269"/>
      <c r="L26" s="269"/>
      <c r="M26" s="269"/>
      <c r="N26" s="269"/>
      <c r="O26" s="269"/>
      <c r="P26" s="269"/>
      <c r="Q26" s="269"/>
      <c r="R26" s="270"/>
      <c r="S26" s="52"/>
    </row>
    <row r="27" spans="2:19" x14ac:dyDescent="0.2">
      <c r="B27" s="268"/>
      <c r="C27" s="269"/>
      <c r="D27" s="269"/>
      <c r="E27" s="269"/>
      <c r="F27" s="269"/>
      <c r="G27" s="269"/>
      <c r="H27" s="269"/>
      <c r="I27" s="269"/>
      <c r="J27" s="269"/>
      <c r="K27" s="269"/>
      <c r="L27" s="269"/>
      <c r="M27" s="269"/>
      <c r="N27" s="269"/>
      <c r="O27" s="269"/>
      <c r="P27" s="269"/>
      <c r="Q27" s="269"/>
      <c r="R27" s="270"/>
      <c r="S27" s="52"/>
    </row>
    <row r="28" spans="2:19" x14ac:dyDescent="0.2">
      <c r="B28" s="268"/>
      <c r="C28" s="269"/>
      <c r="D28" s="269"/>
      <c r="E28" s="269"/>
      <c r="F28" s="269"/>
      <c r="G28" s="269"/>
      <c r="H28" s="269"/>
      <c r="I28" s="269"/>
      <c r="J28" s="269"/>
      <c r="K28" s="269"/>
      <c r="L28" s="269"/>
      <c r="M28" s="269"/>
      <c r="N28" s="269"/>
      <c r="O28" s="269"/>
      <c r="P28" s="269"/>
      <c r="Q28" s="269"/>
      <c r="R28" s="270"/>
      <c r="S28" s="52"/>
    </row>
    <row r="29" spans="2:19" x14ac:dyDescent="0.2">
      <c r="B29" s="268"/>
      <c r="C29" s="269"/>
      <c r="D29" s="269"/>
      <c r="E29" s="269"/>
      <c r="F29" s="269"/>
      <c r="G29" s="269"/>
      <c r="H29" s="269"/>
      <c r="I29" s="269"/>
      <c r="J29" s="269"/>
      <c r="K29" s="269"/>
      <c r="L29" s="269"/>
      <c r="M29" s="269"/>
      <c r="N29" s="269"/>
      <c r="O29" s="269"/>
      <c r="P29" s="269"/>
      <c r="Q29" s="269"/>
      <c r="R29" s="270"/>
      <c r="S29" s="52"/>
    </row>
    <row r="30" spans="2:19" ht="15.75" thickBot="1" x14ac:dyDescent="0.25">
      <c r="B30" s="271"/>
      <c r="C30" s="272"/>
      <c r="D30" s="272"/>
      <c r="E30" s="272"/>
      <c r="F30" s="272"/>
      <c r="G30" s="272"/>
      <c r="H30" s="272"/>
      <c r="I30" s="272"/>
      <c r="J30" s="272"/>
      <c r="K30" s="272"/>
      <c r="L30" s="272"/>
      <c r="M30" s="272"/>
      <c r="N30" s="272"/>
      <c r="O30" s="272"/>
      <c r="P30" s="272"/>
      <c r="Q30" s="272"/>
      <c r="R30" s="273"/>
      <c r="S30" s="52"/>
    </row>
    <row r="31" spans="2:19" x14ac:dyDescent="0.2">
      <c r="S31" s="52"/>
    </row>
    <row r="32" spans="2:19" x14ac:dyDescent="0.2">
      <c r="C32" s="179"/>
      <c r="D32" s="180"/>
      <c r="S32" s="52"/>
    </row>
    <row r="33" spans="3:19" x14ac:dyDescent="0.2">
      <c r="C33" s="250"/>
      <c r="D33" s="249"/>
      <c r="S33" s="52"/>
    </row>
    <row r="34" spans="3:19" x14ac:dyDescent="0.2">
      <c r="C34" s="250"/>
      <c r="D34" s="249"/>
      <c r="S34" s="52"/>
    </row>
    <row r="35" spans="3:19" x14ac:dyDescent="0.2">
      <c r="C35" s="250"/>
      <c r="D35" s="249"/>
      <c r="S35" s="52"/>
    </row>
    <row r="36" spans="3:19" x14ac:dyDescent="0.2">
      <c r="C36" s="250"/>
      <c r="D36" s="249"/>
      <c r="S36" s="52"/>
    </row>
    <row r="37" spans="3:19" x14ac:dyDescent="0.2">
      <c r="S37" s="52"/>
    </row>
    <row r="38" spans="3:19" x14ac:dyDescent="0.2">
      <c r="S38" s="52"/>
    </row>
    <row r="39" spans="3:19" x14ac:dyDescent="0.2">
      <c r="S39" s="52"/>
    </row>
    <row r="40" spans="3:19" x14ac:dyDescent="0.2">
      <c r="S40" s="52"/>
    </row>
    <row r="41" spans="3:19" x14ac:dyDescent="0.2">
      <c r="S41" s="52"/>
    </row>
    <row r="42" spans="3:19" x14ac:dyDescent="0.2">
      <c r="S42" s="52"/>
    </row>
    <row r="43" spans="3:19" x14ac:dyDescent="0.2">
      <c r="S43" s="52"/>
    </row>
    <row r="44" spans="3:19" x14ac:dyDescent="0.2">
      <c r="S44" s="52"/>
    </row>
    <row r="45" spans="3:19" x14ac:dyDescent="0.2">
      <c r="S45" s="52"/>
    </row>
    <row r="46" spans="3:19" x14ac:dyDescent="0.2">
      <c r="S46" s="52"/>
    </row>
    <row r="47" spans="3:19" x14ac:dyDescent="0.2">
      <c r="S47" s="52"/>
    </row>
    <row r="48" spans="3:19" x14ac:dyDescent="0.2">
      <c r="S48" s="52"/>
    </row>
    <row r="49" spans="19:19" x14ac:dyDescent="0.2">
      <c r="S49" s="52"/>
    </row>
    <row r="50" spans="19:19" x14ac:dyDescent="0.2">
      <c r="S50" s="52"/>
    </row>
    <row r="51" spans="19:19" x14ac:dyDescent="0.2">
      <c r="S51" s="52"/>
    </row>
    <row r="52" spans="19:19" x14ac:dyDescent="0.2">
      <c r="S52" s="52"/>
    </row>
    <row r="53" spans="19:19" x14ac:dyDescent="0.2">
      <c r="S53" s="52"/>
    </row>
    <row r="54" spans="19:19" x14ac:dyDescent="0.2">
      <c r="S54" s="52"/>
    </row>
    <row r="55" spans="19:19" x14ac:dyDescent="0.2">
      <c r="S55" s="52"/>
    </row>
    <row r="56" spans="19:19" x14ac:dyDescent="0.2">
      <c r="S56" s="52"/>
    </row>
    <row r="57" spans="19:19" x14ac:dyDescent="0.2">
      <c r="S57" s="52"/>
    </row>
    <row r="58" spans="19:19" x14ac:dyDescent="0.2">
      <c r="S58" s="52"/>
    </row>
    <row r="59" spans="19:19" x14ac:dyDescent="0.2">
      <c r="S59" s="52"/>
    </row>
    <row r="60" spans="19:19" x14ac:dyDescent="0.2">
      <c r="S60" s="52"/>
    </row>
    <row r="61" spans="19:19" x14ac:dyDescent="0.2">
      <c r="S61" s="52"/>
    </row>
    <row r="62" spans="19:19" x14ac:dyDescent="0.2">
      <c r="S62" s="52"/>
    </row>
    <row r="63" spans="19:19" x14ac:dyDescent="0.2">
      <c r="S63" s="52"/>
    </row>
    <row r="64" spans="19:19" x14ac:dyDescent="0.2">
      <c r="S64" s="52"/>
    </row>
    <row r="65" spans="19:19" x14ac:dyDescent="0.2">
      <c r="S65" s="52"/>
    </row>
    <row r="66" spans="19:19" x14ac:dyDescent="0.2">
      <c r="S66" s="52"/>
    </row>
    <row r="67" spans="19:19" x14ac:dyDescent="0.2">
      <c r="S67" s="52"/>
    </row>
    <row r="68" spans="19:19" x14ac:dyDescent="0.2">
      <c r="S68" s="52"/>
    </row>
    <row r="69" spans="19:19" x14ac:dyDescent="0.2">
      <c r="S69" s="52"/>
    </row>
    <row r="70" spans="19:19" x14ac:dyDescent="0.2">
      <c r="S70" s="52"/>
    </row>
    <row r="71" spans="19:19" x14ac:dyDescent="0.2">
      <c r="S71" s="52"/>
    </row>
    <row r="72" spans="19:19" x14ac:dyDescent="0.2">
      <c r="S72" s="52"/>
    </row>
    <row r="73" spans="19:19" x14ac:dyDescent="0.2">
      <c r="S73" s="52"/>
    </row>
    <row r="74" spans="19:19" x14ac:dyDescent="0.2">
      <c r="S74" s="52"/>
    </row>
    <row r="75" spans="19:19" x14ac:dyDescent="0.2">
      <c r="S75" s="52"/>
    </row>
    <row r="76" spans="19:19" x14ac:dyDescent="0.2">
      <c r="S76" s="52"/>
    </row>
    <row r="77" spans="19:19" x14ac:dyDescent="0.2">
      <c r="S77" s="52"/>
    </row>
    <row r="78" spans="19:19" x14ac:dyDescent="0.2">
      <c r="S78" s="52"/>
    </row>
    <row r="79" spans="19:19" x14ac:dyDescent="0.2">
      <c r="S79" s="52"/>
    </row>
    <row r="80" spans="19:19" x14ac:dyDescent="0.2">
      <c r="S80" s="52"/>
    </row>
    <row r="81" spans="19:19" x14ac:dyDescent="0.2">
      <c r="S81" s="52"/>
    </row>
    <row r="82" spans="19:19" x14ac:dyDescent="0.2">
      <c r="S82" s="52"/>
    </row>
    <row r="83" spans="19:19" x14ac:dyDescent="0.2">
      <c r="S83" s="52"/>
    </row>
    <row r="84" spans="19:19" x14ac:dyDescent="0.2">
      <c r="S84" s="52"/>
    </row>
    <row r="85" spans="19:19" x14ac:dyDescent="0.2">
      <c r="S85" s="52"/>
    </row>
    <row r="86" spans="19:19" x14ac:dyDescent="0.2">
      <c r="S86" s="52"/>
    </row>
    <row r="87" spans="19:19" x14ac:dyDescent="0.2">
      <c r="S87" s="52"/>
    </row>
    <row r="88" spans="19:19" x14ac:dyDescent="0.2">
      <c r="S88" s="52"/>
    </row>
    <row r="89" spans="19:19" x14ac:dyDescent="0.2">
      <c r="S89" s="52"/>
    </row>
    <row r="90" spans="19:19" x14ac:dyDescent="0.2">
      <c r="S90" s="52"/>
    </row>
    <row r="91" spans="19:19" x14ac:dyDescent="0.2">
      <c r="S91" s="52"/>
    </row>
    <row r="92" spans="19:19" x14ac:dyDescent="0.2">
      <c r="S92" s="52"/>
    </row>
    <row r="93" spans="19:19" x14ac:dyDescent="0.2">
      <c r="S93" s="52"/>
    </row>
    <row r="94" spans="19:19" x14ac:dyDescent="0.2">
      <c r="S94" s="52"/>
    </row>
    <row r="95" spans="19:19" x14ac:dyDescent="0.2">
      <c r="S95" s="52"/>
    </row>
    <row r="96" spans="19:19" x14ac:dyDescent="0.2">
      <c r="S96" s="52"/>
    </row>
    <row r="97" spans="19:19" x14ac:dyDescent="0.2">
      <c r="S97" s="52"/>
    </row>
    <row r="98" spans="19:19" x14ac:dyDescent="0.2">
      <c r="S98" s="52"/>
    </row>
    <row r="99" spans="19:19" x14ac:dyDescent="0.2">
      <c r="S99" s="52"/>
    </row>
    <row r="100" spans="19:19" x14ac:dyDescent="0.2">
      <c r="S100" s="52"/>
    </row>
    <row r="101" spans="19:19" x14ac:dyDescent="0.2">
      <c r="S101" s="52"/>
    </row>
    <row r="102" spans="19:19" x14ac:dyDescent="0.2">
      <c r="S102" s="52"/>
    </row>
    <row r="103" spans="19:19" x14ac:dyDescent="0.2">
      <c r="S103" s="52"/>
    </row>
    <row r="104" spans="19:19" x14ac:dyDescent="0.2">
      <c r="S104" s="52"/>
    </row>
    <row r="105" spans="19:19" x14ac:dyDescent="0.2">
      <c r="S105" s="52"/>
    </row>
    <row r="106" spans="19:19" x14ac:dyDescent="0.2">
      <c r="S106" s="52"/>
    </row>
    <row r="107" spans="19:19" x14ac:dyDescent="0.2">
      <c r="S107" s="52"/>
    </row>
    <row r="108" spans="19:19" x14ac:dyDescent="0.2">
      <c r="S108" s="52"/>
    </row>
    <row r="109" spans="19:19" x14ac:dyDescent="0.2">
      <c r="S109" s="52"/>
    </row>
    <row r="110" spans="19:19" x14ac:dyDescent="0.2">
      <c r="S110" s="52"/>
    </row>
    <row r="111" spans="19:19" x14ac:dyDescent="0.2">
      <c r="S111" s="52"/>
    </row>
    <row r="112" spans="19:19" x14ac:dyDescent="0.2">
      <c r="S112" s="52"/>
    </row>
    <row r="113" spans="19:19" x14ac:dyDescent="0.2">
      <c r="S113" s="52"/>
    </row>
    <row r="114" spans="19:19" x14ac:dyDescent="0.2">
      <c r="S114" s="52"/>
    </row>
    <row r="115" spans="19:19" x14ac:dyDescent="0.2">
      <c r="S115" s="52"/>
    </row>
    <row r="116" spans="19:19" x14ac:dyDescent="0.2">
      <c r="S116" s="52"/>
    </row>
    <row r="117" spans="19:19" x14ac:dyDescent="0.2">
      <c r="S117" s="52"/>
    </row>
    <row r="118" spans="19:19" x14ac:dyDescent="0.2">
      <c r="S118" s="52"/>
    </row>
    <row r="119" spans="19:19" x14ac:dyDescent="0.2">
      <c r="S119" s="52"/>
    </row>
    <row r="120" spans="19:19" x14ac:dyDescent="0.2">
      <c r="S120" s="52"/>
    </row>
    <row r="121" spans="19:19" x14ac:dyDescent="0.2">
      <c r="S121" s="52"/>
    </row>
    <row r="122" spans="19:19" x14ac:dyDescent="0.2">
      <c r="S122" s="52"/>
    </row>
    <row r="123" spans="19:19" x14ac:dyDescent="0.2">
      <c r="S123" s="52"/>
    </row>
    <row r="124" spans="19:19" x14ac:dyDescent="0.2">
      <c r="S124" s="52"/>
    </row>
    <row r="125" spans="19:19" x14ac:dyDescent="0.2">
      <c r="S125" s="52"/>
    </row>
    <row r="126" spans="19:19" x14ac:dyDescent="0.2">
      <c r="S126" s="52"/>
    </row>
    <row r="127" spans="19:19" x14ac:dyDescent="0.2">
      <c r="S127" s="52"/>
    </row>
    <row r="128" spans="19:19" x14ac:dyDescent="0.2">
      <c r="S128" s="52"/>
    </row>
    <row r="129" spans="19:19" x14ac:dyDescent="0.2">
      <c r="S129" s="52"/>
    </row>
    <row r="130" spans="19:19" x14ac:dyDescent="0.2">
      <c r="S130" s="52"/>
    </row>
    <row r="131" spans="19:19" x14ac:dyDescent="0.2">
      <c r="S131" s="52"/>
    </row>
    <row r="132" spans="19:19" x14ac:dyDescent="0.2">
      <c r="S132" s="52"/>
    </row>
    <row r="133" spans="19:19" x14ac:dyDescent="0.2">
      <c r="S133" s="52"/>
    </row>
    <row r="134" spans="19:19" x14ac:dyDescent="0.2">
      <c r="S134" s="52"/>
    </row>
    <row r="135" spans="19:19" x14ac:dyDescent="0.2">
      <c r="S135" s="52"/>
    </row>
    <row r="136" spans="19:19" x14ac:dyDescent="0.2">
      <c r="S136" s="52"/>
    </row>
    <row r="137" spans="19:19" x14ac:dyDescent="0.2">
      <c r="S137" s="52"/>
    </row>
    <row r="138" spans="19:19" x14ac:dyDescent="0.2">
      <c r="S138" s="52"/>
    </row>
    <row r="139" spans="19:19" x14ac:dyDescent="0.2">
      <c r="S139" s="52"/>
    </row>
    <row r="140" spans="19:19" x14ac:dyDescent="0.2">
      <c r="S140" s="52"/>
    </row>
    <row r="141" spans="19:19" x14ac:dyDescent="0.2">
      <c r="S141" s="52"/>
    </row>
    <row r="142" spans="19:19" x14ac:dyDescent="0.2">
      <c r="S142" s="52"/>
    </row>
    <row r="143" spans="19:19" x14ac:dyDescent="0.2">
      <c r="S143" s="52"/>
    </row>
    <row r="144" spans="19:19" x14ac:dyDescent="0.2">
      <c r="S144" s="52"/>
    </row>
    <row r="145" spans="19:19" x14ac:dyDescent="0.2">
      <c r="S145" s="52"/>
    </row>
    <row r="146" spans="19:19" x14ac:dyDescent="0.2">
      <c r="S146" s="52"/>
    </row>
    <row r="147" spans="19:19" x14ac:dyDescent="0.2">
      <c r="S147" s="52"/>
    </row>
    <row r="148" spans="19:19" x14ac:dyDescent="0.2">
      <c r="S148" s="52"/>
    </row>
    <row r="149" spans="19:19" x14ac:dyDescent="0.2">
      <c r="S149" s="52"/>
    </row>
    <row r="150" spans="19:19" x14ac:dyDescent="0.2">
      <c r="S150" s="52"/>
    </row>
    <row r="151" spans="19:19" x14ac:dyDescent="0.2">
      <c r="S151" s="52"/>
    </row>
    <row r="152" spans="19:19" x14ac:dyDescent="0.2">
      <c r="S152" s="52"/>
    </row>
    <row r="153" spans="19:19" x14ac:dyDescent="0.2">
      <c r="S153" s="52"/>
    </row>
    <row r="154" spans="19:19" x14ac:dyDescent="0.2">
      <c r="S154" s="52"/>
    </row>
    <row r="155" spans="19:19" x14ac:dyDescent="0.2">
      <c r="S155" s="52"/>
    </row>
    <row r="156" spans="19:19" x14ac:dyDescent="0.2">
      <c r="S156" s="52"/>
    </row>
    <row r="157" spans="19:19" x14ac:dyDescent="0.2">
      <c r="S157" s="52"/>
    </row>
    <row r="158" spans="19:19" x14ac:dyDescent="0.2">
      <c r="S158" s="52"/>
    </row>
    <row r="159" spans="19:19" x14ac:dyDescent="0.2">
      <c r="S159" s="52"/>
    </row>
    <row r="160" spans="19:19" x14ac:dyDescent="0.2">
      <c r="S160" s="52"/>
    </row>
    <row r="161" spans="19:19" x14ac:dyDescent="0.2">
      <c r="S161" s="52"/>
    </row>
    <row r="162" spans="19:19" x14ac:dyDescent="0.2">
      <c r="S162" s="52"/>
    </row>
    <row r="163" spans="19:19" x14ac:dyDescent="0.2">
      <c r="S163" s="52"/>
    </row>
    <row r="164" spans="19:19" x14ac:dyDescent="0.2">
      <c r="S164" s="52"/>
    </row>
    <row r="165" spans="19:19" x14ac:dyDescent="0.2">
      <c r="S165" s="52"/>
    </row>
    <row r="166" spans="19:19" x14ac:dyDescent="0.2">
      <c r="S166" s="52"/>
    </row>
    <row r="167" spans="19:19" x14ac:dyDescent="0.2">
      <c r="S167" s="52"/>
    </row>
    <row r="168" spans="19:19" x14ac:dyDescent="0.2">
      <c r="S168" s="52"/>
    </row>
    <row r="169" spans="19:19" x14ac:dyDescent="0.2">
      <c r="S169" s="52"/>
    </row>
    <row r="170" spans="19:19" x14ac:dyDescent="0.2">
      <c r="S170" s="52"/>
    </row>
    <row r="171" spans="19:19" x14ac:dyDescent="0.2">
      <c r="S171" s="52"/>
    </row>
    <row r="172" spans="19:19" x14ac:dyDescent="0.2">
      <c r="S172" s="52"/>
    </row>
    <row r="173" spans="19:19" x14ac:dyDescent="0.2">
      <c r="S173" s="52"/>
    </row>
    <row r="174" spans="19:19" x14ac:dyDescent="0.2">
      <c r="S174" s="52"/>
    </row>
    <row r="175" spans="19:19" x14ac:dyDescent="0.2">
      <c r="S175" s="52"/>
    </row>
    <row r="176" spans="19:19" x14ac:dyDescent="0.2">
      <c r="S176" s="52"/>
    </row>
    <row r="177" spans="19:19" x14ac:dyDescent="0.2">
      <c r="S177" s="52"/>
    </row>
    <row r="178" spans="19:19" x14ac:dyDescent="0.2">
      <c r="S178" s="52"/>
    </row>
    <row r="179" spans="19:19" x14ac:dyDescent="0.2">
      <c r="S179" s="52"/>
    </row>
    <row r="180" spans="19:19" x14ac:dyDescent="0.2">
      <c r="S180" s="52"/>
    </row>
    <row r="181" spans="19:19" x14ac:dyDescent="0.2">
      <c r="S181" s="52"/>
    </row>
    <row r="182" spans="19:19" x14ac:dyDescent="0.2">
      <c r="S182" s="52"/>
    </row>
    <row r="183" spans="19:19" x14ac:dyDescent="0.2">
      <c r="S183" s="52"/>
    </row>
    <row r="184" spans="19:19" x14ac:dyDescent="0.2">
      <c r="S184" s="52"/>
    </row>
    <row r="185" spans="19:19" x14ac:dyDescent="0.2">
      <c r="S185" s="52"/>
    </row>
    <row r="186" spans="19:19" x14ac:dyDescent="0.2">
      <c r="S186" s="52"/>
    </row>
    <row r="187" spans="19:19" x14ac:dyDescent="0.2">
      <c r="S187" s="52"/>
    </row>
    <row r="188" spans="19:19" x14ac:dyDescent="0.2">
      <c r="S188" s="52"/>
    </row>
    <row r="189" spans="19:19" x14ac:dyDescent="0.2">
      <c r="S189" s="52"/>
    </row>
    <row r="190" spans="19:19" x14ac:dyDescent="0.2">
      <c r="S190" s="52"/>
    </row>
    <row r="191" spans="19:19" x14ac:dyDescent="0.2">
      <c r="S191" s="52"/>
    </row>
    <row r="192" spans="19:19" x14ac:dyDescent="0.2">
      <c r="S192" s="52"/>
    </row>
    <row r="193" spans="19:19" x14ac:dyDescent="0.2">
      <c r="S193" s="52"/>
    </row>
    <row r="194" spans="19:19" x14ac:dyDescent="0.2">
      <c r="S194" s="52"/>
    </row>
    <row r="195" spans="19:19" x14ac:dyDescent="0.2">
      <c r="S195" s="52"/>
    </row>
    <row r="196" spans="19:19" x14ac:dyDescent="0.2">
      <c r="S196" s="52"/>
    </row>
    <row r="197" spans="19:19" x14ac:dyDescent="0.2">
      <c r="S197" s="52"/>
    </row>
    <row r="198" spans="19:19" x14ac:dyDescent="0.2">
      <c r="S198" s="52"/>
    </row>
    <row r="199" spans="19:19" x14ac:dyDescent="0.2">
      <c r="S199" s="52"/>
    </row>
    <row r="200" spans="19:19" x14ac:dyDescent="0.2">
      <c r="S200" s="52"/>
    </row>
    <row r="201" spans="19:19" x14ac:dyDescent="0.2">
      <c r="S201" s="52"/>
    </row>
    <row r="202" spans="19:19" x14ac:dyDescent="0.2">
      <c r="S202" s="52"/>
    </row>
    <row r="203" spans="19:19" x14ac:dyDescent="0.2">
      <c r="S203" s="52"/>
    </row>
    <row r="204" spans="19:19" x14ac:dyDescent="0.2">
      <c r="S204" s="52"/>
    </row>
    <row r="205" spans="19:19" x14ac:dyDescent="0.2">
      <c r="S205" s="52"/>
    </row>
    <row r="206" spans="19:19" x14ac:dyDescent="0.2">
      <c r="S206" s="52"/>
    </row>
    <row r="207" spans="19:19" x14ac:dyDescent="0.2">
      <c r="S207" s="52"/>
    </row>
    <row r="208" spans="19:19" x14ac:dyDescent="0.2">
      <c r="S208" s="52"/>
    </row>
    <row r="209" spans="19:19" x14ac:dyDescent="0.2">
      <c r="S209" s="52"/>
    </row>
    <row r="210" spans="19:19" x14ac:dyDescent="0.2">
      <c r="S210" s="52"/>
    </row>
    <row r="211" spans="19:19" x14ac:dyDescent="0.2">
      <c r="S211" s="52"/>
    </row>
    <row r="212" spans="19:19" x14ac:dyDescent="0.2">
      <c r="S212" s="52"/>
    </row>
    <row r="213" spans="19:19" x14ac:dyDescent="0.2">
      <c r="S213" s="52"/>
    </row>
    <row r="214" spans="19:19" x14ac:dyDescent="0.2">
      <c r="S214" s="52"/>
    </row>
    <row r="215" spans="19:19" x14ac:dyDescent="0.2">
      <c r="S215" s="52"/>
    </row>
    <row r="216" spans="19:19" x14ac:dyDescent="0.2">
      <c r="S216" s="52"/>
    </row>
    <row r="217" spans="19:19" x14ac:dyDescent="0.2">
      <c r="S217" s="52"/>
    </row>
    <row r="218" spans="19:19" x14ac:dyDescent="0.2">
      <c r="S218" s="52"/>
    </row>
    <row r="219" spans="19:19" x14ac:dyDescent="0.2">
      <c r="S219" s="52"/>
    </row>
    <row r="220" spans="19:19" x14ac:dyDescent="0.2">
      <c r="S220" s="52"/>
    </row>
    <row r="221" spans="19:19" x14ac:dyDescent="0.2">
      <c r="S221" s="52"/>
    </row>
    <row r="222" spans="19:19" x14ac:dyDescent="0.2">
      <c r="S222" s="52"/>
    </row>
    <row r="223" spans="19:19" x14ac:dyDescent="0.2">
      <c r="S223" s="52"/>
    </row>
    <row r="224" spans="19:19" x14ac:dyDescent="0.2">
      <c r="S224" s="52"/>
    </row>
    <row r="225" spans="19:19" x14ac:dyDescent="0.2">
      <c r="S225" s="52"/>
    </row>
    <row r="226" spans="19:19" x14ac:dyDescent="0.2">
      <c r="S226" s="52"/>
    </row>
    <row r="227" spans="19:19" x14ac:dyDescent="0.2">
      <c r="S227" s="52"/>
    </row>
    <row r="228" spans="19:19" x14ac:dyDescent="0.2">
      <c r="S228" s="52"/>
    </row>
    <row r="229" spans="19:19" x14ac:dyDescent="0.2">
      <c r="S229" s="52"/>
    </row>
    <row r="230" spans="19:19" x14ac:dyDescent="0.2">
      <c r="S230" s="52"/>
    </row>
    <row r="231" spans="19:19" x14ac:dyDescent="0.2">
      <c r="S231" s="52"/>
    </row>
    <row r="232" spans="19:19" x14ac:dyDescent="0.2">
      <c r="S232" s="52"/>
    </row>
    <row r="233" spans="19:19" x14ac:dyDescent="0.2">
      <c r="S233" s="52"/>
    </row>
    <row r="234" spans="19:19" x14ac:dyDescent="0.2">
      <c r="S234" s="52"/>
    </row>
    <row r="235" spans="19:19" x14ac:dyDescent="0.2">
      <c r="S235" s="52"/>
    </row>
    <row r="236" spans="19:19" x14ac:dyDescent="0.2">
      <c r="S236" s="52"/>
    </row>
    <row r="237" spans="19:19" x14ac:dyDescent="0.2">
      <c r="S237" s="52"/>
    </row>
    <row r="238" spans="19:19" x14ac:dyDescent="0.2">
      <c r="S238" s="52"/>
    </row>
    <row r="239" spans="19:19" x14ac:dyDescent="0.2">
      <c r="S239" s="52"/>
    </row>
    <row r="240" spans="19:19" x14ac:dyDescent="0.2">
      <c r="S240" s="52"/>
    </row>
    <row r="241" spans="19:19" x14ac:dyDescent="0.2">
      <c r="S241" s="52"/>
    </row>
    <row r="242" spans="19:19" x14ac:dyDescent="0.2">
      <c r="S242" s="52"/>
    </row>
    <row r="243" spans="19:19" x14ac:dyDescent="0.2">
      <c r="S243" s="52"/>
    </row>
    <row r="244" spans="19:19" x14ac:dyDescent="0.2">
      <c r="S244" s="52"/>
    </row>
    <row r="245" spans="19:19" x14ac:dyDescent="0.2">
      <c r="S245" s="52"/>
    </row>
    <row r="246" spans="19:19" x14ac:dyDescent="0.2">
      <c r="S246" s="52"/>
    </row>
    <row r="247" spans="19:19" x14ac:dyDescent="0.2">
      <c r="S247" s="52"/>
    </row>
    <row r="248" spans="19:19" x14ac:dyDescent="0.2">
      <c r="S248" s="52"/>
    </row>
    <row r="249" spans="19:19" x14ac:dyDescent="0.2">
      <c r="S249" s="52"/>
    </row>
    <row r="250" spans="19:19" x14ac:dyDescent="0.2">
      <c r="S250" s="52"/>
    </row>
    <row r="251" spans="19:19" x14ac:dyDescent="0.2">
      <c r="S251" s="52"/>
    </row>
    <row r="252" spans="19:19" x14ac:dyDescent="0.2">
      <c r="S252" s="52"/>
    </row>
    <row r="253" spans="19:19" x14ac:dyDescent="0.2">
      <c r="S253" s="52"/>
    </row>
    <row r="254" spans="19:19" x14ac:dyDescent="0.2">
      <c r="S254" s="52"/>
    </row>
    <row r="255" spans="19:19" x14ac:dyDescent="0.2">
      <c r="S255" s="52"/>
    </row>
    <row r="256" spans="19:19" x14ac:dyDescent="0.2">
      <c r="S256" s="52"/>
    </row>
    <row r="257" spans="19:19" x14ac:dyDescent="0.2">
      <c r="S257" s="52"/>
    </row>
    <row r="258" spans="19:19" x14ac:dyDescent="0.2">
      <c r="S258" s="52"/>
    </row>
    <row r="259" spans="19:19" x14ac:dyDescent="0.2">
      <c r="S259" s="52"/>
    </row>
    <row r="260" spans="19:19" x14ac:dyDescent="0.2">
      <c r="S260" s="52"/>
    </row>
    <row r="261" spans="19:19" x14ac:dyDescent="0.2">
      <c r="S261" s="52"/>
    </row>
    <row r="262" spans="19:19" x14ac:dyDescent="0.2">
      <c r="S262" s="52"/>
    </row>
    <row r="263" spans="19:19" x14ac:dyDescent="0.2">
      <c r="S263" s="52"/>
    </row>
    <row r="264" spans="19:19" x14ac:dyDescent="0.2">
      <c r="S264" s="52"/>
    </row>
    <row r="265" spans="19:19" x14ac:dyDescent="0.2">
      <c r="S265" s="52"/>
    </row>
    <row r="266" spans="19:19" x14ac:dyDescent="0.2">
      <c r="S266" s="52"/>
    </row>
    <row r="267" spans="19:19" x14ac:dyDescent="0.2">
      <c r="S267" s="52"/>
    </row>
    <row r="268" spans="19:19" x14ac:dyDescent="0.2">
      <c r="S268" s="52"/>
    </row>
    <row r="269" spans="19:19" x14ac:dyDescent="0.2">
      <c r="S269" s="52"/>
    </row>
    <row r="270" spans="19:19" x14ac:dyDescent="0.2">
      <c r="S270" s="52"/>
    </row>
    <row r="271" spans="19:19" x14ac:dyDescent="0.2">
      <c r="S271" s="52"/>
    </row>
    <row r="272" spans="19:19" x14ac:dyDescent="0.2">
      <c r="S272" s="52"/>
    </row>
    <row r="273" spans="19:19" x14ac:dyDescent="0.2">
      <c r="S273" s="52"/>
    </row>
    <row r="274" spans="19:19" x14ac:dyDescent="0.2">
      <c r="S274" s="52"/>
    </row>
    <row r="275" spans="19:19" x14ac:dyDescent="0.2">
      <c r="S275" s="52"/>
    </row>
    <row r="276" spans="19:19" x14ac:dyDescent="0.2">
      <c r="S276" s="52"/>
    </row>
    <row r="277" spans="19:19" x14ac:dyDescent="0.2">
      <c r="S277" s="52"/>
    </row>
    <row r="278" spans="19:19" x14ac:dyDescent="0.2">
      <c r="S278" s="52"/>
    </row>
    <row r="279" spans="19:19" x14ac:dyDescent="0.2">
      <c r="S279" s="52"/>
    </row>
    <row r="280" spans="19:19" x14ac:dyDescent="0.2">
      <c r="S280" s="52"/>
    </row>
    <row r="281" spans="19:19" x14ac:dyDescent="0.2">
      <c r="S281" s="52"/>
    </row>
    <row r="282" spans="19:19" x14ac:dyDescent="0.2">
      <c r="S282" s="52"/>
    </row>
    <row r="283" spans="19:19" x14ac:dyDescent="0.2">
      <c r="S283" s="52"/>
    </row>
    <row r="284" spans="19:19" x14ac:dyDescent="0.2">
      <c r="S284" s="52"/>
    </row>
    <row r="285" spans="19:19" x14ac:dyDescent="0.2">
      <c r="S285" s="52"/>
    </row>
    <row r="286" spans="19:19" x14ac:dyDescent="0.2">
      <c r="S286" s="52"/>
    </row>
    <row r="287" spans="19:19" x14ac:dyDescent="0.2">
      <c r="S287" s="52"/>
    </row>
    <row r="288" spans="19:19" x14ac:dyDescent="0.2">
      <c r="S288" s="52"/>
    </row>
    <row r="289" spans="19:19" x14ac:dyDescent="0.2">
      <c r="S289" s="52"/>
    </row>
    <row r="290" spans="19:19" x14ac:dyDescent="0.2">
      <c r="S290" s="52"/>
    </row>
    <row r="291" spans="19:19" x14ac:dyDescent="0.2">
      <c r="S291" s="52"/>
    </row>
    <row r="292" spans="19:19" x14ac:dyDescent="0.2">
      <c r="S292" s="52"/>
    </row>
    <row r="293" spans="19:19" x14ac:dyDescent="0.2">
      <c r="S293" s="52"/>
    </row>
    <row r="294" spans="19:19" x14ac:dyDescent="0.2">
      <c r="S294" s="52"/>
    </row>
    <row r="295" spans="19:19" x14ac:dyDescent="0.2">
      <c r="S295" s="52"/>
    </row>
    <row r="296" spans="19:19" x14ac:dyDescent="0.2">
      <c r="S296" s="52"/>
    </row>
    <row r="297" spans="19:19" x14ac:dyDescent="0.2">
      <c r="S297" s="52"/>
    </row>
    <row r="298" spans="19:19" x14ac:dyDescent="0.2">
      <c r="S298" s="52"/>
    </row>
    <row r="299" spans="19:19" x14ac:dyDescent="0.2">
      <c r="S299" s="52"/>
    </row>
    <row r="300" spans="19:19" x14ac:dyDescent="0.2">
      <c r="S300" s="52"/>
    </row>
    <row r="301" spans="19:19" x14ac:dyDescent="0.2">
      <c r="S301" s="52"/>
    </row>
    <row r="302" spans="19:19" x14ac:dyDescent="0.2">
      <c r="S302" s="52"/>
    </row>
    <row r="303" spans="19:19" x14ac:dyDescent="0.2">
      <c r="S303" s="52"/>
    </row>
    <row r="304" spans="19:19" x14ac:dyDescent="0.2">
      <c r="S304" s="52"/>
    </row>
    <row r="305" spans="19:19" x14ac:dyDescent="0.2">
      <c r="S305" s="52"/>
    </row>
    <row r="306" spans="19:19" x14ac:dyDescent="0.2">
      <c r="S306" s="52"/>
    </row>
    <row r="307" spans="19:19" x14ac:dyDescent="0.2">
      <c r="S307" s="52"/>
    </row>
    <row r="308" spans="19:19" x14ac:dyDescent="0.2">
      <c r="S308" s="52"/>
    </row>
    <row r="309" spans="19:19" x14ac:dyDescent="0.2">
      <c r="S309" s="52"/>
    </row>
    <row r="310" spans="19:19" x14ac:dyDescent="0.2">
      <c r="S310" s="52"/>
    </row>
    <row r="311" spans="19:19" x14ac:dyDescent="0.2">
      <c r="S311" s="52"/>
    </row>
    <row r="312" spans="19:19" x14ac:dyDescent="0.2">
      <c r="S312" s="52"/>
    </row>
    <row r="313" spans="19:19" x14ac:dyDescent="0.2">
      <c r="S313" s="52"/>
    </row>
    <row r="314" spans="19:19" x14ac:dyDescent="0.2">
      <c r="S314" s="52"/>
    </row>
    <row r="315" spans="19:19" x14ac:dyDescent="0.2">
      <c r="S315" s="52"/>
    </row>
    <row r="316" spans="19:19" x14ac:dyDescent="0.2">
      <c r="S316" s="52"/>
    </row>
    <row r="317" spans="19:19" x14ac:dyDescent="0.2">
      <c r="S317" s="52"/>
    </row>
    <row r="318" spans="19:19" x14ac:dyDescent="0.2">
      <c r="S318" s="52"/>
    </row>
    <row r="319" spans="19:19" x14ac:dyDescent="0.2">
      <c r="S319" s="52"/>
    </row>
    <row r="320" spans="19:19" x14ac:dyDescent="0.2">
      <c r="S320" s="52"/>
    </row>
    <row r="321" spans="19:19" x14ac:dyDescent="0.2">
      <c r="S321" s="52"/>
    </row>
    <row r="322" spans="19:19" x14ac:dyDescent="0.2">
      <c r="S322" s="52"/>
    </row>
    <row r="323" spans="19:19" x14ac:dyDescent="0.2">
      <c r="S323" s="52"/>
    </row>
    <row r="324" spans="19:19" x14ac:dyDescent="0.2">
      <c r="S324" s="52"/>
    </row>
    <row r="325" spans="19:19" x14ac:dyDescent="0.2">
      <c r="S325" s="52"/>
    </row>
    <row r="326" spans="19:19" x14ac:dyDescent="0.2">
      <c r="S326" s="52"/>
    </row>
    <row r="327" spans="19:19" x14ac:dyDescent="0.2">
      <c r="S327" s="52"/>
    </row>
    <row r="328" spans="19:19" x14ac:dyDescent="0.2">
      <c r="S328" s="52"/>
    </row>
    <row r="329" spans="19:19" x14ac:dyDescent="0.2">
      <c r="S329" s="52"/>
    </row>
    <row r="330" spans="19:19" x14ac:dyDescent="0.2">
      <c r="S330" s="52"/>
    </row>
    <row r="331" spans="19:19" x14ac:dyDescent="0.2">
      <c r="S331" s="52"/>
    </row>
    <row r="332" spans="19:19" x14ac:dyDescent="0.2">
      <c r="S332" s="52"/>
    </row>
    <row r="333" spans="19:19" x14ac:dyDescent="0.2">
      <c r="S333" s="52"/>
    </row>
    <row r="334" spans="19:19" x14ac:dyDescent="0.2">
      <c r="S334" s="52"/>
    </row>
    <row r="335" spans="19:19" x14ac:dyDescent="0.2">
      <c r="S335" s="52"/>
    </row>
    <row r="336" spans="19:19" x14ac:dyDescent="0.2">
      <c r="S336" s="52"/>
    </row>
    <row r="337" spans="19:19" x14ac:dyDescent="0.2">
      <c r="S337" s="52"/>
    </row>
    <row r="338" spans="19:19" x14ac:dyDescent="0.2">
      <c r="S338" s="52"/>
    </row>
    <row r="339" spans="19:19" x14ac:dyDescent="0.2">
      <c r="S339" s="52"/>
    </row>
    <row r="340" spans="19:19" x14ac:dyDescent="0.2">
      <c r="S340" s="52"/>
    </row>
    <row r="341" spans="19:19" x14ac:dyDescent="0.2">
      <c r="S341" s="52"/>
    </row>
    <row r="342" spans="19:19" x14ac:dyDescent="0.2">
      <c r="S342" s="52"/>
    </row>
    <row r="343" spans="19:19" x14ac:dyDescent="0.2">
      <c r="S343" s="52"/>
    </row>
    <row r="344" spans="19:19" x14ac:dyDescent="0.2">
      <c r="S344" s="52"/>
    </row>
    <row r="345" spans="19:19" x14ac:dyDescent="0.2">
      <c r="S345" s="52"/>
    </row>
    <row r="346" spans="19:19" x14ac:dyDescent="0.2">
      <c r="S346" s="52"/>
    </row>
    <row r="347" spans="19:19" x14ac:dyDescent="0.2">
      <c r="S347" s="52"/>
    </row>
    <row r="348" spans="19:19" x14ac:dyDescent="0.2">
      <c r="S348" s="52"/>
    </row>
    <row r="349" spans="19:19" x14ac:dyDescent="0.2">
      <c r="S349" s="52"/>
    </row>
    <row r="350" spans="19:19" x14ac:dyDescent="0.2">
      <c r="S350" s="52"/>
    </row>
    <row r="351" spans="19:19" x14ac:dyDescent="0.2">
      <c r="S351" s="52"/>
    </row>
    <row r="352" spans="19:19" x14ac:dyDescent="0.2">
      <c r="S352" s="52"/>
    </row>
    <row r="353" spans="19:19" x14ac:dyDescent="0.2">
      <c r="S353" s="52"/>
    </row>
    <row r="354" spans="19:19" x14ac:dyDescent="0.2">
      <c r="S354" s="52"/>
    </row>
    <row r="355" spans="19:19" x14ac:dyDescent="0.2">
      <c r="S355" s="52"/>
    </row>
    <row r="356" spans="19:19" x14ac:dyDescent="0.2">
      <c r="S356" s="52"/>
    </row>
    <row r="357" spans="19:19" x14ac:dyDescent="0.2">
      <c r="S357" s="52"/>
    </row>
    <row r="358" spans="19:19" x14ac:dyDescent="0.2">
      <c r="S358" s="52"/>
    </row>
    <row r="359" spans="19:19" x14ac:dyDescent="0.2">
      <c r="S359" s="52"/>
    </row>
    <row r="360" spans="19:19" x14ac:dyDescent="0.2">
      <c r="S360" s="52"/>
    </row>
    <row r="361" spans="19:19" x14ac:dyDescent="0.2">
      <c r="S361" s="52"/>
    </row>
    <row r="362" spans="19:19" x14ac:dyDescent="0.2">
      <c r="S362" s="52"/>
    </row>
    <row r="363" spans="19:19" x14ac:dyDescent="0.2">
      <c r="S363" s="52"/>
    </row>
    <row r="364" spans="19:19" x14ac:dyDescent="0.2">
      <c r="S364" s="52"/>
    </row>
    <row r="365" spans="19:19" x14ac:dyDescent="0.2">
      <c r="S365" s="52"/>
    </row>
    <row r="366" spans="19:19" x14ac:dyDescent="0.2">
      <c r="S366" s="52"/>
    </row>
    <row r="367" spans="19:19" x14ac:dyDescent="0.2">
      <c r="S367" s="52"/>
    </row>
    <row r="368" spans="19:19" x14ac:dyDescent="0.2">
      <c r="S368" s="52"/>
    </row>
    <row r="369" spans="19:19" x14ac:dyDescent="0.2">
      <c r="S369" s="52"/>
    </row>
    <row r="370" spans="19:19" x14ac:dyDescent="0.2">
      <c r="S370" s="52"/>
    </row>
    <row r="371" spans="19:19" x14ac:dyDescent="0.2">
      <c r="S371" s="52"/>
    </row>
    <row r="372" spans="19:19" x14ac:dyDescent="0.2">
      <c r="S372" s="52"/>
    </row>
    <row r="373" spans="19:19" x14ac:dyDescent="0.2">
      <c r="S373" s="52"/>
    </row>
    <row r="374" spans="19:19" x14ac:dyDescent="0.2">
      <c r="S374" s="52"/>
    </row>
    <row r="375" spans="19:19" x14ac:dyDescent="0.2">
      <c r="S375" s="52"/>
    </row>
    <row r="376" spans="19:19" x14ac:dyDescent="0.2">
      <c r="S376" s="52"/>
    </row>
    <row r="377" spans="19:19" x14ac:dyDescent="0.2">
      <c r="S377" s="52"/>
    </row>
    <row r="378" spans="19:19" x14ac:dyDescent="0.2">
      <c r="S378" s="52"/>
    </row>
    <row r="379" spans="19:19" x14ac:dyDescent="0.2">
      <c r="S379" s="52"/>
    </row>
    <row r="380" spans="19:19" x14ac:dyDescent="0.2">
      <c r="S380" s="52"/>
    </row>
    <row r="381" spans="19:19" x14ac:dyDescent="0.2">
      <c r="S381" s="52"/>
    </row>
    <row r="382" spans="19:19" x14ac:dyDescent="0.2">
      <c r="S382" s="52"/>
    </row>
    <row r="383" spans="19:19" x14ac:dyDescent="0.2">
      <c r="S383" s="52"/>
    </row>
    <row r="384" spans="19:19" x14ac:dyDescent="0.2">
      <c r="S384" s="52"/>
    </row>
    <row r="385" spans="19:19" x14ac:dyDescent="0.2">
      <c r="S385" s="52"/>
    </row>
    <row r="386" spans="19:19" x14ac:dyDescent="0.2">
      <c r="S386" s="52"/>
    </row>
    <row r="387" spans="19:19" x14ac:dyDescent="0.2">
      <c r="S387" s="52"/>
    </row>
    <row r="388" spans="19:19" x14ac:dyDescent="0.2">
      <c r="S388" s="52"/>
    </row>
    <row r="389" spans="19:19" x14ac:dyDescent="0.2">
      <c r="S389" s="52"/>
    </row>
    <row r="390" spans="19:19" x14ac:dyDescent="0.2">
      <c r="S390" s="52"/>
    </row>
    <row r="391" spans="19:19" x14ac:dyDescent="0.2">
      <c r="S391" s="52"/>
    </row>
    <row r="392" spans="19:19" x14ac:dyDescent="0.2">
      <c r="S392" s="52"/>
    </row>
    <row r="393" spans="19:19" x14ac:dyDescent="0.2">
      <c r="S393" s="52"/>
    </row>
    <row r="394" spans="19:19" x14ac:dyDescent="0.2">
      <c r="S394" s="52"/>
    </row>
    <row r="395" spans="19:19" x14ac:dyDescent="0.2">
      <c r="S395" s="52"/>
    </row>
    <row r="396" spans="19:19" x14ac:dyDescent="0.2">
      <c r="S396" s="52"/>
    </row>
    <row r="397" spans="19:19" x14ac:dyDescent="0.2">
      <c r="S397" s="52"/>
    </row>
    <row r="398" spans="19:19" x14ac:dyDescent="0.2">
      <c r="S398" s="52"/>
    </row>
    <row r="399" spans="19:19" x14ac:dyDescent="0.2">
      <c r="S399" s="52"/>
    </row>
    <row r="400" spans="19:19" x14ac:dyDescent="0.2">
      <c r="S400" s="52"/>
    </row>
    <row r="401" spans="19:19" x14ac:dyDescent="0.2">
      <c r="S401" s="52"/>
    </row>
    <row r="402" spans="19:19" x14ac:dyDescent="0.2">
      <c r="S402" s="52"/>
    </row>
    <row r="403" spans="19:19" x14ac:dyDescent="0.2">
      <c r="S403" s="52"/>
    </row>
    <row r="404" spans="19:19" x14ac:dyDescent="0.2">
      <c r="S404" s="52"/>
    </row>
    <row r="405" spans="19:19" x14ac:dyDescent="0.2">
      <c r="S405" s="52"/>
    </row>
    <row r="406" spans="19:19" x14ac:dyDescent="0.2">
      <c r="S406" s="52"/>
    </row>
    <row r="407" spans="19:19" x14ac:dyDescent="0.2">
      <c r="S407" s="52"/>
    </row>
    <row r="408" spans="19:19" x14ac:dyDescent="0.2">
      <c r="S408" s="52"/>
    </row>
    <row r="409" spans="19:19" x14ac:dyDescent="0.2">
      <c r="S409" s="52"/>
    </row>
    <row r="410" spans="19:19" x14ac:dyDescent="0.2">
      <c r="S410" s="52"/>
    </row>
    <row r="411" spans="19:19" x14ac:dyDescent="0.2">
      <c r="S411" s="52"/>
    </row>
    <row r="412" spans="19:19" x14ac:dyDescent="0.2">
      <c r="S412" s="52"/>
    </row>
    <row r="413" spans="19:19" x14ac:dyDescent="0.2">
      <c r="S413" s="52"/>
    </row>
    <row r="414" spans="19:19" x14ac:dyDescent="0.2">
      <c r="S414" s="52"/>
    </row>
    <row r="415" spans="19:19" x14ac:dyDescent="0.2">
      <c r="S415" s="52"/>
    </row>
    <row r="416" spans="19:19" x14ac:dyDescent="0.2">
      <c r="S416" s="52"/>
    </row>
    <row r="417" spans="19:19" x14ac:dyDescent="0.2">
      <c r="S417" s="52"/>
    </row>
    <row r="418" spans="19:19" x14ac:dyDescent="0.2">
      <c r="S418" s="52"/>
    </row>
    <row r="419" spans="19:19" x14ac:dyDescent="0.2">
      <c r="S419" s="52"/>
    </row>
    <row r="420" spans="19:19" x14ac:dyDescent="0.2">
      <c r="S420" s="52"/>
    </row>
    <row r="421" spans="19:19" x14ac:dyDescent="0.2">
      <c r="S421" s="52"/>
    </row>
    <row r="422" spans="19:19" x14ac:dyDescent="0.2">
      <c r="S422" s="52"/>
    </row>
    <row r="423" spans="19:19" x14ac:dyDescent="0.2">
      <c r="S423" s="52"/>
    </row>
    <row r="424" spans="19:19" x14ac:dyDescent="0.2">
      <c r="S424" s="52"/>
    </row>
    <row r="425" spans="19:19" x14ac:dyDescent="0.2">
      <c r="S425" s="52"/>
    </row>
    <row r="426" spans="19:19" x14ac:dyDescent="0.2">
      <c r="S426" s="52"/>
    </row>
    <row r="427" spans="19:19" x14ac:dyDescent="0.2">
      <c r="S427" s="52"/>
    </row>
    <row r="428" spans="19:19" x14ac:dyDescent="0.2">
      <c r="S428" s="52"/>
    </row>
    <row r="429" spans="19:19" x14ac:dyDescent="0.2">
      <c r="S429" s="52"/>
    </row>
    <row r="430" spans="19:19" x14ac:dyDescent="0.2">
      <c r="S430" s="52"/>
    </row>
    <row r="431" spans="19:19" x14ac:dyDescent="0.2">
      <c r="S431" s="52"/>
    </row>
    <row r="432" spans="19:19" x14ac:dyDescent="0.2">
      <c r="S432" s="52"/>
    </row>
    <row r="433" spans="19:19" x14ac:dyDescent="0.2">
      <c r="S433" s="52"/>
    </row>
    <row r="434" spans="19:19" x14ac:dyDescent="0.2">
      <c r="S434" s="52"/>
    </row>
    <row r="435" spans="19:19" x14ac:dyDescent="0.2">
      <c r="S435" s="52"/>
    </row>
    <row r="436" spans="19:19" x14ac:dyDescent="0.2">
      <c r="S436" s="52"/>
    </row>
    <row r="437" spans="19:19" x14ac:dyDescent="0.2">
      <c r="S437" s="52"/>
    </row>
    <row r="438" spans="19:19" x14ac:dyDescent="0.2">
      <c r="S438" s="52"/>
    </row>
    <row r="439" spans="19:19" x14ac:dyDescent="0.2">
      <c r="S439" s="52"/>
    </row>
    <row r="440" spans="19:19" x14ac:dyDescent="0.2">
      <c r="S440" s="52"/>
    </row>
    <row r="441" spans="19:19" x14ac:dyDescent="0.2">
      <c r="S441" s="52"/>
    </row>
    <row r="442" spans="19:19" x14ac:dyDescent="0.2">
      <c r="S442" s="52"/>
    </row>
    <row r="443" spans="19:19" x14ac:dyDescent="0.2">
      <c r="S443" s="52"/>
    </row>
    <row r="444" spans="19:19" x14ac:dyDescent="0.2">
      <c r="S444" s="52"/>
    </row>
    <row r="445" spans="19:19" x14ac:dyDescent="0.2">
      <c r="S445" s="52"/>
    </row>
    <row r="446" spans="19:19" x14ac:dyDescent="0.2">
      <c r="S446" s="52"/>
    </row>
    <row r="447" spans="19:19" x14ac:dyDescent="0.2">
      <c r="S447" s="52"/>
    </row>
    <row r="448" spans="19:19" x14ac:dyDescent="0.2">
      <c r="S448" s="52"/>
    </row>
    <row r="449" spans="19:19" x14ac:dyDescent="0.2">
      <c r="S449" s="52"/>
    </row>
    <row r="450" spans="19:19" x14ac:dyDescent="0.2">
      <c r="S450" s="52"/>
    </row>
    <row r="451" spans="19:19" x14ac:dyDescent="0.2">
      <c r="S451" s="52"/>
    </row>
    <row r="452" spans="19:19" x14ac:dyDescent="0.2">
      <c r="S452" s="52"/>
    </row>
    <row r="453" spans="19:19" x14ac:dyDescent="0.2">
      <c r="S453" s="52"/>
    </row>
    <row r="454" spans="19:19" x14ac:dyDescent="0.2">
      <c r="S454" s="52"/>
    </row>
    <row r="455" spans="19:19" x14ac:dyDescent="0.2">
      <c r="S455" s="52"/>
    </row>
    <row r="456" spans="19:19" x14ac:dyDescent="0.2">
      <c r="S456" s="52"/>
    </row>
    <row r="457" spans="19:19" x14ac:dyDescent="0.2">
      <c r="S457" s="52"/>
    </row>
    <row r="458" spans="19:19" x14ac:dyDescent="0.2">
      <c r="S458" s="52"/>
    </row>
    <row r="459" spans="19:19" x14ac:dyDescent="0.2">
      <c r="S459" s="52"/>
    </row>
    <row r="460" spans="19:19" x14ac:dyDescent="0.2">
      <c r="S460" s="52"/>
    </row>
    <row r="461" spans="19:19" x14ac:dyDescent="0.2">
      <c r="S461" s="52"/>
    </row>
    <row r="462" spans="19:19" x14ac:dyDescent="0.2">
      <c r="S462" s="52"/>
    </row>
    <row r="463" spans="19:19" x14ac:dyDescent="0.2">
      <c r="S463" s="52"/>
    </row>
    <row r="464" spans="19:19" x14ac:dyDescent="0.2">
      <c r="S464" s="52"/>
    </row>
    <row r="465" spans="19:19" x14ac:dyDescent="0.2">
      <c r="S465" s="52"/>
    </row>
    <row r="466" spans="19:19" x14ac:dyDescent="0.2">
      <c r="S466" s="52"/>
    </row>
    <row r="467" spans="19:19" x14ac:dyDescent="0.2">
      <c r="S467" s="52"/>
    </row>
    <row r="468" spans="19:19" x14ac:dyDescent="0.2">
      <c r="S468" s="52"/>
    </row>
    <row r="469" spans="19:19" x14ac:dyDescent="0.2">
      <c r="S469" s="52"/>
    </row>
    <row r="470" spans="19:19" x14ac:dyDescent="0.2">
      <c r="S470" s="52"/>
    </row>
    <row r="471" spans="19:19" x14ac:dyDescent="0.2">
      <c r="S471" s="52"/>
    </row>
    <row r="472" spans="19:19" x14ac:dyDescent="0.2">
      <c r="S472" s="52"/>
    </row>
    <row r="473" spans="19:19" x14ac:dyDescent="0.2">
      <c r="S473" s="52"/>
    </row>
    <row r="474" spans="19:19" x14ac:dyDescent="0.2">
      <c r="S474" s="52"/>
    </row>
    <row r="475" spans="19:19" x14ac:dyDescent="0.2">
      <c r="S475" s="52"/>
    </row>
    <row r="476" spans="19:19" x14ac:dyDescent="0.2">
      <c r="S476" s="52"/>
    </row>
    <row r="477" spans="19:19" x14ac:dyDescent="0.2">
      <c r="S477" s="52"/>
    </row>
    <row r="478" spans="19:19" x14ac:dyDescent="0.2">
      <c r="S478" s="52"/>
    </row>
    <row r="479" spans="19:19" x14ac:dyDescent="0.2">
      <c r="S479" s="52"/>
    </row>
    <row r="480" spans="19:19" x14ac:dyDescent="0.2">
      <c r="S480" s="52"/>
    </row>
    <row r="481" spans="19:19" x14ac:dyDescent="0.2">
      <c r="S481" s="52"/>
    </row>
    <row r="482" spans="19:19" x14ac:dyDescent="0.2">
      <c r="S482" s="52"/>
    </row>
    <row r="483" spans="19:19" x14ac:dyDescent="0.2">
      <c r="S483" s="52"/>
    </row>
    <row r="484" spans="19:19" x14ac:dyDescent="0.2">
      <c r="S484" s="52"/>
    </row>
    <row r="485" spans="19:19" x14ac:dyDescent="0.2">
      <c r="S485" s="52"/>
    </row>
    <row r="486" spans="19:19" x14ac:dyDescent="0.2">
      <c r="S486" s="52"/>
    </row>
    <row r="487" spans="19:19" x14ac:dyDescent="0.2">
      <c r="S487" s="52"/>
    </row>
    <row r="488" spans="19:19" x14ac:dyDescent="0.2">
      <c r="S488" s="52"/>
    </row>
    <row r="489" spans="19:19" x14ac:dyDescent="0.2">
      <c r="S489" s="52"/>
    </row>
    <row r="490" spans="19:19" x14ac:dyDescent="0.2">
      <c r="S490" s="52"/>
    </row>
    <row r="491" spans="19:19" x14ac:dyDescent="0.2">
      <c r="S491" s="52"/>
    </row>
    <row r="492" spans="19:19" x14ac:dyDescent="0.2">
      <c r="S492" s="52"/>
    </row>
    <row r="493" spans="19:19" x14ac:dyDescent="0.2">
      <c r="S493" s="52"/>
    </row>
    <row r="494" spans="19:19" x14ac:dyDescent="0.2">
      <c r="S494" s="52"/>
    </row>
    <row r="495" spans="19:19" x14ac:dyDescent="0.2">
      <c r="S495" s="52"/>
    </row>
    <row r="496" spans="19:19" x14ac:dyDescent="0.2">
      <c r="S496" s="52"/>
    </row>
    <row r="497" spans="19:19" x14ac:dyDescent="0.2">
      <c r="S497" s="52"/>
    </row>
    <row r="498" spans="19:19" x14ac:dyDescent="0.2">
      <c r="S498" s="52"/>
    </row>
    <row r="499" spans="19:19" x14ac:dyDescent="0.2">
      <c r="S499" s="52"/>
    </row>
    <row r="500" spans="19:19" x14ac:dyDescent="0.2">
      <c r="S500" s="52"/>
    </row>
    <row r="501" spans="19:19" x14ac:dyDescent="0.2">
      <c r="S501" s="52"/>
    </row>
    <row r="502" spans="19:19" x14ac:dyDescent="0.2">
      <c r="S502" s="52"/>
    </row>
    <row r="503" spans="19:19" x14ac:dyDescent="0.2">
      <c r="S503" s="52"/>
    </row>
    <row r="504" spans="19:19" x14ac:dyDescent="0.2">
      <c r="S504" s="52"/>
    </row>
    <row r="505" spans="19:19" x14ac:dyDescent="0.2">
      <c r="S505" s="52"/>
    </row>
    <row r="506" spans="19:19" x14ac:dyDescent="0.2">
      <c r="S506" s="52"/>
    </row>
    <row r="507" spans="19:19" x14ac:dyDescent="0.2">
      <c r="S507" s="52"/>
    </row>
    <row r="508" spans="19:19" x14ac:dyDescent="0.2">
      <c r="S508" s="52"/>
    </row>
    <row r="509" spans="19:19" x14ac:dyDescent="0.2">
      <c r="S509" s="52"/>
    </row>
    <row r="510" spans="19:19" x14ac:dyDescent="0.2">
      <c r="S510" s="52"/>
    </row>
    <row r="511" spans="19:19" x14ac:dyDescent="0.2">
      <c r="S511" s="52"/>
    </row>
    <row r="512" spans="19:19" x14ac:dyDescent="0.2">
      <c r="S512" s="52"/>
    </row>
    <row r="513" spans="19:19" x14ac:dyDescent="0.2">
      <c r="S513" s="52"/>
    </row>
    <row r="514" spans="19:19" x14ac:dyDescent="0.2">
      <c r="S514" s="52"/>
    </row>
    <row r="515" spans="19:19" x14ac:dyDescent="0.2">
      <c r="S515" s="52"/>
    </row>
    <row r="516" spans="19:19" x14ac:dyDescent="0.2">
      <c r="S516" s="52"/>
    </row>
    <row r="517" spans="19:19" x14ac:dyDescent="0.2">
      <c r="S517" s="52"/>
    </row>
    <row r="518" spans="19:19" x14ac:dyDescent="0.2">
      <c r="S518" s="52"/>
    </row>
    <row r="519" spans="19:19" x14ac:dyDescent="0.2">
      <c r="S519" s="52"/>
    </row>
    <row r="520" spans="19:19" x14ac:dyDescent="0.2">
      <c r="S520" s="52"/>
    </row>
    <row r="521" spans="19:19" x14ac:dyDescent="0.2">
      <c r="S521" s="52"/>
    </row>
    <row r="522" spans="19:19" x14ac:dyDescent="0.2">
      <c r="S522" s="52"/>
    </row>
    <row r="523" spans="19:19" x14ac:dyDescent="0.2">
      <c r="S523" s="52"/>
    </row>
    <row r="524" spans="19:19" x14ac:dyDescent="0.2">
      <c r="S524" s="52"/>
    </row>
    <row r="525" spans="19:19" x14ac:dyDescent="0.2">
      <c r="S525" s="52"/>
    </row>
    <row r="526" spans="19:19" x14ac:dyDescent="0.2">
      <c r="S526" s="52"/>
    </row>
    <row r="527" spans="19:19" x14ac:dyDescent="0.2">
      <c r="S527" s="52"/>
    </row>
    <row r="528" spans="19:19" x14ac:dyDescent="0.2">
      <c r="S528" s="52"/>
    </row>
    <row r="529" spans="19:19" x14ac:dyDescent="0.2">
      <c r="S529" s="52"/>
    </row>
    <row r="530" spans="19:19" x14ac:dyDescent="0.2">
      <c r="S530" s="52"/>
    </row>
    <row r="531" spans="19:19" x14ac:dyDescent="0.2">
      <c r="S531" s="52"/>
    </row>
    <row r="532" spans="19:19" x14ac:dyDescent="0.2">
      <c r="S532" s="52"/>
    </row>
    <row r="533" spans="19:19" x14ac:dyDescent="0.2">
      <c r="S533" s="52"/>
    </row>
    <row r="534" spans="19:19" x14ac:dyDescent="0.2">
      <c r="S534" s="52"/>
    </row>
    <row r="535" spans="19:19" x14ac:dyDescent="0.2">
      <c r="S535" s="52"/>
    </row>
    <row r="536" spans="19:19" x14ac:dyDescent="0.2">
      <c r="S536" s="52"/>
    </row>
    <row r="537" spans="19:19" x14ac:dyDescent="0.2">
      <c r="S537" s="52"/>
    </row>
    <row r="538" spans="19:19" x14ac:dyDescent="0.2">
      <c r="S538" s="52"/>
    </row>
    <row r="539" spans="19:19" x14ac:dyDescent="0.2">
      <c r="S539" s="52"/>
    </row>
    <row r="540" spans="19:19" x14ac:dyDescent="0.2">
      <c r="S540" s="52"/>
    </row>
    <row r="541" spans="19:19" x14ac:dyDescent="0.2">
      <c r="S541" s="52"/>
    </row>
    <row r="542" spans="19:19" x14ac:dyDescent="0.2">
      <c r="S542" s="52"/>
    </row>
    <row r="543" spans="19:19" x14ac:dyDescent="0.2">
      <c r="S543" s="52"/>
    </row>
    <row r="544" spans="19:19" x14ac:dyDescent="0.2">
      <c r="S544" s="52"/>
    </row>
    <row r="545" spans="19:19" x14ac:dyDescent="0.2">
      <c r="S545" s="52"/>
    </row>
    <row r="546" spans="19:19" x14ac:dyDescent="0.2">
      <c r="S546" s="52"/>
    </row>
    <row r="547" spans="19:19" x14ac:dyDescent="0.2">
      <c r="S547" s="52"/>
    </row>
    <row r="548" spans="19:19" x14ac:dyDescent="0.2">
      <c r="S548" s="52"/>
    </row>
    <row r="549" spans="19:19" x14ac:dyDescent="0.2">
      <c r="S549" s="52"/>
    </row>
    <row r="550" spans="19:19" x14ac:dyDescent="0.2">
      <c r="S550" s="52"/>
    </row>
    <row r="551" spans="19:19" x14ac:dyDescent="0.2">
      <c r="S551" s="52"/>
    </row>
    <row r="552" spans="19:19" x14ac:dyDescent="0.2">
      <c r="S552" s="52"/>
    </row>
    <row r="553" spans="19:19" x14ac:dyDescent="0.2">
      <c r="S553" s="52"/>
    </row>
    <row r="554" spans="19:19" x14ac:dyDescent="0.2">
      <c r="S554" s="52"/>
    </row>
    <row r="555" spans="19:19" x14ac:dyDescent="0.2">
      <c r="S555" s="52"/>
    </row>
    <row r="556" spans="19:19" x14ac:dyDescent="0.2">
      <c r="S556" s="52"/>
    </row>
    <row r="557" spans="19:19" x14ac:dyDescent="0.2">
      <c r="S557" s="52"/>
    </row>
    <row r="558" spans="19:19" x14ac:dyDescent="0.2">
      <c r="S558" s="52"/>
    </row>
    <row r="559" spans="19:19" x14ac:dyDescent="0.2">
      <c r="S559" s="52"/>
    </row>
    <row r="560" spans="19:19" x14ac:dyDescent="0.2">
      <c r="S560" s="52"/>
    </row>
    <row r="561" spans="19:19" x14ac:dyDescent="0.2">
      <c r="S561" s="52"/>
    </row>
    <row r="562" spans="19:19" x14ac:dyDescent="0.2">
      <c r="S562" s="52"/>
    </row>
    <row r="563" spans="19:19" x14ac:dyDescent="0.2">
      <c r="S563" s="52"/>
    </row>
    <row r="564" spans="19:19" x14ac:dyDescent="0.2">
      <c r="S564" s="52"/>
    </row>
    <row r="565" spans="19:19" x14ac:dyDescent="0.2">
      <c r="S565" s="52"/>
    </row>
    <row r="566" spans="19:19" x14ac:dyDescent="0.2">
      <c r="S566" s="52"/>
    </row>
    <row r="567" spans="19:19" x14ac:dyDescent="0.2">
      <c r="S567" s="52"/>
    </row>
    <row r="568" spans="19:19" x14ac:dyDescent="0.2">
      <c r="S568" s="52"/>
    </row>
    <row r="569" spans="19:19" x14ac:dyDescent="0.2">
      <c r="S569" s="52"/>
    </row>
    <row r="570" spans="19:19" x14ac:dyDescent="0.2">
      <c r="S570" s="52"/>
    </row>
    <row r="571" spans="19:19" x14ac:dyDescent="0.2">
      <c r="S571" s="52"/>
    </row>
    <row r="572" spans="19:19" x14ac:dyDescent="0.2">
      <c r="S572" s="52"/>
    </row>
    <row r="573" spans="19:19" x14ac:dyDescent="0.2">
      <c r="S573" s="52"/>
    </row>
    <row r="574" spans="19:19" x14ac:dyDescent="0.2">
      <c r="S574" s="52"/>
    </row>
    <row r="575" spans="19:19" x14ac:dyDescent="0.2">
      <c r="S575" s="52"/>
    </row>
    <row r="576" spans="19:19" x14ac:dyDescent="0.2">
      <c r="S576" s="52"/>
    </row>
    <row r="577" spans="19:19" x14ac:dyDescent="0.2">
      <c r="S577" s="52"/>
    </row>
    <row r="578" spans="19:19" x14ac:dyDescent="0.2">
      <c r="S578" s="52"/>
    </row>
    <row r="579" spans="19:19" x14ac:dyDescent="0.2">
      <c r="S579" s="52"/>
    </row>
    <row r="580" spans="19:19" x14ac:dyDescent="0.2">
      <c r="S580" s="52"/>
    </row>
    <row r="581" spans="19:19" x14ac:dyDescent="0.2">
      <c r="S581" s="52"/>
    </row>
    <row r="582" spans="19:19" x14ac:dyDescent="0.2">
      <c r="S582" s="52"/>
    </row>
    <row r="583" spans="19:19" x14ac:dyDescent="0.2">
      <c r="S583" s="52"/>
    </row>
    <row r="584" spans="19:19" x14ac:dyDescent="0.2">
      <c r="S584" s="52"/>
    </row>
    <row r="585" spans="19:19" x14ac:dyDescent="0.2">
      <c r="S585" s="52"/>
    </row>
    <row r="586" spans="19:19" x14ac:dyDescent="0.2">
      <c r="S586" s="52"/>
    </row>
    <row r="587" spans="19:19" x14ac:dyDescent="0.2">
      <c r="S587" s="52"/>
    </row>
    <row r="588" spans="19:19" x14ac:dyDescent="0.2">
      <c r="S588" s="52"/>
    </row>
    <row r="589" spans="19:19" x14ac:dyDescent="0.2">
      <c r="S589" s="52"/>
    </row>
    <row r="590" spans="19:19" x14ac:dyDescent="0.2">
      <c r="S590" s="52"/>
    </row>
    <row r="591" spans="19:19" x14ac:dyDescent="0.2">
      <c r="S591" s="52"/>
    </row>
    <row r="592" spans="19:19" x14ac:dyDescent="0.2">
      <c r="S592" s="52"/>
    </row>
    <row r="593" spans="19:19" x14ac:dyDescent="0.2">
      <c r="S593" s="52"/>
    </row>
    <row r="594" spans="19:19" x14ac:dyDescent="0.2">
      <c r="S594" s="52"/>
    </row>
    <row r="595" spans="19:19" x14ac:dyDescent="0.2">
      <c r="S595" s="52"/>
    </row>
    <row r="596" spans="19:19" x14ac:dyDescent="0.2">
      <c r="S596" s="52"/>
    </row>
    <row r="597" spans="19:19" x14ac:dyDescent="0.2">
      <c r="S597" s="52"/>
    </row>
    <row r="598" spans="19:19" x14ac:dyDescent="0.2">
      <c r="S598" s="52"/>
    </row>
    <row r="599" spans="19:19" x14ac:dyDescent="0.2">
      <c r="S599" s="52"/>
    </row>
    <row r="600" spans="19:19" x14ac:dyDescent="0.2">
      <c r="S600" s="52"/>
    </row>
    <row r="601" spans="19:19" x14ac:dyDescent="0.2">
      <c r="S601" s="52"/>
    </row>
    <row r="602" spans="19:19" x14ac:dyDescent="0.2">
      <c r="S602" s="52"/>
    </row>
    <row r="603" spans="19:19" x14ac:dyDescent="0.2">
      <c r="S603" s="52"/>
    </row>
    <row r="604" spans="19:19" x14ac:dyDescent="0.2">
      <c r="S604" s="52"/>
    </row>
    <row r="605" spans="19:19" x14ac:dyDescent="0.2">
      <c r="S605" s="52"/>
    </row>
    <row r="606" spans="19:19" x14ac:dyDescent="0.2">
      <c r="S606" s="52"/>
    </row>
    <row r="607" spans="19:19" x14ac:dyDescent="0.2">
      <c r="S607" s="52"/>
    </row>
    <row r="608" spans="19:19" x14ac:dyDescent="0.2">
      <c r="S608" s="52"/>
    </row>
    <row r="609" spans="19:19" x14ac:dyDescent="0.2">
      <c r="S609" s="52"/>
    </row>
    <row r="610" spans="19:19" x14ac:dyDescent="0.2">
      <c r="S610" s="52"/>
    </row>
    <row r="611" spans="19:19" x14ac:dyDescent="0.2">
      <c r="S611" s="52"/>
    </row>
    <row r="612" spans="19:19" x14ac:dyDescent="0.2">
      <c r="S612" s="52"/>
    </row>
    <row r="613" spans="19:19" x14ac:dyDescent="0.2">
      <c r="S613" s="52"/>
    </row>
    <row r="614" spans="19:19" x14ac:dyDescent="0.2">
      <c r="S614" s="52"/>
    </row>
    <row r="615" spans="19:19" x14ac:dyDescent="0.2">
      <c r="S615" s="52"/>
    </row>
    <row r="616" spans="19:19" x14ac:dyDescent="0.2">
      <c r="S616" s="52"/>
    </row>
    <row r="617" spans="19:19" x14ac:dyDescent="0.2">
      <c r="S617" s="52"/>
    </row>
    <row r="618" spans="19:19" x14ac:dyDescent="0.2">
      <c r="S618" s="52"/>
    </row>
    <row r="619" spans="19:19" x14ac:dyDescent="0.2">
      <c r="S619" s="52"/>
    </row>
    <row r="620" spans="19:19" x14ac:dyDescent="0.2">
      <c r="S620" s="52"/>
    </row>
    <row r="621" spans="19:19" x14ac:dyDescent="0.2">
      <c r="S621" s="52"/>
    </row>
    <row r="622" spans="19:19" x14ac:dyDescent="0.2">
      <c r="S622" s="52"/>
    </row>
    <row r="623" spans="19:19" x14ac:dyDescent="0.2">
      <c r="S623" s="52"/>
    </row>
    <row r="624" spans="19:19" x14ac:dyDescent="0.2">
      <c r="S624" s="52"/>
    </row>
    <row r="625" spans="19:19" x14ac:dyDescent="0.2">
      <c r="S625" s="52"/>
    </row>
    <row r="626" spans="19:19" x14ac:dyDescent="0.2">
      <c r="S626" s="52"/>
    </row>
    <row r="627" spans="19:19" x14ac:dyDescent="0.2">
      <c r="S627" s="52"/>
    </row>
    <row r="628" spans="19:19" x14ac:dyDescent="0.2">
      <c r="S628" s="52"/>
    </row>
    <row r="629" spans="19:19" x14ac:dyDescent="0.2">
      <c r="S629" s="52"/>
    </row>
    <row r="630" spans="19:19" x14ac:dyDescent="0.2">
      <c r="S630" s="52"/>
    </row>
    <row r="631" spans="19:19" x14ac:dyDescent="0.2">
      <c r="S631" s="52"/>
    </row>
    <row r="632" spans="19:19" x14ac:dyDescent="0.2">
      <c r="S632" s="52"/>
    </row>
    <row r="633" spans="19:19" x14ac:dyDescent="0.2">
      <c r="S633" s="52"/>
    </row>
    <row r="634" spans="19:19" x14ac:dyDescent="0.2">
      <c r="S634" s="52"/>
    </row>
    <row r="635" spans="19:19" x14ac:dyDescent="0.2">
      <c r="S635" s="52"/>
    </row>
    <row r="636" spans="19:19" x14ac:dyDescent="0.2">
      <c r="S636" s="52"/>
    </row>
    <row r="637" spans="19:19" x14ac:dyDescent="0.2">
      <c r="S637" s="52"/>
    </row>
    <row r="638" spans="19:19" x14ac:dyDescent="0.2">
      <c r="S638" s="52"/>
    </row>
    <row r="639" spans="19:19" x14ac:dyDescent="0.2">
      <c r="S639" s="52"/>
    </row>
    <row r="640" spans="19:19" x14ac:dyDescent="0.2">
      <c r="S640" s="52"/>
    </row>
    <row r="641" spans="19:19" x14ac:dyDescent="0.2">
      <c r="S641" s="52"/>
    </row>
    <row r="642" spans="19:19" x14ac:dyDescent="0.2">
      <c r="S642" s="52"/>
    </row>
    <row r="643" spans="19:19" x14ac:dyDescent="0.2">
      <c r="S643" s="52"/>
    </row>
    <row r="644" spans="19:19" x14ac:dyDescent="0.2">
      <c r="S644" s="52"/>
    </row>
    <row r="645" spans="19:19" x14ac:dyDescent="0.2">
      <c r="S645" s="52"/>
    </row>
    <row r="646" spans="19:19" x14ac:dyDescent="0.2">
      <c r="S646" s="52"/>
    </row>
    <row r="647" spans="19:19" x14ac:dyDescent="0.2">
      <c r="S647" s="52"/>
    </row>
    <row r="648" spans="19:19" x14ac:dyDescent="0.2">
      <c r="S648" s="52"/>
    </row>
    <row r="649" spans="19:19" x14ac:dyDescent="0.2">
      <c r="S649" s="52"/>
    </row>
    <row r="650" spans="19:19" x14ac:dyDescent="0.2">
      <c r="S650" s="52"/>
    </row>
    <row r="651" spans="19:19" x14ac:dyDescent="0.2">
      <c r="S651" s="52"/>
    </row>
    <row r="652" spans="19:19" x14ac:dyDescent="0.2">
      <c r="S652" s="52"/>
    </row>
    <row r="653" spans="19:19" x14ac:dyDescent="0.2">
      <c r="S653" s="52"/>
    </row>
    <row r="654" spans="19:19" x14ac:dyDescent="0.2">
      <c r="S654" s="52"/>
    </row>
    <row r="655" spans="19:19" x14ac:dyDescent="0.2">
      <c r="S655" s="52"/>
    </row>
    <row r="656" spans="19:19" x14ac:dyDescent="0.2">
      <c r="S656" s="52"/>
    </row>
    <row r="657" spans="19:19" x14ac:dyDescent="0.2">
      <c r="S657" s="52"/>
    </row>
    <row r="658" spans="19:19" x14ac:dyDescent="0.2">
      <c r="S658" s="52"/>
    </row>
    <row r="659" spans="19:19" x14ac:dyDescent="0.2">
      <c r="S659" s="52"/>
    </row>
    <row r="660" spans="19:19" x14ac:dyDescent="0.2">
      <c r="S660" s="52"/>
    </row>
    <row r="661" spans="19:19" x14ac:dyDescent="0.2">
      <c r="S661" s="52"/>
    </row>
    <row r="662" spans="19:19" x14ac:dyDescent="0.2">
      <c r="S662" s="52"/>
    </row>
    <row r="663" spans="19:19" x14ac:dyDescent="0.2">
      <c r="S663" s="52"/>
    </row>
    <row r="664" spans="19:19" x14ac:dyDescent="0.2">
      <c r="S664" s="52"/>
    </row>
    <row r="665" spans="19:19" x14ac:dyDescent="0.2">
      <c r="S665" s="52"/>
    </row>
    <row r="666" spans="19:19" x14ac:dyDescent="0.2">
      <c r="S666" s="52"/>
    </row>
    <row r="667" spans="19:19" x14ac:dyDescent="0.2">
      <c r="S667" s="52"/>
    </row>
    <row r="668" spans="19:19" x14ac:dyDescent="0.2">
      <c r="S668" s="52"/>
    </row>
    <row r="669" spans="19:19" x14ac:dyDescent="0.2">
      <c r="S669" s="52"/>
    </row>
    <row r="670" spans="19:19" x14ac:dyDescent="0.2">
      <c r="S670" s="52"/>
    </row>
    <row r="671" spans="19:19" x14ac:dyDescent="0.2">
      <c r="S671" s="52"/>
    </row>
    <row r="672" spans="19:19" x14ac:dyDescent="0.2">
      <c r="S672" s="52"/>
    </row>
    <row r="673" spans="19:19" x14ac:dyDescent="0.2">
      <c r="S673" s="52"/>
    </row>
    <row r="674" spans="19:19" x14ac:dyDescent="0.2">
      <c r="S674" s="52"/>
    </row>
    <row r="675" spans="19:19" x14ac:dyDescent="0.2">
      <c r="S675" s="52"/>
    </row>
    <row r="676" spans="19:19" x14ac:dyDescent="0.2">
      <c r="S676" s="52"/>
    </row>
    <row r="677" spans="19:19" x14ac:dyDescent="0.2">
      <c r="S677" s="52"/>
    </row>
    <row r="678" spans="19:19" x14ac:dyDescent="0.2">
      <c r="S678" s="52"/>
    </row>
    <row r="679" spans="19:19" x14ac:dyDescent="0.2">
      <c r="S679" s="52"/>
    </row>
    <row r="680" spans="19:19" x14ac:dyDescent="0.2">
      <c r="S680" s="52"/>
    </row>
    <row r="681" spans="19:19" x14ac:dyDescent="0.2">
      <c r="S681" s="52"/>
    </row>
    <row r="682" spans="19:19" x14ac:dyDescent="0.2">
      <c r="S682" s="52"/>
    </row>
    <row r="683" spans="19:19" x14ac:dyDescent="0.2">
      <c r="S683" s="52"/>
    </row>
    <row r="684" spans="19:19" x14ac:dyDescent="0.2">
      <c r="S684" s="52"/>
    </row>
    <row r="685" spans="19:19" x14ac:dyDescent="0.2">
      <c r="S685" s="52"/>
    </row>
    <row r="686" spans="19:19" x14ac:dyDescent="0.2">
      <c r="S686" s="52"/>
    </row>
    <row r="687" spans="19:19" x14ac:dyDescent="0.2">
      <c r="S687" s="52"/>
    </row>
    <row r="688" spans="19:19" x14ac:dyDescent="0.2">
      <c r="S688" s="52"/>
    </row>
    <row r="689" spans="19:19" x14ac:dyDescent="0.2">
      <c r="S689" s="52"/>
    </row>
    <row r="690" spans="19:19" x14ac:dyDescent="0.2">
      <c r="S690" s="52"/>
    </row>
    <row r="691" spans="19:19" x14ac:dyDescent="0.2">
      <c r="S691" s="52"/>
    </row>
    <row r="692" spans="19:19" x14ac:dyDescent="0.2">
      <c r="S692" s="52"/>
    </row>
    <row r="693" spans="19:19" x14ac:dyDescent="0.2">
      <c r="S693" s="52"/>
    </row>
    <row r="694" spans="19:19" x14ac:dyDescent="0.2">
      <c r="S694" s="52"/>
    </row>
    <row r="695" spans="19:19" x14ac:dyDescent="0.2">
      <c r="S695" s="52"/>
    </row>
    <row r="696" spans="19:19" x14ac:dyDescent="0.2">
      <c r="S696" s="52"/>
    </row>
    <row r="697" spans="19:19" x14ac:dyDescent="0.2">
      <c r="S697" s="52"/>
    </row>
    <row r="698" spans="19:19" x14ac:dyDescent="0.2">
      <c r="S698" s="52"/>
    </row>
    <row r="699" spans="19:19" x14ac:dyDescent="0.2">
      <c r="S699" s="52"/>
    </row>
    <row r="700" spans="19:19" x14ac:dyDescent="0.2">
      <c r="S700" s="52"/>
    </row>
  </sheetData>
  <sortState ref="P9:Q11">
    <sortCondition descending="1" ref="Q8"/>
  </sortState>
  <mergeCells count="4">
    <mergeCell ref="C3:M3"/>
    <mergeCell ref="F7:M7"/>
    <mergeCell ref="C22:M22"/>
    <mergeCell ref="B24:R30"/>
  </mergeCells>
  <pageMargins left="0.7" right="0.7" top="0.75" bottom="0.75" header="0.3" footer="0.3"/>
  <pageSetup paperSize="9" scale="45"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X58"/>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74" t="s">
        <v>160</v>
      </c>
      <c r="D3" s="274"/>
      <c r="E3" s="274"/>
      <c r="F3" s="274"/>
      <c r="G3" s="274"/>
      <c r="H3" s="274"/>
      <c r="I3" s="274"/>
      <c r="J3" s="274"/>
      <c r="K3" s="274"/>
      <c r="L3" s="274"/>
      <c r="M3" s="274"/>
      <c r="N3" s="274"/>
      <c r="O3" s="274"/>
      <c r="P3" s="274"/>
      <c r="Q3" s="274"/>
      <c r="R3" s="274"/>
      <c r="S3" s="274"/>
      <c r="T3" s="22"/>
    </row>
    <row r="4" spans="1:24" ht="15.75" customHeight="1" x14ac:dyDescent="0.25">
      <c r="B4" s="82"/>
      <c r="C4" s="70" t="s">
        <v>367</v>
      </c>
      <c r="D4" s="29"/>
      <c r="E4" s="29"/>
      <c r="F4" s="29"/>
      <c r="G4" s="29"/>
      <c r="H4" s="29"/>
      <c r="I4" s="29"/>
      <c r="J4" s="29"/>
      <c r="K4" s="29"/>
      <c r="L4" s="29"/>
      <c r="M4" s="29"/>
      <c r="N4" s="29"/>
      <c r="O4" s="29"/>
      <c r="P4" s="29"/>
      <c r="Q4" s="29"/>
      <c r="R4" s="29"/>
      <c r="S4" s="29"/>
      <c r="T4" s="22"/>
    </row>
    <row r="5" spans="1:24" ht="18" customHeight="1" x14ac:dyDescent="0.25">
      <c r="B5" s="82"/>
      <c r="C5" s="228" t="s">
        <v>366</v>
      </c>
      <c r="D5" s="276" t="s">
        <v>341</v>
      </c>
      <c r="E5" s="276"/>
      <c r="F5" s="29"/>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24" ht="15" customHeight="1" x14ac:dyDescent="0.25">
      <c r="B8" s="82"/>
      <c r="C8" s="198" t="s">
        <v>29</v>
      </c>
      <c r="D8" s="199" t="s">
        <v>3</v>
      </c>
      <c r="E8" s="200">
        <v>0.109988</v>
      </c>
      <c r="F8" s="29"/>
      <c r="G8" s="29"/>
      <c r="H8" s="29"/>
      <c r="I8" s="29"/>
      <c r="J8" s="29"/>
      <c r="K8" s="29"/>
      <c r="L8" s="29"/>
      <c r="M8" s="29"/>
      <c r="N8" s="29"/>
      <c r="O8" s="29"/>
      <c r="P8" s="29"/>
      <c r="Q8" s="29"/>
      <c r="R8" s="29"/>
      <c r="S8" s="29"/>
      <c r="T8" s="22"/>
      <c r="W8" s="177" t="s">
        <v>3</v>
      </c>
      <c r="X8" s="178">
        <v>0.28035700000000002</v>
      </c>
    </row>
    <row r="9" spans="1:24" ht="15.75" customHeight="1" x14ac:dyDescent="0.25">
      <c r="B9" s="82"/>
      <c r="C9" s="192" t="s">
        <v>31</v>
      </c>
      <c r="D9" s="201" t="s">
        <v>6</v>
      </c>
      <c r="E9" s="202">
        <v>9.2225000000000001E-2</v>
      </c>
      <c r="F9" s="29"/>
      <c r="G9" s="29"/>
      <c r="H9" s="29"/>
      <c r="I9" s="29"/>
      <c r="J9" s="29"/>
      <c r="K9" s="29"/>
      <c r="L9" s="29"/>
      <c r="M9" s="29"/>
      <c r="N9" s="29"/>
      <c r="O9" s="29"/>
      <c r="P9" s="29"/>
      <c r="Q9" s="29"/>
      <c r="R9" s="29"/>
      <c r="S9" s="29"/>
      <c r="T9" s="22"/>
      <c r="W9" s="177" t="s">
        <v>109</v>
      </c>
      <c r="X9" s="178">
        <v>0.13739500000000002</v>
      </c>
    </row>
    <row r="10" spans="1:24" ht="15.75" x14ac:dyDescent="0.25">
      <c r="B10" s="82"/>
      <c r="C10" s="192" t="s">
        <v>32</v>
      </c>
      <c r="D10" s="201" t="s">
        <v>3</v>
      </c>
      <c r="E10" s="202">
        <v>7.7399999999999997E-2</v>
      </c>
      <c r="F10" s="29"/>
      <c r="G10" s="29"/>
      <c r="H10" s="29"/>
      <c r="I10" s="29"/>
      <c r="J10" s="29"/>
      <c r="K10" s="29"/>
      <c r="L10" s="29"/>
      <c r="M10" s="29"/>
      <c r="N10" s="29"/>
      <c r="O10" s="29"/>
      <c r="P10" s="29"/>
      <c r="Q10" s="29"/>
      <c r="R10" s="29"/>
      <c r="S10" s="29"/>
      <c r="T10" s="22"/>
      <c r="W10" s="177" t="s">
        <v>6</v>
      </c>
      <c r="X10" s="178">
        <v>9.8413E-2</v>
      </c>
    </row>
    <row r="11" spans="1:24" ht="15.75" customHeight="1" x14ac:dyDescent="0.25">
      <c r="B11" s="82"/>
      <c r="C11" s="192" t="s">
        <v>28</v>
      </c>
      <c r="D11" s="201" t="s">
        <v>109</v>
      </c>
      <c r="E11" s="202">
        <v>6.1103999999999999E-2</v>
      </c>
      <c r="F11" s="29"/>
      <c r="G11" s="29"/>
      <c r="H11" s="29"/>
      <c r="I11" s="29"/>
      <c r="J11" s="29"/>
      <c r="K11" s="29"/>
      <c r="L11" s="29"/>
      <c r="M11" s="29"/>
      <c r="N11" s="29"/>
      <c r="O11" s="29"/>
      <c r="P11" s="29"/>
      <c r="Q11" s="29"/>
      <c r="R11" s="29"/>
      <c r="S11" s="29"/>
      <c r="T11" s="22"/>
      <c r="W11" s="177" t="s">
        <v>114</v>
      </c>
      <c r="X11" s="178">
        <v>8.205599999999999E-2</v>
      </c>
    </row>
    <row r="12" spans="1:24" ht="15" customHeight="1" x14ac:dyDescent="0.25">
      <c r="B12" s="82"/>
      <c r="C12" s="192" t="s">
        <v>30</v>
      </c>
      <c r="D12" s="201" t="s">
        <v>119</v>
      </c>
      <c r="E12" s="202">
        <v>4.1437000000000002E-2</v>
      </c>
      <c r="F12" s="29"/>
      <c r="G12" s="29"/>
      <c r="H12" s="29"/>
      <c r="I12" s="29"/>
      <c r="J12" s="29"/>
      <c r="K12" s="29"/>
      <c r="L12" s="29"/>
      <c r="M12" s="29"/>
      <c r="N12" s="29"/>
      <c r="O12" s="29"/>
      <c r="P12" s="29"/>
      <c r="Q12" s="29"/>
      <c r="R12" s="29"/>
      <c r="S12" s="29"/>
      <c r="T12" s="22"/>
      <c r="W12" s="177" t="s">
        <v>119</v>
      </c>
      <c r="X12" s="178">
        <v>6.3310000000000005E-2</v>
      </c>
    </row>
    <row r="13" spans="1:24" ht="15" customHeight="1" x14ac:dyDescent="0.25">
      <c r="B13" s="82"/>
      <c r="C13" s="192" t="s">
        <v>34</v>
      </c>
      <c r="D13" s="201" t="s">
        <v>23</v>
      </c>
      <c r="E13" s="202">
        <v>4.0368000000000001E-2</v>
      </c>
      <c r="F13" s="29"/>
      <c r="G13" s="29"/>
      <c r="H13" s="29"/>
      <c r="I13" s="29"/>
      <c r="J13" s="29"/>
      <c r="K13" s="29"/>
      <c r="L13" s="29"/>
      <c r="M13" s="29"/>
      <c r="N13" s="29"/>
      <c r="O13" s="29"/>
      <c r="P13" s="29"/>
      <c r="Q13" s="29"/>
      <c r="R13" s="29"/>
      <c r="S13" s="29"/>
      <c r="T13" s="22"/>
      <c r="W13" s="177" t="s">
        <v>23</v>
      </c>
      <c r="X13" s="178">
        <v>4.0368000000000001E-2</v>
      </c>
    </row>
    <row r="14" spans="1:24" ht="15" customHeight="1" x14ac:dyDescent="0.25">
      <c r="B14" s="82"/>
      <c r="C14" s="192" t="s">
        <v>33</v>
      </c>
      <c r="D14" s="201" t="s">
        <v>109</v>
      </c>
      <c r="E14" s="202">
        <v>4.0225999999999998E-2</v>
      </c>
      <c r="F14" s="29"/>
      <c r="G14" s="29"/>
      <c r="H14" s="29"/>
      <c r="I14" s="29"/>
      <c r="J14" s="29"/>
      <c r="K14" s="29"/>
      <c r="L14" s="29"/>
      <c r="M14" s="29"/>
      <c r="N14" s="29"/>
      <c r="O14" s="29"/>
      <c r="P14" s="29"/>
      <c r="Q14" s="29"/>
      <c r="R14" s="29"/>
      <c r="S14" s="29"/>
      <c r="T14" s="22"/>
      <c r="W14" s="177" t="s">
        <v>113</v>
      </c>
      <c r="X14" s="178">
        <v>3.7273000000000001E-2</v>
      </c>
    </row>
    <row r="15" spans="1:24" ht="15" customHeight="1" x14ac:dyDescent="0.25">
      <c r="B15" s="82"/>
      <c r="C15" s="192" t="s">
        <v>70</v>
      </c>
      <c r="D15" s="201" t="s">
        <v>12</v>
      </c>
      <c r="E15" s="202">
        <v>3.6123000000000002E-2</v>
      </c>
      <c r="F15" s="29"/>
      <c r="G15" s="29"/>
      <c r="H15" s="29"/>
      <c r="I15" s="29"/>
      <c r="J15" s="29"/>
      <c r="K15" s="29"/>
      <c r="L15" s="29"/>
      <c r="M15" s="29"/>
      <c r="N15" s="29"/>
      <c r="O15" s="29"/>
      <c r="P15" s="29"/>
      <c r="Q15" s="29"/>
      <c r="R15" s="29"/>
      <c r="S15" s="29"/>
      <c r="T15" s="22"/>
      <c r="W15" s="177" t="s">
        <v>12</v>
      </c>
      <c r="X15" s="178">
        <v>3.6123000000000002E-2</v>
      </c>
    </row>
    <row r="16" spans="1:24" ht="15" customHeight="1" x14ac:dyDescent="0.25">
      <c r="B16" s="82"/>
      <c r="C16" s="192" t="s">
        <v>80</v>
      </c>
      <c r="D16" s="201" t="s">
        <v>3</v>
      </c>
      <c r="E16" s="202">
        <v>3.0314000000000001E-2</v>
      </c>
      <c r="F16" s="29"/>
      <c r="G16" s="29"/>
      <c r="H16" s="29"/>
      <c r="I16" s="29"/>
      <c r="J16" s="29"/>
      <c r="K16" s="29"/>
      <c r="L16" s="29"/>
      <c r="M16" s="29"/>
      <c r="N16" s="29"/>
      <c r="O16" s="29"/>
      <c r="P16" s="29"/>
      <c r="Q16" s="29"/>
      <c r="R16" s="29"/>
      <c r="S16" s="29"/>
      <c r="T16" s="22"/>
      <c r="W16" s="177" t="s">
        <v>4</v>
      </c>
      <c r="X16" s="178">
        <v>3.2672E-2</v>
      </c>
    </row>
    <row r="17" spans="2:24" ht="15" customHeight="1" x14ac:dyDescent="0.25">
      <c r="B17" s="82"/>
      <c r="C17" s="192" t="s">
        <v>36</v>
      </c>
      <c r="D17" s="201" t="s">
        <v>3</v>
      </c>
      <c r="E17" s="202">
        <v>3.0016999999999999E-2</v>
      </c>
      <c r="F17" s="29"/>
      <c r="G17" s="29"/>
      <c r="H17" s="29"/>
      <c r="I17" s="29"/>
      <c r="J17" s="29"/>
      <c r="K17" s="29"/>
      <c r="L17" s="29"/>
      <c r="M17" s="29"/>
      <c r="N17" s="29"/>
      <c r="O17" s="29"/>
      <c r="P17" s="29"/>
      <c r="Q17" s="29"/>
      <c r="R17" s="29"/>
      <c r="S17" s="29"/>
      <c r="T17" s="22"/>
      <c r="W17" s="177" t="s">
        <v>10</v>
      </c>
      <c r="X17" s="178">
        <v>3.2265000000000002E-2</v>
      </c>
    </row>
    <row r="18" spans="2:24" ht="15" customHeight="1" x14ac:dyDescent="0.25">
      <c r="B18" s="82"/>
      <c r="C18" s="192" t="s">
        <v>122</v>
      </c>
      <c r="D18" s="201" t="s">
        <v>114</v>
      </c>
      <c r="E18" s="202">
        <v>2.5538000000000002E-2</v>
      </c>
      <c r="F18" s="29"/>
      <c r="G18" s="29"/>
      <c r="H18" s="29"/>
      <c r="I18" s="29"/>
      <c r="J18" s="29"/>
      <c r="K18" s="29"/>
      <c r="L18" s="29"/>
      <c r="M18" s="29"/>
      <c r="N18" s="29"/>
      <c r="O18" s="29"/>
      <c r="P18" s="29"/>
      <c r="Q18" s="29"/>
      <c r="R18" s="29"/>
      <c r="S18" s="29"/>
      <c r="T18" s="22"/>
      <c r="W18" s="177" t="s">
        <v>16</v>
      </c>
      <c r="X18" s="178">
        <v>2.5659000000000001E-2</v>
      </c>
    </row>
    <row r="19" spans="2:24" ht="15" customHeight="1" x14ac:dyDescent="0.25">
      <c r="B19" s="82"/>
      <c r="C19" s="192" t="s">
        <v>35</v>
      </c>
      <c r="D19" s="201" t="s">
        <v>3</v>
      </c>
      <c r="E19" s="202">
        <v>2.4081000000000002E-2</v>
      </c>
      <c r="F19" s="29"/>
      <c r="G19" s="29"/>
      <c r="H19" s="29"/>
      <c r="I19" s="29"/>
      <c r="J19" s="29"/>
      <c r="K19" s="29"/>
      <c r="L19" s="29"/>
      <c r="M19" s="29"/>
      <c r="N19" s="29"/>
      <c r="O19" s="29"/>
      <c r="P19" s="29"/>
      <c r="Q19" s="29"/>
      <c r="R19" s="29"/>
      <c r="S19" s="29"/>
      <c r="T19" s="22"/>
      <c r="W19" s="177" t="s">
        <v>84</v>
      </c>
      <c r="X19" s="178">
        <v>2.1700000000000001E-2</v>
      </c>
    </row>
    <row r="20" spans="2:24" ht="15" customHeight="1" x14ac:dyDescent="0.25">
      <c r="B20" s="82"/>
      <c r="C20" s="192" t="s">
        <v>37</v>
      </c>
      <c r="D20" s="201" t="s">
        <v>119</v>
      </c>
      <c r="E20" s="202">
        <v>2.1873E-2</v>
      </c>
      <c r="F20" s="29"/>
      <c r="G20" s="29"/>
      <c r="H20" s="29"/>
      <c r="I20" s="29"/>
      <c r="J20" s="29"/>
      <c r="K20" s="29"/>
      <c r="L20" s="29"/>
      <c r="M20" s="29"/>
      <c r="N20" s="29"/>
      <c r="O20" s="29"/>
      <c r="P20" s="29"/>
      <c r="Q20" s="29"/>
      <c r="R20" s="29"/>
      <c r="S20" s="29"/>
      <c r="T20" s="22"/>
      <c r="W20" s="177" t="s">
        <v>11</v>
      </c>
      <c r="X20" s="178">
        <v>2.035E-2</v>
      </c>
    </row>
    <row r="21" spans="2:24" ht="15" customHeight="1" x14ac:dyDescent="0.25">
      <c r="B21" s="82"/>
      <c r="C21" s="192" t="s">
        <v>81</v>
      </c>
      <c r="D21" s="201" t="s">
        <v>114</v>
      </c>
      <c r="E21" s="202">
        <v>1.8450000000000001E-2</v>
      </c>
      <c r="F21" s="29"/>
      <c r="G21" s="29"/>
      <c r="H21" s="29"/>
      <c r="I21" s="29"/>
      <c r="J21" s="29"/>
      <c r="K21" s="29"/>
      <c r="L21" s="29"/>
      <c r="M21" s="29"/>
      <c r="N21" s="29"/>
      <c r="O21" s="29"/>
      <c r="P21" s="29"/>
      <c r="Q21" s="29"/>
      <c r="R21" s="29"/>
      <c r="S21" s="29"/>
      <c r="T21" s="22"/>
      <c r="W21" s="177" t="s">
        <v>110</v>
      </c>
      <c r="X21" s="178">
        <v>1.4116E-2</v>
      </c>
    </row>
    <row r="22" spans="2:24" ht="15" customHeight="1" x14ac:dyDescent="0.25">
      <c r="B22" s="82"/>
      <c r="C22" s="192" t="s">
        <v>62</v>
      </c>
      <c r="D22" s="201" t="s">
        <v>10</v>
      </c>
      <c r="E22" s="202">
        <v>1.7897E-2</v>
      </c>
      <c r="F22" s="29"/>
      <c r="G22" s="29"/>
      <c r="H22" s="29"/>
      <c r="I22" s="29"/>
      <c r="J22" s="29"/>
      <c r="K22" s="29"/>
      <c r="L22" s="29"/>
      <c r="M22" s="29"/>
      <c r="N22" s="29"/>
      <c r="O22" s="29"/>
      <c r="P22" s="29"/>
      <c r="Q22" s="29"/>
      <c r="R22" s="29"/>
      <c r="S22" s="29"/>
      <c r="T22" s="22"/>
      <c r="W22" s="177" t="s">
        <v>87</v>
      </c>
      <c r="X22" s="178">
        <v>1.3984E-2</v>
      </c>
    </row>
    <row r="23" spans="2:24" ht="15" customHeight="1" x14ac:dyDescent="0.25">
      <c r="B23" s="82"/>
      <c r="C23" s="85"/>
      <c r="D23" s="85"/>
      <c r="E23" s="86"/>
      <c r="F23" s="29"/>
      <c r="G23" s="29"/>
      <c r="H23" s="29"/>
      <c r="I23" s="29"/>
      <c r="J23" s="29"/>
      <c r="K23" s="29"/>
      <c r="L23" s="29"/>
      <c r="M23" s="29"/>
      <c r="N23" s="29"/>
      <c r="O23" s="29"/>
      <c r="P23" s="29"/>
      <c r="Q23" s="29"/>
      <c r="R23" s="29"/>
      <c r="S23" s="29"/>
      <c r="T23" s="22"/>
      <c r="W23" s="177" t="s">
        <v>13</v>
      </c>
      <c r="X23" s="178">
        <v>1.1801000000000001E-2</v>
      </c>
    </row>
    <row r="24" spans="2:24" ht="15" customHeight="1" x14ac:dyDescent="0.25">
      <c r="B24" s="82"/>
      <c r="C24" s="76" t="s">
        <v>55</v>
      </c>
      <c r="D24" s="77"/>
      <c r="E24" s="87">
        <f>SUM(E8:E22)</f>
        <v>0.667041</v>
      </c>
      <c r="F24" s="29"/>
      <c r="G24" s="29"/>
      <c r="H24" s="29"/>
      <c r="I24" s="29"/>
      <c r="J24" s="29"/>
      <c r="K24" s="29"/>
      <c r="L24" s="29"/>
      <c r="M24" s="29"/>
      <c r="N24" s="29"/>
      <c r="O24" s="29"/>
      <c r="P24" s="29"/>
      <c r="Q24" s="29"/>
      <c r="R24" s="29"/>
      <c r="S24" s="29"/>
      <c r="T24" s="22"/>
      <c r="W24" s="177" t="s">
        <v>133</v>
      </c>
      <c r="X24" s="178">
        <v>1.0782E-2</v>
      </c>
    </row>
    <row r="25" spans="2:24" ht="15" customHeight="1" x14ac:dyDescent="0.25">
      <c r="B25" s="82"/>
      <c r="C25" s="29"/>
      <c r="D25" s="29"/>
      <c r="E25" s="29"/>
      <c r="F25" s="29"/>
      <c r="G25" s="29"/>
      <c r="H25" s="29"/>
      <c r="I25" s="29"/>
      <c r="J25" s="29"/>
      <c r="K25" s="29"/>
      <c r="L25" s="29"/>
      <c r="M25" s="29"/>
      <c r="N25" s="29"/>
      <c r="O25" s="29"/>
      <c r="P25" s="29"/>
      <c r="Q25" s="29"/>
      <c r="R25" s="29"/>
      <c r="S25" s="29"/>
      <c r="T25" s="22"/>
      <c r="W25" s="177" t="s">
        <v>132</v>
      </c>
      <c r="X25" s="178">
        <v>1.044E-2</v>
      </c>
    </row>
    <row r="26" spans="2:24" ht="15" customHeight="1" x14ac:dyDescent="0.25">
      <c r="B26" s="82"/>
      <c r="C26" s="88"/>
      <c r="D26" s="88"/>
      <c r="E26" s="89"/>
      <c r="F26" s="29"/>
      <c r="G26" s="29"/>
      <c r="H26" s="29"/>
      <c r="I26" s="29"/>
      <c r="J26" s="29"/>
      <c r="K26" s="29"/>
      <c r="L26" s="29"/>
      <c r="M26" s="29"/>
      <c r="N26" s="29"/>
      <c r="O26" s="29"/>
      <c r="P26" s="29"/>
      <c r="Q26" s="29"/>
      <c r="R26" s="29"/>
      <c r="S26" s="29"/>
      <c r="T26" s="22"/>
      <c r="W26" s="177" t="s">
        <v>15</v>
      </c>
      <c r="X26" s="178">
        <v>8.8559999999999993E-3</v>
      </c>
    </row>
    <row r="27" spans="2:24" ht="15" customHeight="1" x14ac:dyDescent="0.25">
      <c r="B27" s="82"/>
      <c r="C27" s="54"/>
      <c r="D27" s="54"/>
      <c r="E27" s="90"/>
      <c r="F27" s="29"/>
      <c r="G27" s="29"/>
      <c r="H27" s="29"/>
      <c r="I27" s="29"/>
      <c r="J27" s="29"/>
      <c r="K27" s="29"/>
      <c r="L27" s="29"/>
      <c r="M27" s="29"/>
      <c r="N27" s="29"/>
      <c r="O27" s="29"/>
      <c r="P27" s="29"/>
      <c r="Q27" s="29"/>
      <c r="R27" s="29"/>
      <c r="S27" s="29"/>
      <c r="T27" s="22"/>
      <c r="W27" s="177" t="s">
        <v>134</v>
      </c>
      <c r="X27" s="178">
        <v>7.5249999999999996E-3</v>
      </c>
    </row>
    <row r="28" spans="2:24" ht="15" customHeight="1" x14ac:dyDescent="0.25">
      <c r="B28" s="82"/>
      <c r="C28" s="88"/>
      <c r="D28" s="91"/>
      <c r="E28" s="92"/>
      <c r="F28" s="29"/>
      <c r="G28" s="29"/>
      <c r="H28" s="29"/>
      <c r="I28" s="29"/>
      <c r="J28" s="29"/>
      <c r="K28" s="29"/>
      <c r="L28" s="29"/>
      <c r="M28" s="29"/>
      <c r="N28" s="29"/>
      <c r="O28" s="29"/>
      <c r="P28" s="29"/>
      <c r="Q28" s="29"/>
      <c r="R28" s="29"/>
      <c r="S28" s="29"/>
      <c r="T28" s="22"/>
      <c r="W28" s="177" t="s">
        <v>117</v>
      </c>
      <c r="X28" s="178">
        <v>7.1110000000000001E-3</v>
      </c>
    </row>
    <row r="29" spans="2:24" ht="15" customHeight="1" x14ac:dyDescent="0.25">
      <c r="B29" s="82"/>
      <c r="C29" s="54"/>
      <c r="D29" s="54"/>
      <c r="E29" s="54"/>
      <c r="F29" s="29"/>
      <c r="G29" s="29"/>
      <c r="H29" s="29"/>
      <c r="I29" s="29"/>
      <c r="J29" s="29"/>
      <c r="K29" s="29"/>
      <c r="L29" s="29"/>
      <c r="M29" s="29"/>
      <c r="N29" s="29"/>
      <c r="O29" s="29"/>
      <c r="P29" s="29"/>
      <c r="Q29" s="29"/>
      <c r="R29" s="29"/>
      <c r="S29" s="29"/>
      <c r="T29" s="22"/>
      <c r="W29" s="177" t="s">
        <v>78</v>
      </c>
      <c r="X29" s="178">
        <v>6.0289999999999996E-3</v>
      </c>
    </row>
    <row r="30" spans="2:24" ht="15" customHeight="1" x14ac:dyDescent="0.25">
      <c r="B30" s="82"/>
      <c r="C30" s="88"/>
      <c r="D30" s="91"/>
      <c r="E30" s="89"/>
      <c r="F30" s="29"/>
      <c r="G30" s="29"/>
      <c r="H30" s="29"/>
      <c r="I30" s="29"/>
      <c r="J30" s="29"/>
      <c r="K30" s="29"/>
      <c r="L30" s="29"/>
      <c r="M30" s="29"/>
      <c r="N30" s="29"/>
      <c r="O30" s="29"/>
      <c r="P30" s="29"/>
      <c r="Q30" s="29"/>
      <c r="R30" s="29"/>
      <c r="S30" s="29"/>
      <c r="T30" s="22"/>
      <c r="W30" s="64"/>
      <c r="X30" s="65"/>
    </row>
    <row r="31" spans="2:24" ht="15" customHeight="1" thickBot="1" x14ac:dyDescent="0.3">
      <c r="B31" s="83"/>
      <c r="C31" s="84"/>
      <c r="D31" s="84"/>
      <c r="E31" s="84"/>
      <c r="F31" s="84"/>
      <c r="G31" s="84"/>
      <c r="H31" s="84"/>
      <c r="I31" s="84"/>
      <c r="J31" s="84"/>
      <c r="K31" s="84"/>
      <c r="L31" s="84"/>
      <c r="M31" s="84"/>
      <c r="N31" s="84"/>
      <c r="O31" s="84"/>
      <c r="P31" s="84"/>
      <c r="Q31" s="84"/>
      <c r="R31" s="84"/>
      <c r="S31" s="84"/>
      <c r="T31" s="23"/>
    </row>
    <row r="32" spans="2:24" ht="15" customHeight="1" thickBot="1" x14ac:dyDescent="0.3"/>
    <row r="33" spans="2:18" ht="15" customHeight="1" x14ac:dyDescent="0.25">
      <c r="B33" s="265" t="s">
        <v>186</v>
      </c>
      <c r="C33" s="266"/>
      <c r="D33" s="266"/>
      <c r="E33" s="266"/>
      <c r="F33" s="266"/>
      <c r="G33" s="266"/>
      <c r="H33" s="266"/>
      <c r="I33" s="266"/>
      <c r="J33" s="266"/>
      <c r="K33" s="266"/>
      <c r="L33" s="266"/>
      <c r="M33" s="266"/>
      <c r="N33" s="266"/>
      <c r="O33" s="266"/>
      <c r="P33" s="266"/>
      <c r="Q33" s="266"/>
      <c r="R33" s="267"/>
    </row>
    <row r="34" spans="2:18" ht="15" customHeight="1" x14ac:dyDescent="0.25">
      <c r="B34" s="268"/>
      <c r="C34" s="269"/>
      <c r="D34" s="269"/>
      <c r="E34" s="269"/>
      <c r="F34" s="269"/>
      <c r="G34" s="269"/>
      <c r="H34" s="269"/>
      <c r="I34" s="269"/>
      <c r="J34" s="269"/>
      <c r="K34" s="269"/>
      <c r="L34" s="269"/>
      <c r="M34" s="269"/>
      <c r="N34" s="269"/>
      <c r="O34" s="269"/>
      <c r="P34" s="269"/>
      <c r="Q34" s="269"/>
      <c r="R34" s="270"/>
    </row>
    <row r="35" spans="2:18" ht="15" customHeight="1" x14ac:dyDescent="0.25">
      <c r="B35" s="268"/>
      <c r="C35" s="269"/>
      <c r="D35" s="269"/>
      <c r="E35" s="269"/>
      <c r="F35" s="269"/>
      <c r="G35" s="269"/>
      <c r="H35" s="269"/>
      <c r="I35" s="269"/>
      <c r="J35" s="269"/>
      <c r="K35" s="269"/>
      <c r="L35" s="269"/>
      <c r="M35" s="269"/>
      <c r="N35" s="269"/>
      <c r="O35" s="269"/>
      <c r="P35" s="269"/>
      <c r="Q35" s="269"/>
      <c r="R35" s="270"/>
    </row>
    <row r="36" spans="2:18" ht="15" customHeight="1" x14ac:dyDescent="0.25">
      <c r="B36" s="268"/>
      <c r="C36" s="269"/>
      <c r="D36" s="269"/>
      <c r="E36" s="269"/>
      <c r="F36" s="269"/>
      <c r="G36" s="269"/>
      <c r="H36" s="269"/>
      <c r="I36" s="269"/>
      <c r="J36" s="269"/>
      <c r="K36" s="269"/>
      <c r="L36" s="269"/>
      <c r="M36" s="269"/>
      <c r="N36" s="269"/>
      <c r="O36" s="269"/>
      <c r="P36" s="269"/>
      <c r="Q36" s="269"/>
      <c r="R36" s="270"/>
    </row>
    <row r="37" spans="2:18" ht="15" customHeight="1" x14ac:dyDescent="0.25">
      <c r="B37" s="268"/>
      <c r="C37" s="269"/>
      <c r="D37" s="269"/>
      <c r="E37" s="269"/>
      <c r="F37" s="269"/>
      <c r="G37" s="269"/>
      <c r="H37" s="269"/>
      <c r="I37" s="269"/>
      <c r="J37" s="269"/>
      <c r="K37" s="269"/>
      <c r="L37" s="269"/>
      <c r="M37" s="269"/>
      <c r="N37" s="269"/>
      <c r="O37" s="269"/>
      <c r="P37" s="269"/>
      <c r="Q37" s="269"/>
      <c r="R37" s="270"/>
    </row>
    <row r="38" spans="2:18" ht="15" customHeight="1" x14ac:dyDescent="0.25">
      <c r="B38" s="268"/>
      <c r="C38" s="269"/>
      <c r="D38" s="269"/>
      <c r="E38" s="269"/>
      <c r="F38" s="269"/>
      <c r="G38" s="269"/>
      <c r="H38" s="269"/>
      <c r="I38" s="269"/>
      <c r="J38" s="269"/>
      <c r="K38" s="269"/>
      <c r="L38" s="269"/>
      <c r="M38" s="269"/>
      <c r="N38" s="269"/>
      <c r="O38" s="269"/>
      <c r="P38" s="269"/>
      <c r="Q38" s="269"/>
      <c r="R38" s="270"/>
    </row>
    <row r="39" spans="2:18" ht="15" customHeight="1" thickBot="1" x14ac:dyDescent="0.3">
      <c r="B39" s="271"/>
      <c r="C39" s="272"/>
      <c r="D39" s="272"/>
      <c r="E39" s="272"/>
      <c r="F39" s="272"/>
      <c r="G39" s="272"/>
      <c r="H39" s="272"/>
      <c r="I39" s="272"/>
      <c r="J39" s="272"/>
      <c r="K39" s="272"/>
      <c r="L39" s="272"/>
      <c r="M39" s="272"/>
      <c r="N39" s="272"/>
      <c r="O39" s="272"/>
      <c r="P39" s="272"/>
      <c r="Q39" s="272"/>
      <c r="R39" s="273"/>
    </row>
    <row r="40" spans="2:18" ht="15" customHeight="1" x14ac:dyDescent="0.25"/>
    <row r="41" spans="2:18" ht="15" customHeight="1" x14ac:dyDescent="0.25"/>
    <row r="42" spans="2:18" ht="15" customHeight="1" x14ac:dyDescent="0.25"/>
    <row r="43" spans="2:18" ht="15" customHeight="1" x14ac:dyDescent="0.25"/>
    <row r="44" spans="2:18" ht="15" customHeight="1" x14ac:dyDescent="0.25"/>
    <row r="45" spans="2:18" ht="15" customHeight="1" x14ac:dyDescent="0.25"/>
    <row r="46" spans="2:18" ht="15" customHeight="1" x14ac:dyDescent="0.25"/>
    <row r="47" spans="2:18" ht="15" customHeight="1" x14ac:dyDescent="0.25"/>
    <row r="48" spans="2:18"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W8:X29">
    <sortCondition descending="1" ref="X8"/>
  </sortState>
  <mergeCells count="3">
    <mergeCell ref="C3:S3"/>
    <mergeCell ref="D5:E5"/>
    <mergeCell ref="B33:R39"/>
  </mergeCells>
  <pageMargins left="0" right="0" top="0" bottom="0" header="0" footer="0"/>
  <pageSetup paperSize="9" scale="10" pageOrder="overThenDown" orientation="portrait" r:id="rId1"/>
  <headerFooter alignWithMargins="0"/>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X64"/>
  <sheetViews>
    <sheetView showGridLines="0" zoomScale="75" zoomScaleNormal="75" workbookViewId="0"/>
  </sheetViews>
  <sheetFormatPr defaultRowHeight="15" x14ac:dyDescent="0.25"/>
  <cols>
    <col min="1" max="1" width="2.85546875" style="19" customWidth="1"/>
    <col min="2" max="2" width="3.85546875" style="19" customWidth="1"/>
    <col min="3" max="3" width="59.140625" style="19" bestFit="1" customWidth="1"/>
    <col min="4" max="4" width="28.28515625" style="19" customWidth="1"/>
    <col min="5" max="5" width="10.42578125" style="19" bestFit="1" customWidth="1"/>
    <col min="6" max="18" width="9.140625" style="19"/>
    <col min="19" max="19" width="9.85546875" style="19" customWidth="1"/>
    <col min="20" max="20" width="9.140625" style="19"/>
    <col min="21" max="22" width="9.140625" style="19" customWidth="1"/>
    <col min="23"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74" t="s">
        <v>159</v>
      </c>
      <c r="D3" s="275"/>
      <c r="E3" s="275"/>
      <c r="F3" s="275"/>
      <c r="G3" s="275"/>
      <c r="H3" s="275"/>
      <c r="I3" s="275"/>
      <c r="J3" s="275"/>
      <c r="K3" s="275"/>
      <c r="L3" s="275"/>
      <c r="M3" s="275"/>
      <c r="N3" s="275"/>
      <c r="O3" s="275"/>
      <c r="P3" s="275"/>
      <c r="Q3" s="275"/>
      <c r="R3" s="275"/>
      <c r="S3" s="275"/>
      <c r="T3" s="22"/>
    </row>
    <row r="4" spans="1:24" ht="15.75" customHeight="1" x14ac:dyDescent="0.25">
      <c r="B4" s="82"/>
      <c r="C4" s="70" t="s">
        <v>367</v>
      </c>
      <c r="D4" s="29"/>
      <c r="E4" s="29"/>
      <c r="F4" s="29"/>
      <c r="G4" s="29"/>
      <c r="H4" s="29"/>
      <c r="I4" s="29"/>
      <c r="J4" s="29"/>
      <c r="K4" s="29"/>
      <c r="L4" s="29"/>
      <c r="M4" s="29"/>
      <c r="N4" s="29"/>
      <c r="O4" s="29"/>
      <c r="P4" s="29"/>
      <c r="Q4" s="29"/>
      <c r="R4" s="29"/>
      <c r="S4" s="29"/>
      <c r="T4" s="22"/>
    </row>
    <row r="5" spans="1:24" ht="18" customHeight="1" x14ac:dyDescent="0.25">
      <c r="B5" s="82"/>
      <c r="C5" s="228" t="s">
        <v>366</v>
      </c>
      <c r="D5" s="278" t="s">
        <v>342</v>
      </c>
      <c r="E5" s="278"/>
      <c r="F5" s="29"/>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24" ht="15" customHeight="1" x14ac:dyDescent="0.25">
      <c r="B8" s="82"/>
      <c r="C8" s="198" t="s">
        <v>29</v>
      </c>
      <c r="D8" s="199" t="s">
        <v>3</v>
      </c>
      <c r="E8" s="200">
        <v>0.129495</v>
      </c>
      <c r="F8" s="29"/>
      <c r="G8" s="29"/>
      <c r="H8" s="29"/>
      <c r="I8" s="29"/>
      <c r="J8" s="29"/>
      <c r="K8" s="29"/>
      <c r="L8" s="29"/>
      <c r="M8" s="29"/>
      <c r="N8" s="29"/>
      <c r="O8" s="29"/>
      <c r="P8" s="29"/>
      <c r="Q8" s="29"/>
      <c r="R8" s="29"/>
      <c r="S8" s="29"/>
      <c r="T8" s="22"/>
      <c r="W8" s="59" t="s">
        <v>3</v>
      </c>
      <c r="X8" s="60">
        <v>0.329181</v>
      </c>
    </row>
    <row r="9" spans="1:24" ht="15.75" customHeight="1" x14ac:dyDescent="0.25">
      <c r="B9" s="82"/>
      <c r="C9" s="192" t="s">
        <v>31</v>
      </c>
      <c r="D9" s="201" t="s">
        <v>6</v>
      </c>
      <c r="E9" s="202">
        <v>0.108442</v>
      </c>
      <c r="F9" s="29"/>
      <c r="G9" s="29"/>
      <c r="H9" s="29"/>
      <c r="I9" s="29"/>
      <c r="J9" s="29"/>
      <c r="K9" s="29"/>
      <c r="L9" s="29"/>
      <c r="M9" s="29"/>
      <c r="N9" s="29"/>
      <c r="O9" s="29"/>
      <c r="P9" s="29"/>
      <c r="Q9" s="29"/>
      <c r="R9" s="29"/>
      <c r="S9" s="29"/>
      <c r="T9" s="22"/>
      <c r="W9" s="59" t="s">
        <v>109</v>
      </c>
      <c r="X9" s="60">
        <v>0.14813899999999999</v>
      </c>
    </row>
    <row r="10" spans="1:24" ht="15.75" x14ac:dyDescent="0.25">
      <c r="B10" s="82"/>
      <c r="C10" s="192" t="s">
        <v>32</v>
      </c>
      <c r="D10" s="201" t="s">
        <v>3</v>
      </c>
      <c r="E10" s="202">
        <v>9.0875999999999998E-2</v>
      </c>
      <c r="F10" s="29"/>
      <c r="G10" s="29"/>
      <c r="H10" s="29"/>
      <c r="I10" s="29"/>
      <c r="J10" s="29"/>
      <c r="K10" s="29"/>
      <c r="L10" s="29"/>
      <c r="M10" s="29"/>
      <c r="N10" s="29"/>
      <c r="O10" s="29"/>
      <c r="P10" s="29"/>
      <c r="Q10" s="29"/>
      <c r="R10" s="29"/>
      <c r="S10" s="29"/>
      <c r="T10" s="22"/>
      <c r="W10" s="59" t="s">
        <v>6</v>
      </c>
      <c r="X10" s="60">
        <v>0.108442</v>
      </c>
    </row>
    <row r="11" spans="1:24" ht="15.75" customHeight="1" x14ac:dyDescent="0.25">
      <c r="B11" s="82"/>
      <c r="C11" s="192" t="s">
        <v>28</v>
      </c>
      <c r="D11" s="201" t="s">
        <v>109</v>
      </c>
      <c r="E11" s="202">
        <v>7.1842000000000003E-2</v>
      </c>
      <c r="F11" s="29"/>
      <c r="G11" s="29"/>
      <c r="H11" s="29"/>
      <c r="I11" s="29"/>
      <c r="J11" s="29"/>
      <c r="K11" s="29"/>
      <c r="L11" s="29"/>
      <c r="M11" s="29"/>
      <c r="N11" s="29"/>
      <c r="O11" s="29"/>
      <c r="P11" s="29"/>
      <c r="Q11" s="29"/>
      <c r="R11" s="29"/>
      <c r="S11" s="29"/>
      <c r="T11" s="22"/>
      <c r="W11" s="59" t="s">
        <v>119</v>
      </c>
      <c r="X11" s="60">
        <v>7.4328999999999992E-2</v>
      </c>
    </row>
    <row r="12" spans="1:24" ht="15" customHeight="1" x14ac:dyDescent="0.25">
      <c r="B12" s="82"/>
      <c r="C12" s="192" t="s">
        <v>30</v>
      </c>
      <c r="D12" s="201" t="s">
        <v>119</v>
      </c>
      <c r="E12" s="202">
        <v>4.8640999999999997E-2</v>
      </c>
      <c r="F12" s="29"/>
      <c r="G12" s="29"/>
      <c r="H12" s="29"/>
      <c r="I12" s="29"/>
      <c r="J12" s="29"/>
      <c r="K12" s="29"/>
      <c r="L12" s="29"/>
      <c r="M12" s="29"/>
      <c r="N12" s="29"/>
      <c r="O12" s="29"/>
      <c r="P12" s="29"/>
      <c r="Q12" s="29"/>
      <c r="R12" s="29"/>
      <c r="S12" s="29"/>
      <c r="T12" s="22"/>
      <c r="W12" s="59" t="s">
        <v>114</v>
      </c>
      <c r="X12" s="60">
        <v>6.7197999999999994E-2</v>
      </c>
    </row>
    <row r="13" spans="1:24" ht="15" customHeight="1" x14ac:dyDescent="0.25">
      <c r="B13" s="82"/>
      <c r="C13" s="192" t="s">
        <v>34</v>
      </c>
      <c r="D13" s="201" t="s">
        <v>23</v>
      </c>
      <c r="E13" s="202">
        <v>4.7328000000000002E-2</v>
      </c>
      <c r="F13" s="29"/>
      <c r="G13" s="29"/>
      <c r="H13" s="29"/>
      <c r="I13" s="29"/>
      <c r="J13" s="29"/>
      <c r="K13" s="29"/>
      <c r="L13" s="29"/>
      <c r="M13" s="29"/>
      <c r="N13" s="29"/>
      <c r="O13" s="29"/>
      <c r="P13" s="29"/>
      <c r="Q13" s="29"/>
      <c r="R13" s="29"/>
      <c r="S13" s="29"/>
      <c r="T13" s="22"/>
      <c r="W13" s="59" t="s">
        <v>23</v>
      </c>
      <c r="X13" s="60">
        <v>4.7328000000000002E-2</v>
      </c>
    </row>
    <row r="14" spans="1:24" ht="15" customHeight="1" x14ac:dyDescent="0.25">
      <c r="B14" s="82"/>
      <c r="C14" s="192" t="s">
        <v>33</v>
      </c>
      <c r="D14" s="201" t="s">
        <v>109</v>
      </c>
      <c r="E14" s="202">
        <v>4.7315000000000003E-2</v>
      </c>
      <c r="F14" s="29"/>
      <c r="G14" s="29"/>
      <c r="H14" s="29"/>
      <c r="I14" s="29"/>
      <c r="J14" s="29"/>
      <c r="K14" s="29"/>
      <c r="L14" s="29"/>
      <c r="M14" s="29"/>
      <c r="N14" s="29"/>
      <c r="O14" s="29"/>
      <c r="P14" s="29"/>
      <c r="Q14" s="29"/>
      <c r="R14" s="29"/>
      <c r="S14" s="29"/>
      <c r="T14" s="22"/>
      <c r="W14" s="59" t="s">
        <v>12</v>
      </c>
      <c r="X14" s="60">
        <v>4.2273999999999999E-2</v>
      </c>
    </row>
    <row r="15" spans="1:24" ht="15" customHeight="1" x14ac:dyDescent="0.25">
      <c r="B15" s="82"/>
      <c r="C15" s="192" t="s">
        <v>70</v>
      </c>
      <c r="D15" s="201" t="s">
        <v>12</v>
      </c>
      <c r="E15" s="202">
        <v>4.2273999999999999E-2</v>
      </c>
      <c r="F15" s="29"/>
      <c r="G15" s="29"/>
      <c r="H15" s="29"/>
      <c r="I15" s="29"/>
      <c r="J15" s="29"/>
      <c r="K15" s="29"/>
      <c r="L15" s="29"/>
      <c r="M15" s="29"/>
      <c r="N15" s="29"/>
      <c r="O15" s="29"/>
      <c r="P15" s="29"/>
      <c r="Q15" s="29"/>
      <c r="R15" s="29"/>
      <c r="S15" s="29"/>
      <c r="T15" s="22"/>
      <c r="W15" s="59" t="s">
        <v>10</v>
      </c>
      <c r="X15" s="60">
        <v>3.7943999999999999E-2</v>
      </c>
    </row>
    <row r="16" spans="1:24" ht="15" customHeight="1" x14ac:dyDescent="0.25">
      <c r="B16" s="82"/>
      <c r="C16" s="192" t="s">
        <v>80</v>
      </c>
      <c r="D16" s="201" t="s">
        <v>3</v>
      </c>
      <c r="E16" s="202">
        <v>3.5617999999999997E-2</v>
      </c>
      <c r="F16" s="29"/>
      <c r="G16" s="29"/>
      <c r="H16" s="29"/>
      <c r="I16" s="29"/>
      <c r="J16" s="29"/>
      <c r="K16" s="29"/>
      <c r="L16" s="29"/>
      <c r="M16" s="29"/>
      <c r="N16" s="29"/>
      <c r="O16" s="29"/>
      <c r="P16" s="29"/>
      <c r="Q16" s="29"/>
      <c r="R16" s="29"/>
      <c r="S16" s="29"/>
      <c r="T16" s="22"/>
      <c r="W16" s="59" t="s">
        <v>16</v>
      </c>
      <c r="X16" s="60">
        <v>3.0186000000000001E-2</v>
      </c>
    </row>
    <row r="17" spans="2:24" ht="15" customHeight="1" x14ac:dyDescent="0.25">
      <c r="B17" s="82"/>
      <c r="C17" s="192" t="s">
        <v>36</v>
      </c>
      <c r="D17" s="201" t="s">
        <v>3</v>
      </c>
      <c r="E17" s="202">
        <v>3.4819999999999997E-2</v>
      </c>
      <c r="F17" s="29"/>
      <c r="G17" s="29"/>
      <c r="H17" s="29"/>
      <c r="I17" s="29"/>
      <c r="J17" s="29"/>
      <c r="K17" s="29"/>
      <c r="L17" s="29"/>
      <c r="M17" s="29"/>
      <c r="N17" s="29"/>
      <c r="O17" s="29"/>
      <c r="P17" s="29"/>
      <c r="Q17" s="29"/>
      <c r="R17" s="29"/>
      <c r="S17" s="29"/>
      <c r="T17" s="22"/>
      <c r="W17" s="59" t="s">
        <v>4</v>
      </c>
      <c r="X17" s="60">
        <v>2.8889999999999999E-2</v>
      </c>
    </row>
    <row r="18" spans="2:24" ht="15" customHeight="1" x14ac:dyDescent="0.25">
      <c r="B18" s="82"/>
      <c r="C18" s="192" t="s">
        <v>35</v>
      </c>
      <c r="D18" s="201" t="s">
        <v>3</v>
      </c>
      <c r="E18" s="202">
        <v>2.8291E-2</v>
      </c>
      <c r="F18" s="29"/>
      <c r="G18" s="29"/>
      <c r="H18" s="29"/>
      <c r="I18" s="29"/>
      <c r="J18" s="29"/>
      <c r="K18" s="29"/>
      <c r="L18" s="29"/>
      <c r="M18" s="29"/>
      <c r="N18" s="29"/>
      <c r="O18" s="29"/>
      <c r="P18" s="29"/>
      <c r="Q18" s="29"/>
      <c r="R18" s="29"/>
      <c r="S18" s="29"/>
      <c r="T18" s="22"/>
      <c r="W18" s="59" t="s">
        <v>11</v>
      </c>
      <c r="X18" s="60">
        <v>2.3911000000000002E-2</v>
      </c>
    </row>
    <row r="19" spans="2:24" ht="15" customHeight="1" x14ac:dyDescent="0.25">
      <c r="B19" s="82"/>
      <c r="C19" s="192" t="s">
        <v>122</v>
      </c>
      <c r="D19" s="201" t="s">
        <v>114</v>
      </c>
      <c r="E19" s="202">
        <v>2.7362000000000001E-2</v>
      </c>
      <c r="F19" s="29"/>
      <c r="G19" s="29"/>
      <c r="H19" s="29"/>
      <c r="I19" s="29"/>
      <c r="J19" s="29"/>
      <c r="K19" s="29"/>
      <c r="L19" s="29"/>
      <c r="M19" s="29"/>
      <c r="N19" s="29"/>
      <c r="O19" s="29"/>
      <c r="P19" s="29"/>
      <c r="Q19" s="29"/>
      <c r="R19" s="29"/>
      <c r="S19" s="29"/>
      <c r="T19" s="22"/>
      <c r="W19" s="59" t="s">
        <v>113</v>
      </c>
      <c r="X19" s="60">
        <v>1.9792000000000001E-2</v>
      </c>
    </row>
    <row r="20" spans="2:24" ht="15" customHeight="1" x14ac:dyDescent="0.25">
      <c r="B20" s="82"/>
      <c r="C20" s="192" t="s">
        <v>37</v>
      </c>
      <c r="D20" s="201" t="s">
        <v>119</v>
      </c>
      <c r="E20" s="202">
        <v>2.5687999999999999E-2</v>
      </c>
      <c r="F20" s="29"/>
      <c r="G20" s="29"/>
      <c r="H20" s="29"/>
      <c r="I20" s="29"/>
      <c r="J20" s="29"/>
      <c r="K20" s="29"/>
      <c r="L20" s="29"/>
      <c r="M20" s="29"/>
      <c r="N20" s="29"/>
      <c r="O20" s="29"/>
      <c r="P20" s="29"/>
      <c r="Q20" s="29"/>
      <c r="R20" s="29"/>
      <c r="S20" s="29"/>
      <c r="T20" s="22"/>
      <c r="W20" s="59" t="s">
        <v>84</v>
      </c>
      <c r="X20" s="60">
        <v>1.4461999999999999E-2</v>
      </c>
    </row>
    <row r="21" spans="2:24" ht="15" customHeight="1" x14ac:dyDescent="0.25">
      <c r="B21" s="82"/>
      <c r="C21" s="192" t="s">
        <v>81</v>
      </c>
      <c r="D21" s="201" t="s">
        <v>114</v>
      </c>
      <c r="E21" s="202">
        <v>2.1673000000000001E-2</v>
      </c>
      <c r="F21" s="29"/>
      <c r="G21" s="29"/>
      <c r="H21" s="29"/>
      <c r="I21" s="29"/>
      <c r="J21" s="29"/>
      <c r="K21" s="29"/>
      <c r="L21" s="29"/>
      <c r="M21" s="29"/>
      <c r="N21" s="29"/>
      <c r="O21" s="29"/>
      <c r="P21" s="29"/>
      <c r="Q21" s="29"/>
      <c r="R21" s="29"/>
      <c r="S21" s="29"/>
      <c r="T21" s="22"/>
      <c r="W21" s="59" t="s">
        <v>132</v>
      </c>
      <c r="X21" s="60">
        <v>1.2099E-2</v>
      </c>
    </row>
    <row r="22" spans="2:24" ht="15" customHeight="1" x14ac:dyDescent="0.25">
      <c r="B22" s="82"/>
      <c r="C22" s="192" t="s">
        <v>62</v>
      </c>
      <c r="D22" s="201" t="s">
        <v>10</v>
      </c>
      <c r="E22" s="202">
        <v>2.103E-2</v>
      </c>
      <c r="F22" s="29"/>
      <c r="G22" s="29"/>
      <c r="H22" s="29"/>
      <c r="I22" s="29"/>
      <c r="J22" s="29"/>
      <c r="K22" s="29"/>
      <c r="L22" s="29"/>
      <c r="M22" s="29"/>
      <c r="N22" s="29"/>
      <c r="O22" s="29"/>
      <c r="P22" s="29"/>
      <c r="Q22" s="29"/>
      <c r="R22" s="29"/>
      <c r="S22" s="29"/>
      <c r="T22" s="22"/>
      <c r="W22" s="19" t="s">
        <v>110</v>
      </c>
      <c r="X22" s="60">
        <v>9.3659999999999993E-3</v>
      </c>
    </row>
    <row r="23" spans="2:24" ht="15" customHeight="1" x14ac:dyDescent="0.25">
      <c r="B23" s="82"/>
      <c r="C23" s="74"/>
      <c r="D23" s="74"/>
      <c r="E23" s="75"/>
      <c r="F23" s="29"/>
      <c r="G23" s="29"/>
      <c r="H23" s="29"/>
      <c r="I23" s="29"/>
      <c r="J23" s="29"/>
      <c r="K23" s="29"/>
      <c r="L23" s="29"/>
      <c r="M23" s="29"/>
      <c r="N23" s="29"/>
      <c r="O23" s="29"/>
      <c r="P23" s="29"/>
      <c r="Q23" s="29"/>
      <c r="R23" s="29"/>
      <c r="S23" s="29"/>
      <c r="T23" s="22"/>
      <c r="W23" s="59"/>
      <c r="X23" s="60"/>
    </row>
    <row r="24" spans="2:24" ht="15" customHeight="1" x14ac:dyDescent="0.25">
      <c r="B24" s="82"/>
      <c r="C24" s="76" t="s">
        <v>55</v>
      </c>
      <c r="D24" s="77"/>
      <c r="E24" s="78">
        <f>SUM(E8:E22)</f>
        <v>0.78069500000000014</v>
      </c>
      <c r="F24" s="29"/>
      <c r="G24" s="29"/>
      <c r="H24" s="29"/>
      <c r="I24" s="29"/>
      <c r="J24" s="29"/>
      <c r="K24" s="29"/>
      <c r="L24" s="29"/>
      <c r="M24" s="29"/>
      <c r="N24" s="29"/>
      <c r="O24" s="29"/>
      <c r="P24" s="29"/>
      <c r="Q24" s="29"/>
      <c r="R24" s="29"/>
      <c r="S24" s="29"/>
      <c r="T24" s="22"/>
      <c r="W24" s="59"/>
      <c r="X24" s="60"/>
    </row>
    <row r="25" spans="2:24" ht="15" customHeight="1" x14ac:dyDescent="0.25">
      <c r="B25" s="82"/>
      <c r="F25" s="29"/>
      <c r="G25" s="29"/>
      <c r="H25" s="29"/>
      <c r="I25" s="29"/>
      <c r="J25" s="29"/>
      <c r="K25" s="29"/>
      <c r="L25" s="29"/>
      <c r="M25" s="29"/>
      <c r="N25" s="29"/>
      <c r="O25" s="29"/>
      <c r="P25" s="29"/>
      <c r="Q25" s="29"/>
      <c r="R25" s="29"/>
      <c r="S25" s="29"/>
      <c r="T25" s="22"/>
      <c r="W25" s="59"/>
      <c r="X25" s="60"/>
    </row>
    <row r="26" spans="2:24" ht="15" customHeight="1" x14ac:dyDescent="0.25">
      <c r="B26" s="82"/>
      <c r="F26" s="29"/>
      <c r="G26" s="29"/>
      <c r="H26" s="29"/>
      <c r="I26" s="29"/>
      <c r="J26" s="29"/>
      <c r="K26" s="29"/>
      <c r="L26" s="29"/>
      <c r="M26" s="29"/>
      <c r="N26" s="29"/>
      <c r="O26" s="29"/>
      <c r="P26" s="29"/>
      <c r="Q26" s="29"/>
      <c r="R26" s="29"/>
      <c r="S26" s="29"/>
      <c r="T26" s="22"/>
      <c r="W26" s="59"/>
      <c r="X26" s="60"/>
    </row>
    <row r="27" spans="2:24" ht="15" customHeight="1" x14ac:dyDescent="0.25">
      <c r="B27" s="82"/>
      <c r="F27" s="29"/>
      <c r="G27" s="29"/>
      <c r="H27" s="29"/>
      <c r="I27" s="29"/>
      <c r="J27" s="29"/>
      <c r="K27" s="29"/>
      <c r="L27" s="29"/>
      <c r="M27" s="29"/>
      <c r="N27" s="29"/>
      <c r="O27" s="29"/>
      <c r="P27" s="29"/>
      <c r="Q27" s="29"/>
      <c r="R27" s="29"/>
      <c r="S27" s="29"/>
      <c r="T27" s="22"/>
      <c r="W27" s="59"/>
      <c r="X27" s="60"/>
    </row>
    <row r="28" spans="2:24" ht="15" customHeight="1" x14ac:dyDescent="0.25">
      <c r="B28" s="82"/>
      <c r="F28" s="29"/>
      <c r="G28" s="29"/>
      <c r="H28" s="29"/>
      <c r="I28" s="29"/>
      <c r="J28" s="29"/>
      <c r="K28" s="29"/>
      <c r="L28" s="29"/>
      <c r="M28" s="29"/>
      <c r="N28" s="29"/>
      <c r="O28" s="29"/>
      <c r="P28" s="29"/>
      <c r="Q28" s="29"/>
      <c r="R28" s="29"/>
      <c r="S28" s="29"/>
      <c r="T28" s="22"/>
      <c r="W28" s="59"/>
      <c r="X28" s="60"/>
    </row>
    <row r="29" spans="2:24" ht="15" customHeight="1" x14ac:dyDescent="0.25">
      <c r="B29" s="82"/>
      <c r="F29" s="29"/>
      <c r="G29" s="29"/>
      <c r="H29" s="29"/>
      <c r="I29" s="29"/>
      <c r="J29" s="29"/>
      <c r="K29" s="29"/>
      <c r="L29" s="29"/>
      <c r="M29" s="29"/>
      <c r="N29" s="29"/>
      <c r="O29" s="29"/>
      <c r="P29" s="29"/>
      <c r="Q29" s="29"/>
      <c r="R29" s="29"/>
      <c r="S29" s="29"/>
      <c r="T29" s="22"/>
      <c r="W29" s="59"/>
      <c r="X29" s="60"/>
    </row>
    <row r="30" spans="2:24" ht="15" customHeight="1" x14ac:dyDescent="0.25">
      <c r="B30" s="82"/>
      <c r="F30" s="29"/>
      <c r="G30" s="29"/>
      <c r="H30" s="29"/>
      <c r="I30" s="29"/>
      <c r="J30" s="29"/>
      <c r="K30" s="29"/>
      <c r="L30" s="29"/>
      <c r="M30" s="29"/>
      <c r="N30" s="29"/>
      <c r="O30" s="29"/>
      <c r="P30" s="29"/>
      <c r="Q30" s="29"/>
      <c r="R30" s="29"/>
      <c r="S30" s="29"/>
      <c r="T30" s="22"/>
      <c r="W30" s="59"/>
      <c r="X30" s="60"/>
    </row>
    <row r="31" spans="2:24" ht="15" customHeight="1" x14ac:dyDescent="0.25">
      <c r="B31" s="82"/>
      <c r="F31" s="29"/>
      <c r="G31" s="29"/>
      <c r="H31" s="29"/>
      <c r="I31" s="29"/>
      <c r="J31" s="29"/>
      <c r="K31" s="29"/>
      <c r="L31" s="29"/>
      <c r="M31" s="29"/>
      <c r="N31" s="29"/>
      <c r="O31" s="29"/>
      <c r="P31" s="29"/>
      <c r="Q31" s="29"/>
      <c r="R31" s="29"/>
      <c r="S31" s="29"/>
      <c r="T31" s="22"/>
      <c r="W31" s="59"/>
      <c r="X31" s="60"/>
    </row>
    <row r="32" spans="2:24" ht="15" customHeight="1" x14ac:dyDescent="0.25">
      <c r="B32" s="82"/>
      <c r="F32" s="29"/>
      <c r="G32" s="29"/>
      <c r="H32" s="29"/>
      <c r="I32" s="29"/>
      <c r="J32" s="29"/>
      <c r="K32" s="29"/>
      <c r="L32" s="29"/>
      <c r="M32" s="29"/>
      <c r="N32" s="29"/>
      <c r="O32" s="29"/>
      <c r="P32" s="29"/>
      <c r="Q32" s="29"/>
      <c r="R32" s="29"/>
      <c r="S32" s="29"/>
      <c r="T32" s="22"/>
      <c r="W32" s="59"/>
      <c r="X32" s="60"/>
    </row>
    <row r="33" spans="2:24" ht="15" customHeight="1" x14ac:dyDescent="0.25">
      <c r="B33" s="82"/>
      <c r="F33" s="29"/>
      <c r="G33" s="29"/>
      <c r="H33" s="29"/>
      <c r="I33" s="29"/>
      <c r="J33" s="29"/>
      <c r="K33" s="29"/>
      <c r="L33" s="29"/>
      <c r="M33" s="29"/>
      <c r="N33" s="29"/>
      <c r="O33" s="29"/>
      <c r="P33" s="29"/>
      <c r="Q33" s="29"/>
      <c r="R33" s="29"/>
      <c r="S33" s="29"/>
      <c r="T33" s="22"/>
      <c r="W33" s="59"/>
      <c r="X33" s="60"/>
    </row>
    <row r="34" spans="2:24" ht="15" customHeight="1" x14ac:dyDescent="0.25">
      <c r="B34" s="82"/>
      <c r="F34" s="29"/>
      <c r="G34" s="29"/>
      <c r="H34" s="29"/>
      <c r="I34" s="29"/>
      <c r="J34" s="29"/>
      <c r="K34" s="29"/>
      <c r="L34" s="29"/>
      <c r="M34" s="29"/>
      <c r="N34" s="29"/>
      <c r="O34" s="29"/>
      <c r="P34" s="29"/>
      <c r="Q34" s="29"/>
      <c r="R34" s="29"/>
      <c r="S34" s="29"/>
      <c r="T34" s="22"/>
      <c r="W34" s="59"/>
      <c r="X34" s="60"/>
    </row>
    <row r="35" spans="2:24" ht="15" customHeight="1" x14ac:dyDescent="0.25">
      <c r="B35" s="82"/>
      <c r="F35" s="29"/>
      <c r="G35" s="29"/>
      <c r="H35" s="29"/>
      <c r="I35" s="29"/>
      <c r="J35" s="29"/>
      <c r="K35" s="29"/>
      <c r="L35" s="29"/>
      <c r="M35" s="29"/>
      <c r="N35" s="29"/>
      <c r="O35" s="29"/>
      <c r="P35" s="29"/>
      <c r="Q35" s="29"/>
      <c r="R35" s="29"/>
      <c r="S35" s="29"/>
      <c r="T35" s="22"/>
      <c r="W35" s="59"/>
      <c r="X35" s="60"/>
    </row>
    <row r="36" spans="2:24" ht="15" customHeight="1" x14ac:dyDescent="0.25">
      <c r="B36" s="82"/>
      <c r="F36" s="29"/>
      <c r="G36" s="29"/>
      <c r="H36" s="29"/>
      <c r="I36" s="29"/>
      <c r="J36" s="29"/>
      <c r="K36" s="29"/>
      <c r="L36" s="29"/>
      <c r="M36" s="29"/>
      <c r="N36" s="29"/>
      <c r="O36" s="29"/>
      <c r="P36" s="29"/>
      <c r="Q36" s="29"/>
      <c r="R36" s="29"/>
      <c r="S36" s="29"/>
      <c r="T36" s="22"/>
      <c r="W36" s="59"/>
      <c r="X36" s="60"/>
    </row>
    <row r="37" spans="2:24" ht="15" customHeight="1" thickBot="1" x14ac:dyDescent="0.3">
      <c r="B37" s="83"/>
      <c r="C37" s="84"/>
      <c r="D37" s="84"/>
      <c r="E37" s="84"/>
      <c r="F37" s="84"/>
      <c r="G37" s="84"/>
      <c r="H37" s="84"/>
      <c r="I37" s="84"/>
      <c r="J37" s="84"/>
      <c r="K37" s="84"/>
      <c r="L37" s="84"/>
      <c r="M37" s="84"/>
      <c r="N37" s="84"/>
      <c r="O37" s="84"/>
      <c r="P37" s="84"/>
      <c r="Q37" s="84"/>
      <c r="R37" s="84"/>
      <c r="S37" s="84"/>
      <c r="T37" s="23"/>
    </row>
    <row r="38" spans="2:24" ht="15" customHeight="1" thickBot="1" x14ac:dyDescent="0.3"/>
    <row r="39" spans="2:24" ht="15" customHeight="1" x14ac:dyDescent="0.25">
      <c r="B39" s="265" t="s">
        <v>186</v>
      </c>
      <c r="C39" s="266"/>
      <c r="D39" s="266"/>
      <c r="E39" s="266"/>
      <c r="F39" s="266"/>
      <c r="G39" s="266"/>
      <c r="H39" s="266"/>
      <c r="I39" s="266"/>
      <c r="J39" s="266"/>
      <c r="K39" s="266"/>
      <c r="L39" s="266"/>
      <c r="M39" s="266"/>
      <c r="N39" s="266"/>
      <c r="O39" s="266"/>
      <c r="P39" s="266"/>
      <c r="Q39" s="266"/>
      <c r="R39" s="267"/>
    </row>
    <row r="40" spans="2:24" ht="15" customHeight="1" x14ac:dyDescent="0.25">
      <c r="B40" s="268"/>
      <c r="C40" s="269"/>
      <c r="D40" s="269"/>
      <c r="E40" s="269"/>
      <c r="F40" s="269"/>
      <c r="G40" s="269"/>
      <c r="H40" s="269"/>
      <c r="I40" s="269"/>
      <c r="J40" s="269"/>
      <c r="K40" s="269"/>
      <c r="L40" s="269"/>
      <c r="M40" s="269"/>
      <c r="N40" s="269"/>
      <c r="O40" s="269"/>
      <c r="P40" s="269"/>
      <c r="Q40" s="269"/>
      <c r="R40" s="270"/>
    </row>
    <row r="41" spans="2:24" ht="15" customHeight="1" x14ac:dyDescent="0.25">
      <c r="B41" s="268"/>
      <c r="C41" s="269"/>
      <c r="D41" s="269"/>
      <c r="E41" s="269"/>
      <c r="F41" s="269"/>
      <c r="G41" s="269"/>
      <c r="H41" s="269"/>
      <c r="I41" s="269"/>
      <c r="J41" s="269"/>
      <c r="K41" s="269"/>
      <c r="L41" s="269"/>
      <c r="M41" s="269"/>
      <c r="N41" s="269"/>
      <c r="O41" s="269"/>
      <c r="P41" s="269"/>
      <c r="Q41" s="269"/>
      <c r="R41" s="270"/>
    </row>
    <row r="42" spans="2:24" ht="15" customHeight="1" x14ac:dyDescent="0.25">
      <c r="B42" s="268"/>
      <c r="C42" s="269"/>
      <c r="D42" s="269"/>
      <c r="E42" s="269"/>
      <c r="F42" s="269"/>
      <c r="G42" s="269"/>
      <c r="H42" s="269"/>
      <c r="I42" s="269"/>
      <c r="J42" s="269"/>
      <c r="K42" s="269"/>
      <c r="L42" s="269"/>
      <c r="M42" s="269"/>
      <c r="N42" s="269"/>
      <c r="O42" s="269"/>
      <c r="P42" s="269"/>
      <c r="Q42" s="269"/>
      <c r="R42" s="270"/>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26.25" customHeight="1" thickBot="1" x14ac:dyDescent="0.3">
      <c r="B45" s="271"/>
      <c r="C45" s="272"/>
      <c r="D45" s="272"/>
      <c r="E45" s="272"/>
      <c r="F45" s="272"/>
      <c r="G45" s="272"/>
      <c r="H45" s="272"/>
      <c r="I45" s="272"/>
      <c r="J45" s="272"/>
      <c r="K45" s="272"/>
      <c r="L45" s="272"/>
      <c r="M45" s="272"/>
      <c r="N45" s="272"/>
      <c r="O45" s="272"/>
      <c r="P45" s="272"/>
      <c r="Q45" s="272"/>
      <c r="R45" s="27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1">
    <sortCondition descending="1" ref="X8:X21"/>
  </sortState>
  <mergeCells count="3">
    <mergeCell ref="C3:S3"/>
    <mergeCell ref="D5:E5"/>
    <mergeCell ref="B39:R4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X64"/>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80"/>
      <c r="C2" s="81"/>
      <c r="D2" s="81"/>
      <c r="E2" s="81"/>
      <c r="F2" s="81"/>
      <c r="G2" s="81"/>
      <c r="H2" s="81"/>
      <c r="I2" s="81"/>
      <c r="J2" s="81"/>
      <c r="K2" s="81"/>
      <c r="L2" s="81"/>
      <c r="M2" s="81"/>
      <c r="N2" s="81"/>
      <c r="O2" s="81"/>
      <c r="P2" s="81"/>
      <c r="Q2" s="81"/>
      <c r="R2" s="81"/>
      <c r="S2" s="81"/>
      <c r="T2" s="21"/>
    </row>
    <row r="3" spans="1:24" ht="20.25" customHeight="1" x14ac:dyDescent="0.25">
      <c r="B3" s="82"/>
      <c r="C3" s="274" t="s">
        <v>158</v>
      </c>
      <c r="D3" s="275"/>
      <c r="E3" s="275"/>
      <c r="F3" s="275"/>
      <c r="G3" s="275"/>
      <c r="H3" s="275"/>
      <c r="I3" s="275"/>
      <c r="J3" s="275"/>
      <c r="K3" s="275"/>
      <c r="L3" s="275"/>
      <c r="M3" s="275"/>
      <c r="N3" s="275"/>
      <c r="O3" s="275"/>
      <c r="P3" s="275"/>
      <c r="Q3" s="275"/>
      <c r="R3" s="275"/>
      <c r="S3" s="275"/>
      <c r="T3" s="22"/>
    </row>
    <row r="4" spans="1:24" ht="15.75" customHeight="1" x14ac:dyDescent="0.25">
      <c r="B4" s="82"/>
      <c r="C4" s="70" t="s">
        <v>367</v>
      </c>
      <c r="D4" s="29"/>
      <c r="E4" s="29"/>
      <c r="F4" s="29"/>
      <c r="G4" s="29"/>
      <c r="H4" s="29"/>
      <c r="I4" s="29"/>
      <c r="J4" s="29"/>
      <c r="K4" s="29"/>
      <c r="L4" s="29"/>
      <c r="M4" s="29"/>
      <c r="N4" s="29"/>
      <c r="O4" s="29"/>
      <c r="P4" s="29"/>
      <c r="Q4" s="29"/>
      <c r="R4" s="29"/>
      <c r="S4" s="29"/>
      <c r="T4" s="22"/>
    </row>
    <row r="5" spans="1:24" ht="18" customHeight="1" x14ac:dyDescent="0.25">
      <c r="B5" s="82"/>
      <c r="C5" s="228" t="s">
        <v>366</v>
      </c>
      <c r="D5" s="278" t="s">
        <v>343</v>
      </c>
      <c r="E5" s="278"/>
      <c r="F5" s="29"/>
      <c r="G5" s="29"/>
      <c r="H5" s="29"/>
      <c r="I5" s="29"/>
      <c r="J5" s="29"/>
      <c r="K5" s="29"/>
      <c r="L5" s="29"/>
      <c r="M5" s="29"/>
      <c r="N5" s="29"/>
      <c r="O5" s="29"/>
      <c r="P5" s="29"/>
      <c r="Q5" s="29"/>
      <c r="R5" s="29"/>
      <c r="S5" s="29"/>
      <c r="T5" s="22"/>
    </row>
    <row r="6" spans="1:24" ht="15" customHeight="1" x14ac:dyDescent="0.25">
      <c r="B6" s="82"/>
      <c r="C6" s="29"/>
      <c r="D6" s="29"/>
      <c r="E6" s="29"/>
      <c r="F6" s="29"/>
      <c r="G6" s="29"/>
      <c r="H6" s="29"/>
      <c r="I6" s="29"/>
      <c r="J6" s="29"/>
      <c r="K6" s="29"/>
      <c r="L6" s="29"/>
      <c r="M6" s="29"/>
      <c r="N6" s="29"/>
      <c r="O6" s="29"/>
      <c r="P6" s="29"/>
      <c r="Q6" s="29"/>
      <c r="R6" s="29"/>
      <c r="S6" s="29"/>
      <c r="T6" s="22"/>
    </row>
    <row r="7" spans="1:24" ht="32.25" customHeight="1" x14ac:dyDescent="0.25">
      <c r="B7" s="82"/>
      <c r="C7" s="71" t="s">
        <v>0</v>
      </c>
      <c r="D7" s="72" t="s">
        <v>1</v>
      </c>
      <c r="E7" s="73" t="s">
        <v>2</v>
      </c>
      <c r="F7" s="29"/>
      <c r="G7" s="29"/>
      <c r="H7" s="29"/>
      <c r="I7" s="29"/>
      <c r="J7" s="29"/>
      <c r="K7" s="29"/>
      <c r="L7" s="29"/>
      <c r="M7" s="29"/>
      <c r="N7" s="29"/>
      <c r="O7" s="29"/>
      <c r="P7" s="29"/>
      <c r="Q7" s="29"/>
      <c r="R7" s="29"/>
      <c r="S7" s="29"/>
      <c r="T7" s="22"/>
      <c r="W7" s="39" t="s">
        <v>22</v>
      </c>
      <c r="X7" s="39" t="s">
        <v>2</v>
      </c>
    </row>
    <row r="8" spans="1:24" ht="15" customHeight="1" x14ac:dyDescent="0.25">
      <c r="B8" s="82"/>
      <c r="C8" s="198" t="s">
        <v>29</v>
      </c>
      <c r="D8" s="199" t="s">
        <v>3</v>
      </c>
      <c r="E8" s="200">
        <v>0.10982</v>
      </c>
      <c r="F8" s="29"/>
      <c r="G8" s="29"/>
      <c r="H8" s="29"/>
      <c r="I8" s="29"/>
      <c r="J8" s="29"/>
      <c r="K8" s="29"/>
      <c r="L8" s="29"/>
      <c r="M8" s="29"/>
      <c r="N8" s="29"/>
      <c r="O8" s="29"/>
      <c r="P8" s="29"/>
      <c r="Q8" s="29"/>
      <c r="R8" s="29"/>
      <c r="S8" s="29"/>
      <c r="T8" s="22"/>
      <c r="W8" t="s">
        <v>3</v>
      </c>
      <c r="X8" s="183">
        <v>0.279611</v>
      </c>
    </row>
    <row r="9" spans="1:24" ht="15.75" customHeight="1" x14ac:dyDescent="0.25">
      <c r="B9" s="82"/>
      <c r="C9" s="192" t="s">
        <v>31</v>
      </c>
      <c r="D9" s="201" t="s">
        <v>6</v>
      </c>
      <c r="E9" s="202">
        <v>9.1916999999999999E-2</v>
      </c>
      <c r="F9" s="29"/>
      <c r="G9" s="29"/>
      <c r="H9" s="29"/>
      <c r="I9" s="29"/>
      <c r="J9" s="29"/>
      <c r="K9" s="29"/>
      <c r="L9" s="29"/>
      <c r="M9" s="29"/>
      <c r="N9" s="29"/>
      <c r="O9" s="29"/>
      <c r="P9" s="29"/>
      <c r="Q9" s="29"/>
      <c r="R9" s="29"/>
      <c r="S9" s="29"/>
      <c r="T9" s="22"/>
      <c r="W9" t="s">
        <v>109</v>
      </c>
      <c r="X9" s="183">
        <v>0.13691999999999999</v>
      </c>
    </row>
    <row r="10" spans="1:24" ht="15.75" x14ac:dyDescent="0.25">
      <c r="B10" s="82"/>
      <c r="C10" s="192" t="s">
        <v>32</v>
      </c>
      <c r="D10" s="201" t="s">
        <v>3</v>
      </c>
      <c r="E10" s="202">
        <v>7.7137999999999998E-2</v>
      </c>
      <c r="F10" s="29"/>
      <c r="G10" s="29"/>
      <c r="H10" s="29"/>
      <c r="I10" s="29"/>
      <c r="J10" s="29"/>
      <c r="K10" s="29"/>
      <c r="L10" s="29"/>
      <c r="M10" s="29"/>
      <c r="N10" s="29"/>
      <c r="O10" s="29"/>
      <c r="P10" s="29"/>
      <c r="Q10" s="29"/>
      <c r="R10" s="29"/>
      <c r="S10" s="29"/>
      <c r="T10" s="22"/>
      <c r="W10" t="s">
        <v>6</v>
      </c>
      <c r="X10" s="183">
        <v>9.8084000000000005E-2</v>
      </c>
    </row>
    <row r="11" spans="1:24" ht="15.75" customHeight="1" x14ac:dyDescent="0.25">
      <c r="B11" s="82"/>
      <c r="C11" s="192" t="s">
        <v>28</v>
      </c>
      <c r="D11" s="201" t="s">
        <v>109</v>
      </c>
      <c r="E11" s="202">
        <v>6.0887999999999998E-2</v>
      </c>
      <c r="F11" s="29"/>
      <c r="G11" s="29"/>
      <c r="H11" s="29"/>
      <c r="I11" s="29"/>
      <c r="J11" s="29"/>
      <c r="K11" s="29"/>
      <c r="L11" s="29"/>
      <c r="M11" s="29"/>
      <c r="N11" s="29"/>
      <c r="O11" s="29"/>
      <c r="P11" s="29"/>
      <c r="Q11" s="29"/>
      <c r="R11" s="29"/>
      <c r="S11" s="29"/>
      <c r="T11" s="22"/>
      <c r="W11" t="s">
        <v>114</v>
      </c>
      <c r="X11" s="183">
        <v>8.1791000000000003E-2</v>
      </c>
    </row>
    <row r="12" spans="1:24" ht="15" customHeight="1" x14ac:dyDescent="0.25">
      <c r="B12" s="82"/>
      <c r="C12" s="192" t="s">
        <v>30</v>
      </c>
      <c r="D12" s="201" t="s">
        <v>119</v>
      </c>
      <c r="E12" s="202">
        <v>4.1295999999999999E-2</v>
      </c>
      <c r="F12" s="29"/>
      <c r="G12" s="29"/>
      <c r="H12" s="29"/>
      <c r="I12" s="29"/>
      <c r="J12" s="29"/>
      <c r="K12" s="29"/>
      <c r="L12" s="29"/>
      <c r="M12" s="29"/>
      <c r="N12" s="29"/>
      <c r="O12" s="29"/>
      <c r="P12" s="29"/>
      <c r="Q12" s="29"/>
      <c r="R12" s="29"/>
      <c r="S12" s="29"/>
      <c r="T12" s="22"/>
      <c r="W12" t="s">
        <v>119</v>
      </c>
      <c r="X12" s="183">
        <v>6.3098000000000001E-2</v>
      </c>
    </row>
    <row r="13" spans="1:24" ht="15" customHeight="1" x14ac:dyDescent="0.25">
      <c r="B13" s="82"/>
      <c r="C13" s="192" t="s">
        <v>34</v>
      </c>
      <c r="D13" s="201" t="s">
        <v>23</v>
      </c>
      <c r="E13" s="202">
        <v>4.0218999999999998E-2</v>
      </c>
      <c r="F13" s="29"/>
      <c r="G13" s="29"/>
      <c r="H13" s="29"/>
      <c r="I13" s="29"/>
      <c r="J13" s="29"/>
      <c r="K13" s="29"/>
      <c r="L13" s="29"/>
      <c r="M13" s="29"/>
      <c r="N13" s="29"/>
      <c r="O13" s="29"/>
      <c r="P13" s="29"/>
      <c r="Q13" s="29"/>
      <c r="R13" s="29"/>
      <c r="S13" s="29"/>
      <c r="T13" s="22"/>
      <c r="W13" t="s">
        <v>23</v>
      </c>
      <c r="X13" s="183">
        <v>4.0218999999999998E-2</v>
      </c>
    </row>
    <row r="14" spans="1:24" ht="15" customHeight="1" x14ac:dyDescent="0.25">
      <c r="B14" s="82"/>
      <c r="C14" s="192" t="s">
        <v>33</v>
      </c>
      <c r="D14" s="201" t="s">
        <v>109</v>
      </c>
      <c r="E14" s="202">
        <v>4.0087999999999999E-2</v>
      </c>
      <c r="F14" s="29"/>
      <c r="G14" s="29"/>
      <c r="H14" s="29"/>
      <c r="I14" s="29"/>
      <c r="J14" s="29"/>
      <c r="K14" s="29"/>
      <c r="L14" s="29"/>
      <c r="M14" s="29"/>
      <c r="N14" s="29"/>
      <c r="O14" s="29"/>
      <c r="P14" s="29"/>
      <c r="Q14" s="29"/>
      <c r="R14" s="29"/>
      <c r="S14" s="29"/>
      <c r="T14" s="22"/>
      <c r="W14" t="s">
        <v>113</v>
      </c>
      <c r="X14" s="183">
        <v>3.7144999999999997E-2</v>
      </c>
    </row>
    <row r="15" spans="1:24" ht="15" customHeight="1" x14ac:dyDescent="0.25">
      <c r="B15" s="82"/>
      <c r="C15" s="192" t="s">
        <v>70</v>
      </c>
      <c r="D15" s="201" t="s">
        <v>12</v>
      </c>
      <c r="E15" s="202">
        <v>3.6000999999999998E-2</v>
      </c>
      <c r="F15" s="29"/>
      <c r="G15" s="29"/>
      <c r="H15" s="29"/>
      <c r="I15" s="29"/>
      <c r="J15" s="29"/>
      <c r="K15" s="29"/>
      <c r="L15" s="29"/>
      <c r="M15" s="29"/>
      <c r="N15" s="29"/>
      <c r="O15" s="29"/>
      <c r="P15" s="29"/>
      <c r="Q15" s="29"/>
      <c r="R15" s="29"/>
      <c r="S15" s="29"/>
      <c r="T15" s="22"/>
      <c r="W15" t="s">
        <v>12</v>
      </c>
      <c r="X15" s="183">
        <v>3.6000999999999998E-2</v>
      </c>
    </row>
    <row r="16" spans="1:24" ht="15" customHeight="1" x14ac:dyDescent="0.25">
      <c r="B16" s="82"/>
      <c r="C16" s="192" t="s">
        <v>80</v>
      </c>
      <c r="D16" s="201" t="s">
        <v>3</v>
      </c>
      <c r="E16" s="202">
        <v>3.0211999999999999E-2</v>
      </c>
      <c r="F16" s="29"/>
      <c r="G16" s="29"/>
      <c r="H16" s="29"/>
      <c r="I16" s="29"/>
      <c r="J16" s="29"/>
      <c r="K16" s="29"/>
      <c r="L16" s="29"/>
      <c r="M16" s="29"/>
      <c r="N16" s="29"/>
      <c r="O16" s="29"/>
      <c r="P16" s="29"/>
      <c r="Q16" s="29"/>
      <c r="R16" s="29"/>
      <c r="S16" s="29"/>
      <c r="T16" s="22"/>
      <c r="W16" t="s">
        <v>4</v>
      </c>
      <c r="X16" s="183">
        <v>3.2563000000000002E-2</v>
      </c>
    </row>
    <row r="17" spans="2:24" ht="15" customHeight="1" x14ac:dyDescent="0.25">
      <c r="B17" s="82"/>
      <c r="C17" s="192" t="s">
        <v>36</v>
      </c>
      <c r="D17" s="201" t="s">
        <v>3</v>
      </c>
      <c r="E17" s="202">
        <v>2.9915000000000001E-2</v>
      </c>
      <c r="F17" s="29"/>
      <c r="G17" s="29"/>
      <c r="H17" s="29"/>
      <c r="I17" s="29"/>
      <c r="J17" s="29"/>
      <c r="K17" s="29"/>
      <c r="L17" s="29"/>
      <c r="M17" s="29"/>
      <c r="N17" s="29"/>
      <c r="O17" s="29"/>
      <c r="P17" s="29"/>
      <c r="Q17" s="29"/>
      <c r="R17" s="29"/>
      <c r="S17" s="29"/>
      <c r="T17" s="22"/>
      <c r="W17" t="s">
        <v>10</v>
      </c>
      <c r="X17" s="183">
        <v>3.2155000000000003E-2</v>
      </c>
    </row>
    <row r="18" spans="2:24" ht="15" customHeight="1" x14ac:dyDescent="0.25">
      <c r="B18" s="82"/>
      <c r="C18" s="192" t="s">
        <v>122</v>
      </c>
      <c r="D18" s="201" t="s">
        <v>114</v>
      </c>
      <c r="E18" s="202">
        <v>2.5451999999999999E-2</v>
      </c>
      <c r="F18" s="29"/>
      <c r="G18" s="29"/>
      <c r="H18" s="29"/>
      <c r="I18" s="29"/>
      <c r="J18" s="29"/>
      <c r="K18" s="29"/>
      <c r="L18" s="29"/>
      <c r="M18" s="29"/>
      <c r="N18" s="29"/>
      <c r="O18" s="29"/>
      <c r="P18" s="29"/>
      <c r="Q18" s="29"/>
      <c r="R18" s="29"/>
      <c r="S18" s="29"/>
      <c r="T18" s="22"/>
      <c r="W18" t="s">
        <v>16</v>
      </c>
      <c r="X18" s="183">
        <v>2.5572999999999999E-2</v>
      </c>
    </row>
    <row r="19" spans="2:24" ht="15" customHeight="1" x14ac:dyDescent="0.25">
      <c r="B19" s="82"/>
      <c r="C19" s="192" t="s">
        <v>35</v>
      </c>
      <c r="D19" s="201" t="s">
        <v>3</v>
      </c>
      <c r="E19" s="202">
        <v>2.3997000000000001E-2</v>
      </c>
      <c r="F19" s="29"/>
      <c r="G19" s="29"/>
      <c r="H19" s="29"/>
      <c r="I19" s="29"/>
      <c r="J19" s="29"/>
      <c r="K19" s="29"/>
      <c r="L19" s="29"/>
      <c r="M19" s="29"/>
      <c r="N19" s="29"/>
      <c r="O19" s="29"/>
      <c r="P19" s="29"/>
      <c r="Q19" s="29"/>
      <c r="R19" s="29"/>
      <c r="S19" s="29"/>
      <c r="T19" s="22"/>
      <c r="W19" t="s">
        <v>84</v>
      </c>
      <c r="X19" s="183">
        <v>2.1632999999999999E-2</v>
      </c>
    </row>
    <row r="20" spans="2:24" ht="15" customHeight="1" x14ac:dyDescent="0.25">
      <c r="B20" s="82"/>
      <c r="C20" s="192" t="s">
        <v>37</v>
      </c>
      <c r="D20" s="201" t="s">
        <v>119</v>
      </c>
      <c r="E20" s="202">
        <v>2.1801999999999998E-2</v>
      </c>
      <c r="F20" s="29"/>
      <c r="G20" s="29"/>
      <c r="H20" s="29"/>
      <c r="I20" s="29"/>
      <c r="J20" s="29"/>
      <c r="K20" s="29"/>
      <c r="L20" s="29"/>
      <c r="M20" s="29"/>
      <c r="N20" s="29"/>
      <c r="O20" s="29"/>
      <c r="P20" s="29"/>
      <c r="Q20" s="29"/>
      <c r="R20" s="29"/>
      <c r="S20" s="29"/>
      <c r="T20" s="22"/>
      <c r="W20" t="s">
        <v>11</v>
      </c>
      <c r="X20" s="183">
        <v>2.0282000000000001E-2</v>
      </c>
    </row>
    <row r="21" spans="2:24" ht="15" customHeight="1" x14ac:dyDescent="0.25">
      <c r="B21" s="82"/>
      <c r="C21" s="192" t="s">
        <v>81</v>
      </c>
      <c r="D21" s="201" t="s">
        <v>114</v>
      </c>
      <c r="E21" s="202">
        <v>1.8386E-2</v>
      </c>
      <c r="F21" s="29"/>
      <c r="G21" s="29"/>
      <c r="H21" s="29"/>
      <c r="I21" s="29"/>
      <c r="J21" s="29"/>
      <c r="K21" s="29"/>
      <c r="L21" s="29"/>
      <c r="M21" s="29"/>
      <c r="N21" s="29"/>
      <c r="O21" s="29"/>
      <c r="P21" s="29"/>
      <c r="Q21" s="29"/>
      <c r="R21" s="29"/>
      <c r="S21" s="29"/>
      <c r="T21" s="22"/>
      <c r="W21" t="s">
        <v>110</v>
      </c>
      <c r="X21" s="183">
        <v>1.4069000000000002E-2</v>
      </c>
    </row>
    <row r="22" spans="2:24" ht="15" customHeight="1" x14ac:dyDescent="0.25">
      <c r="B22" s="82"/>
      <c r="C22" s="192" t="s">
        <v>62</v>
      </c>
      <c r="D22" s="201" t="s">
        <v>10</v>
      </c>
      <c r="E22" s="202">
        <v>1.7836000000000001E-2</v>
      </c>
      <c r="F22" s="29"/>
      <c r="G22" s="29"/>
      <c r="H22" s="29"/>
      <c r="I22" s="29"/>
      <c r="J22" s="29"/>
      <c r="K22" s="29"/>
      <c r="L22" s="29"/>
      <c r="M22" s="29"/>
      <c r="N22" s="29"/>
      <c r="O22" s="29"/>
      <c r="P22" s="29"/>
      <c r="Q22" s="29"/>
      <c r="R22" s="29"/>
      <c r="S22" s="29"/>
      <c r="T22" s="22"/>
      <c r="W22" t="s">
        <v>87</v>
      </c>
      <c r="X22" s="183">
        <v>1.3939E-2</v>
      </c>
    </row>
    <row r="23" spans="2:24" ht="15" customHeight="1" x14ac:dyDescent="0.25">
      <c r="B23" s="82"/>
      <c r="C23" s="74"/>
      <c r="D23" s="74"/>
      <c r="E23" s="75"/>
      <c r="F23" s="29"/>
      <c r="G23" s="29"/>
      <c r="H23" s="29"/>
      <c r="I23" s="29"/>
      <c r="J23" s="29"/>
      <c r="K23" s="29"/>
      <c r="L23" s="29"/>
      <c r="M23" s="29"/>
      <c r="N23" s="29"/>
      <c r="O23" s="29"/>
      <c r="P23" s="29"/>
      <c r="Q23" s="29"/>
      <c r="R23" s="29"/>
      <c r="S23" s="29"/>
      <c r="T23" s="22"/>
      <c r="W23" t="s">
        <v>13</v>
      </c>
      <c r="X23" s="183">
        <v>1.1761000000000001E-2</v>
      </c>
    </row>
    <row r="24" spans="2:24" ht="15" customHeight="1" x14ac:dyDescent="0.25">
      <c r="B24" s="82"/>
      <c r="C24" s="76" t="s">
        <v>55</v>
      </c>
      <c r="D24" s="77"/>
      <c r="E24" s="78">
        <f>SUM(E8:E22)</f>
        <v>0.66496700000000009</v>
      </c>
      <c r="F24" s="29"/>
      <c r="G24" s="29"/>
      <c r="H24" s="29"/>
      <c r="I24" s="29"/>
      <c r="J24" s="29"/>
      <c r="K24" s="29"/>
      <c r="L24" s="29"/>
      <c r="M24" s="29"/>
      <c r="N24" s="29"/>
      <c r="O24" s="29"/>
      <c r="P24" s="29"/>
      <c r="Q24" s="29"/>
      <c r="R24" s="29"/>
      <c r="S24" s="29"/>
      <c r="T24" s="22"/>
      <c r="W24" t="s">
        <v>133</v>
      </c>
      <c r="X24" s="183">
        <v>1.0744999999999999E-2</v>
      </c>
    </row>
    <row r="25" spans="2:24" ht="15" customHeight="1" x14ac:dyDescent="0.25">
      <c r="B25" s="82"/>
      <c r="F25" s="29"/>
      <c r="G25" s="29"/>
      <c r="H25" s="29"/>
      <c r="I25" s="29"/>
      <c r="J25" s="29"/>
      <c r="K25" s="29"/>
      <c r="L25" s="29"/>
      <c r="M25" s="29"/>
      <c r="N25" s="29"/>
      <c r="O25" s="29"/>
      <c r="P25" s="29"/>
      <c r="Q25" s="29"/>
      <c r="R25" s="29"/>
      <c r="S25" s="29"/>
      <c r="T25" s="22"/>
      <c r="W25" t="s">
        <v>132</v>
      </c>
      <c r="X25" s="183">
        <v>1.0404E-2</v>
      </c>
    </row>
    <row r="26" spans="2:24" ht="15" customHeight="1" x14ac:dyDescent="0.25">
      <c r="B26" s="82"/>
      <c r="F26" s="29"/>
      <c r="G26" s="29"/>
      <c r="H26" s="29"/>
      <c r="I26" s="29"/>
      <c r="J26" s="29"/>
      <c r="K26" s="29"/>
      <c r="L26" s="29"/>
      <c r="M26" s="29"/>
      <c r="N26" s="29"/>
      <c r="O26" s="29"/>
      <c r="P26" s="29"/>
      <c r="Q26" s="29"/>
      <c r="R26" s="29"/>
      <c r="S26" s="29"/>
      <c r="T26" s="22"/>
      <c r="W26" t="s">
        <v>15</v>
      </c>
      <c r="X26" s="183">
        <v>8.8249999999999995E-3</v>
      </c>
    </row>
    <row r="27" spans="2:24" ht="15" customHeight="1" x14ac:dyDescent="0.25">
      <c r="B27" s="82"/>
      <c r="F27" s="29"/>
      <c r="G27" s="29"/>
      <c r="H27" s="29"/>
      <c r="I27" s="29"/>
      <c r="J27" s="29"/>
      <c r="K27" s="29"/>
      <c r="L27" s="29"/>
      <c r="M27" s="29"/>
      <c r="N27" s="29"/>
      <c r="O27" s="29"/>
      <c r="P27" s="29"/>
      <c r="Q27" s="29"/>
      <c r="R27" s="29"/>
      <c r="S27" s="29"/>
      <c r="T27" s="22"/>
      <c r="W27" t="s">
        <v>134</v>
      </c>
      <c r="X27" s="183">
        <v>7.4949999999999999E-3</v>
      </c>
    </row>
    <row r="28" spans="2:24" ht="15" customHeight="1" x14ac:dyDescent="0.25">
      <c r="B28" s="82"/>
      <c r="F28" s="29"/>
      <c r="G28" s="29"/>
      <c r="H28" s="29"/>
      <c r="I28" s="29"/>
      <c r="J28" s="29"/>
      <c r="K28" s="29"/>
      <c r="L28" s="29"/>
      <c r="M28" s="29"/>
      <c r="N28" s="29"/>
      <c r="O28" s="29"/>
      <c r="P28" s="29"/>
      <c r="Q28" s="29"/>
      <c r="R28" s="29"/>
      <c r="S28" s="29"/>
      <c r="T28" s="22"/>
      <c r="W28" t="s">
        <v>117</v>
      </c>
      <c r="X28" s="183">
        <v>6.8270000000000006E-3</v>
      </c>
    </row>
    <row r="29" spans="2:24" ht="15" customHeight="1" x14ac:dyDescent="0.25">
      <c r="B29" s="82"/>
      <c r="F29" s="29"/>
      <c r="G29" s="29"/>
      <c r="H29" s="29"/>
      <c r="I29" s="29"/>
      <c r="J29" s="29"/>
      <c r="K29" s="29"/>
      <c r="L29" s="29"/>
      <c r="M29" s="29"/>
      <c r="N29" s="29"/>
      <c r="O29" s="29"/>
      <c r="P29" s="29"/>
      <c r="Q29" s="29"/>
      <c r="R29" s="29"/>
      <c r="S29" s="29"/>
      <c r="T29" s="22"/>
      <c r="W29" t="s">
        <v>78</v>
      </c>
      <c r="X29" s="183">
        <v>6.0049999999999999E-3</v>
      </c>
    </row>
    <row r="30" spans="2:24" ht="15" customHeight="1" x14ac:dyDescent="0.25">
      <c r="B30" s="82"/>
      <c r="F30" s="29"/>
      <c r="G30" s="29"/>
      <c r="H30" s="29"/>
      <c r="I30" s="29"/>
      <c r="J30" s="29"/>
      <c r="K30" s="29"/>
      <c r="L30" s="29"/>
      <c r="M30" s="29"/>
      <c r="N30" s="29"/>
      <c r="O30" s="29"/>
      <c r="P30" s="29"/>
      <c r="Q30" s="29"/>
      <c r="R30" s="29"/>
      <c r="S30" s="29"/>
      <c r="T30" s="22"/>
      <c r="W30" s="59"/>
      <c r="X30" s="60"/>
    </row>
    <row r="31" spans="2:24" ht="15" customHeight="1" x14ac:dyDescent="0.25">
      <c r="B31" s="82"/>
      <c r="F31" s="29"/>
      <c r="G31" s="29"/>
      <c r="H31" s="29"/>
      <c r="I31" s="29"/>
      <c r="J31" s="29"/>
      <c r="K31" s="29"/>
      <c r="L31" s="29"/>
      <c r="M31" s="29"/>
      <c r="N31" s="29"/>
      <c r="O31" s="29"/>
      <c r="P31" s="29"/>
      <c r="Q31" s="29"/>
      <c r="R31" s="29"/>
      <c r="S31" s="29"/>
      <c r="T31" s="22"/>
      <c r="W31" s="59"/>
      <c r="X31" s="60"/>
    </row>
    <row r="32" spans="2:24" ht="15" customHeight="1" x14ac:dyDescent="0.25">
      <c r="B32" s="82"/>
      <c r="F32" s="29"/>
      <c r="G32" s="29"/>
      <c r="H32" s="29"/>
      <c r="I32" s="29"/>
      <c r="J32" s="29"/>
      <c r="K32" s="29"/>
      <c r="L32" s="29"/>
      <c r="M32" s="29"/>
      <c r="N32" s="29"/>
      <c r="O32" s="29"/>
      <c r="P32" s="29"/>
      <c r="Q32" s="29"/>
      <c r="R32" s="29"/>
      <c r="S32" s="29"/>
      <c r="T32" s="22"/>
      <c r="W32" s="59"/>
      <c r="X32" s="60"/>
    </row>
    <row r="33" spans="2:24" ht="15" customHeight="1" x14ac:dyDescent="0.25">
      <c r="B33" s="82"/>
      <c r="F33" s="29"/>
      <c r="G33" s="29"/>
      <c r="H33" s="29"/>
      <c r="I33" s="29"/>
      <c r="J33" s="29"/>
      <c r="K33" s="29"/>
      <c r="L33" s="29"/>
      <c r="M33" s="29"/>
      <c r="N33" s="29"/>
      <c r="O33" s="29"/>
      <c r="P33" s="29"/>
      <c r="Q33" s="29"/>
      <c r="R33" s="29"/>
      <c r="S33" s="29"/>
      <c r="T33" s="22"/>
      <c r="W33" s="59"/>
      <c r="X33" s="60"/>
    </row>
    <row r="34" spans="2:24" ht="15" customHeight="1" x14ac:dyDescent="0.25">
      <c r="B34" s="82"/>
      <c r="F34" s="29"/>
      <c r="G34" s="29"/>
      <c r="H34" s="29"/>
      <c r="I34" s="29"/>
      <c r="J34" s="29"/>
      <c r="K34" s="29"/>
      <c r="L34" s="29"/>
      <c r="M34" s="29"/>
      <c r="N34" s="29"/>
      <c r="O34" s="29"/>
      <c r="P34" s="29"/>
      <c r="Q34" s="29"/>
      <c r="R34" s="29"/>
      <c r="S34" s="29"/>
      <c r="T34" s="22"/>
      <c r="W34" s="39"/>
      <c r="X34" s="39"/>
    </row>
    <row r="35" spans="2:24" ht="15" customHeight="1" x14ac:dyDescent="0.25">
      <c r="B35" s="82"/>
      <c r="F35" s="29"/>
      <c r="G35" s="29"/>
      <c r="H35" s="29"/>
      <c r="I35" s="29"/>
      <c r="J35" s="29"/>
      <c r="K35" s="29"/>
      <c r="L35" s="29"/>
      <c r="M35" s="29"/>
      <c r="N35" s="29"/>
      <c r="O35" s="29"/>
      <c r="P35" s="29"/>
      <c r="Q35" s="29"/>
      <c r="R35" s="29"/>
      <c r="S35" s="29"/>
      <c r="T35" s="22"/>
      <c r="W35" s="39"/>
      <c r="X35" s="39"/>
    </row>
    <row r="36" spans="2:24" ht="15" customHeight="1" x14ac:dyDescent="0.25">
      <c r="B36" s="82"/>
      <c r="F36" s="29"/>
      <c r="G36" s="29"/>
      <c r="H36" s="29"/>
      <c r="I36" s="29"/>
      <c r="J36" s="29"/>
      <c r="K36" s="29"/>
      <c r="L36" s="29"/>
      <c r="M36" s="29"/>
      <c r="N36" s="29"/>
      <c r="O36" s="29"/>
      <c r="P36" s="29"/>
      <c r="Q36" s="29"/>
      <c r="R36" s="29"/>
      <c r="S36" s="29"/>
      <c r="T36" s="22"/>
      <c r="W36" s="39"/>
      <c r="X36" s="39"/>
    </row>
    <row r="37" spans="2:24" ht="15" customHeight="1" thickBot="1" x14ac:dyDescent="0.3">
      <c r="B37" s="83"/>
      <c r="C37" s="84"/>
      <c r="D37" s="84"/>
      <c r="E37" s="84"/>
      <c r="F37" s="84"/>
      <c r="G37" s="84"/>
      <c r="H37" s="84"/>
      <c r="I37" s="84"/>
      <c r="J37" s="84"/>
      <c r="K37" s="84"/>
      <c r="L37" s="84"/>
      <c r="M37" s="84"/>
      <c r="N37" s="84"/>
      <c r="O37" s="84"/>
      <c r="P37" s="84"/>
      <c r="Q37" s="84"/>
      <c r="R37" s="84"/>
      <c r="S37" s="84"/>
      <c r="T37" s="23"/>
    </row>
    <row r="38" spans="2:24" ht="15" customHeight="1" thickBot="1" x14ac:dyDescent="0.3"/>
    <row r="39" spans="2:24" ht="15" customHeight="1" x14ac:dyDescent="0.25">
      <c r="B39" s="265" t="s">
        <v>186</v>
      </c>
      <c r="C39" s="266"/>
      <c r="D39" s="266"/>
      <c r="E39" s="266"/>
      <c r="F39" s="266"/>
      <c r="G39" s="266"/>
      <c r="H39" s="266"/>
      <c r="I39" s="266"/>
      <c r="J39" s="266"/>
      <c r="K39" s="266"/>
      <c r="L39" s="266"/>
      <c r="M39" s="266"/>
      <c r="N39" s="266"/>
      <c r="O39" s="266"/>
      <c r="P39" s="266"/>
      <c r="Q39" s="266"/>
      <c r="R39" s="267"/>
    </row>
    <row r="40" spans="2:24" ht="15" customHeight="1" x14ac:dyDescent="0.25">
      <c r="B40" s="268"/>
      <c r="C40" s="269"/>
      <c r="D40" s="269"/>
      <c r="E40" s="269"/>
      <c r="F40" s="269"/>
      <c r="G40" s="269"/>
      <c r="H40" s="269"/>
      <c r="I40" s="269"/>
      <c r="J40" s="269"/>
      <c r="K40" s="269"/>
      <c r="L40" s="269"/>
      <c r="M40" s="269"/>
      <c r="N40" s="269"/>
      <c r="O40" s="269"/>
      <c r="P40" s="269"/>
      <c r="Q40" s="269"/>
      <c r="R40" s="270"/>
    </row>
    <row r="41" spans="2:24" ht="15" customHeight="1" x14ac:dyDescent="0.25">
      <c r="B41" s="268"/>
      <c r="C41" s="269"/>
      <c r="D41" s="269"/>
      <c r="E41" s="269"/>
      <c r="F41" s="269"/>
      <c r="G41" s="269"/>
      <c r="H41" s="269"/>
      <c r="I41" s="269"/>
      <c r="J41" s="269"/>
      <c r="K41" s="269"/>
      <c r="L41" s="269"/>
      <c r="M41" s="269"/>
      <c r="N41" s="269"/>
      <c r="O41" s="269"/>
      <c r="P41" s="269"/>
      <c r="Q41" s="269"/>
      <c r="R41" s="270"/>
    </row>
    <row r="42" spans="2:24" ht="15" customHeight="1" x14ac:dyDescent="0.25">
      <c r="B42" s="268"/>
      <c r="C42" s="269"/>
      <c r="D42" s="269"/>
      <c r="E42" s="269"/>
      <c r="F42" s="269"/>
      <c r="G42" s="269"/>
      <c r="H42" s="269"/>
      <c r="I42" s="269"/>
      <c r="J42" s="269"/>
      <c r="K42" s="269"/>
      <c r="L42" s="269"/>
      <c r="M42" s="269"/>
      <c r="N42" s="269"/>
      <c r="O42" s="269"/>
      <c r="P42" s="269"/>
      <c r="Q42" s="269"/>
      <c r="R42" s="270"/>
    </row>
    <row r="43" spans="2:24" ht="15" customHeight="1" x14ac:dyDescent="0.25">
      <c r="B43" s="268"/>
      <c r="C43" s="269"/>
      <c r="D43" s="269"/>
      <c r="E43" s="269"/>
      <c r="F43" s="269"/>
      <c r="G43" s="269"/>
      <c r="H43" s="269"/>
      <c r="I43" s="269"/>
      <c r="J43" s="269"/>
      <c r="K43" s="269"/>
      <c r="L43" s="269"/>
      <c r="M43" s="269"/>
      <c r="N43" s="269"/>
      <c r="O43" s="269"/>
      <c r="P43" s="269"/>
      <c r="Q43" s="269"/>
      <c r="R43" s="270"/>
    </row>
    <row r="44" spans="2:24" ht="15" customHeight="1" x14ac:dyDescent="0.25">
      <c r="B44" s="268"/>
      <c r="C44" s="269"/>
      <c r="D44" s="269"/>
      <c r="E44" s="269"/>
      <c r="F44" s="269"/>
      <c r="G44" s="269"/>
      <c r="H44" s="269"/>
      <c r="I44" s="269"/>
      <c r="J44" s="269"/>
      <c r="K44" s="269"/>
      <c r="L44" s="269"/>
      <c r="M44" s="269"/>
      <c r="N44" s="269"/>
      <c r="O44" s="269"/>
      <c r="P44" s="269"/>
      <c r="Q44" s="269"/>
      <c r="R44" s="270"/>
    </row>
    <row r="45" spans="2:24" ht="27.75" customHeight="1" thickBot="1" x14ac:dyDescent="0.3">
      <c r="B45" s="271"/>
      <c r="C45" s="272"/>
      <c r="D45" s="272"/>
      <c r="E45" s="272"/>
      <c r="F45" s="272"/>
      <c r="G45" s="272"/>
      <c r="H45" s="272"/>
      <c r="I45" s="272"/>
      <c r="J45" s="272"/>
      <c r="K45" s="272"/>
      <c r="L45" s="272"/>
      <c r="M45" s="272"/>
      <c r="N45" s="272"/>
      <c r="O45" s="272"/>
      <c r="P45" s="272"/>
      <c r="Q45" s="272"/>
      <c r="R45" s="273"/>
    </row>
    <row r="46" spans="2:24" ht="15" customHeight="1" x14ac:dyDescent="0.25"/>
    <row r="47" spans="2:24" ht="15" customHeight="1" x14ac:dyDescent="0.25"/>
    <row r="48" spans="2:2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sortState ref="W8:X28">
    <sortCondition descending="1" ref="X8:X28"/>
  </sortState>
  <mergeCells count="3">
    <mergeCell ref="C3:S3"/>
    <mergeCell ref="D5:E5"/>
    <mergeCell ref="B39:R4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737B-54F2-414D-9013-0ED6F8A6B08B}">
  <dimension ref="A1:X67"/>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5.75" customHeight="1" thickBot="1" x14ac:dyDescent="0.3">
      <c r="A1" s="3"/>
    </row>
    <row r="2" spans="1:24" ht="15" customHeight="1" x14ac:dyDescent="0.25">
      <c r="B2" s="66"/>
      <c r="C2" s="28"/>
      <c r="D2" s="28"/>
      <c r="E2" s="28"/>
      <c r="F2" s="28"/>
      <c r="G2" s="28"/>
      <c r="H2" s="28"/>
      <c r="I2" s="28"/>
      <c r="J2" s="28"/>
      <c r="K2" s="28"/>
      <c r="L2" s="28"/>
      <c r="M2" s="28"/>
      <c r="N2" s="28"/>
      <c r="O2" s="28"/>
      <c r="P2" s="28"/>
      <c r="Q2" s="28"/>
      <c r="R2" s="28"/>
      <c r="S2" s="28"/>
      <c r="T2" s="28"/>
      <c r="U2" s="24"/>
    </row>
    <row r="3" spans="1:24" ht="20.25" customHeight="1" x14ac:dyDescent="0.25">
      <c r="B3" s="67"/>
      <c r="C3" s="274" t="s">
        <v>157</v>
      </c>
      <c r="D3" s="275"/>
      <c r="E3" s="275"/>
      <c r="F3" s="275"/>
      <c r="G3" s="275"/>
      <c r="H3" s="275"/>
      <c r="I3" s="275"/>
      <c r="J3" s="275"/>
      <c r="K3" s="275"/>
      <c r="L3" s="275"/>
      <c r="M3" s="275"/>
      <c r="N3" s="275"/>
      <c r="O3" s="275"/>
      <c r="P3" s="275"/>
      <c r="Q3" s="275"/>
      <c r="R3" s="275"/>
      <c r="S3" s="275"/>
      <c r="T3" s="68"/>
      <c r="U3" s="69"/>
    </row>
    <row r="4" spans="1:24" ht="15.75" customHeight="1" x14ac:dyDescent="0.25">
      <c r="B4" s="67"/>
      <c r="C4" s="70" t="s">
        <v>367</v>
      </c>
      <c r="D4" s="29"/>
      <c r="E4" s="29"/>
      <c r="F4" s="29"/>
      <c r="G4" s="29"/>
      <c r="H4" s="29"/>
      <c r="I4" s="29"/>
      <c r="J4" s="29"/>
      <c r="K4" s="29"/>
      <c r="L4" s="29"/>
      <c r="M4" s="29"/>
      <c r="N4" s="29"/>
      <c r="O4" s="29"/>
      <c r="P4" s="29"/>
      <c r="Q4" s="29"/>
      <c r="R4" s="29"/>
      <c r="S4" s="29"/>
      <c r="T4" s="29"/>
      <c r="U4" s="25"/>
    </row>
    <row r="5" spans="1:24" ht="18" customHeight="1" x14ac:dyDescent="0.25">
      <c r="B5" s="67"/>
      <c r="C5" s="228" t="s">
        <v>366</v>
      </c>
      <c r="D5" s="278" t="s">
        <v>368</v>
      </c>
      <c r="E5" s="278"/>
      <c r="F5" s="29"/>
      <c r="G5" s="29"/>
      <c r="H5" s="29"/>
      <c r="I5" s="29"/>
      <c r="J5" s="29"/>
      <c r="K5" s="29"/>
      <c r="L5" s="29"/>
      <c r="M5" s="29"/>
      <c r="N5" s="29"/>
      <c r="O5" s="29"/>
      <c r="P5" s="29"/>
      <c r="Q5" s="29"/>
      <c r="R5" s="29"/>
      <c r="S5" s="29"/>
      <c r="T5" s="29"/>
      <c r="U5" s="25"/>
    </row>
    <row r="6" spans="1:24" ht="15" customHeight="1" x14ac:dyDescent="0.25">
      <c r="B6" s="67"/>
      <c r="C6" s="29"/>
      <c r="D6" s="29"/>
      <c r="E6" s="29"/>
      <c r="F6" s="29"/>
      <c r="G6" s="29"/>
      <c r="H6" s="29"/>
      <c r="I6" s="29"/>
      <c r="J6" s="29"/>
      <c r="K6" s="29"/>
      <c r="L6" s="29"/>
      <c r="M6" s="29"/>
      <c r="N6" s="29"/>
      <c r="O6" s="29"/>
      <c r="P6" s="29"/>
      <c r="Q6" s="29"/>
      <c r="R6" s="29"/>
      <c r="S6" s="29"/>
      <c r="T6" s="29"/>
      <c r="U6" s="25"/>
    </row>
    <row r="7" spans="1:24" ht="32.25" customHeight="1"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 customHeight="1" x14ac:dyDescent="0.25">
      <c r="B8" s="67"/>
      <c r="C8" s="210" t="s">
        <v>29</v>
      </c>
      <c r="D8" s="211" t="s">
        <v>3</v>
      </c>
      <c r="E8" s="200">
        <v>8.7894E-2</v>
      </c>
      <c r="F8" s="29"/>
      <c r="G8" s="29"/>
      <c r="H8" s="29"/>
      <c r="I8" s="29"/>
      <c r="J8" s="29"/>
      <c r="K8" s="29"/>
      <c r="L8" s="29"/>
      <c r="M8" s="29"/>
      <c r="N8" s="29"/>
      <c r="O8" s="29"/>
      <c r="P8" s="29"/>
      <c r="Q8" s="29"/>
      <c r="R8" s="29"/>
      <c r="S8" s="29"/>
      <c r="T8" s="29"/>
      <c r="U8" s="25"/>
      <c r="W8" s="182" t="s">
        <v>3</v>
      </c>
      <c r="X8" s="183">
        <v>0.23263899999999998</v>
      </c>
    </row>
    <row r="9" spans="1:24" ht="15.75" customHeight="1" x14ac:dyDescent="0.25">
      <c r="B9" s="67"/>
      <c r="C9" s="212" t="s">
        <v>31</v>
      </c>
      <c r="D9" s="213" t="s">
        <v>6</v>
      </c>
      <c r="E9" s="202">
        <v>7.3564000000000004E-2</v>
      </c>
      <c r="F9" s="29"/>
      <c r="G9" s="29"/>
      <c r="H9" s="29"/>
      <c r="I9" s="29"/>
      <c r="J9" s="29"/>
      <c r="K9" s="29"/>
      <c r="L9" s="29"/>
      <c r="M9" s="29"/>
      <c r="N9" s="29"/>
      <c r="O9" s="29"/>
      <c r="P9" s="29"/>
      <c r="Q9" s="29"/>
      <c r="R9" s="29"/>
      <c r="S9" s="29"/>
      <c r="T9" s="29"/>
      <c r="U9" s="25"/>
      <c r="W9" s="182" t="s">
        <v>109</v>
      </c>
      <c r="X9" s="183">
        <v>0.10959199999999999</v>
      </c>
    </row>
    <row r="10" spans="1:24" ht="15.75" x14ac:dyDescent="0.25">
      <c r="B10" s="67"/>
      <c r="C10" s="212" t="s">
        <v>32</v>
      </c>
      <c r="D10" s="213" t="s">
        <v>3</v>
      </c>
      <c r="E10" s="202">
        <v>6.1737E-2</v>
      </c>
      <c r="F10" s="29"/>
      <c r="G10" s="29"/>
      <c r="H10" s="29"/>
      <c r="I10" s="29"/>
      <c r="J10" s="29"/>
      <c r="K10" s="29"/>
      <c r="L10" s="29"/>
      <c r="M10" s="29"/>
      <c r="N10" s="29"/>
      <c r="O10" s="29"/>
      <c r="P10" s="29"/>
      <c r="Q10" s="29"/>
      <c r="R10" s="29"/>
      <c r="S10" s="29"/>
      <c r="T10" s="29"/>
      <c r="U10" s="25"/>
      <c r="W10" s="182" t="s">
        <v>6</v>
      </c>
      <c r="X10" s="183">
        <v>8.3317000000000002E-2</v>
      </c>
    </row>
    <row r="11" spans="1:24" ht="15.75" customHeight="1" x14ac:dyDescent="0.25">
      <c r="B11" s="67"/>
      <c r="C11" s="212" t="s">
        <v>28</v>
      </c>
      <c r="D11" s="213" t="s">
        <v>109</v>
      </c>
      <c r="E11" s="202">
        <v>4.8738999999999998E-2</v>
      </c>
      <c r="F11" s="29"/>
      <c r="G11" s="29"/>
      <c r="H11" s="29"/>
      <c r="I11" s="29"/>
      <c r="J11" s="29"/>
      <c r="K11" s="29"/>
      <c r="L11" s="29"/>
      <c r="M11" s="29"/>
      <c r="N11" s="29"/>
      <c r="O11" s="29"/>
      <c r="P11" s="29"/>
      <c r="Q11" s="29"/>
      <c r="R11" s="29"/>
      <c r="S11" s="29"/>
      <c r="T11" s="29"/>
      <c r="U11" s="25"/>
      <c r="W11" s="182" t="s">
        <v>114</v>
      </c>
      <c r="X11" s="183">
        <v>7.2386999999999993E-2</v>
      </c>
    </row>
    <row r="12" spans="1:24" ht="15" customHeight="1" x14ac:dyDescent="0.25">
      <c r="B12" s="67"/>
      <c r="C12" s="212" t="s">
        <v>30</v>
      </c>
      <c r="D12" s="213" t="s">
        <v>119</v>
      </c>
      <c r="E12" s="202">
        <v>3.3052999999999999E-2</v>
      </c>
      <c r="F12" s="29"/>
      <c r="G12" s="29"/>
      <c r="H12" s="29"/>
      <c r="I12" s="29"/>
      <c r="J12" s="29"/>
      <c r="K12" s="29"/>
      <c r="L12" s="29"/>
      <c r="M12" s="29"/>
      <c r="N12" s="29"/>
      <c r="O12" s="29"/>
      <c r="P12" s="29"/>
      <c r="Q12" s="29"/>
      <c r="R12" s="29"/>
      <c r="S12" s="29"/>
      <c r="T12" s="29"/>
      <c r="U12" s="25"/>
      <c r="W12" s="182" t="s">
        <v>4</v>
      </c>
      <c r="X12" s="183">
        <v>5.6915E-2</v>
      </c>
    </row>
    <row r="13" spans="1:24" ht="15" customHeight="1" x14ac:dyDescent="0.25">
      <c r="B13" s="67"/>
      <c r="C13" s="212" t="s">
        <v>34</v>
      </c>
      <c r="D13" s="213" t="s">
        <v>23</v>
      </c>
      <c r="E13" s="202">
        <v>3.2199999999999999E-2</v>
      </c>
      <c r="F13" s="29"/>
      <c r="G13" s="29"/>
      <c r="H13" s="29"/>
      <c r="I13" s="29"/>
      <c r="J13" s="29"/>
      <c r="K13" s="29"/>
      <c r="L13" s="29"/>
      <c r="M13" s="29"/>
      <c r="N13" s="29"/>
      <c r="O13" s="29"/>
      <c r="P13" s="29"/>
      <c r="Q13" s="29"/>
      <c r="R13" s="29"/>
      <c r="S13" s="29"/>
      <c r="T13" s="29"/>
      <c r="U13" s="25"/>
      <c r="W13" s="182" t="s">
        <v>119</v>
      </c>
      <c r="X13" s="183">
        <v>5.0500000000000003E-2</v>
      </c>
    </row>
    <row r="14" spans="1:24" ht="15" customHeight="1" x14ac:dyDescent="0.25">
      <c r="B14" s="67"/>
      <c r="C14" s="212" t="s">
        <v>33</v>
      </c>
      <c r="D14" s="213" t="s">
        <v>109</v>
      </c>
      <c r="E14" s="202">
        <v>3.2086999999999997E-2</v>
      </c>
      <c r="F14" s="29"/>
      <c r="G14" s="29"/>
      <c r="H14" s="29"/>
      <c r="I14" s="29"/>
      <c r="J14" s="29"/>
      <c r="K14" s="29"/>
      <c r="L14" s="29"/>
      <c r="M14" s="29"/>
      <c r="N14" s="29"/>
      <c r="O14" s="29"/>
      <c r="P14" s="29"/>
      <c r="Q14" s="29"/>
      <c r="R14" s="29"/>
      <c r="S14" s="29"/>
      <c r="T14" s="29"/>
      <c r="U14" s="25"/>
      <c r="W14" s="182" t="s">
        <v>10</v>
      </c>
      <c r="X14" s="183">
        <v>4.3528999999999998E-2</v>
      </c>
    </row>
    <row r="15" spans="1:24" ht="15" customHeight="1" x14ac:dyDescent="0.25">
      <c r="B15" s="67"/>
      <c r="C15" s="212" t="s">
        <v>70</v>
      </c>
      <c r="D15" s="213" t="s">
        <v>12</v>
      </c>
      <c r="E15" s="202">
        <v>2.8812999999999998E-2</v>
      </c>
      <c r="F15" s="29"/>
      <c r="G15" s="29"/>
      <c r="H15" s="29"/>
      <c r="I15" s="29"/>
      <c r="J15" s="29"/>
      <c r="K15" s="29"/>
      <c r="L15" s="29"/>
      <c r="M15" s="29"/>
      <c r="N15" s="29"/>
      <c r="O15" s="29"/>
      <c r="P15" s="29"/>
      <c r="Q15" s="29"/>
      <c r="R15" s="29"/>
      <c r="S15" s="29"/>
      <c r="T15" s="29"/>
      <c r="U15" s="25"/>
      <c r="W15" s="182" t="s">
        <v>113</v>
      </c>
      <c r="X15" s="183">
        <v>3.4091999999999997E-2</v>
      </c>
    </row>
    <row r="16" spans="1:24" ht="15" customHeight="1" x14ac:dyDescent="0.25">
      <c r="B16" s="67"/>
      <c r="C16" s="212" t="s">
        <v>80</v>
      </c>
      <c r="D16" s="213" t="s">
        <v>3</v>
      </c>
      <c r="E16" s="202">
        <v>2.418E-2</v>
      </c>
      <c r="F16" s="29"/>
      <c r="G16" s="29"/>
      <c r="H16" s="29"/>
      <c r="I16" s="29"/>
      <c r="J16" s="29"/>
      <c r="K16" s="29"/>
      <c r="L16" s="29"/>
      <c r="M16" s="29"/>
      <c r="N16" s="29"/>
      <c r="O16" s="29"/>
      <c r="P16" s="29"/>
      <c r="Q16" s="29"/>
      <c r="R16" s="29"/>
      <c r="S16" s="29"/>
      <c r="T16" s="29"/>
      <c r="U16" s="25"/>
      <c r="W16" s="182" t="s">
        <v>23</v>
      </c>
      <c r="X16" s="183">
        <v>3.2199999999999999E-2</v>
      </c>
    </row>
    <row r="17" spans="2:24" ht="15" customHeight="1" x14ac:dyDescent="0.25">
      <c r="B17" s="67"/>
      <c r="C17" s="212" t="s">
        <v>36</v>
      </c>
      <c r="D17" s="213" t="s">
        <v>3</v>
      </c>
      <c r="E17" s="202">
        <v>2.3942000000000001E-2</v>
      </c>
      <c r="F17" s="29"/>
      <c r="G17" s="29"/>
      <c r="H17" s="29"/>
      <c r="I17" s="29"/>
      <c r="J17" s="29"/>
      <c r="K17" s="29"/>
      <c r="L17" s="29"/>
      <c r="M17" s="29"/>
      <c r="N17" s="29"/>
      <c r="O17" s="29"/>
      <c r="P17" s="29"/>
      <c r="Q17" s="29"/>
      <c r="R17" s="29"/>
      <c r="S17" s="29"/>
      <c r="T17" s="29"/>
      <c r="U17" s="25"/>
      <c r="W17" s="182" t="s">
        <v>12</v>
      </c>
      <c r="X17" s="183">
        <v>2.8812999999999998E-2</v>
      </c>
    </row>
    <row r="18" spans="2:24" ht="15" customHeight="1" x14ac:dyDescent="0.25">
      <c r="B18" s="67"/>
      <c r="C18" s="212" t="s">
        <v>122</v>
      </c>
      <c r="D18" s="213" t="s">
        <v>114</v>
      </c>
      <c r="E18" s="202">
        <v>2.0369999999999999E-2</v>
      </c>
      <c r="F18" s="29"/>
      <c r="G18" s="29"/>
      <c r="H18" s="29"/>
      <c r="I18" s="29"/>
      <c r="J18" s="29"/>
      <c r="K18" s="29"/>
      <c r="L18" s="29"/>
      <c r="M18" s="29"/>
      <c r="N18" s="29"/>
      <c r="O18" s="29"/>
      <c r="P18" s="29"/>
      <c r="Q18" s="29"/>
      <c r="R18" s="29"/>
      <c r="S18" s="29"/>
      <c r="T18" s="29"/>
      <c r="U18" s="25"/>
      <c r="W18" s="182" t="s">
        <v>26</v>
      </c>
      <c r="X18" s="183">
        <v>2.8811999999999997E-2</v>
      </c>
    </row>
    <row r="19" spans="2:24" ht="15" customHeight="1" x14ac:dyDescent="0.25">
      <c r="B19" s="67"/>
      <c r="C19" s="212" t="s">
        <v>35</v>
      </c>
      <c r="D19" s="213" t="s">
        <v>3</v>
      </c>
      <c r="E19" s="202">
        <v>1.9209E-2</v>
      </c>
      <c r="F19" s="29"/>
      <c r="G19" s="29"/>
      <c r="H19" s="29"/>
      <c r="I19" s="29"/>
      <c r="J19" s="29"/>
      <c r="K19" s="29"/>
      <c r="L19" s="29"/>
      <c r="M19" s="29"/>
      <c r="N19" s="29"/>
      <c r="O19" s="29"/>
      <c r="P19" s="29"/>
      <c r="Q19" s="29"/>
      <c r="R19" s="29"/>
      <c r="S19" s="29"/>
      <c r="T19" s="29"/>
      <c r="U19" s="25"/>
      <c r="W19" s="182" t="s">
        <v>16</v>
      </c>
      <c r="X19" s="183">
        <v>2.4938999999999999E-2</v>
      </c>
    </row>
    <row r="20" spans="2:24" ht="15" customHeight="1" x14ac:dyDescent="0.25">
      <c r="B20" s="67"/>
      <c r="C20" s="212" t="s">
        <v>37</v>
      </c>
      <c r="D20" s="213" t="s">
        <v>119</v>
      </c>
      <c r="E20" s="202">
        <v>1.7447000000000001E-2</v>
      </c>
      <c r="F20" s="29"/>
      <c r="G20" s="29"/>
      <c r="H20" s="29"/>
      <c r="I20" s="29"/>
      <c r="J20" s="29"/>
      <c r="K20" s="29"/>
      <c r="L20" s="29"/>
      <c r="M20" s="29"/>
      <c r="N20" s="29"/>
      <c r="O20" s="29"/>
      <c r="P20" s="29"/>
      <c r="Q20" s="29"/>
      <c r="R20" s="29"/>
      <c r="S20" s="29"/>
      <c r="T20" s="29"/>
      <c r="U20" s="25"/>
      <c r="W20" s="182" t="s">
        <v>84</v>
      </c>
      <c r="X20" s="183">
        <v>2.2883000000000001E-2</v>
      </c>
    </row>
    <row r="21" spans="2:24" ht="15" customHeight="1" x14ac:dyDescent="0.25">
      <c r="B21" s="67"/>
      <c r="C21" s="212" t="s">
        <v>81</v>
      </c>
      <c r="D21" s="213" t="s">
        <v>114</v>
      </c>
      <c r="E21" s="202">
        <v>1.7395999999999998E-2</v>
      </c>
      <c r="F21" s="29"/>
      <c r="G21" s="29"/>
      <c r="H21" s="29"/>
      <c r="I21" s="29"/>
      <c r="J21" s="29"/>
      <c r="K21" s="29"/>
      <c r="L21" s="29"/>
      <c r="M21" s="29"/>
      <c r="N21" s="29"/>
      <c r="O21" s="29"/>
      <c r="P21" s="29"/>
      <c r="Q21" s="29"/>
      <c r="R21" s="29"/>
      <c r="S21" s="29"/>
      <c r="T21" s="29"/>
      <c r="U21" s="25"/>
      <c r="W21" s="182" t="s">
        <v>11</v>
      </c>
      <c r="X21" s="183">
        <v>1.8853000000000002E-2</v>
      </c>
    </row>
    <row r="22" spans="2:24" ht="15" customHeight="1" x14ac:dyDescent="0.25">
      <c r="B22" s="67"/>
      <c r="C22" s="212" t="s">
        <v>62</v>
      </c>
      <c r="D22" s="213" t="s">
        <v>10</v>
      </c>
      <c r="E22" s="202">
        <v>1.4274999999999999E-2</v>
      </c>
      <c r="F22" s="29"/>
      <c r="G22" s="29"/>
      <c r="H22" s="29"/>
      <c r="I22" s="29"/>
      <c r="J22" s="29"/>
      <c r="K22" s="29"/>
      <c r="L22" s="29"/>
      <c r="M22" s="29"/>
      <c r="N22" s="29"/>
      <c r="O22" s="29"/>
      <c r="P22" s="29"/>
      <c r="Q22" s="29"/>
      <c r="R22" s="29"/>
      <c r="S22" s="29"/>
      <c r="T22" s="29"/>
      <c r="U22" s="25"/>
      <c r="W22" s="182" t="s">
        <v>87</v>
      </c>
      <c r="X22" s="183">
        <v>1.8339999999999999E-2</v>
      </c>
    </row>
    <row r="23" spans="2:24" ht="15" customHeight="1" x14ac:dyDescent="0.25">
      <c r="B23" s="67"/>
      <c r="C23" s="74"/>
      <c r="D23" s="74"/>
      <c r="E23" s="75"/>
      <c r="F23" s="29"/>
      <c r="G23" s="29"/>
      <c r="H23" s="29"/>
      <c r="I23" s="29"/>
      <c r="J23" s="29"/>
      <c r="K23" s="29"/>
      <c r="L23" s="29"/>
      <c r="M23" s="29"/>
      <c r="N23" s="29"/>
      <c r="O23" s="29"/>
      <c r="P23" s="29"/>
      <c r="Q23" s="29"/>
      <c r="R23" s="29"/>
      <c r="S23" s="29"/>
      <c r="T23" s="29"/>
      <c r="U23" s="25"/>
      <c r="W23" s="182" t="s">
        <v>88</v>
      </c>
      <c r="X23" s="183">
        <v>1.4834E-2</v>
      </c>
    </row>
    <row r="24" spans="2:24" ht="15" customHeight="1" x14ac:dyDescent="0.25">
      <c r="B24" s="67"/>
      <c r="C24" s="76" t="s">
        <v>55</v>
      </c>
      <c r="D24" s="77"/>
      <c r="E24" s="78">
        <f>SUM(E8:E22)</f>
        <v>0.53490599999999988</v>
      </c>
      <c r="F24" s="29"/>
      <c r="G24" s="29"/>
      <c r="H24" s="29"/>
      <c r="I24" s="29"/>
      <c r="J24" s="29"/>
      <c r="K24" s="29"/>
      <c r="L24" s="29"/>
      <c r="M24" s="29"/>
      <c r="N24" s="29"/>
      <c r="O24" s="29"/>
      <c r="P24" s="29"/>
      <c r="Q24" s="29"/>
      <c r="R24" s="29"/>
      <c r="S24" s="29"/>
      <c r="T24" s="29"/>
      <c r="U24" s="25"/>
      <c r="W24" s="182" t="s">
        <v>110</v>
      </c>
      <c r="X24" s="183">
        <v>1.1261E-2</v>
      </c>
    </row>
    <row r="25" spans="2:24" ht="15" customHeight="1" x14ac:dyDescent="0.25">
      <c r="B25" s="67"/>
      <c r="C25" s="29"/>
      <c r="D25" s="29"/>
      <c r="E25" s="29"/>
      <c r="F25" s="29"/>
      <c r="G25" s="29"/>
      <c r="H25" s="29"/>
      <c r="I25" s="29"/>
      <c r="J25" s="29"/>
      <c r="K25" s="29"/>
      <c r="L25" s="29"/>
      <c r="M25" s="29"/>
      <c r="N25" s="29"/>
      <c r="O25" s="29"/>
      <c r="P25" s="29"/>
      <c r="Q25" s="29"/>
      <c r="R25" s="29"/>
      <c r="S25" s="29"/>
      <c r="T25" s="29"/>
      <c r="U25" s="25"/>
      <c r="W25" s="182" t="s">
        <v>123</v>
      </c>
      <c r="X25" s="183">
        <v>9.9080000000000001E-3</v>
      </c>
    </row>
    <row r="26" spans="2:24" ht="15" customHeight="1" x14ac:dyDescent="0.25">
      <c r="B26" s="67"/>
      <c r="C26" s="29"/>
      <c r="D26" s="29"/>
      <c r="E26" s="29"/>
      <c r="F26" s="29"/>
      <c r="G26" s="29"/>
      <c r="H26" s="29"/>
      <c r="I26" s="29"/>
      <c r="J26" s="29"/>
      <c r="K26" s="29"/>
      <c r="L26" s="29"/>
      <c r="M26" s="29"/>
      <c r="N26" s="29"/>
      <c r="O26" s="29"/>
      <c r="P26" s="29"/>
      <c r="Q26" s="29"/>
      <c r="R26" s="29"/>
      <c r="S26" s="29"/>
      <c r="T26" s="29"/>
      <c r="U26" s="25"/>
      <c r="W26" s="182" t="s">
        <v>13</v>
      </c>
      <c r="X26" s="183">
        <v>9.4129999999999995E-3</v>
      </c>
    </row>
    <row r="27" spans="2:24" ht="15" customHeight="1" x14ac:dyDescent="0.25">
      <c r="B27" s="67"/>
      <c r="C27" s="29"/>
      <c r="D27" s="29"/>
      <c r="E27" s="29"/>
      <c r="F27" s="29"/>
      <c r="G27" s="29"/>
      <c r="H27" s="29"/>
      <c r="I27" s="29"/>
      <c r="J27" s="29"/>
      <c r="K27" s="29"/>
      <c r="L27" s="29"/>
      <c r="M27" s="29"/>
      <c r="N27" s="29"/>
      <c r="O27" s="29"/>
      <c r="P27" s="29"/>
      <c r="Q27" s="29"/>
      <c r="R27" s="29"/>
      <c r="S27" s="29"/>
      <c r="T27" s="29"/>
      <c r="U27" s="25"/>
      <c r="W27" s="182" t="s">
        <v>133</v>
      </c>
      <c r="X27" s="183">
        <v>8.6E-3</v>
      </c>
    </row>
    <row r="28" spans="2:24" ht="15" customHeight="1" x14ac:dyDescent="0.25">
      <c r="B28" s="67"/>
      <c r="C28" s="29"/>
      <c r="D28" s="29"/>
      <c r="E28" s="29"/>
      <c r="F28" s="29"/>
      <c r="G28" s="29"/>
      <c r="H28" s="29"/>
      <c r="I28" s="29"/>
      <c r="J28" s="29"/>
      <c r="K28" s="29"/>
      <c r="L28" s="29"/>
      <c r="M28" s="29"/>
      <c r="N28" s="29"/>
      <c r="O28" s="29"/>
      <c r="P28" s="29"/>
      <c r="Q28" s="29"/>
      <c r="R28" s="29"/>
      <c r="S28" s="29"/>
      <c r="T28" s="29"/>
      <c r="U28" s="25"/>
      <c r="W28" s="182" t="s">
        <v>108</v>
      </c>
      <c r="X28" s="183">
        <v>8.4480000000000006E-3</v>
      </c>
    </row>
    <row r="29" spans="2:24" ht="15" customHeight="1" x14ac:dyDescent="0.25">
      <c r="B29" s="67"/>
      <c r="C29" s="29"/>
      <c r="D29" s="29"/>
      <c r="E29" s="29"/>
      <c r="F29" s="29"/>
      <c r="G29" s="29"/>
      <c r="H29" s="29"/>
      <c r="I29" s="29"/>
      <c r="J29" s="29"/>
      <c r="K29" s="29"/>
      <c r="L29" s="29"/>
      <c r="M29" s="29"/>
      <c r="N29" s="29"/>
      <c r="O29" s="29"/>
      <c r="P29" s="29"/>
      <c r="Q29" s="29"/>
      <c r="R29" s="29"/>
      <c r="S29" s="29"/>
      <c r="T29" s="29"/>
      <c r="U29" s="25"/>
      <c r="W29" s="182" t="s">
        <v>132</v>
      </c>
      <c r="X29" s="183">
        <v>8.3269999999999993E-3</v>
      </c>
    </row>
    <row r="30" spans="2:24" ht="15" customHeight="1" x14ac:dyDescent="0.25">
      <c r="B30" s="67"/>
      <c r="C30" s="29"/>
      <c r="D30" s="29"/>
      <c r="E30" s="29"/>
      <c r="F30" s="29"/>
      <c r="G30" s="29"/>
      <c r="H30" s="29"/>
      <c r="I30" s="29"/>
      <c r="J30" s="29"/>
      <c r="K30" s="29"/>
      <c r="L30" s="29"/>
      <c r="M30" s="29"/>
      <c r="N30" s="29"/>
      <c r="O30" s="29"/>
      <c r="P30" s="29"/>
      <c r="Q30" s="29"/>
      <c r="R30" s="29"/>
      <c r="S30" s="29"/>
      <c r="T30" s="29"/>
      <c r="U30" s="25"/>
      <c r="W30" s="182" t="s">
        <v>117</v>
      </c>
      <c r="X30" s="183">
        <v>8.1930000000000006E-3</v>
      </c>
    </row>
    <row r="31" spans="2:24" ht="15" customHeight="1" x14ac:dyDescent="0.25">
      <c r="B31" s="67"/>
      <c r="C31" s="29"/>
      <c r="D31" s="29"/>
      <c r="E31" s="29"/>
      <c r="F31" s="29"/>
      <c r="G31" s="29"/>
      <c r="H31" s="29"/>
      <c r="I31" s="29"/>
      <c r="J31" s="29"/>
      <c r="K31" s="29"/>
      <c r="L31" s="29"/>
      <c r="M31" s="29"/>
      <c r="N31" s="29"/>
      <c r="O31" s="29"/>
      <c r="P31" s="29"/>
      <c r="Q31" s="29"/>
      <c r="R31" s="29"/>
      <c r="S31" s="29"/>
      <c r="T31" s="29"/>
      <c r="U31" s="25"/>
      <c r="W31" s="182" t="s">
        <v>121</v>
      </c>
      <c r="X31" s="183">
        <v>7.6100000000000004E-3</v>
      </c>
    </row>
    <row r="32" spans="2:24" ht="15" customHeight="1" x14ac:dyDescent="0.25">
      <c r="B32" s="67"/>
      <c r="C32" s="29"/>
      <c r="D32" s="29"/>
      <c r="E32" s="29"/>
      <c r="F32" s="29"/>
      <c r="G32" s="29"/>
      <c r="H32" s="29"/>
      <c r="I32" s="29"/>
      <c r="J32" s="29"/>
      <c r="K32" s="29"/>
      <c r="L32" s="29"/>
      <c r="M32" s="29"/>
      <c r="N32" s="29"/>
      <c r="O32" s="29"/>
      <c r="P32" s="29"/>
      <c r="Q32" s="29"/>
      <c r="R32" s="29"/>
      <c r="S32" s="29"/>
      <c r="T32" s="29"/>
      <c r="U32" s="25"/>
      <c r="W32" s="182" t="s">
        <v>15</v>
      </c>
      <c r="X32" s="183">
        <v>7.064E-3</v>
      </c>
    </row>
    <row r="33" spans="2:24" ht="15" customHeight="1" x14ac:dyDescent="0.25">
      <c r="B33" s="67"/>
      <c r="C33" s="29"/>
      <c r="D33" s="29"/>
      <c r="E33" s="29"/>
      <c r="F33" s="29"/>
      <c r="G33" s="29"/>
      <c r="H33" s="29"/>
      <c r="I33" s="29"/>
      <c r="J33" s="29"/>
      <c r="K33" s="29"/>
      <c r="L33" s="29"/>
      <c r="M33" s="29"/>
      <c r="N33" s="29"/>
      <c r="O33" s="29"/>
      <c r="P33" s="29"/>
      <c r="Q33" s="29"/>
      <c r="R33" s="29"/>
      <c r="S33" s="29"/>
      <c r="T33" s="29"/>
      <c r="U33" s="25"/>
      <c r="W33" s="182" t="s">
        <v>25</v>
      </c>
      <c r="X33" s="183">
        <v>6.4700000000000001E-3</v>
      </c>
    </row>
    <row r="34" spans="2:24" ht="15" customHeight="1" x14ac:dyDescent="0.25">
      <c r="B34" s="67"/>
      <c r="C34" s="29"/>
      <c r="D34" s="29"/>
      <c r="E34" s="29"/>
      <c r="F34" s="29"/>
      <c r="G34" s="29"/>
      <c r="H34" s="29"/>
      <c r="I34" s="29"/>
      <c r="J34" s="29"/>
      <c r="K34" s="29"/>
      <c r="L34" s="29"/>
      <c r="M34" s="29"/>
      <c r="N34" s="29"/>
      <c r="O34" s="29"/>
      <c r="P34" s="29"/>
      <c r="Q34" s="29"/>
      <c r="R34" s="29"/>
      <c r="S34" s="29"/>
      <c r="T34" s="29"/>
      <c r="U34" s="25"/>
      <c r="W34" s="182" t="s">
        <v>118</v>
      </c>
      <c r="X34" s="183">
        <v>6.2859999999999999E-3</v>
      </c>
    </row>
    <row r="35" spans="2:24" ht="15" customHeight="1" x14ac:dyDescent="0.25">
      <c r="B35" s="67"/>
      <c r="C35" s="29"/>
      <c r="D35" s="29"/>
      <c r="E35" s="29"/>
      <c r="F35" s="29"/>
      <c r="G35" s="29"/>
      <c r="H35" s="29"/>
      <c r="I35" s="29"/>
      <c r="J35" s="29"/>
      <c r="K35" s="29"/>
      <c r="L35" s="29"/>
      <c r="M35" s="29"/>
      <c r="N35" s="29"/>
      <c r="O35" s="29"/>
      <c r="P35" s="29"/>
      <c r="Q35" s="29"/>
      <c r="R35" s="29"/>
      <c r="S35" s="29"/>
      <c r="T35" s="29"/>
      <c r="U35" s="25"/>
      <c r="W35" s="182" t="s">
        <v>112</v>
      </c>
      <c r="X35" s="183">
        <v>6.0029999999999997E-3</v>
      </c>
    </row>
    <row r="36" spans="2:24" ht="15" customHeight="1" x14ac:dyDescent="0.25">
      <c r="B36" s="67"/>
      <c r="C36" s="29"/>
      <c r="D36" s="29"/>
      <c r="E36" s="29"/>
      <c r="F36" s="29"/>
      <c r="G36" s="29"/>
      <c r="H36" s="29"/>
      <c r="I36" s="29"/>
      <c r="J36" s="29"/>
      <c r="K36" s="29"/>
      <c r="L36" s="29"/>
      <c r="M36" s="29"/>
      <c r="N36" s="29"/>
      <c r="O36" s="29"/>
      <c r="P36" s="29"/>
      <c r="Q36" s="29"/>
      <c r="R36" s="29"/>
      <c r="S36" s="29"/>
      <c r="T36" s="29"/>
      <c r="U36" s="25"/>
      <c r="W36" s="182" t="s">
        <v>134</v>
      </c>
      <c r="X36" s="183">
        <v>6.0020000000000004E-3</v>
      </c>
    </row>
    <row r="37" spans="2:24" ht="15" customHeight="1" x14ac:dyDescent="0.25">
      <c r="B37" s="67"/>
      <c r="C37" s="29"/>
      <c r="D37" s="29"/>
      <c r="E37" s="29"/>
      <c r="F37" s="29"/>
      <c r="G37" s="29"/>
      <c r="H37" s="29"/>
      <c r="I37" s="29"/>
      <c r="J37" s="29"/>
      <c r="K37" s="29"/>
      <c r="L37" s="29"/>
      <c r="M37" s="29"/>
      <c r="N37" s="29"/>
      <c r="O37" s="29"/>
      <c r="P37" s="29"/>
      <c r="Q37" s="29"/>
      <c r="R37" s="29"/>
      <c r="S37" s="29"/>
      <c r="T37" s="29"/>
      <c r="U37" s="25"/>
      <c r="W37" s="182" t="s">
        <v>135</v>
      </c>
      <c r="X37" s="183">
        <v>5.4790000000000004E-3</v>
      </c>
    </row>
    <row r="38" spans="2:24" ht="15" customHeight="1" x14ac:dyDescent="0.25">
      <c r="B38" s="67"/>
      <c r="C38" s="29"/>
      <c r="D38" s="29"/>
      <c r="E38" s="29"/>
      <c r="F38" s="29"/>
      <c r="G38" s="29"/>
      <c r="H38" s="29"/>
      <c r="I38" s="29"/>
      <c r="J38" s="29"/>
      <c r="K38" s="29"/>
      <c r="L38" s="29"/>
      <c r="M38" s="29"/>
      <c r="N38" s="29"/>
      <c r="O38" s="29"/>
      <c r="P38" s="29"/>
      <c r="Q38" s="29"/>
      <c r="R38" s="29"/>
      <c r="S38" s="29"/>
      <c r="T38" s="29"/>
      <c r="U38" s="25"/>
      <c r="W38" s="182" t="s">
        <v>126</v>
      </c>
      <c r="X38" s="183">
        <v>5.3610000000000003E-3</v>
      </c>
    </row>
    <row r="39" spans="2:24" ht="15" customHeight="1" x14ac:dyDescent="0.25">
      <c r="B39" s="67"/>
      <c r="C39" s="29"/>
      <c r="D39" s="29"/>
      <c r="E39" s="29"/>
      <c r="F39" s="29"/>
      <c r="G39" s="29"/>
      <c r="H39" s="29"/>
      <c r="I39" s="29"/>
      <c r="J39" s="29"/>
      <c r="K39" s="29"/>
      <c r="L39" s="29"/>
      <c r="M39" s="29"/>
      <c r="N39" s="29"/>
      <c r="O39" s="29"/>
      <c r="P39" s="29"/>
      <c r="Q39" s="29"/>
      <c r="R39" s="29"/>
      <c r="S39" s="29"/>
      <c r="T39" s="29"/>
      <c r="U39" s="25"/>
      <c r="W39" s="182" t="s">
        <v>78</v>
      </c>
      <c r="X39" s="183">
        <v>4.8079999999999998E-3</v>
      </c>
    </row>
    <row r="40" spans="2:24" ht="15" customHeight="1" thickBot="1" x14ac:dyDescent="0.3">
      <c r="B40" s="79"/>
      <c r="C40" s="30"/>
      <c r="D40" s="30"/>
      <c r="E40" s="30"/>
      <c r="F40" s="30"/>
      <c r="G40" s="30"/>
      <c r="H40" s="30"/>
      <c r="I40" s="30"/>
      <c r="J40" s="30"/>
      <c r="K40" s="30"/>
      <c r="L40" s="30"/>
      <c r="M40" s="30"/>
      <c r="N40" s="30"/>
      <c r="O40" s="30"/>
      <c r="P40" s="30"/>
      <c r="Q40" s="30"/>
      <c r="R40" s="30"/>
      <c r="S40" s="30"/>
      <c r="T40" s="30"/>
      <c r="U40" s="26"/>
      <c r="W40" s="182" t="s">
        <v>115</v>
      </c>
      <c r="X40" s="183">
        <v>4.1330000000000004E-3</v>
      </c>
    </row>
    <row r="41" spans="2:24" ht="15" customHeight="1" thickBot="1" x14ac:dyDescent="0.3">
      <c r="W41" s="182" t="s">
        <v>85</v>
      </c>
      <c r="X41" s="183">
        <v>2.1679999999999998E-3</v>
      </c>
    </row>
    <row r="42" spans="2:24" ht="15" customHeight="1" x14ac:dyDescent="0.25">
      <c r="B42" s="265" t="s">
        <v>186</v>
      </c>
      <c r="C42" s="266"/>
      <c r="D42" s="266"/>
      <c r="E42" s="266"/>
      <c r="F42" s="266"/>
      <c r="G42" s="266"/>
      <c r="H42" s="266"/>
      <c r="I42" s="266"/>
      <c r="J42" s="266"/>
      <c r="K42" s="266"/>
      <c r="L42" s="266"/>
      <c r="M42" s="266"/>
      <c r="N42" s="266"/>
      <c r="O42" s="266"/>
      <c r="P42" s="266"/>
      <c r="Q42" s="266"/>
      <c r="R42" s="267"/>
      <c r="W42" s="182"/>
      <c r="X42" s="183"/>
    </row>
    <row r="43" spans="2:24" ht="15" customHeight="1" x14ac:dyDescent="0.25">
      <c r="B43" s="268"/>
      <c r="C43" s="269"/>
      <c r="D43" s="269"/>
      <c r="E43" s="269"/>
      <c r="F43" s="269"/>
      <c r="G43" s="269"/>
      <c r="H43" s="269"/>
      <c r="I43" s="269"/>
      <c r="J43" s="269"/>
      <c r="K43" s="269"/>
      <c r="L43" s="269"/>
      <c r="M43" s="269"/>
      <c r="N43" s="269"/>
      <c r="O43" s="269"/>
      <c r="P43" s="269"/>
      <c r="Q43" s="269"/>
      <c r="R43" s="270"/>
      <c r="W43" s="182"/>
      <c r="X43" s="183"/>
    </row>
    <row r="44" spans="2:24" ht="15" customHeight="1" x14ac:dyDescent="0.25">
      <c r="B44" s="268"/>
      <c r="C44" s="269"/>
      <c r="D44" s="269"/>
      <c r="E44" s="269"/>
      <c r="F44" s="269"/>
      <c r="G44" s="269"/>
      <c r="H44" s="269"/>
      <c r="I44" s="269"/>
      <c r="J44" s="269"/>
      <c r="K44" s="269"/>
      <c r="L44" s="269"/>
      <c r="M44" s="269"/>
      <c r="N44" s="269"/>
      <c r="O44" s="269"/>
      <c r="P44" s="269"/>
      <c r="Q44" s="269"/>
      <c r="R44" s="270"/>
      <c r="W44" s="182"/>
      <c r="X44" s="183"/>
    </row>
    <row r="45" spans="2:24" ht="15" customHeight="1" x14ac:dyDescent="0.25">
      <c r="B45" s="268"/>
      <c r="C45" s="269"/>
      <c r="D45" s="269"/>
      <c r="E45" s="269"/>
      <c r="F45" s="269"/>
      <c r="G45" s="269"/>
      <c r="H45" s="269"/>
      <c r="I45" s="269"/>
      <c r="J45" s="269"/>
      <c r="K45" s="269"/>
      <c r="L45" s="269"/>
      <c r="M45" s="269"/>
      <c r="N45" s="269"/>
      <c r="O45" s="269"/>
      <c r="P45" s="269"/>
      <c r="Q45" s="269"/>
      <c r="R45" s="270"/>
    </row>
    <row r="46" spans="2:24" ht="15" customHeight="1" x14ac:dyDescent="0.25">
      <c r="B46" s="268"/>
      <c r="C46" s="269"/>
      <c r="D46" s="269"/>
      <c r="E46" s="269"/>
      <c r="F46" s="269"/>
      <c r="G46" s="269"/>
      <c r="H46" s="269"/>
      <c r="I46" s="269"/>
      <c r="J46" s="269"/>
      <c r="K46" s="269"/>
      <c r="L46" s="269"/>
      <c r="M46" s="269"/>
      <c r="N46" s="269"/>
      <c r="O46" s="269"/>
      <c r="P46" s="269"/>
      <c r="Q46" s="269"/>
      <c r="R46" s="270"/>
    </row>
    <row r="47" spans="2:24" ht="15" customHeight="1" x14ac:dyDescent="0.25">
      <c r="B47" s="268"/>
      <c r="C47" s="269"/>
      <c r="D47" s="269"/>
      <c r="E47" s="269"/>
      <c r="F47" s="269"/>
      <c r="G47" s="269"/>
      <c r="H47" s="269"/>
      <c r="I47" s="269"/>
      <c r="J47" s="269"/>
      <c r="K47" s="269"/>
      <c r="L47" s="269"/>
      <c r="M47" s="269"/>
      <c r="N47" s="269"/>
      <c r="O47" s="269"/>
      <c r="P47" s="269"/>
      <c r="Q47" s="269"/>
      <c r="R47" s="270"/>
    </row>
    <row r="48" spans="2:24" ht="15" customHeight="1" thickBot="1" x14ac:dyDescent="0.3">
      <c r="B48" s="271"/>
      <c r="C48" s="272"/>
      <c r="D48" s="272"/>
      <c r="E48" s="272"/>
      <c r="F48" s="272"/>
      <c r="G48" s="272"/>
      <c r="H48" s="272"/>
      <c r="I48" s="272"/>
      <c r="J48" s="272"/>
      <c r="K48" s="272"/>
      <c r="L48" s="272"/>
      <c r="M48" s="272"/>
      <c r="N48" s="272"/>
      <c r="O48" s="272"/>
      <c r="P48" s="272"/>
      <c r="Q48" s="272"/>
      <c r="R48" s="273"/>
    </row>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row r="65" ht="15" customHeight="1" x14ac:dyDescent="0.25"/>
    <row r="66" ht="15" customHeight="1" x14ac:dyDescent="0.25"/>
    <row r="67" ht="15" customHeight="1" x14ac:dyDescent="0.25"/>
  </sheetData>
  <sortState ref="W8:X44">
    <sortCondition descending="1" ref="X8"/>
  </sortState>
  <mergeCells count="3">
    <mergeCell ref="C3:S3"/>
    <mergeCell ref="D5:E5"/>
    <mergeCell ref="B42:R4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15C0-DA4A-451D-B8D8-3CD239F4FC6E}">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74" t="s">
        <v>156</v>
      </c>
      <c r="D3" s="275"/>
      <c r="E3" s="275"/>
      <c r="F3" s="275"/>
      <c r="G3" s="275"/>
      <c r="H3" s="275"/>
      <c r="I3" s="275"/>
      <c r="J3" s="275"/>
      <c r="K3" s="275"/>
      <c r="L3" s="275"/>
      <c r="M3" s="275"/>
      <c r="N3" s="275"/>
      <c r="O3" s="275"/>
      <c r="P3" s="275"/>
      <c r="Q3" s="275"/>
      <c r="R3" s="275"/>
      <c r="S3" s="275"/>
      <c r="T3" s="68"/>
      <c r="U3" s="69"/>
    </row>
    <row r="4" spans="1:24" ht="15.75" x14ac:dyDescent="0.25">
      <c r="B4" s="67"/>
      <c r="C4" s="70" t="s">
        <v>367</v>
      </c>
      <c r="D4" s="29"/>
      <c r="E4" s="29"/>
      <c r="F4" s="29"/>
      <c r="G4" s="29"/>
      <c r="H4" s="29"/>
      <c r="I4" s="29"/>
      <c r="J4" s="29"/>
      <c r="K4" s="29"/>
      <c r="L4" s="29"/>
      <c r="M4" s="29"/>
      <c r="N4" s="29"/>
      <c r="O4" s="29"/>
      <c r="P4" s="29"/>
      <c r="Q4" s="29"/>
      <c r="R4" s="29"/>
      <c r="S4" s="29"/>
      <c r="T4" s="29"/>
      <c r="U4" s="25"/>
    </row>
    <row r="5" spans="1:24" ht="20.25" x14ac:dyDescent="0.25">
      <c r="B5" s="67"/>
      <c r="C5" s="228" t="s">
        <v>366</v>
      </c>
      <c r="D5" s="278" t="s">
        <v>344</v>
      </c>
      <c r="E5" s="278"/>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8" t="s">
        <v>81</v>
      </c>
      <c r="D8" s="199" t="s">
        <v>114</v>
      </c>
      <c r="E8" s="200">
        <v>5.7207000000000001E-2</v>
      </c>
      <c r="F8" s="29"/>
      <c r="G8" s="29"/>
      <c r="H8" s="29"/>
      <c r="I8" s="29"/>
      <c r="J8" s="29"/>
      <c r="K8" s="29"/>
      <c r="L8" s="29"/>
      <c r="M8" s="29"/>
      <c r="N8" s="29"/>
      <c r="O8" s="29"/>
      <c r="P8" s="29"/>
      <c r="Q8" s="29"/>
      <c r="R8" s="29"/>
      <c r="S8" s="29"/>
      <c r="T8" s="29"/>
      <c r="U8" s="25"/>
      <c r="W8" s="64" t="s">
        <v>114</v>
      </c>
      <c r="X8" s="65">
        <v>0.179895</v>
      </c>
    </row>
    <row r="9" spans="1:24" ht="15.75" x14ac:dyDescent="0.25">
      <c r="B9" s="67"/>
      <c r="C9" s="192" t="s">
        <v>62</v>
      </c>
      <c r="D9" s="201" t="s">
        <v>10</v>
      </c>
      <c r="E9" s="202">
        <v>5.4453000000000001E-2</v>
      </c>
      <c r="F9" s="29"/>
      <c r="G9" s="29"/>
      <c r="H9" s="29"/>
      <c r="I9" s="29"/>
      <c r="J9" s="29"/>
      <c r="K9" s="29"/>
      <c r="L9" s="29"/>
      <c r="M9" s="29"/>
      <c r="N9" s="29"/>
      <c r="O9" s="29"/>
      <c r="P9" s="29"/>
      <c r="Q9" s="29"/>
      <c r="R9" s="29"/>
      <c r="S9" s="29"/>
      <c r="T9" s="29"/>
      <c r="U9" s="25"/>
      <c r="W9" s="64" t="s">
        <v>121</v>
      </c>
      <c r="X9" s="65">
        <v>9.2222999999999999E-2</v>
      </c>
    </row>
    <row r="10" spans="1:24" ht="15.75" x14ac:dyDescent="0.25">
      <c r="B10" s="67"/>
      <c r="C10" s="192" t="s">
        <v>140</v>
      </c>
      <c r="D10" s="201" t="s">
        <v>26</v>
      </c>
      <c r="E10" s="202">
        <v>5.1663000000000001E-2</v>
      </c>
      <c r="F10" s="29"/>
      <c r="G10" s="29"/>
      <c r="H10" s="29"/>
      <c r="I10" s="29"/>
      <c r="J10" s="29"/>
      <c r="K10" s="29"/>
      <c r="L10" s="29"/>
      <c r="M10" s="29"/>
      <c r="N10" s="29"/>
      <c r="O10" s="29"/>
      <c r="P10" s="29"/>
      <c r="Q10" s="29"/>
      <c r="R10" s="29"/>
      <c r="S10" s="29"/>
      <c r="T10" s="29"/>
      <c r="U10" s="25"/>
      <c r="W10" s="64" t="s">
        <v>88</v>
      </c>
      <c r="X10" s="65">
        <v>9.1514999999999999E-2</v>
      </c>
    </row>
    <row r="11" spans="1:24" ht="15.75" x14ac:dyDescent="0.25">
      <c r="B11" s="67"/>
      <c r="C11" s="192" t="s">
        <v>275</v>
      </c>
      <c r="D11" s="201" t="s">
        <v>132</v>
      </c>
      <c r="E11" s="202">
        <v>5.0932999999999999E-2</v>
      </c>
      <c r="F11" s="29"/>
      <c r="G11" s="29"/>
      <c r="H11" s="29"/>
      <c r="I11" s="29"/>
      <c r="J11" s="29"/>
      <c r="K11" s="29"/>
      <c r="L11" s="29"/>
      <c r="M11" s="29"/>
      <c r="N11" s="29"/>
      <c r="O11" s="29"/>
      <c r="P11" s="29"/>
      <c r="Q11" s="29"/>
      <c r="R11" s="29"/>
      <c r="S11" s="29"/>
      <c r="T11" s="29"/>
      <c r="U11" s="25"/>
      <c r="W11" s="64" t="s">
        <v>10</v>
      </c>
      <c r="X11" s="65">
        <v>9.1389999999999999E-2</v>
      </c>
    </row>
    <row r="12" spans="1:24" ht="15.75" x14ac:dyDescent="0.25">
      <c r="B12" s="67"/>
      <c r="C12" s="192" t="s">
        <v>70</v>
      </c>
      <c r="D12" s="201" t="s">
        <v>12</v>
      </c>
      <c r="E12" s="202">
        <v>4.9801999999999999E-2</v>
      </c>
      <c r="F12" s="29"/>
      <c r="G12" s="29"/>
      <c r="H12" s="29"/>
      <c r="I12" s="29"/>
      <c r="J12" s="29"/>
      <c r="K12" s="29"/>
      <c r="L12" s="29"/>
      <c r="M12" s="29"/>
      <c r="N12" s="29"/>
      <c r="O12" s="29"/>
      <c r="P12" s="29"/>
      <c r="Q12" s="29"/>
      <c r="R12" s="29"/>
      <c r="S12" s="29"/>
      <c r="T12" s="29"/>
      <c r="U12" s="25"/>
      <c r="W12" s="64" t="s">
        <v>4</v>
      </c>
      <c r="X12" s="65">
        <v>8.9995999999999993E-2</v>
      </c>
    </row>
    <row r="13" spans="1:24" ht="15.75" x14ac:dyDescent="0.25">
      <c r="B13" s="67"/>
      <c r="C13" s="192" t="s">
        <v>211</v>
      </c>
      <c r="D13" s="201" t="s">
        <v>133</v>
      </c>
      <c r="E13" s="202">
        <v>4.8466000000000002E-2</v>
      </c>
      <c r="F13" s="29"/>
      <c r="G13" s="29"/>
      <c r="H13" s="29"/>
      <c r="I13" s="29"/>
      <c r="J13" s="29"/>
      <c r="K13" s="29"/>
      <c r="L13" s="29"/>
      <c r="M13" s="29"/>
      <c r="N13" s="29"/>
      <c r="O13" s="29"/>
      <c r="P13" s="29"/>
      <c r="Q13" s="29"/>
      <c r="R13" s="29"/>
      <c r="S13" s="29"/>
      <c r="T13" s="29"/>
      <c r="U13" s="25"/>
      <c r="W13" s="64" t="s">
        <v>12</v>
      </c>
      <c r="X13" s="65">
        <v>6.8594000000000002E-2</v>
      </c>
    </row>
    <row r="14" spans="1:24" ht="15.75" x14ac:dyDescent="0.25">
      <c r="B14" s="67"/>
      <c r="C14" s="192" t="s">
        <v>131</v>
      </c>
      <c r="D14" s="201" t="s">
        <v>88</v>
      </c>
      <c r="E14" s="202">
        <v>4.8214E-2</v>
      </c>
      <c r="F14" s="29"/>
      <c r="G14" s="29"/>
      <c r="H14" s="29"/>
      <c r="I14" s="29"/>
      <c r="J14" s="29"/>
      <c r="K14" s="29"/>
      <c r="L14" s="29"/>
      <c r="M14" s="29"/>
      <c r="N14" s="29"/>
      <c r="O14" s="29"/>
      <c r="P14" s="29"/>
      <c r="Q14" s="29"/>
      <c r="R14" s="29"/>
      <c r="S14" s="29"/>
      <c r="T14" s="29"/>
      <c r="U14" s="25"/>
      <c r="W14" s="64" t="s">
        <v>112</v>
      </c>
      <c r="X14" s="65">
        <v>5.7326000000000002E-2</v>
      </c>
    </row>
    <row r="15" spans="1:24" ht="15.75" x14ac:dyDescent="0.25">
      <c r="B15" s="67"/>
      <c r="C15" s="192" t="s">
        <v>69</v>
      </c>
      <c r="D15" s="201" t="s">
        <v>4</v>
      </c>
      <c r="E15" s="202">
        <v>4.7395E-2</v>
      </c>
      <c r="F15" s="29"/>
      <c r="G15" s="29"/>
      <c r="H15" s="29"/>
      <c r="I15" s="29"/>
      <c r="J15" s="29"/>
      <c r="K15" s="29"/>
      <c r="L15" s="29"/>
      <c r="M15" s="29"/>
      <c r="N15" s="29"/>
      <c r="O15" s="29"/>
      <c r="P15" s="29"/>
      <c r="Q15" s="29"/>
      <c r="R15" s="29"/>
      <c r="S15" s="29"/>
      <c r="T15" s="29"/>
      <c r="U15" s="25"/>
      <c r="W15" s="64" t="s">
        <v>26</v>
      </c>
      <c r="X15" s="65">
        <v>5.1663000000000001E-2</v>
      </c>
    </row>
    <row r="16" spans="1:24" ht="15.75" x14ac:dyDescent="0.25">
      <c r="B16" s="67"/>
      <c r="C16" s="192" t="s">
        <v>145</v>
      </c>
      <c r="D16" s="201" t="s">
        <v>114</v>
      </c>
      <c r="E16" s="202">
        <v>4.7264E-2</v>
      </c>
      <c r="F16" s="29"/>
      <c r="G16" s="29"/>
      <c r="H16" s="29"/>
      <c r="I16" s="29"/>
      <c r="J16" s="29"/>
      <c r="K16" s="29"/>
      <c r="L16" s="29"/>
      <c r="M16" s="29"/>
      <c r="N16" s="29"/>
      <c r="O16" s="29"/>
      <c r="P16" s="29"/>
      <c r="Q16" s="29"/>
      <c r="R16" s="29"/>
      <c r="S16" s="29"/>
      <c r="T16" s="29"/>
      <c r="U16" s="25"/>
      <c r="W16" s="64" t="s">
        <v>132</v>
      </c>
      <c r="X16" s="65">
        <v>5.0932999999999999E-2</v>
      </c>
    </row>
    <row r="17" spans="2:24" ht="15.75" x14ac:dyDescent="0.25">
      <c r="B17" s="67"/>
      <c r="C17" s="192" t="s">
        <v>122</v>
      </c>
      <c r="D17" s="201" t="s">
        <v>114</v>
      </c>
      <c r="E17" s="202">
        <v>4.7216000000000001E-2</v>
      </c>
      <c r="F17" s="29"/>
      <c r="G17" s="29"/>
      <c r="H17" s="29"/>
      <c r="I17" s="29"/>
      <c r="J17" s="29"/>
      <c r="K17" s="29"/>
      <c r="L17" s="29"/>
      <c r="M17" s="29"/>
      <c r="N17" s="29"/>
      <c r="O17" s="29"/>
      <c r="P17" s="29"/>
      <c r="Q17" s="29"/>
      <c r="R17" s="29"/>
      <c r="S17" s="29"/>
      <c r="T17" s="29"/>
      <c r="U17" s="25"/>
      <c r="W17" s="64" t="s">
        <v>133</v>
      </c>
      <c r="X17" s="65">
        <v>4.8466000000000002E-2</v>
      </c>
    </row>
    <row r="18" spans="2:24" ht="15.75" x14ac:dyDescent="0.25">
      <c r="B18" s="67"/>
      <c r="C18" s="192" t="s">
        <v>259</v>
      </c>
      <c r="D18" s="201" t="s">
        <v>121</v>
      </c>
      <c r="E18" s="202">
        <v>4.4142000000000001E-2</v>
      </c>
      <c r="F18" s="29"/>
      <c r="G18" s="29"/>
      <c r="H18" s="29"/>
      <c r="I18" s="29"/>
      <c r="J18" s="29"/>
      <c r="K18" s="29"/>
      <c r="L18" s="29"/>
      <c r="M18" s="29"/>
      <c r="N18" s="29"/>
      <c r="O18" s="29"/>
      <c r="P18" s="29"/>
      <c r="Q18" s="29"/>
      <c r="R18" s="29"/>
      <c r="S18" s="29"/>
      <c r="T18" s="29"/>
      <c r="U18" s="25"/>
      <c r="W18" s="64" t="s">
        <v>113</v>
      </c>
      <c r="X18" s="65">
        <v>3.5515999999999999E-2</v>
      </c>
    </row>
    <row r="19" spans="2:24" ht="15.75" x14ac:dyDescent="0.25">
      <c r="B19" s="67"/>
      <c r="C19" s="192" t="s">
        <v>152</v>
      </c>
      <c r="D19" s="201" t="s">
        <v>88</v>
      </c>
      <c r="E19" s="202">
        <v>4.3300999999999999E-2</v>
      </c>
      <c r="F19" s="29"/>
      <c r="G19" s="29"/>
      <c r="H19" s="29"/>
      <c r="I19" s="29"/>
      <c r="J19" s="29"/>
      <c r="K19" s="29"/>
      <c r="L19" s="29"/>
      <c r="M19" s="29"/>
      <c r="N19" s="29"/>
      <c r="O19" s="29"/>
      <c r="P19" s="29"/>
      <c r="Q19" s="29"/>
      <c r="R19" s="29"/>
      <c r="S19" s="29"/>
      <c r="T19" s="29"/>
      <c r="U19" s="25"/>
      <c r="W19" s="64" t="s">
        <v>24</v>
      </c>
      <c r="X19" s="65">
        <v>3.4873000000000001E-2</v>
      </c>
    </row>
    <row r="20" spans="2:24" ht="15.75" x14ac:dyDescent="0.25">
      <c r="B20" s="67"/>
      <c r="C20" s="192" t="s">
        <v>77</v>
      </c>
      <c r="D20" s="201" t="s">
        <v>4</v>
      </c>
      <c r="E20" s="202">
        <v>4.2601E-2</v>
      </c>
      <c r="F20" s="29"/>
      <c r="G20" s="29"/>
      <c r="H20" s="29"/>
      <c r="I20" s="29"/>
      <c r="J20" s="29"/>
      <c r="K20" s="29"/>
      <c r="L20" s="29"/>
      <c r="M20" s="29"/>
      <c r="N20" s="29"/>
      <c r="O20" s="29"/>
      <c r="P20" s="29"/>
      <c r="Q20" s="29"/>
      <c r="R20" s="29"/>
      <c r="S20" s="29"/>
      <c r="T20" s="29"/>
      <c r="U20" s="25"/>
      <c r="W20" s="64" t="s">
        <v>135</v>
      </c>
      <c r="X20" s="65">
        <v>2.9843000000000001E-2</v>
      </c>
    </row>
    <row r="21" spans="2:24" ht="15.75" x14ac:dyDescent="0.25">
      <c r="B21" s="67"/>
      <c r="C21" s="192" t="s">
        <v>304</v>
      </c>
      <c r="D21" s="201" t="s">
        <v>10</v>
      </c>
      <c r="E21" s="202">
        <v>3.6936999999999998E-2</v>
      </c>
      <c r="F21" s="29"/>
      <c r="G21" s="29"/>
      <c r="H21" s="29"/>
      <c r="I21" s="29"/>
      <c r="J21" s="29"/>
      <c r="K21" s="29"/>
      <c r="L21" s="29"/>
      <c r="M21" s="29"/>
      <c r="N21" s="29"/>
      <c r="O21" s="29"/>
      <c r="P21" s="29"/>
      <c r="Q21" s="29"/>
      <c r="R21" s="29"/>
      <c r="S21" s="29"/>
      <c r="T21" s="29"/>
      <c r="U21" s="25"/>
      <c r="W21" s="64" t="s">
        <v>16</v>
      </c>
      <c r="X21" s="65">
        <v>2.6612E-2</v>
      </c>
    </row>
    <row r="22" spans="2:24" ht="15.75" x14ac:dyDescent="0.25">
      <c r="B22" s="67"/>
      <c r="C22" s="192" t="s">
        <v>141</v>
      </c>
      <c r="D22" s="201" t="s">
        <v>24</v>
      </c>
      <c r="E22" s="202">
        <v>3.4873000000000001E-2</v>
      </c>
      <c r="F22" s="29"/>
      <c r="G22" s="29"/>
      <c r="H22" s="29"/>
      <c r="I22" s="29"/>
      <c r="J22" s="29"/>
      <c r="K22" s="29"/>
      <c r="L22" s="29"/>
      <c r="M22" s="29"/>
      <c r="N22" s="29"/>
      <c r="O22" s="29"/>
      <c r="P22" s="29"/>
      <c r="Q22" s="29"/>
      <c r="R22" s="29"/>
      <c r="S22" s="29"/>
      <c r="T22" s="29"/>
      <c r="U22" s="25"/>
      <c r="W22" s="64" t="s">
        <v>3</v>
      </c>
      <c r="X22" s="65">
        <v>1.9549E-2</v>
      </c>
    </row>
    <row r="23" spans="2:24" x14ac:dyDescent="0.25">
      <c r="B23" s="67"/>
      <c r="C23" s="74"/>
      <c r="D23" s="74"/>
      <c r="E23" s="75"/>
      <c r="F23" s="29"/>
      <c r="G23" s="29"/>
      <c r="H23" s="29"/>
      <c r="I23" s="29"/>
      <c r="J23" s="29"/>
      <c r="K23" s="29"/>
      <c r="L23" s="29"/>
      <c r="M23" s="29"/>
      <c r="N23" s="29"/>
      <c r="O23" s="29"/>
      <c r="P23" s="29"/>
      <c r="Q23" s="29"/>
      <c r="R23" s="29"/>
      <c r="S23" s="29"/>
      <c r="T23" s="29"/>
      <c r="U23" s="25"/>
      <c r="W23" s="64" t="s">
        <v>149</v>
      </c>
      <c r="X23" s="65">
        <v>1.1905000000000001E-2</v>
      </c>
    </row>
    <row r="24" spans="2:24" ht="15.75" x14ac:dyDescent="0.25">
      <c r="B24" s="67"/>
      <c r="C24" s="76" t="s">
        <v>55</v>
      </c>
      <c r="D24" s="77"/>
      <c r="E24" s="78">
        <f>SUM(E8:E22)</f>
        <v>0.70446700000000018</v>
      </c>
      <c r="F24" s="29"/>
      <c r="G24" s="29"/>
      <c r="H24" s="29"/>
      <c r="I24" s="29"/>
      <c r="J24" s="29"/>
      <c r="K24" s="29"/>
      <c r="L24" s="29"/>
      <c r="M24" s="29"/>
      <c r="N24" s="29"/>
      <c r="O24" s="29"/>
      <c r="P24" s="29"/>
      <c r="Q24" s="29"/>
      <c r="R24" s="29"/>
      <c r="S24" s="29"/>
      <c r="T24" s="29"/>
      <c r="U24" s="25"/>
      <c r="W24" s="64" t="s">
        <v>109</v>
      </c>
      <c r="X24" s="65">
        <v>1.1627E-2</v>
      </c>
    </row>
    <row r="25" spans="2:24" x14ac:dyDescent="0.25">
      <c r="B25" s="67"/>
      <c r="C25" s="29"/>
      <c r="D25" s="29"/>
      <c r="E25" s="29"/>
      <c r="F25" s="29"/>
      <c r="G25" s="29"/>
      <c r="H25" s="29"/>
      <c r="I25" s="29"/>
      <c r="J25" s="29"/>
      <c r="K25" s="29"/>
      <c r="L25" s="29"/>
      <c r="M25" s="29"/>
      <c r="N25" s="29"/>
      <c r="O25" s="29"/>
      <c r="P25" s="29"/>
      <c r="Q25" s="29"/>
      <c r="R25" s="29"/>
      <c r="S25" s="29"/>
      <c r="T25" s="29"/>
      <c r="U25" s="25"/>
      <c r="W25" s="64" t="s">
        <v>115</v>
      </c>
      <c r="X25" s="65">
        <v>7.4729999999999996E-3</v>
      </c>
    </row>
    <row r="26" spans="2:24"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65" t="s">
        <v>186</v>
      </c>
      <c r="C39" s="266"/>
      <c r="D39" s="266"/>
      <c r="E39" s="266"/>
      <c r="F39" s="266"/>
      <c r="G39" s="266"/>
      <c r="H39" s="266"/>
      <c r="I39" s="266"/>
      <c r="J39" s="266"/>
      <c r="K39" s="266"/>
      <c r="L39" s="266"/>
      <c r="M39" s="266"/>
      <c r="N39" s="266"/>
      <c r="O39" s="266"/>
      <c r="P39" s="266"/>
      <c r="Q39" s="266"/>
      <c r="R39" s="267"/>
      <c r="W39" s="64"/>
      <c r="X39" s="65"/>
    </row>
    <row r="40" spans="2:24" x14ac:dyDescent="0.25">
      <c r="B40" s="268"/>
      <c r="C40" s="269"/>
      <c r="D40" s="269"/>
      <c r="E40" s="269"/>
      <c r="F40" s="269"/>
      <c r="G40" s="269"/>
      <c r="H40" s="269"/>
      <c r="I40" s="269"/>
      <c r="J40" s="269"/>
      <c r="K40" s="269"/>
      <c r="L40" s="269"/>
      <c r="M40" s="269"/>
      <c r="N40" s="269"/>
      <c r="O40" s="269"/>
      <c r="P40" s="269"/>
      <c r="Q40" s="269"/>
      <c r="R40" s="270"/>
      <c r="W40" s="64"/>
      <c r="X40" s="65"/>
    </row>
    <row r="41" spans="2:24" x14ac:dyDescent="0.25">
      <c r="B41" s="268"/>
      <c r="C41" s="269"/>
      <c r="D41" s="269"/>
      <c r="E41" s="269"/>
      <c r="F41" s="269"/>
      <c r="G41" s="269"/>
      <c r="H41" s="269"/>
      <c r="I41" s="269"/>
      <c r="J41" s="269"/>
      <c r="K41" s="269"/>
      <c r="L41" s="269"/>
      <c r="M41" s="269"/>
      <c r="N41" s="269"/>
      <c r="O41" s="269"/>
      <c r="P41" s="269"/>
      <c r="Q41" s="269"/>
      <c r="R41" s="270"/>
      <c r="W41" s="64"/>
      <c r="X41" s="65"/>
    </row>
    <row r="42" spans="2:24" x14ac:dyDescent="0.25">
      <c r="B42" s="268"/>
      <c r="C42" s="269"/>
      <c r="D42" s="269"/>
      <c r="E42" s="269"/>
      <c r="F42" s="269"/>
      <c r="G42" s="269"/>
      <c r="H42" s="269"/>
      <c r="I42" s="269"/>
      <c r="J42" s="269"/>
      <c r="K42" s="269"/>
      <c r="L42" s="269"/>
      <c r="M42" s="269"/>
      <c r="N42" s="269"/>
      <c r="O42" s="269"/>
      <c r="P42" s="269"/>
      <c r="Q42" s="269"/>
      <c r="R42" s="270"/>
      <c r="W42" s="64"/>
      <c r="X42" s="65"/>
    </row>
    <row r="43" spans="2:24" x14ac:dyDescent="0.25">
      <c r="B43" s="268"/>
      <c r="C43" s="269"/>
      <c r="D43" s="269"/>
      <c r="E43" s="269"/>
      <c r="F43" s="269"/>
      <c r="G43" s="269"/>
      <c r="H43" s="269"/>
      <c r="I43" s="269"/>
      <c r="J43" s="269"/>
      <c r="K43" s="269"/>
      <c r="L43" s="269"/>
      <c r="M43" s="269"/>
      <c r="N43" s="269"/>
      <c r="O43" s="269"/>
      <c r="P43" s="269"/>
      <c r="Q43" s="269"/>
      <c r="R43" s="270"/>
    </row>
    <row r="44" spans="2:24" x14ac:dyDescent="0.25">
      <c r="B44" s="268"/>
      <c r="C44" s="269"/>
      <c r="D44" s="269"/>
      <c r="E44" s="269"/>
      <c r="F44" s="269"/>
      <c r="G44" s="269"/>
      <c r="H44" s="269"/>
      <c r="I44" s="269"/>
      <c r="J44" s="269"/>
      <c r="K44" s="269"/>
      <c r="L44" s="269"/>
      <c r="M44" s="269"/>
      <c r="N44" s="269"/>
      <c r="O44" s="269"/>
      <c r="P44" s="269"/>
      <c r="Q44" s="269"/>
      <c r="R44" s="270"/>
    </row>
    <row r="45" spans="2:24" ht="15.75" thickBot="1" x14ac:dyDescent="0.3">
      <c r="B45" s="271"/>
      <c r="C45" s="272"/>
      <c r="D45" s="272"/>
      <c r="E45" s="272"/>
      <c r="F45" s="272"/>
      <c r="G45" s="272"/>
      <c r="H45" s="272"/>
      <c r="I45" s="272"/>
      <c r="J45" s="272"/>
      <c r="K45" s="272"/>
      <c r="L45" s="272"/>
      <c r="M45" s="272"/>
      <c r="N45" s="272"/>
      <c r="O45" s="272"/>
      <c r="P45" s="272"/>
      <c r="Q45" s="272"/>
      <c r="R45" s="273"/>
    </row>
  </sheetData>
  <sortState ref="W8:X26">
    <sortCondition descending="1" ref="X8"/>
  </sortState>
  <mergeCells count="3">
    <mergeCell ref="C3:S3"/>
    <mergeCell ref="D5:E5"/>
    <mergeCell ref="B39:R4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82641-2AC8-4C55-BF9D-33E47FCEFE9F}">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74" t="s">
        <v>155</v>
      </c>
      <c r="D3" s="275"/>
      <c r="E3" s="275"/>
      <c r="F3" s="275"/>
      <c r="G3" s="275"/>
      <c r="H3" s="275"/>
      <c r="I3" s="275"/>
      <c r="J3" s="275"/>
      <c r="K3" s="275"/>
      <c r="L3" s="275"/>
      <c r="M3" s="275"/>
      <c r="N3" s="275"/>
      <c r="O3" s="275"/>
      <c r="P3" s="275"/>
      <c r="Q3" s="275"/>
      <c r="R3" s="275"/>
      <c r="S3" s="275"/>
      <c r="T3" s="68"/>
      <c r="U3" s="69"/>
    </row>
    <row r="4" spans="1:24" ht="15.75" x14ac:dyDescent="0.25">
      <c r="B4" s="67"/>
      <c r="C4" s="70" t="s">
        <v>367</v>
      </c>
      <c r="D4" s="29"/>
      <c r="E4" s="29"/>
      <c r="F4" s="29"/>
      <c r="G4" s="29"/>
      <c r="H4" s="29"/>
      <c r="I4" s="29"/>
      <c r="J4" s="29"/>
      <c r="K4" s="29"/>
      <c r="L4" s="29"/>
      <c r="M4" s="29"/>
      <c r="N4" s="29"/>
      <c r="O4" s="29"/>
      <c r="P4" s="29"/>
      <c r="Q4" s="29"/>
      <c r="R4" s="29"/>
      <c r="S4" s="29"/>
      <c r="T4" s="29"/>
      <c r="U4" s="25"/>
    </row>
    <row r="5" spans="1:24" ht="20.25" x14ac:dyDescent="0.25">
      <c r="B5" s="67"/>
      <c r="C5" s="228" t="s">
        <v>366</v>
      </c>
      <c r="D5" s="278" t="s">
        <v>345</v>
      </c>
      <c r="E5" s="278"/>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8" t="s">
        <v>37</v>
      </c>
      <c r="D8" s="199" t="s">
        <v>119</v>
      </c>
      <c r="E8" s="200">
        <v>4.4892000000000001E-2</v>
      </c>
      <c r="F8" s="29"/>
      <c r="G8" s="29"/>
      <c r="H8" s="29"/>
      <c r="I8" s="29"/>
      <c r="J8" s="29"/>
      <c r="K8" s="29"/>
      <c r="L8" s="29"/>
      <c r="M8" s="29"/>
      <c r="N8" s="29"/>
      <c r="O8" s="29"/>
      <c r="P8" s="29"/>
      <c r="Q8" s="29"/>
      <c r="R8" s="29"/>
      <c r="S8" s="29"/>
      <c r="T8" s="29"/>
      <c r="U8" s="25"/>
      <c r="W8" s="184" t="s">
        <v>113</v>
      </c>
      <c r="X8" s="183">
        <v>0.13309199999999999</v>
      </c>
    </row>
    <row r="9" spans="1:24" ht="15.75" x14ac:dyDescent="0.25">
      <c r="B9" s="67"/>
      <c r="C9" s="192" t="s">
        <v>30</v>
      </c>
      <c r="D9" s="201" t="s">
        <v>119</v>
      </c>
      <c r="E9" s="202">
        <v>4.1731999999999998E-2</v>
      </c>
      <c r="F9" s="29"/>
      <c r="G9" s="29"/>
      <c r="H9" s="29"/>
      <c r="I9" s="29"/>
      <c r="J9" s="29"/>
      <c r="K9" s="29"/>
      <c r="L9" s="29"/>
      <c r="M9" s="29"/>
      <c r="N9" s="29"/>
      <c r="O9" s="29"/>
      <c r="P9" s="29"/>
      <c r="Q9" s="29"/>
      <c r="R9" s="29"/>
      <c r="S9" s="29"/>
      <c r="T9" s="29"/>
      <c r="U9" s="25"/>
      <c r="W9" s="184" t="s">
        <v>3</v>
      </c>
      <c r="X9" s="183">
        <v>0.10117699999999999</v>
      </c>
    </row>
    <row r="10" spans="1:24" ht="30" x14ac:dyDescent="0.25">
      <c r="B10" s="67"/>
      <c r="C10" s="192" t="s">
        <v>292</v>
      </c>
      <c r="D10" s="201" t="s">
        <v>113</v>
      </c>
      <c r="E10" s="202">
        <v>4.0518999999999999E-2</v>
      </c>
      <c r="F10" s="29"/>
      <c r="G10" s="29"/>
      <c r="H10" s="29"/>
      <c r="I10" s="29"/>
      <c r="J10" s="29"/>
      <c r="K10" s="29"/>
      <c r="L10" s="29"/>
      <c r="M10" s="29"/>
      <c r="N10" s="29"/>
      <c r="O10" s="29"/>
      <c r="P10" s="29"/>
      <c r="Q10" s="29"/>
      <c r="R10" s="29"/>
      <c r="S10" s="29"/>
      <c r="T10" s="29"/>
      <c r="U10" s="25"/>
      <c r="W10" s="184" t="s">
        <v>109</v>
      </c>
      <c r="X10" s="183">
        <v>0.100411</v>
      </c>
    </row>
    <row r="11" spans="1:24" ht="15.75" x14ac:dyDescent="0.25">
      <c r="B11" s="67"/>
      <c r="C11" s="192" t="s">
        <v>32</v>
      </c>
      <c r="D11" s="201" t="s">
        <v>3</v>
      </c>
      <c r="E11" s="202">
        <v>3.9364000000000003E-2</v>
      </c>
      <c r="F11" s="29"/>
      <c r="G11" s="29"/>
      <c r="H11" s="29"/>
      <c r="I11" s="29"/>
      <c r="J11" s="29"/>
      <c r="K11" s="29"/>
      <c r="L11" s="29"/>
      <c r="M11" s="29"/>
      <c r="N11" s="29"/>
      <c r="O11" s="29"/>
      <c r="P11" s="29"/>
      <c r="Q11" s="29"/>
      <c r="R11" s="29"/>
      <c r="S11" s="29"/>
      <c r="T11" s="29"/>
      <c r="U11" s="25"/>
      <c r="W11" s="184" t="s">
        <v>16</v>
      </c>
      <c r="X11" s="183">
        <v>0.100061</v>
      </c>
    </row>
    <row r="12" spans="1:24" ht="15.75" x14ac:dyDescent="0.25">
      <c r="B12" s="67"/>
      <c r="C12" s="192" t="s">
        <v>262</v>
      </c>
      <c r="D12" s="201" t="s">
        <v>16</v>
      </c>
      <c r="E12" s="202">
        <v>3.8883000000000001E-2</v>
      </c>
      <c r="F12" s="29"/>
      <c r="G12" s="29"/>
      <c r="H12" s="29"/>
      <c r="I12" s="29"/>
      <c r="J12" s="29"/>
      <c r="K12" s="29"/>
      <c r="L12" s="29"/>
      <c r="M12" s="29"/>
      <c r="N12" s="29"/>
      <c r="O12" s="29"/>
      <c r="P12" s="29"/>
      <c r="Q12" s="29"/>
      <c r="R12" s="29"/>
      <c r="S12" s="29"/>
      <c r="T12" s="29"/>
      <c r="U12" s="25"/>
      <c r="W12" s="184" t="s">
        <v>119</v>
      </c>
      <c r="X12" s="183">
        <v>8.6624000000000007E-2</v>
      </c>
    </row>
    <row r="13" spans="1:24" ht="15.75" x14ac:dyDescent="0.25">
      <c r="B13" s="67"/>
      <c r="C13" s="192" t="s">
        <v>89</v>
      </c>
      <c r="D13" s="201" t="s">
        <v>110</v>
      </c>
      <c r="E13" s="202">
        <v>3.7601000000000002E-2</v>
      </c>
      <c r="F13" s="29"/>
      <c r="G13" s="29"/>
      <c r="H13" s="29"/>
      <c r="I13" s="29"/>
      <c r="J13" s="29"/>
      <c r="K13" s="29"/>
      <c r="L13" s="29"/>
      <c r="M13" s="29"/>
      <c r="N13" s="29"/>
      <c r="O13" s="29"/>
      <c r="P13" s="29"/>
      <c r="Q13" s="29"/>
      <c r="R13" s="29"/>
      <c r="S13" s="29"/>
      <c r="T13" s="29"/>
      <c r="U13" s="25"/>
      <c r="W13" s="184" t="s">
        <v>110</v>
      </c>
      <c r="X13" s="183">
        <v>7.0776000000000006E-2</v>
      </c>
    </row>
    <row r="14" spans="1:24" ht="15.75" x14ac:dyDescent="0.25">
      <c r="B14" s="67"/>
      <c r="C14" s="192" t="s">
        <v>33</v>
      </c>
      <c r="D14" s="201" t="s">
        <v>109</v>
      </c>
      <c r="E14" s="202">
        <v>3.7552000000000002E-2</v>
      </c>
      <c r="F14" s="29"/>
      <c r="G14" s="29"/>
      <c r="H14" s="29"/>
      <c r="I14" s="29"/>
      <c r="J14" s="29"/>
      <c r="K14" s="29"/>
      <c r="L14" s="29"/>
      <c r="M14" s="29"/>
      <c r="N14" s="29"/>
      <c r="O14" s="29"/>
      <c r="P14" s="29"/>
      <c r="Q14" s="29"/>
      <c r="R14" s="29"/>
      <c r="S14" s="29"/>
      <c r="T14" s="29"/>
      <c r="U14" s="25"/>
      <c r="W14" s="184" t="s">
        <v>123</v>
      </c>
      <c r="X14" s="183">
        <v>6.3134999999999997E-2</v>
      </c>
    </row>
    <row r="15" spans="1:24" ht="15.75" x14ac:dyDescent="0.25">
      <c r="B15" s="67"/>
      <c r="C15" s="192" t="s">
        <v>305</v>
      </c>
      <c r="D15" s="201" t="s">
        <v>87</v>
      </c>
      <c r="E15" s="202">
        <v>3.7154E-2</v>
      </c>
      <c r="F15" s="29"/>
      <c r="G15" s="29"/>
      <c r="H15" s="29"/>
      <c r="I15" s="29"/>
      <c r="J15" s="29"/>
      <c r="K15" s="29"/>
      <c r="L15" s="29"/>
      <c r="M15" s="29"/>
      <c r="N15" s="29"/>
      <c r="O15" s="29"/>
      <c r="P15" s="29"/>
      <c r="Q15" s="29"/>
      <c r="R15" s="29"/>
      <c r="S15" s="29"/>
      <c r="T15" s="29"/>
      <c r="U15" s="25"/>
      <c r="W15" s="184" t="s">
        <v>114</v>
      </c>
      <c r="X15" s="183">
        <v>5.2295999999999995E-2</v>
      </c>
    </row>
    <row r="16" spans="1:24" ht="15.75" x14ac:dyDescent="0.25">
      <c r="B16" s="67"/>
      <c r="C16" s="192" t="s">
        <v>70</v>
      </c>
      <c r="D16" s="201" t="s">
        <v>12</v>
      </c>
      <c r="E16" s="202">
        <v>3.6685000000000002E-2</v>
      </c>
      <c r="F16" s="29"/>
      <c r="G16" s="29"/>
      <c r="H16" s="29"/>
      <c r="I16" s="29"/>
      <c r="J16" s="29"/>
      <c r="K16" s="29"/>
      <c r="L16" s="29"/>
      <c r="M16" s="29"/>
      <c r="N16" s="29"/>
      <c r="O16" s="29"/>
      <c r="P16" s="29"/>
      <c r="Q16" s="29"/>
      <c r="R16" s="29"/>
      <c r="S16" s="29"/>
      <c r="T16" s="29"/>
      <c r="U16" s="25"/>
      <c r="W16" s="184" t="s">
        <v>87</v>
      </c>
      <c r="X16" s="183">
        <v>3.7154E-2</v>
      </c>
    </row>
    <row r="17" spans="2:24" ht="30" x14ac:dyDescent="0.25">
      <c r="B17" s="67"/>
      <c r="C17" s="192" t="s">
        <v>64</v>
      </c>
      <c r="D17" s="201" t="s">
        <v>84</v>
      </c>
      <c r="E17" s="202">
        <v>3.6567000000000002E-2</v>
      </c>
      <c r="F17" s="29"/>
      <c r="G17" s="29"/>
      <c r="H17" s="29"/>
      <c r="I17" s="29"/>
      <c r="J17" s="29"/>
      <c r="K17" s="29"/>
      <c r="L17" s="29"/>
      <c r="M17" s="29"/>
      <c r="N17" s="29"/>
      <c r="O17" s="29"/>
      <c r="P17" s="29"/>
      <c r="Q17" s="29"/>
      <c r="R17" s="29"/>
      <c r="S17" s="29"/>
      <c r="T17" s="29"/>
      <c r="U17" s="25"/>
      <c r="W17" s="184" t="s">
        <v>12</v>
      </c>
      <c r="X17" s="183">
        <v>3.6685000000000002E-2</v>
      </c>
    </row>
    <row r="18" spans="2:24" ht="15.75" x14ac:dyDescent="0.25">
      <c r="B18" s="67"/>
      <c r="C18" s="192" t="s">
        <v>31</v>
      </c>
      <c r="D18" s="201" t="s">
        <v>6</v>
      </c>
      <c r="E18" s="202">
        <v>3.6316000000000001E-2</v>
      </c>
      <c r="F18" s="29"/>
      <c r="G18" s="29"/>
      <c r="H18" s="29"/>
      <c r="I18" s="29"/>
      <c r="J18" s="29"/>
      <c r="K18" s="29"/>
      <c r="L18" s="29"/>
      <c r="M18" s="29"/>
      <c r="N18" s="29"/>
      <c r="O18" s="29"/>
      <c r="P18" s="29"/>
      <c r="Q18" s="29"/>
      <c r="R18" s="29"/>
      <c r="S18" s="29"/>
      <c r="T18" s="29"/>
      <c r="U18" s="25"/>
      <c r="W18" s="184" t="s">
        <v>84</v>
      </c>
      <c r="X18" s="183">
        <v>3.6567000000000002E-2</v>
      </c>
    </row>
    <row r="19" spans="2:24" ht="30" x14ac:dyDescent="0.25">
      <c r="B19" s="67"/>
      <c r="C19" s="192" t="s">
        <v>144</v>
      </c>
      <c r="D19" s="201" t="s">
        <v>113</v>
      </c>
      <c r="E19" s="202">
        <v>3.5503E-2</v>
      </c>
      <c r="F19" s="29"/>
      <c r="G19" s="29"/>
      <c r="H19" s="29"/>
      <c r="I19" s="29"/>
      <c r="J19" s="29"/>
      <c r="K19" s="29"/>
      <c r="L19" s="29"/>
      <c r="M19" s="29"/>
      <c r="N19" s="29"/>
      <c r="O19" s="29"/>
      <c r="P19" s="29"/>
      <c r="Q19" s="29"/>
      <c r="R19" s="29"/>
      <c r="S19" s="29"/>
      <c r="T19" s="29"/>
      <c r="U19" s="25"/>
      <c r="W19" s="184" t="s">
        <v>6</v>
      </c>
      <c r="X19" s="183">
        <v>3.6316000000000001E-2</v>
      </c>
    </row>
    <row r="20" spans="2:24" ht="15.75" x14ac:dyDescent="0.25">
      <c r="B20" s="67"/>
      <c r="C20" s="192" t="s">
        <v>294</v>
      </c>
      <c r="D20" s="201" t="s">
        <v>110</v>
      </c>
      <c r="E20" s="202">
        <v>3.3175000000000003E-2</v>
      </c>
      <c r="F20" s="29"/>
      <c r="G20" s="29"/>
      <c r="H20" s="29"/>
      <c r="I20" s="29"/>
      <c r="J20" s="29"/>
      <c r="K20" s="29"/>
      <c r="L20" s="29"/>
      <c r="M20" s="29"/>
      <c r="N20" s="29"/>
      <c r="O20" s="29"/>
      <c r="P20" s="29"/>
      <c r="Q20" s="29"/>
      <c r="R20" s="29"/>
      <c r="S20" s="29"/>
      <c r="T20" s="29"/>
      <c r="U20" s="25"/>
      <c r="W20" s="184" t="s">
        <v>23</v>
      </c>
      <c r="X20" s="183">
        <v>3.1396E-2</v>
      </c>
    </row>
    <row r="21" spans="2:24" ht="15.75" x14ac:dyDescent="0.25">
      <c r="B21" s="67"/>
      <c r="C21" s="192" t="s">
        <v>359</v>
      </c>
      <c r="D21" s="201" t="s">
        <v>123</v>
      </c>
      <c r="E21" s="202">
        <v>3.3162999999999998E-2</v>
      </c>
      <c r="F21" s="29"/>
      <c r="G21" s="29"/>
      <c r="H21" s="29"/>
      <c r="I21" s="29"/>
      <c r="J21" s="29"/>
      <c r="K21" s="29"/>
      <c r="L21" s="29"/>
      <c r="M21" s="29"/>
      <c r="N21" s="29"/>
      <c r="O21" s="29"/>
      <c r="P21" s="29"/>
      <c r="Q21" s="29"/>
      <c r="R21" s="29"/>
      <c r="S21" s="29"/>
      <c r="T21" s="29"/>
      <c r="U21" s="25"/>
      <c r="W21" s="184" t="s">
        <v>117</v>
      </c>
      <c r="X21" s="183">
        <v>3.0662999999999999E-2</v>
      </c>
    </row>
    <row r="22" spans="2:24" ht="15.75" x14ac:dyDescent="0.25">
      <c r="B22" s="67"/>
      <c r="C22" s="192" t="s">
        <v>200</v>
      </c>
      <c r="D22" s="201" t="s">
        <v>109</v>
      </c>
      <c r="E22" s="202">
        <v>3.3134999999999998E-2</v>
      </c>
      <c r="F22" s="29"/>
      <c r="G22" s="29"/>
      <c r="H22" s="29"/>
      <c r="I22" s="29"/>
      <c r="J22" s="29"/>
      <c r="K22" s="29"/>
      <c r="L22" s="29"/>
      <c r="M22" s="29"/>
      <c r="N22" s="29"/>
      <c r="O22" s="29"/>
      <c r="P22" s="29"/>
      <c r="Q22" s="29"/>
      <c r="R22" s="29"/>
      <c r="S22" s="29"/>
      <c r="T22" s="29"/>
      <c r="U22" s="25"/>
      <c r="W22" s="64" t="s">
        <v>10</v>
      </c>
      <c r="X22" s="65">
        <v>2.9314E-2</v>
      </c>
    </row>
    <row r="23" spans="2:24" x14ac:dyDescent="0.25">
      <c r="B23" s="67"/>
      <c r="C23" s="74"/>
      <c r="D23" s="74"/>
      <c r="E23" s="75"/>
      <c r="F23" s="29"/>
      <c r="G23" s="29"/>
      <c r="H23" s="29"/>
      <c r="I23" s="29"/>
      <c r="J23" s="29"/>
      <c r="K23" s="29"/>
      <c r="L23" s="29"/>
      <c r="M23" s="29"/>
      <c r="N23" s="29"/>
      <c r="O23" s="29"/>
      <c r="P23" s="29"/>
      <c r="Q23" s="29"/>
      <c r="R23" s="29"/>
      <c r="S23" s="29"/>
      <c r="T23" s="29"/>
      <c r="U23" s="25"/>
      <c r="W23" s="64" t="s">
        <v>112</v>
      </c>
      <c r="X23" s="65">
        <v>2.8934999999999999E-2</v>
      </c>
    </row>
    <row r="24" spans="2:24" ht="15.75" x14ac:dyDescent="0.25">
      <c r="B24" s="67"/>
      <c r="C24" s="76" t="s">
        <v>55</v>
      </c>
      <c r="D24" s="77"/>
      <c r="E24" s="78">
        <f>SUM(E8:E22)</f>
        <v>0.5622410000000001</v>
      </c>
      <c r="F24" s="29"/>
      <c r="G24" s="29"/>
      <c r="H24" s="29"/>
      <c r="I24" s="29"/>
      <c r="J24" s="29"/>
      <c r="K24" s="29"/>
      <c r="L24" s="29"/>
      <c r="M24" s="29"/>
      <c r="N24" s="29"/>
      <c r="O24" s="29"/>
      <c r="P24" s="29"/>
      <c r="Q24" s="29"/>
      <c r="R24" s="29"/>
      <c r="S24" s="29"/>
      <c r="T24" s="29"/>
      <c r="U24" s="25"/>
      <c r="W24" s="64" t="s">
        <v>118</v>
      </c>
      <c r="X24" s="65">
        <v>2.8400000000000002E-2</v>
      </c>
    </row>
    <row r="25" spans="2:24" x14ac:dyDescent="0.25">
      <c r="B25" s="67"/>
      <c r="C25" s="29"/>
      <c r="D25" s="29"/>
      <c r="E25" s="29"/>
      <c r="F25" s="29"/>
      <c r="G25" s="29"/>
      <c r="H25" s="29"/>
      <c r="I25" s="29"/>
      <c r="J25" s="29"/>
      <c r="K25" s="29"/>
      <c r="L25" s="29"/>
      <c r="M25" s="29"/>
      <c r="N25" s="29"/>
      <c r="O25" s="29"/>
      <c r="P25" s="29"/>
      <c r="Q25" s="29"/>
      <c r="R25" s="29"/>
      <c r="S25" s="29"/>
      <c r="T25" s="29"/>
      <c r="U25" s="25"/>
      <c r="W25" s="64"/>
      <c r="X25" s="65"/>
    </row>
    <row r="26" spans="2:24"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65" t="s">
        <v>186</v>
      </c>
      <c r="C39" s="266"/>
      <c r="D39" s="266"/>
      <c r="E39" s="266"/>
      <c r="F39" s="266"/>
      <c r="G39" s="266"/>
      <c r="H39" s="266"/>
      <c r="I39" s="266"/>
      <c r="J39" s="266"/>
      <c r="K39" s="266"/>
      <c r="L39" s="266"/>
      <c r="M39" s="266"/>
      <c r="N39" s="266"/>
      <c r="O39" s="266"/>
      <c r="P39" s="266"/>
      <c r="Q39" s="266"/>
      <c r="R39" s="267"/>
      <c r="W39" s="64"/>
      <c r="X39" s="65"/>
    </row>
    <row r="40" spans="2:24" x14ac:dyDescent="0.25">
      <c r="B40" s="268"/>
      <c r="C40" s="269"/>
      <c r="D40" s="269"/>
      <c r="E40" s="269"/>
      <c r="F40" s="269"/>
      <c r="G40" s="269"/>
      <c r="H40" s="269"/>
      <c r="I40" s="269"/>
      <c r="J40" s="269"/>
      <c r="K40" s="269"/>
      <c r="L40" s="269"/>
      <c r="M40" s="269"/>
      <c r="N40" s="269"/>
      <c r="O40" s="269"/>
      <c r="P40" s="269"/>
      <c r="Q40" s="269"/>
      <c r="R40" s="270"/>
      <c r="W40" s="64"/>
      <c r="X40" s="65"/>
    </row>
    <row r="41" spans="2:24" x14ac:dyDescent="0.25">
      <c r="B41" s="268"/>
      <c r="C41" s="269"/>
      <c r="D41" s="269"/>
      <c r="E41" s="269"/>
      <c r="F41" s="269"/>
      <c r="G41" s="269"/>
      <c r="H41" s="269"/>
      <c r="I41" s="269"/>
      <c r="J41" s="269"/>
      <c r="K41" s="269"/>
      <c r="L41" s="269"/>
      <c r="M41" s="269"/>
      <c r="N41" s="269"/>
      <c r="O41" s="269"/>
      <c r="P41" s="269"/>
      <c r="Q41" s="269"/>
      <c r="R41" s="270"/>
      <c r="W41" s="64"/>
      <c r="X41" s="65"/>
    </row>
    <row r="42" spans="2:24" x14ac:dyDescent="0.25">
      <c r="B42" s="268"/>
      <c r="C42" s="269"/>
      <c r="D42" s="269"/>
      <c r="E42" s="269"/>
      <c r="F42" s="269"/>
      <c r="G42" s="269"/>
      <c r="H42" s="269"/>
      <c r="I42" s="269"/>
      <c r="J42" s="269"/>
      <c r="K42" s="269"/>
      <c r="L42" s="269"/>
      <c r="M42" s="269"/>
      <c r="N42" s="269"/>
      <c r="O42" s="269"/>
      <c r="P42" s="269"/>
      <c r="Q42" s="269"/>
      <c r="R42" s="270"/>
      <c r="W42" s="64"/>
      <c r="X42" s="65"/>
    </row>
    <row r="43" spans="2:24" x14ac:dyDescent="0.25">
      <c r="B43" s="268"/>
      <c r="C43" s="269"/>
      <c r="D43" s="269"/>
      <c r="E43" s="269"/>
      <c r="F43" s="269"/>
      <c r="G43" s="269"/>
      <c r="H43" s="269"/>
      <c r="I43" s="269"/>
      <c r="J43" s="269"/>
      <c r="K43" s="269"/>
      <c r="L43" s="269"/>
      <c r="M43" s="269"/>
      <c r="N43" s="269"/>
      <c r="O43" s="269"/>
      <c r="P43" s="269"/>
      <c r="Q43" s="269"/>
      <c r="R43" s="270"/>
    </row>
    <row r="44" spans="2:24" x14ac:dyDescent="0.25">
      <c r="B44" s="268"/>
      <c r="C44" s="269"/>
      <c r="D44" s="269"/>
      <c r="E44" s="269"/>
      <c r="F44" s="269"/>
      <c r="G44" s="269"/>
      <c r="H44" s="269"/>
      <c r="I44" s="269"/>
      <c r="J44" s="269"/>
      <c r="K44" s="269"/>
      <c r="L44" s="269"/>
      <c r="M44" s="269"/>
      <c r="N44" s="269"/>
      <c r="O44" s="269"/>
      <c r="P44" s="269"/>
      <c r="Q44" s="269"/>
      <c r="R44" s="270"/>
    </row>
    <row r="45" spans="2:24" ht="15.75" thickBot="1" x14ac:dyDescent="0.3">
      <c r="B45" s="271"/>
      <c r="C45" s="272"/>
      <c r="D45" s="272"/>
      <c r="E45" s="272"/>
      <c r="F45" s="272"/>
      <c r="G45" s="272"/>
      <c r="H45" s="272"/>
      <c r="I45" s="272"/>
      <c r="J45" s="272"/>
      <c r="K45" s="272"/>
      <c r="L45" s="272"/>
      <c r="M45" s="272"/>
      <c r="N45" s="272"/>
      <c r="O45" s="272"/>
      <c r="P45" s="272"/>
      <c r="Q45" s="272"/>
      <c r="R45" s="273"/>
    </row>
  </sheetData>
  <sortState ref="W8:X21">
    <sortCondition descending="1" ref="X8"/>
  </sortState>
  <mergeCells count="3">
    <mergeCell ref="C3:S3"/>
    <mergeCell ref="D5:E5"/>
    <mergeCell ref="B39:R4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16D5-2AB5-43DC-86FC-AA60F2E11B6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74" t="s">
        <v>202</v>
      </c>
      <c r="D3" s="275"/>
      <c r="E3" s="275"/>
      <c r="F3" s="275"/>
      <c r="G3" s="275"/>
      <c r="H3" s="275"/>
      <c r="I3" s="275"/>
      <c r="J3" s="275"/>
      <c r="K3" s="275"/>
      <c r="L3" s="275"/>
      <c r="M3" s="275"/>
      <c r="N3" s="275"/>
      <c r="O3" s="275"/>
      <c r="P3" s="275"/>
      <c r="Q3" s="275"/>
      <c r="R3" s="275"/>
      <c r="S3" s="275"/>
      <c r="T3" s="68"/>
      <c r="U3" s="69"/>
    </row>
    <row r="4" spans="1:24" ht="15.75" x14ac:dyDescent="0.25">
      <c r="B4" s="67"/>
      <c r="C4" s="70" t="s">
        <v>367</v>
      </c>
      <c r="D4" s="29"/>
      <c r="E4" s="29"/>
      <c r="F4" s="29"/>
      <c r="G4" s="29"/>
      <c r="H4" s="29"/>
      <c r="I4" s="29"/>
      <c r="J4" s="29"/>
      <c r="K4" s="29"/>
      <c r="L4" s="29"/>
      <c r="M4" s="29"/>
      <c r="N4" s="29"/>
      <c r="O4" s="29"/>
      <c r="P4" s="29"/>
      <c r="Q4" s="29"/>
      <c r="R4" s="29"/>
      <c r="S4" s="29"/>
      <c r="T4" s="29"/>
      <c r="U4" s="25"/>
    </row>
    <row r="5" spans="1:24" ht="20.25" x14ac:dyDescent="0.25">
      <c r="B5" s="67"/>
      <c r="C5" s="228" t="s">
        <v>366</v>
      </c>
      <c r="D5" s="278" t="s">
        <v>346</v>
      </c>
      <c r="E5" s="278"/>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8" t="s">
        <v>28</v>
      </c>
      <c r="D8" s="199" t="s">
        <v>109</v>
      </c>
      <c r="E8" s="200">
        <v>0.28466900000000001</v>
      </c>
      <c r="F8" s="29"/>
      <c r="G8" s="29"/>
      <c r="H8" s="29"/>
      <c r="I8" s="29"/>
      <c r="J8" s="29"/>
      <c r="K8" s="29"/>
      <c r="L8" s="29"/>
      <c r="M8" s="29"/>
      <c r="N8" s="29"/>
      <c r="O8" s="29"/>
      <c r="P8" s="29"/>
      <c r="Q8" s="29"/>
      <c r="R8" s="29"/>
      <c r="S8" s="29"/>
      <c r="T8" s="29"/>
      <c r="U8" s="25"/>
      <c r="W8" t="s">
        <v>109</v>
      </c>
      <c r="X8" s="183">
        <v>0.97865900000000006</v>
      </c>
    </row>
    <row r="9" spans="1:24" ht="15.75" x14ac:dyDescent="0.25">
      <c r="B9" s="67"/>
      <c r="C9" s="192" t="s">
        <v>33</v>
      </c>
      <c r="D9" s="201" t="s">
        <v>109</v>
      </c>
      <c r="E9" s="202">
        <v>0.246333</v>
      </c>
      <c r="F9" s="29"/>
      <c r="G9" s="29"/>
      <c r="H9" s="29"/>
      <c r="I9" s="29"/>
      <c r="J9" s="29"/>
      <c r="K9" s="29"/>
      <c r="L9" s="29"/>
      <c r="M9" s="29"/>
      <c r="N9" s="29"/>
      <c r="O9" s="29"/>
      <c r="P9" s="29"/>
      <c r="Q9" s="29"/>
      <c r="R9" s="29"/>
      <c r="S9" s="29"/>
      <c r="T9" s="29"/>
      <c r="U9" s="25"/>
      <c r="W9" t="s">
        <v>116</v>
      </c>
      <c r="X9" s="183">
        <v>1.5330999999999999E-2</v>
      </c>
    </row>
    <row r="10" spans="1:24" ht="15.75" x14ac:dyDescent="0.25">
      <c r="B10" s="67"/>
      <c r="C10" s="192" t="s">
        <v>200</v>
      </c>
      <c r="D10" s="201" t="s">
        <v>109</v>
      </c>
      <c r="E10" s="202">
        <v>9.6393000000000006E-2</v>
      </c>
      <c r="F10" s="29"/>
      <c r="G10" s="29"/>
      <c r="H10" s="29"/>
      <c r="I10" s="29"/>
      <c r="J10" s="29"/>
      <c r="K10" s="29"/>
      <c r="L10" s="29"/>
      <c r="M10" s="29"/>
      <c r="N10" s="29"/>
      <c r="O10" s="29"/>
      <c r="P10" s="29"/>
      <c r="Q10" s="29"/>
      <c r="R10" s="29"/>
      <c r="S10" s="29"/>
      <c r="T10" s="29"/>
      <c r="U10" s="25"/>
      <c r="W10" s="184"/>
      <c r="X10" s="183"/>
    </row>
    <row r="11" spans="1:24" ht="15.75" x14ac:dyDescent="0.25">
      <c r="B11" s="67"/>
      <c r="C11" s="192" t="s">
        <v>199</v>
      </c>
      <c r="D11" s="201" t="s">
        <v>109</v>
      </c>
      <c r="E11" s="202">
        <v>9.2493000000000006E-2</v>
      </c>
      <c r="F11" s="29"/>
      <c r="G11" s="29"/>
      <c r="H11" s="29"/>
      <c r="I11" s="29"/>
      <c r="J11" s="29"/>
      <c r="K11" s="29"/>
      <c r="L11" s="29"/>
      <c r="M11" s="29"/>
      <c r="N11" s="29"/>
      <c r="O11" s="29"/>
      <c r="P11" s="29"/>
      <c r="Q11" s="29"/>
      <c r="R11" s="29"/>
      <c r="S11" s="29"/>
      <c r="T11" s="29"/>
      <c r="U11" s="25"/>
      <c r="W11" s="184"/>
      <c r="X11" s="183"/>
    </row>
    <row r="12" spans="1:24" ht="15.75" x14ac:dyDescent="0.25">
      <c r="B12" s="67"/>
      <c r="C12" s="192" t="s">
        <v>198</v>
      </c>
      <c r="D12" s="201" t="s">
        <v>109</v>
      </c>
      <c r="E12" s="202">
        <v>7.8825999999999993E-2</v>
      </c>
      <c r="F12" s="29"/>
      <c r="G12" s="29"/>
      <c r="H12" s="29"/>
      <c r="I12" s="29"/>
      <c r="J12" s="29"/>
      <c r="K12" s="29"/>
      <c r="L12" s="29"/>
      <c r="M12" s="29"/>
      <c r="N12" s="29"/>
      <c r="O12" s="29"/>
      <c r="P12" s="29"/>
      <c r="Q12" s="29"/>
      <c r="R12" s="29"/>
      <c r="S12" s="29"/>
      <c r="T12" s="29"/>
      <c r="U12" s="25"/>
      <c r="W12" s="184"/>
      <c r="X12" s="183"/>
    </row>
    <row r="13" spans="1:24" ht="15.75" x14ac:dyDescent="0.25">
      <c r="B13" s="67"/>
      <c r="C13" s="192" t="s">
        <v>151</v>
      </c>
      <c r="D13" s="201" t="s">
        <v>109</v>
      </c>
      <c r="E13" s="202">
        <v>5.5559999999999998E-2</v>
      </c>
      <c r="F13" s="29"/>
      <c r="G13" s="29"/>
      <c r="H13" s="29"/>
      <c r="I13" s="29"/>
      <c r="J13" s="29"/>
      <c r="K13" s="29"/>
      <c r="L13" s="29"/>
      <c r="M13" s="29"/>
      <c r="N13" s="29"/>
      <c r="O13" s="29"/>
      <c r="P13" s="29"/>
      <c r="Q13" s="29"/>
      <c r="R13" s="29"/>
      <c r="S13" s="29"/>
      <c r="T13" s="29"/>
      <c r="U13" s="25"/>
      <c r="W13" s="184"/>
      <c r="X13" s="183"/>
    </row>
    <row r="14" spans="1:24" ht="15.75" x14ac:dyDescent="0.25">
      <c r="B14" s="67"/>
      <c r="C14" s="192" t="s">
        <v>195</v>
      </c>
      <c r="D14" s="201" t="s">
        <v>109</v>
      </c>
      <c r="E14" s="202">
        <v>5.4126000000000001E-2</v>
      </c>
      <c r="F14" s="29"/>
      <c r="G14" s="29"/>
      <c r="H14" s="29"/>
      <c r="I14" s="29"/>
      <c r="J14" s="29"/>
      <c r="K14" s="29"/>
      <c r="L14" s="29"/>
      <c r="M14" s="29"/>
      <c r="N14" s="29"/>
      <c r="O14" s="29"/>
      <c r="P14" s="29"/>
      <c r="Q14" s="29"/>
      <c r="R14" s="29"/>
      <c r="S14" s="29"/>
      <c r="T14" s="29"/>
      <c r="U14" s="25"/>
      <c r="W14" s="184"/>
      <c r="X14" s="183"/>
    </row>
    <row r="15" spans="1:24" ht="15.75" x14ac:dyDescent="0.25">
      <c r="B15" s="67"/>
      <c r="C15" s="192" t="s">
        <v>201</v>
      </c>
      <c r="D15" s="201" t="s">
        <v>109</v>
      </c>
      <c r="E15" s="202">
        <v>4.4524000000000001E-2</v>
      </c>
      <c r="F15" s="29"/>
      <c r="G15" s="29"/>
      <c r="H15" s="29"/>
      <c r="I15" s="29"/>
      <c r="J15" s="29"/>
      <c r="K15" s="29"/>
      <c r="L15" s="29"/>
      <c r="M15" s="29"/>
      <c r="N15" s="29"/>
      <c r="O15" s="29"/>
      <c r="P15" s="29"/>
      <c r="Q15" s="29"/>
      <c r="R15" s="29"/>
      <c r="S15" s="29"/>
      <c r="T15" s="29"/>
      <c r="U15" s="25"/>
      <c r="W15" s="184"/>
      <c r="X15" s="183"/>
    </row>
    <row r="16" spans="1:24" ht="15.75" x14ac:dyDescent="0.25">
      <c r="B16" s="67"/>
      <c r="C16" s="192" t="s">
        <v>360</v>
      </c>
      <c r="D16" s="201" t="s">
        <v>109</v>
      </c>
      <c r="E16" s="202">
        <v>2.5735000000000001E-2</v>
      </c>
      <c r="F16" s="29"/>
      <c r="G16" s="29"/>
      <c r="H16" s="29"/>
      <c r="I16" s="29"/>
      <c r="J16" s="29"/>
      <c r="K16" s="29"/>
      <c r="L16" s="29"/>
      <c r="M16" s="29"/>
      <c r="N16" s="29"/>
      <c r="O16" s="29"/>
      <c r="P16" s="29"/>
      <c r="Q16" s="29"/>
      <c r="R16" s="29"/>
      <c r="S16" s="29"/>
      <c r="T16" s="29"/>
      <c r="U16" s="25"/>
      <c r="W16" s="184"/>
      <c r="X16" s="183"/>
    </row>
    <row r="17" spans="2:24" ht="15.75" x14ac:dyDescent="0.25">
      <c r="B17" s="67"/>
      <c r="C17" s="192" t="s">
        <v>194</v>
      </c>
      <c r="D17" s="201" t="s">
        <v>116</v>
      </c>
      <c r="E17" s="202">
        <v>1.5330999999999999E-2</v>
      </c>
      <c r="F17" s="29"/>
      <c r="G17" s="29"/>
      <c r="H17" s="29"/>
      <c r="I17" s="29"/>
      <c r="J17" s="29"/>
      <c r="K17" s="29"/>
      <c r="L17" s="29"/>
      <c r="M17" s="29"/>
      <c r="N17" s="29"/>
      <c r="O17" s="29"/>
      <c r="P17" s="29"/>
      <c r="Q17" s="29"/>
      <c r="R17" s="29"/>
      <c r="S17" s="29"/>
      <c r="T17" s="29"/>
      <c r="U17" s="25"/>
      <c r="W17" s="184"/>
      <c r="X17" s="183"/>
    </row>
    <row r="18" spans="2:24" ht="15.75" x14ac:dyDescent="0.25">
      <c r="B18" s="67"/>
      <c r="C18" s="192"/>
      <c r="D18" s="201"/>
      <c r="E18" s="202"/>
      <c r="F18" s="29"/>
      <c r="G18" s="29"/>
      <c r="H18" s="29"/>
      <c r="I18" s="29"/>
      <c r="J18" s="29"/>
      <c r="K18" s="29"/>
      <c r="L18" s="29"/>
      <c r="M18" s="29"/>
      <c r="N18" s="29"/>
      <c r="O18" s="29"/>
      <c r="P18" s="29"/>
      <c r="Q18" s="29"/>
      <c r="R18" s="29"/>
      <c r="S18" s="29"/>
      <c r="T18" s="29"/>
      <c r="U18" s="25"/>
      <c r="W18" s="184"/>
      <c r="X18" s="183"/>
    </row>
    <row r="19" spans="2:24" ht="15.75" x14ac:dyDescent="0.25">
      <c r="B19" s="67"/>
      <c r="C19" s="76" t="s">
        <v>55</v>
      </c>
      <c r="D19" s="77"/>
      <c r="E19" s="78">
        <f>SUM(E8:E17)</f>
        <v>0.99398999999999993</v>
      </c>
      <c r="F19" s="29"/>
      <c r="G19" s="29"/>
      <c r="H19" s="29"/>
      <c r="I19" s="29"/>
      <c r="J19" s="29"/>
      <c r="K19" s="29"/>
      <c r="L19" s="29"/>
      <c r="M19" s="29"/>
      <c r="N19" s="29"/>
      <c r="O19" s="29"/>
      <c r="P19" s="29"/>
      <c r="Q19" s="29"/>
      <c r="R19" s="29"/>
      <c r="S19" s="29"/>
      <c r="T19" s="29"/>
      <c r="U19" s="25"/>
      <c r="W19" s="184"/>
      <c r="X19" s="183"/>
    </row>
    <row r="20" spans="2:24" x14ac:dyDescent="0.25">
      <c r="B20" s="67"/>
      <c r="C20" s="29"/>
      <c r="D20" s="29"/>
      <c r="E20" s="29"/>
      <c r="F20" s="29"/>
      <c r="G20" s="29"/>
      <c r="H20" s="29"/>
      <c r="I20" s="29"/>
      <c r="J20" s="29"/>
      <c r="K20" s="29"/>
      <c r="L20" s="29"/>
      <c r="M20" s="29"/>
      <c r="N20" s="29"/>
      <c r="O20" s="29"/>
      <c r="P20" s="29"/>
      <c r="Q20" s="29"/>
      <c r="R20" s="29"/>
      <c r="S20" s="29"/>
      <c r="T20" s="29"/>
      <c r="U20" s="25"/>
      <c r="W20" s="184"/>
      <c r="X20" s="183"/>
    </row>
    <row r="21" spans="2:24" x14ac:dyDescent="0.25">
      <c r="B21" s="67"/>
      <c r="C21" s="29"/>
      <c r="D21" s="29"/>
      <c r="E21" s="29"/>
      <c r="F21" s="29"/>
      <c r="G21" s="29"/>
      <c r="H21" s="29"/>
      <c r="I21" s="29"/>
      <c r="J21" s="29"/>
      <c r="K21" s="29"/>
      <c r="L21" s="29"/>
      <c r="M21" s="29"/>
      <c r="N21" s="29"/>
      <c r="O21" s="29"/>
      <c r="P21" s="29"/>
      <c r="Q21" s="29"/>
      <c r="R21" s="29"/>
      <c r="S21" s="29"/>
      <c r="T21" s="29"/>
      <c r="U21" s="25"/>
      <c r="W21" s="184"/>
      <c r="X21" s="183"/>
    </row>
    <row r="22" spans="2:24" x14ac:dyDescent="0.25">
      <c r="B22" s="67"/>
      <c r="C22" s="29"/>
      <c r="D22" s="29"/>
      <c r="E22" s="29"/>
      <c r="F22" s="29"/>
      <c r="G22" s="29"/>
      <c r="H22" s="29"/>
      <c r="I22" s="29"/>
      <c r="J22" s="29"/>
      <c r="K22" s="29"/>
      <c r="L22" s="29"/>
      <c r="M22" s="29"/>
      <c r="N22" s="29"/>
      <c r="O22" s="29"/>
      <c r="P22" s="29"/>
      <c r="Q22" s="29"/>
      <c r="R22" s="29"/>
      <c r="S22" s="29"/>
      <c r="T22" s="29"/>
      <c r="U22" s="25"/>
      <c r="W22" s="64"/>
      <c r="X22" s="65"/>
    </row>
    <row r="23" spans="2:24" x14ac:dyDescent="0.25">
      <c r="B23" s="67"/>
      <c r="C23" s="29"/>
      <c r="D23" s="29"/>
      <c r="E23" s="29"/>
      <c r="F23" s="29"/>
      <c r="G23" s="29"/>
      <c r="H23" s="29"/>
      <c r="I23" s="29"/>
      <c r="J23" s="29"/>
      <c r="K23" s="29"/>
      <c r="L23" s="29"/>
      <c r="M23" s="29"/>
      <c r="N23" s="29"/>
      <c r="O23" s="29"/>
      <c r="P23" s="29"/>
      <c r="Q23" s="29"/>
      <c r="R23" s="29"/>
      <c r="S23" s="29"/>
      <c r="T23" s="29"/>
      <c r="U23" s="25"/>
      <c r="W23" s="64"/>
      <c r="X23" s="65"/>
    </row>
    <row r="24" spans="2:24" x14ac:dyDescent="0.25">
      <c r="B24" s="67"/>
      <c r="C24" s="29"/>
      <c r="D24" s="29"/>
      <c r="E24" s="29"/>
      <c r="F24" s="29"/>
      <c r="G24" s="29"/>
      <c r="H24" s="29"/>
      <c r="I24" s="29"/>
      <c r="J24" s="29"/>
      <c r="K24" s="29"/>
      <c r="L24" s="29"/>
      <c r="M24" s="29"/>
      <c r="N24" s="29"/>
      <c r="O24" s="29"/>
      <c r="P24" s="29"/>
      <c r="Q24" s="29"/>
      <c r="R24" s="29"/>
      <c r="S24" s="29"/>
      <c r="T24" s="29"/>
      <c r="U24" s="25"/>
      <c r="W24" s="64"/>
      <c r="X24" s="65"/>
    </row>
    <row r="25" spans="2:24" x14ac:dyDescent="0.25">
      <c r="B25" s="67"/>
      <c r="C25" s="29"/>
      <c r="D25" s="29"/>
      <c r="E25" s="29"/>
      <c r="F25" s="29"/>
      <c r="G25" s="29"/>
      <c r="H25" s="29"/>
      <c r="I25" s="29"/>
      <c r="J25" s="29"/>
      <c r="K25" s="29"/>
      <c r="L25" s="29"/>
      <c r="M25" s="29"/>
      <c r="N25" s="29"/>
      <c r="O25" s="29"/>
      <c r="P25" s="29"/>
      <c r="Q25" s="29"/>
      <c r="R25" s="29"/>
      <c r="S25" s="29"/>
      <c r="T25" s="29"/>
      <c r="U25" s="25"/>
      <c r="W25" s="64"/>
      <c r="X25" s="65"/>
    </row>
    <row r="26" spans="2:24" x14ac:dyDescent="0.25">
      <c r="B26" s="67"/>
      <c r="C26" s="29"/>
      <c r="D26" s="29"/>
      <c r="E26" s="29"/>
      <c r="F26" s="29"/>
      <c r="G26" s="29"/>
      <c r="H26" s="29"/>
      <c r="I26" s="29"/>
      <c r="J26" s="29"/>
      <c r="K26" s="29"/>
      <c r="L26" s="29"/>
      <c r="M26" s="29"/>
      <c r="N26" s="29"/>
      <c r="O26" s="29"/>
      <c r="P26" s="29"/>
      <c r="Q26" s="29"/>
      <c r="R26" s="29"/>
      <c r="S26" s="29"/>
      <c r="T26" s="29"/>
      <c r="U26" s="25"/>
      <c r="W26" s="64"/>
      <c r="X26" s="65"/>
    </row>
    <row r="27" spans="2:24" x14ac:dyDescent="0.25">
      <c r="B27" s="67"/>
      <c r="C27" s="29"/>
      <c r="D27" s="29"/>
      <c r="E27" s="29"/>
      <c r="F27" s="29"/>
      <c r="G27" s="29"/>
      <c r="H27" s="29"/>
      <c r="I27" s="29"/>
      <c r="J27" s="29"/>
      <c r="K27" s="29"/>
      <c r="L27" s="29"/>
      <c r="M27" s="29"/>
      <c r="N27" s="29"/>
      <c r="O27" s="29"/>
      <c r="P27" s="29"/>
      <c r="Q27" s="29"/>
      <c r="R27" s="29"/>
      <c r="S27" s="29"/>
      <c r="T27" s="29"/>
      <c r="U27" s="25"/>
      <c r="W27" s="64"/>
      <c r="X27" s="65"/>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65" t="s">
        <v>186</v>
      </c>
      <c r="C39" s="266"/>
      <c r="D39" s="266"/>
      <c r="E39" s="266"/>
      <c r="F39" s="266"/>
      <c r="G39" s="266"/>
      <c r="H39" s="266"/>
      <c r="I39" s="266"/>
      <c r="J39" s="266"/>
      <c r="K39" s="266"/>
      <c r="L39" s="266"/>
      <c r="M39" s="266"/>
      <c r="N39" s="266"/>
      <c r="O39" s="266"/>
      <c r="P39" s="266"/>
      <c r="Q39" s="266"/>
      <c r="R39" s="267"/>
      <c r="W39" s="64"/>
      <c r="X39" s="65"/>
    </row>
    <row r="40" spans="2:24" x14ac:dyDescent="0.25">
      <c r="B40" s="268"/>
      <c r="C40" s="269"/>
      <c r="D40" s="269"/>
      <c r="E40" s="269"/>
      <c r="F40" s="269"/>
      <c r="G40" s="269"/>
      <c r="H40" s="269"/>
      <c r="I40" s="269"/>
      <c r="J40" s="269"/>
      <c r="K40" s="269"/>
      <c r="L40" s="269"/>
      <c r="M40" s="269"/>
      <c r="N40" s="269"/>
      <c r="O40" s="269"/>
      <c r="P40" s="269"/>
      <c r="Q40" s="269"/>
      <c r="R40" s="270"/>
      <c r="W40" s="64"/>
      <c r="X40" s="65"/>
    </row>
    <row r="41" spans="2:24" x14ac:dyDescent="0.25">
      <c r="B41" s="268"/>
      <c r="C41" s="269"/>
      <c r="D41" s="269"/>
      <c r="E41" s="269"/>
      <c r="F41" s="269"/>
      <c r="G41" s="269"/>
      <c r="H41" s="269"/>
      <c r="I41" s="269"/>
      <c r="J41" s="269"/>
      <c r="K41" s="269"/>
      <c r="L41" s="269"/>
      <c r="M41" s="269"/>
      <c r="N41" s="269"/>
      <c r="O41" s="269"/>
      <c r="P41" s="269"/>
      <c r="Q41" s="269"/>
      <c r="R41" s="270"/>
      <c r="W41" s="64"/>
      <c r="X41" s="65"/>
    </row>
    <row r="42" spans="2:24" x14ac:dyDescent="0.25">
      <c r="B42" s="268"/>
      <c r="C42" s="269"/>
      <c r="D42" s="269"/>
      <c r="E42" s="269"/>
      <c r="F42" s="269"/>
      <c r="G42" s="269"/>
      <c r="H42" s="269"/>
      <c r="I42" s="269"/>
      <c r="J42" s="269"/>
      <c r="K42" s="269"/>
      <c r="L42" s="269"/>
      <c r="M42" s="269"/>
      <c r="N42" s="269"/>
      <c r="O42" s="269"/>
      <c r="P42" s="269"/>
      <c r="Q42" s="269"/>
      <c r="R42" s="270"/>
      <c r="W42" s="64"/>
      <c r="X42" s="65"/>
    </row>
    <row r="43" spans="2:24" x14ac:dyDescent="0.25">
      <c r="B43" s="268"/>
      <c r="C43" s="269"/>
      <c r="D43" s="269"/>
      <c r="E43" s="269"/>
      <c r="F43" s="269"/>
      <c r="G43" s="269"/>
      <c r="H43" s="269"/>
      <c r="I43" s="269"/>
      <c r="J43" s="269"/>
      <c r="K43" s="269"/>
      <c r="L43" s="269"/>
      <c r="M43" s="269"/>
      <c r="N43" s="269"/>
      <c r="O43" s="269"/>
      <c r="P43" s="269"/>
      <c r="Q43" s="269"/>
      <c r="R43" s="270"/>
    </row>
    <row r="44" spans="2:24" x14ac:dyDescent="0.25">
      <c r="B44" s="268"/>
      <c r="C44" s="269"/>
      <c r="D44" s="269"/>
      <c r="E44" s="269"/>
      <c r="F44" s="269"/>
      <c r="G44" s="269"/>
      <c r="H44" s="269"/>
      <c r="I44" s="269"/>
      <c r="J44" s="269"/>
      <c r="K44" s="269"/>
      <c r="L44" s="269"/>
      <c r="M44" s="269"/>
      <c r="N44" s="269"/>
      <c r="O44" s="269"/>
      <c r="P44" s="269"/>
      <c r="Q44" s="269"/>
      <c r="R44" s="270"/>
    </row>
    <row r="45" spans="2:24" ht="15.75" thickBot="1" x14ac:dyDescent="0.3">
      <c r="B45" s="271"/>
      <c r="C45" s="272"/>
      <c r="D45" s="272"/>
      <c r="E45" s="272"/>
      <c r="F45" s="272"/>
      <c r="G45" s="272"/>
      <c r="H45" s="272"/>
      <c r="I45" s="272"/>
      <c r="J45" s="272"/>
      <c r="K45" s="272"/>
      <c r="L45" s="272"/>
      <c r="M45" s="272"/>
      <c r="N45" s="272"/>
      <c r="O45" s="272"/>
      <c r="P45" s="272"/>
      <c r="Q45" s="272"/>
      <c r="R45" s="273"/>
    </row>
  </sheetData>
  <sortState ref="C8:E17">
    <sortCondition descending="1" ref="E8"/>
  </sortState>
  <mergeCells count="3">
    <mergeCell ref="C3:S3"/>
    <mergeCell ref="D5:E5"/>
    <mergeCell ref="B39:R45"/>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09A0-20EE-4311-81F9-10C0AEB6E878}">
  <dimension ref="A1:X45"/>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74" t="s">
        <v>217</v>
      </c>
      <c r="D3" s="275"/>
      <c r="E3" s="275"/>
      <c r="F3" s="275"/>
      <c r="G3" s="275"/>
      <c r="H3" s="275"/>
      <c r="I3" s="275"/>
      <c r="J3" s="275"/>
      <c r="K3" s="275"/>
      <c r="L3" s="275"/>
      <c r="M3" s="275"/>
      <c r="N3" s="275"/>
      <c r="O3" s="275"/>
      <c r="P3" s="275"/>
      <c r="Q3" s="275"/>
      <c r="R3" s="275"/>
      <c r="S3" s="275"/>
      <c r="T3" s="68"/>
      <c r="U3" s="69"/>
    </row>
    <row r="4" spans="1:24" ht="15.75" x14ac:dyDescent="0.25">
      <c r="B4" s="67"/>
      <c r="C4" s="70" t="s">
        <v>367</v>
      </c>
      <c r="D4" s="29"/>
      <c r="E4" s="29"/>
      <c r="F4" s="29"/>
      <c r="G4" s="29"/>
      <c r="H4" s="29"/>
      <c r="I4" s="29"/>
      <c r="J4" s="29"/>
      <c r="K4" s="29"/>
      <c r="L4" s="29"/>
      <c r="M4" s="29"/>
      <c r="N4" s="29"/>
      <c r="O4" s="29"/>
      <c r="P4" s="29"/>
      <c r="Q4" s="29"/>
      <c r="R4" s="29"/>
      <c r="S4" s="29"/>
      <c r="T4" s="29"/>
      <c r="U4" s="25"/>
    </row>
    <row r="5" spans="1:24" ht="20.25" x14ac:dyDescent="0.25">
      <c r="B5" s="67"/>
      <c r="C5" s="228" t="s">
        <v>366</v>
      </c>
      <c r="D5" s="278" t="s">
        <v>347</v>
      </c>
      <c r="E5" s="278"/>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8" t="s">
        <v>268</v>
      </c>
      <c r="D8" s="199" t="s">
        <v>16</v>
      </c>
      <c r="E8" s="200">
        <v>3.8724000000000001E-2</v>
      </c>
      <c r="F8" s="29"/>
      <c r="G8" s="29"/>
      <c r="H8" s="29"/>
      <c r="I8" s="29"/>
      <c r="J8" s="29"/>
      <c r="K8" s="29"/>
      <c r="L8" s="29"/>
      <c r="M8" s="29"/>
      <c r="N8" s="29"/>
      <c r="O8" s="29"/>
      <c r="P8" s="29"/>
      <c r="Q8" s="29"/>
      <c r="R8" s="29"/>
      <c r="S8" s="29"/>
      <c r="T8" s="29"/>
      <c r="U8" s="25"/>
      <c r="W8" s="184" t="s">
        <v>4</v>
      </c>
      <c r="X8" s="183">
        <v>0.13233400000000001</v>
      </c>
    </row>
    <row r="9" spans="1:24" ht="15.75" x14ac:dyDescent="0.25">
      <c r="B9" s="67"/>
      <c r="C9" s="192" t="s">
        <v>267</v>
      </c>
      <c r="D9" s="201" t="s">
        <v>121</v>
      </c>
      <c r="E9" s="202">
        <v>3.7849000000000001E-2</v>
      </c>
      <c r="F9" s="29"/>
      <c r="G9" s="29"/>
      <c r="H9" s="29"/>
      <c r="I9" s="29"/>
      <c r="J9" s="29"/>
      <c r="K9" s="29"/>
      <c r="L9" s="29"/>
      <c r="M9" s="29"/>
      <c r="N9" s="29"/>
      <c r="O9" s="29"/>
      <c r="P9" s="29"/>
      <c r="Q9" s="29"/>
      <c r="R9" s="29"/>
      <c r="S9" s="29"/>
      <c r="T9" s="29"/>
      <c r="U9" s="25"/>
      <c r="W9" s="184" t="s">
        <v>10</v>
      </c>
      <c r="X9" s="183">
        <v>0.123227</v>
      </c>
    </row>
    <row r="10" spans="1:24" ht="15.75" x14ac:dyDescent="0.25">
      <c r="B10" s="67"/>
      <c r="C10" s="192" t="s">
        <v>219</v>
      </c>
      <c r="D10" s="201" t="s">
        <v>4</v>
      </c>
      <c r="E10" s="202">
        <v>3.7374999999999999E-2</v>
      </c>
      <c r="F10" s="29"/>
      <c r="G10" s="29"/>
      <c r="H10" s="29"/>
      <c r="I10" s="29"/>
      <c r="J10" s="29"/>
      <c r="K10" s="29"/>
      <c r="L10" s="29"/>
      <c r="M10" s="29"/>
      <c r="N10" s="29"/>
      <c r="O10" s="29"/>
      <c r="P10" s="29"/>
      <c r="Q10" s="29"/>
      <c r="R10" s="29"/>
      <c r="S10" s="29"/>
      <c r="T10" s="29"/>
      <c r="U10" s="25"/>
      <c r="W10" s="184" t="s">
        <v>121</v>
      </c>
      <c r="X10" s="183">
        <v>0.10227900000000001</v>
      </c>
    </row>
    <row r="11" spans="1:24" ht="15.75" x14ac:dyDescent="0.25">
      <c r="B11" s="67"/>
      <c r="C11" s="192" t="s">
        <v>266</v>
      </c>
      <c r="D11" s="201" t="s">
        <v>86</v>
      </c>
      <c r="E11" s="202">
        <v>3.6048999999999998E-2</v>
      </c>
      <c r="F11" s="29"/>
      <c r="G11" s="29"/>
      <c r="H11" s="29"/>
      <c r="I11" s="29"/>
      <c r="J11" s="29"/>
      <c r="K11" s="29"/>
      <c r="L11" s="29"/>
      <c r="M11" s="29"/>
      <c r="N11" s="29"/>
      <c r="O11" s="29"/>
      <c r="P11" s="29"/>
      <c r="Q11" s="29"/>
      <c r="R11" s="29"/>
      <c r="S11" s="29"/>
      <c r="T11" s="29"/>
      <c r="U11" s="25"/>
      <c r="W11" s="184" t="s">
        <v>23</v>
      </c>
      <c r="X11" s="183">
        <v>7.2057999999999997E-2</v>
      </c>
    </row>
    <row r="12" spans="1:24" ht="15.75" x14ac:dyDescent="0.25">
      <c r="B12" s="67"/>
      <c r="C12" s="192" t="s">
        <v>307</v>
      </c>
      <c r="D12" s="201" t="s">
        <v>4</v>
      </c>
      <c r="E12" s="202">
        <v>3.5230999999999998E-2</v>
      </c>
      <c r="F12" s="29"/>
      <c r="G12" s="29"/>
      <c r="H12" s="29"/>
      <c r="I12" s="29"/>
      <c r="J12" s="29"/>
      <c r="K12" s="29"/>
      <c r="L12" s="29"/>
      <c r="M12" s="29"/>
      <c r="N12" s="29"/>
      <c r="O12" s="29"/>
      <c r="P12" s="29"/>
      <c r="Q12" s="29"/>
      <c r="R12" s="29"/>
      <c r="S12" s="29"/>
      <c r="T12" s="29"/>
      <c r="U12" s="25"/>
      <c r="W12" s="184" t="s">
        <v>86</v>
      </c>
      <c r="X12" s="183">
        <v>6.3982999999999998E-2</v>
      </c>
    </row>
    <row r="13" spans="1:24" ht="15.75" x14ac:dyDescent="0.25">
      <c r="B13" s="67"/>
      <c r="C13" s="192" t="s">
        <v>69</v>
      </c>
      <c r="D13" s="201" t="s">
        <v>4</v>
      </c>
      <c r="E13" s="202">
        <v>3.2809999999999999E-2</v>
      </c>
      <c r="F13" s="29"/>
      <c r="G13" s="29"/>
      <c r="H13" s="29"/>
      <c r="I13" s="29"/>
      <c r="J13" s="29"/>
      <c r="K13" s="29"/>
      <c r="L13" s="29"/>
      <c r="M13" s="29"/>
      <c r="N13" s="29"/>
      <c r="O13" s="29"/>
      <c r="P13" s="29"/>
      <c r="Q13" s="29"/>
      <c r="R13" s="29"/>
      <c r="S13" s="29"/>
      <c r="T13" s="29"/>
      <c r="U13" s="25"/>
      <c r="W13" s="184" t="s">
        <v>113</v>
      </c>
      <c r="X13" s="183">
        <v>6.1302000000000002E-2</v>
      </c>
    </row>
    <row r="14" spans="1:24" ht="15.75" x14ac:dyDescent="0.25">
      <c r="B14" s="67"/>
      <c r="C14" s="192" t="s">
        <v>269</v>
      </c>
      <c r="D14" s="201" t="s">
        <v>23</v>
      </c>
      <c r="E14" s="202">
        <v>3.1116000000000001E-2</v>
      </c>
      <c r="F14" s="29"/>
      <c r="G14" s="29"/>
      <c r="H14" s="29"/>
      <c r="I14" s="29"/>
      <c r="J14" s="29"/>
      <c r="K14" s="29"/>
      <c r="L14" s="29"/>
      <c r="M14" s="29"/>
      <c r="N14" s="29"/>
      <c r="O14" s="29"/>
      <c r="P14" s="29"/>
      <c r="Q14" s="29"/>
      <c r="R14" s="29"/>
      <c r="S14" s="29"/>
      <c r="T14" s="29"/>
      <c r="U14" s="25"/>
      <c r="W14" s="184" t="s">
        <v>88</v>
      </c>
      <c r="X14" s="183">
        <v>5.9827000000000005E-2</v>
      </c>
    </row>
    <row r="15" spans="1:24" ht="15.75" x14ac:dyDescent="0.25">
      <c r="B15" s="67"/>
      <c r="C15" s="192" t="s">
        <v>306</v>
      </c>
      <c r="D15" s="201" t="s">
        <v>139</v>
      </c>
      <c r="E15" s="202">
        <v>3.0065000000000001E-2</v>
      </c>
      <c r="F15" s="29"/>
      <c r="G15" s="29"/>
      <c r="H15" s="29"/>
      <c r="I15" s="29"/>
      <c r="J15" s="29"/>
      <c r="K15" s="29"/>
      <c r="L15" s="29"/>
      <c r="M15" s="29"/>
      <c r="N15" s="29"/>
      <c r="O15" s="29"/>
      <c r="P15" s="29"/>
      <c r="Q15" s="29"/>
      <c r="R15" s="29"/>
      <c r="S15" s="29"/>
      <c r="T15" s="29"/>
      <c r="U15" s="25"/>
      <c r="W15" s="184" t="s">
        <v>16</v>
      </c>
      <c r="X15" s="183">
        <v>5.7436000000000001E-2</v>
      </c>
    </row>
    <row r="16" spans="1:24" ht="15.75" x14ac:dyDescent="0.25">
      <c r="B16" s="67"/>
      <c r="C16" s="192" t="s">
        <v>308</v>
      </c>
      <c r="D16" s="201" t="s">
        <v>10</v>
      </c>
      <c r="E16" s="202">
        <v>2.8263E-2</v>
      </c>
      <c r="F16" s="29"/>
      <c r="G16" s="29"/>
      <c r="H16" s="29"/>
      <c r="I16" s="29"/>
      <c r="J16" s="29"/>
      <c r="K16" s="29"/>
      <c r="L16" s="29"/>
      <c r="M16" s="29"/>
      <c r="N16" s="29"/>
      <c r="O16" s="29"/>
      <c r="P16" s="29"/>
      <c r="Q16" s="29"/>
      <c r="R16" s="29"/>
      <c r="S16" s="29"/>
      <c r="T16" s="29"/>
      <c r="U16" s="25"/>
      <c r="W16" s="184" t="s">
        <v>3</v>
      </c>
      <c r="X16" s="183">
        <v>5.5396000000000001E-2</v>
      </c>
    </row>
    <row r="17" spans="2:24" ht="15.75" x14ac:dyDescent="0.25">
      <c r="B17" s="67"/>
      <c r="C17" s="192" t="s">
        <v>218</v>
      </c>
      <c r="D17" s="201" t="s">
        <v>121</v>
      </c>
      <c r="E17" s="202">
        <v>2.7639E-2</v>
      </c>
      <c r="F17" s="29"/>
      <c r="G17" s="29"/>
      <c r="H17" s="29"/>
      <c r="I17" s="29"/>
      <c r="J17" s="29"/>
      <c r="K17" s="29"/>
      <c r="L17" s="29"/>
      <c r="M17" s="29"/>
      <c r="N17" s="29"/>
      <c r="O17" s="29"/>
      <c r="P17" s="29"/>
      <c r="Q17" s="29"/>
      <c r="R17" s="29"/>
      <c r="S17" s="29"/>
      <c r="T17" s="29"/>
      <c r="U17" s="25"/>
      <c r="W17" s="184" t="s">
        <v>26</v>
      </c>
      <c r="X17" s="183">
        <v>4.6829999999999997E-2</v>
      </c>
    </row>
    <row r="18" spans="2:24" ht="15.75" x14ac:dyDescent="0.25">
      <c r="B18" s="67"/>
      <c r="C18" s="192" t="s">
        <v>77</v>
      </c>
      <c r="D18" s="201" t="s">
        <v>4</v>
      </c>
      <c r="E18" s="202">
        <v>2.6918000000000001E-2</v>
      </c>
      <c r="F18" s="29"/>
      <c r="G18" s="29"/>
      <c r="H18" s="29"/>
      <c r="I18" s="29"/>
      <c r="J18" s="29"/>
      <c r="K18" s="29"/>
      <c r="L18" s="29"/>
      <c r="M18" s="29"/>
      <c r="N18" s="29"/>
      <c r="O18" s="29"/>
      <c r="P18" s="29"/>
      <c r="Q18" s="29"/>
      <c r="R18" s="29"/>
      <c r="S18" s="29"/>
      <c r="T18" s="29"/>
      <c r="U18" s="25"/>
      <c r="W18" s="184" t="s">
        <v>24</v>
      </c>
      <c r="X18" s="183">
        <v>3.8662999999999996E-2</v>
      </c>
    </row>
    <row r="19" spans="2:24" ht="15.75" x14ac:dyDescent="0.25">
      <c r="B19" s="67"/>
      <c r="C19" s="192" t="s">
        <v>72</v>
      </c>
      <c r="D19" s="201" t="s">
        <v>10</v>
      </c>
      <c r="E19" s="202">
        <v>2.5912000000000001E-2</v>
      </c>
      <c r="F19" s="29"/>
      <c r="G19" s="29"/>
      <c r="H19" s="29"/>
      <c r="I19" s="29"/>
      <c r="J19" s="29"/>
      <c r="K19" s="29"/>
      <c r="L19" s="29"/>
      <c r="M19" s="29"/>
      <c r="N19" s="29"/>
      <c r="O19" s="29"/>
      <c r="P19" s="29"/>
      <c r="Q19" s="29"/>
      <c r="R19" s="29"/>
      <c r="S19" s="29"/>
      <c r="T19" s="29"/>
      <c r="U19" s="25"/>
      <c r="W19" s="184" t="s">
        <v>115</v>
      </c>
      <c r="X19" s="183">
        <v>3.7985999999999999E-2</v>
      </c>
    </row>
    <row r="20" spans="2:24" ht="15.75" x14ac:dyDescent="0.25">
      <c r="B20" s="67"/>
      <c r="C20" s="192" t="s">
        <v>140</v>
      </c>
      <c r="D20" s="201" t="s">
        <v>26</v>
      </c>
      <c r="E20" s="202">
        <v>2.5316000000000002E-2</v>
      </c>
      <c r="F20" s="29"/>
      <c r="G20" s="29"/>
      <c r="H20" s="29"/>
      <c r="I20" s="29"/>
      <c r="J20" s="29"/>
      <c r="K20" s="29"/>
      <c r="L20" s="29"/>
      <c r="M20" s="29"/>
      <c r="N20" s="29"/>
      <c r="O20" s="29"/>
      <c r="P20" s="29"/>
      <c r="Q20" s="29"/>
      <c r="R20" s="29"/>
      <c r="S20" s="29"/>
      <c r="T20" s="29"/>
      <c r="U20" s="25"/>
      <c r="W20" s="184" t="s">
        <v>139</v>
      </c>
      <c r="X20" s="183">
        <v>3.0065000000000001E-2</v>
      </c>
    </row>
    <row r="21" spans="2:24" ht="15.75" x14ac:dyDescent="0.25">
      <c r="B21" s="67"/>
      <c r="C21" s="192" t="s">
        <v>205</v>
      </c>
      <c r="D21" s="201" t="s">
        <v>121</v>
      </c>
      <c r="E21" s="202">
        <v>2.4771000000000001E-2</v>
      </c>
      <c r="F21" s="29"/>
      <c r="G21" s="29"/>
      <c r="H21" s="29"/>
      <c r="I21" s="29"/>
      <c r="J21" s="29"/>
      <c r="K21" s="29"/>
      <c r="L21" s="29"/>
      <c r="M21" s="29"/>
      <c r="N21" s="29"/>
      <c r="O21" s="29"/>
      <c r="P21" s="29"/>
      <c r="Q21" s="29"/>
      <c r="R21" s="29"/>
      <c r="S21" s="29"/>
      <c r="T21" s="29"/>
      <c r="U21" s="25"/>
      <c r="W21" s="184" t="s">
        <v>109</v>
      </c>
      <c r="X21" s="183">
        <v>2.3720999999999999E-2</v>
      </c>
    </row>
    <row r="22" spans="2:24" ht="15.75" x14ac:dyDescent="0.25">
      <c r="B22" s="67"/>
      <c r="C22" s="192" t="s">
        <v>361</v>
      </c>
      <c r="D22" s="201" t="s">
        <v>23</v>
      </c>
      <c r="E22" s="202">
        <v>2.4555E-2</v>
      </c>
      <c r="F22" s="29"/>
      <c r="G22" s="29"/>
      <c r="H22" s="29"/>
      <c r="I22" s="29"/>
      <c r="J22" s="29"/>
      <c r="K22" s="29"/>
      <c r="L22" s="29"/>
      <c r="M22" s="29"/>
      <c r="N22" s="29"/>
      <c r="O22" s="29"/>
      <c r="P22" s="29"/>
      <c r="Q22" s="29"/>
      <c r="R22" s="29"/>
      <c r="S22" s="29"/>
      <c r="T22" s="29"/>
      <c r="U22" s="25"/>
      <c r="W22" s="184" t="s">
        <v>114</v>
      </c>
      <c r="X22" s="183">
        <v>2.3390000000000001E-2</v>
      </c>
    </row>
    <row r="23" spans="2:24" x14ac:dyDescent="0.25">
      <c r="B23" s="67"/>
      <c r="C23" s="74"/>
      <c r="D23" s="74"/>
      <c r="E23" s="75"/>
      <c r="F23" s="29"/>
      <c r="G23" s="29"/>
      <c r="H23" s="29"/>
      <c r="I23" s="29"/>
      <c r="J23" s="29"/>
      <c r="K23" s="29"/>
      <c r="L23" s="29"/>
      <c r="M23" s="29"/>
      <c r="N23" s="29"/>
      <c r="O23" s="29"/>
      <c r="P23" s="29"/>
      <c r="Q23" s="29"/>
      <c r="R23" s="29"/>
      <c r="S23" s="29"/>
      <c r="T23" s="29"/>
      <c r="U23" s="25"/>
      <c r="W23" s="184" t="s">
        <v>15</v>
      </c>
      <c r="X23" s="183">
        <v>2.0379000000000001E-2</v>
      </c>
    </row>
    <row r="24" spans="2:24" ht="15.75" x14ac:dyDescent="0.25">
      <c r="B24" s="67"/>
      <c r="C24" s="76" t="s">
        <v>55</v>
      </c>
      <c r="D24" s="77"/>
      <c r="E24" s="78">
        <f>SUM(E8:E22)</f>
        <v>0.46259299999999998</v>
      </c>
      <c r="F24" s="29"/>
      <c r="G24" s="29"/>
      <c r="H24" s="29"/>
      <c r="I24" s="29"/>
      <c r="J24" s="29"/>
      <c r="K24" s="29"/>
      <c r="L24" s="29"/>
      <c r="M24" s="29"/>
      <c r="N24" s="29"/>
      <c r="O24" s="29"/>
      <c r="P24" s="29"/>
      <c r="Q24" s="29"/>
      <c r="R24" s="29"/>
      <c r="S24" s="29"/>
      <c r="T24" s="29"/>
      <c r="U24" s="25"/>
      <c r="W24" s="184" t="s">
        <v>11</v>
      </c>
      <c r="X24" s="183">
        <v>1.8128999999999999E-2</v>
      </c>
    </row>
    <row r="25" spans="2:24" x14ac:dyDescent="0.25">
      <c r="B25" s="67"/>
      <c r="C25" s="29"/>
      <c r="D25" s="29"/>
      <c r="E25" s="29"/>
      <c r="F25" s="29"/>
      <c r="G25" s="29"/>
      <c r="H25" s="29"/>
      <c r="I25" s="29"/>
      <c r="J25" s="29"/>
      <c r="K25" s="29"/>
      <c r="L25" s="29"/>
      <c r="M25" s="29"/>
      <c r="N25" s="29"/>
      <c r="O25" s="29"/>
      <c r="P25" s="29"/>
      <c r="Q25" s="29"/>
      <c r="R25" s="29"/>
      <c r="S25" s="29"/>
      <c r="T25" s="29"/>
      <c r="U25" s="25"/>
      <c r="W25" s="184" t="s">
        <v>190</v>
      </c>
      <c r="X25" s="183">
        <v>1.5469E-2</v>
      </c>
    </row>
    <row r="26" spans="2:24" x14ac:dyDescent="0.25">
      <c r="B26" s="67"/>
      <c r="C26" s="29"/>
      <c r="D26" s="29"/>
      <c r="E26" s="29"/>
      <c r="F26" s="29"/>
      <c r="G26" s="29"/>
      <c r="H26" s="29"/>
      <c r="I26" s="29"/>
      <c r="J26" s="29"/>
      <c r="K26" s="29"/>
      <c r="L26" s="29"/>
      <c r="M26" s="29"/>
      <c r="N26" s="29"/>
      <c r="O26" s="29"/>
      <c r="P26" s="29"/>
      <c r="Q26" s="29"/>
      <c r="R26" s="29"/>
      <c r="S26" s="29"/>
      <c r="T26" s="29"/>
      <c r="U26" s="25"/>
      <c r="W26" s="184" t="s">
        <v>87</v>
      </c>
      <c r="X26" s="183">
        <v>1.108E-2</v>
      </c>
    </row>
    <row r="27" spans="2:24" x14ac:dyDescent="0.25">
      <c r="B27" s="67"/>
      <c r="C27" s="29"/>
      <c r="D27" s="29"/>
      <c r="E27" s="29"/>
      <c r="F27" s="29"/>
      <c r="G27" s="29"/>
      <c r="H27" s="29"/>
      <c r="I27" s="29"/>
      <c r="J27" s="29"/>
      <c r="K27" s="29"/>
      <c r="L27" s="29"/>
      <c r="M27" s="29"/>
      <c r="N27" s="29"/>
      <c r="O27" s="29"/>
      <c r="P27" s="29"/>
      <c r="Q27" s="29"/>
      <c r="R27" s="29"/>
      <c r="S27" s="29"/>
      <c r="T27" s="29"/>
      <c r="U27" s="25"/>
      <c r="W27" s="64" t="s">
        <v>108</v>
      </c>
      <c r="X27" s="65">
        <v>9.9909999999999999E-3</v>
      </c>
    </row>
    <row r="28" spans="2:24" x14ac:dyDescent="0.25">
      <c r="B28" s="67"/>
      <c r="C28" s="29"/>
      <c r="D28" s="29"/>
      <c r="E28" s="29"/>
      <c r="F28" s="29"/>
      <c r="G28" s="29"/>
      <c r="H28" s="29"/>
      <c r="I28" s="29"/>
      <c r="J28" s="29"/>
      <c r="K28" s="29"/>
      <c r="L28" s="29"/>
      <c r="M28" s="29"/>
      <c r="N28" s="29"/>
      <c r="O28" s="29"/>
      <c r="P28" s="29"/>
      <c r="Q28" s="29"/>
      <c r="R28" s="29"/>
      <c r="S28" s="29"/>
      <c r="T28" s="29"/>
      <c r="U28" s="25"/>
      <c r="W28" s="64"/>
      <c r="X28" s="65"/>
    </row>
    <row r="29" spans="2:24" x14ac:dyDescent="0.25">
      <c r="B29" s="67"/>
      <c r="C29" s="29"/>
      <c r="D29" s="29"/>
      <c r="E29" s="29"/>
      <c r="F29" s="29"/>
      <c r="G29" s="29"/>
      <c r="H29" s="29"/>
      <c r="I29" s="29"/>
      <c r="J29" s="29"/>
      <c r="K29" s="29"/>
      <c r="L29" s="29"/>
      <c r="M29" s="29"/>
      <c r="N29" s="29"/>
      <c r="O29" s="29"/>
      <c r="P29" s="29"/>
      <c r="Q29" s="29"/>
      <c r="R29" s="29"/>
      <c r="S29" s="29"/>
      <c r="T29" s="29"/>
      <c r="U29" s="25"/>
      <c r="W29" s="64"/>
      <c r="X29" s="65"/>
    </row>
    <row r="30" spans="2:24" x14ac:dyDescent="0.25">
      <c r="B30" s="67"/>
      <c r="C30" s="29"/>
      <c r="D30" s="29"/>
      <c r="E30" s="29"/>
      <c r="F30" s="29"/>
      <c r="G30" s="29"/>
      <c r="H30" s="29"/>
      <c r="I30" s="29"/>
      <c r="J30" s="29"/>
      <c r="K30" s="29"/>
      <c r="L30" s="29"/>
      <c r="M30" s="29"/>
      <c r="N30" s="29"/>
      <c r="O30" s="29"/>
      <c r="P30" s="29"/>
      <c r="Q30" s="29"/>
      <c r="R30" s="29"/>
      <c r="S30" s="29"/>
      <c r="T30" s="29"/>
      <c r="U30" s="25"/>
      <c r="W30" s="64"/>
      <c r="X30" s="65"/>
    </row>
    <row r="31" spans="2:24" x14ac:dyDescent="0.25">
      <c r="B31" s="67"/>
      <c r="C31" s="29"/>
      <c r="D31" s="29"/>
      <c r="E31" s="29"/>
      <c r="F31" s="29"/>
      <c r="G31" s="29"/>
      <c r="H31" s="29"/>
      <c r="I31" s="29"/>
      <c r="J31" s="29"/>
      <c r="K31" s="29"/>
      <c r="L31" s="29"/>
      <c r="M31" s="29"/>
      <c r="N31" s="29"/>
      <c r="O31" s="29"/>
      <c r="P31" s="29"/>
      <c r="Q31" s="29"/>
      <c r="R31" s="29"/>
      <c r="S31" s="29"/>
      <c r="T31" s="29"/>
      <c r="U31" s="25"/>
      <c r="W31" s="64"/>
      <c r="X31" s="65"/>
    </row>
    <row r="32" spans="2:24" x14ac:dyDescent="0.25">
      <c r="B32" s="67"/>
      <c r="C32" s="29"/>
      <c r="D32" s="29"/>
      <c r="E32" s="29"/>
      <c r="F32" s="29"/>
      <c r="G32" s="29"/>
      <c r="H32" s="29"/>
      <c r="I32" s="29"/>
      <c r="J32" s="29"/>
      <c r="K32" s="29"/>
      <c r="L32" s="29"/>
      <c r="M32" s="29"/>
      <c r="N32" s="29"/>
      <c r="O32" s="29"/>
      <c r="P32" s="29"/>
      <c r="Q32" s="29"/>
      <c r="R32" s="29"/>
      <c r="S32" s="29"/>
      <c r="T32" s="29"/>
      <c r="U32" s="25"/>
      <c r="W32" s="64"/>
      <c r="X32" s="65"/>
    </row>
    <row r="33" spans="2:24" x14ac:dyDescent="0.25">
      <c r="B33" s="67"/>
      <c r="C33" s="29"/>
      <c r="D33" s="29"/>
      <c r="E33" s="29"/>
      <c r="F33" s="29"/>
      <c r="G33" s="29"/>
      <c r="H33" s="29"/>
      <c r="I33" s="29"/>
      <c r="J33" s="29"/>
      <c r="K33" s="29"/>
      <c r="L33" s="29"/>
      <c r="M33" s="29"/>
      <c r="N33" s="29"/>
      <c r="O33" s="29"/>
      <c r="P33" s="29"/>
      <c r="Q33" s="29"/>
      <c r="R33" s="29"/>
      <c r="S33" s="29"/>
      <c r="T33" s="29"/>
      <c r="U33" s="25"/>
      <c r="W33" s="64"/>
      <c r="X33" s="65"/>
    </row>
    <row r="34" spans="2:24" x14ac:dyDescent="0.25">
      <c r="B34" s="67"/>
      <c r="C34" s="29"/>
      <c r="D34" s="29"/>
      <c r="E34" s="29"/>
      <c r="F34" s="29"/>
      <c r="G34" s="29"/>
      <c r="H34" s="29"/>
      <c r="I34" s="29"/>
      <c r="J34" s="29"/>
      <c r="K34" s="29"/>
      <c r="L34" s="29"/>
      <c r="M34" s="29"/>
      <c r="N34" s="29"/>
      <c r="O34" s="29"/>
      <c r="P34" s="29"/>
      <c r="Q34" s="29"/>
      <c r="R34" s="29"/>
      <c r="S34" s="29"/>
      <c r="T34" s="29"/>
      <c r="U34" s="25"/>
      <c r="W34" s="64"/>
      <c r="X34" s="65"/>
    </row>
    <row r="35" spans="2:24" x14ac:dyDescent="0.25">
      <c r="B35" s="67"/>
      <c r="C35" s="29"/>
      <c r="D35" s="29"/>
      <c r="E35" s="29"/>
      <c r="F35" s="29"/>
      <c r="G35" s="29"/>
      <c r="H35" s="29"/>
      <c r="I35" s="29"/>
      <c r="J35" s="29"/>
      <c r="K35" s="29"/>
      <c r="L35" s="29"/>
      <c r="M35" s="29"/>
      <c r="N35" s="29"/>
      <c r="O35" s="29"/>
      <c r="P35" s="29"/>
      <c r="Q35" s="29"/>
      <c r="R35" s="29"/>
      <c r="S35" s="29"/>
      <c r="T35" s="29"/>
      <c r="U35" s="25"/>
      <c r="W35" s="64"/>
      <c r="X35" s="65"/>
    </row>
    <row r="36" spans="2:24" x14ac:dyDescent="0.25">
      <c r="B36" s="67"/>
      <c r="C36" s="29"/>
      <c r="D36" s="29"/>
      <c r="E36" s="29"/>
      <c r="F36" s="29"/>
      <c r="G36" s="29"/>
      <c r="H36" s="29"/>
      <c r="I36" s="29"/>
      <c r="J36" s="29"/>
      <c r="K36" s="29"/>
      <c r="L36" s="29"/>
      <c r="M36" s="29"/>
      <c r="N36" s="29"/>
      <c r="O36" s="29"/>
      <c r="P36" s="29"/>
      <c r="Q36" s="29"/>
      <c r="R36" s="29"/>
      <c r="S36" s="29"/>
      <c r="T36" s="29"/>
      <c r="U36" s="25"/>
      <c r="W36" s="64"/>
      <c r="X36" s="65"/>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c r="X37" s="65"/>
    </row>
    <row r="38" spans="2:24" ht="15.75" thickBot="1" x14ac:dyDescent="0.3">
      <c r="W38" s="64"/>
      <c r="X38" s="65"/>
    </row>
    <row r="39" spans="2:24" ht="15" customHeight="1" x14ac:dyDescent="0.25">
      <c r="B39" s="265" t="s">
        <v>186</v>
      </c>
      <c r="C39" s="266"/>
      <c r="D39" s="266"/>
      <c r="E39" s="266"/>
      <c r="F39" s="266"/>
      <c r="G39" s="266"/>
      <c r="H39" s="266"/>
      <c r="I39" s="266"/>
      <c r="J39" s="266"/>
      <c r="K39" s="266"/>
      <c r="L39" s="266"/>
      <c r="M39" s="266"/>
      <c r="N39" s="266"/>
      <c r="O39" s="266"/>
      <c r="P39" s="266"/>
      <c r="Q39" s="266"/>
      <c r="R39" s="267"/>
      <c r="W39" s="64"/>
      <c r="X39" s="65"/>
    </row>
    <row r="40" spans="2:24" x14ac:dyDescent="0.25">
      <c r="B40" s="268"/>
      <c r="C40" s="269"/>
      <c r="D40" s="269"/>
      <c r="E40" s="269"/>
      <c r="F40" s="269"/>
      <c r="G40" s="269"/>
      <c r="H40" s="269"/>
      <c r="I40" s="269"/>
      <c r="J40" s="269"/>
      <c r="K40" s="269"/>
      <c r="L40" s="269"/>
      <c r="M40" s="269"/>
      <c r="N40" s="269"/>
      <c r="O40" s="269"/>
      <c r="P40" s="269"/>
      <c r="Q40" s="269"/>
      <c r="R40" s="270"/>
      <c r="W40" s="64"/>
      <c r="X40" s="65"/>
    </row>
    <row r="41" spans="2:24" x14ac:dyDescent="0.25">
      <c r="B41" s="268"/>
      <c r="C41" s="269"/>
      <c r="D41" s="269"/>
      <c r="E41" s="269"/>
      <c r="F41" s="269"/>
      <c r="G41" s="269"/>
      <c r="H41" s="269"/>
      <c r="I41" s="269"/>
      <c r="J41" s="269"/>
      <c r="K41" s="269"/>
      <c r="L41" s="269"/>
      <c r="M41" s="269"/>
      <c r="N41" s="269"/>
      <c r="O41" s="269"/>
      <c r="P41" s="269"/>
      <c r="Q41" s="269"/>
      <c r="R41" s="270"/>
      <c r="W41" s="64"/>
      <c r="X41" s="65"/>
    </row>
    <row r="42" spans="2:24" x14ac:dyDescent="0.25">
      <c r="B42" s="268"/>
      <c r="C42" s="269"/>
      <c r="D42" s="269"/>
      <c r="E42" s="269"/>
      <c r="F42" s="269"/>
      <c r="G42" s="269"/>
      <c r="H42" s="269"/>
      <c r="I42" s="269"/>
      <c r="J42" s="269"/>
      <c r="K42" s="269"/>
      <c r="L42" s="269"/>
      <c r="M42" s="269"/>
      <c r="N42" s="269"/>
      <c r="O42" s="269"/>
      <c r="P42" s="269"/>
      <c r="Q42" s="269"/>
      <c r="R42" s="270"/>
      <c r="W42" s="64"/>
      <c r="X42" s="65"/>
    </row>
    <row r="43" spans="2:24" x14ac:dyDescent="0.25">
      <c r="B43" s="268"/>
      <c r="C43" s="269"/>
      <c r="D43" s="269"/>
      <c r="E43" s="269"/>
      <c r="F43" s="269"/>
      <c r="G43" s="269"/>
      <c r="H43" s="269"/>
      <c r="I43" s="269"/>
      <c r="J43" s="269"/>
      <c r="K43" s="269"/>
      <c r="L43" s="269"/>
      <c r="M43" s="269"/>
      <c r="N43" s="269"/>
      <c r="O43" s="269"/>
      <c r="P43" s="269"/>
      <c r="Q43" s="269"/>
      <c r="R43" s="270"/>
    </row>
    <row r="44" spans="2:24" x14ac:dyDescent="0.25">
      <c r="B44" s="268"/>
      <c r="C44" s="269"/>
      <c r="D44" s="269"/>
      <c r="E44" s="269"/>
      <c r="F44" s="269"/>
      <c r="G44" s="269"/>
      <c r="H44" s="269"/>
      <c r="I44" s="269"/>
      <c r="J44" s="269"/>
      <c r="K44" s="269"/>
      <c r="L44" s="269"/>
      <c r="M44" s="269"/>
      <c r="N44" s="269"/>
      <c r="O44" s="269"/>
      <c r="P44" s="269"/>
      <c r="Q44" s="269"/>
      <c r="R44" s="270"/>
    </row>
    <row r="45" spans="2:24" ht="15.75" thickBot="1" x14ac:dyDescent="0.3">
      <c r="B45" s="271"/>
      <c r="C45" s="272"/>
      <c r="D45" s="272"/>
      <c r="E45" s="272"/>
      <c r="F45" s="272"/>
      <c r="G45" s="272"/>
      <c r="H45" s="272"/>
      <c r="I45" s="272"/>
      <c r="J45" s="272"/>
      <c r="K45" s="272"/>
      <c r="L45" s="272"/>
      <c r="M45" s="272"/>
      <c r="N45" s="272"/>
      <c r="O45" s="272"/>
      <c r="P45" s="272"/>
      <c r="Q45" s="272"/>
      <c r="R45" s="273"/>
    </row>
  </sheetData>
  <mergeCells count="3">
    <mergeCell ref="C3:S3"/>
    <mergeCell ref="D5:E5"/>
    <mergeCell ref="B39:R45"/>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49CC3-3E84-4A32-9FDF-6C5977D3CBE9}">
  <dimension ref="A1:X51"/>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74" t="s">
        <v>228</v>
      </c>
      <c r="D3" s="275"/>
      <c r="E3" s="275"/>
      <c r="F3" s="275"/>
      <c r="G3" s="275"/>
      <c r="H3" s="275"/>
      <c r="I3" s="275"/>
      <c r="J3" s="275"/>
      <c r="K3" s="275"/>
      <c r="L3" s="275"/>
      <c r="M3" s="275"/>
      <c r="N3" s="275"/>
      <c r="O3" s="275"/>
      <c r="P3" s="275"/>
      <c r="Q3" s="275"/>
      <c r="R3" s="275"/>
      <c r="S3" s="275"/>
      <c r="T3" s="68"/>
      <c r="U3" s="69"/>
    </row>
    <row r="4" spans="1:24" ht="15.75" x14ac:dyDescent="0.25">
      <c r="B4" s="67"/>
      <c r="C4" s="70" t="s">
        <v>367</v>
      </c>
      <c r="D4" s="29"/>
      <c r="E4" s="29"/>
      <c r="F4" s="29"/>
      <c r="G4" s="29"/>
      <c r="H4" s="29"/>
      <c r="I4" s="29"/>
      <c r="J4" s="29"/>
      <c r="K4" s="29"/>
      <c r="L4" s="29"/>
      <c r="M4" s="29"/>
      <c r="N4" s="29"/>
      <c r="O4" s="29"/>
      <c r="P4" s="29"/>
      <c r="Q4" s="29"/>
      <c r="R4" s="29"/>
      <c r="S4" s="29"/>
      <c r="T4" s="29"/>
      <c r="U4" s="25"/>
    </row>
    <row r="5" spans="1:24" ht="20.25" x14ac:dyDescent="0.25">
      <c r="B5" s="67"/>
      <c r="C5" s="228" t="s">
        <v>366</v>
      </c>
      <c r="D5" s="278" t="s">
        <v>348</v>
      </c>
      <c r="E5" s="278"/>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8" t="s">
        <v>264</v>
      </c>
      <c r="D8" s="199" t="s">
        <v>16</v>
      </c>
      <c r="E8" s="200">
        <v>1.5637999999999999E-2</v>
      </c>
      <c r="F8" s="29"/>
      <c r="G8" s="29"/>
      <c r="H8" s="29"/>
      <c r="I8" s="29"/>
      <c r="J8" s="29"/>
      <c r="K8" s="29"/>
      <c r="L8" s="29"/>
      <c r="M8" s="29"/>
      <c r="N8" s="29"/>
      <c r="O8" s="29"/>
      <c r="P8" s="29"/>
      <c r="Q8" s="29"/>
      <c r="R8" s="29"/>
      <c r="S8" s="29"/>
      <c r="T8" s="29"/>
      <c r="U8" s="25"/>
      <c r="W8" s="184" t="s">
        <v>86</v>
      </c>
      <c r="X8" s="183">
        <v>8.2529000000000005E-2</v>
      </c>
    </row>
    <row r="9" spans="1:24" ht="15.75" x14ac:dyDescent="0.25">
      <c r="B9" s="67"/>
      <c r="C9" s="192" t="s">
        <v>213</v>
      </c>
      <c r="D9" s="201" t="s">
        <v>112</v>
      </c>
      <c r="E9" s="202">
        <v>1.2696000000000001E-2</v>
      </c>
      <c r="F9" s="29"/>
      <c r="G9" s="29"/>
      <c r="H9" s="29"/>
      <c r="I9" s="29"/>
      <c r="J9" s="29"/>
      <c r="K9" s="29"/>
      <c r="L9" s="29"/>
      <c r="M9" s="29"/>
      <c r="N9" s="29"/>
      <c r="O9" s="29"/>
      <c r="P9" s="29"/>
      <c r="Q9" s="29"/>
      <c r="R9" s="29"/>
      <c r="S9" s="29"/>
      <c r="T9" s="29"/>
      <c r="U9" s="25"/>
      <c r="W9" s="184" t="s">
        <v>4</v>
      </c>
      <c r="X9" s="183">
        <v>7.8312000000000007E-2</v>
      </c>
    </row>
    <row r="10" spans="1:24" ht="15.75" x14ac:dyDescent="0.25">
      <c r="B10" s="67"/>
      <c r="C10" s="192" t="s">
        <v>242</v>
      </c>
      <c r="D10" s="201" t="s">
        <v>16</v>
      </c>
      <c r="E10" s="202">
        <v>1.2023000000000001E-2</v>
      </c>
      <c r="F10" s="29"/>
      <c r="G10" s="29"/>
      <c r="H10" s="29"/>
      <c r="I10" s="29"/>
      <c r="J10" s="29"/>
      <c r="K10" s="29"/>
      <c r="L10" s="29"/>
      <c r="M10" s="29"/>
      <c r="N10" s="29"/>
      <c r="O10" s="29"/>
      <c r="P10" s="29"/>
      <c r="Q10" s="29"/>
      <c r="R10" s="29"/>
      <c r="S10" s="29"/>
      <c r="T10" s="29"/>
      <c r="U10" s="25"/>
      <c r="W10" s="184" t="s">
        <v>113</v>
      </c>
      <c r="X10" s="183">
        <v>6.8487999999999993E-2</v>
      </c>
    </row>
    <row r="11" spans="1:24" ht="15.75" x14ac:dyDescent="0.25">
      <c r="B11" s="67"/>
      <c r="C11" s="192" t="s">
        <v>231</v>
      </c>
      <c r="D11" s="201" t="s">
        <v>86</v>
      </c>
      <c r="E11" s="202">
        <v>1.197E-2</v>
      </c>
      <c r="F11" s="29"/>
      <c r="G11" s="29"/>
      <c r="H11" s="29"/>
      <c r="I11" s="29"/>
      <c r="J11" s="29"/>
      <c r="K11" s="29"/>
      <c r="L11" s="29"/>
      <c r="M11" s="29"/>
      <c r="N11" s="29"/>
      <c r="O11" s="29"/>
      <c r="P11" s="29"/>
      <c r="Q11" s="29"/>
      <c r="R11" s="29"/>
      <c r="S11" s="29"/>
      <c r="T11" s="29"/>
      <c r="U11" s="25"/>
      <c r="W11" s="184" t="s">
        <v>24</v>
      </c>
      <c r="X11" s="183">
        <v>5.9788999999999988E-2</v>
      </c>
    </row>
    <row r="12" spans="1:24" ht="30" x14ac:dyDescent="0.25">
      <c r="B12" s="67"/>
      <c r="C12" s="192" t="s">
        <v>263</v>
      </c>
      <c r="D12" s="201" t="s">
        <v>113</v>
      </c>
      <c r="E12" s="202">
        <v>1.1828999999999999E-2</v>
      </c>
      <c r="F12" s="29"/>
      <c r="G12" s="29"/>
      <c r="H12" s="29"/>
      <c r="I12" s="29"/>
      <c r="J12" s="29"/>
      <c r="K12" s="29"/>
      <c r="L12" s="29"/>
      <c r="M12" s="29"/>
      <c r="N12" s="29"/>
      <c r="O12" s="29"/>
      <c r="P12" s="29"/>
      <c r="Q12" s="29"/>
      <c r="R12" s="29"/>
      <c r="S12" s="29"/>
      <c r="T12" s="29"/>
      <c r="U12" s="25"/>
      <c r="W12" s="184" t="s">
        <v>16</v>
      </c>
      <c r="X12" s="183">
        <v>5.9699000000000002E-2</v>
      </c>
    </row>
    <row r="13" spans="1:24" ht="15.75" x14ac:dyDescent="0.25">
      <c r="B13" s="67"/>
      <c r="C13" s="192" t="s">
        <v>226</v>
      </c>
      <c r="D13" s="201" t="s">
        <v>86</v>
      </c>
      <c r="E13" s="202">
        <v>1.1776999999999999E-2</v>
      </c>
      <c r="F13" s="29"/>
      <c r="G13" s="29"/>
      <c r="H13" s="29"/>
      <c r="I13" s="29"/>
      <c r="J13" s="29"/>
      <c r="K13" s="29"/>
      <c r="L13" s="29"/>
      <c r="M13" s="29"/>
      <c r="N13" s="29"/>
      <c r="O13" s="29"/>
      <c r="P13" s="29"/>
      <c r="Q13" s="29"/>
      <c r="R13" s="29"/>
      <c r="S13" s="29"/>
      <c r="T13" s="29"/>
      <c r="U13" s="25"/>
      <c r="W13" s="184" t="s">
        <v>23</v>
      </c>
      <c r="X13" s="183">
        <v>5.6134000000000003E-2</v>
      </c>
    </row>
    <row r="14" spans="1:24" ht="15.75" x14ac:dyDescent="0.25">
      <c r="B14" s="67"/>
      <c r="C14" s="192" t="s">
        <v>224</v>
      </c>
      <c r="D14" s="201" t="s">
        <v>86</v>
      </c>
      <c r="E14" s="202">
        <v>1.1657000000000001E-2</v>
      </c>
      <c r="F14" s="29"/>
      <c r="G14" s="29"/>
      <c r="H14" s="29"/>
      <c r="I14" s="29"/>
      <c r="J14" s="29"/>
      <c r="K14" s="29"/>
      <c r="L14" s="29"/>
      <c r="M14" s="29"/>
      <c r="N14" s="29"/>
      <c r="O14" s="29"/>
      <c r="P14" s="29"/>
      <c r="Q14" s="29"/>
      <c r="R14" s="29"/>
      <c r="S14" s="29"/>
      <c r="T14" s="29"/>
      <c r="U14" s="25"/>
      <c r="W14" s="184" t="s">
        <v>112</v>
      </c>
      <c r="X14" s="183">
        <v>5.2109999999999997E-2</v>
      </c>
    </row>
    <row r="15" spans="1:24" ht="15.75" x14ac:dyDescent="0.25">
      <c r="B15" s="67"/>
      <c r="C15" s="192" t="s">
        <v>289</v>
      </c>
      <c r="D15" s="201" t="s">
        <v>112</v>
      </c>
      <c r="E15" s="202">
        <v>1.0741000000000001E-2</v>
      </c>
      <c r="F15" s="29"/>
      <c r="G15" s="29"/>
      <c r="H15" s="29"/>
      <c r="I15" s="29"/>
      <c r="J15" s="29"/>
      <c r="K15" s="29"/>
      <c r="L15" s="29"/>
      <c r="M15" s="29"/>
      <c r="N15" s="29"/>
      <c r="O15" s="29"/>
      <c r="P15" s="29"/>
      <c r="Q15" s="29"/>
      <c r="R15" s="29"/>
      <c r="S15" s="29"/>
      <c r="T15" s="29"/>
      <c r="U15" s="25"/>
      <c r="W15" s="184" t="s">
        <v>118</v>
      </c>
      <c r="X15" s="183">
        <v>4.7469000000000011E-2</v>
      </c>
    </row>
    <row r="16" spans="1:24" ht="15.75" x14ac:dyDescent="0.25">
      <c r="B16" s="67"/>
      <c r="C16" s="192" t="s">
        <v>309</v>
      </c>
      <c r="D16" s="201" t="s">
        <v>139</v>
      </c>
      <c r="E16" s="202">
        <v>1.0019999999999999E-2</v>
      </c>
      <c r="F16" s="29"/>
      <c r="G16" s="29"/>
      <c r="H16" s="29"/>
      <c r="I16" s="29"/>
      <c r="J16" s="29"/>
      <c r="K16" s="29"/>
      <c r="L16" s="29"/>
      <c r="M16" s="29"/>
      <c r="N16" s="29"/>
      <c r="O16" s="29"/>
      <c r="P16" s="29"/>
      <c r="Q16" s="29"/>
      <c r="R16" s="29"/>
      <c r="S16" s="29"/>
      <c r="T16" s="29"/>
      <c r="U16" s="25"/>
      <c r="W16" s="184" t="s">
        <v>3</v>
      </c>
      <c r="X16" s="183">
        <v>4.6789000000000004E-2</v>
      </c>
    </row>
    <row r="17" spans="2:24" ht="15.75" x14ac:dyDescent="0.25">
      <c r="B17" s="67"/>
      <c r="C17" s="192" t="s">
        <v>232</v>
      </c>
      <c r="D17" s="201" t="s">
        <v>3</v>
      </c>
      <c r="E17" s="202">
        <v>9.6970000000000008E-3</v>
      </c>
      <c r="F17" s="29"/>
      <c r="G17" s="29"/>
      <c r="H17" s="29"/>
      <c r="I17" s="29"/>
      <c r="J17" s="29"/>
      <c r="K17" s="29"/>
      <c r="L17" s="29"/>
      <c r="M17" s="29"/>
      <c r="N17" s="29"/>
      <c r="O17" s="29"/>
      <c r="P17" s="29"/>
      <c r="Q17" s="29"/>
      <c r="R17" s="29"/>
      <c r="S17" s="29"/>
      <c r="T17" s="29"/>
      <c r="U17" s="25"/>
      <c r="W17" s="184" t="s">
        <v>139</v>
      </c>
      <c r="X17" s="183">
        <v>3.9037000000000002E-2</v>
      </c>
    </row>
    <row r="18" spans="2:24" ht="15.75" x14ac:dyDescent="0.25">
      <c r="B18" s="67"/>
      <c r="C18" s="192" t="s">
        <v>287</v>
      </c>
      <c r="D18" s="201" t="s">
        <v>23</v>
      </c>
      <c r="E18" s="202">
        <v>9.4409999999999997E-3</v>
      </c>
      <c r="F18" s="29"/>
      <c r="G18" s="29"/>
      <c r="H18" s="29"/>
      <c r="I18" s="29"/>
      <c r="J18" s="29"/>
      <c r="K18" s="29"/>
      <c r="L18" s="29"/>
      <c r="M18" s="29"/>
      <c r="N18" s="29"/>
      <c r="O18" s="29"/>
      <c r="P18" s="29"/>
      <c r="Q18" s="29"/>
      <c r="R18" s="29"/>
      <c r="S18" s="29"/>
      <c r="T18" s="29"/>
      <c r="U18" s="25"/>
      <c r="W18" s="184" t="s">
        <v>109</v>
      </c>
      <c r="X18" s="183">
        <v>3.6026999999999997E-2</v>
      </c>
    </row>
    <row r="19" spans="2:24" ht="15.75" x14ac:dyDescent="0.25">
      <c r="B19" s="67"/>
      <c r="C19" s="192" t="s">
        <v>255</v>
      </c>
      <c r="D19" s="201" t="s">
        <v>15</v>
      </c>
      <c r="E19" s="202">
        <v>9.4129999999999995E-3</v>
      </c>
      <c r="F19" s="29"/>
      <c r="G19" s="29"/>
      <c r="H19" s="29"/>
      <c r="I19" s="29"/>
      <c r="J19" s="29"/>
      <c r="K19" s="29"/>
      <c r="L19" s="29"/>
      <c r="M19" s="29"/>
      <c r="N19" s="29"/>
      <c r="O19" s="29"/>
      <c r="P19" s="29"/>
      <c r="Q19" s="29"/>
      <c r="R19" s="29"/>
      <c r="S19" s="29"/>
      <c r="T19" s="29"/>
      <c r="U19" s="25"/>
      <c r="W19" s="184" t="s">
        <v>78</v>
      </c>
      <c r="X19" s="183">
        <v>2.6866999999999999E-2</v>
      </c>
    </row>
    <row r="20" spans="2:24" ht="15.75" x14ac:dyDescent="0.25">
      <c r="B20" s="67"/>
      <c r="C20" s="192" t="s">
        <v>288</v>
      </c>
      <c r="D20" s="201" t="s">
        <v>115</v>
      </c>
      <c r="E20" s="202">
        <v>8.4550000000000007E-3</v>
      </c>
      <c r="F20" s="29"/>
      <c r="G20" s="29"/>
      <c r="H20" s="29"/>
      <c r="I20" s="29"/>
      <c r="J20" s="29"/>
      <c r="K20" s="29"/>
      <c r="L20" s="29"/>
      <c r="M20" s="29"/>
      <c r="N20" s="29"/>
      <c r="O20" s="29"/>
      <c r="P20" s="29"/>
      <c r="Q20" s="29"/>
      <c r="R20" s="29"/>
      <c r="S20" s="29"/>
      <c r="T20" s="29"/>
      <c r="U20" s="25"/>
      <c r="W20" s="184" t="s">
        <v>121</v>
      </c>
      <c r="X20" s="183">
        <v>2.6751E-2</v>
      </c>
    </row>
    <row r="21" spans="2:24" ht="15.75" x14ac:dyDescent="0.25">
      <c r="B21" s="67"/>
      <c r="C21" s="192" t="s">
        <v>307</v>
      </c>
      <c r="D21" s="201" t="s">
        <v>4</v>
      </c>
      <c r="E21" s="202">
        <v>8.4159999999999999E-3</v>
      </c>
      <c r="F21" s="29"/>
      <c r="G21" s="29"/>
      <c r="H21" s="29"/>
      <c r="I21" s="29"/>
      <c r="J21" s="29"/>
      <c r="K21" s="29"/>
      <c r="L21" s="29"/>
      <c r="M21" s="29"/>
      <c r="N21" s="29"/>
      <c r="O21" s="29"/>
      <c r="P21" s="29"/>
      <c r="Q21" s="29"/>
      <c r="R21" s="29"/>
      <c r="S21" s="29"/>
      <c r="T21" s="29"/>
      <c r="U21" s="25"/>
      <c r="W21" s="184" t="s">
        <v>85</v>
      </c>
      <c r="X21" s="183">
        <v>2.6304999999999999E-2</v>
      </c>
    </row>
    <row r="22" spans="2:24" ht="15.75" x14ac:dyDescent="0.25">
      <c r="B22" s="67"/>
      <c r="C22" s="192" t="s">
        <v>205</v>
      </c>
      <c r="D22" s="201" t="s">
        <v>121</v>
      </c>
      <c r="E22" s="202">
        <v>8.397E-3</v>
      </c>
      <c r="F22" s="29"/>
      <c r="G22" s="29"/>
      <c r="H22" s="29"/>
      <c r="I22" s="29"/>
      <c r="J22" s="29"/>
      <c r="K22" s="29"/>
      <c r="L22" s="29"/>
      <c r="M22" s="29"/>
      <c r="N22" s="29"/>
      <c r="O22" s="29"/>
      <c r="P22" s="29"/>
      <c r="Q22" s="29"/>
      <c r="R22" s="29"/>
      <c r="S22" s="29"/>
      <c r="T22" s="29"/>
      <c r="U22" s="25"/>
      <c r="W22" s="184" t="s">
        <v>115</v>
      </c>
      <c r="X22" s="183">
        <v>2.2583999999999996E-2</v>
      </c>
    </row>
    <row r="23" spans="2:24" x14ac:dyDescent="0.25">
      <c r="B23" s="67"/>
      <c r="C23" s="74"/>
      <c r="D23" s="74"/>
      <c r="E23" s="75"/>
      <c r="F23" s="29"/>
      <c r="G23" s="29"/>
      <c r="H23" s="29"/>
      <c r="I23" s="29"/>
      <c r="J23" s="29"/>
      <c r="K23" s="29"/>
      <c r="L23" s="29"/>
      <c r="M23" s="29"/>
      <c r="N23" s="29"/>
      <c r="O23" s="29"/>
      <c r="P23" s="29"/>
      <c r="Q23" s="29"/>
      <c r="R23" s="29"/>
      <c r="S23" s="29"/>
      <c r="T23" s="29"/>
      <c r="U23" s="25"/>
      <c r="W23" s="184" t="s">
        <v>128</v>
      </c>
      <c r="X23" s="183">
        <v>1.7619999999999997E-2</v>
      </c>
    </row>
    <row r="24" spans="2:24" ht="15.75" x14ac:dyDescent="0.25">
      <c r="B24" s="67"/>
      <c r="C24" s="76" t="s">
        <v>55</v>
      </c>
      <c r="D24" s="77"/>
      <c r="E24" s="78">
        <f>SUM(E8:E22)</f>
        <v>0.16216999999999998</v>
      </c>
      <c r="F24" s="29"/>
      <c r="G24" s="29"/>
      <c r="H24" s="29"/>
      <c r="I24" s="29"/>
      <c r="J24" s="29"/>
      <c r="K24" s="29"/>
      <c r="L24" s="29"/>
      <c r="M24" s="29"/>
      <c r="N24" s="29"/>
      <c r="O24" s="29"/>
      <c r="P24" s="29"/>
      <c r="Q24" s="29"/>
      <c r="R24" s="29"/>
      <c r="S24" s="29"/>
      <c r="T24" s="29"/>
      <c r="U24" s="25"/>
      <c r="W24" s="184" t="s">
        <v>25</v>
      </c>
      <c r="X24" s="183">
        <v>1.6573999999999998E-2</v>
      </c>
    </row>
    <row r="25" spans="2:24" x14ac:dyDescent="0.25">
      <c r="B25" s="67"/>
      <c r="C25" s="29"/>
      <c r="D25" s="29"/>
      <c r="E25" s="29"/>
      <c r="F25" s="29"/>
      <c r="G25" s="29"/>
      <c r="H25" s="29"/>
      <c r="I25" s="29"/>
      <c r="J25" s="29"/>
      <c r="K25" s="29"/>
      <c r="L25" s="29"/>
      <c r="M25" s="29"/>
      <c r="N25" s="29"/>
      <c r="O25" s="29"/>
      <c r="P25" s="29"/>
      <c r="Q25" s="29"/>
      <c r="R25" s="29"/>
      <c r="S25" s="29"/>
      <c r="T25" s="29"/>
      <c r="U25" s="25"/>
      <c r="W25" s="184" t="s">
        <v>15</v>
      </c>
      <c r="X25" s="183">
        <v>1.5108E-2</v>
      </c>
    </row>
    <row r="26" spans="2:24" x14ac:dyDescent="0.25">
      <c r="B26" s="67"/>
      <c r="C26" s="29"/>
      <c r="D26" s="29"/>
      <c r="E26" s="29"/>
      <c r="F26" s="29"/>
      <c r="G26" s="29"/>
      <c r="H26" s="29"/>
      <c r="I26" s="29"/>
      <c r="J26" s="29"/>
      <c r="K26" s="29"/>
      <c r="L26" s="29"/>
      <c r="M26" s="29"/>
      <c r="N26" s="29"/>
      <c r="O26" s="29"/>
      <c r="P26" s="29"/>
      <c r="Q26" s="29"/>
      <c r="R26" s="29"/>
      <c r="S26" s="29"/>
      <c r="T26" s="29"/>
      <c r="U26" s="25"/>
      <c r="W26" s="184" t="s">
        <v>12</v>
      </c>
      <c r="X26" s="183">
        <v>1.3757000000000002E-2</v>
      </c>
    </row>
    <row r="27" spans="2:24" x14ac:dyDescent="0.25">
      <c r="B27" s="67"/>
      <c r="C27" s="29"/>
      <c r="D27" s="29"/>
      <c r="E27" s="29"/>
      <c r="F27" s="29"/>
      <c r="G27" s="29"/>
      <c r="H27" s="29"/>
      <c r="I27" s="29"/>
      <c r="J27" s="29"/>
      <c r="K27" s="29"/>
      <c r="L27" s="29"/>
      <c r="M27" s="29"/>
      <c r="N27" s="29"/>
      <c r="O27" s="29"/>
      <c r="P27" s="29"/>
      <c r="Q27" s="29"/>
      <c r="R27" s="29"/>
      <c r="S27" s="29"/>
      <c r="T27" s="29"/>
      <c r="U27" s="25"/>
      <c r="W27" s="64" t="s">
        <v>120</v>
      </c>
      <c r="X27" s="65">
        <v>1.3303000000000001E-2</v>
      </c>
    </row>
    <row r="28" spans="2:24" x14ac:dyDescent="0.25">
      <c r="B28" s="67"/>
      <c r="C28" s="29"/>
      <c r="D28" s="29"/>
      <c r="E28" s="29"/>
      <c r="F28" s="29"/>
      <c r="G28" s="29"/>
      <c r="H28" s="29"/>
      <c r="I28" s="29"/>
      <c r="J28" s="29"/>
      <c r="K28" s="29"/>
      <c r="L28" s="29"/>
      <c r="M28" s="29"/>
      <c r="N28" s="29"/>
      <c r="O28" s="29"/>
      <c r="P28" s="29"/>
      <c r="Q28" s="29"/>
      <c r="R28" s="29"/>
      <c r="S28" s="29"/>
      <c r="T28" s="29"/>
      <c r="U28" s="25"/>
      <c r="W28" s="64" t="s">
        <v>126</v>
      </c>
      <c r="X28" s="65">
        <v>1.2554000000000001E-2</v>
      </c>
    </row>
    <row r="29" spans="2:24" x14ac:dyDescent="0.25">
      <c r="B29" s="67"/>
      <c r="C29" s="29"/>
      <c r="D29" s="29"/>
      <c r="E29" s="29"/>
      <c r="F29" s="29"/>
      <c r="G29" s="29"/>
      <c r="H29" s="29"/>
      <c r="I29" s="29"/>
      <c r="J29" s="29"/>
      <c r="K29" s="29"/>
      <c r="L29" s="29"/>
      <c r="M29" s="29"/>
      <c r="N29" s="29"/>
      <c r="O29" s="29"/>
      <c r="P29" s="29"/>
      <c r="Q29" s="29"/>
      <c r="R29" s="29"/>
      <c r="S29" s="29"/>
      <c r="T29" s="29"/>
      <c r="U29" s="25"/>
      <c r="W29" s="64" t="s">
        <v>116</v>
      </c>
      <c r="X29" s="65">
        <v>1.2309E-2</v>
      </c>
    </row>
    <row r="30" spans="2:24" x14ac:dyDescent="0.25">
      <c r="B30" s="67"/>
      <c r="C30" s="29"/>
      <c r="D30" s="29"/>
      <c r="E30" s="29"/>
      <c r="F30" s="29"/>
      <c r="G30" s="29"/>
      <c r="H30" s="29"/>
      <c r="I30" s="29"/>
      <c r="J30" s="29"/>
      <c r="K30" s="29"/>
      <c r="L30" s="29"/>
      <c r="M30" s="29"/>
      <c r="N30" s="29"/>
      <c r="O30" s="29"/>
      <c r="P30" s="29"/>
      <c r="Q30" s="29"/>
      <c r="R30" s="29"/>
      <c r="S30" s="29"/>
      <c r="T30" s="29"/>
      <c r="U30" s="25"/>
      <c r="W30" s="64" t="s">
        <v>124</v>
      </c>
      <c r="X30" s="65">
        <v>1.2238000000000001E-2</v>
      </c>
    </row>
    <row r="31" spans="2:24" x14ac:dyDescent="0.25">
      <c r="B31" s="67"/>
      <c r="C31" s="29"/>
      <c r="D31" s="29"/>
      <c r="E31" s="29"/>
      <c r="F31" s="29"/>
      <c r="G31" s="29"/>
      <c r="H31" s="29"/>
      <c r="I31" s="29"/>
      <c r="J31" s="29"/>
      <c r="K31" s="29"/>
      <c r="L31" s="29"/>
      <c r="M31" s="29"/>
      <c r="N31" s="29"/>
      <c r="O31" s="29"/>
      <c r="P31" s="29"/>
      <c r="Q31" s="29"/>
      <c r="R31" s="29"/>
      <c r="S31" s="29"/>
      <c r="T31" s="29"/>
      <c r="U31" s="25"/>
      <c r="W31" s="64" t="s">
        <v>117</v>
      </c>
      <c r="X31" s="65">
        <v>1.1909000000000001E-2</v>
      </c>
    </row>
    <row r="32" spans="2:24" x14ac:dyDescent="0.25">
      <c r="B32" s="67"/>
      <c r="C32" s="29"/>
      <c r="D32" s="29"/>
      <c r="E32" s="29"/>
      <c r="F32" s="29"/>
      <c r="G32" s="29"/>
      <c r="H32" s="29"/>
      <c r="I32" s="29"/>
      <c r="J32" s="29"/>
      <c r="K32" s="29"/>
      <c r="L32" s="29"/>
      <c r="M32" s="29"/>
      <c r="N32" s="29"/>
      <c r="O32" s="29"/>
      <c r="P32" s="29"/>
      <c r="Q32" s="29"/>
      <c r="R32" s="29"/>
      <c r="S32" s="29"/>
      <c r="T32" s="29"/>
      <c r="U32" s="25"/>
      <c r="W32" s="64" t="s">
        <v>6</v>
      </c>
      <c r="X32" s="65">
        <v>1.1481E-2</v>
      </c>
    </row>
    <row r="33" spans="2:24" x14ac:dyDescent="0.25">
      <c r="B33" s="67"/>
      <c r="C33" s="29"/>
      <c r="D33" s="29"/>
      <c r="E33" s="29"/>
      <c r="F33" s="29"/>
      <c r="G33" s="29"/>
      <c r="H33" s="29"/>
      <c r="I33" s="29"/>
      <c r="J33" s="29"/>
      <c r="K33" s="29"/>
      <c r="L33" s="29"/>
      <c r="M33" s="29"/>
      <c r="N33" s="29"/>
      <c r="O33" s="29"/>
      <c r="P33" s="29"/>
      <c r="Q33" s="29"/>
      <c r="R33" s="29"/>
      <c r="S33" s="29"/>
      <c r="T33" s="29"/>
      <c r="U33" s="25"/>
      <c r="W33" s="64" t="s">
        <v>88</v>
      </c>
      <c r="X33" s="65">
        <v>1.103E-2</v>
      </c>
    </row>
    <row r="34" spans="2:24" x14ac:dyDescent="0.25">
      <c r="B34" s="67"/>
      <c r="C34" s="29"/>
      <c r="D34" s="29"/>
      <c r="E34" s="29"/>
      <c r="F34" s="29"/>
      <c r="G34" s="29"/>
      <c r="H34" s="29"/>
      <c r="I34" s="29"/>
      <c r="J34" s="29"/>
      <c r="K34" s="29"/>
      <c r="L34" s="29"/>
      <c r="M34" s="29"/>
      <c r="N34" s="29"/>
      <c r="O34" s="29"/>
      <c r="P34" s="29"/>
      <c r="Q34" s="29"/>
      <c r="R34" s="29"/>
      <c r="S34" s="29"/>
      <c r="T34" s="29"/>
      <c r="U34" s="25"/>
      <c r="W34" s="64" t="s">
        <v>97</v>
      </c>
      <c r="X34" s="65">
        <v>1.1026000000000001E-2</v>
      </c>
    </row>
    <row r="35" spans="2:24" x14ac:dyDescent="0.25">
      <c r="B35" s="67"/>
      <c r="C35" s="29"/>
      <c r="D35" s="29"/>
      <c r="E35" s="29"/>
      <c r="F35" s="29"/>
      <c r="G35" s="29"/>
      <c r="H35" s="29"/>
      <c r="I35" s="29"/>
      <c r="J35" s="29"/>
      <c r="K35" s="29"/>
      <c r="L35" s="29"/>
      <c r="M35" s="29"/>
      <c r="N35" s="29"/>
      <c r="O35" s="29"/>
      <c r="P35" s="29"/>
      <c r="Q35" s="29"/>
      <c r="R35" s="29"/>
      <c r="S35" s="29"/>
      <c r="T35" s="29"/>
      <c r="U35" s="25"/>
      <c r="W35" s="64" t="s">
        <v>84</v>
      </c>
      <c r="X35" s="65">
        <v>1.0754E-2</v>
      </c>
    </row>
    <row r="36" spans="2:24" x14ac:dyDescent="0.25">
      <c r="B36" s="67"/>
      <c r="C36" s="29"/>
      <c r="D36" s="29"/>
      <c r="E36" s="29"/>
      <c r="F36" s="29"/>
      <c r="G36" s="29"/>
      <c r="H36" s="29"/>
      <c r="I36" s="29"/>
      <c r="J36" s="29"/>
      <c r="K36" s="29"/>
      <c r="L36" s="29"/>
      <c r="M36" s="29"/>
      <c r="N36" s="29"/>
      <c r="O36" s="29"/>
      <c r="P36" s="29"/>
      <c r="Q36" s="29"/>
      <c r="R36" s="29"/>
      <c r="S36" s="29"/>
      <c r="T36" s="29"/>
      <c r="U36" s="25"/>
      <c r="W36" s="64" t="s">
        <v>10</v>
      </c>
      <c r="X36" s="65">
        <v>1.0732999999999999E-2</v>
      </c>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t="s">
        <v>26</v>
      </c>
      <c r="X37" s="65">
        <v>9.5069999999999998E-3</v>
      </c>
    </row>
    <row r="38" spans="2:24" ht="15.75" thickBot="1" x14ac:dyDescent="0.3">
      <c r="W38" s="64" t="s">
        <v>127</v>
      </c>
      <c r="X38" s="65">
        <v>8.6829999999999997E-3</v>
      </c>
    </row>
    <row r="39" spans="2:24" ht="15" customHeight="1" x14ac:dyDescent="0.25">
      <c r="B39" s="265" t="s">
        <v>186</v>
      </c>
      <c r="C39" s="266"/>
      <c r="D39" s="266"/>
      <c r="E39" s="266"/>
      <c r="F39" s="266"/>
      <c r="G39" s="266"/>
      <c r="H39" s="266"/>
      <c r="I39" s="266"/>
      <c r="J39" s="266"/>
      <c r="K39" s="266"/>
      <c r="L39" s="266"/>
      <c r="M39" s="266"/>
      <c r="N39" s="266"/>
      <c r="O39" s="266"/>
      <c r="P39" s="266"/>
      <c r="Q39" s="266"/>
      <c r="R39" s="267"/>
      <c r="W39" s="64" t="s">
        <v>229</v>
      </c>
      <c r="X39" s="65">
        <v>8.6460000000000009E-3</v>
      </c>
    </row>
    <row r="40" spans="2:24" x14ac:dyDescent="0.25">
      <c r="B40" s="268"/>
      <c r="C40" s="269"/>
      <c r="D40" s="269"/>
      <c r="E40" s="269"/>
      <c r="F40" s="269"/>
      <c r="G40" s="269"/>
      <c r="H40" s="269"/>
      <c r="I40" s="269"/>
      <c r="J40" s="269"/>
      <c r="K40" s="269"/>
      <c r="L40" s="269"/>
      <c r="M40" s="269"/>
      <c r="N40" s="269"/>
      <c r="O40" s="269"/>
      <c r="P40" s="269"/>
      <c r="Q40" s="269"/>
      <c r="R40" s="270"/>
      <c r="W40" s="64" t="s">
        <v>125</v>
      </c>
      <c r="X40" s="65">
        <v>8.3870000000000004E-3</v>
      </c>
    </row>
    <row r="41" spans="2:24" x14ac:dyDescent="0.25">
      <c r="B41" s="268"/>
      <c r="C41" s="269"/>
      <c r="D41" s="269"/>
      <c r="E41" s="269"/>
      <c r="F41" s="269"/>
      <c r="G41" s="269"/>
      <c r="H41" s="269"/>
      <c r="I41" s="269"/>
      <c r="J41" s="269"/>
      <c r="K41" s="269"/>
      <c r="L41" s="269"/>
      <c r="M41" s="269"/>
      <c r="N41" s="269"/>
      <c r="O41" s="269"/>
      <c r="P41" s="269"/>
      <c r="Q41" s="269"/>
      <c r="R41" s="270"/>
      <c r="W41" s="64" t="s">
        <v>129</v>
      </c>
      <c r="X41" s="65">
        <v>7.6550000000000003E-3</v>
      </c>
    </row>
    <row r="42" spans="2:24" x14ac:dyDescent="0.25">
      <c r="B42" s="268"/>
      <c r="C42" s="269"/>
      <c r="D42" s="269"/>
      <c r="E42" s="269"/>
      <c r="F42" s="269"/>
      <c r="G42" s="269"/>
      <c r="H42" s="269"/>
      <c r="I42" s="269"/>
      <c r="J42" s="269"/>
      <c r="K42" s="269"/>
      <c r="L42" s="269"/>
      <c r="M42" s="269"/>
      <c r="N42" s="269"/>
      <c r="O42" s="269"/>
      <c r="P42" s="269"/>
      <c r="Q42" s="269"/>
      <c r="R42" s="270"/>
      <c r="W42" s="64" t="s">
        <v>108</v>
      </c>
      <c r="X42" s="65">
        <v>7.1970000000000003E-3</v>
      </c>
    </row>
    <row r="43" spans="2:24" x14ac:dyDescent="0.25">
      <c r="B43" s="268"/>
      <c r="C43" s="269"/>
      <c r="D43" s="269"/>
      <c r="E43" s="269"/>
      <c r="F43" s="269"/>
      <c r="G43" s="269"/>
      <c r="H43" s="269"/>
      <c r="I43" s="269"/>
      <c r="J43" s="269"/>
      <c r="K43" s="269"/>
      <c r="L43" s="269"/>
      <c r="M43" s="269"/>
      <c r="N43" s="269"/>
      <c r="O43" s="269"/>
      <c r="P43" s="269"/>
      <c r="Q43" s="269"/>
      <c r="R43" s="270"/>
      <c r="W43" s="19" t="s">
        <v>11</v>
      </c>
      <c r="X43" s="65">
        <v>6.3540000000000003E-3</v>
      </c>
    </row>
    <row r="44" spans="2:24" x14ac:dyDescent="0.25">
      <c r="B44" s="268"/>
      <c r="C44" s="269"/>
      <c r="D44" s="269"/>
      <c r="E44" s="269"/>
      <c r="F44" s="269"/>
      <c r="G44" s="269"/>
      <c r="H44" s="269"/>
      <c r="I44" s="269"/>
      <c r="J44" s="269"/>
      <c r="K44" s="269"/>
      <c r="L44" s="269"/>
      <c r="M44" s="269"/>
      <c r="N44" s="269"/>
      <c r="O44" s="269"/>
      <c r="P44" s="269"/>
      <c r="Q44" s="269"/>
      <c r="R44" s="270"/>
      <c r="W44" s="19" t="s">
        <v>110</v>
      </c>
      <c r="X44" s="65">
        <v>6.0009999999999994E-3</v>
      </c>
    </row>
    <row r="45" spans="2:24" ht="15.75" thickBot="1" x14ac:dyDescent="0.3">
      <c r="B45" s="271"/>
      <c r="C45" s="272"/>
      <c r="D45" s="272"/>
      <c r="E45" s="272"/>
      <c r="F45" s="272"/>
      <c r="G45" s="272"/>
      <c r="H45" s="272"/>
      <c r="I45" s="272"/>
      <c r="J45" s="272"/>
      <c r="K45" s="272"/>
      <c r="L45" s="272"/>
      <c r="M45" s="272"/>
      <c r="N45" s="272"/>
      <c r="O45" s="272"/>
      <c r="P45" s="272"/>
      <c r="Q45" s="272"/>
      <c r="R45" s="273"/>
      <c r="W45" s="19" t="s">
        <v>123</v>
      </c>
      <c r="X45" s="65">
        <v>5.9410000000000001E-3</v>
      </c>
    </row>
    <row r="46" spans="2:24" x14ac:dyDescent="0.25">
      <c r="W46" s="19" t="s">
        <v>191</v>
      </c>
      <c r="X46" s="65">
        <v>5.7840000000000001E-3</v>
      </c>
    </row>
    <row r="47" spans="2:24" x14ac:dyDescent="0.25">
      <c r="W47" s="19" t="s">
        <v>230</v>
      </c>
      <c r="X47" s="65">
        <v>4.5459999999999997E-3</v>
      </c>
    </row>
    <row r="48" spans="2:24" x14ac:dyDescent="0.25">
      <c r="W48" s="19" t="s">
        <v>114</v>
      </c>
      <c r="X48" s="65">
        <v>3.7789999999999998E-3</v>
      </c>
    </row>
    <row r="49" spans="23:24" x14ac:dyDescent="0.25">
      <c r="W49" s="19" t="s">
        <v>132</v>
      </c>
      <c r="X49" s="65">
        <v>3.3540000000000002E-3</v>
      </c>
    </row>
    <row r="50" spans="23:24" x14ac:dyDescent="0.25">
      <c r="W50" s="19" t="s">
        <v>130</v>
      </c>
      <c r="X50" s="65">
        <v>3.143E-3</v>
      </c>
    </row>
    <row r="51" spans="23:24" x14ac:dyDescent="0.25">
      <c r="W51" s="19" t="s">
        <v>149</v>
      </c>
      <c r="X51" s="65">
        <v>1.784E-3</v>
      </c>
    </row>
  </sheetData>
  <mergeCells count="3">
    <mergeCell ref="C3:S3"/>
    <mergeCell ref="D5:E5"/>
    <mergeCell ref="B39:R45"/>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F7DA-CB3C-4DA8-B0A0-98418BAD53A4}">
  <dimension ref="A1:X63"/>
  <sheetViews>
    <sheetView showGridLines="0" zoomScale="77" zoomScaleNormal="75" workbookViewId="0"/>
  </sheetViews>
  <sheetFormatPr defaultRowHeight="15" x14ac:dyDescent="0.25"/>
  <cols>
    <col min="1" max="1" width="2.85546875" style="19" customWidth="1"/>
    <col min="2" max="2" width="3.85546875" style="19" customWidth="1"/>
    <col min="3" max="3" width="58.7109375" style="19" bestFit="1" customWidth="1"/>
    <col min="4" max="4" width="28.28515625" style="19" customWidth="1"/>
    <col min="5" max="5" width="10.42578125" style="19" bestFit="1" customWidth="1"/>
    <col min="6" max="18" width="9.140625" style="19"/>
    <col min="19" max="19" width="9.85546875" style="19" customWidth="1"/>
    <col min="20" max="22" width="9.140625" style="19"/>
    <col min="23" max="23" width="31.42578125" style="19" bestFit="1" customWidth="1"/>
    <col min="24" max="16384" width="9.140625" style="19"/>
  </cols>
  <sheetData>
    <row r="1" spans="1:24" ht="16.5" thickBot="1" x14ac:dyDescent="0.3">
      <c r="A1" s="3"/>
    </row>
    <row r="2" spans="1:24" x14ac:dyDescent="0.25">
      <c r="B2" s="66"/>
      <c r="C2" s="28"/>
      <c r="D2" s="28"/>
      <c r="E2" s="28"/>
      <c r="F2" s="28"/>
      <c r="G2" s="28"/>
      <c r="H2" s="28"/>
      <c r="I2" s="28"/>
      <c r="J2" s="28"/>
      <c r="K2" s="28"/>
      <c r="L2" s="28"/>
      <c r="M2" s="28"/>
      <c r="N2" s="28"/>
      <c r="O2" s="28"/>
      <c r="P2" s="28"/>
      <c r="Q2" s="28"/>
      <c r="R2" s="28"/>
      <c r="S2" s="28"/>
      <c r="T2" s="28"/>
      <c r="U2" s="24"/>
    </row>
    <row r="3" spans="1:24" ht="20.25" x14ac:dyDescent="0.25">
      <c r="B3" s="67"/>
      <c r="C3" s="274" t="s">
        <v>317</v>
      </c>
      <c r="D3" s="275"/>
      <c r="E3" s="275"/>
      <c r="F3" s="275"/>
      <c r="G3" s="275"/>
      <c r="H3" s="275"/>
      <c r="I3" s="275"/>
      <c r="J3" s="275"/>
      <c r="K3" s="275"/>
      <c r="L3" s="275"/>
      <c r="M3" s="275"/>
      <c r="N3" s="275"/>
      <c r="O3" s="275"/>
      <c r="P3" s="275"/>
      <c r="Q3" s="275"/>
      <c r="R3" s="275"/>
      <c r="S3" s="275"/>
      <c r="T3" s="68"/>
      <c r="U3" s="69"/>
    </row>
    <row r="4" spans="1:24" ht="15.75" x14ac:dyDescent="0.25">
      <c r="B4" s="67"/>
      <c r="C4" s="70" t="s">
        <v>367</v>
      </c>
      <c r="D4" s="29"/>
      <c r="E4" s="29"/>
      <c r="F4" s="29"/>
      <c r="G4" s="29"/>
      <c r="H4" s="29"/>
      <c r="I4" s="29"/>
      <c r="J4" s="29"/>
      <c r="K4" s="29"/>
      <c r="L4" s="29"/>
      <c r="M4" s="29"/>
      <c r="N4" s="29"/>
      <c r="O4" s="29"/>
      <c r="P4" s="29"/>
      <c r="Q4" s="29"/>
      <c r="R4" s="29"/>
      <c r="S4" s="29"/>
      <c r="T4" s="29"/>
      <c r="U4" s="25"/>
    </row>
    <row r="5" spans="1:24" ht="20.25" x14ac:dyDescent="0.25">
      <c r="B5" s="67"/>
      <c r="C5" s="228" t="s">
        <v>366</v>
      </c>
      <c r="D5" s="278" t="s">
        <v>349</v>
      </c>
      <c r="E5" s="278"/>
      <c r="F5" s="29"/>
      <c r="G5" s="29"/>
      <c r="H5" s="29"/>
      <c r="I5" s="29"/>
      <c r="J5" s="29"/>
      <c r="K5" s="29"/>
      <c r="L5" s="29"/>
      <c r="M5" s="29"/>
      <c r="N5" s="29"/>
      <c r="O5" s="29"/>
      <c r="P5" s="29"/>
      <c r="Q5" s="29"/>
      <c r="R5" s="29"/>
      <c r="S5" s="29"/>
      <c r="T5" s="29"/>
      <c r="U5" s="25"/>
    </row>
    <row r="6" spans="1:24" x14ac:dyDescent="0.25">
      <c r="B6" s="67"/>
      <c r="C6" s="29"/>
      <c r="D6" s="29"/>
      <c r="E6" s="29"/>
      <c r="F6" s="29"/>
      <c r="G6" s="29"/>
      <c r="H6" s="29"/>
      <c r="I6" s="29"/>
      <c r="J6" s="29"/>
      <c r="K6" s="29"/>
      <c r="L6" s="29"/>
      <c r="M6" s="29"/>
      <c r="N6" s="29"/>
      <c r="O6" s="29"/>
      <c r="P6" s="29"/>
      <c r="Q6" s="29"/>
      <c r="R6" s="29"/>
      <c r="S6" s="29"/>
      <c r="T6" s="29"/>
      <c r="U6" s="25"/>
    </row>
    <row r="7" spans="1:24" ht="15.75" x14ac:dyDescent="0.25">
      <c r="B7" s="67"/>
      <c r="C7" s="71" t="s">
        <v>0</v>
      </c>
      <c r="D7" s="72" t="s">
        <v>1</v>
      </c>
      <c r="E7" s="73" t="s">
        <v>2</v>
      </c>
      <c r="F7" s="29"/>
      <c r="G7" s="29"/>
      <c r="H7" s="29"/>
      <c r="I7" s="29"/>
      <c r="J7" s="29"/>
      <c r="K7" s="29"/>
      <c r="L7" s="29"/>
      <c r="M7" s="29"/>
      <c r="N7" s="29"/>
      <c r="O7" s="29"/>
      <c r="P7" s="29"/>
      <c r="Q7" s="29"/>
      <c r="R7" s="29"/>
      <c r="S7" s="29"/>
      <c r="T7" s="29"/>
      <c r="U7" s="25"/>
      <c r="W7" s="39" t="s">
        <v>22</v>
      </c>
      <c r="X7" s="39" t="s">
        <v>2</v>
      </c>
    </row>
    <row r="8" spans="1:24" ht="15.75" x14ac:dyDescent="0.25">
      <c r="B8" s="67"/>
      <c r="C8" s="198" t="s">
        <v>29</v>
      </c>
      <c r="D8" s="199" t="s">
        <v>3</v>
      </c>
      <c r="E8" s="200">
        <v>6.1511999999999997E-2</v>
      </c>
      <c r="F8" s="29"/>
      <c r="G8" s="29"/>
      <c r="H8" s="29"/>
      <c r="I8" s="29"/>
      <c r="J8" s="29"/>
      <c r="K8" s="29"/>
      <c r="L8" s="29"/>
      <c r="M8" s="29"/>
      <c r="N8" s="29"/>
      <c r="O8" s="29"/>
      <c r="P8" s="29"/>
      <c r="Q8" s="29"/>
      <c r="R8" s="29"/>
      <c r="S8" s="29"/>
      <c r="T8" s="29"/>
      <c r="U8" s="25"/>
      <c r="W8" s="184" t="s">
        <v>3</v>
      </c>
      <c r="X8" s="251">
        <v>0.18128499999999997</v>
      </c>
    </row>
    <row r="9" spans="1:24" ht="15.75" x14ac:dyDescent="0.25">
      <c r="B9" s="67"/>
      <c r="C9" s="192" t="s">
        <v>31</v>
      </c>
      <c r="D9" s="201" t="s">
        <v>6</v>
      </c>
      <c r="E9" s="202">
        <v>5.1479999999999998E-2</v>
      </c>
      <c r="F9" s="29"/>
      <c r="G9" s="29"/>
      <c r="H9" s="29"/>
      <c r="I9" s="29"/>
      <c r="J9" s="29"/>
      <c r="K9" s="29"/>
      <c r="L9" s="29"/>
      <c r="M9" s="29"/>
      <c r="N9" s="29"/>
      <c r="O9" s="29"/>
      <c r="P9" s="29"/>
      <c r="Q9" s="29"/>
      <c r="R9" s="29"/>
      <c r="S9" s="29"/>
      <c r="T9" s="29"/>
      <c r="U9" s="25"/>
      <c r="W9" s="184" t="s">
        <v>109</v>
      </c>
      <c r="X9" s="251">
        <v>9.0650000000000008E-2</v>
      </c>
    </row>
    <row r="10" spans="1:24" ht="15.75" x14ac:dyDescent="0.25">
      <c r="B10" s="67"/>
      <c r="C10" s="192" t="s">
        <v>32</v>
      </c>
      <c r="D10" s="201" t="s">
        <v>3</v>
      </c>
      <c r="E10" s="202">
        <v>4.3205E-2</v>
      </c>
      <c r="F10" s="29"/>
      <c r="G10" s="29"/>
      <c r="H10" s="29"/>
      <c r="I10" s="29"/>
      <c r="J10" s="29"/>
      <c r="K10" s="29"/>
      <c r="L10" s="29"/>
      <c r="M10" s="29"/>
      <c r="N10" s="29"/>
      <c r="O10" s="29"/>
      <c r="P10" s="29"/>
      <c r="Q10" s="29"/>
      <c r="R10" s="29"/>
      <c r="S10" s="29"/>
      <c r="T10" s="29"/>
      <c r="U10" s="25"/>
      <c r="W10" s="184" t="s">
        <v>6</v>
      </c>
      <c r="X10" s="251">
        <v>6.1442999999999998E-2</v>
      </c>
    </row>
    <row r="11" spans="1:24" ht="15.75" x14ac:dyDescent="0.25">
      <c r="B11" s="67"/>
      <c r="C11" s="192" t="s">
        <v>28</v>
      </c>
      <c r="D11" s="201" t="s">
        <v>109</v>
      </c>
      <c r="E11" s="202">
        <v>3.4109E-2</v>
      </c>
      <c r="F11" s="29"/>
      <c r="G11" s="29"/>
      <c r="H11" s="29"/>
      <c r="I11" s="29"/>
      <c r="J11" s="29"/>
      <c r="K11" s="29"/>
      <c r="L11" s="29"/>
      <c r="M11" s="29"/>
      <c r="N11" s="29"/>
      <c r="O11" s="29"/>
      <c r="P11" s="29"/>
      <c r="Q11" s="29"/>
      <c r="R11" s="29"/>
      <c r="S11" s="29"/>
      <c r="T11" s="29"/>
      <c r="U11" s="25"/>
      <c r="W11" s="184" t="s">
        <v>4</v>
      </c>
      <c r="X11" s="251">
        <v>5.7268999999999987E-2</v>
      </c>
    </row>
    <row r="12" spans="1:24" ht="15.75" x14ac:dyDescent="0.25">
      <c r="B12" s="67"/>
      <c r="C12" s="192" t="s">
        <v>30</v>
      </c>
      <c r="D12" s="201" t="s">
        <v>119</v>
      </c>
      <c r="E12" s="202">
        <v>2.3127999999999999E-2</v>
      </c>
      <c r="F12" s="29"/>
      <c r="G12" s="29"/>
      <c r="H12" s="29"/>
      <c r="I12" s="29"/>
      <c r="J12" s="29"/>
      <c r="K12" s="29"/>
      <c r="L12" s="29"/>
      <c r="M12" s="29"/>
      <c r="N12" s="29"/>
      <c r="O12" s="29"/>
      <c r="P12" s="29"/>
      <c r="Q12" s="29"/>
      <c r="R12" s="29"/>
      <c r="S12" s="29"/>
      <c r="T12" s="29"/>
      <c r="U12" s="25"/>
      <c r="W12" s="184" t="s">
        <v>114</v>
      </c>
      <c r="X12" s="251">
        <v>5.1075000000000009E-2</v>
      </c>
    </row>
    <row r="13" spans="1:24" ht="15.75" x14ac:dyDescent="0.25">
      <c r="B13" s="67"/>
      <c r="C13" s="192" t="s">
        <v>34</v>
      </c>
      <c r="D13" s="201" t="s">
        <v>23</v>
      </c>
      <c r="E13" s="202">
        <v>2.2537999999999999E-2</v>
      </c>
      <c r="F13" s="29"/>
      <c r="G13" s="29"/>
      <c r="H13" s="29"/>
      <c r="I13" s="29"/>
      <c r="J13" s="29"/>
      <c r="K13" s="29"/>
      <c r="L13" s="29"/>
      <c r="M13" s="29"/>
      <c r="N13" s="29"/>
      <c r="O13" s="29"/>
      <c r="P13" s="29"/>
      <c r="Q13" s="29"/>
      <c r="R13" s="29"/>
      <c r="S13" s="29"/>
      <c r="T13" s="29"/>
      <c r="U13" s="25"/>
      <c r="W13" s="184" t="s">
        <v>113</v>
      </c>
      <c r="X13" s="251">
        <v>4.4572000000000021E-2</v>
      </c>
    </row>
    <row r="14" spans="1:24" ht="15.75" x14ac:dyDescent="0.25">
      <c r="B14" s="67"/>
      <c r="C14" s="192" t="s">
        <v>33</v>
      </c>
      <c r="D14" s="201" t="s">
        <v>109</v>
      </c>
      <c r="E14" s="202">
        <v>2.2450000000000001E-2</v>
      </c>
      <c r="F14" s="29"/>
      <c r="G14" s="29"/>
      <c r="H14" s="29"/>
      <c r="I14" s="29"/>
      <c r="J14" s="29"/>
      <c r="K14" s="29"/>
      <c r="L14" s="29"/>
      <c r="M14" s="29"/>
      <c r="N14" s="29"/>
      <c r="O14" s="29"/>
      <c r="P14" s="29"/>
      <c r="Q14" s="29"/>
      <c r="R14" s="29"/>
      <c r="S14" s="29"/>
      <c r="T14" s="29"/>
      <c r="U14" s="25"/>
      <c r="W14" s="184" t="s">
        <v>10</v>
      </c>
      <c r="X14" s="251">
        <v>3.9505999999999999E-2</v>
      </c>
    </row>
    <row r="15" spans="1:24" ht="15.75" x14ac:dyDescent="0.25">
      <c r="B15" s="67"/>
      <c r="C15" s="192" t="s">
        <v>70</v>
      </c>
      <c r="D15" s="201" t="s">
        <v>12</v>
      </c>
      <c r="E15" s="202">
        <v>2.0161999999999999E-2</v>
      </c>
      <c r="F15" s="29"/>
      <c r="G15" s="29"/>
      <c r="H15" s="29"/>
      <c r="I15" s="29"/>
      <c r="J15" s="29"/>
      <c r="K15" s="29"/>
      <c r="L15" s="29"/>
      <c r="M15" s="29"/>
      <c r="N15" s="29"/>
      <c r="O15" s="29"/>
      <c r="P15" s="29"/>
      <c r="Q15" s="29"/>
      <c r="R15" s="29"/>
      <c r="S15" s="29"/>
      <c r="T15" s="29"/>
      <c r="U15" s="25"/>
      <c r="W15" s="184" t="s">
        <v>119</v>
      </c>
      <c r="X15" s="251">
        <v>3.5334999999999998E-2</v>
      </c>
    </row>
    <row r="16" spans="1:24" ht="15.75" x14ac:dyDescent="0.25">
      <c r="B16" s="67"/>
      <c r="C16" s="192" t="s">
        <v>80</v>
      </c>
      <c r="D16" s="201" t="s">
        <v>3</v>
      </c>
      <c r="E16" s="202">
        <v>1.6920999999999999E-2</v>
      </c>
      <c r="F16" s="29"/>
      <c r="G16" s="29"/>
      <c r="H16" s="29"/>
      <c r="I16" s="29"/>
      <c r="J16" s="29"/>
      <c r="K16" s="29"/>
      <c r="L16" s="29"/>
      <c r="M16" s="29"/>
      <c r="N16" s="29"/>
      <c r="O16" s="29"/>
      <c r="P16" s="29"/>
      <c r="Q16" s="29"/>
      <c r="R16" s="29"/>
      <c r="S16" s="29"/>
      <c r="T16" s="29"/>
      <c r="U16" s="25"/>
      <c r="W16" s="184" t="s">
        <v>23</v>
      </c>
      <c r="X16" s="251">
        <v>3.2559999999999999E-2</v>
      </c>
    </row>
    <row r="17" spans="2:24" ht="15.75" x14ac:dyDescent="0.25">
      <c r="B17" s="67"/>
      <c r="C17" s="192" t="s">
        <v>36</v>
      </c>
      <c r="D17" s="201" t="s">
        <v>3</v>
      </c>
      <c r="E17" s="202">
        <v>1.6754000000000002E-2</v>
      </c>
      <c r="F17" s="29"/>
      <c r="G17" s="29"/>
      <c r="H17" s="29"/>
      <c r="I17" s="29"/>
      <c r="J17" s="29"/>
      <c r="K17" s="29"/>
      <c r="L17" s="29"/>
      <c r="M17" s="29"/>
      <c r="N17" s="29"/>
      <c r="O17" s="29"/>
      <c r="P17" s="29"/>
      <c r="Q17" s="29"/>
      <c r="R17" s="29"/>
      <c r="S17" s="29"/>
      <c r="T17" s="29"/>
      <c r="U17" s="25"/>
      <c r="W17" s="184" t="s">
        <v>16</v>
      </c>
      <c r="X17" s="251">
        <v>3.1561999999999993E-2</v>
      </c>
    </row>
    <row r="18" spans="2:24" ht="15.75" x14ac:dyDescent="0.25">
      <c r="B18" s="67"/>
      <c r="C18" s="192" t="s">
        <v>122</v>
      </c>
      <c r="D18" s="201" t="s">
        <v>114</v>
      </c>
      <c r="E18" s="202">
        <v>1.4257000000000001E-2</v>
      </c>
      <c r="F18" s="29"/>
      <c r="G18" s="29"/>
      <c r="H18" s="29"/>
      <c r="I18" s="29"/>
      <c r="J18" s="29"/>
      <c r="K18" s="29"/>
      <c r="L18" s="29"/>
      <c r="M18" s="29"/>
      <c r="N18" s="29"/>
      <c r="O18" s="29"/>
      <c r="P18" s="29"/>
      <c r="Q18" s="29"/>
      <c r="R18" s="29"/>
      <c r="S18" s="29"/>
      <c r="T18" s="29"/>
      <c r="U18" s="25"/>
      <c r="W18" s="184" t="s">
        <v>12</v>
      </c>
      <c r="X18" s="251">
        <v>2.6185E-2</v>
      </c>
    </row>
    <row r="19" spans="2:24" ht="15.75" x14ac:dyDescent="0.25">
      <c r="B19" s="67"/>
      <c r="C19" s="192" t="s">
        <v>35</v>
      </c>
      <c r="D19" s="201" t="s">
        <v>3</v>
      </c>
      <c r="E19" s="202">
        <v>1.3441E-2</v>
      </c>
      <c r="F19" s="29"/>
      <c r="G19" s="29"/>
      <c r="H19" s="29"/>
      <c r="I19" s="29"/>
      <c r="J19" s="29"/>
      <c r="K19" s="29"/>
      <c r="L19" s="29"/>
      <c r="M19" s="29"/>
      <c r="N19" s="29"/>
      <c r="O19" s="29"/>
      <c r="P19" s="29"/>
      <c r="Q19" s="29"/>
      <c r="R19" s="29"/>
      <c r="S19" s="29"/>
      <c r="T19" s="29"/>
      <c r="U19" s="25"/>
      <c r="W19" s="184" t="s">
        <v>112</v>
      </c>
      <c r="X19" s="251">
        <v>2.4414000000000005E-2</v>
      </c>
    </row>
    <row r="20" spans="2:24" ht="15.75" x14ac:dyDescent="0.25">
      <c r="B20" s="67"/>
      <c r="C20" s="192" t="s">
        <v>37</v>
      </c>
      <c r="D20" s="201" t="s">
        <v>119</v>
      </c>
      <c r="E20" s="202">
        <v>1.2207000000000001E-2</v>
      </c>
      <c r="F20" s="29"/>
      <c r="G20" s="29"/>
      <c r="H20" s="29"/>
      <c r="I20" s="29"/>
      <c r="J20" s="29"/>
      <c r="K20" s="29"/>
      <c r="L20" s="29"/>
      <c r="M20" s="29"/>
      <c r="N20" s="29"/>
      <c r="O20" s="29"/>
      <c r="P20" s="29"/>
      <c r="Q20" s="29"/>
      <c r="R20" s="29"/>
      <c r="S20" s="29"/>
      <c r="T20" s="29"/>
      <c r="U20" s="25"/>
      <c r="W20" s="184" t="s">
        <v>26</v>
      </c>
      <c r="X20" s="251">
        <v>2.4237999999999996E-2</v>
      </c>
    </row>
    <row r="21" spans="2:24" ht="15.75" x14ac:dyDescent="0.25">
      <c r="B21" s="67"/>
      <c r="C21" s="192" t="s">
        <v>81</v>
      </c>
      <c r="D21" s="201" t="s">
        <v>114</v>
      </c>
      <c r="E21" s="202">
        <v>1.2175999999999999E-2</v>
      </c>
      <c r="F21" s="29"/>
      <c r="G21" s="29"/>
      <c r="H21" s="29"/>
      <c r="I21" s="29"/>
      <c r="J21" s="29"/>
      <c r="K21" s="29"/>
      <c r="L21" s="29"/>
      <c r="M21" s="29"/>
      <c r="N21" s="29"/>
      <c r="O21" s="29"/>
      <c r="P21" s="29"/>
      <c r="Q21" s="29"/>
      <c r="R21" s="29"/>
      <c r="S21" s="29"/>
      <c r="T21" s="29"/>
      <c r="U21" s="25"/>
      <c r="W21" s="184" t="s">
        <v>24</v>
      </c>
      <c r="X21" s="251">
        <v>2.2083000000000005E-2</v>
      </c>
    </row>
    <row r="22" spans="2:24" ht="15.75" x14ac:dyDescent="0.25">
      <c r="B22" s="67"/>
      <c r="C22" s="192" t="s">
        <v>62</v>
      </c>
      <c r="D22" s="201" t="s">
        <v>10</v>
      </c>
      <c r="E22" s="202">
        <v>9.9919999999999991E-3</v>
      </c>
      <c r="F22" s="29"/>
      <c r="G22" s="29"/>
      <c r="H22" s="29"/>
      <c r="I22" s="29"/>
      <c r="J22" s="29"/>
      <c r="K22" s="29"/>
      <c r="L22" s="29"/>
      <c r="M22" s="29"/>
      <c r="N22" s="29"/>
      <c r="O22" s="29"/>
      <c r="P22" s="29"/>
      <c r="Q22" s="29"/>
      <c r="R22" s="29"/>
      <c r="S22" s="29"/>
      <c r="T22" s="29"/>
      <c r="U22" s="25"/>
      <c r="W22" s="184" t="s">
        <v>84</v>
      </c>
      <c r="X22" s="251">
        <v>2.0756999999999998E-2</v>
      </c>
    </row>
    <row r="23" spans="2:24" x14ac:dyDescent="0.25">
      <c r="B23" s="67"/>
      <c r="C23" s="74"/>
      <c r="D23" s="74"/>
      <c r="E23" s="75"/>
      <c r="F23" s="29"/>
      <c r="G23" s="29"/>
      <c r="H23" s="29"/>
      <c r="I23" s="29"/>
      <c r="J23" s="29"/>
      <c r="K23" s="29"/>
      <c r="L23" s="29"/>
      <c r="M23" s="29"/>
      <c r="N23" s="29"/>
      <c r="O23" s="29"/>
      <c r="P23" s="29"/>
      <c r="Q23" s="29"/>
      <c r="R23" s="29"/>
      <c r="S23" s="29"/>
      <c r="T23" s="29"/>
      <c r="U23" s="25"/>
      <c r="W23" s="184" t="s">
        <v>121</v>
      </c>
      <c r="X23" s="251">
        <v>1.7802999999999999E-2</v>
      </c>
    </row>
    <row r="24" spans="2:24" ht="15.75" x14ac:dyDescent="0.25">
      <c r="B24" s="67"/>
      <c r="C24" s="76" t="s">
        <v>55</v>
      </c>
      <c r="D24" s="77"/>
      <c r="E24" s="78">
        <f>SUM(E8:E22)</f>
        <v>0.37433200000000011</v>
      </c>
      <c r="F24" s="29"/>
      <c r="G24" s="29"/>
      <c r="H24" s="29"/>
      <c r="I24" s="29"/>
      <c r="J24" s="29"/>
      <c r="K24" s="29"/>
      <c r="L24" s="29"/>
      <c r="M24" s="29"/>
      <c r="N24" s="29"/>
      <c r="O24" s="29"/>
      <c r="P24" s="29"/>
      <c r="Q24" s="29"/>
      <c r="R24" s="29"/>
      <c r="S24" s="29"/>
      <c r="T24" s="29"/>
      <c r="U24" s="25"/>
      <c r="W24" s="184" t="s">
        <v>11</v>
      </c>
      <c r="X24" s="251">
        <v>1.6832E-2</v>
      </c>
    </row>
    <row r="25" spans="2:24" x14ac:dyDescent="0.25">
      <c r="B25" s="67"/>
      <c r="C25" s="29"/>
      <c r="D25" s="29"/>
      <c r="E25" s="29"/>
      <c r="F25" s="29"/>
      <c r="G25" s="29"/>
      <c r="H25" s="29"/>
      <c r="I25" s="29"/>
      <c r="J25" s="29"/>
      <c r="K25" s="29"/>
      <c r="L25" s="29"/>
      <c r="M25" s="29"/>
      <c r="N25" s="29"/>
      <c r="O25" s="29"/>
      <c r="P25" s="29"/>
      <c r="Q25" s="29"/>
      <c r="R25" s="29"/>
      <c r="S25" s="29"/>
      <c r="T25" s="29"/>
      <c r="U25" s="25"/>
      <c r="W25" s="184" t="s">
        <v>118</v>
      </c>
      <c r="X25" s="251">
        <v>1.6509000000000003E-2</v>
      </c>
    </row>
    <row r="26" spans="2:24" x14ac:dyDescent="0.25">
      <c r="B26" s="67"/>
      <c r="C26" s="29"/>
      <c r="D26" s="29"/>
      <c r="E26" s="29"/>
      <c r="F26" s="29"/>
      <c r="G26" s="29"/>
      <c r="H26" s="29"/>
      <c r="I26" s="29"/>
      <c r="J26" s="29"/>
      <c r="K26" s="29"/>
      <c r="L26" s="29"/>
      <c r="M26" s="29"/>
      <c r="N26" s="29"/>
      <c r="O26" s="29"/>
      <c r="P26" s="29"/>
      <c r="Q26" s="29"/>
      <c r="R26" s="29"/>
      <c r="S26" s="29"/>
      <c r="T26" s="29"/>
      <c r="U26" s="25"/>
      <c r="W26" s="184" t="s">
        <v>87</v>
      </c>
      <c r="X26" s="251">
        <v>1.5630999999999999E-2</v>
      </c>
    </row>
    <row r="27" spans="2:24" x14ac:dyDescent="0.25">
      <c r="B27" s="67"/>
      <c r="C27" s="29"/>
      <c r="D27" s="29"/>
      <c r="E27" s="29"/>
      <c r="F27" s="29"/>
      <c r="G27" s="29"/>
      <c r="H27" s="29"/>
      <c r="I27" s="29"/>
      <c r="J27" s="29"/>
      <c r="K27" s="29"/>
      <c r="L27" s="29"/>
      <c r="M27" s="29"/>
      <c r="N27" s="29"/>
      <c r="O27" s="29"/>
      <c r="P27" s="29"/>
      <c r="Q27" s="29"/>
      <c r="R27" s="29"/>
      <c r="S27" s="29"/>
      <c r="T27" s="29"/>
      <c r="U27" s="25"/>
      <c r="W27" s="64" t="s">
        <v>115</v>
      </c>
      <c r="X27" s="65">
        <v>1.4060000000000001E-2</v>
      </c>
    </row>
    <row r="28" spans="2:24" x14ac:dyDescent="0.25">
      <c r="B28" s="67"/>
      <c r="C28" s="29"/>
      <c r="D28" s="29"/>
      <c r="E28" s="29"/>
      <c r="F28" s="29"/>
      <c r="G28" s="29"/>
      <c r="H28" s="29"/>
      <c r="I28" s="29"/>
      <c r="J28" s="29"/>
      <c r="K28" s="29"/>
      <c r="L28" s="29"/>
      <c r="M28" s="29"/>
      <c r="N28" s="29"/>
      <c r="O28" s="29"/>
      <c r="P28" s="29"/>
      <c r="Q28" s="29"/>
      <c r="R28" s="29"/>
      <c r="S28" s="29"/>
      <c r="T28" s="29"/>
      <c r="U28" s="25"/>
      <c r="W28" s="64" t="s">
        <v>88</v>
      </c>
      <c r="X28" s="65">
        <v>1.3149000000000001E-2</v>
      </c>
    </row>
    <row r="29" spans="2:24" x14ac:dyDescent="0.25">
      <c r="B29" s="67"/>
      <c r="C29" s="29"/>
      <c r="D29" s="29"/>
      <c r="E29" s="29"/>
      <c r="F29" s="29"/>
      <c r="G29" s="29"/>
      <c r="H29" s="29"/>
      <c r="I29" s="29"/>
      <c r="J29" s="29"/>
      <c r="K29" s="29"/>
      <c r="L29" s="29"/>
      <c r="M29" s="29"/>
      <c r="N29" s="29"/>
      <c r="O29" s="29"/>
      <c r="P29" s="29"/>
      <c r="Q29" s="29"/>
      <c r="R29" s="29"/>
      <c r="S29" s="29"/>
      <c r="T29" s="29"/>
      <c r="U29" s="25"/>
      <c r="W29" s="64" t="s">
        <v>78</v>
      </c>
      <c r="X29" s="65">
        <v>1.2345999999999999E-2</v>
      </c>
    </row>
    <row r="30" spans="2:24" x14ac:dyDescent="0.25">
      <c r="B30" s="67"/>
      <c r="C30" s="29"/>
      <c r="D30" s="29"/>
      <c r="E30" s="29"/>
      <c r="F30" s="29"/>
      <c r="G30" s="29"/>
      <c r="H30" s="29"/>
      <c r="I30" s="29"/>
      <c r="J30" s="29"/>
      <c r="K30" s="29"/>
      <c r="L30" s="29"/>
      <c r="M30" s="29"/>
      <c r="N30" s="29"/>
      <c r="O30" s="29"/>
      <c r="P30" s="29"/>
      <c r="Q30" s="29"/>
      <c r="R30" s="29"/>
      <c r="S30" s="29"/>
      <c r="T30" s="29"/>
      <c r="U30" s="25"/>
      <c r="W30" s="64" t="s">
        <v>86</v>
      </c>
      <c r="X30" s="65">
        <v>1.2219999999999998E-2</v>
      </c>
    </row>
    <row r="31" spans="2:24" x14ac:dyDescent="0.25">
      <c r="B31" s="67"/>
      <c r="C31" s="29"/>
      <c r="D31" s="29"/>
      <c r="E31" s="29"/>
      <c r="F31" s="29"/>
      <c r="G31" s="29"/>
      <c r="H31" s="29"/>
      <c r="I31" s="29"/>
      <c r="J31" s="29"/>
      <c r="K31" s="29"/>
      <c r="L31" s="29"/>
      <c r="M31" s="29"/>
      <c r="N31" s="29"/>
      <c r="O31" s="29"/>
      <c r="P31" s="29"/>
      <c r="Q31" s="29"/>
      <c r="R31" s="29"/>
      <c r="S31" s="29"/>
      <c r="T31" s="29"/>
      <c r="U31" s="25"/>
      <c r="W31" s="64" t="s">
        <v>110</v>
      </c>
      <c r="X31" s="65">
        <v>9.2690000000000012E-3</v>
      </c>
    </row>
    <row r="32" spans="2:24" x14ac:dyDescent="0.25">
      <c r="B32" s="67"/>
      <c r="C32" s="29"/>
      <c r="D32" s="29"/>
      <c r="E32" s="29"/>
      <c r="F32" s="29"/>
      <c r="G32" s="29"/>
      <c r="H32" s="29"/>
      <c r="I32" s="29"/>
      <c r="J32" s="29"/>
      <c r="K32" s="29"/>
      <c r="L32" s="29"/>
      <c r="M32" s="29"/>
      <c r="N32" s="29"/>
      <c r="O32" s="29"/>
      <c r="P32" s="29"/>
      <c r="Q32" s="29"/>
      <c r="R32" s="29"/>
      <c r="S32" s="29"/>
      <c r="T32" s="29"/>
      <c r="U32" s="25"/>
      <c r="W32" s="64" t="s">
        <v>123</v>
      </c>
      <c r="X32" s="65">
        <v>9.2200000000000008E-3</v>
      </c>
    </row>
    <row r="33" spans="2:24" x14ac:dyDescent="0.25">
      <c r="B33" s="67"/>
      <c r="C33" s="29"/>
      <c r="D33" s="29"/>
      <c r="E33" s="29"/>
      <c r="F33" s="29"/>
      <c r="G33" s="29"/>
      <c r="H33" s="29"/>
      <c r="I33" s="29"/>
      <c r="J33" s="29"/>
      <c r="K33" s="29"/>
      <c r="L33" s="29"/>
      <c r="M33" s="29"/>
      <c r="N33" s="29"/>
      <c r="O33" s="29"/>
      <c r="P33" s="29"/>
      <c r="Q33" s="29"/>
      <c r="R33" s="29"/>
      <c r="S33" s="29"/>
      <c r="T33" s="29"/>
      <c r="U33" s="25"/>
      <c r="W33" s="64" t="s">
        <v>25</v>
      </c>
      <c r="X33" s="65">
        <v>9.0880000000000006E-3</v>
      </c>
    </row>
    <row r="34" spans="2:24" x14ac:dyDescent="0.25">
      <c r="B34" s="67"/>
      <c r="C34" s="29"/>
      <c r="D34" s="29"/>
      <c r="E34" s="29"/>
      <c r="F34" s="29"/>
      <c r="G34" s="29"/>
      <c r="H34" s="29"/>
      <c r="I34" s="29"/>
      <c r="J34" s="29"/>
      <c r="K34" s="29"/>
      <c r="L34" s="29"/>
      <c r="M34" s="29"/>
      <c r="N34" s="29"/>
      <c r="O34" s="29"/>
      <c r="P34" s="29"/>
      <c r="Q34" s="29"/>
      <c r="R34" s="29"/>
      <c r="S34" s="29"/>
      <c r="T34" s="29"/>
      <c r="U34" s="25"/>
      <c r="W34" s="64" t="s">
        <v>85</v>
      </c>
      <c r="X34" s="65">
        <v>8.9999999999999993E-3</v>
      </c>
    </row>
    <row r="35" spans="2:24" x14ac:dyDescent="0.25">
      <c r="B35" s="67"/>
      <c r="C35" s="29"/>
      <c r="D35" s="29"/>
      <c r="E35" s="29"/>
      <c r="F35" s="29"/>
      <c r="G35" s="29"/>
      <c r="H35" s="29"/>
      <c r="I35" s="29"/>
      <c r="J35" s="29"/>
      <c r="K35" s="29"/>
      <c r="L35" s="29"/>
      <c r="M35" s="29"/>
      <c r="N35" s="29"/>
      <c r="O35" s="29"/>
      <c r="P35" s="29"/>
      <c r="Q35" s="29"/>
      <c r="R35" s="29"/>
      <c r="S35" s="29"/>
      <c r="T35" s="29"/>
      <c r="U35" s="25"/>
      <c r="W35" s="64" t="s">
        <v>117</v>
      </c>
      <c r="X35" s="65">
        <v>8.4910000000000003E-3</v>
      </c>
    </row>
    <row r="36" spans="2:24" x14ac:dyDescent="0.25">
      <c r="B36" s="67"/>
      <c r="C36" s="29"/>
      <c r="D36" s="29"/>
      <c r="E36" s="29"/>
      <c r="F36" s="29"/>
      <c r="G36" s="29"/>
      <c r="H36" s="29"/>
      <c r="I36" s="29"/>
      <c r="J36" s="29"/>
      <c r="K36" s="29"/>
      <c r="L36" s="29"/>
      <c r="M36" s="29"/>
      <c r="N36" s="29"/>
      <c r="O36" s="29"/>
      <c r="P36" s="29"/>
      <c r="Q36" s="29"/>
      <c r="R36" s="29"/>
      <c r="S36" s="29"/>
      <c r="T36" s="29"/>
      <c r="U36" s="25"/>
      <c r="W36" s="64" t="s">
        <v>132</v>
      </c>
      <c r="X36" s="65">
        <v>8.4460000000000004E-3</v>
      </c>
    </row>
    <row r="37" spans="2:24" ht="15.75" thickBot="1" x14ac:dyDescent="0.3">
      <c r="B37" s="79"/>
      <c r="C37" s="30"/>
      <c r="D37" s="30"/>
      <c r="E37" s="30"/>
      <c r="F37" s="30"/>
      <c r="G37" s="30"/>
      <c r="H37" s="30"/>
      <c r="I37" s="30"/>
      <c r="J37" s="30"/>
      <c r="K37" s="30"/>
      <c r="L37" s="30"/>
      <c r="M37" s="30"/>
      <c r="N37" s="30"/>
      <c r="O37" s="30"/>
      <c r="P37" s="30"/>
      <c r="Q37" s="30"/>
      <c r="R37" s="30"/>
      <c r="S37" s="30"/>
      <c r="T37" s="30"/>
      <c r="U37" s="26"/>
      <c r="W37" s="64" t="s">
        <v>13</v>
      </c>
      <c r="X37" s="65">
        <v>8.2900000000000005E-3</v>
      </c>
    </row>
    <row r="38" spans="2:24" ht="15.75" thickBot="1" x14ac:dyDescent="0.3">
      <c r="W38" s="64" t="s">
        <v>126</v>
      </c>
      <c r="X38" s="65">
        <v>7.8440000000000003E-3</v>
      </c>
    </row>
    <row r="39" spans="2:24" ht="15" customHeight="1" x14ac:dyDescent="0.25">
      <c r="B39" s="265" t="s">
        <v>186</v>
      </c>
      <c r="C39" s="266"/>
      <c r="D39" s="266"/>
      <c r="E39" s="266"/>
      <c r="F39" s="266"/>
      <c r="G39" s="266"/>
      <c r="H39" s="266"/>
      <c r="I39" s="266"/>
      <c r="J39" s="266"/>
      <c r="K39" s="266"/>
      <c r="L39" s="266"/>
      <c r="M39" s="266"/>
      <c r="N39" s="266"/>
      <c r="O39" s="266"/>
      <c r="P39" s="266"/>
      <c r="Q39" s="266"/>
      <c r="R39" s="267"/>
      <c r="W39" s="64" t="s">
        <v>108</v>
      </c>
      <c r="X39" s="65">
        <v>7.6909999999999999E-3</v>
      </c>
    </row>
    <row r="40" spans="2:24" x14ac:dyDescent="0.25">
      <c r="B40" s="268"/>
      <c r="C40" s="269"/>
      <c r="D40" s="269"/>
      <c r="E40" s="269"/>
      <c r="F40" s="269"/>
      <c r="G40" s="269"/>
      <c r="H40" s="269"/>
      <c r="I40" s="269"/>
      <c r="J40" s="269"/>
      <c r="K40" s="269"/>
      <c r="L40" s="269"/>
      <c r="M40" s="269"/>
      <c r="N40" s="269"/>
      <c r="O40" s="269"/>
      <c r="P40" s="269"/>
      <c r="Q40" s="269"/>
      <c r="R40" s="270"/>
      <c r="W40" s="64" t="s">
        <v>15</v>
      </c>
      <c r="X40" s="65">
        <v>7.1879999999999999E-3</v>
      </c>
    </row>
    <row r="41" spans="2:24" x14ac:dyDescent="0.25">
      <c r="B41" s="268"/>
      <c r="C41" s="269"/>
      <c r="D41" s="269"/>
      <c r="E41" s="269"/>
      <c r="F41" s="269"/>
      <c r="G41" s="269"/>
      <c r="H41" s="269"/>
      <c r="I41" s="269"/>
      <c r="J41" s="269"/>
      <c r="K41" s="269"/>
      <c r="L41" s="269"/>
      <c r="M41" s="269"/>
      <c r="N41" s="269"/>
      <c r="O41" s="269"/>
      <c r="P41" s="269"/>
      <c r="Q41" s="269"/>
      <c r="R41" s="270"/>
      <c r="W41" s="64" t="s">
        <v>120</v>
      </c>
      <c r="X41" s="65">
        <v>7.1390000000000012E-3</v>
      </c>
    </row>
    <row r="42" spans="2:24" x14ac:dyDescent="0.25">
      <c r="B42" s="268"/>
      <c r="C42" s="269"/>
      <c r="D42" s="269"/>
      <c r="E42" s="269"/>
      <c r="F42" s="269"/>
      <c r="G42" s="269"/>
      <c r="H42" s="269"/>
      <c r="I42" s="269"/>
      <c r="J42" s="269"/>
      <c r="K42" s="269"/>
      <c r="L42" s="269"/>
      <c r="M42" s="269"/>
      <c r="N42" s="269"/>
      <c r="O42" s="269"/>
      <c r="P42" s="269"/>
      <c r="Q42" s="269"/>
      <c r="R42" s="270"/>
      <c r="W42" s="64" t="s">
        <v>133</v>
      </c>
      <c r="X42" s="65">
        <v>6.1409999999999998E-3</v>
      </c>
    </row>
    <row r="43" spans="2:24" x14ac:dyDescent="0.25">
      <c r="B43" s="268"/>
      <c r="C43" s="269"/>
      <c r="D43" s="269"/>
      <c r="E43" s="269"/>
      <c r="F43" s="269"/>
      <c r="G43" s="269"/>
      <c r="H43" s="269"/>
      <c r="I43" s="269"/>
      <c r="J43" s="269"/>
      <c r="K43" s="269"/>
      <c r="L43" s="269"/>
      <c r="M43" s="269"/>
      <c r="N43" s="269"/>
      <c r="O43" s="269"/>
      <c r="P43" s="269"/>
      <c r="Q43" s="269"/>
      <c r="R43" s="270"/>
      <c r="W43" s="64" t="s">
        <v>139</v>
      </c>
      <c r="X43" s="65">
        <v>6.0310000000000008E-3</v>
      </c>
    </row>
    <row r="44" spans="2:24" x14ac:dyDescent="0.25">
      <c r="B44" s="268"/>
      <c r="C44" s="269"/>
      <c r="D44" s="269"/>
      <c r="E44" s="269"/>
      <c r="F44" s="269"/>
      <c r="G44" s="269"/>
      <c r="H44" s="269"/>
      <c r="I44" s="269"/>
      <c r="J44" s="269"/>
      <c r="K44" s="269"/>
      <c r="L44" s="269"/>
      <c r="M44" s="269"/>
      <c r="N44" s="269"/>
      <c r="O44" s="269"/>
      <c r="P44" s="269"/>
      <c r="Q44" s="269"/>
      <c r="R44" s="270"/>
      <c r="W44" s="64" t="s">
        <v>134</v>
      </c>
      <c r="X44" s="65">
        <v>4.1999999999999997E-3</v>
      </c>
    </row>
    <row r="45" spans="2:24" ht="15.75" thickBot="1" x14ac:dyDescent="0.3">
      <c r="B45" s="271"/>
      <c r="C45" s="272"/>
      <c r="D45" s="272"/>
      <c r="E45" s="272"/>
      <c r="F45" s="272"/>
      <c r="G45" s="272"/>
      <c r="H45" s="272"/>
      <c r="I45" s="272"/>
      <c r="J45" s="272"/>
      <c r="K45" s="272"/>
      <c r="L45" s="272"/>
      <c r="M45" s="272"/>
      <c r="N45" s="272"/>
      <c r="O45" s="272"/>
      <c r="P45" s="272"/>
      <c r="Q45" s="272"/>
      <c r="R45" s="273"/>
      <c r="W45" s="64" t="s">
        <v>124</v>
      </c>
      <c r="X45" s="65">
        <v>3.96E-3</v>
      </c>
    </row>
    <row r="46" spans="2:24" x14ac:dyDescent="0.25">
      <c r="W46" s="64" t="s">
        <v>135</v>
      </c>
      <c r="X46" s="65">
        <v>3.8349999999999999E-3</v>
      </c>
    </row>
    <row r="47" spans="2:24" x14ac:dyDescent="0.25">
      <c r="W47" s="64" t="s">
        <v>129</v>
      </c>
      <c r="X47" s="65">
        <v>3.5099999999999997E-3</v>
      </c>
    </row>
    <row r="48" spans="2:24" x14ac:dyDescent="0.25">
      <c r="W48" s="64" t="s">
        <v>190</v>
      </c>
      <c r="X48" s="65">
        <v>3.2500000000000003E-3</v>
      </c>
    </row>
    <row r="49" spans="23:24" x14ac:dyDescent="0.25">
      <c r="W49" s="64" t="s">
        <v>97</v>
      </c>
      <c r="X49" s="65">
        <v>2.617E-3</v>
      </c>
    </row>
    <row r="50" spans="23:24" x14ac:dyDescent="0.25">
      <c r="W50" s="64" t="s">
        <v>128</v>
      </c>
      <c r="X50" s="65">
        <v>2.6119999999999997E-3</v>
      </c>
    </row>
    <row r="51" spans="23:24" x14ac:dyDescent="0.25">
      <c r="W51" s="64" t="s">
        <v>116</v>
      </c>
      <c r="X51" s="65">
        <v>2.5530000000000006E-3</v>
      </c>
    </row>
    <row r="52" spans="23:24" x14ac:dyDescent="0.25">
      <c r="W52" s="64" t="s">
        <v>149</v>
      </c>
      <c r="X52" s="65">
        <v>2.0330000000000001E-3</v>
      </c>
    </row>
    <row r="53" spans="23:24" x14ac:dyDescent="0.25">
      <c r="W53" s="64" t="s">
        <v>125</v>
      </c>
      <c r="X53" s="65">
        <v>1.794E-3</v>
      </c>
    </row>
    <row r="54" spans="23:24" x14ac:dyDescent="0.25">
      <c r="W54" s="64" t="s">
        <v>127</v>
      </c>
      <c r="X54" s="65">
        <v>9.0499999999999999E-4</v>
      </c>
    </row>
    <row r="55" spans="23:24" x14ac:dyDescent="0.25">
      <c r="W55" s="64" t="s">
        <v>229</v>
      </c>
      <c r="X55" s="65">
        <v>8.6300000000000005E-4</v>
      </c>
    </row>
    <row r="56" spans="23:24" x14ac:dyDescent="0.25">
      <c r="W56" s="64" t="s">
        <v>191</v>
      </c>
      <c r="X56" s="65">
        <v>6.6200000000000005E-4</v>
      </c>
    </row>
    <row r="57" spans="23:24" x14ac:dyDescent="0.25">
      <c r="W57" s="64" t="s">
        <v>362</v>
      </c>
      <c r="X57" s="65">
        <v>6.3100000000000005E-4</v>
      </c>
    </row>
    <row r="58" spans="23:24" x14ac:dyDescent="0.25">
      <c r="W58" s="64" t="s">
        <v>230</v>
      </c>
      <c r="X58" s="65">
        <v>4.6700000000000002E-4</v>
      </c>
    </row>
    <row r="59" spans="23:24" x14ac:dyDescent="0.25">
      <c r="W59" s="64" t="s">
        <v>130</v>
      </c>
      <c r="X59" s="65">
        <v>2.8800000000000001E-4</v>
      </c>
    </row>
    <row r="60" spans="23:24" x14ac:dyDescent="0.25">
      <c r="W60" s="64" t="s">
        <v>363</v>
      </c>
      <c r="X60" s="65">
        <v>1.9599999999999999E-4</v>
      </c>
    </row>
    <row r="61" spans="23:24" x14ac:dyDescent="0.25">
      <c r="W61" s="64" t="s">
        <v>253</v>
      </c>
      <c r="X61" s="65">
        <v>1.64E-4</v>
      </c>
    </row>
    <row r="62" spans="23:24" x14ac:dyDescent="0.25">
      <c r="W62" s="64" t="s">
        <v>364</v>
      </c>
      <c r="X62" s="65">
        <v>8.8999999999999995E-5</v>
      </c>
    </row>
    <row r="63" spans="23:24" x14ac:dyDescent="0.25">
      <c r="W63" s="64" t="s">
        <v>365</v>
      </c>
      <c r="X63" s="65">
        <v>6.7000000000000002E-5</v>
      </c>
    </row>
  </sheetData>
  <mergeCells count="3">
    <mergeCell ref="C3:S3"/>
    <mergeCell ref="D5:E5"/>
    <mergeCell ref="B39:R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vt:i4>
      </vt:variant>
    </vt:vector>
  </HeadingPairs>
  <TitlesOfParts>
    <vt:vector size="35" baseType="lpstr">
      <vt:lpstr>BANDHAN-USFOF</vt:lpstr>
      <vt:lpstr>BANDHAN CEF</vt:lpstr>
      <vt:lpstr>BANDHAN LCF</vt:lpstr>
      <vt:lpstr>BANDHAN FEF</vt:lpstr>
      <vt:lpstr>BANDHAN SVF</vt:lpstr>
      <vt:lpstr>BANDHAN-MCAP</vt:lpstr>
      <vt:lpstr>BANDHAN MCF</vt:lpstr>
      <vt:lpstr>BANDHAN FCF</vt:lpstr>
      <vt:lpstr>BANDHAN SCF</vt:lpstr>
      <vt:lpstr>BANDHAN IF</vt:lpstr>
      <vt:lpstr>BANDHAN TLF</vt:lpstr>
      <vt:lpstr>BANDHAN FSF</vt:lpstr>
      <vt:lpstr>BANDHAN INNOV</vt:lpstr>
      <vt:lpstr>BANDHAN-TAF</vt:lpstr>
      <vt:lpstr>BANDHAN-AF</vt:lpstr>
      <vt:lpstr>BANDHAN BAF</vt:lpstr>
      <vt:lpstr>BANDHAN-ESF</vt:lpstr>
      <vt:lpstr>BANDHAN CHF</vt:lpstr>
      <vt:lpstr>BANDHAN-HEF</vt:lpstr>
      <vt:lpstr>BANDHAN RF</vt:lpstr>
      <vt:lpstr>BANDHAN MAF</vt:lpstr>
      <vt:lpstr>BANDHAN AAF-AP</vt:lpstr>
      <vt:lpstr>BANDHANAAF-MP</vt:lpstr>
      <vt:lpstr>BANDHANAAF-CP</vt:lpstr>
      <vt:lpstr>BANDHAN-NIFTY 50 Index</vt:lpstr>
      <vt:lpstr>BANDHAN- S&amp;P BSE SENSEX ETF</vt:lpstr>
      <vt:lpstr>BANDHAN- Nifty 50 ETF</vt:lpstr>
      <vt:lpstr>BANDHAN-Nifty 100 Index</vt:lpstr>
      <vt:lpstr>BANDHAN-Nifty200 Mom30 Index</vt:lpstr>
      <vt:lpstr>BANDHAN NIF100LV30</vt:lpstr>
      <vt:lpstr>BANDHAN NIFTY IT INDEX</vt:lpstr>
      <vt:lpstr>Bandhan Nifty Alpha 50 Index</vt:lpstr>
      <vt:lpstr>Bandhan Nifty Smallcap 250 </vt:lpstr>
      <vt:lpstr>Bandhan Nifty Total Market </vt:lpstr>
      <vt:lpstr>'BANDHAN-AF'!Print_Area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divya.menon</dc:creator>
  <cp:lastModifiedBy>BANDHANMF Products2</cp:lastModifiedBy>
  <cp:lastPrinted>2018-05-02T07:17:21Z</cp:lastPrinted>
  <dcterms:created xsi:type="dcterms:W3CDTF">2015-05-04T03:21:51Z</dcterms:created>
  <dcterms:modified xsi:type="dcterms:W3CDTF">2024-08-08T06:42:14Z</dcterms:modified>
</cp:coreProperties>
</file>