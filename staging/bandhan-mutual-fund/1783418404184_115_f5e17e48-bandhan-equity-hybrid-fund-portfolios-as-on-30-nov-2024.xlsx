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drawings/drawing36.xml" ContentType="application/vnd.openxmlformats-officedocument.drawing+xml"/>
  <Override PartName="/xl/charts/chart42.xml" ContentType="application/vnd.openxmlformats-officedocument.drawingml.chart+xml"/>
  <Override PartName="/xl/drawings/drawing37.xml" ContentType="application/vnd.openxmlformats-officedocument.drawing+xml"/>
  <Override PartName="/xl/charts/chart43.xml" ContentType="application/vnd.openxmlformats-officedocument.drawingml.chart+xml"/>
  <Override PartName="/xl/drawings/drawing38.xml" ContentType="application/vnd.openxmlformats-officedocument.drawing+xml"/>
  <Override PartName="/xl/charts/chart44.xml" ContentType="application/vnd.openxmlformats-officedocument.drawingml.chart+xml"/>
  <Override PartName="/xl/drawings/drawing39.xml" ContentType="application/vnd.openxmlformats-officedocument.drawing+xml"/>
  <Override PartName="/xl/charts/chart45.xml" ContentType="application/vnd.openxmlformats-officedocument.drawingml.chart+xml"/>
  <Override PartName="/xl/drawings/drawing40.xml" ContentType="application/vnd.openxmlformats-officedocument.drawing+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Dec 2024\"/>
    </mc:Choice>
  </mc:AlternateContent>
  <xr:revisionPtr revIDLastSave="0" documentId="13_ncr:1_{6A8CA30B-481A-4A89-8355-7CFA50E9A2D8}"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NIFTY 50 Index" sheetId="10" r:id="rId26"/>
    <sheet name="BANDHAN BSE SENSEX ETF" sheetId="16" r:id="rId27"/>
    <sheet name="BANDHAN- Nifty 50 ETF" sheetId="17" r:id="rId28"/>
    <sheet name="BANDHAN-Nifty 100 Index" sheetId="31" r:id="rId29"/>
    <sheet name="BANDHAN-Nifty200 Mom30 Index" sheetId="34" r:id="rId30"/>
    <sheet name="BANDHAN NIF100LV30" sheetId="35" r:id="rId31"/>
    <sheet name="BANDHAN NIFTY IT INDEX" sheetId="40" r:id="rId32"/>
    <sheet name="Bandhan Nifty Alpha 50 Index" sheetId="42" r:id="rId33"/>
    <sheet name="Bandhan Nifty Smallcap 250 " sheetId="44" r:id="rId34"/>
    <sheet name="Bandhan Nifty Total Market " sheetId="47" r:id="rId35"/>
    <sheet name="Bandhan Nifty Bank Index Fund" sheetId="49" r:id="rId36"/>
    <sheet name="Bandhan BSE Healthcare Index " sheetId="52" r:id="rId37"/>
    <sheet name="Bandhan Nifty Midcap 150 Index " sheetId="53" r:id="rId38"/>
    <sheet name="Bandhan Nifty 500 Value 50 " sheetId="56" r:id="rId39"/>
    <sheet name="Bandhan Nifty 500 Momentum 50 " sheetId="57" r:id="rId40"/>
  </sheets>
  <definedNames>
    <definedName name="_xlnm._FilterDatabase" localSheetId="22" hidden="1">'BANDHAN AAF-AP'!$C$12:$D$15</definedName>
    <definedName name="_xlnm._FilterDatabase" localSheetId="16" hidden="1">'BANDHAN BAF'!$I$48:$J$53</definedName>
    <definedName name="_xlnm.Print_Area" localSheetId="15">'BANDHAN-AF'!$C$5:$E$17</definedName>
  </definedNames>
  <calcPr calcId="191029" iterateCount="1"/>
</workbook>
</file>

<file path=xl/calcChain.xml><?xml version="1.0" encoding="utf-8"?>
<calcChain xmlns="http://schemas.openxmlformats.org/spreadsheetml/2006/main">
  <c r="D14" i="21" l="1"/>
  <c r="K12" i="26"/>
  <c r="K14" i="26"/>
  <c r="H10" i="26"/>
  <c r="H9" i="26"/>
  <c r="E47" i="26"/>
  <c r="K18" i="25"/>
  <c r="E48" i="5"/>
  <c r="E26" i="27"/>
  <c r="E24" i="57" l="1"/>
  <c r="E24" i="56"/>
  <c r="H9" i="18"/>
  <c r="H10" i="18"/>
  <c r="K17" i="25"/>
  <c r="E24" i="54" l="1"/>
  <c r="E20" i="49" l="1"/>
  <c r="E24" i="53"/>
  <c r="E24" i="52"/>
  <c r="K16" i="25" l="1"/>
  <c r="K15" i="25"/>
  <c r="K14" i="25"/>
  <c r="K12" i="25"/>
  <c r="K10" i="25"/>
  <c r="H8" i="26" l="1"/>
  <c r="E24" i="47" l="1"/>
  <c r="K13" i="26"/>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5" i="18" l="1"/>
  <c r="K10" i="18" l="1"/>
  <c r="E24" i="26"/>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<sst xmlns="http://schemas.openxmlformats.org/spreadsheetml/2006/main" count="2541" uniqueCount="413">
  <si>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</si>
  <si>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</si>
  <si>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</si>
  <si>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</si>
  <si>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</si>
  <si>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</si>
  <si>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</si>
  <si>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</si>
  <si>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</si>
  <si>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</si>
  <si>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</si>
  <si>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</si>
  <si>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</si>
  <si>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</si>
  <si>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</si>
  <si>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</si>
  <si>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</si>
  <si>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</si>
  <si>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</si>
  <si>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</si>
  <si>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</si>
  <si>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</si>
  <si>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</si>
  <si>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</si>
  <si>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</si>
  <si>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</si>
  <si>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</si>
  <si>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</si>
  <si>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</si>
  <si>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</si>
  <si>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</si>
  <si>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</si>
  <si>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</si>
  <si>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</si>
  <si>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</si>
  <si>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</si>
  <si>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</si>
  <si>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</si>
  <si>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</si>
  <si>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</si>
  <si>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</si>
  <si>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</si>
  <si>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</si>
  <si>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</si>
  <si>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</si>
  <si>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</si>
  <si>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</si>
  <si>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</si>
  <si>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</si>
  <si>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</si>
  <si>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</si>
  <si>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</si>
  <si>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</si>
  <si>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</si>
  <si>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</si>
  <si>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</si>
  <si>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</si>
  <si>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</si>
  <si>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</si>
  <si>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</si>
  <si>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</si>
  <si>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</si>
  <si>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</si>
  <si>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</si>
  <si>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</si>
  <si>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</si>
  <si>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</si>
  <si>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</si>
  <si>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</si>
  <si>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</si>
  <si>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</si>
  <si>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</si>
  <si>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</si>
  <si>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</si>
  <si>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</si>
  <si>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</si>
  <si>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</si>
  <si>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</si>
  <si>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</si>
  <si>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</si>
  <si>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</si>
  <si>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</si>
  <si>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</si>
  <si>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</si>
  <si>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</si>
  <si>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</si>
  <si>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</si>
  <si>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</si>
  <si>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</si>
  <si>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</si>
  <si>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</si>
  <si>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</si>
  <si>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</si>
  <si>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</si>
  <si>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</si>
  <si>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</si>
  <si>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</si>
  <si>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</si>
  <si>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</si>
  <si>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</si>
  <si>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</si>
  <si>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</si>
  <si>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</si>
  <si>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</si>
  <si>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</si>
  <si>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</si>
  <si>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</si>
  <si>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</si>
  <si>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</si>
  <si>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</si>
  <si>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</si>
  <si>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</si>
  <si>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</si>
  <si>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</si>
  <si>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</si>
  <si>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</si>
  <si>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</si>
  <si>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</si>
  <si>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</si>
  <si>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</si>
  <si>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</si>
  <si>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</si>
  <si>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</si>
  <si>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</si>
  <si>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</si>
  <si>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</si>
  <si>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</si>
  <si>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</si>
  <si>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</si>
  <si>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</si>
  <si>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</si>
  <si>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</si>
  <si>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</si>
  <si>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</si>
  <si>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</si>
  <si>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</si>
  <si>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</si>
  <si>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</si>
  <si>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</si>
  <si>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</si>
  <si>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</si>
  <si>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</si>
  <si>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</si>
  <si>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</si>
  <si>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</si>
  <si>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</si>
  <si>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</si>
  <si>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</si>
  <si>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</si>
  <si>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</si>
  <si>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</si>
  <si>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</si>
  <si>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</si>
  <si>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</si>
  <si>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</si>
  <si>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</si>
  <si>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</si>
  <si>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</si>
  <si>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</si>
  <si>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</si>
  <si>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</si>
  <si>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</si>
  <si>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</si>
  <si>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</si>
  <si>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</si>
  <si>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</si>
  <si>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</si>
  <si>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</si>
  <si>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</si>
  <si>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</si>
  <si>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</si>
  <si>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</si>
  <si>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</si>
  <si>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</si>
  <si>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</si>
  <si>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</si>
  <si>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</si>
  <si>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</si>
  <si>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</si>
  <si>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</si>
  <si>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</si>
  <si>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</si>
  <si>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</si>
  <si>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</si>
  <si>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</si>
  <si>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</si>
  <si>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</si>
  <si>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</si>
  <si>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</si>
  <si>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</si>
  <si>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</si>
  <si>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</si>
  <si>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</si>
  <si>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</si>
  <si>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</si>
  <si>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</si>
  <si>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</si>
  <si>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</si>
  <si>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</si>
  <si>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</si>
  <si>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</si>
  <si>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</si>
  <si>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</si>
  <si>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</si>
  <si>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</si>
  <si>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</si>
  <si>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</si>
  <si>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</si>
  <si>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</si>
  <si>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</si>
  <si>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</si>
  <si>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</si>
  <si>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</si>
  <si>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</si>
  <si>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</si>
  <si>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</si>
  <si>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</si>
  <si>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</si>
  <si>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Telecom -  Equipment &amp; Accessories</t>
  </si>
  <si>
    <t>Healthcare Equipment &amp; Supplies</t>
  </si>
  <si>
    <t>Central Depository Services (India) Limited</t>
  </si>
  <si>
    <t>Karur Vysya Bank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</si>
  <si>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</si>
  <si>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</si>
  <si>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</si>
  <si>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</si>
  <si>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</si>
  <si>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</si>
  <si>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</si>
  <si>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</si>
  <si>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</si>
  <si>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</si>
  <si>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</si>
  <si>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</si>
  <si>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</si>
  <si>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</si>
  <si>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</si>
  <si>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</si>
  <si>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</si>
  <si>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</si>
  <si>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National Aluminium Company Limited</t>
  </si>
  <si>
    <t>Dixon Technologies (India) Limited</t>
  </si>
  <si>
    <t>6.54% GOI (MD 17/01/2032)</t>
  </si>
  <si>
    <t>V-Mart Retail Limited</t>
  </si>
  <si>
    <t>Siemens Limited</t>
  </si>
  <si>
    <t>Aditya Birla Sun Life AMC Limited</t>
  </si>
  <si>
    <t>Asian Paints Limited</t>
  </si>
  <si>
    <t>Glenmark Pharmaceuticals Limited</t>
  </si>
  <si>
    <t>Crompton Greaves Consumer Electricals Limited</t>
  </si>
  <si>
    <t>BSE Limited</t>
  </si>
  <si>
    <t>Suzlon Energy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</si>
  <si>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</si>
  <si>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</si>
  <si>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</si>
  <si>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</si>
  <si>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</si>
  <si>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</si>
  <si>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</si>
  <si>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</si>
  <si>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</si>
  <si>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</si>
  <si>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PCBL Limited</t>
  </si>
  <si>
    <t>Prudent Corporate Advisory Services Limited</t>
  </si>
  <si>
    <t>Aster DM Healthcare Limited</t>
  </si>
  <si>
    <t>The Great Eastern Shipping Company Limited</t>
  </si>
  <si>
    <t>Sun Pharmaceutical Industries Limited</t>
  </si>
  <si>
    <t>Titan Company Limited</t>
  </si>
  <si>
    <t>KEC International Limited</t>
  </si>
  <si>
    <t>Miscellaneous</t>
  </si>
  <si>
    <t>LT Foods Limited</t>
  </si>
  <si>
    <t>The South Indian Bank Limited</t>
  </si>
  <si>
    <t>Praj Industries Limited</t>
  </si>
  <si>
    <t>Alkem Laboratories Limited</t>
  </si>
  <si>
    <t>Tata Power Company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</si>
  <si>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</si>
  <si>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</si>
  <si>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</si>
  <si>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</si>
  <si>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</si>
  <si>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</si>
  <si>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</si>
  <si>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</si>
  <si>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</si>
  <si>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</si>
  <si>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</si>
  <si>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</si>
  <si>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Mphasis Limited</t>
  </si>
  <si>
    <t>NBCC (India) Limited</t>
  </si>
  <si>
    <t>Other Utilities</t>
  </si>
  <si>
    <t>Other Consumer Services</t>
  </si>
  <si>
    <t>AA</t>
  </si>
  <si>
    <t>One 97 Communications Limited</t>
  </si>
  <si>
    <t>Punjab National Bank</t>
  </si>
  <si>
    <t>Torrent Pharmaceuticals Limited</t>
  </si>
  <si>
    <t>Bajaj Housing Finance Limited</t>
  </si>
  <si>
    <t>Oil India Limited</t>
  </si>
  <si>
    <t>Inox Green Energy Services Limited</t>
  </si>
  <si>
    <t>Angel One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</si>
  <si>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</si>
  <si>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</si>
  <si>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</si>
  <si>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</si>
  <si>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</si>
  <si>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</si>
  <si>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</si>
  <si>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</si>
  <si>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</si>
  <si>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</si>
  <si>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</si>
  <si>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</si>
  <si>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Spicejet Limited</t>
  </si>
  <si>
    <t>MRF Limited</t>
  </si>
  <si>
    <t>Escorts Kubota Limited</t>
  </si>
  <si>
    <t>Samvardhana Motherson International Limited</t>
  </si>
  <si>
    <t>SBI Cards and Payment Services Limited</t>
  </si>
  <si>
    <t>Jubilant Ingrevia Limited</t>
  </si>
  <si>
    <t>Apollo Hospitals Enterprise Limited</t>
  </si>
  <si>
    <t>Cochin Shipyard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</si>
  <si>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</si>
  <si>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</si>
  <si>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</si>
  <si>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</si>
  <si>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</si>
  <si>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</si>
  <si>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</si>
  <si>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</si>
  <si>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</si>
  <si>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</si>
  <si>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</si>
  <si>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</si>
  <si>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</si>
  <si>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</si>
  <si>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</si>
  <si>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</si>
  <si>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</si>
  <si>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Knowledge Marine &amp; Engineering Works Limited</t>
  </si>
  <si>
    <t>Avenue Supermarts Limited</t>
  </si>
  <si>
    <t>Nitin Spinners Limited</t>
  </si>
  <si>
    <t>LG Balakrishnan &amp; Bros Limited</t>
  </si>
  <si>
    <t>Sundaram Clayton Limited</t>
  </si>
  <si>
    <t>BANDHAN BSE SENSEX Exchange Traded Fund</t>
  </si>
  <si>
    <t>Laurus Labs Limited</t>
  </si>
  <si>
    <t>Suven Pharmaceuticals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</si>
  <si>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</si>
  <si>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</si>
  <si>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</si>
  <si>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</si>
  <si>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</si>
  <si>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</si>
  <si>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</si>
  <si>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</si>
  <si>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Adani Power Limited</t>
  </si>
  <si>
    <t>Repco Home Finance Limited</t>
  </si>
  <si>
    <t>Certificate of Deposit</t>
  </si>
  <si>
    <t>Godrej Properties Limited</t>
  </si>
  <si>
    <t>Godrej Industries Limited</t>
  </si>
  <si>
    <t>CRISIL AA</t>
  </si>
  <si>
    <t>CRISIL AA+</t>
  </si>
  <si>
    <t>CRISIL AAA</t>
  </si>
  <si>
    <t>8.23% Gujarat SDL (MD 21/02/2028)</t>
  </si>
  <si>
    <t>NMDC Limited</t>
  </si>
  <si>
    <t>Supreme Industries Limited</t>
  </si>
  <si>
    <t>Voltas Limited</t>
  </si>
  <si>
    <t>Premier Energies Limited</t>
  </si>
  <si>
    <t>Wockhardt Limited</t>
  </si>
  <si>
    <t>Swiggy Limited</t>
  </si>
  <si>
    <t>Kalyan Jewellers India Limited</t>
  </si>
  <si>
    <t>360 One WAM Limited</t>
  </si>
  <si>
    <t>Brigade Enterprises Limited</t>
  </si>
  <si>
    <t>Media</t>
  </si>
  <si>
    <t>Indus Towers Limited</t>
  </si>
  <si>
    <t>345.37 crs</t>
  </si>
  <si>
    <t>7292.94 Cr</t>
  </si>
  <si>
    <t>1759.53 crs</t>
  </si>
  <si>
    <t xml:space="preserve"> 1792.58 crs</t>
  </si>
  <si>
    <t>10053.78 crs</t>
  </si>
  <si>
    <t>1547.46 crs</t>
  </si>
  <si>
    <t>2448.67 crs</t>
  </si>
  <si>
    <t>7291.43 crs</t>
  </si>
  <si>
    <t>9248.28 crs</t>
  </si>
  <si>
    <t>1798.34 crs</t>
  </si>
  <si>
    <t>543.31 crs</t>
  </si>
  <si>
    <t>957.45 crs</t>
  </si>
  <si>
    <t>1333.58 crs</t>
  </si>
  <si>
    <t>1700.75 crs</t>
  </si>
  <si>
    <t>6894.23 crs</t>
  </si>
  <si>
    <t>7524.01 crs</t>
  </si>
  <si>
    <t>2283.37 crs</t>
  </si>
  <si>
    <t>245.70 crs</t>
  </si>
  <si>
    <t>119.20 crs</t>
  </si>
  <si>
    <t>809.77 crs</t>
  </si>
  <si>
    <t>173.36 crs</t>
  </si>
  <si>
    <t>1807.93 crs</t>
  </si>
  <si>
    <t>19.36 crs</t>
  </si>
  <si>
    <t>20.10 crs</t>
  </si>
  <si>
    <t>6.03 crs</t>
  </si>
  <si>
    <t>1644.69 crs</t>
  </si>
  <si>
    <t>1.21 crs</t>
  </si>
  <si>
    <t>25.98 crs</t>
  </si>
  <si>
    <t>152.77 crs</t>
  </si>
  <si>
    <t>138.83 crs</t>
  </si>
  <si>
    <t>1350.65 crs</t>
  </si>
  <si>
    <t>27.01 crs</t>
  </si>
  <si>
    <t>327.08 crs</t>
  </si>
  <si>
    <t>45.94 crs</t>
  </si>
  <si>
    <t>35.83 crs</t>
  </si>
  <si>
    <t>13.31 crs</t>
  </si>
  <si>
    <t>17.70 crs</t>
  </si>
  <si>
    <t>20.34 crs</t>
  </si>
  <si>
    <t>7.64 crs</t>
  </si>
  <si>
    <t>14.46 crs</t>
  </si>
  <si>
    <t>Net Assets as on 30th November, 2024</t>
  </si>
  <si>
    <t>Portfolio as on - (30th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</si>
</sst>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16"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8">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0" fontId="6" fillId="0" borderId="25" xfId="0" applyFont="1" applyBorder="1"/>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10" xfId="1" applyNumberFormat="1" applyFont="1" applyBorder="1" applyAlignment="1">
      <alignment horizontal="right"/>
    </xf>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0.97726400000000002</c:v>
                </c:pt>
                <c:pt idx="1">
                  <c:v>-2.8240000000000001E-3</c:v>
                </c:pt>
                <c:pt idx="2">
                  <c:v>2.5559999999999999E-2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CEF'!$W$8:$W$45</c:f>
              <c:strCache>
                <c:ptCount val="38"/>
                <c:pt idx="0">
                  <c:v>Banks</c:v>
                </c:pt>
                <c:pt idx="1">
                  <c:v>IT - Software</c:v>
                </c:pt>
                <c:pt idx="2">
                  <c:v>Pharmaceuticals &amp; Biotechnology</c:v>
                </c:pt>
                <c:pt idx="3">
                  <c:v>Finance</c:v>
                </c:pt>
                <c:pt idx="4">
                  <c:v>Retailing</c:v>
                </c:pt>
                <c:pt idx="5">
                  <c:v>Petroleum Products</c:v>
                </c:pt>
                <c:pt idx="6">
                  <c:v>Transport Services</c:v>
                </c:pt>
                <c:pt idx="7">
                  <c:v>Auto Components</c:v>
                </c:pt>
                <c:pt idx="8">
                  <c:v>Construction</c:v>
                </c:pt>
                <c:pt idx="9">
                  <c:v>Healthcare Services</c:v>
                </c:pt>
                <c:pt idx="10">
                  <c:v>Realty</c:v>
                </c:pt>
                <c:pt idx="11">
                  <c:v>Beverages</c:v>
                </c:pt>
                <c:pt idx="12">
                  <c:v>Telecom - Services</c:v>
                </c:pt>
                <c:pt idx="13">
                  <c:v>Financial Technology (Fintech)</c:v>
                </c:pt>
                <c:pt idx="14">
                  <c:v>Minerals &amp; Mining</c:v>
                </c:pt>
                <c:pt idx="15">
                  <c:v>Electrical Equipment</c:v>
                </c:pt>
                <c:pt idx="16">
                  <c:v>Power</c:v>
                </c:pt>
                <c:pt idx="17">
                  <c:v>Diversified FMCG</c:v>
                </c:pt>
                <c:pt idx="18">
                  <c:v>Consumer Durables</c:v>
                </c:pt>
                <c:pt idx="19">
                  <c:v>Chemicals &amp; Petrochemicals</c:v>
                </c:pt>
                <c:pt idx="20">
                  <c:v>Industrial Products</c:v>
                </c:pt>
                <c:pt idx="21">
                  <c:v>Cement &amp; Cement Products</c:v>
                </c:pt>
                <c:pt idx="22">
                  <c:v>Insurance</c:v>
                </c:pt>
                <c:pt idx="23">
                  <c:v>Textiles &amp; Apparels</c:v>
                </c:pt>
                <c:pt idx="24">
                  <c:v>Fertilizers &amp; Agrochemicals</c:v>
                </c:pt>
                <c:pt idx="25">
                  <c:v>Capital Markets</c:v>
                </c:pt>
                <c:pt idx="26">
                  <c:v>Diversified Metals</c:v>
                </c:pt>
                <c:pt idx="27">
                  <c:v>Automobiles</c:v>
                </c:pt>
                <c:pt idx="28">
                  <c:v>Agricultural Food &amp; other Products</c:v>
                </c:pt>
                <c:pt idx="29">
                  <c:v>Diversified</c:v>
                </c:pt>
                <c:pt idx="30">
                  <c:v>Oil</c:v>
                </c:pt>
                <c:pt idx="31">
                  <c:v>Aerospace &amp; Defense</c:v>
                </c:pt>
                <c:pt idx="32">
                  <c:v>Commercial Services &amp; Supplies</c:v>
                </c:pt>
                <c:pt idx="33">
                  <c:v>Entertainment</c:v>
                </c:pt>
                <c:pt idx="34">
                  <c:v>Industrial Manufacturing</c:v>
                </c:pt>
                <c:pt idx="35">
                  <c:v>Leisure Services</c:v>
                </c:pt>
                <c:pt idx="36">
                  <c:v>Personal Products</c:v>
                </c:pt>
                <c:pt idx="37">
                  <c:v>Ferrous Metals</c:v>
                </c:pt>
              </c:strCache>
            </c:strRef>
          </c:cat>
          <c:val>
            <c:numRef>
              <c:f>'BANDHAN CEF'!$X$8:$X$45</c:f>
              <c:numCache>
                <c:formatCode>0.00%</c:formatCode>
                <c:ptCount val="38"/>
                <c:pt idx="0">
                  <c:v>0.13146099999999999</c:v>
                </c:pt>
                <c:pt idx="1">
                  <c:v>9.6035999999999996E-2</c:v>
                </c:pt>
                <c:pt idx="2">
                  <c:v>7.4163000000000007E-2</c:v>
                </c:pt>
                <c:pt idx="3">
                  <c:v>5.7043999999999997E-2</c:v>
                </c:pt>
                <c:pt idx="4">
                  <c:v>4.5099E-2</c:v>
                </c:pt>
                <c:pt idx="5">
                  <c:v>3.6198999999999995E-2</c:v>
                </c:pt>
                <c:pt idx="6">
                  <c:v>3.2807999999999997E-2</c:v>
                </c:pt>
                <c:pt idx="7">
                  <c:v>3.2146000000000001E-2</c:v>
                </c:pt>
                <c:pt idx="8">
                  <c:v>2.8876000000000002E-2</c:v>
                </c:pt>
                <c:pt idx="9">
                  <c:v>2.8372999999999999E-2</c:v>
                </c:pt>
                <c:pt idx="10">
                  <c:v>2.7241000000000001E-2</c:v>
                </c:pt>
                <c:pt idx="11">
                  <c:v>2.6053E-2</c:v>
                </c:pt>
                <c:pt idx="12">
                  <c:v>2.4513E-2</c:v>
                </c:pt>
                <c:pt idx="13">
                  <c:v>2.2817E-2</c:v>
                </c:pt>
                <c:pt idx="14">
                  <c:v>2.0506999999999997E-2</c:v>
                </c:pt>
                <c:pt idx="15">
                  <c:v>1.7714000000000001E-2</c:v>
                </c:pt>
                <c:pt idx="16">
                  <c:v>1.6982999999999998E-2</c:v>
                </c:pt>
                <c:pt idx="17">
                  <c:v>1.6070000000000001E-2</c:v>
                </c:pt>
                <c:pt idx="18">
                  <c:v>1.5172000000000001E-2</c:v>
                </c:pt>
                <c:pt idx="19">
                  <c:v>1.4853999999999999E-2</c:v>
                </c:pt>
                <c:pt idx="20">
                  <c:v>1.4271000000000001E-2</c:v>
                </c:pt>
                <c:pt idx="21">
                  <c:v>1.3936E-2</c:v>
                </c:pt>
                <c:pt idx="22">
                  <c:v>1.2834E-2</c:v>
                </c:pt>
                <c:pt idx="23">
                  <c:v>1.2541E-2</c:v>
                </c:pt>
                <c:pt idx="24">
                  <c:v>1.2411E-2</c:v>
                </c:pt>
                <c:pt idx="25">
                  <c:v>1.1871E-2</c:v>
                </c:pt>
                <c:pt idx="26">
                  <c:v>1.1632E-2</c:v>
                </c:pt>
                <c:pt idx="27">
                  <c:v>9.7800000000000005E-3</c:v>
                </c:pt>
                <c:pt idx="28">
                  <c:v>9.3270000000000002E-3</c:v>
                </c:pt>
                <c:pt idx="29">
                  <c:v>8.3160000000000005E-3</c:v>
                </c:pt>
                <c:pt idx="30">
                  <c:v>8.1949999999999992E-3</c:v>
                </c:pt>
                <c:pt idx="31">
                  <c:v>7.6020000000000003E-3</c:v>
                </c:pt>
                <c:pt idx="32">
                  <c:v>6.515E-3</c:v>
                </c:pt>
                <c:pt idx="33">
                  <c:v>5.7540000000000004E-3</c:v>
                </c:pt>
                <c:pt idx="34">
                  <c:v>5.2839999999999996E-3</c:v>
                </c:pt>
                <c:pt idx="35">
                  <c:v>4.5929999999999999E-3</c:v>
                </c:pt>
                <c:pt idx="36">
                  <c:v>3.2529999999999998E-3</c:v>
                </c:pt>
                <c:pt idx="37">
                  <c:v>2.0509999999999999E-3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LCF'!$W$8:$W$35</c:f>
              <c:strCache>
                <c:ptCount val="28"/>
                <c:pt idx="0">
                  <c:v>Banks</c:v>
                </c:pt>
                <c:pt idx="1">
                  <c:v>IT - Software</c:v>
                </c:pt>
                <c:pt idx="2">
                  <c:v>Automobiles</c:v>
                </c:pt>
                <c:pt idx="3">
                  <c:v>Petroleum Products</c:v>
                </c:pt>
                <c:pt idx="4">
                  <c:v>Pharmaceuticals &amp; Biotechnology</c:v>
                </c:pt>
                <c:pt idx="5">
                  <c:v>Finance</c:v>
                </c:pt>
                <c:pt idx="6">
                  <c:v>Diversified FMCG</c:v>
                </c:pt>
                <c:pt idx="7">
                  <c:v>Retailing</c:v>
                </c:pt>
                <c:pt idx="8">
                  <c:v>Telecom - Services</c:v>
                </c:pt>
                <c:pt idx="9">
                  <c:v>Cement &amp; Cement Products</c:v>
                </c:pt>
                <c:pt idx="10">
                  <c:v>Leisure Services</c:v>
                </c:pt>
                <c:pt idx="11">
                  <c:v>Personal Products</c:v>
                </c:pt>
                <c:pt idx="12">
                  <c:v>Beverages</c:v>
                </c:pt>
                <c:pt idx="13">
                  <c:v>Ferrous Metals</c:v>
                </c:pt>
                <c:pt idx="14">
                  <c:v>Aerospace &amp; Defense</c:v>
                </c:pt>
                <c:pt idx="15">
                  <c:v>Other Utilities</c:v>
                </c:pt>
                <c:pt idx="16">
                  <c:v>Food Products</c:v>
                </c:pt>
                <c:pt idx="17">
                  <c:v>Construction</c:v>
                </c:pt>
                <c:pt idx="18">
                  <c:v>Transport Services</c:v>
                </c:pt>
                <c:pt idx="19">
                  <c:v>Agricultural Food &amp; other Products</c:v>
                </c:pt>
                <c:pt idx="20">
                  <c:v>Commercial Services &amp; Supplies</c:v>
                </c:pt>
                <c:pt idx="21">
                  <c:v>Consumer Durables</c:v>
                </c:pt>
                <c:pt idx="22">
                  <c:v>Insurance</c:v>
                </c:pt>
                <c:pt idx="23">
                  <c:v>Realty</c:v>
                </c:pt>
                <c:pt idx="24">
                  <c:v>Financial Technology (Fintech)</c:v>
                </c:pt>
                <c:pt idx="25">
                  <c:v>Capital Markets</c:v>
                </c:pt>
                <c:pt idx="26">
                  <c:v>Electrical Equipment</c:v>
                </c:pt>
                <c:pt idx="27">
                  <c:v>Engineering Services</c:v>
                </c:pt>
              </c:strCache>
            </c:strRef>
          </c:cat>
          <c:val>
            <c:numRef>
              <c:f>'BANDHAN LCF'!$X$8:$X$35</c:f>
              <c:numCache>
                <c:formatCode>0.00%</c:formatCode>
                <c:ptCount val="28"/>
                <c:pt idx="0">
                  <c:v>0.1978</c:v>
                </c:pt>
                <c:pt idx="1">
                  <c:v>0.14176900000000001</c:v>
                </c:pt>
                <c:pt idx="2">
                  <c:v>7.6985999999999999E-2</c:v>
                </c:pt>
                <c:pt idx="3">
                  <c:v>6.9722999999999993E-2</c:v>
                </c:pt>
                <c:pt idx="4">
                  <c:v>6.2063E-2</c:v>
                </c:pt>
                <c:pt idx="5">
                  <c:v>4.6865000000000004E-2</c:v>
                </c:pt>
                <c:pt idx="6">
                  <c:v>4.3924999999999999E-2</c:v>
                </c:pt>
                <c:pt idx="7">
                  <c:v>3.7955000000000003E-2</c:v>
                </c:pt>
                <c:pt idx="8">
                  <c:v>2.9496999999999999E-2</c:v>
                </c:pt>
                <c:pt idx="9">
                  <c:v>2.8412E-2</c:v>
                </c:pt>
                <c:pt idx="10">
                  <c:v>2.2907999999999998E-2</c:v>
                </c:pt>
                <c:pt idx="11">
                  <c:v>2.1971999999999998E-2</c:v>
                </c:pt>
                <c:pt idx="12">
                  <c:v>2.1760000000000002E-2</c:v>
                </c:pt>
                <c:pt idx="13">
                  <c:v>1.8203E-2</c:v>
                </c:pt>
                <c:pt idx="14">
                  <c:v>1.6029000000000002E-2</c:v>
                </c:pt>
                <c:pt idx="15">
                  <c:v>1.5268E-2</c:v>
                </c:pt>
                <c:pt idx="16">
                  <c:v>1.4952E-2</c:v>
                </c:pt>
                <c:pt idx="17">
                  <c:v>1.3993999999999999E-2</c:v>
                </c:pt>
                <c:pt idx="18">
                  <c:v>1.0607E-2</c:v>
                </c:pt>
                <c:pt idx="19">
                  <c:v>9.6740000000000003E-3</c:v>
                </c:pt>
                <c:pt idx="20">
                  <c:v>9.2460000000000007E-3</c:v>
                </c:pt>
                <c:pt idx="21">
                  <c:v>8.4209999999999997E-3</c:v>
                </c:pt>
                <c:pt idx="22">
                  <c:v>7.502E-3</c:v>
                </c:pt>
                <c:pt idx="23">
                  <c:v>6.7799999999999996E-3</c:v>
                </c:pt>
                <c:pt idx="24">
                  <c:v>6.1799999999999997E-3</c:v>
                </c:pt>
                <c:pt idx="25">
                  <c:v>4.6810000000000003E-3</c:v>
                </c:pt>
                <c:pt idx="26">
                  <c:v>3.813E-3</c:v>
                </c:pt>
                <c:pt idx="27">
                  <c:v>1.9659999999999999E-3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Retailing</c:v>
                </c:pt>
                <c:pt idx="2">
                  <c:v>IT - Software</c:v>
                </c:pt>
                <c:pt idx="3">
                  <c:v>Automobiles</c:v>
                </c:pt>
                <c:pt idx="4">
                  <c:v>Electrical Equipment</c:v>
                </c:pt>
                <c:pt idx="5">
                  <c:v>Petroleum Products</c:v>
                </c:pt>
                <c:pt idx="6">
                  <c:v>Realty</c:v>
                </c:pt>
                <c:pt idx="7">
                  <c:v>Consumer Durables</c:v>
                </c:pt>
                <c:pt idx="8">
                  <c:v>Finance</c:v>
                </c:pt>
                <c:pt idx="9">
                  <c:v>Capital Markets</c:v>
                </c:pt>
                <c:pt idx="10">
                  <c:v>Engineering Services</c:v>
                </c:pt>
                <c:pt idx="11">
                  <c:v>Financial Technology (Fintech)</c:v>
                </c:pt>
                <c:pt idx="12">
                  <c:v>Pharmaceuticals &amp; Biotechnology</c:v>
                </c:pt>
                <c:pt idx="13">
                  <c:v>Other Utilities</c:v>
                </c:pt>
                <c:pt idx="14">
                  <c:v>Industrial Manufacturing</c:v>
                </c:pt>
                <c:pt idx="15">
                  <c:v>Healthcare Services</c:v>
                </c:pt>
                <c:pt idx="16">
                  <c:v>Aerospace &amp; Defense</c:v>
                </c:pt>
                <c:pt idx="17">
                  <c:v>Food Products</c:v>
                </c:pt>
                <c:pt idx="18">
                  <c:v>Leisure Services</c:v>
                </c:pt>
                <c:pt idx="19">
                  <c:v>Beverages</c:v>
                </c:pt>
              </c:strCache>
            </c:strRef>
          </c:cat>
          <c:val>
            <c:numRef>
              <c:f>'BANDHAN FEF'!$X$8:$X$27</c:f>
              <c:numCache>
                <c:formatCode>0.00%</c:formatCode>
                <c:ptCount val="20"/>
                <c:pt idx="0">
                  <c:v>0.16967599999999999</c:v>
                </c:pt>
                <c:pt idx="1">
                  <c:v>0.12842100000000001</c:v>
                </c:pt>
                <c:pt idx="2">
                  <c:v>0.114703</c:v>
                </c:pt>
                <c:pt idx="3">
                  <c:v>5.3973999999999994E-2</c:v>
                </c:pt>
                <c:pt idx="4">
                  <c:v>5.3887999999999998E-2</c:v>
                </c:pt>
                <c:pt idx="5">
                  <c:v>4.4105999999999999E-2</c:v>
                </c:pt>
                <c:pt idx="6">
                  <c:v>4.1362000000000003E-2</c:v>
                </c:pt>
                <c:pt idx="7">
                  <c:v>3.6977999999999997E-2</c:v>
                </c:pt>
                <c:pt idx="8">
                  <c:v>3.6540999999999997E-2</c:v>
                </c:pt>
                <c:pt idx="9">
                  <c:v>3.4750999999999997E-2</c:v>
                </c:pt>
                <c:pt idx="10">
                  <c:v>3.4654999999999998E-2</c:v>
                </c:pt>
                <c:pt idx="11">
                  <c:v>3.4333000000000002E-2</c:v>
                </c:pt>
                <c:pt idx="12">
                  <c:v>3.2673000000000001E-2</c:v>
                </c:pt>
                <c:pt idx="13">
                  <c:v>2.9973E-2</c:v>
                </c:pt>
                <c:pt idx="14">
                  <c:v>2.8969000000000002E-2</c:v>
                </c:pt>
                <c:pt idx="15">
                  <c:v>2.4147999999999999E-2</c:v>
                </c:pt>
                <c:pt idx="16">
                  <c:v>2.3625E-2</c:v>
                </c:pt>
                <c:pt idx="17">
                  <c:v>2.3496E-2</c:v>
                </c:pt>
                <c:pt idx="18">
                  <c:v>2.2991999999999999E-2</c:v>
                </c:pt>
                <c:pt idx="19">
                  <c:v>1.9758999999999999E-2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SVF'!$W$8:$W$38</c:f>
              <c:strCache>
                <c:ptCount val="31"/>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Auto Components</c:v>
                </c:pt>
                <c:pt idx="10">
                  <c:v>Ferrous Metals</c:v>
                </c:pt>
                <c:pt idx="11">
                  <c:v>Beverages</c:v>
                </c:pt>
                <c:pt idx="12">
                  <c:v>Consumer Durables</c:v>
                </c:pt>
                <c:pt idx="13">
                  <c:v>Electrical Equipment</c:v>
                </c:pt>
                <c:pt idx="14">
                  <c:v>Diversified FMCG</c:v>
                </c:pt>
                <c:pt idx="15">
                  <c:v>Leisure Services</c:v>
                </c:pt>
                <c:pt idx="16">
                  <c:v>Retailing</c:v>
                </c:pt>
                <c:pt idx="17">
                  <c:v>Realty</c:v>
                </c:pt>
                <c:pt idx="18">
                  <c:v>Food Products</c:v>
                </c:pt>
                <c:pt idx="19">
                  <c:v>Commercial Services &amp; Supplies</c:v>
                </c:pt>
                <c:pt idx="20">
                  <c:v>Oil</c:v>
                </c:pt>
                <c:pt idx="21">
                  <c:v>Personal Products</c:v>
                </c:pt>
                <c:pt idx="22">
                  <c:v>Diversified Metals</c:v>
                </c:pt>
                <c:pt idx="23">
                  <c:v>Telecom - Services</c:v>
                </c:pt>
                <c:pt idx="24">
                  <c:v>Transport Services</c:v>
                </c:pt>
                <c:pt idx="25">
                  <c:v>Gas</c:v>
                </c:pt>
                <c:pt idx="26">
                  <c:v>Cement &amp; Cement Products</c:v>
                </c:pt>
                <c:pt idx="27">
                  <c:v>Non - Ferrous Metals</c:v>
                </c:pt>
                <c:pt idx="28">
                  <c:v>Chemicals &amp; Petrochemicals</c:v>
                </c:pt>
                <c:pt idx="29">
                  <c:v>Fertilizers &amp; Agrochemicals</c:v>
                </c:pt>
                <c:pt idx="30">
                  <c:v>Minerals &amp; Mining</c:v>
                </c:pt>
              </c:strCache>
            </c:strRef>
          </c:cat>
          <c:val>
            <c:numRef>
              <c:f>'BANDHAN SVF'!$X$8:$X$38</c:f>
              <c:numCache>
                <c:formatCode>0.00%</c:formatCode>
                <c:ptCount val="31"/>
                <c:pt idx="0">
                  <c:v>0.18151900000000001</c:v>
                </c:pt>
                <c:pt idx="1">
                  <c:v>8.4648000000000001E-2</c:v>
                </c:pt>
                <c:pt idx="2">
                  <c:v>6.9642999999999997E-2</c:v>
                </c:pt>
                <c:pt idx="3">
                  <c:v>5.0286999999999991E-2</c:v>
                </c:pt>
                <c:pt idx="4">
                  <c:v>4.7556000000000001E-2</c:v>
                </c:pt>
                <c:pt idx="5">
                  <c:v>3.8666999999999993E-2</c:v>
                </c:pt>
                <c:pt idx="6">
                  <c:v>3.6651000000000003E-2</c:v>
                </c:pt>
                <c:pt idx="7">
                  <c:v>3.4942000000000001E-2</c:v>
                </c:pt>
                <c:pt idx="8">
                  <c:v>3.4782E-2</c:v>
                </c:pt>
                <c:pt idx="9">
                  <c:v>3.0192999999999998E-2</c:v>
                </c:pt>
                <c:pt idx="10">
                  <c:v>3.0166000000000002E-2</c:v>
                </c:pt>
                <c:pt idx="11">
                  <c:v>2.6917E-2</c:v>
                </c:pt>
                <c:pt idx="12">
                  <c:v>2.2436000000000001E-2</c:v>
                </c:pt>
                <c:pt idx="13">
                  <c:v>2.1850000000000001E-2</c:v>
                </c:pt>
                <c:pt idx="14">
                  <c:v>2.1339E-2</c:v>
                </c:pt>
                <c:pt idx="15">
                  <c:v>1.9899E-2</c:v>
                </c:pt>
                <c:pt idx="16">
                  <c:v>1.8287999999999999E-2</c:v>
                </c:pt>
                <c:pt idx="17">
                  <c:v>1.8251E-2</c:v>
                </c:pt>
                <c:pt idx="18">
                  <c:v>1.4578000000000001E-2</c:v>
                </c:pt>
                <c:pt idx="19">
                  <c:v>1.3766E-2</c:v>
                </c:pt>
                <c:pt idx="20">
                  <c:v>1.2766E-2</c:v>
                </c:pt>
                <c:pt idx="21">
                  <c:v>1.238E-2</c:v>
                </c:pt>
                <c:pt idx="22">
                  <c:v>1.2179000000000001E-2</c:v>
                </c:pt>
                <c:pt idx="23">
                  <c:v>1.1329000000000001E-2</c:v>
                </c:pt>
                <c:pt idx="24">
                  <c:v>1.0257E-2</c:v>
                </c:pt>
                <c:pt idx="25">
                  <c:v>8.9280000000000002E-3</c:v>
                </c:pt>
                <c:pt idx="26">
                  <c:v>8.8319999999999996E-3</c:v>
                </c:pt>
                <c:pt idx="27">
                  <c:v>7.8320000000000004E-3</c:v>
                </c:pt>
                <c:pt idx="28">
                  <c:v>6.7819999999999998E-3</c:v>
                </c:pt>
                <c:pt idx="29">
                  <c:v>5.0569999999999999E-3</c:v>
                </c:pt>
                <c:pt idx="30">
                  <c:v>2.2880000000000001E-3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(30th November 2024)</c:v>
                </c:pt>
              </c:strCache>
            </c:strRef>
          </c:tx>
          <c:invertIfNegative val="0"/>
          <c:cat>
            <c:strRef>
              <c:f>'BANDHAN SVF'!$W$8:$W$38</c:f>
              <c:strCache>
                <c:ptCount val="31"/>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Auto Components</c:v>
                </c:pt>
                <c:pt idx="10">
                  <c:v>Ferrous Metals</c:v>
                </c:pt>
                <c:pt idx="11">
                  <c:v>Beverages</c:v>
                </c:pt>
                <c:pt idx="12">
                  <c:v>Consumer Durables</c:v>
                </c:pt>
                <c:pt idx="13">
                  <c:v>Electrical Equipment</c:v>
                </c:pt>
                <c:pt idx="14">
                  <c:v>Diversified FMCG</c:v>
                </c:pt>
                <c:pt idx="15">
                  <c:v>Leisure Services</c:v>
                </c:pt>
                <c:pt idx="16">
                  <c:v>Retailing</c:v>
                </c:pt>
                <c:pt idx="17">
                  <c:v>Realty</c:v>
                </c:pt>
                <c:pt idx="18">
                  <c:v>Food Products</c:v>
                </c:pt>
                <c:pt idx="19">
                  <c:v>Commercial Services &amp; Supplies</c:v>
                </c:pt>
                <c:pt idx="20">
                  <c:v>Oil</c:v>
                </c:pt>
                <c:pt idx="21">
                  <c:v>Personal Products</c:v>
                </c:pt>
                <c:pt idx="22">
                  <c:v>Diversified Metals</c:v>
                </c:pt>
                <c:pt idx="23">
                  <c:v>Telecom - Services</c:v>
                </c:pt>
                <c:pt idx="24">
                  <c:v>Transport Services</c:v>
                </c:pt>
                <c:pt idx="25">
                  <c:v>Gas</c:v>
                </c:pt>
                <c:pt idx="26">
                  <c:v>Cement &amp; Cement Products</c:v>
                </c:pt>
                <c:pt idx="27">
                  <c:v>Non - Ferrous Metals</c:v>
                </c:pt>
                <c:pt idx="28">
                  <c:v>Chemicals &amp; Petrochemicals</c:v>
                </c:pt>
                <c:pt idx="29">
                  <c:v>Fertilizers &amp; Agrochemicals</c:v>
                </c:pt>
                <c:pt idx="30">
                  <c:v>Minerals &amp; Mining</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Auto Components</c:v>
                </c:pt>
                <c:pt idx="10">
                  <c:v>Ferrous Metals</c:v>
                </c:pt>
                <c:pt idx="11">
                  <c:v>Beverages</c:v>
                </c:pt>
                <c:pt idx="12">
                  <c:v>Consumer Durables</c:v>
                </c:pt>
                <c:pt idx="13">
                  <c:v>Electrical Equipment</c:v>
                </c:pt>
                <c:pt idx="14">
                  <c:v>Diversified FMCG</c:v>
                </c:pt>
                <c:pt idx="15">
                  <c:v>Leisure Services</c:v>
                </c:pt>
                <c:pt idx="16">
                  <c:v>Retailing</c:v>
                </c:pt>
                <c:pt idx="17">
                  <c:v>Realty</c:v>
                </c:pt>
                <c:pt idx="18">
                  <c:v>Food Products</c:v>
                </c:pt>
                <c:pt idx="19">
                  <c:v>Commercial Services &amp; Supplies</c:v>
                </c:pt>
                <c:pt idx="20">
                  <c:v>Oil</c:v>
                </c:pt>
                <c:pt idx="21">
                  <c:v>Personal Products</c:v>
                </c:pt>
                <c:pt idx="22">
                  <c:v>Diversified Metals</c:v>
                </c:pt>
                <c:pt idx="23">
                  <c:v>Telecom - Services</c:v>
                </c:pt>
                <c:pt idx="24">
                  <c:v>Transport Services</c:v>
                </c:pt>
                <c:pt idx="25">
                  <c:v>Gas</c:v>
                </c:pt>
                <c:pt idx="26">
                  <c:v>Cement &amp; Cement Products</c:v>
                </c:pt>
                <c:pt idx="27">
                  <c:v>Non - Ferrous Metals</c:v>
                </c:pt>
              </c:strCache>
            </c:strRef>
          </c:cat>
          <c:val>
            <c:numRef>
              <c:f>'BANDHAN SVF'!$X$8:$X$35</c:f>
              <c:numCache>
                <c:formatCode>0.00%</c:formatCode>
                <c:ptCount val="28"/>
                <c:pt idx="0">
                  <c:v>0.18151900000000001</c:v>
                </c:pt>
                <c:pt idx="1">
                  <c:v>8.4648000000000001E-2</c:v>
                </c:pt>
                <c:pt idx="2">
                  <c:v>6.9642999999999997E-2</c:v>
                </c:pt>
                <c:pt idx="3">
                  <c:v>5.0286999999999991E-2</c:v>
                </c:pt>
                <c:pt idx="4">
                  <c:v>4.7556000000000001E-2</c:v>
                </c:pt>
                <c:pt idx="5">
                  <c:v>3.8666999999999993E-2</c:v>
                </c:pt>
                <c:pt idx="6">
                  <c:v>3.6651000000000003E-2</c:v>
                </c:pt>
                <c:pt idx="7">
                  <c:v>3.4942000000000001E-2</c:v>
                </c:pt>
                <c:pt idx="8">
                  <c:v>3.4782E-2</c:v>
                </c:pt>
                <c:pt idx="9">
                  <c:v>3.0192999999999998E-2</c:v>
                </c:pt>
                <c:pt idx="10">
                  <c:v>3.0166000000000002E-2</c:v>
                </c:pt>
                <c:pt idx="11">
                  <c:v>2.6917E-2</c:v>
                </c:pt>
                <c:pt idx="12">
                  <c:v>2.2436000000000001E-2</c:v>
                </c:pt>
                <c:pt idx="13">
                  <c:v>2.1850000000000001E-2</c:v>
                </c:pt>
                <c:pt idx="14">
                  <c:v>2.1339E-2</c:v>
                </c:pt>
                <c:pt idx="15">
                  <c:v>1.9899E-2</c:v>
                </c:pt>
                <c:pt idx="16">
                  <c:v>1.8287999999999999E-2</c:v>
                </c:pt>
                <c:pt idx="17">
                  <c:v>1.8251E-2</c:v>
                </c:pt>
                <c:pt idx="18">
                  <c:v>1.4578000000000001E-2</c:v>
                </c:pt>
                <c:pt idx="19">
                  <c:v>1.3766E-2</c:v>
                </c:pt>
                <c:pt idx="20">
                  <c:v>1.2766E-2</c:v>
                </c:pt>
                <c:pt idx="21">
                  <c:v>1.238E-2</c:v>
                </c:pt>
                <c:pt idx="22">
                  <c:v>1.2179000000000001E-2</c:v>
                </c:pt>
                <c:pt idx="23">
                  <c:v>1.1329000000000001E-2</c:v>
                </c:pt>
                <c:pt idx="24">
                  <c:v>1.0257E-2</c:v>
                </c:pt>
                <c:pt idx="25">
                  <c:v>8.9280000000000002E-3</c:v>
                </c:pt>
                <c:pt idx="26">
                  <c:v>8.8319999999999996E-3</c:v>
                </c:pt>
                <c:pt idx="27">
                  <c:v>7.8320000000000004E-3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Industrial Products</c:v>
                </c:pt>
                <c:pt idx="1">
                  <c:v>Electrical Equipment</c:v>
                </c:pt>
                <c:pt idx="2">
                  <c:v>Auto Components</c:v>
                </c:pt>
                <c:pt idx="3">
                  <c:v>Retailing</c:v>
                </c:pt>
                <c:pt idx="4">
                  <c:v>Consumer Durables</c:v>
                </c:pt>
                <c:pt idx="5">
                  <c:v>Pharmaceuticals &amp; Biotechnology</c:v>
                </c:pt>
                <c:pt idx="6">
                  <c:v>IT - Software</c:v>
                </c:pt>
                <c:pt idx="7">
                  <c:v>Realty</c:v>
                </c:pt>
                <c:pt idx="8">
                  <c:v>Leisure Services</c:v>
                </c:pt>
                <c:pt idx="9">
                  <c:v>Banks</c:v>
                </c:pt>
                <c:pt idx="10">
                  <c:v>Telecom - Services</c:v>
                </c:pt>
                <c:pt idx="11">
                  <c:v>Healthcare Services</c:v>
                </c:pt>
                <c:pt idx="12">
                  <c:v>Finance</c:v>
                </c:pt>
                <c:pt idx="13">
                  <c:v>Financial Technology (Fintech)</c:v>
                </c:pt>
                <c:pt idx="14">
                  <c:v>Industrial Manufacturing</c:v>
                </c:pt>
                <c:pt idx="15">
                  <c:v>Chemicals &amp; Petrochemicals</c:v>
                </c:pt>
                <c:pt idx="16">
                  <c:v>Fertilizers &amp; Agrochemicals</c:v>
                </c:pt>
                <c:pt idx="17">
                  <c:v>Automobiles</c:v>
                </c:pt>
                <c:pt idx="18">
                  <c:v>Power</c:v>
                </c:pt>
                <c:pt idx="19">
                  <c:v>IT - Services</c:v>
                </c:pt>
                <c:pt idx="20">
                  <c:v>Beverages</c:v>
                </c:pt>
                <c:pt idx="21">
                  <c:v>Aerospace &amp; Defense</c:v>
                </c:pt>
                <c:pt idx="22">
                  <c:v>Cement &amp; Cement Products</c:v>
                </c:pt>
                <c:pt idx="23">
                  <c:v>Commercial Services &amp; Supplies</c:v>
                </c:pt>
                <c:pt idx="24">
                  <c:v>Diversified</c:v>
                </c:pt>
                <c:pt idx="25">
                  <c:v>Ferrous Metals</c:v>
                </c:pt>
                <c:pt idx="26">
                  <c:v>Capital Markets</c:v>
                </c:pt>
                <c:pt idx="27">
                  <c:v>Personal Products</c:v>
                </c:pt>
                <c:pt idx="28">
                  <c:v>Household Products</c:v>
                </c:pt>
                <c:pt idx="29">
                  <c:v>Food Products</c:v>
                </c:pt>
                <c:pt idx="30">
                  <c:v>Oil</c:v>
                </c:pt>
              </c:strCache>
            </c:strRef>
          </c:cat>
          <c:val>
            <c:numRef>
              <c:f>'BANDHAN-MCAP'!$X$8:$X$38</c:f>
              <c:numCache>
                <c:formatCode>0.00%</c:formatCode>
                <c:ptCount val="31"/>
                <c:pt idx="0">
                  <c:v>0.11535200000000001</c:v>
                </c:pt>
                <c:pt idx="1">
                  <c:v>9.4567999999999985E-2</c:v>
                </c:pt>
                <c:pt idx="2">
                  <c:v>8.2928000000000002E-2</c:v>
                </c:pt>
                <c:pt idx="3">
                  <c:v>7.4476000000000014E-2</c:v>
                </c:pt>
                <c:pt idx="4">
                  <c:v>7.2777999999999995E-2</c:v>
                </c:pt>
                <c:pt idx="5">
                  <c:v>7.1829999999999991E-2</c:v>
                </c:pt>
                <c:pt idx="6">
                  <c:v>6.2382E-2</c:v>
                </c:pt>
                <c:pt idx="7">
                  <c:v>4.0523000000000003E-2</c:v>
                </c:pt>
                <c:pt idx="8">
                  <c:v>3.4783000000000001E-2</c:v>
                </c:pt>
                <c:pt idx="9">
                  <c:v>3.2922E-2</c:v>
                </c:pt>
                <c:pt idx="10">
                  <c:v>2.4958999999999999E-2</c:v>
                </c:pt>
                <c:pt idx="11">
                  <c:v>2.4669999999999997E-2</c:v>
                </c:pt>
                <c:pt idx="12">
                  <c:v>2.1368999999999999E-2</c:v>
                </c:pt>
                <c:pt idx="13">
                  <c:v>2.1086000000000001E-2</c:v>
                </c:pt>
                <c:pt idx="14">
                  <c:v>2.0264000000000001E-2</c:v>
                </c:pt>
                <c:pt idx="15">
                  <c:v>2.0053000000000001E-2</c:v>
                </c:pt>
                <c:pt idx="16">
                  <c:v>1.9119999999999998E-2</c:v>
                </c:pt>
                <c:pt idx="17">
                  <c:v>1.8176999999999999E-2</c:v>
                </c:pt>
                <c:pt idx="18">
                  <c:v>1.7852E-2</c:v>
                </c:pt>
                <c:pt idx="19">
                  <c:v>1.4945999999999999E-2</c:v>
                </c:pt>
                <c:pt idx="20">
                  <c:v>1.2999E-2</c:v>
                </c:pt>
                <c:pt idx="21">
                  <c:v>1.1848000000000001E-2</c:v>
                </c:pt>
                <c:pt idx="22">
                  <c:v>9.0559999999999998E-3</c:v>
                </c:pt>
                <c:pt idx="23">
                  <c:v>8.208E-3</c:v>
                </c:pt>
                <c:pt idx="24">
                  <c:v>7.9059999999999998E-3</c:v>
                </c:pt>
                <c:pt idx="25">
                  <c:v>7.7359999999999998E-3</c:v>
                </c:pt>
                <c:pt idx="26">
                  <c:v>7.5649999999999997E-3</c:v>
                </c:pt>
                <c:pt idx="27">
                  <c:v>5.3369999999999997E-3</c:v>
                </c:pt>
                <c:pt idx="28">
                  <c:v>3.117E-3</c:v>
                </c:pt>
                <c:pt idx="29">
                  <c:v>1.632E-3</c:v>
                </c:pt>
                <c:pt idx="30">
                  <c:v>1.526E-3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November 2024)</c:v>
                </c:pt>
              </c:strCache>
            </c:strRef>
          </c:tx>
          <c:invertIfNegative val="0"/>
          <c:cat>
            <c:strRef>
              <c:f>'BANDHAN-MCAP'!$W$8:$W$38</c:f>
              <c:strCache>
                <c:ptCount val="31"/>
                <c:pt idx="0">
                  <c:v>Industrial Products</c:v>
                </c:pt>
                <c:pt idx="1">
                  <c:v>Electrical Equipment</c:v>
                </c:pt>
                <c:pt idx="2">
                  <c:v>Auto Components</c:v>
                </c:pt>
                <c:pt idx="3">
                  <c:v>Retailing</c:v>
                </c:pt>
                <c:pt idx="4">
                  <c:v>Consumer Durables</c:v>
                </c:pt>
                <c:pt idx="5">
                  <c:v>Pharmaceuticals &amp; Biotechnology</c:v>
                </c:pt>
                <c:pt idx="6">
                  <c:v>IT - Software</c:v>
                </c:pt>
                <c:pt idx="7">
                  <c:v>Realty</c:v>
                </c:pt>
                <c:pt idx="8">
                  <c:v>Leisure Services</c:v>
                </c:pt>
                <c:pt idx="9">
                  <c:v>Banks</c:v>
                </c:pt>
                <c:pt idx="10">
                  <c:v>Telecom - Services</c:v>
                </c:pt>
                <c:pt idx="11">
                  <c:v>Healthcare Services</c:v>
                </c:pt>
                <c:pt idx="12">
                  <c:v>Finance</c:v>
                </c:pt>
                <c:pt idx="13">
                  <c:v>Financial Technology (Fintech)</c:v>
                </c:pt>
                <c:pt idx="14">
                  <c:v>Industrial Manufacturing</c:v>
                </c:pt>
                <c:pt idx="15">
                  <c:v>Chemicals &amp; Petrochemicals</c:v>
                </c:pt>
                <c:pt idx="16">
                  <c:v>Fertilizers &amp; Agrochemicals</c:v>
                </c:pt>
                <c:pt idx="17">
                  <c:v>Automobiles</c:v>
                </c:pt>
                <c:pt idx="18">
                  <c:v>Power</c:v>
                </c:pt>
                <c:pt idx="19">
                  <c:v>IT - Services</c:v>
                </c:pt>
                <c:pt idx="20">
                  <c:v>Beverages</c:v>
                </c:pt>
                <c:pt idx="21">
                  <c:v>Aerospace &amp; Defense</c:v>
                </c:pt>
                <c:pt idx="22">
                  <c:v>Cement &amp; Cement Products</c:v>
                </c:pt>
                <c:pt idx="23">
                  <c:v>Commercial Services &amp; Supplies</c:v>
                </c:pt>
                <c:pt idx="24">
                  <c:v>Diversified</c:v>
                </c:pt>
                <c:pt idx="25">
                  <c:v>Ferrous Metals</c:v>
                </c:pt>
                <c:pt idx="26">
                  <c:v>Capital Markets</c:v>
                </c:pt>
                <c:pt idx="27">
                  <c:v>Personal Products</c:v>
                </c:pt>
                <c:pt idx="28">
                  <c:v>Household Products</c:v>
                </c:pt>
                <c:pt idx="29">
                  <c:v>Food Products</c:v>
                </c:pt>
                <c:pt idx="30">
                  <c:v>Oil</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November 2024)</c:v>
                </c:pt>
              </c:strCache>
            </c:strRef>
          </c:tx>
          <c:invertIfNegative val="0"/>
          <c:cat>
            <c:strRef>
              <c:f>'BANDHAN-MCAP'!$W$8:$W$38</c:f>
              <c:strCache>
                <c:ptCount val="31"/>
                <c:pt idx="0">
                  <c:v>Industrial Products</c:v>
                </c:pt>
                <c:pt idx="1">
                  <c:v>Electrical Equipment</c:v>
                </c:pt>
                <c:pt idx="2">
                  <c:v>Auto Components</c:v>
                </c:pt>
                <c:pt idx="3">
                  <c:v>Retailing</c:v>
                </c:pt>
                <c:pt idx="4">
                  <c:v>Consumer Durables</c:v>
                </c:pt>
                <c:pt idx="5">
                  <c:v>Pharmaceuticals &amp; Biotechnology</c:v>
                </c:pt>
                <c:pt idx="6">
                  <c:v>IT - Software</c:v>
                </c:pt>
                <c:pt idx="7">
                  <c:v>Realty</c:v>
                </c:pt>
                <c:pt idx="8">
                  <c:v>Leisure Services</c:v>
                </c:pt>
                <c:pt idx="9">
                  <c:v>Banks</c:v>
                </c:pt>
                <c:pt idx="10">
                  <c:v>Telecom - Services</c:v>
                </c:pt>
                <c:pt idx="11">
                  <c:v>Healthcare Services</c:v>
                </c:pt>
                <c:pt idx="12">
                  <c:v>Finance</c:v>
                </c:pt>
                <c:pt idx="13">
                  <c:v>Financial Technology (Fintech)</c:v>
                </c:pt>
                <c:pt idx="14">
                  <c:v>Industrial Manufacturing</c:v>
                </c:pt>
                <c:pt idx="15">
                  <c:v>Chemicals &amp; Petrochemicals</c:v>
                </c:pt>
                <c:pt idx="16">
                  <c:v>Fertilizers &amp; Agrochemicals</c:v>
                </c:pt>
                <c:pt idx="17">
                  <c:v>Automobiles</c:v>
                </c:pt>
                <c:pt idx="18">
                  <c:v>Power</c:v>
                </c:pt>
                <c:pt idx="19">
                  <c:v>IT - Services</c:v>
                </c:pt>
                <c:pt idx="20">
                  <c:v>Beverages</c:v>
                </c:pt>
                <c:pt idx="21">
                  <c:v>Aerospace &amp; Defense</c:v>
                </c:pt>
                <c:pt idx="22">
                  <c:v>Cement &amp; Cement Products</c:v>
                </c:pt>
                <c:pt idx="23">
                  <c:v>Commercial Services &amp; Supplies</c:v>
                </c:pt>
                <c:pt idx="24">
                  <c:v>Diversified</c:v>
                </c:pt>
                <c:pt idx="25">
                  <c:v>Ferrous Metals</c:v>
                </c:pt>
                <c:pt idx="26">
                  <c:v>Capital Markets</c:v>
                </c:pt>
                <c:pt idx="27">
                  <c:v>Personal Products</c:v>
                </c:pt>
                <c:pt idx="28">
                  <c:v>Household Products</c:v>
                </c:pt>
                <c:pt idx="29">
                  <c:v>Food Products</c:v>
                </c:pt>
                <c:pt idx="30">
                  <c:v>Oil</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MCF'!$W$8:$W$44</c:f>
              <c:strCache>
                <c:ptCount val="37"/>
                <c:pt idx="0">
                  <c:v>Banks</c:v>
                </c:pt>
                <c:pt idx="1">
                  <c:v>Pharmaceuticals &amp; Biotechnology</c:v>
                </c:pt>
                <c:pt idx="2">
                  <c:v>IT - Software</c:v>
                </c:pt>
                <c:pt idx="3">
                  <c:v>Retailing</c:v>
                </c:pt>
                <c:pt idx="4">
                  <c:v>Petroleum Products</c:v>
                </c:pt>
                <c:pt idx="5">
                  <c:v>Consumer Durables</c:v>
                </c:pt>
                <c:pt idx="6">
                  <c:v>Insurance</c:v>
                </c:pt>
                <c:pt idx="7">
                  <c:v>Construction</c:v>
                </c:pt>
                <c:pt idx="8">
                  <c:v>Fertilizers &amp; Agrochemicals</c:v>
                </c:pt>
                <c:pt idx="9">
                  <c:v>Finance</c:v>
                </c:pt>
                <c:pt idx="10">
                  <c:v>Realty</c:v>
                </c:pt>
                <c:pt idx="11">
                  <c:v>Auto Components</c:v>
                </c:pt>
                <c:pt idx="12">
                  <c:v>Industrial Products</c:v>
                </c:pt>
                <c:pt idx="13">
                  <c:v>Food Products</c:v>
                </c:pt>
                <c:pt idx="14">
                  <c:v>Automobiles</c:v>
                </c:pt>
                <c:pt idx="15">
                  <c:v>Power</c:v>
                </c:pt>
                <c:pt idx="16">
                  <c:v>Beverages</c:v>
                </c:pt>
                <c:pt idx="17">
                  <c:v>Industrial Manufacturing</c:v>
                </c:pt>
                <c:pt idx="18">
                  <c:v>Commercial Services &amp; Supplies</c:v>
                </c:pt>
                <c:pt idx="19">
                  <c:v>Leisure Services</c:v>
                </c:pt>
                <c:pt idx="20">
                  <c:v>Cement &amp; Cement Products</c:v>
                </c:pt>
                <c:pt idx="21">
                  <c:v>Telecom - Services</c:v>
                </c:pt>
                <c:pt idx="22">
                  <c:v>IT - Services</c:v>
                </c:pt>
                <c:pt idx="23">
                  <c:v>Electrical Equipment</c:v>
                </c:pt>
                <c:pt idx="24">
                  <c:v>Financial Technology (Fintech)</c:v>
                </c:pt>
                <c:pt idx="25">
                  <c:v>Diversified FMCG</c:v>
                </c:pt>
                <c:pt idx="26">
                  <c:v>Personal Products</c:v>
                </c:pt>
                <c:pt idx="27">
                  <c:v>Telecom -  Equipment &amp; Accessories</c:v>
                </c:pt>
                <c:pt idx="28">
                  <c:v>Oil</c:v>
                </c:pt>
                <c:pt idx="29">
                  <c:v>Ferrous Metals</c:v>
                </c:pt>
                <c:pt idx="30">
                  <c:v>Diversified Metals</c:v>
                </c:pt>
                <c:pt idx="31">
                  <c:v>Chemicals &amp; Petrochemicals</c:v>
                </c:pt>
                <c:pt idx="32">
                  <c:v>Minerals &amp; Mining</c:v>
                </c:pt>
                <c:pt idx="33">
                  <c:v>Capital Markets</c:v>
                </c:pt>
                <c:pt idx="34">
                  <c:v>Non - Ferrous Metals</c:v>
                </c:pt>
                <c:pt idx="35">
                  <c:v>Agricultural Food &amp; other Products</c:v>
                </c:pt>
                <c:pt idx="36">
                  <c:v>Diversified</c:v>
                </c:pt>
              </c:strCache>
            </c:strRef>
          </c:cat>
          <c:val>
            <c:numRef>
              <c:f>'BANDHAN MCF'!$X$8:$X$44</c:f>
              <c:numCache>
                <c:formatCode>0.00%</c:formatCode>
                <c:ptCount val="37"/>
                <c:pt idx="0">
                  <c:v>0.15234</c:v>
                </c:pt>
                <c:pt idx="1">
                  <c:v>9.0098999999999999E-2</c:v>
                </c:pt>
                <c:pt idx="2">
                  <c:v>6.8142999999999995E-2</c:v>
                </c:pt>
                <c:pt idx="3">
                  <c:v>4.7919999999999997E-2</c:v>
                </c:pt>
                <c:pt idx="4">
                  <c:v>4.1634000000000004E-2</c:v>
                </c:pt>
                <c:pt idx="5">
                  <c:v>3.8684000000000003E-2</c:v>
                </c:pt>
                <c:pt idx="6">
                  <c:v>3.7583999999999992E-2</c:v>
                </c:pt>
                <c:pt idx="7">
                  <c:v>3.6669E-2</c:v>
                </c:pt>
                <c:pt idx="8">
                  <c:v>3.4078999999999998E-2</c:v>
                </c:pt>
                <c:pt idx="9">
                  <c:v>3.2488999999999997E-2</c:v>
                </c:pt>
                <c:pt idx="10">
                  <c:v>3.1440999999999997E-2</c:v>
                </c:pt>
                <c:pt idx="11">
                  <c:v>2.8162E-2</c:v>
                </c:pt>
                <c:pt idx="12">
                  <c:v>2.6185000000000003E-2</c:v>
                </c:pt>
                <c:pt idx="13">
                  <c:v>2.3035E-2</c:v>
                </c:pt>
                <c:pt idx="14">
                  <c:v>2.2974000000000001E-2</c:v>
                </c:pt>
                <c:pt idx="15">
                  <c:v>2.1142000000000001E-2</c:v>
                </c:pt>
                <c:pt idx="16">
                  <c:v>2.0464E-2</c:v>
                </c:pt>
                <c:pt idx="17">
                  <c:v>1.9831999999999999E-2</c:v>
                </c:pt>
                <c:pt idx="18">
                  <c:v>1.7300000000000003E-2</c:v>
                </c:pt>
                <c:pt idx="19">
                  <c:v>1.6912E-2</c:v>
                </c:pt>
                <c:pt idx="20">
                  <c:v>1.6038E-2</c:v>
                </c:pt>
                <c:pt idx="21">
                  <c:v>1.329E-2</c:v>
                </c:pt>
                <c:pt idx="22">
                  <c:v>1.3051E-2</c:v>
                </c:pt>
                <c:pt idx="23">
                  <c:v>1.1214E-2</c:v>
                </c:pt>
                <c:pt idx="24">
                  <c:v>1.1048000000000001E-2</c:v>
                </c:pt>
                <c:pt idx="25">
                  <c:v>1.0708000000000001E-2</c:v>
                </c:pt>
                <c:pt idx="26">
                  <c:v>1.0662E-2</c:v>
                </c:pt>
                <c:pt idx="27">
                  <c:v>1.0595E-2</c:v>
                </c:pt>
                <c:pt idx="28">
                  <c:v>1.0251E-2</c:v>
                </c:pt>
                <c:pt idx="29">
                  <c:v>1.018E-2</c:v>
                </c:pt>
                <c:pt idx="30">
                  <c:v>9.2599999999999991E-3</c:v>
                </c:pt>
                <c:pt idx="31">
                  <c:v>7.724E-3</c:v>
                </c:pt>
                <c:pt idx="32">
                  <c:v>5.6369999999999996E-3</c:v>
                </c:pt>
                <c:pt idx="33">
                  <c:v>5.3E-3</c:v>
                </c:pt>
                <c:pt idx="34">
                  <c:v>4.9439999999999996E-3</c:v>
                </c:pt>
                <c:pt idx="35">
                  <c:v>3.6870000000000002E-3</c:v>
                </c:pt>
                <c:pt idx="36">
                  <c:v>2.2390000000000001E-3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November 2024)</c:v>
                </c:pt>
              </c:strCache>
            </c:strRef>
          </c:tx>
          <c:invertIfNegative val="0"/>
          <c:cat>
            <c:strRef>
              <c:f>'BANDHAN MCF'!$W$8:$W$44</c:f>
              <c:strCache>
                <c:ptCount val="37"/>
                <c:pt idx="0">
                  <c:v>Banks</c:v>
                </c:pt>
                <c:pt idx="1">
                  <c:v>Pharmaceuticals &amp; Biotechnology</c:v>
                </c:pt>
                <c:pt idx="2">
                  <c:v>IT - Software</c:v>
                </c:pt>
                <c:pt idx="3">
                  <c:v>Retailing</c:v>
                </c:pt>
                <c:pt idx="4">
                  <c:v>Petroleum Products</c:v>
                </c:pt>
                <c:pt idx="5">
                  <c:v>Consumer Durables</c:v>
                </c:pt>
                <c:pt idx="6">
                  <c:v>Insurance</c:v>
                </c:pt>
                <c:pt idx="7">
                  <c:v>Construction</c:v>
                </c:pt>
                <c:pt idx="8">
                  <c:v>Fertilizers &amp; Agrochemicals</c:v>
                </c:pt>
                <c:pt idx="9">
                  <c:v>Finance</c:v>
                </c:pt>
                <c:pt idx="10">
                  <c:v>Realty</c:v>
                </c:pt>
                <c:pt idx="11">
                  <c:v>Auto Components</c:v>
                </c:pt>
                <c:pt idx="12">
                  <c:v>Industrial Products</c:v>
                </c:pt>
                <c:pt idx="13">
                  <c:v>Food Products</c:v>
                </c:pt>
                <c:pt idx="14">
                  <c:v>Automobiles</c:v>
                </c:pt>
                <c:pt idx="15">
                  <c:v>Power</c:v>
                </c:pt>
                <c:pt idx="16">
                  <c:v>Beverages</c:v>
                </c:pt>
                <c:pt idx="17">
                  <c:v>Industrial Manufacturing</c:v>
                </c:pt>
                <c:pt idx="18">
                  <c:v>Commercial Services &amp; Supplies</c:v>
                </c:pt>
                <c:pt idx="19">
                  <c:v>Leisure Services</c:v>
                </c:pt>
                <c:pt idx="20">
                  <c:v>Cement &amp; Cement Products</c:v>
                </c:pt>
                <c:pt idx="21">
                  <c:v>Telecom - Services</c:v>
                </c:pt>
                <c:pt idx="22">
                  <c:v>IT - Services</c:v>
                </c:pt>
                <c:pt idx="23">
                  <c:v>Electrical Equipment</c:v>
                </c:pt>
                <c:pt idx="24">
                  <c:v>Financial Technology (Fintech)</c:v>
                </c:pt>
                <c:pt idx="25">
                  <c:v>Diversified FMCG</c:v>
                </c:pt>
                <c:pt idx="26">
                  <c:v>Personal Products</c:v>
                </c:pt>
                <c:pt idx="27">
                  <c:v>Telecom -  Equipment &amp; Accessories</c:v>
                </c:pt>
                <c:pt idx="28">
                  <c:v>Oil</c:v>
                </c:pt>
                <c:pt idx="29">
                  <c:v>Ferrous Metals</c:v>
                </c:pt>
                <c:pt idx="30">
                  <c:v>Diversified Metals</c:v>
                </c:pt>
                <c:pt idx="31">
                  <c:v>Chemicals &amp; Petrochemicals</c:v>
                </c:pt>
                <c:pt idx="32">
                  <c:v>Minerals &amp; Mining</c:v>
                </c:pt>
                <c:pt idx="33">
                  <c:v>Capital Markets</c:v>
                </c:pt>
                <c:pt idx="34">
                  <c:v>Non - Ferrous Metals</c:v>
                </c:pt>
                <c:pt idx="35">
                  <c:v>Agricultural Food &amp; other Products</c:v>
                </c:pt>
                <c:pt idx="36">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FCF'!$W$8:$W$39</c:f>
              <c:strCache>
                <c:ptCount val="32"/>
                <c:pt idx="0">
                  <c:v>Banks</c:v>
                </c:pt>
                <c:pt idx="1">
                  <c:v>IT - Software</c:v>
                </c:pt>
                <c:pt idx="2">
                  <c:v>Retailing</c:v>
                </c:pt>
                <c:pt idx="3">
                  <c:v>Automobiles</c:v>
                </c:pt>
                <c:pt idx="4">
                  <c:v>Pharmaceuticals &amp; Biotechnology</c:v>
                </c:pt>
                <c:pt idx="5">
                  <c:v>Finance</c:v>
                </c:pt>
                <c:pt idx="6">
                  <c:v>Petroleum Products</c:v>
                </c:pt>
                <c:pt idx="7">
                  <c:v>Diversified FMCG</c:v>
                </c:pt>
                <c:pt idx="8">
                  <c:v>Construction</c:v>
                </c:pt>
                <c:pt idx="9">
                  <c:v>Telecom - Services</c:v>
                </c:pt>
                <c:pt idx="10">
                  <c:v>Insurance</c:v>
                </c:pt>
                <c:pt idx="11">
                  <c:v>Industrial Products</c:v>
                </c:pt>
                <c:pt idx="12">
                  <c:v>Consumer Durables</c:v>
                </c:pt>
                <c:pt idx="13">
                  <c:v>Power</c:v>
                </c:pt>
                <c:pt idx="14">
                  <c:v>Cement &amp; Cement Products</c:v>
                </c:pt>
                <c:pt idx="15">
                  <c:v>Electrical Equipment</c:v>
                </c:pt>
                <c:pt idx="16">
                  <c:v>Food Products</c:v>
                </c:pt>
                <c:pt idx="17">
                  <c:v>Realty</c:v>
                </c:pt>
                <c:pt idx="18">
                  <c:v>Ferrous Metals</c:v>
                </c:pt>
                <c:pt idx="19">
                  <c:v>Commercial Services &amp; Supplies</c:v>
                </c:pt>
                <c:pt idx="20">
                  <c:v>Auto Components</c:v>
                </c:pt>
                <c:pt idx="21">
                  <c:v>Personal Products</c:v>
                </c:pt>
                <c:pt idx="22">
                  <c:v>Healthcare Services</c:v>
                </c:pt>
                <c:pt idx="23">
                  <c:v>Consumable Fuels</c:v>
                </c:pt>
                <c:pt idx="24">
                  <c:v>Non - Ferrous Metals</c:v>
                </c:pt>
                <c:pt idx="25">
                  <c:v>Leisure Services</c:v>
                </c:pt>
                <c:pt idx="26">
                  <c:v>Diversified Metals</c:v>
                </c:pt>
                <c:pt idx="27">
                  <c:v>Textiles &amp; Apparels</c:v>
                </c:pt>
                <c:pt idx="28">
                  <c:v>Telecom -  Equipment &amp; Accessories</c:v>
                </c:pt>
                <c:pt idx="29">
                  <c:v>Minerals &amp; Mining</c:v>
                </c:pt>
                <c:pt idx="30">
                  <c:v>Fertilizers &amp; Agrochemicals</c:v>
                </c:pt>
                <c:pt idx="31">
                  <c:v>Diversified</c:v>
                </c:pt>
              </c:strCache>
            </c:strRef>
          </c:cat>
          <c:val>
            <c:numRef>
              <c:f>'BANDHAN FCF'!$X$8:$X$39</c:f>
              <c:numCache>
                <c:formatCode>0.0%</c:formatCode>
                <c:ptCount val="32"/>
                <c:pt idx="0">
                  <c:v>0.21389900000000001</c:v>
                </c:pt>
                <c:pt idx="1">
                  <c:v>8.8858999999999994E-2</c:v>
                </c:pt>
                <c:pt idx="2">
                  <c:v>6.4829999999999999E-2</c:v>
                </c:pt>
                <c:pt idx="3">
                  <c:v>5.2809999999999996E-2</c:v>
                </c:pt>
                <c:pt idx="4">
                  <c:v>5.2181999999999999E-2</c:v>
                </c:pt>
                <c:pt idx="5">
                  <c:v>4.9228999999999995E-2</c:v>
                </c:pt>
                <c:pt idx="6">
                  <c:v>4.8429E-2</c:v>
                </c:pt>
                <c:pt idx="7">
                  <c:v>4.0639000000000002E-2</c:v>
                </c:pt>
                <c:pt idx="8">
                  <c:v>3.9453000000000002E-2</c:v>
                </c:pt>
                <c:pt idx="9">
                  <c:v>2.7588999999999999E-2</c:v>
                </c:pt>
                <c:pt idx="10">
                  <c:v>2.7064999999999999E-2</c:v>
                </c:pt>
                <c:pt idx="11">
                  <c:v>2.6297000000000001E-2</c:v>
                </c:pt>
                <c:pt idx="12">
                  <c:v>2.6223E-2</c:v>
                </c:pt>
                <c:pt idx="13">
                  <c:v>2.2539E-2</c:v>
                </c:pt>
                <c:pt idx="14">
                  <c:v>1.8015999999999997E-2</c:v>
                </c:pt>
                <c:pt idx="15">
                  <c:v>1.7840000000000002E-2</c:v>
                </c:pt>
                <c:pt idx="16">
                  <c:v>1.3243999999999999E-2</c:v>
                </c:pt>
                <c:pt idx="17">
                  <c:v>1.3072999999999998E-2</c:v>
                </c:pt>
                <c:pt idx="18">
                  <c:v>1.2432E-2</c:v>
                </c:pt>
                <c:pt idx="19">
                  <c:v>1.0738000000000001E-2</c:v>
                </c:pt>
                <c:pt idx="20">
                  <c:v>1.0290000000000001E-2</c:v>
                </c:pt>
                <c:pt idx="21">
                  <c:v>9.7599999999999996E-3</c:v>
                </c:pt>
                <c:pt idx="22">
                  <c:v>9.2510000000000005E-3</c:v>
                </c:pt>
                <c:pt idx="23">
                  <c:v>8.5660000000000007E-3</c:v>
                </c:pt>
                <c:pt idx="24">
                  <c:v>7.9830000000000005E-3</c:v>
                </c:pt>
                <c:pt idx="25">
                  <c:v>7.8969999999999995E-3</c:v>
                </c:pt>
                <c:pt idx="26">
                  <c:v>7.4640000000000001E-3</c:v>
                </c:pt>
                <c:pt idx="27">
                  <c:v>6.097E-3</c:v>
                </c:pt>
                <c:pt idx="28">
                  <c:v>6.0260000000000001E-3</c:v>
                </c:pt>
                <c:pt idx="29">
                  <c:v>5.7739999999999996E-3</c:v>
                </c:pt>
                <c:pt idx="30">
                  <c:v>4.7289999999999997E-3</c:v>
                </c:pt>
                <c:pt idx="31">
                  <c:v>4.346E-3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SCF'!$W$8:$W$50</c:f>
              <c:strCache>
                <c:ptCount val="43"/>
                <c:pt idx="0">
                  <c:v>Finance</c:v>
                </c:pt>
                <c:pt idx="1">
                  <c:v>Pharmaceuticals &amp; Biotechnology</c:v>
                </c:pt>
                <c:pt idx="2">
                  <c:v>Realty</c:v>
                </c:pt>
                <c:pt idx="3">
                  <c:v>Banks</c:v>
                </c:pt>
                <c:pt idx="4">
                  <c:v>Industrial Products</c:v>
                </c:pt>
                <c:pt idx="5">
                  <c:v>Electrical Equipment</c:v>
                </c:pt>
                <c:pt idx="6">
                  <c:v>Capital Markets</c:v>
                </c:pt>
                <c:pt idx="7">
                  <c:v>Chemicals &amp; Petrochemicals</c:v>
                </c:pt>
                <c:pt idx="8">
                  <c:v>Consumer Durables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Beverages</c:v>
                </c:pt>
                <c:pt idx="17">
                  <c:v>Industrial Manufacturing</c:v>
                </c:pt>
                <c:pt idx="18">
                  <c:v>IT - Hardware</c:v>
                </c:pt>
                <c:pt idx="19">
                  <c:v>Construction</c:v>
                </c:pt>
                <c:pt idx="20">
                  <c:v>Leisure Services</c:v>
                </c:pt>
                <c:pt idx="21">
                  <c:v>IT - Services</c:v>
                </c:pt>
                <c:pt idx="22">
                  <c:v>Diversified Metals</c:v>
                </c:pt>
                <c:pt idx="23">
                  <c:v>Power</c:v>
                </c:pt>
                <c:pt idx="24">
                  <c:v>Ferrous Metals</c:v>
                </c:pt>
                <c:pt idx="25">
                  <c:v>IT - Software</c:v>
                </c:pt>
                <c:pt idx="26">
                  <c:v>Petroleum Products</c:v>
                </c:pt>
                <c:pt idx="27">
                  <c:v>Food Products</c:v>
                </c:pt>
                <c:pt idx="28">
                  <c:v>Aerospace &amp; Defense</c:v>
                </c:pt>
                <c:pt idx="29">
                  <c:v>Fertilizers &amp; Agrochemicals</c:v>
                </c:pt>
                <c:pt idx="30">
                  <c:v>Cement &amp; Cement Products</c:v>
                </c:pt>
                <c:pt idx="31">
                  <c:v>Diversified</c:v>
                </c:pt>
                <c:pt idx="32">
                  <c:v>Non - Ferrous Metals</c:v>
                </c:pt>
                <c:pt idx="33">
                  <c:v>Telecom -  Equipment &amp; Accessories</c:v>
                </c:pt>
                <c:pt idx="34">
                  <c:v>Other Utilities</c:v>
                </c:pt>
                <c:pt idx="35">
                  <c:v>Telecom - Services</c:v>
                </c:pt>
                <c:pt idx="36">
                  <c:v>Personal Products</c:v>
                </c:pt>
                <c:pt idx="37">
                  <c:v>Household Products</c:v>
                </c:pt>
                <c:pt idx="38">
                  <c:v>Gas</c:v>
                </c:pt>
                <c:pt idx="39">
                  <c:v>Automobiles</c:v>
                </c:pt>
                <c:pt idx="40">
                  <c:v>Diversified FMCG</c:v>
                </c:pt>
                <c:pt idx="41">
                  <c:v>Minerals &amp; Mining</c:v>
                </c:pt>
                <c:pt idx="42">
                  <c:v>Entertainment</c:v>
                </c:pt>
              </c:strCache>
            </c:strRef>
          </c:cat>
          <c:val>
            <c:numRef>
              <c:f>'BANDHAN SCF'!$X$8:$X$50</c:f>
              <c:numCache>
                <c:formatCode>0.00%</c:formatCode>
                <c:ptCount val="43"/>
                <c:pt idx="0">
                  <c:v>9.678500000000001E-2</c:v>
                </c:pt>
                <c:pt idx="1">
                  <c:v>9.1095000000000009E-2</c:v>
                </c:pt>
                <c:pt idx="2">
                  <c:v>6.5791000000000002E-2</c:v>
                </c:pt>
                <c:pt idx="3">
                  <c:v>6.0962999999999996E-2</c:v>
                </c:pt>
                <c:pt idx="4">
                  <c:v>4.8827000000000002E-2</c:v>
                </c:pt>
                <c:pt idx="5">
                  <c:v>4.7346000000000006E-2</c:v>
                </c:pt>
                <c:pt idx="6">
                  <c:v>4.7233999999999998E-2</c:v>
                </c:pt>
                <c:pt idx="7">
                  <c:v>4.6830000000000004E-2</c:v>
                </c:pt>
                <c:pt idx="8">
                  <c:v>3.9740999999999999E-2</c:v>
                </c:pt>
                <c:pt idx="9">
                  <c:v>3.6254999999999996E-2</c:v>
                </c:pt>
                <c:pt idx="10">
                  <c:v>3.1509999999999996E-2</c:v>
                </c:pt>
                <c:pt idx="11">
                  <c:v>3.0097000000000002E-2</c:v>
                </c:pt>
                <c:pt idx="12">
                  <c:v>2.5225999999999998E-2</c:v>
                </c:pt>
                <c:pt idx="13">
                  <c:v>2.5107000000000001E-2</c:v>
                </c:pt>
                <c:pt idx="14">
                  <c:v>1.9844000000000001E-2</c:v>
                </c:pt>
                <c:pt idx="15">
                  <c:v>1.9674000000000001E-2</c:v>
                </c:pt>
                <c:pt idx="16">
                  <c:v>1.84E-2</c:v>
                </c:pt>
                <c:pt idx="17">
                  <c:v>1.7482000000000001E-2</c:v>
                </c:pt>
                <c:pt idx="18">
                  <c:v>1.4167000000000001E-2</c:v>
                </c:pt>
                <c:pt idx="19">
                  <c:v>1.3653999999999999E-2</c:v>
                </c:pt>
                <c:pt idx="20">
                  <c:v>1.1143000000000002E-2</c:v>
                </c:pt>
                <c:pt idx="21">
                  <c:v>1.0213E-2</c:v>
                </c:pt>
                <c:pt idx="22">
                  <c:v>9.3209999999999994E-3</c:v>
                </c:pt>
                <c:pt idx="23">
                  <c:v>8.7600000000000004E-3</c:v>
                </c:pt>
                <c:pt idx="24">
                  <c:v>8.5970000000000005E-3</c:v>
                </c:pt>
                <c:pt idx="25">
                  <c:v>7.0530000000000002E-3</c:v>
                </c:pt>
                <c:pt idx="26">
                  <c:v>6.4429999999999999E-3</c:v>
                </c:pt>
                <c:pt idx="27">
                  <c:v>5.8909999999999995E-3</c:v>
                </c:pt>
                <c:pt idx="28">
                  <c:v>5.195E-3</c:v>
                </c:pt>
                <c:pt idx="29">
                  <c:v>4.8320000000000004E-3</c:v>
                </c:pt>
                <c:pt idx="30">
                  <c:v>4.5859999999999998E-3</c:v>
                </c:pt>
                <c:pt idx="31">
                  <c:v>4.4260000000000002E-3</c:v>
                </c:pt>
                <c:pt idx="32">
                  <c:v>4.4250000000000001E-3</c:v>
                </c:pt>
                <c:pt idx="33">
                  <c:v>3.009E-3</c:v>
                </c:pt>
                <c:pt idx="34">
                  <c:v>2.905E-3</c:v>
                </c:pt>
                <c:pt idx="35">
                  <c:v>2.643E-3</c:v>
                </c:pt>
                <c:pt idx="36">
                  <c:v>2.598E-3</c:v>
                </c:pt>
                <c:pt idx="37">
                  <c:v>2.431E-3</c:v>
                </c:pt>
                <c:pt idx="38">
                  <c:v>2.3750000000000004E-3</c:v>
                </c:pt>
                <c:pt idx="39">
                  <c:v>1.534E-3</c:v>
                </c:pt>
                <c:pt idx="40">
                  <c:v>9.7799999999999992E-4</c:v>
                </c:pt>
                <c:pt idx="41">
                  <c:v>9.4899999999999997E-4</c:v>
                </c:pt>
                <c:pt idx="42">
                  <c:v>6.3400000000000001E-4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November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Electrical Equipment</c:v>
                </c:pt>
                <c:pt idx="6">
                  <c:v>Capital Markets</c:v>
                </c:pt>
                <c:pt idx="7">
                  <c:v>Chemicals &amp; Petrochemicals</c:v>
                </c:pt>
                <c:pt idx="8">
                  <c:v>Consumer Durables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Beverages</c:v>
                </c:pt>
                <c:pt idx="17">
                  <c:v>Industrial Manufacturing</c:v>
                </c:pt>
                <c:pt idx="18">
                  <c:v>IT - Hardware</c:v>
                </c:pt>
                <c:pt idx="19">
                  <c:v>Construction</c:v>
                </c:pt>
                <c:pt idx="20">
                  <c:v>Leisure Services</c:v>
                </c:pt>
                <c:pt idx="21">
                  <c:v>IT - Services</c:v>
                </c:pt>
                <c:pt idx="22">
                  <c:v>Diversified Metals</c:v>
                </c:pt>
                <c:pt idx="23">
                  <c:v>Power</c:v>
                </c:pt>
                <c:pt idx="24">
                  <c:v>Ferrous Metals</c:v>
                </c:pt>
                <c:pt idx="25">
                  <c:v>IT - Software</c:v>
                </c:pt>
                <c:pt idx="26">
                  <c:v>Petroleum Products</c:v>
                </c:pt>
                <c:pt idx="27">
                  <c:v>Food Products</c:v>
                </c:pt>
                <c:pt idx="28">
                  <c:v>Aerospace &amp; Defense</c:v>
                </c:pt>
                <c:pt idx="29">
                  <c:v>Fertilizers &amp; Agrochemicals</c:v>
                </c:pt>
                <c:pt idx="30">
                  <c:v>Cement &amp; Cement Products</c:v>
                </c:pt>
                <c:pt idx="31">
                  <c:v>Diversified</c:v>
                </c:pt>
                <c:pt idx="32">
                  <c:v>Non - Ferrous Metals</c:v>
                </c:pt>
                <c:pt idx="33">
                  <c:v>Telecom -  Equipment &amp; Accessories</c:v>
                </c:pt>
                <c:pt idx="34">
                  <c:v>Other Utilities</c:v>
                </c:pt>
                <c:pt idx="35">
                  <c:v>Telecom - Services</c:v>
                </c:pt>
                <c:pt idx="36">
                  <c:v>Personal Products</c:v>
                </c:pt>
                <c:pt idx="37">
                  <c:v>Household Products</c:v>
                </c:pt>
                <c:pt idx="38">
                  <c:v>Gas</c:v>
                </c:pt>
                <c:pt idx="39">
                  <c:v>Automobiles</c:v>
                </c:pt>
                <c:pt idx="40">
                  <c:v>Diversified FMCG</c:v>
                </c:pt>
                <c:pt idx="41">
                  <c:v>Minerals &amp; Mining</c:v>
                </c:pt>
                <c:pt idx="42">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November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Electrical Equipment</c:v>
                </c:pt>
                <c:pt idx="6">
                  <c:v>Capital Markets</c:v>
                </c:pt>
                <c:pt idx="7">
                  <c:v>Chemicals &amp; Petrochemicals</c:v>
                </c:pt>
                <c:pt idx="8">
                  <c:v>Consumer Durables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Beverages</c:v>
                </c:pt>
                <c:pt idx="17">
                  <c:v>Industrial Manufacturing</c:v>
                </c:pt>
                <c:pt idx="18">
                  <c:v>IT - Hardware</c:v>
                </c:pt>
                <c:pt idx="19">
                  <c:v>Construction</c:v>
                </c:pt>
                <c:pt idx="20">
                  <c:v>Leisure Services</c:v>
                </c:pt>
                <c:pt idx="21">
                  <c:v>IT - Services</c:v>
                </c:pt>
                <c:pt idx="22">
                  <c:v>Diversified Metals</c:v>
                </c:pt>
                <c:pt idx="23">
                  <c:v>Power</c:v>
                </c:pt>
                <c:pt idx="24">
                  <c:v>Ferrous Metals</c:v>
                </c:pt>
                <c:pt idx="25">
                  <c:v>IT - Software</c:v>
                </c:pt>
                <c:pt idx="26">
                  <c:v>Petroleum Products</c:v>
                </c:pt>
                <c:pt idx="27">
                  <c:v>Food Products</c:v>
                </c:pt>
                <c:pt idx="28">
                  <c:v>Aerospace &amp; Defense</c:v>
                </c:pt>
                <c:pt idx="29">
                  <c:v>Fertilizers &amp; Agrochemicals</c:v>
                </c:pt>
                <c:pt idx="30">
                  <c:v>Cement &amp; Cement Products</c:v>
                </c:pt>
                <c:pt idx="31">
                  <c:v>Diversified</c:v>
                </c:pt>
                <c:pt idx="32">
                  <c:v>Non - Ferrous Metals</c:v>
                </c:pt>
                <c:pt idx="33">
                  <c:v>Telecom -  Equipment &amp; Accessories</c:v>
                </c:pt>
                <c:pt idx="34">
                  <c:v>Other Utilities</c:v>
                </c:pt>
                <c:pt idx="35">
                  <c:v>Telecom - Services</c:v>
                </c:pt>
                <c:pt idx="36">
                  <c:v>Personal Products</c:v>
                </c:pt>
                <c:pt idx="37">
                  <c:v>Household Products</c:v>
                </c:pt>
                <c:pt idx="38">
                  <c:v>Gas</c:v>
                </c:pt>
                <c:pt idx="39">
                  <c:v>Automobiles</c:v>
                </c:pt>
                <c:pt idx="40">
                  <c:v>Diversified FMCG</c:v>
                </c:pt>
                <c:pt idx="41">
                  <c:v>Minerals &amp; Mining</c:v>
                </c:pt>
                <c:pt idx="42">
                  <c:v>Entertainment</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November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Electrical Equipment</c:v>
                </c:pt>
                <c:pt idx="6">
                  <c:v>Capital Markets</c:v>
                </c:pt>
                <c:pt idx="7">
                  <c:v>Chemicals &amp; Petrochemicals</c:v>
                </c:pt>
                <c:pt idx="8">
                  <c:v>Consumer Durables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Beverages</c:v>
                </c:pt>
                <c:pt idx="17">
                  <c:v>Industrial Manufacturing</c:v>
                </c:pt>
                <c:pt idx="18">
                  <c:v>IT - Hardware</c:v>
                </c:pt>
                <c:pt idx="19">
                  <c:v>Construction</c:v>
                </c:pt>
                <c:pt idx="20">
                  <c:v>Leisure Services</c:v>
                </c:pt>
                <c:pt idx="21">
                  <c:v>IT - Services</c:v>
                </c:pt>
                <c:pt idx="22">
                  <c:v>Diversified Metals</c:v>
                </c:pt>
                <c:pt idx="23">
                  <c:v>Power</c:v>
                </c:pt>
                <c:pt idx="24">
                  <c:v>Ferrous Metals</c:v>
                </c:pt>
                <c:pt idx="25">
                  <c:v>IT - Software</c:v>
                </c:pt>
                <c:pt idx="26">
                  <c:v>Petroleum Products</c:v>
                </c:pt>
                <c:pt idx="27">
                  <c:v>Food Products</c:v>
                </c:pt>
                <c:pt idx="28">
                  <c:v>Aerospace &amp; Defense</c:v>
                </c:pt>
                <c:pt idx="29">
                  <c:v>Fertilizers &amp; Agrochemicals</c:v>
                </c:pt>
                <c:pt idx="30">
                  <c:v>Cement &amp; Cement Products</c:v>
                </c:pt>
                <c:pt idx="31">
                  <c:v>Diversified</c:v>
                </c:pt>
                <c:pt idx="32">
                  <c:v>Non - Ferrous Metals</c:v>
                </c:pt>
                <c:pt idx="33">
                  <c:v>Telecom -  Equipment &amp; Accessories</c:v>
                </c:pt>
                <c:pt idx="34">
                  <c:v>Other Utilities</c:v>
                </c:pt>
                <c:pt idx="35">
                  <c:v>Telecom - Services</c:v>
                </c:pt>
                <c:pt idx="36">
                  <c:v>Personal Products</c:v>
                </c:pt>
                <c:pt idx="37">
                  <c:v>Household Products</c:v>
                </c:pt>
                <c:pt idx="38">
                  <c:v>Gas</c:v>
                </c:pt>
                <c:pt idx="39">
                  <c:v>Automobiles</c:v>
                </c:pt>
                <c:pt idx="40">
                  <c:v>Diversified FMCG</c:v>
                </c:pt>
                <c:pt idx="41">
                  <c:v>Minerals &amp; Mining</c:v>
                </c:pt>
                <c:pt idx="42">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IF'!$W$8:$W$29</c:f>
              <c:strCache>
                <c:ptCount val="22"/>
                <c:pt idx="0">
                  <c:v>Construction</c:v>
                </c:pt>
                <c:pt idx="1">
                  <c:v>Industrial Products</c:v>
                </c:pt>
                <c:pt idx="2">
                  <c:v>Electrical Equipment</c:v>
                </c:pt>
                <c:pt idx="3">
                  <c:v>Power</c:v>
                </c:pt>
                <c:pt idx="4">
                  <c:v>Transport Services</c:v>
                </c:pt>
                <c:pt idx="5">
                  <c:v>Industrial Manufacturing</c:v>
                </c:pt>
                <c:pt idx="6">
                  <c:v>Auto Components</c:v>
                </c:pt>
                <c:pt idx="7">
                  <c:v>Finance</c:v>
                </c:pt>
                <c:pt idx="8">
                  <c:v>Telecom - Services</c:v>
                </c:pt>
                <c:pt idx="9">
                  <c:v>Aerospace &amp; Defense</c:v>
                </c:pt>
                <c:pt idx="10">
                  <c:v>Transport Infrastructure</c:v>
                </c:pt>
                <c:pt idx="11">
                  <c:v>Petroleum Products</c:v>
                </c:pt>
                <c:pt idx="12">
                  <c:v>Cement &amp; Cement Products</c:v>
                </c:pt>
                <c:pt idx="13">
                  <c:v>Gas</c:v>
                </c:pt>
                <c:pt idx="14">
                  <c:v>Ferrous Metals</c:v>
                </c:pt>
                <c:pt idx="15">
                  <c:v>Diversified</c:v>
                </c:pt>
                <c:pt idx="16">
                  <c:v>Healthcare Services</c:v>
                </c:pt>
                <c:pt idx="17">
                  <c:v>Chemicals &amp; Petrochemicals</c:v>
                </c:pt>
                <c:pt idx="18">
                  <c:v>Non - Ferrous Metals</c:v>
                </c:pt>
                <c:pt idx="19">
                  <c:v>Diversified Metals</c:v>
                </c:pt>
                <c:pt idx="20">
                  <c:v>Leisure Services</c:v>
                </c:pt>
                <c:pt idx="21">
                  <c:v>Agricultural, Commercial &amp; Construction Vehicles</c:v>
                </c:pt>
              </c:strCache>
            </c:strRef>
          </c:cat>
          <c:val>
            <c:numRef>
              <c:f>'BANDHAN IF'!$X$8:$X$29</c:f>
              <c:numCache>
                <c:formatCode>0.00%</c:formatCode>
                <c:ptCount val="22"/>
                <c:pt idx="0">
                  <c:v>0.24272600000000003</c:v>
                </c:pt>
                <c:pt idx="1">
                  <c:v>9.1892999999999989E-2</c:v>
                </c:pt>
                <c:pt idx="2">
                  <c:v>9.0288000000000007E-2</c:v>
                </c:pt>
                <c:pt idx="3">
                  <c:v>8.3810000000000009E-2</c:v>
                </c:pt>
                <c:pt idx="4">
                  <c:v>5.5177999999999991E-2</c:v>
                </c:pt>
                <c:pt idx="5">
                  <c:v>4.6988999999999996E-2</c:v>
                </c:pt>
                <c:pt idx="6">
                  <c:v>4.6352000000000004E-2</c:v>
                </c:pt>
                <c:pt idx="7">
                  <c:v>4.0554E-2</c:v>
                </c:pt>
                <c:pt idx="8">
                  <c:v>4.0086999999999998E-2</c:v>
                </c:pt>
                <c:pt idx="9">
                  <c:v>3.6382999999999999E-2</c:v>
                </c:pt>
                <c:pt idx="10">
                  <c:v>3.3626000000000003E-2</c:v>
                </c:pt>
                <c:pt idx="11">
                  <c:v>3.2529000000000002E-2</c:v>
                </c:pt>
                <c:pt idx="12">
                  <c:v>2.9262E-2</c:v>
                </c:pt>
                <c:pt idx="13">
                  <c:v>2.3334000000000001E-2</c:v>
                </c:pt>
                <c:pt idx="14">
                  <c:v>1.8481999999999998E-2</c:v>
                </c:pt>
                <c:pt idx="15">
                  <c:v>1.7565999999999998E-2</c:v>
                </c:pt>
                <c:pt idx="16">
                  <c:v>1.6535000000000001E-2</c:v>
                </c:pt>
                <c:pt idx="17">
                  <c:v>1.2581999999999999E-2</c:v>
                </c:pt>
                <c:pt idx="18">
                  <c:v>6.8389999999999996E-3</c:v>
                </c:pt>
                <c:pt idx="19">
                  <c:v>5.4219999999999997E-3</c:v>
                </c:pt>
                <c:pt idx="20">
                  <c:v>3.4510000000000001E-3</c:v>
                </c:pt>
                <c:pt idx="21">
                  <c:v>2.0709999999999999E-3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Retailing</c:v>
                </c:pt>
                <c:pt idx="5">
                  <c:v>Agricultural, Commercial &amp; Construction Vehicles</c:v>
                </c:pt>
                <c:pt idx="6">
                  <c:v>Leisure Services</c:v>
                </c:pt>
                <c:pt idx="7">
                  <c:v>Consumer Durables</c:v>
                </c:pt>
                <c:pt idx="8">
                  <c:v>Industrial Products</c:v>
                </c:pt>
              </c:strCache>
            </c:strRef>
          </c:cat>
          <c:val>
            <c:numRef>
              <c:f>'BANDHAN TLF'!$X$8:$X$16</c:f>
              <c:numCache>
                <c:formatCode>0.00%</c:formatCode>
                <c:ptCount val="9"/>
                <c:pt idx="0">
                  <c:v>0.38901500000000006</c:v>
                </c:pt>
                <c:pt idx="1">
                  <c:v>0.294352</c:v>
                </c:pt>
                <c:pt idx="2">
                  <c:v>9.9381999999999984E-2</c:v>
                </c:pt>
                <c:pt idx="3">
                  <c:v>3.8521E-2</c:v>
                </c:pt>
                <c:pt idx="4">
                  <c:v>3.6861000000000005E-2</c:v>
                </c:pt>
                <c:pt idx="5">
                  <c:v>2.6030000000000001E-2</c:v>
                </c:pt>
                <c:pt idx="6">
                  <c:v>1.3383000000000001E-2</c:v>
                </c:pt>
                <c:pt idx="7">
                  <c:v>1.3136999999999999E-2</c:v>
                </c:pt>
                <c:pt idx="8">
                  <c:v>1.29E-2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0.45785200000000004</c:v>
                </c:pt>
                <c:pt idx="1">
                  <c:v>0.25251000000000001</c:v>
                </c:pt>
                <c:pt idx="2">
                  <c:v>0.115872</c:v>
                </c:pt>
                <c:pt idx="3">
                  <c:v>7.0135000000000003E-2</c:v>
                </c:pt>
                <c:pt idx="4">
                  <c:v>4.6796000000000004E-2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(30th November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INNOV'!$W$8:$W$40</c:f>
              <c:strCache>
                <c:ptCount val="33"/>
                <c:pt idx="0">
                  <c:v>Pharmaceuticals &amp; Biotechnology</c:v>
                </c:pt>
                <c:pt idx="1">
                  <c:v>Retailing</c:v>
                </c:pt>
                <c:pt idx="2">
                  <c:v>Healthcare Services</c:v>
                </c:pt>
                <c:pt idx="3">
                  <c:v>Finance</c:v>
                </c:pt>
                <c:pt idx="4">
                  <c:v>IT - Software</c:v>
                </c:pt>
                <c:pt idx="5">
                  <c:v>Consumer Durables</c:v>
                </c:pt>
                <c:pt idx="6">
                  <c:v>Beverages</c:v>
                </c:pt>
                <c:pt idx="7">
                  <c:v>Electrical Equipment</c:v>
                </c:pt>
                <c:pt idx="8">
                  <c:v>Industrial Manufacturing</c:v>
                </c:pt>
                <c:pt idx="9">
                  <c:v>Financial Technology (Fintech)</c:v>
                </c:pt>
                <c:pt idx="10">
                  <c:v>Chemicals &amp; Petrochemicals</c:v>
                </c:pt>
                <c:pt idx="11">
                  <c:v>Industrial Products</c:v>
                </c:pt>
                <c:pt idx="12">
                  <c:v>Telecom - Services</c:v>
                </c:pt>
                <c:pt idx="13">
                  <c:v>Transport Services</c:v>
                </c:pt>
                <c:pt idx="14">
                  <c:v>IT - Services</c:v>
                </c:pt>
                <c:pt idx="15">
                  <c:v>Capital Markets</c:v>
                </c:pt>
                <c:pt idx="16">
                  <c:v>Automobiles</c:v>
                </c:pt>
                <c:pt idx="17">
                  <c:v>Banks</c:v>
                </c:pt>
                <c:pt idx="18">
                  <c:v>Insurance</c:v>
                </c:pt>
                <c:pt idx="19">
                  <c:v>Auto Components</c:v>
                </c:pt>
                <c:pt idx="20">
                  <c:v>Leisure Services</c:v>
                </c:pt>
                <c:pt idx="21">
                  <c:v>Aerospace &amp; Defense</c:v>
                </c:pt>
                <c:pt idx="22">
                  <c:v>Cement &amp; Cement Products</c:v>
                </c:pt>
                <c:pt idx="23">
                  <c:v>Power</c:v>
                </c:pt>
                <c:pt idx="24">
                  <c:v>IT - Hardware</c:v>
                </c:pt>
                <c:pt idx="25">
                  <c:v>Realty</c:v>
                </c:pt>
                <c:pt idx="26">
                  <c:v>Construction</c:v>
                </c:pt>
                <c:pt idx="27">
                  <c:v>Diversified</c:v>
                </c:pt>
                <c:pt idx="28">
                  <c:v>Commercial Services &amp; Supplies</c:v>
                </c:pt>
                <c:pt idx="29">
                  <c:v>Entertainment</c:v>
                </c:pt>
                <c:pt idx="30">
                  <c:v>Diversified Metals</c:v>
                </c:pt>
                <c:pt idx="31">
                  <c:v>Paper, Forest &amp; Jute Products</c:v>
                </c:pt>
                <c:pt idx="32">
                  <c:v>Petroleum Products</c:v>
                </c:pt>
              </c:strCache>
            </c:strRef>
          </c:cat>
          <c:val>
            <c:numRef>
              <c:f>'BANDHAN INNOV'!$X$8:$X$40</c:f>
              <c:numCache>
                <c:formatCode>0.00%</c:formatCode>
                <c:ptCount val="33"/>
                <c:pt idx="0">
                  <c:v>0.11794300000000002</c:v>
                </c:pt>
                <c:pt idx="1">
                  <c:v>9.8276000000000002E-2</c:v>
                </c:pt>
                <c:pt idx="2">
                  <c:v>5.9900000000000002E-2</c:v>
                </c:pt>
                <c:pt idx="3">
                  <c:v>5.9364E-2</c:v>
                </c:pt>
                <c:pt idx="4">
                  <c:v>5.6902000000000001E-2</c:v>
                </c:pt>
                <c:pt idx="5">
                  <c:v>5.0349999999999999E-2</c:v>
                </c:pt>
                <c:pt idx="6">
                  <c:v>4.752E-2</c:v>
                </c:pt>
                <c:pt idx="7">
                  <c:v>3.5140999999999999E-2</c:v>
                </c:pt>
                <c:pt idx="8">
                  <c:v>3.3832000000000001E-2</c:v>
                </c:pt>
                <c:pt idx="9">
                  <c:v>3.2268999999999999E-2</c:v>
                </c:pt>
                <c:pt idx="10">
                  <c:v>3.0682000000000001E-2</c:v>
                </c:pt>
                <c:pt idx="11">
                  <c:v>2.9755E-2</c:v>
                </c:pt>
                <c:pt idx="12">
                  <c:v>2.7508000000000001E-2</c:v>
                </c:pt>
                <c:pt idx="13">
                  <c:v>2.7463000000000001E-2</c:v>
                </c:pt>
                <c:pt idx="14">
                  <c:v>2.5843999999999999E-2</c:v>
                </c:pt>
                <c:pt idx="15">
                  <c:v>2.4886000000000002E-2</c:v>
                </c:pt>
                <c:pt idx="16">
                  <c:v>2.1330000000000002E-2</c:v>
                </c:pt>
                <c:pt idx="17">
                  <c:v>1.8526999999999998E-2</c:v>
                </c:pt>
                <c:pt idx="18">
                  <c:v>1.5661000000000001E-2</c:v>
                </c:pt>
                <c:pt idx="19">
                  <c:v>1.5259000000000002E-2</c:v>
                </c:pt>
                <c:pt idx="20">
                  <c:v>1.4617E-2</c:v>
                </c:pt>
                <c:pt idx="21">
                  <c:v>1.4020999999999999E-2</c:v>
                </c:pt>
                <c:pt idx="22">
                  <c:v>1.2324000000000002E-2</c:v>
                </c:pt>
                <c:pt idx="23">
                  <c:v>1.1593000000000001E-2</c:v>
                </c:pt>
                <c:pt idx="24">
                  <c:v>1.0723E-2</c:v>
                </c:pt>
                <c:pt idx="25">
                  <c:v>1.0404999999999999E-2</c:v>
                </c:pt>
                <c:pt idx="26">
                  <c:v>1.0314E-2</c:v>
                </c:pt>
                <c:pt idx="27">
                  <c:v>9.3449999999999991E-3</c:v>
                </c:pt>
                <c:pt idx="28">
                  <c:v>9.2510000000000005E-3</c:v>
                </c:pt>
                <c:pt idx="29">
                  <c:v>9.1570000000000002E-3</c:v>
                </c:pt>
                <c:pt idx="30">
                  <c:v>9.0220000000000005E-3</c:v>
                </c:pt>
                <c:pt idx="31">
                  <c:v>6.5030000000000001E-3</c:v>
                </c:pt>
                <c:pt idx="32">
                  <c:v>3.748E-3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CYCLE'!$W$8:$W$40</c:f>
              <c:strCache>
                <c:ptCount val="33"/>
                <c:pt idx="0">
                  <c:v>Finance</c:v>
                </c:pt>
                <c:pt idx="1">
                  <c:v>Banks</c:v>
                </c:pt>
                <c:pt idx="2">
                  <c:v>Construction</c:v>
                </c:pt>
                <c:pt idx="3">
                  <c:v>IT - Software</c:v>
                </c:pt>
                <c:pt idx="4">
                  <c:v>Pharmaceuticals &amp; Biotechnology</c:v>
                </c:pt>
                <c:pt idx="5">
                  <c:v>Power</c:v>
                </c:pt>
                <c:pt idx="6">
                  <c:v>Fertilizers &amp; Agrochemicals</c:v>
                </c:pt>
                <c:pt idx="7">
                  <c:v>Retailing</c:v>
                </c:pt>
                <c:pt idx="8">
                  <c:v>Auto Components</c:v>
                </c:pt>
                <c:pt idx="9">
                  <c:v>Transport Infrastructure</c:v>
                </c:pt>
                <c:pt idx="10">
                  <c:v>Petroleum Products</c:v>
                </c:pt>
                <c:pt idx="11">
                  <c:v>Automobiles</c:v>
                </c:pt>
                <c:pt idx="12">
                  <c:v>Industrial Products</c:v>
                </c:pt>
                <c:pt idx="13">
                  <c:v>Capital Markets</c:v>
                </c:pt>
                <c:pt idx="14">
                  <c:v>Chemicals &amp; Petrochemicals</c:v>
                </c:pt>
                <c:pt idx="15">
                  <c:v>Ferrous Metals</c:v>
                </c:pt>
                <c:pt idx="16">
                  <c:v>Aerospace &amp; Defense</c:v>
                </c:pt>
                <c:pt idx="17">
                  <c:v>Transport Services</c:v>
                </c:pt>
                <c:pt idx="18">
                  <c:v>Industrial Manufacturing</c:v>
                </c:pt>
                <c:pt idx="19">
                  <c:v>Cement &amp; Cement Products</c:v>
                </c:pt>
                <c:pt idx="20">
                  <c:v>Realty</c:v>
                </c:pt>
                <c:pt idx="21">
                  <c:v>Healthcare Services</c:v>
                </c:pt>
                <c:pt idx="22">
                  <c:v>Personal Products</c:v>
                </c:pt>
                <c:pt idx="23">
                  <c:v>IT - Services</c:v>
                </c:pt>
                <c:pt idx="24">
                  <c:v>Agricultural, Commercial &amp; Construction Vehicles</c:v>
                </c:pt>
                <c:pt idx="25">
                  <c:v>Financial Technology (Fintech)</c:v>
                </c:pt>
                <c:pt idx="26">
                  <c:v>Gas</c:v>
                </c:pt>
                <c:pt idx="27">
                  <c:v>Beverages</c:v>
                </c:pt>
                <c:pt idx="28">
                  <c:v>Insurance</c:v>
                </c:pt>
                <c:pt idx="29">
                  <c:v>Electrical Equipment</c:v>
                </c:pt>
                <c:pt idx="30">
                  <c:v>Commercial Services &amp; Supplies</c:v>
                </c:pt>
                <c:pt idx="31">
                  <c:v>Leisure Services</c:v>
                </c:pt>
                <c:pt idx="32">
                  <c:v>Consumer Durables</c:v>
                </c:pt>
              </c:strCache>
            </c:strRef>
          </c:cat>
          <c:val>
            <c:numRef>
              <c:f>'BANDHAN BUSINESS CYCLE'!$X$8:$X$40</c:f>
              <c:numCache>
                <c:formatCode>0.00%</c:formatCode>
                <c:ptCount val="33"/>
                <c:pt idx="0">
                  <c:v>9.9169999999999994E-2</c:v>
                </c:pt>
                <c:pt idx="1">
                  <c:v>9.274700000000001E-2</c:v>
                </c:pt>
                <c:pt idx="2">
                  <c:v>5.9926999999999994E-2</c:v>
                </c:pt>
                <c:pt idx="3">
                  <c:v>5.4420999999999997E-2</c:v>
                </c:pt>
                <c:pt idx="4">
                  <c:v>4.7087000000000004E-2</c:v>
                </c:pt>
                <c:pt idx="5">
                  <c:v>4.2464000000000002E-2</c:v>
                </c:pt>
                <c:pt idx="6">
                  <c:v>3.2936999999999994E-2</c:v>
                </c:pt>
                <c:pt idx="7">
                  <c:v>3.0516000000000001E-2</c:v>
                </c:pt>
                <c:pt idx="8">
                  <c:v>3.0433999999999999E-2</c:v>
                </c:pt>
                <c:pt idx="9">
                  <c:v>2.8056999999999999E-2</c:v>
                </c:pt>
                <c:pt idx="10">
                  <c:v>2.1330000000000002E-2</c:v>
                </c:pt>
                <c:pt idx="11">
                  <c:v>2.0642999999999998E-2</c:v>
                </c:pt>
                <c:pt idx="12">
                  <c:v>2.0205999999999998E-2</c:v>
                </c:pt>
                <c:pt idx="13">
                  <c:v>1.7049999999999999E-2</c:v>
                </c:pt>
                <c:pt idx="14">
                  <c:v>1.6028000000000001E-2</c:v>
                </c:pt>
                <c:pt idx="15">
                  <c:v>1.2812E-2</c:v>
                </c:pt>
                <c:pt idx="16">
                  <c:v>1.2236E-2</c:v>
                </c:pt>
                <c:pt idx="17">
                  <c:v>1.1918E-2</c:v>
                </c:pt>
                <c:pt idx="18">
                  <c:v>1.176E-2</c:v>
                </c:pt>
                <c:pt idx="19">
                  <c:v>1.1401000000000001E-2</c:v>
                </c:pt>
                <c:pt idx="20">
                  <c:v>1.0865E-2</c:v>
                </c:pt>
                <c:pt idx="21">
                  <c:v>9.4450000000000003E-3</c:v>
                </c:pt>
                <c:pt idx="22">
                  <c:v>8.9899999999999997E-3</c:v>
                </c:pt>
                <c:pt idx="23">
                  <c:v>7.3049999999999999E-3</c:v>
                </c:pt>
                <c:pt idx="24">
                  <c:v>6.6819999999999996E-3</c:v>
                </c:pt>
                <c:pt idx="25">
                  <c:v>6.4849999999999994E-3</c:v>
                </c:pt>
                <c:pt idx="26">
                  <c:v>5.5649999999999996E-3</c:v>
                </c:pt>
                <c:pt idx="27">
                  <c:v>5.1149999999999998E-3</c:v>
                </c:pt>
                <c:pt idx="28">
                  <c:v>4.5890000000000002E-3</c:v>
                </c:pt>
                <c:pt idx="29">
                  <c:v>4.4320000000000002E-3</c:v>
                </c:pt>
                <c:pt idx="30">
                  <c:v>3.4889999999999999E-3</c:v>
                </c:pt>
                <c:pt idx="31">
                  <c:v>2.313E-3</c:v>
                </c:pt>
                <c:pt idx="32">
                  <c:v>1.474E-3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'BANDHAN-ELSS'!$W$8:$W$37</c:f>
              <c:strCache>
                <c:ptCount val="30"/>
                <c:pt idx="0">
                  <c:v>Banks</c:v>
                </c:pt>
                <c:pt idx="1">
                  <c:v>IT - Software</c:v>
                </c:pt>
                <c:pt idx="2">
                  <c:v>Pharmaceuticals &amp; Biotechnology</c:v>
                </c:pt>
                <c:pt idx="3">
                  <c:v>Construction</c:v>
                </c:pt>
                <c:pt idx="4">
                  <c:v>Petroleum Products</c:v>
                </c:pt>
                <c:pt idx="5">
                  <c:v>Auto Components</c:v>
                </c:pt>
                <c:pt idx="6">
                  <c:v>Automobiles</c:v>
                </c:pt>
                <c:pt idx="7">
                  <c:v>Power</c:v>
                </c:pt>
                <c:pt idx="8">
                  <c:v>Insurance</c:v>
                </c:pt>
                <c:pt idx="9">
                  <c:v>Finance</c:v>
                </c:pt>
                <c:pt idx="10">
                  <c:v>Ferrous Metals</c:v>
                </c:pt>
                <c:pt idx="11">
                  <c:v>Telecom - Services</c:v>
                </c:pt>
                <c:pt idx="12">
                  <c:v>Beverages</c:v>
                </c:pt>
                <c:pt idx="13">
                  <c:v>Leisure Services</c:v>
                </c:pt>
                <c:pt idx="14">
                  <c:v>Retailing</c:v>
                </c:pt>
                <c:pt idx="15">
                  <c:v>Electrical Equipment</c:v>
                </c:pt>
                <c:pt idx="16">
                  <c:v>Cement &amp; Cement Products</c:v>
                </c:pt>
                <c:pt idx="17">
                  <c:v>Diversified FMCG</c:v>
                </c:pt>
                <c:pt idx="18">
                  <c:v>Food Products</c:v>
                </c:pt>
                <c:pt idx="19">
                  <c:v>Realty</c:v>
                </c:pt>
                <c:pt idx="20">
                  <c:v>Consumer Durables</c:v>
                </c:pt>
                <c:pt idx="21">
                  <c:v>Diversified Metals</c:v>
                </c:pt>
                <c:pt idx="22">
                  <c:v>Personal Products</c:v>
                </c:pt>
                <c:pt idx="23">
                  <c:v>Transport Services</c:v>
                </c:pt>
                <c:pt idx="24">
                  <c:v>Non - Ferrous Metals</c:v>
                </c:pt>
                <c:pt idx="25">
                  <c:v>Fertilizers &amp; Agrochemicals</c:v>
                </c:pt>
                <c:pt idx="26">
                  <c:v>Telecom -  Equipment &amp; Accessories</c:v>
                </c:pt>
                <c:pt idx="27">
                  <c:v>Oil</c:v>
                </c:pt>
                <c:pt idx="28">
                  <c:v>Chemicals &amp; Petrochemicals</c:v>
                </c:pt>
                <c:pt idx="29">
                  <c:v>Industrial Products</c:v>
                </c:pt>
              </c:strCache>
            </c:strRef>
          </c:cat>
          <c:val>
            <c:numRef>
              <c:f>'BANDHAN-ELSS'!$X$8:$X$37</c:f>
              <c:numCache>
                <c:formatCode>0.00%</c:formatCode>
                <c:ptCount val="30"/>
                <c:pt idx="0">
                  <c:v>0.20847100000000002</c:v>
                </c:pt>
                <c:pt idx="1">
                  <c:v>9.6171999999999994E-2</c:v>
                </c:pt>
                <c:pt idx="2">
                  <c:v>8.282500000000001E-2</c:v>
                </c:pt>
                <c:pt idx="3">
                  <c:v>4.9581E-2</c:v>
                </c:pt>
                <c:pt idx="4">
                  <c:v>4.8731999999999998E-2</c:v>
                </c:pt>
                <c:pt idx="5">
                  <c:v>3.5812999999999998E-2</c:v>
                </c:pt>
                <c:pt idx="6">
                  <c:v>3.4680000000000002E-2</c:v>
                </c:pt>
                <c:pt idx="7">
                  <c:v>3.4041000000000002E-2</c:v>
                </c:pt>
                <c:pt idx="8">
                  <c:v>3.3909000000000002E-2</c:v>
                </c:pt>
                <c:pt idx="9">
                  <c:v>2.8650000000000002E-2</c:v>
                </c:pt>
                <c:pt idx="10">
                  <c:v>2.6268E-2</c:v>
                </c:pt>
                <c:pt idx="11">
                  <c:v>2.5961999999999999E-2</c:v>
                </c:pt>
                <c:pt idx="12">
                  <c:v>2.5427999999999999E-2</c:v>
                </c:pt>
                <c:pt idx="13">
                  <c:v>2.4082999999999997E-2</c:v>
                </c:pt>
                <c:pt idx="14">
                  <c:v>2.1833999999999999E-2</c:v>
                </c:pt>
                <c:pt idx="15">
                  <c:v>2.018E-2</c:v>
                </c:pt>
                <c:pt idx="16">
                  <c:v>2.0091999999999999E-2</c:v>
                </c:pt>
                <c:pt idx="17">
                  <c:v>1.7288000000000001E-2</c:v>
                </c:pt>
                <c:pt idx="18">
                  <c:v>1.6566999999999998E-2</c:v>
                </c:pt>
                <c:pt idx="19">
                  <c:v>1.6272999999999999E-2</c:v>
                </c:pt>
                <c:pt idx="20">
                  <c:v>1.5181999999999999E-2</c:v>
                </c:pt>
                <c:pt idx="21">
                  <c:v>1.1183E-2</c:v>
                </c:pt>
                <c:pt idx="22">
                  <c:v>1.0704999999999999E-2</c:v>
                </c:pt>
                <c:pt idx="23">
                  <c:v>9.6830000000000006E-3</c:v>
                </c:pt>
                <c:pt idx="24">
                  <c:v>9.5180000000000004E-3</c:v>
                </c:pt>
                <c:pt idx="25">
                  <c:v>9.0819999999999998E-3</c:v>
                </c:pt>
                <c:pt idx="26">
                  <c:v>8.3820000000000006E-3</c:v>
                </c:pt>
                <c:pt idx="27">
                  <c:v>6.3299999999999997E-3</c:v>
                </c:pt>
                <c:pt idx="28">
                  <c:v>5.934E-3</c:v>
                </c:pt>
                <c:pt idx="29">
                  <c:v>3.5829999999999998E-3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0.71275900000000003</c:v>
                </c:pt>
                <c:pt idx="1">
                  <c:v>0.28724099999999997</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IT - Software</c:v>
                </c:pt>
                <c:pt idx="3">
                  <c:v>Pharmaceuticals &amp; Biotechnology</c:v>
                </c:pt>
                <c:pt idx="4">
                  <c:v>Beverages</c:v>
                </c:pt>
                <c:pt idx="5">
                  <c:v>Finance</c:v>
                </c:pt>
                <c:pt idx="6">
                  <c:v>Healthcare Services</c:v>
                </c:pt>
                <c:pt idx="7">
                  <c:v>Construction</c:v>
                </c:pt>
                <c:pt idx="8">
                  <c:v>Petroleum Products</c:v>
                </c:pt>
                <c:pt idx="9">
                  <c:v>Power</c:v>
                </c:pt>
                <c:pt idx="10">
                  <c:v>Financial Technology (Fintech)</c:v>
                </c:pt>
                <c:pt idx="11">
                  <c:v>Telecom - Services</c:v>
                </c:pt>
                <c:pt idx="12">
                  <c:v>Transport Services</c:v>
                </c:pt>
                <c:pt idx="13">
                  <c:v>Automobiles</c:v>
                </c:pt>
                <c:pt idx="14">
                  <c:v>Auto Components</c:v>
                </c:pt>
                <c:pt idx="15">
                  <c:v>Electrical Equipment</c:v>
                </c:pt>
              </c:strCache>
            </c:strRef>
          </c:cat>
          <c:val>
            <c:numRef>
              <c:f>'BANDHAN BAF'!$X$8:$X$23</c:f>
              <c:numCache>
                <c:formatCode>0.00%</c:formatCode>
                <c:ptCount val="16"/>
                <c:pt idx="0">
                  <c:v>8.1657999999999981E-2</c:v>
                </c:pt>
                <c:pt idx="1">
                  <c:v>5.4011000000000003E-2</c:v>
                </c:pt>
                <c:pt idx="2">
                  <c:v>4.0889000000000009E-2</c:v>
                </c:pt>
                <c:pt idx="3">
                  <c:v>3.0922000000000002E-2</c:v>
                </c:pt>
                <c:pt idx="4">
                  <c:v>2.8603999999999997E-2</c:v>
                </c:pt>
                <c:pt idx="5">
                  <c:v>2.3144999999999999E-2</c:v>
                </c:pt>
                <c:pt idx="6">
                  <c:v>2.2327E-2</c:v>
                </c:pt>
                <c:pt idx="7">
                  <c:v>2.1513999999999998E-2</c:v>
                </c:pt>
                <c:pt idx="8">
                  <c:v>2.0648E-2</c:v>
                </c:pt>
                <c:pt idx="9">
                  <c:v>1.7544000000000001E-2</c:v>
                </c:pt>
                <c:pt idx="10">
                  <c:v>1.4983E-2</c:v>
                </c:pt>
                <c:pt idx="11">
                  <c:v>1.4338000000000004E-2</c:v>
                </c:pt>
                <c:pt idx="12">
                  <c:v>1.3696E-2</c:v>
                </c:pt>
                <c:pt idx="13">
                  <c:v>1.2803999999999994E-2</c:v>
                </c:pt>
                <c:pt idx="14">
                  <c:v>1.2424000000000001E-2</c:v>
                </c:pt>
                <c:pt idx="15">
                  <c:v>1.2416E-2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BAF'!$W$8:$W$42</c:f>
              <c:strCache>
                <c:ptCount val="35"/>
                <c:pt idx="0">
                  <c:v>Banks</c:v>
                </c:pt>
                <c:pt idx="1">
                  <c:v>Retailing</c:v>
                </c:pt>
                <c:pt idx="2">
                  <c:v>IT - Software</c:v>
                </c:pt>
                <c:pt idx="3">
                  <c:v>Pharmaceuticals &amp; Biotechnology</c:v>
                </c:pt>
                <c:pt idx="4">
                  <c:v>Beverages</c:v>
                </c:pt>
                <c:pt idx="5">
                  <c:v>Finance</c:v>
                </c:pt>
                <c:pt idx="6">
                  <c:v>Healthcare Services</c:v>
                </c:pt>
                <c:pt idx="7">
                  <c:v>Construction</c:v>
                </c:pt>
                <c:pt idx="8">
                  <c:v>Petroleum Products</c:v>
                </c:pt>
                <c:pt idx="9">
                  <c:v>Power</c:v>
                </c:pt>
                <c:pt idx="10">
                  <c:v>Financial Technology (Fintech)</c:v>
                </c:pt>
                <c:pt idx="11">
                  <c:v>Telecom - Services</c:v>
                </c:pt>
                <c:pt idx="12">
                  <c:v>Transport Services</c:v>
                </c:pt>
                <c:pt idx="13">
                  <c:v>Automobiles</c:v>
                </c:pt>
                <c:pt idx="14">
                  <c:v>Auto Components</c:v>
                </c:pt>
                <c:pt idx="15">
                  <c:v>Electrical Equipment</c:v>
                </c:pt>
                <c:pt idx="16">
                  <c:v>Realty</c:v>
                </c:pt>
                <c:pt idx="17">
                  <c:v>Diversified Metals</c:v>
                </c:pt>
                <c:pt idx="18">
                  <c:v>Capital Markets</c:v>
                </c:pt>
                <c:pt idx="19">
                  <c:v>Aerospace &amp; Defense</c:v>
                </c:pt>
                <c:pt idx="20">
                  <c:v>Cement &amp; Cement Products</c:v>
                </c:pt>
                <c:pt idx="21">
                  <c:v>Gas</c:v>
                </c:pt>
                <c:pt idx="22">
                  <c:v>Miscellaneous</c:v>
                </c:pt>
                <c:pt idx="23">
                  <c:v>Industrial Manufacturing</c:v>
                </c:pt>
                <c:pt idx="24">
                  <c:v>Leisure Services</c:v>
                </c:pt>
                <c:pt idx="25">
                  <c:v>Minerals &amp; Mining</c:v>
                </c:pt>
                <c:pt idx="26">
                  <c:v>Oil</c:v>
                </c:pt>
                <c:pt idx="27">
                  <c:v>Diversified FMCG</c:v>
                </c:pt>
                <c:pt idx="28">
                  <c:v>Chemicals &amp; Petrochemicals</c:v>
                </c:pt>
                <c:pt idx="29">
                  <c:v>Entertainment</c:v>
                </c:pt>
                <c:pt idx="30">
                  <c:v>Fertilizers &amp; Agrochemicals</c:v>
                </c:pt>
                <c:pt idx="31">
                  <c:v>Consumer Durables</c:v>
                </c:pt>
                <c:pt idx="32">
                  <c:v>Insurance</c:v>
                </c:pt>
                <c:pt idx="33">
                  <c:v>Personal Products</c:v>
                </c:pt>
                <c:pt idx="34">
                  <c:v>Ferrous Metals</c:v>
                </c:pt>
              </c:strCache>
            </c:strRef>
          </c:cat>
          <c:val>
            <c:numRef>
              <c:f>'BANDHAN BAF'!$X$8:$X$42</c:f>
              <c:numCache>
                <c:formatCode>0.00%</c:formatCode>
                <c:ptCount val="35"/>
                <c:pt idx="0">
                  <c:v>8.1657999999999981E-2</c:v>
                </c:pt>
                <c:pt idx="1">
                  <c:v>5.4011000000000003E-2</c:v>
                </c:pt>
                <c:pt idx="2">
                  <c:v>4.0889000000000009E-2</c:v>
                </c:pt>
                <c:pt idx="3">
                  <c:v>3.0922000000000002E-2</c:v>
                </c:pt>
                <c:pt idx="4">
                  <c:v>2.8603999999999997E-2</c:v>
                </c:pt>
                <c:pt idx="5">
                  <c:v>2.3144999999999999E-2</c:v>
                </c:pt>
                <c:pt idx="6">
                  <c:v>2.2327E-2</c:v>
                </c:pt>
                <c:pt idx="7">
                  <c:v>2.1513999999999998E-2</c:v>
                </c:pt>
                <c:pt idx="8">
                  <c:v>2.0648E-2</c:v>
                </c:pt>
                <c:pt idx="9">
                  <c:v>1.7544000000000001E-2</c:v>
                </c:pt>
                <c:pt idx="10">
                  <c:v>1.4983E-2</c:v>
                </c:pt>
                <c:pt idx="11">
                  <c:v>1.4338000000000004E-2</c:v>
                </c:pt>
                <c:pt idx="12">
                  <c:v>1.3696E-2</c:v>
                </c:pt>
                <c:pt idx="13">
                  <c:v>1.2803999999999994E-2</c:v>
                </c:pt>
                <c:pt idx="14">
                  <c:v>1.2424000000000001E-2</c:v>
                </c:pt>
                <c:pt idx="15">
                  <c:v>1.2416E-2</c:v>
                </c:pt>
                <c:pt idx="16">
                  <c:v>1.2275000000000001E-2</c:v>
                </c:pt>
                <c:pt idx="17">
                  <c:v>1.1597E-2</c:v>
                </c:pt>
                <c:pt idx="18">
                  <c:v>9.214E-3</c:v>
                </c:pt>
                <c:pt idx="19">
                  <c:v>6.3010000000000002E-3</c:v>
                </c:pt>
                <c:pt idx="20">
                  <c:v>5.7990000000000003E-3</c:v>
                </c:pt>
                <c:pt idx="21">
                  <c:v>5.241E-3</c:v>
                </c:pt>
                <c:pt idx="22">
                  <c:v>4.8170000000000001E-3</c:v>
                </c:pt>
                <c:pt idx="23">
                  <c:v>4.3109999999999997E-3</c:v>
                </c:pt>
                <c:pt idx="24">
                  <c:v>3.7269999999999998E-3</c:v>
                </c:pt>
                <c:pt idx="25">
                  <c:v>3.408E-3</c:v>
                </c:pt>
                <c:pt idx="26">
                  <c:v>2.81E-3</c:v>
                </c:pt>
                <c:pt idx="27">
                  <c:v>2.7689999999999972E-3</c:v>
                </c:pt>
                <c:pt idx="28">
                  <c:v>1.5629999999999993E-3</c:v>
                </c:pt>
                <c:pt idx="29">
                  <c:v>1.101E-3</c:v>
                </c:pt>
                <c:pt idx="30">
                  <c:v>-2.900000000000038E-5</c:v>
                </c:pt>
                <c:pt idx="31">
                  <c:v>-3.7000000000000574E-5</c:v>
                </c:pt>
                <c:pt idx="32">
                  <c:v>-4.9000000000000432E-5</c:v>
                </c:pt>
                <c:pt idx="33">
                  <c:v>-5.3999999999998494E-5</c:v>
                </c:pt>
                <c:pt idx="34">
                  <c:v>-5.5999999999998759E-5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76983803811924023"/>
                  <c:y val="0.1905654762556673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1.0108290836062307E-2"/>
                  <c:y val="-0.352358192851651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19179120823843213"/>
                  <c:y val="-2.60284736105761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0.10283100000000001</c:v>
                </c:pt>
                <c:pt idx="1">
                  <c:v>9.2163000000000037E-2</c:v>
                </c:pt>
                <c:pt idx="3">
                  <c:v>6.4939999999999998E-2</c:v>
                </c:pt>
                <c:pt idx="5">
                  <c:v>8.2397999999999999E-2</c:v>
                </c:pt>
                <c:pt idx="6">
                  <c:v>6.9286E-2</c:v>
                </c:pt>
                <c:pt idx="7">
                  <c:v>0.56708700000000001</c:v>
                </c:pt>
                <c:pt idx="8">
                  <c:v>2.3800000000000001E-4</c:v>
                </c:pt>
                <c:pt idx="9" formatCode="#0.00%;\(#0.00%\)">
                  <c:v>2.1056999999999999E-2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3.0303252040021291E-2"/>
                  <c:y val="0.116197725387121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6667154488046845E-2"/>
                  <c:y val="2.4318958974615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0.19334100000000001</c:v>
                </c:pt>
                <c:pt idx="1">
                  <c:v>0.22380099999999997</c:v>
                </c:pt>
                <c:pt idx="2">
                  <c:v>0.13866200000000001</c:v>
                </c:pt>
                <c:pt idx="3">
                  <c:v>0.44101699999999999</c:v>
                </c:pt>
                <c:pt idx="5">
                  <c:v>3.179E-3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0.89876899999999993</c:v>
                </c:pt>
                <c:pt idx="1">
                  <c:v>6.7347000000000004E-2</c:v>
                </c:pt>
                <c:pt idx="2">
                  <c:v>3.3883999999999997E-2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0.965225</c:v>
                </c:pt>
                <c:pt idx="1">
                  <c:v>2.7293000000000001E-2</c:v>
                </c:pt>
                <c:pt idx="2">
                  <c:v>7.4819999999999999E-3</c:v>
                </c:pt>
              </c:numCache>
            </c:numRef>
          </c:val>
          <c:extLst>
            <c:ext xmlns:c15="http://schemas.microsoft.com/office/drawing/2012/chart" uri="{02D57815-91ED-43cb-92C2-25804820EDAC}">
              <c15:datalabelsRange>
                <c15:f>('BANDHAN-HEF'!$G$10,'BANDHAN-HEF'!$I$10)</c15:f>
                <c15:dlblRangeCache>
                  <c:ptCount val="2"/>
                  <c:pt idx="0">
                    <c:v>AA Equivalent</c:v>
                  </c:pt>
                  <c:pt idx="1">
                    <c:v>0.75%</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'BANDHAN-HEF'!$J$9:$J$14</c:f>
              <c:strCache>
                <c:ptCount val="6"/>
                <c:pt idx="0">
                  <c:v>Corporate Bond</c:v>
                </c:pt>
                <c:pt idx="1">
                  <c:v>Net Equity</c:v>
                </c:pt>
                <c:pt idx="3">
                  <c:v>Net Current Asset</c:v>
                </c:pt>
                <c:pt idx="4">
                  <c:v>Government Bond</c:v>
                </c:pt>
                <c:pt idx="5">
                  <c:v>State Government Bond</c:v>
                </c:pt>
              </c:strCache>
            </c:strRef>
          </c:cat>
          <c:val>
            <c:numRef>
              <c:f>'BANDHAN-HEF'!$K$9:$K$14</c:f>
              <c:numCache>
                <c:formatCode>0.00%</c:formatCode>
                <c:ptCount val="6"/>
                <c:pt idx="0">
                  <c:v>8.7731000000000003E-2</c:v>
                </c:pt>
                <c:pt idx="1">
                  <c:v>0.75800999999999996</c:v>
                </c:pt>
                <c:pt idx="3">
                  <c:v>4.2009999999999999E-2</c:v>
                </c:pt>
                <c:pt idx="4">
                  <c:v>0.10586</c:v>
                </c:pt>
                <c:pt idx="5">
                  <c:v>6.3889999999999997E-3</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Retailing</c:v>
                </c:pt>
                <c:pt idx="2">
                  <c:v>IT - Software</c:v>
                </c:pt>
                <c:pt idx="3">
                  <c:v>Finance</c:v>
                </c:pt>
                <c:pt idx="4">
                  <c:v>Petroleum Products</c:v>
                </c:pt>
                <c:pt idx="5">
                  <c:v>Automobiles</c:v>
                </c:pt>
                <c:pt idx="6">
                  <c:v>Ferrous Metals</c:v>
                </c:pt>
                <c:pt idx="7">
                  <c:v>Pharmaceuticals &amp; Biotechnology</c:v>
                </c:pt>
                <c:pt idx="8">
                  <c:v>Diversified FMCG</c:v>
                </c:pt>
                <c:pt idx="9">
                  <c:v>Telecom - Services</c:v>
                </c:pt>
                <c:pt idx="10">
                  <c:v>Electrical Equipment</c:v>
                </c:pt>
                <c:pt idx="11">
                  <c:v>Beverages</c:v>
                </c:pt>
                <c:pt idx="12">
                  <c:v>Auto Components</c:v>
                </c:pt>
                <c:pt idx="13">
                  <c:v>Insurance</c:v>
                </c:pt>
                <c:pt idx="14">
                  <c:v>Construction</c:v>
                </c:pt>
                <c:pt idx="15">
                  <c:v>Transport Services</c:v>
                </c:pt>
                <c:pt idx="16">
                  <c:v>Chemicals &amp; Petrochemicals</c:v>
                </c:pt>
                <c:pt idx="17">
                  <c:v>Power</c:v>
                </c:pt>
                <c:pt idx="18">
                  <c:v>Non - Ferrous Metals</c:v>
                </c:pt>
                <c:pt idx="19">
                  <c:v>Consumable Fuels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8.9676999999999979E-2</c:v>
                </c:pt>
                <c:pt idx="1">
                  <c:v>4.1608000000000006E-2</c:v>
                </c:pt>
                <c:pt idx="2">
                  <c:v>3.6403999999999999E-2</c:v>
                </c:pt>
                <c:pt idx="3">
                  <c:v>3.6064999999999993E-2</c:v>
                </c:pt>
                <c:pt idx="4">
                  <c:v>3.0262000000000001E-2</c:v>
                </c:pt>
                <c:pt idx="5">
                  <c:v>2.4502999999999997E-2</c:v>
                </c:pt>
                <c:pt idx="6">
                  <c:v>2.1558000000000001E-2</c:v>
                </c:pt>
                <c:pt idx="7">
                  <c:v>2.0820999999999999E-2</c:v>
                </c:pt>
                <c:pt idx="8">
                  <c:v>2.0667000000000001E-2</c:v>
                </c:pt>
                <c:pt idx="9">
                  <c:v>1.9907999999999995E-2</c:v>
                </c:pt>
                <c:pt idx="10">
                  <c:v>1.7004999999999999E-2</c:v>
                </c:pt>
                <c:pt idx="11">
                  <c:v>1.5386E-2</c:v>
                </c:pt>
                <c:pt idx="12">
                  <c:v>1.4933999999999999E-2</c:v>
                </c:pt>
                <c:pt idx="13">
                  <c:v>1.4484E-2</c:v>
                </c:pt>
                <c:pt idx="14">
                  <c:v>1.414E-2</c:v>
                </c:pt>
                <c:pt idx="15">
                  <c:v>1.3511E-2</c:v>
                </c:pt>
                <c:pt idx="16">
                  <c:v>1.2359E-2</c:v>
                </c:pt>
                <c:pt idx="17">
                  <c:v>1.2137999999999999E-2</c:v>
                </c:pt>
                <c:pt idx="18">
                  <c:v>1.0668E-2</c:v>
                </c:pt>
                <c:pt idx="19">
                  <c:v>1.0357999999999999E-2</c:v>
                </c:pt>
                <c:pt idx="20">
                  <c:v>9.1479999999999999E-3</c:v>
                </c:pt>
                <c:pt idx="21">
                  <c:v>7.6120000000000007E-3</c:v>
                </c:pt>
                <c:pt idx="22">
                  <c:v>6.2189999999999997E-3</c:v>
                </c:pt>
                <c:pt idx="23">
                  <c:v>4.8050000000000002E-3</c:v>
                </c:pt>
                <c:pt idx="24">
                  <c:v>4.7289999999999997E-3</c:v>
                </c:pt>
                <c:pt idx="25">
                  <c:v>2.882E-3</c:v>
                </c:pt>
                <c:pt idx="26">
                  <c:v>1.9319999999999999E-3</c:v>
                </c:pt>
                <c:pt idx="27">
                  <c:v>9.9599999999999992E-4</c:v>
                </c:pt>
                <c:pt idx="28">
                  <c:v>6.7299999999999999E-4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MAF'!$P$7:$P$47</c:f>
              <c:strCache>
                <c:ptCount val="41"/>
                <c:pt idx="0">
                  <c:v>Banks</c:v>
                </c:pt>
                <c:pt idx="1">
                  <c:v>Pharmaceuticals &amp; Biotechnology</c:v>
                </c:pt>
                <c:pt idx="2">
                  <c:v>Finance</c:v>
                </c:pt>
                <c:pt idx="3">
                  <c:v>Retailing</c:v>
                </c:pt>
                <c:pt idx="4">
                  <c:v>IT - Software</c:v>
                </c:pt>
                <c:pt idx="5">
                  <c:v>Petroleum Products</c:v>
                </c:pt>
                <c:pt idx="6">
                  <c:v>Automobiles</c:v>
                </c:pt>
                <c:pt idx="7">
                  <c:v>Consumer Durables</c:v>
                </c:pt>
                <c:pt idx="8">
                  <c:v>Industrial Products</c:v>
                </c:pt>
                <c:pt idx="9">
                  <c:v>Diversified FMCG</c:v>
                </c:pt>
                <c:pt idx="10">
                  <c:v>Electrical Equipment</c:v>
                </c:pt>
                <c:pt idx="11">
                  <c:v>Fertilizers &amp; Agrochemicals</c:v>
                </c:pt>
                <c:pt idx="12">
                  <c:v>Commercial Services &amp; Supplies</c:v>
                </c:pt>
                <c:pt idx="13">
                  <c:v>Construction</c:v>
                </c:pt>
                <c:pt idx="14">
                  <c:v>Insurance</c:v>
                </c:pt>
                <c:pt idx="15">
                  <c:v>Power</c:v>
                </c:pt>
                <c:pt idx="16">
                  <c:v>Realty</c:v>
                </c:pt>
                <c:pt idx="17">
                  <c:v>Cement &amp; Cement Products</c:v>
                </c:pt>
                <c:pt idx="18">
                  <c:v>Auto Components</c:v>
                </c:pt>
                <c:pt idx="19">
                  <c:v>Food Products</c:v>
                </c:pt>
                <c:pt idx="20">
                  <c:v>Leisure Services</c:v>
                </c:pt>
                <c:pt idx="21">
                  <c:v>Ferrous Metals</c:v>
                </c:pt>
                <c:pt idx="22">
                  <c:v>Capital Markets</c:v>
                </c:pt>
                <c:pt idx="23">
                  <c:v>Telecom - Services</c:v>
                </c:pt>
                <c:pt idx="24">
                  <c:v>Healthcare Services</c:v>
                </c:pt>
                <c:pt idx="25">
                  <c:v>Minerals &amp; Mining</c:v>
                </c:pt>
                <c:pt idx="26">
                  <c:v>Agricultural, Commercial &amp; Construction Vehicles</c:v>
                </c:pt>
                <c:pt idx="27">
                  <c:v>Telecom -  Equipment &amp; Accessories</c:v>
                </c:pt>
                <c:pt idx="28">
                  <c:v>Personal Products</c:v>
                </c:pt>
                <c:pt idx="29">
                  <c:v>Textiles &amp; Apparels</c:v>
                </c:pt>
                <c:pt idx="30">
                  <c:v>Transport Services</c:v>
                </c:pt>
                <c:pt idx="31">
                  <c:v>Consumable Fuels</c:v>
                </c:pt>
                <c:pt idx="32">
                  <c:v>Non - Ferrous Metals</c:v>
                </c:pt>
                <c:pt idx="33">
                  <c:v>IT - Services</c:v>
                </c:pt>
                <c:pt idx="34">
                  <c:v>Diversified Metals</c:v>
                </c:pt>
                <c:pt idx="35">
                  <c:v>Diversified</c:v>
                </c:pt>
                <c:pt idx="36">
                  <c:v>Oil</c:v>
                </c:pt>
                <c:pt idx="37">
                  <c:v>Gas</c:v>
                </c:pt>
                <c:pt idx="38">
                  <c:v>Industrial Manufacturing</c:v>
                </c:pt>
                <c:pt idx="39">
                  <c:v>Agricultural Food &amp; other Products</c:v>
                </c:pt>
                <c:pt idx="40">
                  <c:v>IT - Hardware</c:v>
                </c:pt>
              </c:strCache>
            </c:strRef>
          </c:cat>
          <c:val>
            <c:numRef>
              <c:f>'BANDHAN MAF'!$Q$7:$Q$47</c:f>
              <c:numCache>
                <c:formatCode>0.00%</c:formatCode>
                <c:ptCount val="41"/>
                <c:pt idx="0">
                  <c:v>8.4253000000000008E-2</c:v>
                </c:pt>
                <c:pt idx="1">
                  <c:v>3.5318999999999996E-2</c:v>
                </c:pt>
                <c:pt idx="2">
                  <c:v>3.2924000000000002E-2</c:v>
                </c:pt>
                <c:pt idx="3">
                  <c:v>3.0845000000000001E-2</c:v>
                </c:pt>
                <c:pt idx="4">
                  <c:v>2.9240000000000002E-2</c:v>
                </c:pt>
                <c:pt idx="5">
                  <c:v>2.2395999999999999E-2</c:v>
                </c:pt>
                <c:pt idx="6">
                  <c:v>1.9249000000000002E-2</c:v>
                </c:pt>
                <c:pt idx="7">
                  <c:v>1.9216E-2</c:v>
                </c:pt>
                <c:pt idx="8">
                  <c:v>1.8128000000000002E-2</c:v>
                </c:pt>
                <c:pt idx="9">
                  <c:v>1.5709000000000001E-2</c:v>
                </c:pt>
                <c:pt idx="10">
                  <c:v>1.4227E-2</c:v>
                </c:pt>
                <c:pt idx="11">
                  <c:v>1.3892E-2</c:v>
                </c:pt>
                <c:pt idx="12">
                  <c:v>1.3280999999999999E-2</c:v>
                </c:pt>
                <c:pt idx="13">
                  <c:v>1.2334999999999999E-2</c:v>
                </c:pt>
                <c:pt idx="14">
                  <c:v>1.1497E-2</c:v>
                </c:pt>
                <c:pt idx="15">
                  <c:v>1.0467999999999998E-2</c:v>
                </c:pt>
                <c:pt idx="16">
                  <c:v>1.0133999999999999E-2</c:v>
                </c:pt>
                <c:pt idx="17">
                  <c:v>9.1989999999999988E-3</c:v>
                </c:pt>
                <c:pt idx="18">
                  <c:v>9.0870000000000013E-3</c:v>
                </c:pt>
                <c:pt idx="19">
                  <c:v>7.3290000000000004E-3</c:v>
                </c:pt>
                <c:pt idx="20">
                  <c:v>7.2420000000000002E-3</c:v>
                </c:pt>
                <c:pt idx="21">
                  <c:v>6.9639999999999997E-3</c:v>
                </c:pt>
                <c:pt idx="22">
                  <c:v>6.221E-3</c:v>
                </c:pt>
                <c:pt idx="23">
                  <c:v>6.1910000000000003E-3</c:v>
                </c:pt>
                <c:pt idx="24">
                  <c:v>5.6870000000000002E-3</c:v>
                </c:pt>
                <c:pt idx="25">
                  <c:v>5.3449999999999999E-3</c:v>
                </c:pt>
                <c:pt idx="26">
                  <c:v>5.1349999999999998E-3</c:v>
                </c:pt>
                <c:pt idx="27">
                  <c:v>5.0879999999999996E-3</c:v>
                </c:pt>
                <c:pt idx="28">
                  <c:v>4.3740000000000003E-3</c:v>
                </c:pt>
                <c:pt idx="29">
                  <c:v>3.859E-3</c:v>
                </c:pt>
                <c:pt idx="30">
                  <c:v>3.6020000000000002E-3</c:v>
                </c:pt>
                <c:pt idx="31">
                  <c:v>3.4550000000000002E-3</c:v>
                </c:pt>
                <c:pt idx="32">
                  <c:v>2.7180000000000004E-3</c:v>
                </c:pt>
                <c:pt idx="33">
                  <c:v>2.5219999999999999E-3</c:v>
                </c:pt>
                <c:pt idx="34">
                  <c:v>2.5079999999999998E-3</c:v>
                </c:pt>
                <c:pt idx="35">
                  <c:v>2.1419999999999998E-3</c:v>
                </c:pt>
                <c:pt idx="36">
                  <c:v>2.1299999999999999E-3</c:v>
                </c:pt>
                <c:pt idx="37">
                  <c:v>1.763E-3</c:v>
                </c:pt>
                <c:pt idx="38">
                  <c:v>1.5809999999999999E-3</c:v>
                </c:pt>
                <c:pt idx="39">
                  <c:v>1.4270000000000001E-3</c:v>
                </c:pt>
                <c:pt idx="40">
                  <c:v>9.7599999999999998E-4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(30th November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MAF'!$P$7:$P$47</c:f>
              <c:strCache>
                <c:ptCount val="41"/>
                <c:pt idx="0">
                  <c:v>Banks</c:v>
                </c:pt>
                <c:pt idx="1">
                  <c:v>Pharmaceuticals &amp; Biotechnology</c:v>
                </c:pt>
                <c:pt idx="2">
                  <c:v>Finance</c:v>
                </c:pt>
                <c:pt idx="3">
                  <c:v>Retailing</c:v>
                </c:pt>
                <c:pt idx="4">
                  <c:v>IT - Software</c:v>
                </c:pt>
                <c:pt idx="5">
                  <c:v>Petroleum Products</c:v>
                </c:pt>
                <c:pt idx="6">
                  <c:v>Automobiles</c:v>
                </c:pt>
                <c:pt idx="7">
                  <c:v>Consumer Durables</c:v>
                </c:pt>
                <c:pt idx="8">
                  <c:v>Industrial Products</c:v>
                </c:pt>
                <c:pt idx="9">
                  <c:v>Diversified FMCG</c:v>
                </c:pt>
                <c:pt idx="10">
                  <c:v>Electrical Equipment</c:v>
                </c:pt>
                <c:pt idx="11">
                  <c:v>Fertilizers &amp; Agrochemicals</c:v>
                </c:pt>
                <c:pt idx="12">
                  <c:v>Commercial Services &amp; Supplies</c:v>
                </c:pt>
                <c:pt idx="13">
                  <c:v>Construction</c:v>
                </c:pt>
                <c:pt idx="14">
                  <c:v>Insurance</c:v>
                </c:pt>
                <c:pt idx="15">
                  <c:v>Power</c:v>
                </c:pt>
                <c:pt idx="16">
                  <c:v>Realty</c:v>
                </c:pt>
                <c:pt idx="17">
                  <c:v>Cement &amp; Cement Products</c:v>
                </c:pt>
                <c:pt idx="18">
                  <c:v>Auto Components</c:v>
                </c:pt>
                <c:pt idx="19">
                  <c:v>Food Products</c:v>
                </c:pt>
                <c:pt idx="20">
                  <c:v>Leisure Services</c:v>
                </c:pt>
                <c:pt idx="21">
                  <c:v>Ferrous Metals</c:v>
                </c:pt>
                <c:pt idx="22">
                  <c:v>Capital Markets</c:v>
                </c:pt>
                <c:pt idx="23">
                  <c:v>Telecom - Services</c:v>
                </c:pt>
                <c:pt idx="24">
                  <c:v>Healthcare Services</c:v>
                </c:pt>
                <c:pt idx="25">
                  <c:v>Minerals &amp; Mining</c:v>
                </c:pt>
                <c:pt idx="26">
                  <c:v>Agricultural, Commercial &amp; Construction Vehicles</c:v>
                </c:pt>
                <c:pt idx="27">
                  <c:v>Telecom -  Equipment &amp; Accessories</c:v>
                </c:pt>
                <c:pt idx="28">
                  <c:v>Personal Products</c:v>
                </c:pt>
                <c:pt idx="29">
                  <c:v>Textiles &amp; Apparels</c:v>
                </c:pt>
                <c:pt idx="30">
                  <c:v>Transport Services</c:v>
                </c:pt>
                <c:pt idx="31">
                  <c:v>Consumable Fuels</c:v>
                </c:pt>
                <c:pt idx="32">
                  <c:v>Non - Ferrous Metals</c:v>
                </c:pt>
                <c:pt idx="33">
                  <c:v>IT - Services</c:v>
                </c:pt>
                <c:pt idx="34">
                  <c:v>Diversified Metals</c:v>
                </c:pt>
                <c:pt idx="35">
                  <c:v>Diversified</c:v>
                </c:pt>
                <c:pt idx="36">
                  <c:v>Oil</c:v>
                </c:pt>
                <c:pt idx="37">
                  <c:v>Gas</c:v>
                </c:pt>
                <c:pt idx="38">
                  <c:v>Industrial Manufacturing</c:v>
                </c:pt>
                <c:pt idx="39">
                  <c:v>Agricultural Food &amp; other Products</c:v>
                </c:pt>
                <c:pt idx="40">
                  <c:v>IT - Hardware</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0.27889900000000001</c:v>
                </c:pt>
                <c:pt idx="1">
                  <c:v>0.66788800000000004</c:v>
                </c:pt>
                <c:pt idx="2">
                  <c:v>5.3213000000000003E-2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0.48083999999999999</c:v>
                </c:pt>
                <c:pt idx="1">
                  <c:v>0.50049399999999999</c:v>
                </c:pt>
                <c:pt idx="2">
                  <c:v>1.8665999999999999E-2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0.72602900000000004</c:v>
                </c:pt>
                <c:pt idx="1">
                  <c:v>0.24812000000000001</c:v>
                </c:pt>
                <c:pt idx="2">
                  <c:v>2.5851000000000002E-2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Construction</c:v>
                </c:pt>
                <c:pt idx="6">
                  <c:v>Telecom - Services</c:v>
                </c:pt>
                <c:pt idx="7">
                  <c:v>Finance</c:v>
                </c:pt>
                <c:pt idx="8">
                  <c:v>Pharmaceuticals &amp; Biotechnology</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Non - Ferrous Metals</c:v>
                </c:pt>
                <c:pt idx="19">
                  <c:v>Consumable Fuels</c:v>
                </c:pt>
                <c:pt idx="20">
                  <c:v>Transport Infrastructure</c:v>
                </c:pt>
                <c:pt idx="21">
                  <c:v>Healthcare Services</c:v>
                </c:pt>
                <c:pt idx="22">
                  <c:v>Agricultural Food &amp; other Products</c:v>
                </c:pt>
                <c:pt idx="23">
                  <c:v>Metals &amp; Minerals Trading</c:v>
                </c:pt>
              </c:strCache>
            </c:strRef>
          </c:cat>
          <c:val>
            <c:numRef>
              <c:f>'BANDHAN-NIFTY 50 Index'!$X$8:$X$31</c:f>
              <c:numCache>
                <c:formatCode>0.00%</c:formatCode>
                <c:ptCount val="24"/>
                <c:pt idx="0">
                  <c:v>0.30018</c:v>
                </c:pt>
                <c:pt idx="1">
                  <c:v>0.13768799999999998</c:v>
                </c:pt>
                <c:pt idx="2">
                  <c:v>8.6166000000000006E-2</c:v>
                </c:pt>
                <c:pt idx="3">
                  <c:v>7.4384000000000006E-2</c:v>
                </c:pt>
                <c:pt idx="4">
                  <c:v>6.1490999999999997E-2</c:v>
                </c:pt>
                <c:pt idx="5">
                  <c:v>4.0500000000000001E-2</c:v>
                </c:pt>
                <c:pt idx="6">
                  <c:v>4.0281999999999998E-2</c:v>
                </c:pt>
                <c:pt idx="7">
                  <c:v>3.2755999999999993E-2</c:v>
                </c:pt>
                <c:pt idx="8">
                  <c:v>3.2312999999999995E-2</c:v>
                </c:pt>
                <c:pt idx="9">
                  <c:v>2.9689E-2</c:v>
                </c:pt>
                <c:pt idx="10">
                  <c:v>2.2776999999999999E-2</c:v>
                </c:pt>
                <c:pt idx="11">
                  <c:v>2.0764999999999999E-2</c:v>
                </c:pt>
                <c:pt idx="12">
                  <c:v>1.9621E-2</c:v>
                </c:pt>
                <c:pt idx="13">
                  <c:v>1.3944E-2</c:v>
                </c:pt>
                <c:pt idx="14">
                  <c:v>1.2773E-2</c:v>
                </c:pt>
                <c:pt idx="15">
                  <c:v>1.2424000000000001E-2</c:v>
                </c:pt>
                <c:pt idx="16">
                  <c:v>1.0175E-2</c:v>
                </c:pt>
                <c:pt idx="17">
                  <c:v>9.1979999999999996E-3</c:v>
                </c:pt>
                <c:pt idx="18">
                  <c:v>8.8190000000000004E-3</c:v>
                </c:pt>
                <c:pt idx="19">
                  <c:v>8.7240000000000009E-3</c:v>
                </c:pt>
                <c:pt idx="20">
                  <c:v>8.1019999999999998E-3</c:v>
                </c:pt>
                <c:pt idx="21">
                  <c:v>6.3860000000000002E-3</c:v>
                </c:pt>
                <c:pt idx="22">
                  <c:v>5.7600000000000004E-3</c:v>
                </c:pt>
                <c:pt idx="23">
                  <c:v>5.3540000000000003E-3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ETF'!$W$8:$W$22</c:f>
              <c:strCache>
                <c:ptCount val="15"/>
                <c:pt idx="0">
                  <c:v>Banks</c:v>
                </c:pt>
                <c:pt idx="1">
                  <c:v>IT - Software</c:v>
                </c:pt>
                <c:pt idx="2">
                  <c:v>Petroleum Products</c:v>
                </c:pt>
                <c:pt idx="3">
                  <c:v>Diversified FMCG</c:v>
                </c:pt>
                <c:pt idx="4">
                  <c:v>Automobiles</c:v>
                </c:pt>
                <c:pt idx="5">
                  <c:v>Construction</c:v>
                </c:pt>
                <c:pt idx="6">
                  <c:v>Telecom - Services</c:v>
                </c:pt>
                <c:pt idx="7">
                  <c:v>Power</c:v>
                </c:pt>
                <c:pt idx="8">
                  <c:v>Finance</c:v>
                </c:pt>
                <c:pt idx="9">
                  <c:v>Consumer Durables</c:v>
                </c:pt>
                <c:pt idx="10">
                  <c:v>Ferrous Metals</c:v>
                </c:pt>
                <c:pt idx="11">
                  <c:v>Pharmaceuticals &amp; Biotechnology</c:v>
                </c:pt>
                <c:pt idx="12">
                  <c:v>Cement &amp; Cement Products</c:v>
                </c:pt>
                <c:pt idx="13">
                  <c:v>Transport Infrastructure</c:v>
                </c:pt>
                <c:pt idx="14">
                  <c:v>Food Products</c:v>
                </c:pt>
              </c:strCache>
            </c:strRef>
          </c:cat>
          <c:val>
            <c:numRef>
              <c:f>'BANDHAN BSE SENSEX ETF'!$X$8:$X$22</c:f>
              <c:numCache>
                <c:formatCode>0.00%</c:formatCode>
                <c:ptCount val="15"/>
                <c:pt idx="0">
                  <c:v>0.35101999999999994</c:v>
                </c:pt>
                <c:pt idx="1">
                  <c:v>0.15241300000000002</c:v>
                </c:pt>
                <c:pt idx="2">
                  <c:v>9.4715999999999995E-2</c:v>
                </c:pt>
                <c:pt idx="3">
                  <c:v>7.1985000000000007E-2</c:v>
                </c:pt>
                <c:pt idx="4">
                  <c:v>6.4489000000000005E-2</c:v>
                </c:pt>
                <c:pt idx="5">
                  <c:v>4.7258000000000001E-2</c:v>
                </c:pt>
                <c:pt idx="6">
                  <c:v>4.7086000000000003E-2</c:v>
                </c:pt>
                <c:pt idx="7">
                  <c:v>3.4959000000000004E-2</c:v>
                </c:pt>
                <c:pt idx="8">
                  <c:v>2.8930000000000001E-2</c:v>
                </c:pt>
                <c:pt idx="9">
                  <c:v>2.6676999999999999E-2</c:v>
                </c:pt>
                <c:pt idx="10">
                  <c:v>2.2905999999999999E-2</c:v>
                </c:pt>
                <c:pt idx="11">
                  <c:v>2.0826000000000001E-2</c:v>
                </c:pt>
                <c:pt idx="12">
                  <c:v>1.3927E-2</c:v>
                </c:pt>
                <c:pt idx="13">
                  <c:v>9.4680000000000007E-3</c:v>
                </c:pt>
                <c:pt idx="14">
                  <c:v>8.7069999999999995E-3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Construction</c:v>
                </c:pt>
                <c:pt idx="6">
                  <c:v>Telecom - Services</c:v>
                </c:pt>
                <c:pt idx="7">
                  <c:v>Finance</c:v>
                </c:pt>
                <c:pt idx="8">
                  <c:v>Pharmaceuticals &amp; Biotechnology</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Non - Ferrous Metals</c:v>
                </c:pt>
                <c:pt idx="19">
                  <c:v>Consumable Fuels</c:v>
                </c:pt>
                <c:pt idx="20">
                  <c:v>Transport Infrastructure</c:v>
                </c:pt>
                <c:pt idx="21">
                  <c:v>Healthcare Services</c:v>
                </c:pt>
                <c:pt idx="22">
                  <c:v>Agricultural Food &amp; other Products</c:v>
                </c:pt>
                <c:pt idx="23">
                  <c:v>Metals &amp; Minerals Trading</c:v>
                </c:pt>
              </c:strCache>
            </c:strRef>
          </c:cat>
          <c:val>
            <c:numRef>
              <c:f>'BANDHAN- Nifty 50 ETF'!$X$8:$X$31</c:f>
              <c:numCache>
                <c:formatCode>0.00%</c:formatCode>
                <c:ptCount val="24"/>
                <c:pt idx="0">
                  <c:v>0.299238</c:v>
                </c:pt>
                <c:pt idx="1">
                  <c:v>0.13728299999999999</c:v>
                </c:pt>
                <c:pt idx="2">
                  <c:v>8.5907999999999998E-2</c:v>
                </c:pt>
                <c:pt idx="3">
                  <c:v>7.4161999999999992E-2</c:v>
                </c:pt>
                <c:pt idx="4">
                  <c:v>6.1302000000000002E-2</c:v>
                </c:pt>
                <c:pt idx="5">
                  <c:v>4.0377999999999997E-2</c:v>
                </c:pt>
                <c:pt idx="6">
                  <c:v>4.0150999999999999E-2</c:v>
                </c:pt>
                <c:pt idx="7">
                  <c:v>3.2642999999999998E-2</c:v>
                </c:pt>
                <c:pt idx="8">
                  <c:v>3.2218000000000004E-2</c:v>
                </c:pt>
                <c:pt idx="9">
                  <c:v>2.9592E-2</c:v>
                </c:pt>
                <c:pt idx="10">
                  <c:v>2.2710000000000001E-2</c:v>
                </c:pt>
                <c:pt idx="11">
                  <c:v>2.0701999999999998E-2</c:v>
                </c:pt>
                <c:pt idx="12">
                  <c:v>1.9560000000000001E-2</c:v>
                </c:pt>
                <c:pt idx="13">
                  <c:v>1.3865000000000001E-2</c:v>
                </c:pt>
                <c:pt idx="14">
                  <c:v>1.2736000000000001E-2</c:v>
                </c:pt>
                <c:pt idx="15">
                  <c:v>1.2386000000000001E-2</c:v>
                </c:pt>
                <c:pt idx="16">
                  <c:v>1.0146000000000001E-2</c:v>
                </c:pt>
                <c:pt idx="17">
                  <c:v>9.1680000000000008E-3</c:v>
                </c:pt>
                <c:pt idx="18">
                  <c:v>8.7930000000000005E-3</c:v>
                </c:pt>
                <c:pt idx="19">
                  <c:v>8.6990000000000001E-3</c:v>
                </c:pt>
                <c:pt idx="20">
                  <c:v>8.0770000000000008E-3</c:v>
                </c:pt>
                <c:pt idx="21">
                  <c:v>6.3619999999999996E-3</c:v>
                </c:pt>
                <c:pt idx="22">
                  <c:v>5.7419999999999997E-3</c:v>
                </c:pt>
                <c:pt idx="23">
                  <c:v>5.3480000000000003E-3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(30th November 2024)</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Construction</c:v>
                </c:pt>
                <c:pt idx="6">
                  <c:v>Telecom - Services</c:v>
                </c:pt>
                <c:pt idx="7">
                  <c:v>Finance</c:v>
                </c:pt>
                <c:pt idx="8">
                  <c:v>Pharmaceuticals &amp; Biotechnology</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Non - Ferrous Metals</c:v>
                </c:pt>
                <c:pt idx="19">
                  <c:v>Consumable Fuels</c:v>
                </c:pt>
                <c:pt idx="20">
                  <c:v>Transport Infrastructure</c:v>
                </c:pt>
                <c:pt idx="21">
                  <c:v>Healthcare Services</c:v>
                </c:pt>
                <c:pt idx="22">
                  <c:v>Agricultural Food &amp; other Products</c:v>
                </c:pt>
                <c:pt idx="23">
                  <c:v>Metals &amp; Minerals Trading</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Retailing</c:v>
                </c:pt>
                <c:pt idx="9">
                  <c:v>Construction</c:v>
                </c:pt>
                <c:pt idx="10">
                  <c:v>Telecom - Services</c:v>
                </c:pt>
                <c:pt idx="11">
                  <c:v>Cement &amp; Cement Products</c:v>
                </c:pt>
                <c:pt idx="12">
                  <c:v>Consumer Durables</c:v>
                </c:pt>
                <c:pt idx="13">
                  <c:v>Ferrous Metals</c:v>
                </c:pt>
                <c:pt idx="14">
                  <c:v>Insurance</c:v>
                </c:pt>
                <c:pt idx="15">
                  <c:v>Aerospace &amp; Defense</c:v>
                </c:pt>
                <c:pt idx="16">
                  <c:v>Food Products</c:v>
                </c:pt>
                <c:pt idx="17">
                  <c:v>Electrical Equipment</c:v>
                </c:pt>
                <c:pt idx="18">
                  <c:v>Beverages</c:v>
                </c:pt>
                <c:pt idx="19">
                  <c:v>Oil</c:v>
                </c:pt>
                <c:pt idx="20">
                  <c:v>Non - Ferrous Metals</c:v>
                </c:pt>
                <c:pt idx="21">
                  <c:v>Consumable Fuels</c:v>
                </c:pt>
                <c:pt idx="22">
                  <c:v>Transport Infrastructure</c:v>
                </c:pt>
                <c:pt idx="23">
                  <c:v>Realty</c:v>
                </c:pt>
                <c:pt idx="24">
                  <c:v>Personal Products</c:v>
                </c:pt>
                <c:pt idx="25">
                  <c:v>Diversified Metals</c:v>
                </c:pt>
                <c:pt idx="26">
                  <c:v>Gas</c:v>
                </c:pt>
                <c:pt idx="27">
                  <c:v>Auto Components</c:v>
                </c:pt>
                <c:pt idx="28">
                  <c:v>Transport Services</c:v>
                </c:pt>
                <c:pt idx="29">
                  <c:v>Healthcare Services</c:v>
                </c:pt>
                <c:pt idx="30">
                  <c:v>Agricultural Food &amp; other Products</c:v>
                </c:pt>
                <c:pt idx="31">
                  <c:v>Metals &amp; Minerals Trading</c:v>
                </c:pt>
                <c:pt idx="32">
                  <c:v>Chemicals &amp; Petrochemicals</c:v>
                </c:pt>
                <c:pt idx="33">
                  <c:v>Leisure Services</c:v>
                </c:pt>
              </c:strCache>
            </c:strRef>
          </c:cat>
          <c:val>
            <c:numRef>
              <c:f>'BANDHAN-Nifty 100 Index'!$X$8:$X$41</c:f>
              <c:numCache>
                <c:formatCode>0.00%</c:formatCode>
                <c:ptCount val="34"/>
                <c:pt idx="0">
                  <c:v>0.254583</c:v>
                </c:pt>
                <c:pt idx="1">
                  <c:v>0.116413</c:v>
                </c:pt>
                <c:pt idx="2">
                  <c:v>7.4074000000000001E-2</c:v>
                </c:pt>
                <c:pt idx="3">
                  <c:v>6.4870999999999998E-2</c:v>
                </c:pt>
                <c:pt idx="4">
                  <c:v>5.4469999999999998E-2</c:v>
                </c:pt>
                <c:pt idx="5">
                  <c:v>5.0072999999999993E-2</c:v>
                </c:pt>
                <c:pt idx="6">
                  <c:v>4.3529999999999999E-2</c:v>
                </c:pt>
                <c:pt idx="7">
                  <c:v>3.6334999999999999E-2</c:v>
                </c:pt>
                <c:pt idx="8">
                  <c:v>3.3431000000000002E-2</c:v>
                </c:pt>
                <c:pt idx="9">
                  <c:v>3.2981000000000003E-2</c:v>
                </c:pt>
                <c:pt idx="10">
                  <c:v>3.2802999999999999E-2</c:v>
                </c:pt>
                <c:pt idx="11">
                  <c:v>2.1946E-2</c:v>
                </c:pt>
                <c:pt idx="12">
                  <c:v>2.1815000000000001E-2</c:v>
                </c:pt>
                <c:pt idx="13">
                  <c:v>1.8563E-2</c:v>
                </c:pt>
                <c:pt idx="14">
                  <c:v>1.7132000000000001E-2</c:v>
                </c:pt>
                <c:pt idx="15">
                  <c:v>1.468E-2</c:v>
                </c:pt>
                <c:pt idx="16">
                  <c:v>1.04E-2</c:v>
                </c:pt>
                <c:pt idx="17">
                  <c:v>1.0371E-2</c:v>
                </c:pt>
                <c:pt idx="18">
                  <c:v>9.0289999999999988E-3</c:v>
                </c:pt>
                <c:pt idx="19">
                  <c:v>7.4900000000000001E-3</c:v>
                </c:pt>
                <c:pt idx="20">
                  <c:v>7.182E-3</c:v>
                </c:pt>
                <c:pt idx="21">
                  <c:v>7.1040000000000001E-3</c:v>
                </c:pt>
                <c:pt idx="22">
                  <c:v>6.5979999999999997E-3</c:v>
                </c:pt>
                <c:pt idx="23">
                  <c:v>6.5839999999999996E-3</c:v>
                </c:pt>
                <c:pt idx="24">
                  <c:v>5.862E-3</c:v>
                </c:pt>
                <c:pt idx="25">
                  <c:v>5.7819999999999998E-3</c:v>
                </c:pt>
                <c:pt idx="26">
                  <c:v>5.744E-3</c:v>
                </c:pt>
                <c:pt idx="27">
                  <c:v>5.6989999999999992E-3</c:v>
                </c:pt>
                <c:pt idx="28">
                  <c:v>5.6950000000000004E-3</c:v>
                </c:pt>
                <c:pt idx="29">
                  <c:v>5.1989999999999996E-3</c:v>
                </c:pt>
                <c:pt idx="30">
                  <c:v>4.6899999999999997E-3</c:v>
                </c:pt>
                <c:pt idx="31">
                  <c:v>4.3600000000000002E-3</c:v>
                </c:pt>
                <c:pt idx="32">
                  <c:v>3.5279999999999999E-3</c:v>
                </c:pt>
                <c:pt idx="33">
                  <c:v>1.8489999999999999E-3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Electrical Equipment</c:v>
                </c:pt>
                <c:pt idx="2">
                  <c:v>Aerospace &amp; Defense</c:v>
                </c:pt>
                <c:pt idx="3">
                  <c:v>Power</c:v>
                </c:pt>
                <c:pt idx="4">
                  <c:v>Finance</c:v>
                </c:pt>
                <c:pt idx="5">
                  <c:v>Telecom - Services</c:v>
                </c:pt>
                <c:pt idx="6">
                  <c:v>Retailing</c:v>
                </c:pt>
                <c:pt idx="7">
                  <c:v>Auto Components</c:v>
                </c:pt>
                <c:pt idx="8">
                  <c:v>Consumable Fuels</c:v>
                </c:pt>
                <c:pt idx="9">
                  <c:v>Transport Infrastructure</c:v>
                </c:pt>
                <c:pt idx="10">
                  <c:v>Consumer Durables</c:v>
                </c:pt>
                <c:pt idx="11">
                  <c:v>Pharmaceuticals &amp; Biotechnology</c:v>
                </c:pt>
                <c:pt idx="12">
                  <c:v>Industrial Products</c:v>
                </c:pt>
                <c:pt idx="13">
                  <c:v>Diversified Metals</c:v>
                </c:pt>
                <c:pt idx="14">
                  <c:v>Banks</c:v>
                </c:pt>
                <c:pt idx="15">
                  <c:v>IT - Software</c:v>
                </c:pt>
                <c:pt idx="16">
                  <c:v>Minerals &amp; Mining</c:v>
                </c:pt>
                <c:pt idx="17">
                  <c:v>Realty</c:v>
                </c:pt>
              </c:strCache>
            </c:strRef>
          </c:cat>
          <c:val>
            <c:numRef>
              <c:f>'BANDHAN-Nifty200 Mom30 Index'!$X$8:$X$25</c:f>
              <c:numCache>
                <c:formatCode>0.00%</c:formatCode>
                <c:ptCount val="18"/>
                <c:pt idx="0">
                  <c:v>0.168737</c:v>
                </c:pt>
                <c:pt idx="1">
                  <c:v>9.5704999999999998E-2</c:v>
                </c:pt>
                <c:pt idx="2">
                  <c:v>9.3574999999999992E-2</c:v>
                </c:pt>
                <c:pt idx="3">
                  <c:v>8.8133000000000003E-2</c:v>
                </c:pt>
                <c:pt idx="4">
                  <c:v>8.351900000000001E-2</c:v>
                </c:pt>
                <c:pt idx="5">
                  <c:v>7.5292999999999999E-2</c:v>
                </c:pt>
                <c:pt idx="6">
                  <c:v>6.5157999999999994E-2</c:v>
                </c:pt>
                <c:pt idx="7">
                  <c:v>5.2883999999999994E-2</c:v>
                </c:pt>
                <c:pt idx="8">
                  <c:v>4.1880000000000001E-2</c:v>
                </c:pt>
                <c:pt idx="9">
                  <c:v>4.1836999999999999E-2</c:v>
                </c:pt>
                <c:pt idx="10">
                  <c:v>3.7652999999999999E-2</c:v>
                </c:pt>
                <c:pt idx="11">
                  <c:v>3.5771999999999998E-2</c:v>
                </c:pt>
                <c:pt idx="12">
                  <c:v>3.4174000000000003E-2</c:v>
                </c:pt>
                <c:pt idx="13">
                  <c:v>3.2532999999999999E-2</c:v>
                </c:pt>
                <c:pt idx="14">
                  <c:v>1.7926000000000001E-2</c:v>
                </c:pt>
                <c:pt idx="15">
                  <c:v>1.3344999999999999E-2</c:v>
                </c:pt>
                <c:pt idx="16">
                  <c:v>1.2283000000000001E-2</c:v>
                </c:pt>
                <c:pt idx="17">
                  <c:v>8.7299999999999999E-3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IT - Software</c:v>
                </c:pt>
                <c:pt idx="1">
                  <c:v>Pharmaceuticals &amp; Biotechnology</c:v>
                </c:pt>
                <c:pt idx="2">
                  <c:v>Banks</c:v>
                </c:pt>
                <c:pt idx="3">
                  <c:v>Automobiles</c:v>
                </c:pt>
                <c:pt idx="4">
                  <c:v>Diversified FMCG</c:v>
                </c:pt>
                <c:pt idx="5">
                  <c:v>Food Products</c:v>
                </c:pt>
                <c:pt idx="6">
                  <c:v>Consumer Durables</c:v>
                </c:pt>
                <c:pt idx="7">
                  <c:v>Healthcare Services</c:v>
                </c:pt>
                <c:pt idx="8">
                  <c:v>Telecom - Services</c:v>
                </c:pt>
                <c:pt idx="9">
                  <c:v>Petroleum Products</c:v>
                </c:pt>
                <c:pt idx="10">
                  <c:v>Cement &amp; Cement Products</c:v>
                </c:pt>
                <c:pt idx="11">
                  <c:v>Personal Products</c:v>
                </c:pt>
                <c:pt idx="12">
                  <c:v>Auto Components</c:v>
                </c:pt>
                <c:pt idx="13">
                  <c:v>Chemicals &amp; Petrochemicals</c:v>
                </c:pt>
                <c:pt idx="14">
                  <c:v>Finance</c:v>
                </c:pt>
                <c:pt idx="15">
                  <c:v>Construction</c:v>
                </c:pt>
                <c:pt idx="16">
                  <c:v>Insurance</c:v>
                </c:pt>
              </c:strCache>
            </c:strRef>
          </c:cat>
          <c:val>
            <c:numRef>
              <c:f>'BANDHAN NIF100LV30'!$X$8:$X$24</c:f>
              <c:numCache>
                <c:formatCode>0.00%</c:formatCode>
                <c:ptCount val="17"/>
                <c:pt idx="0">
                  <c:v>0.14253100000000002</c:v>
                </c:pt>
                <c:pt idx="1">
                  <c:v>0.13905500000000001</c:v>
                </c:pt>
                <c:pt idx="2">
                  <c:v>0.10960799999999998</c:v>
                </c:pt>
                <c:pt idx="3">
                  <c:v>8.1420999999999993E-2</c:v>
                </c:pt>
                <c:pt idx="4">
                  <c:v>7.7963000000000005E-2</c:v>
                </c:pt>
                <c:pt idx="5">
                  <c:v>6.9068000000000004E-2</c:v>
                </c:pt>
                <c:pt idx="6">
                  <c:v>6.4581E-2</c:v>
                </c:pt>
                <c:pt idx="7">
                  <c:v>3.4465999999999997E-2</c:v>
                </c:pt>
                <c:pt idx="8">
                  <c:v>3.4306999999999997E-2</c:v>
                </c:pt>
                <c:pt idx="9">
                  <c:v>3.2890000000000003E-2</c:v>
                </c:pt>
                <c:pt idx="10">
                  <c:v>3.2856000000000003E-2</c:v>
                </c:pt>
                <c:pt idx="11">
                  <c:v>3.2830999999999999E-2</c:v>
                </c:pt>
                <c:pt idx="12">
                  <c:v>3.1440999999999997E-2</c:v>
                </c:pt>
                <c:pt idx="13">
                  <c:v>3.1289999999999998E-2</c:v>
                </c:pt>
                <c:pt idx="14">
                  <c:v>3.0373000000000001E-2</c:v>
                </c:pt>
                <c:pt idx="15">
                  <c:v>2.8811E-2</c:v>
                </c:pt>
                <c:pt idx="16">
                  <c:v>2.6553E-2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0.98590699999999987</c:v>
                </c:pt>
                <c:pt idx="1">
                  <c:v>1.3893000000000001E-2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Index'!$W$8:$W$32</c:f>
              <c:strCache>
                <c:ptCount val="25"/>
                <c:pt idx="0">
                  <c:v>Electrical Equipment</c:v>
                </c:pt>
                <c:pt idx="1">
                  <c:v>Capital Markets</c:v>
                </c:pt>
                <c:pt idx="2">
                  <c:v>Finance</c:v>
                </c:pt>
                <c:pt idx="3">
                  <c:v>Pharmaceuticals &amp; Biotechnology</c:v>
                </c:pt>
                <c:pt idx="4">
                  <c:v>Construction</c:v>
                </c:pt>
                <c:pt idx="5">
                  <c:v>Retailing</c:v>
                </c:pt>
                <c:pt idx="6">
                  <c:v>Consumer Durables</c:v>
                </c:pt>
                <c:pt idx="7">
                  <c:v>Aerospace &amp; Defense</c:v>
                </c:pt>
                <c:pt idx="8">
                  <c:v>Realty</c:v>
                </c:pt>
                <c:pt idx="9">
                  <c:v>Power</c:v>
                </c:pt>
                <c:pt idx="10">
                  <c:v>Industrial Manufacturing</c:v>
                </c:pt>
                <c:pt idx="11">
                  <c:v>Automobiles</c:v>
                </c:pt>
                <c:pt idx="12">
                  <c:v>Oil</c:v>
                </c:pt>
                <c:pt idx="13">
                  <c:v>IT - Software</c:v>
                </c:pt>
                <c:pt idx="14">
                  <c:v>Industrial Products</c:v>
                </c:pt>
                <c:pt idx="15">
                  <c:v>Financial Technology (Fintech)</c:v>
                </c:pt>
                <c:pt idx="16">
                  <c:v>Paper, Forest &amp; Jute Products</c:v>
                </c:pt>
                <c:pt idx="17">
                  <c:v>Chemicals &amp; Petrochemicals</c:v>
                </c:pt>
                <c:pt idx="18">
                  <c:v>Auto Components</c:v>
                </c:pt>
                <c:pt idx="19">
                  <c:v>Telecom - Services</c:v>
                </c:pt>
                <c:pt idx="20">
                  <c:v>Petroleum Products</c:v>
                </c:pt>
                <c:pt idx="21">
                  <c:v>Personal Products</c:v>
                </c:pt>
                <c:pt idx="22">
                  <c:v>Beverages</c:v>
                </c:pt>
                <c:pt idx="23">
                  <c:v>Ferrous Metals</c:v>
                </c:pt>
                <c:pt idx="24">
                  <c:v>Non - Ferrous Metals</c:v>
                </c:pt>
              </c:strCache>
            </c:strRef>
          </c:cat>
          <c:val>
            <c:numRef>
              <c:f>'Bandhan Nifty Alpha 50 Index'!$X$8:$X$32</c:f>
              <c:numCache>
                <c:formatCode>0.00%</c:formatCode>
                <c:ptCount val="25"/>
                <c:pt idx="0">
                  <c:v>0.11628000000000001</c:v>
                </c:pt>
                <c:pt idx="1">
                  <c:v>8.9983999999999995E-2</c:v>
                </c:pt>
                <c:pt idx="2">
                  <c:v>8.7008000000000002E-2</c:v>
                </c:pt>
                <c:pt idx="3">
                  <c:v>6.6806000000000004E-2</c:v>
                </c:pt>
                <c:pt idx="4">
                  <c:v>6.2448000000000004E-2</c:v>
                </c:pt>
                <c:pt idx="5">
                  <c:v>6.0961000000000001E-2</c:v>
                </c:pt>
                <c:pt idx="6">
                  <c:v>5.2660999999999999E-2</c:v>
                </c:pt>
                <c:pt idx="7">
                  <c:v>5.2612000000000006E-2</c:v>
                </c:pt>
                <c:pt idx="8">
                  <c:v>5.0534999999999997E-2</c:v>
                </c:pt>
                <c:pt idx="9">
                  <c:v>4.4511999999999996E-2</c:v>
                </c:pt>
                <c:pt idx="10">
                  <c:v>3.6207000000000003E-2</c:v>
                </c:pt>
                <c:pt idx="11">
                  <c:v>3.4241999999999995E-2</c:v>
                </c:pt>
                <c:pt idx="12">
                  <c:v>3.3902000000000002E-2</c:v>
                </c:pt>
                <c:pt idx="13">
                  <c:v>2.7857E-2</c:v>
                </c:pt>
                <c:pt idx="14">
                  <c:v>2.7437E-2</c:v>
                </c:pt>
                <c:pt idx="15">
                  <c:v>2.4625999999999999E-2</c:v>
                </c:pt>
                <c:pt idx="16">
                  <c:v>1.8994E-2</c:v>
                </c:pt>
                <c:pt idx="17">
                  <c:v>1.8107999999999999E-2</c:v>
                </c:pt>
                <c:pt idx="18">
                  <c:v>1.8095E-2</c:v>
                </c:pt>
                <c:pt idx="19">
                  <c:v>1.8079000000000001E-2</c:v>
                </c:pt>
                <c:pt idx="20">
                  <c:v>1.78E-2</c:v>
                </c:pt>
                <c:pt idx="21">
                  <c:v>1.4758E-2</c:v>
                </c:pt>
                <c:pt idx="22">
                  <c:v>1.1426E-2</c:v>
                </c:pt>
                <c:pt idx="23">
                  <c:v>8.6569999999999998E-3</c:v>
                </c:pt>
                <c:pt idx="24">
                  <c:v>5.9189999999999998E-3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'!$W$8:$W$53</c:f>
              <c:strCache>
                <c:ptCount val="46"/>
                <c:pt idx="0">
                  <c:v>Capital Markets</c:v>
                </c:pt>
                <c:pt idx="1">
                  <c:v>Pharmaceuticals &amp; Biotechnology</c:v>
                </c:pt>
                <c:pt idx="2">
                  <c:v>Finance</c:v>
                </c:pt>
                <c:pt idx="3">
                  <c:v>Consumer Durables</c:v>
                </c:pt>
                <c:pt idx="4">
                  <c:v>Industrial Products</c:v>
                </c:pt>
                <c:pt idx="5">
                  <c:v>Chemicals &amp; Petrochemicals</c:v>
                </c:pt>
                <c:pt idx="6">
                  <c:v>Construction</c:v>
                </c:pt>
                <c:pt idx="7">
                  <c:v>Auto Components</c:v>
                </c:pt>
                <c:pt idx="8">
                  <c:v>Healthcare Services</c:v>
                </c:pt>
                <c:pt idx="9">
                  <c:v>IT - Software</c:v>
                </c:pt>
                <c:pt idx="10">
                  <c:v>Banks</c:v>
                </c:pt>
                <c:pt idx="11">
                  <c:v>Industrial Manufacturing</c:v>
                </c:pt>
                <c:pt idx="12">
                  <c:v>Electrical Equipment</c:v>
                </c:pt>
                <c:pt idx="13">
                  <c:v>Realty</c:v>
                </c:pt>
                <c:pt idx="14">
                  <c:v>Leisure Services</c:v>
                </c:pt>
                <c:pt idx="15">
                  <c:v>Commercial Services &amp; Supplies</c:v>
                </c:pt>
                <c:pt idx="16">
                  <c:v>Entertainment</c:v>
                </c:pt>
                <c:pt idx="17">
                  <c:v>Non - Ferrous Metals</c:v>
                </c:pt>
                <c:pt idx="18">
                  <c:v>Fertilizers &amp; Agrochemicals</c:v>
                </c:pt>
                <c:pt idx="19">
                  <c:v>IT - Services</c:v>
                </c:pt>
                <c:pt idx="20">
                  <c:v>Cement &amp; Cement Products</c:v>
                </c:pt>
                <c:pt idx="21">
                  <c:v>Gas</c:v>
                </c:pt>
                <c:pt idx="22">
                  <c:v>Transport Services</c:v>
                </c:pt>
                <c:pt idx="23">
                  <c:v>Agricultural Food &amp; other Products</c:v>
                </c:pt>
                <c:pt idx="24">
                  <c:v>Telecom - Services</c:v>
                </c:pt>
                <c:pt idx="25">
                  <c:v>Retailing</c:v>
                </c:pt>
                <c:pt idx="26">
                  <c:v>Power</c:v>
                </c:pt>
                <c:pt idx="27">
                  <c:v>Beverages</c:v>
                </c:pt>
                <c:pt idx="28">
                  <c:v>Textiles &amp; Apparels</c:v>
                </c:pt>
                <c:pt idx="29">
                  <c:v>Paper, Forest &amp; Jute Products</c:v>
                </c:pt>
                <c:pt idx="30">
                  <c:v>Food Products</c:v>
                </c:pt>
                <c:pt idx="31">
                  <c:v>Agricultural, Commercial &amp; Construction Vehicles</c:v>
                </c:pt>
                <c:pt idx="32">
                  <c:v>Telecom -  Equipment &amp; Accessories</c:v>
                </c:pt>
                <c:pt idx="33">
                  <c:v>Petroleum Products</c:v>
                </c:pt>
                <c:pt idx="34">
                  <c:v>Aerospace &amp; Defense</c:v>
                </c:pt>
                <c:pt idx="35">
                  <c:v>Personal Products</c:v>
                </c:pt>
                <c:pt idx="36">
                  <c:v>Healthcare Equipment &amp; Supplies</c:v>
                </c:pt>
                <c:pt idx="37">
                  <c:v>Household Products</c:v>
                </c:pt>
                <c:pt idx="38">
                  <c:v>Diversified</c:v>
                </c:pt>
                <c:pt idx="39">
                  <c:v>Cigarettes &amp; Tobacco Products</c:v>
                </c:pt>
                <c:pt idx="40">
                  <c:v>Automobiles</c:v>
                </c:pt>
                <c:pt idx="41">
                  <c:v>Insurance</c:v>
                </c:pt>
                <c:pt idx="42">
                  <c:v>Ferrous Metals</c:v>
                </c:pt>
                <c:pt idx="43">
                  <c:v>Transport Infrastructure</c:v>
                </c:pt>
                <c:pt idx="44">
                  <c:v>Minerals &amp; Mining</c:v>
                </c:pt>
                <c:pt idx="45">
                  <c:v>Minerals &amp; Mining</c:v>
                </c:pt>
              </c:strCache>
            </c:strRef>
          </c:cat>
          <c:val>
            <c:numRef>
              <c:f>'Bandhan Nifty Smallcap 250 '!$X$8:$X$53</c:f>
              <c:numCache>
                <c:formatCode>0.00%</c:formatCode>
                <c:ptCount val="46"/>
                <c:pt idx="0">
                  <c:v>0.101398</c:v>
                </c:pt>
                <c:pt idx="1">
                  <c:v>8.7625999999999996E-2</c:v>
                </c:pt>
                <c:pt idx="2">
                  <c:v>6.7976999999999996E-2</c:v>
                </c:pt>
                <c:pt idx="3">
                  <c:v>6.5910999999999997E-2</c:v>
                </c:pt>
                <c:pt idx="4">
                  <c:v>6.1824999999999984E-2</c:v>
                </c:pt>
                <c:pt idx="5">
                  <c:v>5.4373999999999992E-2</c:v>
                </c:pt>
                <c:pt idx="6">
                  <c:v>4.7406999999999991E-2</c:v>
                </c:pt>
                <c:pt idx="7">
                  <c:v>3.8101999999999997E-2</c:v>
                </c:pt>
                <c:pt idx="8">
                  <c:v>3.4630000000000008E-2</c:v>
                </c:pt>
                <c:pt idx="9">
                  <c:v>3.4140000000000004E-2</c:v>
                </c:pt>
                <c:pt idx="10">
                  <c:v>3.3551000000000004E-2</c:v>
                </c:pt>
                <c:pt idx="11">
                  <c:v>2.8591999999999996E-2</c:v>
                </c:pt>
                <c:pt idx="12">
                  <c:v>2.8021999999999998E-2</c:v>
                </c:pt>
                <c:pt idx="13">
                  <c:v>2.6005E-2</c:v>
                </c:pt>
                <c:pt idx="14">
                  <c:v>2.5254000000000006E-2</c:v>
                </c:pt>
                <c:pt idx="15">
                  <c:v>1.8945E-2</c:v>
                </c:pt>
                <c:pt idx="16">
                  <c:v>1.6586E-2</c:v>
                </c:pt>
                <c:pt idx="17">
                  <c:v>1.5998999999999999E-2</c:v>
                </c:pt>
                <c:pt idx="18">
                  <c:v>1.5989E-2</c:v>
                </c:pt>
                <c:pt idx="19">
                  <c:v>1.5467E-2</c:v>
                </c:pt>
                <c:pt idx="20">
                  <c:v>1.5273999999999999E-2</c:v>
                </c:pt>
                <c:pt idx="21">
                  <c:v>1.4763E-2</c:v>
                </c:pt>
                <c:pt idx="22">
                  <c:v>1.133E-2</c:v>
                </c:pt>
                <c:pt idx="23">
                  <c:v>1.0879E-2</c:v>
                </c:pt>
                <c:pt idx="24">
                  <c:v>1.0742E-2</c:v>
                </c:pt>
                <c:pt idx="25">
                  <c:v>1.0711999999999999E-2</c:v>
                </c:pt>
                <c:pt idx="26">
                  <c:v>1.0281E-2</c:v>
                </c:pt>
                <c:pt idx="27">
                  <c:v>9.9889999999999996E-3</c:v>
                </c:pt>
                <c:pt idx="28">
                  <c:v>8.1989999999999997E-3</c:v>
                </c:pt>
                <c:pt idx="29">
                  <c:v>7.4840000000000002E-3</c:v>
                </c:pt>
                <c:pt idx="30">
                  <c:v>7.254E-3</c:v>
                </c:pt>
                <c:pt idx="31">
                  <c:v>7.0159999999999997E-3</c:v>
                </c:pt>
                <c:pt idx="32">
                  <c:v>6.6769999999999998E-3</c:v>
                </c:pt>
                <c:pt idx="33">
                  <c:v>6.62E-3</c:v>
                </c:pt>
                <c:pt idx="34">
                  <c:v>6.4120000000000002E-3</c:v>
                </c:pt>
                <c:pt idx="35">
                  <c:v>5.7219999999999997E-3</c:v>
                </c:pt>
                <c:pt idx="36">
                  <c:v>5.4999999999999997E-3</c:v>
                </c:pt>
                <c:pt idx="37">
                  <c:v>5.3480000000000003E-3</c:v>
                </c:pt>
                <c:pt idx="38">
                  <c:v>4.385E-3</c:v>
                </c:pt>
                <c:pt idx="39">
                  <c:v>4.0140000000000002E-3</c:v>
                </c:pt>
                <c:pt idx="40">
                  <c:v>3.395E-3</c:v>
                </c:pt>
                <c:pt idx="41">
                  <c:v>3.215E-3</c:v>
                </c:pt>
                <c:pt idx="42">
                  <c:v>2.7539999999999999E-3</c:v>
                </c:pt>
                <c:pt idx="43">
                  <c:v>2.6459999999999999E-3</c:v>
                </c:pt>
                <c:pt idx="44">
                  <c:v>1.485E-3</c:v>
                </c:pt>
                <c:pt idx="45">
                  <c:v>1.603E-3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'!$W$8:$W$61</c:f>
              <c:strCache>
                <c:ptCount val="54"/>
                <c:pt idx="0">
                  <c:v>Banks</c:v>
                </c:pt>
                <c:pt idx="1">
                  <c:v>IT - Software</c:v>
                </c:pt>
                <c:pt idx="2">
                  <c:v>Finance</c:v>
                </c:pt>
                <c:pt idx="3">
                  <c:v>Petroleum Products</c:v>
                </c:pt>
                <c:pt idx="4">
                  <c:v>Pharmaceuticals &amp; Biotechnology</c:v>
                </c:pt>
                <c:pt idx="5">
                  <c:v>Automobiles</c:v>
                </c:pt>
                <c:pt idx="6">
                  <c:v>Diversified FMCG</c:v>
                </c:pt>
                <c:pt idx="7">
                  <c:v>Power</c:v>
                </c:pt>
                <c:pt idx="8">
                  <c:v>Construction</c:v>
                </c:pt>
                <c:pt idx="9">
                  <c:v>Consumer Durables</c:v>
                </c:pt>
                <c:pt idx="10">
                  <c:v>Telecom - Services</c:v>
                </c:pt>
                <c:pt idx="11">
                  <c:v>Retailing</c:v>
                </c:pt>
                <c:pt idx="12">
                  <c:v>Auto Components</c:v>
                </c:pt>
                <c:pt idx="13">
                  <c:v>Industrial Products</c:v>
                </c:pt>
                <c:pt idx="14">
                  <c:v>Cement &amp; Cement Products</c:v>
                </c:pt>
                <c:pt idx="15">
                  <c:v>Electrical Equipment</c:v>
                </c:pt>
                <c:pt idx="16">
                  <c:v>Capital Markets</c:v>
                </c:pt>
                <c:pt idx="17">
                  <c:v>Ferrous Metals</c:v>
                </c:pt>
                <c:pt idx="18">
                  <c:v>Chemicals &amp; Petrochemicals</c:v>
                </c:pt>
                <c:pt idx="19">
                  <c:v>Insurance</c:v>
                </c:pt>
                <c:pt idx="20">
                  <c:v>Healthcare Services</c:v>
                </c:pt>
                <c:pt idx="21">
                  <c:v>Realty</c:v>
                </c:pt>
                <c:pt idx="22">
                  <c:v>Aerospace &amp; Defense</c:v>
                </c:pt>
                <c:pt idx="23">
                  <c:v>Leisure Services</c:v>
                </c:pt>
                <c:pt idx="24">
                  <c:v>Food Products</c:v>
                </c:pt>
                <c:pt idx="25">
                  <c:v>Beverages</c:v>
                </c:pt>
                <c:pt idx="26">
                  <c:v>Personal Products</c:v>
                </c:pt>
                <c:pt idx="27">
                  <c:v>Agricultural Food &amp; other Products</c:v>
                </c:pt>
                <c:pt idx="28">
                  <c:v>Gas</c:v>
                </c:pt>
                <c:pt idx="29">
                  <c:v>Transport Services</c:v>
                </c:pt>
                <c:pt idx="30">
                  <c:v>Non - Ferrous Metals</c:v>
                </c:pt>
                <c:pt idx="31">
                  <c:v>Fertilizers &amp; Agrochemicals</c:v>
                </c:pt>
                <c:pt idx="32">
                  <c:v>Transport Infrastructure</c:v>
                </c:pt>
                <c:pt idx="33">
                  <c:v>Oil</c:v>
                </c:pt>
                <c:pt idx="34">
                  <c:v>Industrial Manufacturing</c:v>
                </c:pt>
                <c:pt idx="35">
                  <c:v>Consumable Fuels</c:v>
                </c:pt>
                <c:pt idx="36">
                  <c:v>Financial Technology (Fintech)</c:v>
                </c:pt>
                <c:pt idx="37">
                  <c:v>Diversified Metals</c:v>
                </c:pt>
                <c:pt idx="38">
                  <c:v>Textiles &amp; Apparels</c:v>
                </c:pt>
                <c:pt idx="39">
                  <c:v>IT - Services</c:v>
                </c:pt>
                <c:pt idx="40">
                  <c:v>Agricultural, Commercial &amp; Construction Vehicles</c:v>
                </c:pt>
                <c:pt idx="41">
                  <c:v>Metals &amp; Minerals Trading</c:v>
                </c:pt>
                <c:pt idx="42">
                  <c:v>Commercial Services &amp; Supplies</c:v>
                </c:pt>
                <c:pt idx="43">
                  <c:v>Entertainment</c:v>
                </c:pt>
                <c:pt idx="44">
                  <c:v>Minerals &amp; Mining</c:v>
                </c:pt>
                <c:pt idx="45">
                  <c:v>Diversified</c:v>
                </c:pt>
                <c:pt idx="46">
                  <c:v>Paper, Forest &amp; Jute Products</c:v>
                </c:pt>
                <c:pt idx="47">
                  <c:v>Telecom -  Equipment &amp; Accessories</c:v>
                </c:pt>
                <c:pt idx="48">
                  <c:v>Other Utilities</c:v>
                </c:pt>
                <c:pt idx="49">
                  <c:v>Household Products</c:v>
                </c:pt>
                <c:pt idx="50">
                  <c:v>Healthcare Equipment &amp; Supplies</c:v>
                </c:pt>
                <c:pt idx="51">
                  <c:v>Cigarettes &amp; Tobacco Products</c:v>
                </c:pt>
                <c:pt idx="52">
                  <c:v>Other Consumer Services</c:v>
                </c:pt>
                <c:pt idx="53">
                  <c:v>Media</c:v>
                </c:pt>
              </c:strCache>
            </c:strRef>
          </c:cat>
          <c:val>
            <c:numRef>
              <c:f>'Bandhan Nifty Total Market '!$X$8:$X$61</c:f>
              <c:numCache>
                <c:formatCode>0.00%</c:formatCode>
                <c:ptCount val="54"/>
                <c:pt idx="0">
                  <c:v>0.19130799999999992</c:v>
                </c:pt>
                <c:pt idx="1">
                  <c:v>9.5340999999999981E-2</c:v>
                </c:pt>
                <c:pt idx="2">
                  <c:v>5.5377000000000003E-2</c:v>
                </c:pt>
                <c:pt idx="3">
                  <c:v>5.3741999999999998E-2</c:v>
                </c:pt>
                <c:pt idx="4">
                  <c:v>4.9645000000000002E-2</c:v>
                </c:pt>
                <c:pt idx="5">
                  <c:v>4.5155000000000001E-2</c:v>
                </c:pt>
                <c:pt idx="6">
                  <c:v>3.4511E-2</c:v>
                </c:pt>
                <c:pt idx="7">
                  <c:v>3.4112999999999997E-2</c:v>
                </c:pt>
                <c:pt idx="8">
                  <c:v>3.1339999999999993E-2</c:v>
                </c:pt>
                <c:pt idx="9">
                  <c:v>3.1259999999999996E-2</c:v>
                </c:pt>
                <c:pt idx="10">
                  <c:v>2.8349000000000003E-2</c:v>
                </c:pt>
                <c:pt idx="11">
                  <c:v>2.7140999999999998E-2</c:v>
                </c:pt>
                <c:pt idx="12">
                  <c:v>2.3060999999999998E-2</c:v>
                </c:pt>
                <c:pt idx="13">
                  <c:v>2.2121000000000005E-2</c:v>
                </c:pt>
                <c:pt idx="14">
                  <c:v>1.9629999999999998E-2</c:v>
                </c:pt>
                <c:pt idx="15">
                  <c:v>1.8762999999999998E-2</c:v>
                </c:pt>
                <c:pt idx="16">
                  <c:v>1.6690000000000003E-2</c:v>
                </c:pt>
                <c:pt idx="17">
                  <c:v>1.6419999999999997E-2</c:v>
                </c:pt>
                <c:pt idx="18">
                  <c:v>1.6359000000000002E-2</c:v>
                </c:pt>
                <c:pt idx="19">
                  <c:v>1.4943E-2</c:v>
                </c:pt>
                <c:pt idx="20">
                  <c:v>1.4362999999999999E-2</c:v>
                </c:pt>
                <c:pt idx="21">
                  <c:v>1.3911999999999999E-2</c:v>
                </c:pt>
                <c:pt idx="22">
                  <c:v>1.2540000000000001E-2</c:v>
                </c:pt>
                <c:pt idx="23">
                  <c:v>9.6869999999999994E-3</c:v>
                </c:pt>
                <c:pt idx="24">
                  <c:v>8.634000000000001E-3</c:v>
                </c:pt>
                <c:pt idx="25">
                  <c:v>8.3099999999999997E-3</c:v>
                </c:pt>
                <c:pt idx="26">
                  <c:v>8.1579999999999986E-3</c:v>
                </c:pt>
                <c:pt idx="27">
                  <c:v>7.9039999999999996E-3</c:v>
                </c:pt>
                <c:pt idx="28">
                  <c:v>7.7629999999999999E-3</c:v>
                </c:pt>
                <c:pt idx="29">
                  <c:v>7.3670000000000003E-3</c:v>
                </c:pt>
                <c:pt idx="30">
                  <c:v>7.3010000000000002E-3</c:v>
                </c:pt>
                <c:pt idx="31">
                  <c:v>7.123E-3</c:v>
                </c:pt>
                <c:pt idx="32">
                  <c:v>6.801999999999999E-3</c:v>
                </c:pt>
                <c:pt idx="33">
                  <c:v>6.6270000000000001E-3</c:v>
                </c:pt>
                <c:pt idx="34">
                  <c:v>6.1719999999999995E-3</c:v>
                </c:pt>
                <c:pt idx="35">
                  <c:v>4.9909999999999998E-3</c:v>
                </c:pt>
                <c:pt idx="36">
                  <c:v>4.8920000000000005E-3</c:v>
                </c:pt>
                <c:pt idx="37">
                  <c:v>3.9740000000000001E-3</c:v>
                </c:pt>
                <c:pt idx="38">
                  <c:v>3.6020000000000006E-3</c:v>
                </c:pt>
                <c:pt idx="39">
                  <c:v>3.1839999999999998E-3</c:v>
                </c:pt>
                <c:pt idx="40">
                  <c:v>3.0999999999999999E-3</c:v>
                </c:pt>
                <c:pt idx="41">
                  <c:v>2.9970000000000001E-3</c:v>
                </c:pt>
                <c:pt idx="42">
                  <c:v>2.7339999999999999E-3</c:v>
                </c:pt>
                <c:pt idx="43">
                  <c:v>2.5339999999999998E-3</c:v>
                </c:pt>
                <c:pt idx="44">
                  <c:v>2.036E-3</c:v>
                </c:pt>
                <c:pt idx="45">
                  <c:v>1.6640000000000001E-3</c:v>
                </c:pt>
                <c:pt idx="46">
                  <c:v>9.9700000000000006E-4</c:v>
                </c:pt>
                <c:pt idx="47">
                  <c:v>9.0100000000000011E-4</c:v>
                </c:pt>
                <c:pt idx="48">
                  <c:v>8.5000000000000006E-4</c:v>
                </c:pt>
                <c:pt idx="49">
                  <c:v>6.0899999999999995E-4</c:v>
                </c:pt>
                <c:pt idx="50">
                  <c:v>5.44E-4</c:v>
                </c:pt>
                <c:pt idx="51">
                  <c:v>4.8299999999999998E-4</c:v>
                </c:pt>
                <c:pt idx="52">
                  <c:v>2.03E-4</c:v>
                </c:pt>
                <c:pt idx="53">
                  <c:v>9.0000000000000002E-6</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1.0004139999999999</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0.76918000000000009</c:v>
                </c:pt>
                <c:pt idx="1">
                  <c:v>0.22529899999999997</c:v>
                </c:pt>
                <c:pt idx="2">
                  <c:v>7.9709999999999989E-3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Auto Components</c:v>
                </c:pt>
                <c:pt idx="1">
                  <c:v>Industrial Products</c:v>
                </c:pt>
                <c:pt idx="2">
                  <c:v>Banks</c:v>
                </c:pt>
                <c:pt idx="3">
                  <c:v>Pharmaceuticals &amp; Biotechnology</c:v>
                </c:pt>
                <c:pt idx="4">
                  <c:v>IT - Software</c:v>
                </c:pt>
                <c:pt idx="5">
                  <c:v>Finance</c:v>
                </c:pt>
                <c:pt idx="6">
                  <c:v>Electrical Equipment</c:v>
                </c:pt>
                <c:pt idx="7">
                  <c:v>Consumer Durables</c:v>
                </c:pt>
                <c:pt idx="8">
                  <c:v>Healthcare Services</c:v>
                </c:pt>
                <c:pt idx="9">
                  <c:v>Chemicals &amp; Petrochemicals</c:v>
                </c:pt>
                <c:pt idx="10">
                  <c:v>Capital Markets</c:v>
                </c:pt>
                <c:pt idx="11">
                  <c:v>Realty</c:v>
                </c:pt>
                <c:pt idx="12">
                  <c:v>Fertilizers &amp; Agrochemicals</c:v>
                </c:pt>
                <c:pt idx="13">
                  <c:v>Leisure Services</c:v>
                </c:pt>
                <c:pt idx="14">
                  <c:v>Telecom - Services</c:v>
                </c:pt>
                <c:pt idx="15">
                  <c:v>Financial Technology (Fintech)</c:v>
                </c:pt>
                <c:pt idx="16">
                  <c:v>Personal Products</c:v>
                </c:pt>
                <c:pt idx="17">
                  <c:v>Agricultural Food &amp; other Products</c:v>
                </c:pt>
                <c:pt idx="18">
                  <c:v>Insurance</c:v>
                </c:pt>
                <c:pt idx="19">
                  <c:v>Ferrous Metals</c:v>
                </c:pt>
                <c:pt idx="20">
                  <c:v>Cement &amp; Cement Products</c:v>
                </c:pt>
                <c:pt idx="21">
                  <c:v>Agricultural, Commercial &amp; Construction Vehicles</c:v>
                </c:pt>
                <c:pt idx="22">
                  <c:v>Gas</c:v>
                </c:pt>
                <c:pt idx="23">
                  <c:v>Power</c:v>
                </c:pt>
                <c:pt idx="24">
                  <c:v>Petroleum Products</c:v>
                </c:pt>
                <c:pt idx="25">
                  <c:v>Transport Services</c:v>
                </c:pt>
                <c:pt idx="26">
                  <c:v>Transport Infrastructure</c:v>
                </c:pt>
                <c:pt idx="27">
                  <c:v>Textiles &amp; Apparels</c:v>
                </c:pt>
                <c:pt idx="28">
                  <c:v>Retailing</c:v>
                </c:pt>
                <c:pt idx="29">
                  <c:v>Construction</c:v>
                </c:pt>
                <c:pt idx="30">
                  <c:v>Industrial Manufacturing</c:v>
                </c:pt>
                <c:pt idx="31">
                  <c:v>Oil</c:v>
                </c:pt>
                <c:pt idx="32">
                  <c:v>Minerals &amp; Mining</c:v>
                </c:pt>
                <c:pt idx="33">
                  <c:v>IT - Services</c:v>
                </c:pt>
                <c:pt idx="34">
                  <c:v>Diversified</c:v>
                </c:pt>
                <c:pt idx="35">
                  <c:v>Non - Ferrous Metals</c:v>
                </c:pt>
                <c:pt idx="36">
                  <c:v>Beverages</c:v>
                </c:pt>
                <c:pt idx="37">
                  <c:v>Aerospace &amp; Defense</c:v>
                </c:pt>
                <c:pt idx="38">
                  <c:v>Entertainment</c:v>
                </c:pt>
              </c:strCache>
            </c:strRef>
          </c:cat>
          <c:val>
            <c:numRef>
              <c:f>'Bandhan Nifty Midcap 150 Index '!$X$8:$X$46</c:f>
              <c:numCache>
                <c:formatCode>0.00%</c:formatCode>
                <c:ptCount val="39"/>
                <c:pt idx="0">
                  <c:v>7.7227999999999991E-2</c:v>
                </c:pt>
                <c:pt idx="1">
                  <c:v>7.4173000000000003E-2</c:v>
                </c:pt>
                <c:pt idx="2">
                  <c:v>6.8220000000000003E-2</c:v>
                </c:pt>
                <c:pt idx="3">
                  <c:v>6.765199999999999E-2</c:v>
                </c:pt>
                <c:pt idx="4">
                  <c:v>6.7616999999999997E-2</c:v>
                </c:pt>
                <c:pt idx="5">
                  <c:v>5.5718999999999991E-2</c:v>
                </c:pt>
                <c:pt idx="6">
                  <c:v>4.5249999999999999E-2</c:v>
                </c:pt>
                <c:pt idx="7">
                  <c:v>4.1134000000000004E-2</c:v>
                </c:pt>
                <c:pt idx="8">
                  <c:v>3.9616999999999999E-2</c:v>
                </c:pt>
                <c:pt idx="9">
                  <c:v>3.7405000000000001E-2</c:v>
                </c:pt>
                <c:pt idx="10">
                  <c:v>3.5077000000000004E-2</c:v>
                </c:pt>
                <c:pt idx="11">
                  <c:v>3.4081E-2</c:v>
                </c:pt>
                <c:pt idx="12">
                  <c:v>2.8632999999999999E-2</c:v>
                </c:pt>
                <c:pt idx="13">
                  <c:v>2.8048E-2</c:v>
                </c:pt>
                <c:pt idx="14">
                  <c:v>2.7320999999999998E-2</c:v>
                </c:pt>
                <c:pt idx="15">
                  <c:v>2.6942000000000001E-2</c:v>
                </c:pt>
                <c:pt idx="16">
                  <c:v>1.9875999999999998E-2</c:v>
                </c:pt>
                <c:pt idx="17">
                  <c:v>1.6899999999999998E-2</c:v>
                </c:pt>
                <c:pt idx="18">
                  <c:v>1.6407999999999999E-2</c:v>
                </c:pt>
                <c:pt idx="19">
                  <c:v>1.5709000000000001E-2</c:v>
                </c:pt>
                <c:pt idx="20">
                  <c:v>1.4154E-2</c:v>
                </c:pt>
                <c:pt idx="21">
                  <c:v>1.3464E-2</c:v>
                </c:pt>
                <c:pt idx="22">
                  <c:v>1.3310000000000001E-2</c:v>
                </c:pt>
                <c:pt idx="23">
                  <c:v>1.2475E-2</c:v>
                </c:pt>
                <c:pt idx="24">
                  <c:v>1.1797999999999999E-2</c:v>
                </c:pt>
                <c:pt idx="25">
                  <c:v>1.1428000000000001E-2</c:v>
                </c:pt>
                <c:pt idx="26">
                  <c:v>1.1346999999999999E-2</c:v>
                </c:pt>
                <c:pt idx="27">
                  <c:v>1.0739E-2</c:v>
                </c:pt>
                <c:pt idx="28">
                  <c:v>1.0707999999999999E-2</c:v>
                </c:pt>
                <c:pt idx="29">
                  <c:v>1.0521000000000001E-2</c:v>
                </c:pt>
                <c:pt idx="30">
                  <c:v>1.0168999999999999E-2</c:v>
                </c:pt>
                <c:pt idx="31">
                  <c:v>7.9640000000000006E-3</c:v>
                </c:pt>
                <c:pt idx="32">
                  <c:v>7.8899999999999994E-3</c:v>
                </c:pt>
                <c:pt idx="33">
                  <c:v>7.7549999999999997E-3</c:v>
                </c:pt>
                <c:pt idx="34">
                  <c:v>4.7949999999999998E-3</c:v>
                </c:pt>
                <c:pt idx="35">
                  <c:v>4.4799999999999996E-3</c:v>
                </c:pt>
                <c:pt idx="36">
                  <c:v>4.3730000000000002E-3</c:v>
                </c:pt>
                <c:pt idx="37">
                  <c:v>3.1549999999999998E-3</c:v>
                </c:pt>
                <c:pt idx="38">
                  <c:v>1.92E-3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'!$W$8:$W$25</c:f>
              <c:strCache>
                <c:ptCount val="18"/>
                <c:pt idx="0">
                  <c:v>Banks</c:v>
                </c:pt>
                <c:pt idx="1">
                  <c:v>Power</c:v>
                </c:pt>
                <c:pt idx="2">
                  <c:v>Finance</c:v>
                </c:pt>
                <c:pt idx="3">
                  <c:v>Petroleum Products</c:v>
                </c:pt>
                <c:pt idx="4">
                  <c:v>Non - Ferrous Metals</c:v>
                </c:pt>
                <c:pt idx="5">
                  <c:v>Ferrous Metals</c:v>
                </c:pt>
                <c:pt idx="6">
                  <c:v>Fertilizers &amp; Agrochemicals</c:v>
                </c:pt>
                <c:pt idx="7">
                  <c:v>Oil</c:v>
                </c:pt>
                <c:pt idx="8">
                  <c:v>Cement &amp; Cement Products</c:v>
                </c:pt>
                <c:pt idx="9">
                  <c:v>Diversified Metals</c:v>
                </c:pt>
                <c:pt idx="10">
                  <c:v>Consumable Fuels</c:v>
                </c:pt>
                <c:pt idx="11">
                  <c:v>Gas</c:v>
                </c:pt>
                <c:pt idx="12">
                  <c:v>Chemicals &amp; Petrochemicals</c:v>
                </c:pt>
                <c:pt idx="13">
                  <c:v>Minerals &amp; Mining</c:v>
                </c:pt>
                <c:pt idx="14">
                  <c:v>Commercial Services &amp; Supplies</c:v>
                </c:pt>
                <c:pt idx="15">
                  <c:v>Transport Services</c:v>
                </c:pt>
                <c:pt idx="16">
                  <c:v>Entertainment</c:v>
                </c:pt>
                <c:pt idx="17">
                  <c:v>Construction</c:v>
                </c:pt>
              </c:strCache>
            </c:strRef>
          </c:cat>
          <c:val>
            <c:numRef>
              <c:f>'Bandhan Nifty 500 Value 50 '!$X$8:$X$25</c:f>
              <c:numCache>
                <c:formatCode>0.00%</c:formatCode>
                <c:ptCount val="18"/>
                <c:pt idx="0">
                  <c:v>0.17685499999999998</c:v>
                </c:pt>
                <c:pt idx="1">
                  <c:v>0.10391700000000001</c:v>
                </c:pt>
                <c:pt idx="2">
                  <c:v>9.4474000000000002E-2</c:v>
                </c:pt>
                <c:pt idx="3">
                  <c:v>8.8259000000000004E-2</c:v>
                </c:pt>
                <c:pt idx="4">
                  <c:v>7.9321000000000003E-2</c:v>
                </c:pt>
                <c:pt idx="5">
                  <c:v>6.3721E-2</c:v>
                </c:pt>
                <c:pt idx="6">
                  <c:v>5.7327999999999997E-2</c:v>
                </c:pt>
                <c:pt idx="7">
                  <c:v>5.6999000000000001E-2</c:v>
                </c:pt>
                <c:pt idx="8">
                  <c:v>4.8661000000000003E-2</c:v>
                </c:pt>
                <c:pt idx="9">
                  <c:v>4.6050000000000001E-2</c:v>
                </c:pt>
                <c:pt idx="10">
                  <c:v>4.4032000000000002E-2</c:v>
                </c:pt>
                <c:pt idx="11">
                  <c:v>3.5991999999999996E-2</c:v>
                </c:pt>
                <c:pt idx="12">
                  <c:v>2.2020999999999999E-2</c:v>
                </c:pt>
                <c:pt idx="13">
                  <c:v>1.6701000000000001E-2</c:v>
                </c:pt>
                <c:pt idx="14">
                  <c:v>1.5966999999999999E-2</c:v>
                </c:pt>
                <c:pt idx="15">
                  <c:v>1.1609E-2</c:v>
                </c:pt>
                <c:pt idx="16">
                  <c:v>9.9959999999999997E-3</c:v>
                </c:pt>
                <c:pt idx="17">
                  <c:v>9.4330000000000004E-3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'!$W$8:$W$28</c:f>
              <c:strCache>
                <c:ptCount val="21"/>
                <c:pt idx="0">
                  <c:v>Electrical Equipment</c:v>
                </c:pt>
                <c:pt idx="1">
                  <c:v>Finance</c:v>
                </c:pt>
                <c:pt idx="2">
                  <c:v>Aerospace &amp; Defense</c:v>
                </c:pt>
                <c:pt idx="3">
                  <c:v>Automobiles</c:v>
                </c:pt>
                <c:pt idx="4">
                  <c:v>Power</c:v>
                </c:pt>
                <c:pt idx="5">
                  <c:v>Retailing</c:v>
                </c:pt>
                <c:pt idx="6">
                  <c:v>Capital Markets</c:v>
                </c:pt>
                <c:pt idx="7">
                  <c:v>Consumer Durables</c:v>
                </c:pt>
                <c:pt idx="8">
                  <c:v>Transport Infrastructure</c:v>
                </c:pt>
                <c:pt idx="9">
                  <c:v>Auto Components</c:v>
                </c:pt>
                <c:pt idx="10">
                  <c:v>Industrial Products</c:v>
                </c:pt>
                <c:pt idx="11">
                  <c:v>Industrial Manufacturing</c:v>
                </c:pt>
                <c:pt idx="12">
                  <c:v>Construction</c:v>
                </c:pt>
                <c:pt idx="13">
                  <c:v>Oil</c:v>
                </c:pt>
                <c:pt idx="14">
                  <c:v>Non - Ferrous Metals</c:v>
                </c:pt>
                <c:pt idx="15">
                  <c:v>Banks</c:v>
                </c:pt>
                <c:pt idx="16">
                  <c:v>Realty</c:v>
                </c:pt>
                <c:pt idx="17">
                  <c:v>Pharmaceuticals &amp; Biotechnology</c:v>
                </c:pt>
                <c:pt idx="18">
                  <c:v>Chemicals &amp; Petrochemicals</c:v>
                </c:pt>
                <c:pt idx="19">
                  <c:v>Ferrous Metals</c:v>
                </c:pt>
                <c:pt idx="20">
                  <c:v>Petroleum Products</c:v>
                </c:pt>
              </c:strCache>
            </c:strRef>
          </c:cat>
          <c:val>
            <c:numRef>
              <c:f>'Bandhan Nifty 500 Momentum 50 '!$X$8:$X$28</c:f>
              <c:numCache>
                <c:formatCode>0.00%</c:formatCode>
                <c:ptCount val="21"/>
                <c:pt idx="0">
                  <c:v>0.15254700000000002</c:v>
                </c:pt>
                <c:pt idx="1">
                  <c:v>0.11143800000000001</c:v>
                </c:pt>
                <c:pt idx="2">
                  <c:v>0.101462</c:v>
                </c:pt>
                <c:pt idx="3">
                  <c:v>9.9780000000000008E-2</c:v>
                </c:pt>
                <c:pt idx="4">
                  <c:v>9.3260999999999997E-2</c:v>
                </c:pt>
                <c:pt idx="5">
                  <c:v>6.5013000000000001E-2</c:v>
                </c:pt>
                <c:pt idx="6">
                  <c:v>4.9769000000000001E-2</c:v>
                </c:pt>
                <c:pt idx="7">
                  <c:v>4.6889E-2</c:v>
                </c:pt>
                <c:pt idx="8">
                  <c:v>4.1722000000000002E-2</c:v>
                </c:pt>
                <c:pt idx="9">
                  <c:v>3.9261999999999998E-2</c:v>
                </c:pt>
                <c:pt idx="10">
                  <c:v>3.5832999999999997E-2</c:v>
                </c:pt>
                <c:pt idx="11">
                  <c:v>2.9516000000000001E-2</c:v>
                </c:pt>
                <c:pt idx="12">
                  <c:v>2.5960999999999998E-2</c:v>
                </c:pt>
                <c:pt idx="13">
                  <c:v>1.7611000000000002E-2</c:v>
                </c:pt>
                <c:pt idx="14">
                  <c:v>1.7424000000000002E-2</c:v>
                </c:pt>
                <c:pt idx="15">
                  <c:v>1.7246999999999998E-2</c:v>
                </c:pt>
                <c:pt idx="16">
                  <c:v>1.6245000000000002E-2</c:v>
                </c:pt>
                <c:pt idx="17">
                  <c:v>1.3872000000000001E-2</c:v>
                </c:pt>
                <c:pt idx="18">
                  <c:v>1.1749000000000001E-2</c:v>
                </c:pt>
                <c:pt idx="19">
                  <c:v>1.1017000000000001E-2</c:v>
                </c:pt>
                <c:pt idx="20">
                  <c:v>1.16E-3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7520</xdr:colOff>
      <xdr:row>7</xdr:row>
      <xdr:rowOff>6721</xdr:rowOff>
    </xdr:from>
    <xdr:to>
      <xdr:col>13</xdr:col>
      <xdr:colOff>696495</xdr:colOff>
      <xdr:row>17</xdr:row>
      <xdr:rowOff>142872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71430</xdr:colOff>
      <xdr:row>7</xdr:row>
      <xdr:rowOff>11908</xdr:rowOff>
    </xdr:from>
    <xdr:to>
      <xdr:col>13</xdr:col>
      <xdr:colOff>764888</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553097</xdr:colOff>
      <xdr:row>7</xdr:row>
      <xdr:rowOff>19697</xdr:rowOff>
    </xdr:from>
    <xdr:to>
      <xdr:col>13</xdr:col>
      <xdr:colOff>736600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63" t="s">
        <v>151</v>
      </c>
      <c r="D3" s="263"/>
      <c r="E3" s="263"/>
      <c r="F3" s="263"/>
      <c r="G3" s="263"/>
      <c r="H3" s="263"/>
      <c r="I3" s="263"/>
      <c r="J3" s="263"/>
      <c r="K3" s="263"/>
      <c r="L3" s="263"/>
      <c r="M3" s="264"/>
    </row>
    <row r="4" spans="2:24" ht="15.75" x14ac:dyDescent="0.25">
      <c r="B4" s="93"/>
      <c r="C4" s="67" t="s">
        <v>412</v>
      </c>
      <c r="D4" s="29"/>
      <c r="E4" s="29"/>
      <c r="F4" s="5"/>
      <c r="G4" s="5"/>
      <c r="H4" s="5"/>
      <c r="I4" s="5"/>
      <c r="J4" s="5"/>
      <c r="K4" s="5"/>
      <c r="L4" s="5"/>
      <c r="M4" s="20"/>
    </row>
    <row r="5" spans="2:24" ht="20.25" customHeight="1" x14ac:dyDescent="0.25">
      <c r="B5" s="93"/>
      <c r="C5" s="221" t="s">
        <v>411</v>
      </c>
      <c r="D5" s="94" t="s">
        <v>371</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65" t="s">
        <v>50</v>
      </c>
      <c r="G7" s="265"/>
      <c r="H7" s="265"/>
      <c r="I7" s="265"/>
      <c r="J7" s="265"/>
      <c r="K7" s="265"/>
      <c r="L7" s="265"/>
      <c r="M7" s="266"/>
    </row>
    <row r="8" spans="2:24" ht="30" x14ac:dyDescent="0.2">
      <c r="B8" s="93"/>
      <c r="C8" s="59" t="s">
        <v>91</v>
      </c>
      <c r="D8" s="182">
        <v>0.97726400000000002</v>
      </c>
      <c r="E8" s="5"/>
      <c r="F8" s="5"/>
      <c r="G8" s="31"/>
      <c r="H8" s="5"/>
      <c r="I8" s="5" t="s">
        <v>92</v>
      </c>
      <c r="J8" s="47">
        <f>D9</f>
        <v>0.97726400000000002</v>
      </c>
      <c r="K8" s="5"/>
      <c r="L8" s="5"/>
      <c r="M8" s="20"/>
      <c r="S8" s="49"/>
      <c r="W8" s="3" t="s">
        <v>3</v>
      </c>
      <c r="X8" s="3">
        <v>0.25058799999999998</v>
      </c>
    </row>
    <row r="9" spans="2:24" ht="15.75" x14ac:dyDescent="0.25">
      <c r="B9" s="93"/>
      <c r="C9" s="60" t="s">
        <v>92</v>
      </c>
      <c r="D9" s="183">
        <v>0.97726400000000002</v>
      </c>
      <c r="E9" s="5"/>
      <c r="F9" s="5"/>
      <c r="G9" s="5"/>
      <c r="H9" s="5"/>
      <c r="I9" s="5" t="s">
        <v>20</v>
      </c>
      <c r="J9" s="47">
        <f>D13</f>
        <v>-2.8240000000000001E-3</v>
      </c>
      <c r="K9" s="5"/>
      <c r="L9" s="5"/>
      <c r="M9" s="20"/>
      <c r="S9" s="49"/>
      <c r="W9" s="3" t="s">
        <v>9</v>
      </c>
      <c r="X9" s="3">
        <v>6.1296999999999997E-2</v>
      </c>
    </row>
    <row r="10" spans="2:24" x14ac:dyDescent="0.2">
      <c r="B10" s="93"/>
      <c r="C10" s="168" t="s">
        <v>101</v>
      </c>
      <c r="D10" s="184">
        <v>2.5559999999999999E-2</v>
      </c>
      <c r="E10" s="5"/>
      <c r="F10" s="5"/>
      <c r="G10" s="5"/>
      <c r="I10" s="3" t="s">
        <v>102</v>
      </c>
      <c r="J10" s="47">
        <f>D11</f>
        <v>2.5559999999999999E-2</v>
      </c>
      <c r="K10" s="5"/>
      <c r="L10" s="5"/>
      <c r="M10" s="20"/>
      <c r="S10" s="49"/>
      <c r="W10" s="3" t="s">
        <v>10</v>
      </c>
      <c r="X10" s="3">
        <v>3.0130999999999998E-2</v>
      </c>
    </row>
    <row r="11" spans="2:24" ht="15.75" x14ac:dyDescent="0.2">
      <c r="B11" s="93"/>
      <c r="C11" s="169" t="s">
        <v>102</v>
      </c>
      <c r="D11" s="185">
        <v>2.5559999999999999E-2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5">
        <v>-2.8240000000000001E-3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67"/>
      <c r="D22" s="267"/>
      <c r="E22" s="267"/>
      <c r="F22" s="267"/>
      <c r="G22" s="267"/>
      <c r="H22" s="267"/>
      <c r="I22" s="267"/>
      <c r="J22" s="267"/>
      <c r="K22" s="267"/>
      <c r="L22" s="267"/>
      <c r="M22" s="268"/>
      <c r="S22" s="49"/>
    </row>
    <row r="23" spans="2:24" ht="15.75" thickBot="1" x14ac:dyDescent="0.25">
      <c r="S23" s="49"/>
    </row>
    <row r="24" spans="2:24" ht="15" customHeight="1" x14ac:dyDescent="0.2">
      <c r="B24" s="269" t="s">
        <v>182</v>
      </c>
      <c r="C24" s="270"/>
      <c r="D24" s="270"/>
      <c r="E24" s="270"/>
      <c r="F24" s="270"/>
      <c r="G24" s="270"/>
      <c r="H24" s="270"/>
      <c r="I24" s="270"/>
      <c r="J24" s="270"/>
      <c r="K24" s="270"/>
      <c r="L24" s="270"/>
      <c r="M24" s="270"/>
      <c r="N24" s="271"/>
      <c r="S24" s="49"/>
    </row>
    <row r="25" spans="2:24" ht="15.75" customHeight="1" x14ac:dyDescent="0.2">
      <c r="B25" s="272"/>
      <c r="C25" s="273"/>
      <c r="D25" s="273"/>
      <c r="E25" s="273"/>
      <c r="F25" s="273"/>
      <c r="G25" s="273"/>
      <c r="H25" s="273"/>
      <c r="I25" s="273"/>
      <c r="J25" s="273"/>
      <c r="K25" s="273"/>
      <c r="L25" s="273"/>
      <c r="M25" s="273"/>
      <c r="N25" s="274"/>
      <c r="S25" s="49"/>
    </row>
    <row r="26" spans="2:24" ht="15.75" customHeight="1" x14ac:dyDescent="0.2">
      <c r="B26" s="272"/>
      <c r="C26" s="273"/>
      <c r="D26" s="273"/>
      <c r="E26" s="273"/>
      <c r="F26" s="273"/>
      <c r="G26" s="273"/>
      <c r="H26" s="273"/>
      <c r="I26" s="273"/>
      <c r="J26" s="273"/>
      <c r="K26" s="273"/>
      <c r="L26" s="273"/>
      <c r="M26" s="273"/>
      <c r="N26" s="274"/>
      <c r="S26" s="49"/>
    </row>
    <row r="27" spans="2:24" ht="15.75" customHeight="1" x14ac:dyDescent="0.2">
      <c r="B27" s="272"/>
      <c r="C27" s="273"/>
      <c r="D27" s="273"/>
      <c r="E27" s="273"/>
      <c r="F27" s="273"/>
      <c r="G27" s="273"/>
      <c r="H27" s="273"/>
      <c r="I27" s="273"/>
      <c r="J27" s="273"/>
      <c r="K27" s="273"/>
      <c r="L27" s="273"/>
      <c r="M27" s="273"/>
      <c r="N27" s="274"/>
      <c r="S27" s="49"/>
    </row>
    <row r="28" spans="2:24" ht="15.75" customHeight="1" x14ac:dyDescent="0.2">
      <c r="B28" s="272"/>
      <c r="C28" s="273"/>
      <c r="D28" s="273"/>
      <c r="E28" s="273"/>
      <c r="F28" s="273"/>
      <c r="G28" s="273"/>
      <c r="H28" s="273"/>
      <c r="I28" s="273"/>
      <c r="J28" s="273"/>
      <c r="K28" s="273"/>
      <c r="L28" s="273"/>
      <c r="M28" s="273"/>
      <c r="N28" s="274"/>
      <c r="S28" s="49"/>
    </row>
    <row r="29" spans="2:24" ht="15.75" customHeight="1" x14ac:dyDescent="0.2">
      <c r="B29" s="272"/>
      <c r="C29" s="273"/>
      <c r="D29" s="273"/>
      <c r="E29" s="273"/>
      <c r="F29" s="273"/>
      <c r="G29" s="273"/>
      <c r="H29" s="273"/>
      <c r="I29" s="273"/>
      <c r="J29" s="273"/>
      <c r="K29" s="273"/>
      <c r="L29" s="273"/>
      <c r="M29" s="273"/>
      <c r="N29" s="274"/>
      <c r="S29" s="49"/>
    </row>
    <row r="30" spans="2:24" ht="28.5" customHeight="1" thickBot="1" x14ac:dyDescent="0.25">
      <c r="B30" s="275"/>
      <c r="C30" s="276"/>
      <c r="D30" s="276"/>
      <c r="E30" s="276"/>
      <c r="F30" s="276"/>
      <c r="G30" s="276"/>
      <c r="H30" s="276"/>
      <c r="I30" s="276"/>
      <c r="J30" s="276"/>
      <c r="K30" s="276"/>
      <c r="L30" s="276"/>
      <c r="M30" s="276"/>
      <c r="N30" s="277"/>
      <c r="S30" s="49"/>
    </row>
    <row r="31" spans="2:24" ht="15.75" thickBot="1" x14ac:dyDescent="0.25">
      <c r="S31" s="49"/>
    </row>
    <row r="32" spans="2:24" x14ac:dyDescent="0.2">
      <c r="B32" s="269" t="s">
        <v>93</v>
      </c>
      <c r="C32" s="270"/>
      <c r="D32" s="270"/>
      <c r="E32" s="270"/>
      <c r="F32" s="270"/>
      <c r="G32" s="270"/>
      <c r="H32" s="270"/>
      <c r="I32" s="270"/>
      <c r="J32" s="270"/>
      <c r="K32" s="270"/>
      <c r="L32" s="270"/>
      <c r="M32" s="270"/>
      <c r="N32" s="271"/>
      <c r="S32" s="49"/>
    </row>
    <row r="33" spans="2:19" x14ac:dyDescent="0.2">
      <c r="B33" s="272"/>
      <c r="C33" s="273"/>
      <c r="D33" s="273"/>
      <c r="E33" s="273"/>
      <c r="F33" s="273"/>
      <c r="G33" s="273"/>
      <c r="H33" s="273"/>
      <c r="I33" s="273"/>
      <c r="J33" s="273"/>
      <c r="K33" s="273"/>
      <c r="L33" s="273"/>
      <c r="M33" s="273"/>
      <c r="N33" s="274"/>
      <c r="S33" s="49"/>
    </row>
    <row r="34" spans="2:19" x14ac:dyDescent="0.2">
      <c r="B34" s="272"/>
      <c r="C34" s="273"/>
      <c r="D34" s="273"/>
      <c r="E34" s="273"/>
      <c r="F34" s="273"/>
      <c r="G34" s="273"/>
      <c r="H34" s="273"/>
      <c r="I34" s="273"/>
      <c r="J34" s="273"/>
      <c r="K34" s="273"/>
      <c r="L34" s="273"/>
      <c r="M34" s="273"/>
      <c r="N34" s="274"/>
      <c r="S34" s="49"/>
    </row>
    <row r="35" spans="2:19" x14ac:dyDescent="0.2">
      <c r="B35" s="272"/>
      <c r="C35" s="273"/>
      <c r="D35" s="273"/>
      <c r="E35" s="273"/>
      <c r="F35" s="273"/>
      <c r="G35" s="273"/>
      <c r="H35" s="273"/>
      <c r="I35" s="273"/>
      <c r="J35" s="273"/>
      <c r="K35" s="273"/>
      <c r="L35" s="273"/>
      <c r="M35" s="273"/>
      <c r="N35" s="274"/>
      <c r="S35" s="49"/>
    </row>
    <row r="36" spans="2:19" x14ac:dyDescent="0.2">
      <c r="B36" s="272"/>
      <c r="C36" s="273"/>
      <c r="D36" s="273"/>
      <c r="E36" s="273"/>
      <c r="F36" s="273"/>
      <c r="G36" s="273"/>
      <c r="H36" s="273"/>
      <c r="I36" s="273"/>
      <c r="J36" s="273"/>
      <c r="K36" s="273"/>
      <c r="L36" s="273"/>
      <c r="M36" s="273"/>
      <c r="N36" s="274"/>
      <c r="S36" s="49"/>
    </row>
    <row r="37" spans="2:19" x14ac:dyDescent="0.2">
      <c r="B37" s="272"/>
      <c r="C37" s="273"/>
      <c r="D37" s="273"/>
      <c r="E37" s="273"/>
      <c r="F37" s="273"/>
      <c r="G37" s="273"/>
      <c r="H37" s="273"/>
      <c r="I37" s="273"/>
      <c r="J37" s="273"/>
      <c r="K37" s="273"/>
      <c r="L37" s="273"/>
      <c r="M37" s="273"/>
      <c r="N37" s="274"/>
      <c r="S37" s="49"/>
    </row>
    <row r="38" spans="2:19" ht="15.75" thickBot="1" x14ac:dyDescent="0.25">
      <c r="B38" s="275"/>
      <c r="C38" s="276"/>
      <c r="D38" s="276"/>
      <c r="E38" s="276"/>
      <c r="F38" s="276"/>
      <c r="G38" s="276"/>
      <c r="H38" s="276"/>
      <c r="I38" s="276"/>
      <c r="J38" s="276"/>
      <c r="K38" s="276"/>
      <c r="L38" s="276"/>
      <c r="M38" s="276"/>
      <c r="N38" s="277"/>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8" t="s">
        <v>172</v>
      </c>
      <c r="D3" s="279"/>
      <c r="E3" s="279"/>
      <c r="F3" s="279"/>
      <c r="G3" s="279"/>
      <c r="H3" s="279"/>
      <c r="I3" s="279"/>
      <c r="J3" s="279"/>
      <c r="K3" s="279"/>
      <c r="L3" s="279"/>
      <c r="M3" s="279"/>
      <c r="N3" s="279"/>
      <c r="O3" s="279"/>
      <c r="P3" s="279"/>
      <c r="Q3" s="279"/>
      <c r="R3" s="279"/>
      <c r="S3" s="279"/>
      <c r="T3" s="25"/>
    </row>
    <row r="4" spans="1:24" ht="15.75" customHeight="1" x14ac:dyDescent="0.25">
      <c r="B4" s="64"/>
      <c r="C4" s="67" t="s">
        <v>412</v>
      </c>
      <c r="D4" s="150"/>
      <c r="E4" s="163"/>
      <c r="F4" s="163"/>
      <c r="G4" s="163"/>
      <c r="H4" s="163"/>
      <c r="I4" s="163"/>
      <c r="J4" s="163"/>
      <c r="K4" s="29"/>
      <c r="L4" s="29"/>
      <c r="M4" s="29"/>
      <c r="N4" s="29"/>
      <c r="O4" s="29"/>
      <c r="P4" s="29"/>
      <c r="Q4" s="29"/>
      <c r="R4" s="29"/>
      <c r="S4" s="29"/>
      <c r="T4" s="25"/>
    </row>
    <row r="5" spans="1:24" ht="18" customHeight="1" x14ac:dyDescent="0.25">
      <c r="B5" s="64"/>
      <c r="C5" s="221" t="s">
        <v>411</v>
      </c>
      <c r="D5" s="280" t="s">
        <v>372</v>
      </c>
      <c r="E5" s="280"/>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3" t="s">
        <v>32</v>
      </c>
      <c r="D8" s="194" t="s">
        <v>3</v>
      </c>
      <c r="E8" s="195">
        <v>3.5324000000000001E-2</v>
      </c>
      <c r="F8" s="135"/>
      <c r="G8" s="29"/>
      <c r="H8" s="29"/>
      <c r="I8" s="29"/>
      <c r="J8" s="29"/>
      <c r="K8" s="29"/>
      <c r="L8" s="29"/>
      <c r="M8" s="29"/>
      <c r="N8" s="29"/>
      <c r="O8" s="29"/>
      <c r="P8" s="29"/>
      <c r="Q8" s="29"/>
      <c r="R8" s="29"/>
      <c r="S8" s="29"/>
      <c r="T8" s="25"/>
      <c r="W8" s="236" t="s">
        <v>3</v>
      </c>
      <c r="X8" s="239">
        <v>0.13146099999999999</v>
      </c>
    </row>
    <row r="9" spans="1:24" ht="15.75" customHeight="1" x14ac:dyDescent="0.25">
      <c r="B9" s="64"/>
      <c r="C9" s="188" t="s">
        <v>29</v>
      </c>
      <c r="D9" s="196" t="s">
        <v>3</v>
      </c>
      <c r="E9" s="197">
        <v>3.3144E-2</v>
      </c>
      <c r="F9" s="135"/>
      <c r="G9" s="29"/>
      <c r="H9" s="29"/>
      <c r="I9" s="29"/>
      <c r="J9" s="29"/>
      <c r="K9" s="29"/>
      <c r="L9" s="29"/>
      <c r="M9" s="29"/>
      <c r="N9" s="29"/>
      <c r="O9" s="29"/>
      <c r="P9" s="29"/>
      <c r="Q9" s="29"/>
      <c r="R9" s="29"/>
      <c r="S9" s="29"/>
      <c r="T9" s="25"/>
      <c r="W9" s="236" t="s">
        <v>107</v>
      </c>
      <c r="X9" s="239">
        <v>9.6035999999999996E-2</v>
      </c>
    </row>
    <row r="10" spans="1:24" ht="15" customHeight="1" x14ac:dyDescent="0.25">
      <c r="B10" s="64"/>
      <c r="C10" s="188" t="s">
        <v>28</v>
      </c>
      <c r="D10" s="196" t="s">
        <v>107</v>
      </c>
      <c r="E10" s="197">
        <v>2.7237000000000001E-2</v>
      </c>
      <c r="F10" s="135"/>
      <c r="G10" s="29"/>
      <c r="H10" s="29"/>
      <c r="I10" s="29"/>
      <c r="J10" s="29"/>
      <c r="K10" s="29"/>
      <c r="L10" s="29"/>
      <c r="M10" s="29"/>
      <c r="N10" s="29"/>
      <c r="O10" s="29"/>
      <c r="P10" s="29"/>
      <c r="Q10" s="29"/>
      <c r="R10" s="29"/>
      <c r="S10" s="29"/>
      <c r="T10" s="25"/>
      <c r="W10" s="236" t="s">
        <v>111</v>
      </c>
      <c r="X10" s="239">
        <v>7.4163000000000007E-2</v>
      </c>
    </row>
    <row r="11" spans="1:24" ht="15" customHeight="1" x14ac:dyDescent="0.25">
      <c r="B11" s="64"/>
      <c r="C11" s="188" t="s">
        <v>70</v>
      </c>
      <c r="D11" s="196" t="s">
        <v>12</v>
      </c>
      <c r="E11" s="197">
        <v>2.4513E-2</v>
      </c>
      <c r="F11" s="135"/>
      <c r="G11" s="29"/>
      <c r="H11" s="29"/>
      <c r="I11" s="29"/>
      <c r="J11" s="29"/>
      <c r="K11" s="29"/>
      <c r="L11" s="29"/>
      <c r="M11" s="29"/>
      <c r="N11" s="29"/>
      <c r="O11" s="29"/>
      <c r="P11" s="29"/>
      <c r="Q11" s="29"/>
      <c r="R11" s="29"/>
      <c r="S11" s="29"/>
      <c r="T11" s="25"/>
      <c r="W11" s="236" t="s">
        <v>4</v>
      </c>
      <c r="X11" s="239">
        <v>5.7043999999999997E-2</v>
      </c>
    </row>
    <row r="12" spans="1:24" ht="15" customHeight="1" x14ac:dyDescent="0.25">
      <c r="B12" s="64"/>
      <c r="C12" s="188" t="s">
        <v>31</v>
      </c>
      <c r="D12" s="196" t="s">
        <v>6</v>
      </c>
      <c r="E12" s="197">
        <v>2.2904999999999998E-2</v>
      </c>
      <c r="F12" s="135"/>
      <c r="G12" s="29"/>
      <c r="H12" s="29"/>
      <c r="I12" s="29"/>
      <c r="J12" s="29"/>
      <c r="K12" s="29"/>
      <c r="L12" s="29"/>
      <c r="M12" s="29"/>
      <c r="N12" s="29"/>
      <c r="O12" s="29"/>
      <c r="P12" s="29"/>
      <c r="Q12" s="29"/>
      <c r="R12" s="29"/>
      <c r="S12" s="29"/>
      <c r="T12" s="25"/>
      <c r="W12" s="236" t="s">
        <v>26</v>
      </c>
      <c r="X12" s="239">
        <v>4.5099E-2</v>
      </c>
    </row>
    <row r="13" spans="1:24" ht="15" customHeight="1" x14ac:dyDescent="0.25">
      <c r="B13" s="64"/>
      <c r="C13" s="188" t="s">
        <v>197</v>
      </c>
      <c r="D13" s="196" t="s">
        <v>106</v>
      </c>
      <c r="E13" s="197">
        <v>1.8498000000000001E-2</v>
      </c>
      <c r="F13" s="135"/>
      <c r="G13" s="29"/>
      <c r="H13" s="29"/>
      <c r="I13" s="29"/>
      <c r="J13" s="29"/>
      <c r="K13" s="29"/>
      <c r="L13" s="29"/>
      <c r="M13" s="29"/>
      <c r="N13" s="29"/>
      <c r="O13" s="29"/>
      <c r="P13" s="29"/>
      <c r="Q13" s="29"/>
      <c r="R13" s="29"/>
      <c r="S13" s="29"/>
      <c r="T13" s="25"/>
      <c r="W13" s="236" t="s">
        <v>6</v>
      </c>
      <c r="X13" s="239">
        <v>3.6198999999999995E-2</v>
      </c>
    </row>
    <row r="14" spans="1:24" ht="15" customHeight="1" x14ac:dyDescent="0.25">
      <c r="B14" s="64"/>
      <c r="C14" s="188" t="s">
        <v>36</v>
      </c>
      <c r="D14" s="196" t="s">
        <v>3</v>
      </c>
      <c r="E14" s="197">
        <v>1.6905E-2</v>
      </c>
      <c r="F14" s="135"/>
      <c r="G14" s="29"/>
      <c r="H14" s="29"/>
      <c r="I14" s="29"/>
      <c r="J14" s="29"/>
      <c r="K14" s="29"/>
      <c r="L14" s="29"/>
      <c r="M14" s="29"/>
      <c r="N14" s="29"/>
      <c r="O14" s="29"/>
      <c r="P14" s="29"/>
      <c r="Q14" s="29"/>
      <c r="R14" s="29"/>
      <c r="S14" s="29"/>
      <c r="T14" s="25"/>
      <c r="W14" s="236" t="s">
        <v>124</v>
      </c>
      <c r="X14" s="239">
        <v>3.2807999999999997E-2</v>
      </c>
    </row>
    <row r="15" spans="1:24" ht="15.75" x14ac:dyDescent="0.25">
      <c r="B15" s="64"/>
      <c r="C15" s="188" t="s">
        <v>145</v>
      </c>
      <c r="D15" s="196" t="s">
        <v>124</v>
      </c>
      <c r="E15" s="197">
        <v>1.6254000000000001E-2</v>
      </c>
      <c r="F15" s="135"/>
      <c r="G15" s="29"/>
      <c r="H15" s="29"/>
      <c r="I15" s="29"/>
      <c r="J15" s="29"/>
      <c r="K15" s="29"/>
      <c r="L15" s="29"/>
      <c r="M15" s="29"/>
      <c r="N15" s="29"/>
      <c r="O15" s="29"/>
      <c r="P15" s="29"/>
      <c r="Q15" s="29"/>
      <c r="R15" s="29"/>
      <c r="S15" s="29"/>
      <c r="T15" s="25"/>
      <c r="W15" s="236" t="s">
        <v>110</v>
      </c>
      <c r="X15" s="239">
        <v>3.2146000000000001E-2</v>
      </c>
    </row>
    <row r="16" spans="1:24" ht="15" customHeight="1" x14ac:dyDescent="0.25">
      <c r="B16" s="64"/>
      <c r="C16" s="188" t="s">
        <v>30</v>
      </c>
      <c r="D16" s="196" t="s">
        <v>117</v>
      </c>
      <c r="E16" s="197">
        <v>1.6070000000000001E-2</v>
      </c>
      <c r="F16" s="135"/>
      <c r="G16" s="29"/>
      <c r="H16" s="29"/>
      <c r="I16" s="29"/>
      <c r="J16" s="29"/>
      <c r="K16" s="29"/>
      <c r="L16" s="29"/>
      <c r="M16" s="29"/>
      <c r="N16" s="29"/>
      <c r="O16" s="29"/>
      <c r="P16" s="29"/>
      <c r="Q16" s="29"/>
      <c r="R16" s="29"/>
      <c r="S16" s="29"/>
      <c r="T16" s="25"/>
      <c r="W16" s="236" t="s">
        <v>23</v>
      </c>
      <c r="X16" s="239">
        <v>2.8876000000000002E-2</v>
      </c>
    </row>
    <row r="17" spans="2:24" ht="30" x14ac:dyDescent="0.25">
      <c r="B17" s="64"/>
      <c r="C17" s="188" t="s">
        <v>291</v>
      </c>
      <c r="D17" s="196" t="s">
        <v>184</v>
      </c>
      <c r="E17" s="197">
        <v>1.5672999999999999E-2</v>
      </c>
      <c r="F17" s="135"/>
      <c r="G17" s="29"/>
      <c r="H17" s="29"/>
      <c r="I17" s="29"/>
      <c r="J17" s="29"/>
      <c r="K17" s="29"/>
      <c r="L17" s="29"/>
      <c r="M17" s="29"/>
      <c r="N17" s="29"/>
      <c r="O17" s="29"/>
      <c r="P17" s="29"/>
      <c r="Q17" s="29"/>
      <c r="R17" s="29"/>
      <c r="S17" s="29"/>
      <c r="T17" s="25"/>
      <c r="W17" s="236" t="s">
        <v>77</v>
      </c>
      <c r="X17" s="239">
        <v>2.8372999999999999E-2</v>
      </c>
    </row>
    <row r="18" spans="2:24" ht="15.75" x14ac:dyDescent="0.25">
      <c r="B18" s="64"/>
      <c r="C18" s="188" t="s">
        <v>259</v>
      </c>
      <c r="D18" s="196" t="s">
        <v>4</v>
      </c>
      <c r="E18" s="197">
        <v>1.5410999999999999E-2</v>
      </c>
      <c r="F18" s="135"/>
      <c r="G18" s="29"/>
      <c r="H18" s="29"/>
      <c r="I18" s="29"/>
      <c r="J18" s="29"/>
      <c r="K18" s="29"/>
      <c r="L18" s="29"/>
      <c r="M18" s="29"/>
      <c r="N18" s="29"/>
      <c r="O18" s="29"/>
      <c r="P18" s="29"/>
      <c r="Q18" s="29"/>
      <c r="R18" s="29"/>
      <c r="S18" s="29"/>
      <c r="T18" s="25"/>
      <c r="W18" s="236" t="s">
        <v>113</v>
      </c>
      <c r="X18" s="239">
        <v>2.7241000000000001E-2</v>
      </c>
    </row>
    <row r="19" spans="2:24" ht="15.75" x14ac:dyDescent="0.25">
      <c r="B19" s="64"/>
      <c r="C19" s="188" t="s">
        <v>360</v>
      </c>
      <c r="D19" s="196" t="s">
        <v>146</v>
      </c>
      <c r="E19" s="197">
        <v>1.5082999999999999E-2</v>
      </c>
      <c r="F19" s="135"/>
      <c r="G19" s="29"/>
      <c r="H19" s="29"/>
      <c r="I19" s="29"/>
      <c r="J19" s="29"/>
      <c r="K19" s="29"/>
      <c r="L19" s="29"/>
      <c r="M19" s="29"/>
      <c r="N19" s="29"/>
      <c r="O19" s="29"/>
      <c r="P19" s="29"/>
      <c r="Q19" s="29"/>
      <c r="R19" s="29"/>
      <c r="S19" s="29"/>
      <c r="T19" s="25"/>
      <c r="W19" s="236" t="s">
        <v>106</v>
      </c>
      <c r="X19" s="239">
        <v>2.6053E-2</v>
      </c>
    </row>
    <row r="20" spans="2:24" ht="15" customHeight="1" x14ac:dyDescent="0.25">
      <c r="B20" s="64"/>
      <c r="C20" s="188" t="s">
        <v>33</v>
      </c>
      <c r="D20" s="196" t="s">
        <v>107</v>
      </c>
      <c r="E20" s="197">
        <v>1.5046E-2</v>
      </c>
      <c r="F20" s="135"/>
      <c r="G20" s="29"/>
      <c r="H20" s="29"/>
      <c r="I20" s="29"/>
      <c r="J20" s="29"/>
      <c r="K20" s="29"/>
      <c r="L20" s="29"/>
      <c r="M20" s="29"/>
      <c r="N20" s="29"/>
      <c r="O20" s="29"/>
      <c r="P20" s="29"/>
      <c r="Q20" s="29"/>
      <c r="R20" s="29"/>
      <c r="S20" s="29"/>
      <c r="T20" s="25"/>
      <c r="W20" s="236" t="s">
        <v>12</v>
      </c>
      <c r="X20" s="239">
        <v>2.4513E-2</v>
      </c>
    </row>
    <row r="21" spans="2:24" ht="17.25" customHeight="1" x14ac:dyDescent="0.25">
      <c r="B21" s="64"/>
      <c r="C21" s="188" t="s">
        <v>236</v>
      </c>
      <c r="D21" s="196" t="s">
        <v>26</v>
      </c>
      <c r="E21" s="197">
        <v>1.4305999999999999E-2</v>
      </c>
      <c r="F21" s="135"/>
      <c r="G21" s="29"/>
      <c r="H21" s="29"/>
      <c r="I21" s="29"/>
      <c r="J21" s="29"/>
      <c r="K21" s="29"/>
      <c r="L21" s="29"/>
      <c r="M21" s="29"/>
      <c r="N21" s="29"/>
      <c r="O21" s="29"/>
      <c r="P21" s="29"/>
      <c r="Q21" s="29"/>
      <c r="R21" s="29"/>
      <c r="S21" s="29"/>
      <c r="T21" s="25"/>
      <c r="W21" s="236" t="s">
        <v>184</v>
      </c>
      <c r="X21" s="239">
        <v>2.2817E-2</v>
      </c>
    </row>
    <row r="22" spans="2:24" ht="15" customHeight="1" x14ac:dyDescent="0.25">
      <c r="B22" s="64"/>
      <c r="C22" s="188" t="s">
        <v>247</v>
      </c>
      <c r="D22" s="196" t="s">
        <v>111</v>
      </c>
      <c r="E22" s="197">
        <v>1.3697000000000001E-2</v>
      </c>
      <c r="F22" s="135"/>
      <c r="G22" s="29"/>
      <c r="H22" s="29"/>
      <c r="I22" s="29"/>
      <c r="J22" s="29"/>
      <c r="K22" s="29"/>
      <c r="L22" s="29"/>
      <c r="M22" s="29"/>
      <c r="N22" s="29"/>
      <c r="O22" s="29"/>
      <c r="P22" s="29"/>
      <c r="Q22" s="29"/>
      <c r="R22" s="29"/>
      <c r="S22" s="29"/>
      <c r="T22" s="25"/>
      <c r="W22" s="236" t="s">
        <v>146</v>
      </c>
      <c r="X22" s="239">
        <v>2.0506999999999997E-2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6" t="s">
        <v>119</v>
      </c>
      <c r="X23" s="239">
        <v>1.7714000000000001E-2</v>
      </c>
    </row>
    <row r="24" spans="2:24" ht="15" customHeight="1" x14ac:dyDescent="0.25">
      <c r="B24" s="64"/>
      <c r="C24" s="164" t="s">
        <v>55</v>
      </c>
      <c r="D24" s="165"/>
      <c r="E24" s="166">
        <f>SUM(E8:E22)</f>
        <v>0.300066</v>
      </c>
      <c r="F24" s="29"/>
      <c r="G24" s="29"/>
      <c r="H24" s="29"/>
      <c r="I24" s="29"/>
      <c r="J24" s="29"/>
      <c r="K24" s="29"/>
      <c r="L24" s="29"/>
      <c r="M24" s="29"/>
      <c r="N24" s="29"/>
      <c r="O24" s="29"/>
      <c r="P24" s="29"/>
      <c r="Q24" s="29"/>
      <c r="R24" s="29"/>
      <c r="S24" s="29"/>
      <c r="T24" s="25"/>
      <c r="W24" s="236" t="s">
        <v>10</v>
      </c>
      <c r="X24" s="239">
        <v>1.6982999999999998E-2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6" t="s">
        <v>117</v>
      </c>
      <c r="X25" s="239">
        <v>1.6070000000000001E-2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6" t="s">
        <v>16</v>
      </c>
      <c r="X26" s="239">
        <v>1.5172000000000001E-2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6" t="s">
        <v>116</v>
      </c>
      <c r="X27" s="239">
        <v>1.4853999999999999E-2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6" t="s">
        <v>24</v>
      </c>
      <c r="X28" s="239">
        <v>1.4271000000000001E-2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6" t="s">
        <v>83</v>
      </c>
      <c r="X29" s="239">
        <v>1.3936E-2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6" t="s">
        <v>86</v>
      </c>
      <c r="X30" s="239">
        <v>1.2834E-2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6" t="s">
        <v>122</v>
      </c>
      <c r="X31" s="239">
        <v>1.2541E-2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6" t="s">
        <v>118</v>
      </c>
      <c r="X32" s="239">
        <v>1.2411E-2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6" t="s">
        <v>85</v>
      </c>
      <c r="X33" s="239">
        <v>1.1871E-2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6" t="s">
        <v>133</v>
      </c>
      <c r="X34" s="239">
        <v>1.1632E-2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6" t="s">
        <v>112</v>
      </c>
      <c r="X35" s="239">
        <v>9.7800000000000005E-3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6" t="s">
        <v>115</v>
      </c>
      <c r="X36" s="239">
        <v>9.3270000000000002E-3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6" t="s">
        <v>123</v>
      </c>
      <c r="X37" s="239">
        <v>8.3160000000000005E-3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6" t="s">
        <v>13</v>
      </c>
      <c r="X38" s="239">
        <v>8.1949999999999992E-3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6" t="s">
        <v>87</v>
      </c>
      <c r="X39" s="239">
        <v>7.6020000000000003E-3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6" t="s">
        <v>126</v>
      </c>
      <c r="X40" s="239">
        <v>6.515E-3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6" t="s">
        <v>95</v>
      </c>
      <c r="X41" s="239">
        <v>5.7540000000000004E-3</v>
      </c>
    </row>
    <row r="42" spans="2:24" ht="15" customHeight="1" x14ac:dyDescent="0.25">
      <c r="B42" s="269" t="s">
        <v>182</v>
      </c>
      <c r="C42" s="270"/>
      <c r="D42" s="270"/>
      <c r="E42" s="270"/>
      <c r="F42" s="270"/>
      <c r="G42" s="270"/>
      <c r="H42" s="270"/>
      <c r="I42" s="270"/>
      <c r="J42" s="270"/>
      <c r="K42" s="270"/>
      <c r="L42" s="270"/>
      <c r="M42" s="270"/>
      <c r="N42" s="270"/>
      <c r="O42" s="270"/>
      <c r="P42" s="270"/>
      <c r="Q42" s="270"/>
      <c r="R42" s="271"/>
      <c r="T42" s="29"/>
      <c r="W42" s="236" t="s">
        <v>137</v>
      </c>
      <c r="X42" s="239">
        <v>5.2839999999999996E-3</v>
      </c>
    </row>
    <row r="43" spans="2:24" ht="15" customHeight="1" x14ac:dyDescent="0.25">
      <c r="B43" s="272"/>
      <c r="C43" s="273"/>
      <c r="D43" s="273"/>
      <c r="E43" s="273"/>
      <c r="F43" s="273"/>
      <c r="G43" s="273"/>
      <c r="H43" s="273"/>
      <c r="I43" s="273"/>
      <c r="J43" s="273"/>
      <c r="K43" s="273"/>
      <c r="L43" s="273"/>
      <c r="M43" s="273"/>
      <c r="N43" s="273"/>
      <c r="O43" s="273"/>
      <c r="P43" s="273"/>
      <c r="Q43" s="273"/>
      <c r="R43" s="274"/>
      <c r="T43" s="29"/>
      <c r="W43" s="236" t="s">
        <v>84</v>
      </c>
      <c r="X43" s="239">
        <v>4.5929999999999999E-3</v>
      </c>
    </row>
    <row r="44" spans="2:24" ht="15" customHeight="1" x14ac:dyDescent="0.25">
      <c r="B44" s="272"/>
      <c r="C44" s="273"/>
      <c r="D44" s="273"/>
      <c r="E44" s="273"/>
      <c r="F44" s="273"/>
      <c r="G44" s="273"/>
      <c r="H44" s="273"/>
      <c r="I44" s="273"/>
      <c r="J44" s="273"/>
      <c r="K44" s="273"/>
      <c r="L44" s="273"/>
      <c r="M44" s="273"/>
      <c r="N44" s="273"/>
      <c r="O44" s="273"/>
      <c r="P44" s="273"/>
      <c r="Q44" s="273"/>
      <c r="R44" s="274"/>
      <c r="T44" s="29"/>
      <c r="W44" s="236" t="s">
        <v>121</v>
      </c>
      <c r="X44" s="239">
        <v>3.2529999999999998E-3</v>
      </c>
    </row>
    <row r="45" spans="2:24" ht="15" customHeight="1" x14ac:dyDescent="0.25">
      <c r="B45" s="272"/>
      <c r="C45" s="273"/>
      <c r="D45" s="273"/>
      <c r="E45" s="273"/>
      <c r="F45" s="273"/>
      <c r="G45" s="273"/>
      <c r="H45" s="273"/>
      <c r="I45" s="273"/>
      <c r="J45" s="273"/>
      <c r="K45" s="273"/>
      <c r="L45" s="273"/>
      <c r="M45" s="273"/>
      <c r="N45" s="273"/>
      <c r="O45" s="273"/>
      <c r="P45" s="273"/>
      <c r="Q45" s="273"/>
      <c r="R45" s="274"/>
      <c r="T45" s="29"/>
      <c r="W45" s="236" t="s">
        <v>11</v>
      </c>
      <c r="X45" s="239">
        <v>2.0509999999999999E-3</v>
      </c>
    </row>
    <row r="46" spans="2:24" ht="15" customHeight="1" x14ac:dyDescent="0.25">
      <c r="B46" s="272"/>
      <c r="C46" s="273"/>
      <c r="D46" s="273"/>
      <c r="E46" s="273"/>
      <c r="F46" s="273"/>
      <c r="G46" s="273"/>
      <c r="H46" s="273"/>
      <c r="I46" s="273"/>
      <c r="J46" s="273"/>
      <c r="K46" s="273"/>
      <c r="L46" s="273"/>
      <c r="M46" s="273"/>
      <c r="N46" s="273"/>
      <c r="O46" s="273"/>
      <c r="P46" s="273"/>
      <c r="Q46" s="273"/>
      <c r="R46" s="274"/>
      <c r="T46" s="29"/>
      <c r="X46" s="239"/>
    </row>
    <row r="47" spans="2:24" ht="15" customHeight="1" x14ac:dyDescent="0.25">
      <c r="B47" s="272"/>
      <c r="C47" s="273"/>
      <c r="D47" s="273"/>
      <c r="E47" s="273"/>
      <c r="F47" s="273"/>
      <c r="G47" s="273"/>
      <c r="H47" s="273"/>
      <c r="I47" s="273"/>
      <c r="J47" s="273"/>
      <c r="K47" s="273"/>
      <c r="L47" s="273"/>
      <c r="M47" s="273"/>
      <c r="N47" s="273"/>
      <c r="O47" s="273"/>
      <c r="P47" s="273"/>
      <c r="Q47" s="273"/>
      <c r="R47" s="274"/>
      <c r="T47" s="29"/>
      <c r="X47" s="239"/>
    </row>
    <row r="48" spans="2:24" ht="15" customHeight="1" thickBot="1" x14ac:dyDescent="0.3">
      <c r="B48" s="275"/>
      <c r="C48" s="276"/>
      <c r="D48" s="276"/>
      <c r="E48" s="276"/>
      <c r="F48" s="276"/>
      <c r="G48" s="276"/>
      <c r="H48" s="276"/>
      <c r="I48" s="276"/>
      <c r="J48" s="276"/>
      <c r="K48" s="276"/>
      <c r="L48" s="276"/>
      <c r="M48" s="276"/>
      <c r="N48" s="276"/>
      <c r="O48" s="276"/>
      <c r="P48" s="276"/>
      <c r="Q48" s="276"/>
      <c r="R48" s="277"/>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8" t="s">
        <v>171</v>
      </c>
      <c r="D3" s="279"/>
      <c r="E3" s="279"/>
      <c r="F3" s="279"/>
      <c r="G3" s="279"/>
      <c r="H3" s="279"/>
      <c r="I3" s="279"/>
      <c r="J3" s="279"/>
      <c r="K3" s="279"/>
      <c r="L3" s="279"/>
      <c r="M3" s="279"/>
      <c r="N3" s="279"/>
      <c r="O3" s="279"/>
      <c r="P3" s="279"/>
      <c r="Q3" s="279"/>
      <c r="R3" s="279"/>
      <c r="S3" s="279"/>
      <c r="T3" s="25"/>
    </row>
    <row r="4" spans="1:24" ht="15.75" customHeight="1" x14ac:dyDescent="0.25">
      <c r="B4" s="64"/>
      <c r="C4" s="67" t="s">
        <v>412</v>
      </c>
      <c r="D4" s="150"/>
      <c r="E4" s="29"/>
      <c r="F4" s="29"/>
      <c r="G4" s="29"/>
      <c r="H4" s="29"/>
      <c r="I4" s="29"/>
      <c r="J4" s="29"/>
      <c r="K4" s="29"/>
      <c r="L4" s="29"/>
      <c r="M4" s="29"/>
      <c r="N4" s="29"/>
      <c r="O4" s="29"/>
      <c r="P4" s="29"/>
      <c r="Q4" s="29"/>
      <c r="R4" s="29"/>
      <c r="S4" s="29"/>
      <c r="T4" s="25"/>
    </row>
    <row r="5" spans="1:24" ht="18" customHeight="1" x14ac:dyDescent="0.25">
      <c r="B5" s="64"/>
      <c r="C5" s="221" t="s">
        <v>411</v>
      </c>
      <c r="D5" s="280" t="s">
        <v>373</v>
      </c>
      <c r="E5" s="280"/>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1" t="s">
        <v>29</v>
      </c>
      <c r="D8" s="194" t="s">
        <v>3</v>
      </c>
      <c r="E8" s="195">
        <v>9.2254000000000003E-2</v>
      </c>
      <c r="F8" s="29"/>
      <c r="G8" s="29"/>
      <c r="H8" s="29"/>
      <c r="I8" s="29"/>
      <c r="J8" s="29"/>
      <c r="K8" s="29"/>
      <c r="L8" s="29"/>
      <c r="M8" s="29"/>
      <c r="N8" s="29"/>
      <c r="O8" s="29"/>
      <c r="P8" s="29"/>
      <c r="Q8" s="29"/>
      <c r="R8" s="29"/>
      <c r="S8" s="29"/>
      <c r="T8" s="25"/>
      <c r="W8" s="173" t="s">
        <v>3</v>
      </c>
      <c r="X8" s="174">
        <v>0.1978</v>
      </c>
    </row>
    <row r="9" spans="1:24" ht="15.75" customHeight="1" x14ac:dyDescent="0.25">
      <c r="B9" s="64"/>
      <c r="C9" s="202" t="s">
        <v>31</v>
      </c>
      <c r="D9" s="196" t="s">
        <v>6</v>
      </c>
      <c r="E9" s="197">
        <v>6.9722999999999993E-2</v>
      </c>
      <c r="F9" s="29"/>
      <c r="G9" s="29"/>
      <c r="H9" s="29"/>
      <c r="I9" s="29"/>
      <c r="J9" s="29"/>
      <c r="K9" s="29"/>
      <c r="L9" s="29"/>
      <c r="M9" s="29"/>
      <c r="N9" s="29"/>
      <c r="O9" s="29"/>
      <c r="P9" s="29"/>
      <c r="Q9" s="29"/>
      <c r="R9" s="29"/>
      <c r="S9" s="29"/>
      <c r="T9" s="25"/>
      <c r="W9" s="173" t="s">
        <v>107</v>
      </c>
      <c r="X9" s="174">
        <v>0.14176900000000001</v>
      </c>
    </row>
    <row r="10" spans="1:24" ht="15" customHeight="1" x14ac:dyDescent="0.25">
      <c r="B10" s="64"/>
      <c r="C10" s="202" t="s">
        <v>28</v>
      </c>
      <c r="D10" s="196" t="s">
        <v>107</v>
      </c>
      <c r="E10" s="197">
        <v>6.7554000000000003E-2</v>
      </c>
      <c r="F10" s="29"/>
      <c r="G10" s="29"/>
      <c r="H10" s="29"/>
      <c r="I10" s="29"/>
      <c r="J10" s="29"/>
      <c r="K10" s="29"/>
      <c r="L10" s="29"/>
      <c r="M10" s="29"/>
      <c r="N10" s="29"/>
      <c r="O10" s="29"/>
      <c r="P10" s="29"/>
      <c r="Q10" s="29"/>
      <c r="R10" s="29"/>
      <c r="S10" s="29"/>
      <c r="T10" s="25"/>
      <c r="W10" s="173" t="s">
        <v>112</v>
      </c>
      <c r="X10" s="174">
        <v>7.6985999999999999E-2</v>
      </c>
    </row>
    <row r="11" spans="1:24" ht="15" customHeight="1" x14ac:dyDescent="0.25">
      <c r="B11" s="64"/>
      <c r="C11" s="202" t="s">
        <v>32</v>
      </c>
      <c r="D11" s="196" t="s">
        <v>3</v>
      </c>
      <c r="E11" s="197">
        <v>6.5934000000000006E-2</v>
      </c>
      <c r="F11" s="29"/>
      <c r="G11" s="29"/>
      <c r="H11" s="29"/>
      <c r="I11" s="29"/>
      <c r="J11" s="29"/>
      <c r="K11" s="29"/>
      <c r="L11" s="29"/>
      <c r="M11" s="29"/>
      <c r="N11" s="29"/>
      <c r="O11" s="29"/>
      <c r="P11" s="29"/>
      <c r="Q11" s="29"/>
      <c r="R11" s="29"/>
      <c r="S11" s="29"/>
      <c r="T11" s="25"/>
      <c r="W11" s="173" t="s">
        <v>6</v>
      </c>
      <c r="X11" s="174">
        <v>6.9722999999999993E-2</v>
      </c>
    </row>
    <row r="12" spans="1:24" ht="15" customHeight="1" x14ac:dyDescent="0.25">
      <c r="B12" s="64"/>
      <c r="C12" s="202" t="s">
        <v>33</v>
      </c>
      <c r="D12" s="196" t="s">
        <v>107</v>
      </c>
      <c r="E12" s="197">
        <v>5.5185999999999999E-2</v>
      </c>
      <c r="F12" s="29"/>
      <c r="G12" s="29"/>
      <c r="H12" s="29"/>
      <c r="I12" s="29"/>
      <c r="J12" s="29"/>
      <c r="K12" s="29"/>
      <c r="L12" s="29"/>
      <c r="M12" s="29"/>
      <c r="N12" s="29"/>
      <c r="O12" s="29"/>
      <c r="P12" s="29"/>
      <c r="Q12" s="29"/>
      <c r="R12" s="29"/>
      <c r="S12" s="29"/>
      <c r="T12" s="25"/>
      <c r="W12" s="173" t="s">
        <v>111</v>
      </c>
      <c r="X12" s="174">
        <v>6.2063E-2</v>
      </c>
    </row>
    <row r="13" spans="1:24" ht="15" customHeight="1" x14ac:dyDescent="0.25">
      <c r="B13" s="64"/>
      <c r="C13" s="202" t="s">
        <v>120</v>
      </c>
      <c r="D13" s="196" t="s">
        <v>112</v>
      </c>
      <c r="E13" s="197">
        <v>3.023E-2</v>
      </c>
      <c r="F13" s="29"/>
      <c r="G13" s="29"/>
      <c r="H13" s="29"/>
      <c r="I13" s="29"/>
      <c r="J13" s="29"/>
      <c r="K13" s="29"/>
      <c r="L13" s="29"/>
      <c r="M13" s="29"/>
      <c r="N13" s="29"/>
      <c r="O13" s="29"/>
      <c r="P13" s="29"/>
      <c r="Q13" s="29"/>
      <c r="R13" s="29"/>
      <c r="S13" s="29"/>
      <c r="T13" s="25"/>
      <c r="W13" s="173" t="s">
        <v>4</v>
      </c>
      <c r="X13" s="174">
        <v>4.6865000000000004E-2</v>
      </c>
    </row>
    <row r="14" spans="1:24" ht="15" customHeight="1" x14ac:dyDescent="0.25">
      <c r="B14" s="64"/>
      <c r="C14" s="202" t="s">
        <v>70</v>
      </c>
      <c r="D14" s="196" t="s">
        <v>12</v>
      </c>
      <c r="E14" s="197">
        <v>2.9496999999999999E-2</v>
      </c>
      <c r="F14" s="29"/>
      <c r="G14" s="29"/>
      <c r="H14" s="29"/>
      <c r="I14" s="29"/>
      <c r="J14" s="29"/>
      <c r="K14" s="29"/>
      <c r="L14" s="29"/>
      <c r="M14" s="29"/>
      <c r="N14" s="29"/>
      <c r="O14" s="29"/>
      <c r="P14" s="29"/>
      <c r="Q14" s="29"/>
      <c r="R14" s="29"/>
      <c r="S14" s="29"/>
      <c r="T14" s="25"/>
      <c r="W14" s="173" t="s">
        <v>117</v>
      </c>
      <c r="X14" s="174">
        <v>4.3924999999999999E-2</v>
      </c>
    </row>
    <row r="15" spans="1:24" ht="15" customHeight="1" x14ac:dyDescent="0.25">
      <c r="B15" s="64"/>
      <c r="C15" s="202" t="s">
        <v>212</v>
      </c>
      <c r="D15" s="196" t="s">
        <v>111</v>
      </c>
      <c r="E15" s="197">
        <v>2.8905E-2</v>
      </c>
      <c r="F15" s="29"/>
      <c r="G15" s="29"/>
      <c r="H15" s="29"/>
      <c r="I15" s="29"/>
      <c r="J15" s="29"/>
      <c r="K15" s="29"/>
      <c r="L15" s="29"/>
      <c r="M15" s="29"/>
      <c r="N15" s="29"/>
      <c r="O15" s="29"/>
      <c r="P15" s="29"/>
      <c r="Q15" s="29"/>
      <c r="R15" s="29"/>
      <c r="S15" s="29"/>
      <c r="T15" s="25"/>
      <c r="W15" s="173" t="s">
        <v>26</v>
      </c>
      <c r="X15" s="174">
        <v>3.7955000000000003E-2</v>
      </c>
    </row>
    <row r="16" spans="1:24" ht="15" customHeight="1" x14ac:dyDescent="0.25">
      <c r="B16" s="64"/>
      <c r="C16" s="202" t="s">
        <v>260</v>
      </c>
      <c r="D16" s="196" t="s">
        <v>83</v>
      </c>
      <c r="E16" s="197">
        <v>2.8412E-2</v>
      </c>
      <c r="F16" s="29"/>
      <c r="G16" s="29"/>
      <c r="H16" s="29"/>
      <c r="I16" s="29"/>
      <c r="J16" s="29"/>
      <c r="K16" s="29"/>
      <c r="L16" s="29"/>
      <c r="M16" s="29"/>
      <c r="N16" s="29"/>
      <c r="O16" s="29"/>
      <c r="P16" s="29"/>
      <c r="Q16" s="29"/>
      <c r="R16" s="29"/>
      <c r="S16" s="29"/>
      <c r="T16" s="25"/>
      <c r="W16" s="173" t="s">
        <v>12</v>
      </c>
      <c r="X16" s="174">
        <v>2.9496999999999999E-2</v>
      </c>
    </row>
    <row r="17" spans="2:24" ht="15" customHeight="1" x14ac:dyDescent="0.25">
      <c r="B17" s="64"/>
      <c r="C17" s="202" t="s">
        <v>30</v>
      </c>
      <c r="D17" s="196" t="s">
        <v>117</v>
      </c>
      <c r="E17" s="197">
        <v>2.4303999999999999E-2</v>
      </c>
      <c r="F17" s="29"/>
      <c r="G17" s="29"/>
      <c r="H17" s="29"/>
      <c r="I17" s="29"/>
      <c r="J17" s="29"/>
      <c r="K17" s="29"/>
      <c r="L17" s="29"/>
      <c r="M17" s="29"/>
      <c r="N17" s="29"/>
      <c r="O17" s="29"/>
      <c r="P17" s="29"/>
      <c r="Q17" s="29"/>
      <c r="R17" s="29"/>
      <c r="S17" s="29"/>
      <c r="T17" s="25"/>
      <c r="W17" s="173" t="s">
        <v>83</v>
      </c>
      <c r="X17" s="174">
        <v>2.8412E-2</v>
      </c>
    </row>
    <row r="18" spans="2:24" ht="15" customHeight="1" x14ac:dyDescent="0.25">
      <c r="B18" s="64"/>
      <c r="C18" s="202" t="s">
        <v>36</v>
      </c>
      <c r="D18" s="196" t="s">
        <v>3</v>
      </c>
      <c r="E18" s="197">
        <v>2.3040000000000001E-2</v>
      </c>
      <c r="F18" s="29"/>
      <c r="G18" s="29"/>
      <c r="H18" s="29"/>
      <c r="I18" s="29"/>
      <c r="J18" s="29"/>
      <c r="K18" s="29"/>
      <c r="L18" s="29"/>
      <c r="M18" s="29"/>
      <c r="N18" s="29"/>
      <c r="O18" s="29"/>
      <c r="P18" s="29"/>
      <c r="Q18" s="29"/>
      <c r="R18" s="29"/>
      <c r="S18" s="29"/>
      <c r="T18" s="25"/>
      <c r="W18" s="173" t="s">
        <v>84</v>
      </c>
      <c r="X18" s="174">
        <v>2.2907999999999998E-2</v>
      </c>
    </row>
    <row r="19" spans="2:24" ht="15" customHeight="1" x14ac:dyDescent="0.25">
      <c r="B19" s="64"/>
      <c r="C19" s="202" t="s">
        <v>197</v>
      </c>
      <c r="D19" s="196" t="s">
        <v>106</v>
      </c>
      <c r="E19" s="197">
        <v>2.1760000000000002E-2</v>
      </c>
      <c r="F19" s="29"/>
      <c r="G19" s="29"/>
      <c r="H19" s="29"/>
      <c r="I19" s="29"/>
      <c r="J19" s="29"/>
      <c r="K19" s="29"/>
      <c r="L19" s="29"/>
      <c r="M19" s="29"/>
      <c r="N19" s="29"/>
      <c r="O19" s="29"/>
      <c r="P19" s="29"/>
      <c r="Q19" s="29"/>
      <c r="R19" s="29"/>
      <c r="S19" s="29"/>
      <c r="T19" s="25"/>
      <c r="W19" s="173" t="s">
        <v>121</v>
      </c>
      <c r="X19" s="174">
        <v>2.1971999999999998E-2</v>
      </c>
    </row>
    <row r="20" spans="2:24" ht="15" customHeight="1" x14ac:dyDescent="0.25">
      <c r="B20" s="64"/>
      <c r="C20" s="202" t="s">
        <v>37</v>
      </c>
      <c r="D20" s="196" t="s">
        <v>117</v>
      </c>
      <c r="E20" s="197">
        <v>1.9621E-2</v>
      </c>
      <c r="F20" s="29"/>
      <c r="G20" s="29"/>
      <c r="H20" s="29"/>
      <c r="I20" s="29"/>
      <c r="J20" s="29"/>
      <c r="K20" s="29"/>
      <c r="L20" s="29"/>
      <c r="M20" s="29"/>
      <c r="N20" s="29"/>
      <c r="O20" s="29"/>
      <c r="P20" s="29"/>
      <c r="Q20" s="29"/>
      <c r="R20" s="29"/>
      <c r="S20" s="29"/>
      <c r="T20" s="25"/>
      <c r="W20" s="173" t="s">
        <v>106</v>
      </c>
      <c r="X20" s="174">
        <v>2.1760000000000002E-2</v>
      </c>
    </row>
    <row r="21" spans="2:24" ht="15" customHeight="1" x14ac:dyDescent="0.25">
      <c r="B21" s="64"/>
      <c r="C21" s="202" t="s">
        <v>35</v>
      </c>
      <c r="D21" s="196" t="s">
        <v>3</v>
      </c>
      <c r="E21" s="197">
        <v>1.6572E-2</v>
      </c>
      <c r="F21" s="29"/>
      <c r="G21" s="29"/>
      <c r="H21" s="29"/>
      <c r="I21" s="29"/>
      <c r="J21" s="29"/>
      <c r="K21" s="29"/>
      <c r="L21" s="29"/>
      <c r="M21" s="29"/>
      <c r="N21" s="29"/>
      <c r="O21" s="29"/>
      <c r="P21" s="29"/>
      <c r="Q21" s="29"/>
      <c r="R21" s="29"/>
      <c r="S21" s="29"/>
      <c r="T21" s="25"/>
      <c r="W21" s="173" t="s">
        <v>11</v>
      </c>
      <c r="X21" s="174">
        <v>1.8203E-2</v>
      </c>
    </row>
    <row r="22" spans="2:24" ht="15" customHeight="1" x14ac:dyDescent="0.25">
      <c r="B22" s="64"/>
      <c r="C22" s="202" t="s">
        <v>105</v>
      </c>
      <c r="D22" s="196" t="s">
        <v>4</v>
      </c>
      <c r="E22" s="197">
        <v>1.6544E-2</v>
      </c>
      <c r="F22" s="29"/>
      <c r="G22" s="29"/>
      <c r="H22" s="29"/>
      <c r="I22" s="29"/>
      <c r="J22" s="29"/>
      <c r="K22" s="29"/>
      <c r="L22" s="29"/>
      <c r="M22" s="29"/>
      <c r="N22" s="29"/>
      <c r="O22" s="29"/>
      <c r="P22" s="29"/>
      <c r="Q22" s="29"/>
      <c r="R22" s="29"/>
      <c r="S22" s="29"/>
      <c r="T22" s="25"/>
      <c r="W22" s="173" t="s">
        <v>87</v>
      </c>
      <c r="X22" s="174">
        <v>1.6029000000000002E-2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288</v>
      </c>
      <c r="X23" s="174">
        <v>1.5268E-2</v>
      </c>
    </row>
    <row r="24" spans="2:24" ht="15" customHeight="1" x14ac:dyDescent="0.25">
      <c r="B24" s="64"/>
      <c r="C24" s="73" t="s">
        <v>55</v>
      </c>
      <c r="D24" s="74"/>
      <c r="E24" s="75">
        <f>SUM(E8:E23)</f>
        <v>0.58953599999999995</v>
      </c>
      <c r="F24" s="29"/>
      <c r="G24" s="29"/>
      <c r="H24" s="29"/>
      <c r="I24" s="29"/>
      <c r="J24" s="29"/>
      <c r="K24" s="29"/>
      <c r="L24" s="29"/>
      <c r="M24" s="29"/>
      <c r="N24" s="29"/>
      <c r="O24" s="29"/>
      <c r="P24" s="29"/>
      <c r="Q24" s="29"/>
      <c r="R24" s="29"/>
      <c r="S24" s="29"/>
      <c r="T24" s="25"/>
      <c r="W24" s="173" t="s">
        <v>108</v>
      </c>
      <c r="X24" s="174">
        <v>1.4952E-2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23</v>
      </c>
      <c r="X25" s="174">
        <v>1.3993999999999999E-2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124</v>
      </c>
      <c r="X26" s="174">
        <v>1.0607E-2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115</v>
      </c>
      <c r="X27" s="174">
        <v>9.6740000000000003E-3</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126</v>
      </c>
      <c r="X28" s="174">
        <v>9.2460000000000007E-3</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16</v>
      </c>
      <c r="X29" s="174">
        <v>8.4209999999999997E-3</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86</v>
      </c>
      <c r="X30" s="174">
        <v>7.502E-3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113</v>
      </c>
      <c r="X31" s="174">
        <v>6.7799999999999996E-3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184</v>
      </c>
      <c r="X32" s="174">
        <v>6.1799999999999997E-3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85</v>
      </c>
      <c r="X33" s="174">
        <v>4.6810000000000003E-3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119</v>
      </c>
      <c r="X34" s="174">
        <v>3.813E-3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237</v>
      </c>
      <c r="X35" s="174">
        <v>1.9659999999999999E-3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c r="X36" s="174"/>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9" t="s">
        <v>182</v>
      </c>
      <c r="C49" s="270"/>
      <c r="D49" s="270"/>
      <c r="E49" s="270"/>
      <c r="F49" s="270"/>
      <c r="G49" s="270"/>
      <c r="H49" s="270"/>
      <c r="I49" s="270"/>
      <c r="J49" s="270"/>
      <c r="K49" s="270"/>
      <c r="L49" s="270"/>
      <c r="M49" s="270"/>
      <c r="N49" s="270"/>
      <c r="O49" s="270"/>
      <c r="P49" s="270"/>
      <c r="Q49" s="270"/>
      <c r="R49" s="271"/>
    </row>
    <row r="50" spans="2:18" ht="15" customHeight="1" x14ac:dyDescent="0.25">
      <c r="B50" s="272"/>
      <c r="C50" s="273"/>
      <c r="D50" s="273"/>
      <c r="E50" s="273"/>
      <c r="F50" s="273"/>
      <c r="G50" s="273"/>
      <c r="H50" s="273"/>
      <c r="I50" s="273"/>
      <c r="J50" s="273"/>
      <c r="K50" s="273"/>
      <c r="L50" s="273"/>
      <c r="M50" s="273"/>
      <c r="N50" s="273"/>
      <c r="O50" s="273"/>
      <c r="P50" s="273"/>
      <c r="Q50" s="273"/>
      <c r="R50" s="274"/>
    </row>
    <row r="51" spans="2:18" ht="15" customHeight="1" x14ac:dyDescent="0.25">
      <c r="B51" s="272"/>
      <c r="C51" s="273"/>
      <c r="D51" s="273"/>
      <c r="E51" s="273"/>
      <c r="F51" s="273"/>
      <c r="G51" s="273"/>
      <c r="H51" s="273"/>
      <c r="I51" s="273"/>
      <c r="J51" s="273"/>
      <c r="K51" s="273"/>
      <c r="L51" s="273"/>
      <c r="M51" s="273"/>
      <c r="N51" s="273"/>
      <c r="O51" s="273"/>
      <c r="P51" s="273"/>
      <c r="Q51" s="273"/>
      <c r="R51" s="274"/>
    </row>
    <row r="52" spans="2:18" ht="15" customHeight="1" x14ac:dyDescent="0.25">
      <c r="B52" s="272"/>
      <c r="C52" s="273"/>
      <c r="D52" s="273"/>
      <c r="E52" s="273"/>
      <c r="F52" s="273"/>
      <c r="G52" s="273"/>
      <c r="H52" s="273"/>
      <c r="I52" s="273"/>
      <c r="J52" s="273"/>
      <c r="K52" s="273"/>
      <c r="L52" s="273"/>
      <c r="M52" s="273"/>
      <c r="N52" s="273"/>
      <c r="O52" s="273"/>
      <c r="P52" s="273"/>
      <c r="Q52" s="273"/>
      <c r="R52" s="274"/>
    </row>
    <row r="53" spans="2:18" ht="15" customHeight="1" x14ac:dyDescent="0.25">
      <c r="B53" s="272"/>
      <c r="C53" s="273"/>
      <c r="D53" s="273"/>
      <c r="E53" s="273"/>
      <c r="F53" s="273"/>
      <c r="G53" s="273"/>
      <c r="H53" s="273"/>
      <c r="I53" s="273"/>
      <c r="J53" s="273"/>
      <c r="K53" s="273"/>
      <c r="L53" s="273"/>
      <c r="M53" s="273"/>
      <c r="N53" s="273"/>
      <c r="O53" s="273"/>
      <c r="P53" s="273"/>
      <c r="Q53" s="273"/>
      <c r="R53" s="274"/>
    </row>
    <row r="54" spans="2:18" ht="15" customHeight="1" x14ac:dyDescent="0.25">
      <c r="B54" s="272"/>
      <c r="C54" s="273"/>
      <c r="D54" s="273"/>
      <c r="E54" s="273"/>
      <c r="F54" s="273"/>
      <c r="G54" s="273"/>
      <c r="H54" s="273"/>
      <c r="I54" s="273"/>
      <c r="J54" s="273"/>
      <c r="K54" s="273"/>
      <c r="L54" s="273"/>
      <c r="M54" s="273"/>
      <c r="N54" s="273"/>
      <c r="O54" s="273"/>
      <c r="P54" s="273"/>
      <c r="Q54" s="273"/>
      <c r="R54" s="274"/>
    </row>
    <row r="55" spans="2:18" ht="15" customHeight="1" thickBot="1" x14ac:dyDescent="0.3">
      <c r="B55" s="275"/>
      <c r="C55" s="276"/>
      <c r="D55" s="276"/>
      <c r="E55" s="276"/>
      <c r="F55" s="276"/>
      <c r="G55" s="276"/>
      <c r="H55" s="276"/>
      <c r="I55" s="276"/>
      <c r="J55" s="276"/>
      <c r="K55" s="276"/>
      <c r="L55" s="276"/>
      <c r="M55" s="276"/>
      <c r="N55" s="276"/>
      <c r="O55" s="276"/>
      <c r="P55" s="276"/>
      <c r="Q55" s="276"/>
      <c r="R55" s="277"/>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170</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374</v>
      </c>
      <c r="E5" s="28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29</v>
      </c>
      <c r="D8" s="194" t="s">
        <v>3</v>
      </c>
      <c r="E8" s="195">
        <v>9.1442999999999997E-2</v>
      </c>
      <c r="F8" s="29"/>
      <c r="G8" s="29"/>
      <c r="H8" s="29"/>
      <c r="I8" s="29"/>
      <c r="J8" s="29"/>
      <c r="K8" s="29"/>
      <c r="L8" s="29"/>
      <c r="M8" s="29"/>
      <c r="N8" s="29"/>
      <c r="O8" s="29"/>
      <c r="P8" s="29"/>
      <c r="Q8" s="29"/>
      <c r="R8" s="29"/>
      <c r="S8" s="29"/>
      <c r="T8" s="22"/>
      <c r="W8" s="173" t="s">
        <v>3</v>
      </c>
      <c r="X8" s="174">
        <v>0.16967599999999999</v>
      </c>
    </row>
    <row r="9" spans="1:24" ht="15.75" customHeight="1" x14ac:dyDescent="0.25">
      <c r="B9" s="79"/>
      <c r="C9" s="188" t="s">
        <v>32</v>
      </c>
      <c r="D9" s="196" t="s">
        <v>3</v>
      </c>
      <c r="E9" s="197">
        <v>7.8232999999999997E-2</v>
      </c>
      <c r="F9" s="29"/>
      <c r="G9" s="29"/>
      <c r="H9" s="29"/>
      <c r="I9" s="29"/>
      <c r="J9" s="29"/>
      <c r="K9" s="29"/>
      <c r="L9" s="29"/>
      <c r="M9" s="29"/>
      <c r="N9" s="29"/>
      <c r="O9" s="29"/>
      <c r="P9" s="29"/>
      <c r="Q9" s="29"/>
      <c r="R9" s="29"/>
      <c r="S9" s="29"/>
      <c r="T9" s="22"/>
      <c r="W9" s="173" t="s">
        <v>26</v>
      </c>
      <c r="X9" s="174">
        <v>0.12842100000000001</v>
      </c>
    </row>
    <row r="10" spans="1:24" ht="15" customHeight="1" x14ac:dyDescent="0.25">
      <c r="B10" s="79"/>
      <c r="C10" s="188" t="s">
        <v>198</v>
      </c>
      <c r="D10" s="196" t="s">
        <v>119</v>
      </c>
      <c r="E10" s="197">
        <v>5.3887999999999998E-2</v>
      </c>
      <c r="F10" s="29"/>
      <c r="G10" s="29"/>
      <c r="H10" s="29"/>
      <c r="I10" s="29"/>
      <c r="J10" s="29"/>
      <c r="K10" s="29"/>
      <c r="L10" s="29"/>
      <c r="M10" s="29"/>
      <c r="N10" s="29"/>
      <c r="O10" s="29"/>
      <c r="P10" s="29"/>
      <c r="Q10" s="29"/>
      <c r="R10" s="29"/>
      <c r="S10" s="29"/>
      <c r="T10" s="22"/>
      <c r="W10" s="173" t="s">
        <v>107</v>
      </c>
      <c r="X10" s="174">
        <v>0.114703</v>
      </c>
    </row>
    <row r="11" spans="1:24" ht="15" customHeight="1" x14ac:dyDescent="0.25">
      <c r="B11" s="79"/>
      <c r="C11" s="188" t="s">
        <v>138</v>
      </c>
      <c r="D11" s="196" t="s">
        <v>26</v>
      </c>
      <c r="E11" s="197">
        <v>5.3615999999999997E-2</v>
      </c>
      <c r="F11" s="29"/>
      <c r="G11" s="29"/>
      <c r="H11" s="29"/>
      <c r="I11" s="29"/>
      <c r="J11" s="29"/>
      <c r="K11" s="29"/>
      <c r="L11" s="29"/>
      <c r="M11" s="29"/>
      <c r="N11" s="29"/>
      <c r="O11" s="29"/>
      <c r="P11" s="29"/>
      <c r="Q11" s="29"/>
      <c r="R11" s="29"/>
      <c r="S11" s="29"/>
      <c r="T11" s="22"/>
      <c r="W11" s="173" t="s">
        <v>112</v>
      </c>
      <c r="X11" s="174">
        <v>5.3973999999999994E-2</v>
      </c>
    </row>
    <row r="12" spans="1:24" ht="15" customHeight="1" x14ac:dyDescent="0.25">
      <c r="B12" s="79"/>
      <c r="C12" s="188" t="s">
        <v>194</v>
      </c>
      <c r="D12" s="196" t="s">
        <v>107</v>
      </c>
      <c r="E12" s="197">
        <v>4.9613999999999998E-2</v>
      </c>
      <c r="F12" s="29"/>
      <c r="G12" s="29"/>
      <c r="H12" s="29"/>
      <c r="I12" s="29"/>
      <c r="J12" s="29"/>
      <c r="K12" s="29"/>
      <c r="L12" s="29"/>
      <c r="M12" s="29"/>
      <c r="N12" s="29"/>
      <c r="O12" s="29"/>
      <c r="P12" s="29"/>
      <c r="Q12" s="29"/>
      <c r="R12" s="29"/>
      <c r="S12" s="29"/>
      <c r="T12" s="22"/>
      <c r="W12" s="173" t="s">
        <v>119</v>
      </c>
      <c r="X12" s="174">
        <v>5.3887999999999998E-2</v>
      </c>
    </row>
    <row r="13" spans="1:24" ht="15" customHeight="1" x14ac:dyDescent="0.25">
      <c r="B13" s="79"/>
      <c r="C13" s="188" t="s">
        <v>31</v>
      </c>
      <c r="D13" s="196" t="s">
        <v>6</v>
      </c>
      <c r="E13" s="197">
        <v>4.4105999999999999E-2</v>
      </c>
      <c r="F13" s="29"/>
      <c r="G13" s="29"/>
      <c r="H13" s="29"/>
      <c r="I13" s="29"/>
      <c r="J13" s="29"/>
      <c r="K13" s="29"/>
      <c r="L13" s="29"/>
      <c r="M13" s="29"/>
      <c r="N13" s="29"/>
      <c r="O13" s="29"/>
      <c r="P13" s="29"/>
      <c r="Q13" s="29"/>
      <c r="R13" s="29"/>
      <c r="S13" s="29"/>
      <c r="T13" s="22"/>
      <c r="W13" s="173" t="s">
        <v>6</v>
      </c>
      <c r="X13" s="174">
        <v>4.4105999999999999E-2</v>
      </c>
    </row>
    <row r="14" spans="1:24" ht="15" customHeight="1" x14ac:dyDescent="0.25">
      <c r="B14" s="79"/>
      <c r="C14" s="188" t="s">
        <v>186</v>
      </c>
      <c r="D14" s="196" t="s">
        <v>113</v>
      </c>
      <c r="E14" s="197">
        <v>4.1362000000000003E-2</v>
      </c>
      <c r="F14" s="29"/>
      <c r="G14" s="29"/>
      <c r="H14" s="29"/>
      <c r="I14" s="29"/>
      <c r="J14" s="29"/>
      <c r="K14" s="29"/>
      <c r="L14" s="29"/>
      <c r="M14" s="29"/>
      <c r="N14" s="29"/>
      <c r="O14" s="29"/>
      <c r="P14" s="29"/>
      <c r="Q14" s="29"/>
      <c r="R14" s="29"/>
      <c r="S14" s="29"/>
      <c r="T14" s="22"/>
      <c r="W14" s="173" t="s">
        <v>113</v>
      </c>
      <c r="X14" s="174">
        <v>4.1362000000000003E-2</v>
      </c>
    </row>
    <row r="15" spans="1:24" ht="15" customHeight="1" x14ac:dyDescent="0.25">
      <c r="B15" s="79"/>
      <c r="C15" s="188" t="s">
        <v>28</v>
      </c>
      <c r="D15" s="196" t="s">
        <v>107</v>
      </c>
      <c r="E15" s="197">
        <v>3.7343000000000001E-2</v>
      </c>
      <c r="F15" s="29"/>
      <c r="G15" s="29"/>
      <c r="H15" s="29"/>
      <c r="I15" s="29"/>
      <c r="J15" s="29"/>
      <c r="K15" s="29"/>
      <c r="L15" s="29"/>
      <c r="M15" s="29"/>
      <c r="N15" s="29"/>
      <c r="O15" s="29"/>
      <c r="P15" s="29"/>
      <c r="Q15" s="29"/>
      <c r="R15" s="29"/>
      <c r="S15" s="29"/>
      <c r="T15" s="22"/>
      <c r="W15" s="173" t="s">
        <v>16</v>
      </c>
      <c r="X15" s="174">
        <v>3.6977999999999997E-2</v>
      </c>
    </row>
    <row r="16" spans="1:24" ht="15" customHeight="1" x14ac:dyDescent="0.25">
      <c r="B16" s="79"/>
      <c r="C16" s="188" t="s">
        <v>241</v>
      </c>
      <c r="D16" s="196" t="s">
        <v>16</v>
      </c>
      <c r="E16" s="197">
        <v>3.6977999999999997E-2</v>
      </c>
      <c r="F16" s="29"/>
      <c r="G16" s="29"/>
      <c r="H16" s="29"/>
      <c r="I16" s="29"/>
      <c r="J16" s="29"/>
      <c r="K16" s="29"/>
      <c r="L16" s="29"/>
      <c r="M16" s="29"/>
      <c r="N16" s="29"/>
      <c r="O16" s="29"/>
      <c r="P16" s="29"/>
      <c r="Q16" s="29"/>
      <c r="R16" s="29"/>
      <c r="S16" s="29"/>
      <c r="T16" s="22"/>
      <c r="W16" s="173" t="s">
        <v>4</v>
      </c>
      <c r="X16" s="174">
        <v>3.6540999999999997E-2</v>
      </c>
    </row>
    <row r="17" spans="2:24" ht="15" customHeight="1" x14ac:dyDescent="0.25">
      <c r="B17" s="79"/>
      <c r="C17" s="188" t="s">
        <v>105</v>
      </c>
      <c r="D17" s="196" t="s">
        <v>4</v>
      </c>
      <c r="E17" s="197">
        <v>3.6540999999999997E-2</v>
      </c>
      <c r="F17" s="29"/>
      <c r="G17" s="29"/>
      <c r="H17" s="29"/>
      <c r="I17" s="29"/>
      <c r="J17" s="29"/>
      <c r="K17" s="29"/>
      <c r="L17" s="29"/>
      <c r="M17" s="29"/>
      <c r="N17" s="29"/>
      <c r="O17" s="29"/>
      <c r="P17" s="29"/>
      <c r="Q17" s="29"/>
      <c r="R17" s="29"/>
      <c r="S17" s="29"/>
      <c r="T17" s="22"/>
      <c r="W17" s="173" t="s">
        <v>85</v>
      </c>
      <c r="X17" s="174">
        <v>3.4750999999999997E-2</v>
      </c>
    </row>
    <row r="18" spans="2:24" ht="15" customHeight="1" x14ac:dyDescent="0.25">
      <c r="B18" s="79"/>
      <c r="C18" s="188" t="s">
        <v>297</v>
      </c>
      <c r="D18" s="196" t="s">
        <v>85</v>
      </c>
      <c r="E18" s="197">
        <v>3.4750999999999997E-2</v>
      </c>
      <c r="F18" s="29"/>
      <c r="G18" s="29"/>
      <c r="H18" s="29"/>
      <c r="I18" s="29"/>
      <c r="J18" s="29"/>
      <c r="K18" s="29"/>
      <c r="L18" s="29"/>
      <c r="M18" s="29"/>
      <c r="N18" s="29"/>
      <c r="O18" s="29"/>
      <c r="P18" s="29"/>
      <c r="Q18" s="29"/>
      <c r="R18" s="29"/>
      <c r="S18" s="29"/>
      <c r="T18" s="22"/>
      <c r="W18" s="173" t="s">
        <v>237</v>
      </c>
      <c r="X18" s="174">
        <v>3.4654999999999998E-2</v>
      </c>
    </row>
    <row r="19" spans="2:24" ht="15" customHeight="1" x14ac:dyDescent="0.25">
      <c r="B19" s="79"/>
      <c r="C19" s="188" t="s">
        <v>335</v>
      </c>
      <c r="D19" s="196" t="s">
        <v>237</v>
      </c>
      <c r="E19" s="197">
        <v>3.4654999999999998E-2</v>
      </c>
      <c r="F19" s="29"/>
      <c r="G19" s="29"/>
      <c r="H19" s="29"/>
      <c r="I19" s="29"/>
      <c r="J19" s="29"/>
      <c r="K19" s="29"/>
      <c r="L19" s="29"/>
      <c r="M19" s="29"/>
      <c r="N19" s="29"/>
      <c r="O19" s="29"/>
      <c r="P19" s="29"/>
      <c r="Q19" s="29"/>
      <c r="R19" s="29"/>
      <c r="S19" s="29"/>
      <c r="T19" s="22"/>
      <c r="W19" s="173" t="s">
        <v>184</v>
      </c>
      <c r="X19" s="174">
        <v>3.4333000000000002E-2</v>
      </c>
    </row>
    <row r="20" spans="2:24" ht="15" customHeight="1" x14ac:dyDescent="0.25">
      <c r="B20" s="79"/>
      <c r="C20" s="188" t="s">
        <v>227</v>
      </c>
      <c r="D20" s="196" t="s">
        <v>184</v>
      </c>
      <c r="E20" s="197">
        <v>3.4333000000000002E-2</v>
      </c>
      <c r="F20" s="29"/>
      <c r="G20" s="29"/>
      <c r="H20" s="29"/>
      <c r="I20" s="29"/>
      <c r="J20" s="29"/>
      <c r="K20" s="29"/>
      <c r="L20" s="29"/>
      <c r="M20" s="29"/>
      <c r="N20" s="29"/>
      <c r="O20" s="29"/>
      <c r="P20" s="29"/>
      <c r="Q20" s="29"/>
      <c r="R20" s="29"/>
      <c r="S20" s="29"/>
      <c r="T20" s="22"/>
      <c r="W20" s="173" t="s">
        <v>111</v>
      </c>
      <c r="X20" s="174">
        <v>3.2673000000000001E-2</v>
      </c>
    </row>
    <row r="21" spans="2:24" ht="15" customHeight="1" x14ac:dyDescent="0.25">
      <c r="B21" s="79"/>
      <c r="C21" s="188" t="s">
        <v>212</v>
      </c>
      <c r="D21" s="196" t="s">
        <v>111</v>
      </c>
      <c r="E21" s="197">
        <v>3.2673000000000001E-2</v>
      </c>
      <c r="F21" s="29"/>
      <c r="G21" s="29"/>
      <c r="H21" s="29"/>
      <c r="I21" s="29"/>
      <c r="J21" s="29"/>
      <c r="K21" s="29"/>
      <c r="L21" s="29"/>
      <c r="M21" s="29"/>
      <c r="N21" s="29"/>
      <c r="O21" s="29"/>
      <c r="P21" s="29"/>
      <c r="Q21" s="29"/>
      <c r="R21" s="29"/>
      <c r="S21" s="29"/>
      <c r="T21" s="22"/>
      <c r="W21" s="173" t="s">
        <v>288</v>
      </c>
      <c r="X21" s="174">
        <v>2.9973E-2</v>
      </c>
    </row>
    <row r="22" spans="2:24" ht="15" customHeight="1" x14ac:dyDescent="0.25">
      <c r="B22" s="79"/>
      <c r="C22" s="188" t="s">
        <v>296</v>
      </c>
      <c r="D22" s="196" t="s">
        <v>288</v>
      </c>
      <c r="E22" s="197">
        <v>2.9973E-2</v>
      </c>
      <c r="F22" s="29"/>
      <c r="G22" s="29"/>
      <c r="H22" s="29"/>
      <c r="I22" s="29"/>
      <c r="J22" s="29"/>
      <c r="K22" s="29"/>
      <c r="L22" s="29"/>
      <c r="M22" s="29"/>
      <c r="N22" s="29"/>
      <c r="O22" s="29"/>
      <c r="P22" s="29"/>
      <c r="Q22" s="29"/>
      <c r="R22" s="29"/>
      <c r="S22" s="29"/>
      <c r="T22" s="22"/>
      <c r="W22" s="173" t="s">
        <v>137</v>
      </c>
      <c r="X22" s="174">
        <v>2.8969000000000002E-2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77</v>
      </c>
      <c r="X23" s="174">
        <v>2.4147999999999999E-2</v>
      </c>
    </row>
    <row r="24" spans="2:24" ht="15" customHeight="1" x14ac:dyDescent="0.25">
      <c r="B24" s="79"/>
      <c r="C24" s="73" t="s">
        <v>55</v>
      </c>
      <c r="D24" s="74"/>
      <c r="E24" s="75">
        <f>SUM(E8:E22)</f>
        <v>0.68950899999999993</v>
      </c>
      <c r="F24" s="29"/>
      <c r="G24" s="29"/>
      <c r="H24" s="29"/>
      <c r="I24" s="29"/>
      <c r="J24" s="29"/>
      <c r="K24" s="29"/>
      <c r="L24" s="29"/>
      <c r="M24" s="29"/>
      <c r="N24" s="29"/>
      <c r="O24" s="29"/>
      <c r="P24" s="29"/>
      <c r="Q24" s="29"/>
      <c r="R24" s="29"/>
      <c r="S24" s="29"/>
      <c r="T24" s="22"/>
      <c r="W24" s="173" t="s">
        <v>87</v>
      </c>
      <c r="X24" s="174">
        <v>2.3625E-2</v>
      </c>
    </row>
    <row r="25" spans="2:24" ht="15" customHeight="1" x14ac:dyDescent="0.25">
      <c r="B25" s="79"/>
      <c r="F25" s="29"/>
      <c r="G25" s="29"/>
      <c r="H25" s="29"/>
      <c r="I25" s="29"/>
      <c r="J25" s="29"/>
      <c r="K25" s="29"/>
      <c r="L25" s="29"/>
      <c r="M25" s="29"/>
      <c r="N25" s="29"/>
      <c r="O25" s="29"/>
      <c r="P25" s="29"/>
      <c r="Q25" s="29"/>
      <c r="R25" s="29"/>
      <c r="S25" s="29"/>
      <c r="T25" s="22"/>
      <c r="W25" s="173" t="s">
        <v>108</v>
      </c>
      <c r="X25" s="174">
        <v>2.3496E-2</v>
      </c>
    </row>
    <row r="26" spans="2:24" ht="15" customHeight="1" x14ac:dyDescent="0.25">
      <c r="B26" s="79"/>
      <c r="F26" s="29"/>
      <c r="G26" s="29"/>
      <c r="H26" s="29"/>
      <c r="I26" s="29"/>
      <c r="J26" s="29"/>
      <c r="K26" s="29"/>
      <c r="L26" s="29"/>
      <c r="M26" s="29"/>
      <c r="N26" s="29"/>
      <c r="O26" s="29"/>
      <c r="P26" s="29"/>
      <c r="Q26" s="29"/>
      <c r="R26" s="29"/>
      <c r="S26" s="29"/>
      <c r="T26" s="22"/>
      <c r="W26" s="173" t="s">
        <v>84</v>
      </c>
      <c r="X26" s="174">
        <v>2.2991999999999999E-2</v>
      </c>
    </row>
    <row r="27" spans="2:24" ht="15" customHeight="1" x14ac:dyDescent="0.25">
      <c r="B27" s="79"/>
      <c r="F27" s="29"/>
      <c r="G27" s="29"/>
      <c r="H27" s="29"/>
      <c r="I27" s="29"/>
      <c r="J27" s="29"/>
      <c r="K27" s="29"/>
      <c r="L27" s="29"/>
      <c r="M27" s="29"/>
      <c r="N27" s="29"/>
      <c r="O27" s="29"/>
      <c r="P27" s="29"/>
      <c r="Q27" s="29"/>
      <c r="R27" s="29"/>
      <c r="S27" s="29"/>
      <c r="T27" s="22"/>
      <c r="W27" s="173" t="s">
        <v>106</v>
      </c>
      <c r="X27" s="174">
        <v>1.9758999999999999E-2</v>
      </c>
    </row>
    <row r="28" spans="2:24" ht="15" customHeight="1" x14ac:dyDescent="0.25">
      <c r="B28" s="79"/>
      <c r="F28" s="29"/>
      <c r="G28" s="29"/>
      <c r="H28" s="29"/>
      <c r="I28" s="29"/>
      <c r="J28" s="29"/>
      <c r="K28" s="29"/>
      <c r="L28" s="29"/>
      <c r="M28" s="29"/>
      <c r="N28" s="29"/>
      <c r="O28" s="29"/>
      <c r="P28" s="29"/>
      <c r="Q28" s="29"/>
      <c r="R28" s="29"/>
      <c r="S28" s="29"/>
      <c r="T28" s="22"/>
      <c r="W28" s="173"/>
      <c r="X28" s="174"/>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69" t="s">
        <v>182</v>
      </c>
      <c r="C38" s="270"/>
      <c r="D38" s="270"/>
      <c r="E38" s="270"/>
      <c r="F38" s="270"/>
      <c r="G38" s="270"/>
      <c r="H38" s="270"/>
      <c r="I38" s="270"/>
      <c r="J38" s="270"/>
      <c r="K38" s="270"/>
      <c r="L38" s="270"/>
      <c r="M38" s="270"/>
      <c r="N38" s="270"/>
      <c r="O38" s="270"/>
      <c r="P38" s="270"/>
      <c r="Q38" s="270"/>
      <c r="R38" s="271"/>
    </row>
    <row r="39" spans="2:20" ht="15" customHeight="1" x14ac:dyDescent="0.25">
      <c r="B39" s="272"/>
      <c r="C39" s="273"/>
      <c r="D39" s="273"/>
      <c r="E39" s="273"/>
      <c r="F39" s="273"/>
      <c r="G39" s="273"/>
      <c r="H39" s="273"/>
      <c r="I39" s="273"/>
      <c r="J39" s="273"/>
      <c r="K39" s="273"/>
      <c r="L39" s="273"/>
      <c r="M39" s="273"/>
      <c r="N39" s="273"/>
      <c r="O39" s="273"/>
      <c r="P39" s="273"/>
      <c r="Q39" s="273"/>
      <c r="R39" s="274"/>
    </row>
    <row r="40" spans="2:20" ht="15" customHeight="1" x14ac:dyDescent="0.25">
      <c r="B40" s="272"/>
      <c r="C40" s="273"/>
      <c r="D40" s="273"/>
      <c r="E40" s="273"/>
      <c r="F40" s="273"/>
      <c r="G40" s="273"/>
      <c r="H40" s="273"/>
      <c r="I40" s="273"/>
      <c r="J40" s="273"/>
      <c r="K40" s="273"/>
      <c r="L40" s="273"/>
      <c r="M40" s="273"/>
      <c r="N40" s="273"/>
      <c r="O40" s="273"/>
      <c r="P40" s="273"/>
      <c r="Q40" s="273"/>
      <c r="R40" s="274"/>
    </row>
    <row r="41" spans="2:20" ht="15" customHeight="1" x14ac:dyDescent="0.25">
      <c r="B41" s="272"/>
      <c r="C41" s="273"/>
      <c r="D41" s="273"/>
      <c r="E41" s="273"/>
      <c r="F41" s="273"/>
      <c r="G41" s="273"/>
      <c r="H41" s="273"/>
      <c r="I41" s="273"/>
      <c r="J41" s="273"/>
      <c r="K41" s="273"/>
      <c r="L41" s="273"/>
      <c r="M41" s="273"/>
      <c r="N41" s="273"/>
      <c r="O41" s="273"/>
      <c r="P41" s="273"/>
      <c r="Q41" s="273"/>
      <c r="R41" s="274"/>
    </row>
    <row r="42" spans="2:20" ht="15" customHeight="1" x14ac:dyDescent="0.25">
      <c r="B42" s="272"/>
      <c r="C42" s="273"/>
      <c r="D42" s="273"/>
      <c r="E42" s="273"/>
      <c r="F42" s="273"/>
      <c r="G42" s="273"/>
      <c r="H42" s="273"/>
      <c r="I42" s="273"/>
      <c r="J42" s="273"/>
      <c r="K42" s="273"/>
      <c r="L42" s="273"/>
      <c r="M42" s="273"/>
      <c r="N42" s="273"/>
      <c r="O42" s="273"/>
      <c r="P42" s="273"/>
      <c r="Q42" s="273"/>
      <c r="R42" s="274"/>
    </row>
    <row r="43" spans="2:20" ht="15" customHeight="1" x14ac:dyDescent="0.25">
      <c r="B43" s="272"/>
      <c r="C43" s="273"/>
      <c r="D43" s="273"/>
      <c r="E43" s="273"/>
      <c r="F43" s="273"/>
      <c r="G43" s="273"/>
      <c r="H43" s="273"/>
      <c r="I43" s="273"/>
      <c r="J43" s="273"/>
      <c r="K43" s="273"/>
      <c r="L43" s="273"/>
      <c r="M43" s="273"/>
      <c r="N43" s="273"/>
      <c r="O43" s="273"/>
      <c r="P43" s="273"/>
      <c r="Q43" s="273"/>
      <c r="R43" s="274"/>
    </row>
    <row r="44" spans="2:20" ht="15" customHeight="1" thickBot="1" x14ac:dyDescent="0.3">
      <c r="B44" s="275"/>
      <c r="C44" s="276"/>
      <c r="D44" s="276"/>
      <c r="E44" s="276"/>
      <c r="F44" s="276"/>
      <c r="G44" s="276"/>
      <c r="H44" s="276"/>
      <c r="I44" s="276"/>
      <c r="J44" s="276"/>
      <c r="K44" s="276"/>
      <c r="L44" s="276"/>
      <c r="M44" s="276"/>
      <c r="N44" s="276"/>
      <c r="O44" s="276"/>
      <c r="P44" s="276"/>
      <c r="Q44" s="276"/>
      <c r="R44" s="277"/>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278" t="s">
        <v>169</v>
      </c>
      <c r="D3" s="279"/>
      <c r="E3" s="279"/>
      <c r="F3" s="279"/>
      <c r="G3" s="279"/>
      <c r="H3" s="279"/>
      <c r="I3" s="279"/>
      <c r="J3" s="279"/>
      <c r="K3" s="279"/>
      <c r="L3" s="279"/>
      <c r="M3" s="279"/>
      <c r="N3" s="279"/>
      <c r="O3" s="279"/>
      <c r="P3" s="279"/>
      <c r="Q3" s="279"/>
      <c r="R3" s="279"/>
      <c r="S3" s="279"/>
      <c r="T3" s="22"/>
    </row>
    <row r="4" spans="1:37" ht="15.75" customHeight="1" x14ac:dyDescent="0.25">
      <c r="B4" s="79"/>
      <c r="C4" s="67" t="s">
        <v>412</v>
      </c>
      <c r="D4" s="29"/>
      <c r="E4" s="29"/>
      <c r="F4" s="29"/>
      <c r="G4" s="29"/>
      <c r="H4" s="29"/>
      <c r="I4" s="29"/>
      <c r="J4" s="29"/>
      <c r="K4" s="29"/>
      <c r="L4" s="29"/>
      <c r="M4" s="29"/>
      <c r="N4" s="29"/>
      <c r="O4" s="29"/>
      <c r="P4" s="29"/>
      <c r="Q4" s="29"/>
      <c r="R4" s="29"/>
      <c r="S4" s="29"/>
      <c r="T4" s="22"/>
    </row>
    <row r="5" spans="1:37" ht="18" customHeight="1" x14ac:dyDescent="0.25">
      <c r="B5" s="79"/>
      <c r="C5" s="221" t="s">
        <v>411</v>
      </c>
      <c r="D5" s="281" t="s">
        <v>375</v>
      </c>
      <c r="E5" s="282"/>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3" t="s">
        <v>29</v>
      </c>
      <c r="D8" s="194" t="s">
        <v>3</v>
      </c>
      <c r="E8" s="195">
        <v>5.8952999999999998E-2</v>
      </c>
      <c r="F8" s="29"/>
      <c r="G8" s="29"/>
      <c r="H8" s="29"/>
      <c r="I8" s="29"/>
      <c r="J8" s="29"/>
      <c r="K8" s="29"/>
      <c r="L8" s="29"/>
      <c r="M8" s="29"/>
      <c r="N8" s="29"/>
      <c r="O8" s="29"/>
      <c r="P8" s="29"/>
      <c r="Q8" s="29"/>
      <c r="R8" s="29"/>
      <c r="S8" s="29"/>
      <c r="T8" s="22"/>
      <c r="W8" s="180" t="s">
        <v>3</v>
      </c>
      <c r="X8" s="239">
        <v>0.18151900000000001</v>
      </c>
    </row>
    <row r="9" spans="1:37" ht="15.75" customHeight="1" x14ac:dyDescent="0.25">
      <c r="B9" s="79"/>
      <c r="C9" s="188" t="s">
        <v>31</v>
      </c>
      <c r="D9" s="196" t="s">
        <v>6</v>
      </c>
      <c r="E9" s="197">
        <v>4.7556000000000001E-2</v>
      </c>
      <c r="F9" s="29"/>
      <c r="G9" s="29"/>
      <c r="H9" s="29"/>
      <c r="I9" s="29"/>
      <c r="J9" s="29"/>
      <c r="K9" s="29"/>
      <c r="L9" s="29"/>
      <c r="M9" s="29"/>
      <c r="N9" s="29"/>
      <c r="O9" s="29"/>
      <c r="P9" s="29"/>
      <c r="Q9" s="29"/>
      <c r="R9" s="29"/>
      <c r="S9" s="29"/>
      <c r="T9" s="22"/>
      <c r="W9" s="180" t="s">
        <v>107</v>
      </c>
      <c r="X9" s="239">
        <v>8.4648000000000001E-2</v>
      </c>
    </row>
    <row r="10" spans="1:37" ht="15" customHeight="1" x14ac:dyDescent="0.25">
      <c r="B10" s="79"/>
      <c r="C10" s="188" t="s">
        <v>36</v>
      </c>
      <c r="D10" s="196" t="s">
        <v>3</v>
      </c>
      <c r="E10" s="197">
        <v>4.0688000000000002E-2</v>
      </c>
      <c r="F10" s="29"/>
      <c r="G10" s="29"/>
      <c r="H10" s="29"/>
      <c r="I10" s="29"/>
      <c r="J10" s="29"/>
      <c r="K10" s="29"/>
      <c r="L10" s="29"/>
      <c r="M10" s="29"/>
      <c r="N10" s="29"/>
      <c r="O10" s="29"/>
      <c r="P10" s="29"/>
      <c r="Q10" s="29"/>
      <c r="R10" s="29"/>
      <c r="S10" s="29"/>
      <c r="T10" s="22"/>
      <c r="W10" s="180" t="s">
        <v>111</v>
      </c>
      <c r="X10" s="239">
        <v>6.9642999999999997E-2</v>
      </c>
    </row>
    <row r="11" spans="1:37" ht="15" customHeight="1" x14ac:dyDescent="0.25">
      <c r="B11" s="79"/>
      <c r="C11" s="188" t="s">
        <v>32</v>
      </c>
      <c r="D11" s="196" t="s">
        <v>3</v>
      </c>
      <c r="E11" s="197">
        <v>3.8794000000000002E-2</v>
      </c>
      <c r="F11" s="29"/>
      <c r="G11" s="29"/>
      <c r="H11" s="29"/>
      <c r="I11" s="29"/>
      <c r="J11" s="29"/>
      <c r="K11" s="29"/>
      <c r="L11" s="29"/>
      <c r="M11" s="29"/>
      <c r="N11" s="29"/>
      <c r="O11" s="29"/>
      <c r="P11" s="29"/>
      <c r="Q11" s="29"/>
      <c r="R11" s="29"/>
      <c r="S11" s="29"/>
      <c r="T11" s="22"/>
      <c r="W11" s="180" t="s">
        <v>23</v>
      </c>
      <c r="X11" s="239">
        <v>5.0286999999999991E-2</v>
      </c>
    </row>
    <row r="12" spans="1:37" ht="15" customHeight="1" x14ac:dyDescent="0.25">
      <c r="B12" s="79"/>
      <c r="C12" s="188" t="s">
        <v>28</v>
      </c>
      <c r="D12" s="196" t="s">
        <v>107</v>
      </c>
      <c r="E12" s="197">
        <v>2.5871000000000002E-2</v>
      </c>
      <c r="F12" s="29"/>
      <c r="G12" s="29"/>
      <c r="H12" s="29"/>
      <c r="I12" s="29"/>
      <c r="J12" s="29"/>
      <c r="K12" s="29"/>
      <c r="L12" s="29"/>
      <c r="M12" s="29"/>
      <c r="N12" s="29"/>
      <c r="O12" s="29"/>
      <c r="P12" s="29"/>
      <c r="Q12" s="29"/>
      <c r="R12" s="29"/>
      <c r="S12" s="29"/>
      <c r="T12" s="22"/>
      <c r="W12" s="180" t="s">
        <v>6</v>
      </c>
      <c r="X12" s="239">
        <v>4.7556000000000001E-2</v>
      </c>
    </row>
    <row r="13" spans="1:37" ht="15.75" customHeight="1" x14ac:dyDescent="0.25">
      <c r="B13" s="79"/>
      <c r="C13" s="188" t="s">
        <v>33</v>
      </c>
      <c r="D13" s="196" t="s">
        <v>107</v>
      </c>
      <c r="E13" s="197">
        <v>2.3363999999999999E-2</v>
      </c>
      <c r="F13" s="29"/>
      <c r="G13" s="29"/>
      <c r="H13" s="29"/>
      <c r="I13" s="29"/>
      <c r="J13" s="29"/>
      <c r="K13" s="29"/>
      <c r="L13" s="29"/>
      <c r="M13" s="29"/>
      <c r="N13" s="29"/>
      <c r="O13" s="29"/>
      <c r="P13" s="29"/>
      <c r="Q13" s="29"/>
      <c r="R13" s="29"/>
      <c r="S13" s="29"/>
      <c r="T13" s="22"/>
      <c r="W13" s="180" t="s">
        <v>86</v>
      </c>
      <c r="X13" s="239">
        <v>3.8666999999999993E-2</v>
      </c>
    </row>
    <row r="14" spans="1:37" ht="15" customHeight="1" x14ac:dyDescent="0.25">
      <c r="B14" s="79"/>
      <c r="C14" s="188" t="s">
        <v>75</v>
      </c>
      <c r="D14" s="196" t="s">
        <v>11</v>
      </c>
      <c r="E14" s="197">
        <v>2.2540000000000001E-2</v>
      </c>
      <c r="F14" s="29"/>
      <c r="G14" s="29"/>
      <c r="H14" s="29"/>
      <c r="I14" s="29"/>
      <c r="J14" s="29"/>
      <c r="K14" s="29"/>
      <c r="L14" s="29"/>
      <c r="M14" s="29"/>
      <c r="N14" s="29"/>
      <c r="O14" s="29"/>
      <c r="P14" s="29"/>
      <c r="Q14" s="29"/>
      <c r="R14" s="29"/>
      <c r="S14" s="29"/>
      <c r="T14" s="22"/>
      <c r="W14" s="180" t="s">
        <v>112</v>
      </c>
      <c r="X14" s="239">
        <v>3.6651000000000003E-2</v>
      </c>
    </row>
    <row r="15" spans="1:37" ht="15" customHeight="1" x14ac:dyDescent="0.25">
      <c r="B15" s="79"/>
      <c r="C15" s="188" t="s">
        <v>98</v>
      </c>
      <c r="D15" s="196" t="s">
        <v>119</v>
      </c>
      <c r="E15" s="197">
        <v>2.1850000000000001E-2</v>
      </c>
      <c r="F15" s="29"/>
      <c r="G15" s="29"/>
      <c r="H15" s="29"/>
      <c r="I15" s="29"/>
      <c r="J15" s="29"/>
      <c r="K15" s="29"/>
      <c r="L15" s="29"/>
      <c r="M15" s="29"/>
      <c r="N15" s="29"/>
      <c r="O15" s="29"/>
      <c r="P15" s="29"/>
      <c r="Q15" s="29"/>
      <c r="R15" s="29"/>
      <c r="S15" s="29"/>
      <c r="T15" s="22"/>
      <c r="W15" s="180" t="s">
        <v>10</v>
      </c>
      <c r="X15" s="239">
        <v>3.4942000000000001E-2</v>
      </c>
    </row>
    <row r="16" spans="1:37" ht="15" customHeight="1" x14ac:dyDescent="0.25">
      <c r="B16" s="79"/>
      <c r="C16" s="188" t="s">
        <v>30</v>
      </c>
      <c r="D16" s="196" t="s">
        <v>117</v>
      </c>
      <c r="E16" s="197">
        <v>2.1339E-2</v>
      </c>
      <c r="F16" s="29"/>
      <c r="G16" s="29"/>
      <c r="H16" s="29"/>
      <c r="I16" s="29"/>
      <c r="J16" s="29"/>
      <c r="K16" s="29"/>
      <c r="L16" s="29"/>
      <c r="M16" s="29"/>
      <c r="N16" s="29"/>
      <c r="O16" s="29"/>
      <c r="P16" s="29"/>
      <c r="Q16" s="29"/>
      <c r="R16" s="29"/>
      <c r="S16" s="29"/>
      <c r="T16" s="22"/>
      <c r="W16" s="180" t="s">
        <v>4</v>
      </c>
      <c r="X16" s="239">
        <v>3.4782E-2</v>
      </c>
    </row>
    <row r="17" spans="2:24" ht="15" customHeight="1" x14ac:dyDescent="0.25">
      <c r="B17" s="79"/>
      <c r="C17" s="188" t="s">
        <v>144</v>
      </c>
      <c r="D17" s="196" t="s">
        <v>112</v>
      </c>
      <c r="E17" s="197">
        <v>2.0129000000000001E-2</v>
      </c>
      <c r="F17" s="29"/>
      <c r="G17" s="29"/>
      <c r="H17" s="29"/>
      <c r="I17" s="29"/>
      <c r="J17" s="29"/>
      <c r="K17" s="29"/>
      <c r="L17" s="29"/>
      <c r="M17" s="29"/>
      <c r="N17" s="29"/>
      <c r="O17" s="29"/>
      <c r="P17" s="29"/>
      <c r="Q17" s="29"/>
      <c r="R17" s="29"/>
      <c r="S17" s="29"/>
      <c r="T17" s="22"/>
      <c r="W17" s="180" t="s">
        <v>110</v>
      </c>
      <c r="X17" s="239">
        <v>3.0192999999999998E-2</v>
      </c>
    </row>
    <row r="18" spans="2:24" ht="15" customHeight="1" x14ac:dyDescent="0.25">
      <c r="B18" s="79"/>
      <c r="C18" s="188" t="s">
        <v>109</v>
      </c>
      <c r="D18" s="196" t="s">
        <v>110</v>
      </c>
      <c r="E18" s="197">
        <v>1.9997999999999998E-2</v>
      </c>
      <c r="F18" s="29"/>
      <c r="G18" s="29"/>
      <c r="H18" s="29"/>
      <c r="I18" s="29"/>
      <c r="J18" s="29"/>
      <c r="K18" s="29"/>
      <c r="L18" s="29"/>
      <c r="M18" s="29"/>
      <c r="N18" s="29"/>
      <c r="O18" s="29"/>
      <c r="P18" s="29"/>
      <c r="Q18" s="29"/>
      <c r="R18" s="29"/>
      <c r="S18" s="29"/>
      <c r="T18" s="22"/>
      <c r="W18" s="180" t="s">
        <v>11</v>
      </c>
      <c r="X18" s="239">
        <v>3.0166000000000002E-2</v>
      </c>
    </row>
    <row r="19" spans="2:24" ht="15" customHeight="1" x14ac:dyDescent="0.25">
      <c r="B19" s="79"/>
      <c r="C19" s="188" t="s">
        <v>62</v>
      </c>
      <c r="D19" s="196" t="s">
        <v>10</v>
      </c>
      <c r="E19" s="197">
        <v>1.9893999999999998E-2</v>
      </c>
      <c r="F19" s="29"/>
      <c r="G19" s="29"/>
      <c r="H19" s="29"/>
      <c r="I19" s="29"/>
      <c r="J19" s="29"/>
      <c r="K19" s="29"/>
      <c r="L19" s="29"/>
      <c r="M19" s="29"/>
      <c r="N19" s="29"/>
      <c r="O19" s="29"/>
      <c r="P19" s="29"/>
      <c r="Q19" s="29"/>
      <c r="R19" s="29"/>
      <c r="S19" s="29"/>
      <c r="T19" s="22"/>
      <c r="W19" s="180" t="s">
        <v>106</v>
      </c>
      <c r="X19" s="239">
        <v>2.6917E-2</v>
      </c>
    </row>
    <row r="20" spans="2:24" ht="15" customHeight="1" x14ac:dyDescent="0.25">
      <c r="B20" s="79"/>
      <c r="C20" s="188" t="s">
        <v>267</v>
      </c>
      <c r="D20" s="196" t="s">
        <v>23</v>
      </c>
      <c r="E20" s="197">
        <v>1.8876E-2</v>
      </c>
      <c r="F20" s="29"/>
      <c r="G20" s="29"/>
      <c r="H20" s="29"/>
      <c r="I20" s="29"/>
      <c r="J20" s="29"/>
      <c r="K20" s="29"/>
      <c r="L20" s="29"/>
      <c r="M20" s="29"/>
      <c r="N20" s="29"/>
      <c r="O20" s="29"/>
      <c r="P20" s="29"/>
      <c r="Q20" s="29"/>
      <c r="R20" s="29"/>
      <c r="S20" s="29"/>
      <c r="T20" s="22"/>
      <c r="W20" s="180" t="s">
        <v>16</v>
      </c>
      <c r="X20" s="239">
        <v>2.2436000000000001E-2</v>
      </c>
    </row>
    <row r="21" spans="2:24" ht="15" customHeight="1" x14ac:dyDescent="0.25">
      <c r="B21" s="79"/>
      <c r="C21" s="188" t="s">
        <v>135</v>
      </c>
      <c r="D21" s="196" t="s">
        <v>3</v>
      </c>
      <c r="E21" s="197">
        <v>1.882E-2</v>
      </c>
      <c r="F21" s="29"/>
      <c r="G21" s="29"/>
      <c r="H21" s="29"/>
      <c r="I21" s="29"/>
      <c r="J21" s="29"/>
      <c r="K21" s="29"/>
      <c r="L21" s="29"/>
      <c r="M21" s="29"/>
      <c r="N21" s="29"/>
      <c r="O21" s="29"/>
      <c r="P21" s="29"/>
      <c r="Q21" s="29"/>
      <c r="R21" s="29"/>
      <c r="S21" s="29"/>
      <c r="T21" s="22"/>
      <c r="W21" s="180" t="s">
        <v>119</v>
      </c>
      <c r="X21" s="239">
        <v>2.1850000000000001E-2</v>
      </c>
    </row>
    <row r="22" spans="2:24" ht="15" customHeight="1" x14ac:dyDescent="0.25">
      <c r="B22" s="79"/>
      <c r="C22" s="188" t="s">
        <v>193</v>
      </c>
      <c r="D22" s="196" t="s">
        <v>107</v>
      </c>
      <c r="E22" s="197">
        <v>1.8381999999999999E-2</v>
      </c>
      <c r="F22" s="29"/>
      <c r="G22" s="29"/>
      <c r="H22" s="29"/>
      <c r="I22" s="29"/>
      <c r="J22" s="29"/>
      <c r="K22" s="29"/>
      <c r="L22" s="29"/>
      <c r="M22" s="29"/>
      <c r="N22" s="29"/>
      <c r="O22" s="29"/>
      <c r="P22" s="29"/>
      <c r="Q22" s="29"/>
      <c r="R22" s="29"/>
      <c r="S22" s="29"/>
      <c r="T22" s="22"/>
      <c r="W22" s="180" t="s">
        <v>117</v>
      </c>
      <c r="X22" s="239">
        <v>2.1339E-2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84</v>
      </c>
      <c r="X23" s="239">
        <v>1.9899E-2</v>
      </c>
    </row>
    <row r="24" spans="2:24" ht="15" customHeight="1" x14ac:dyDescent="0.25">
      <c r="B24" s="79"/>
      <c r="C24" s="73" t="s">
        <v>55</v>
      </c>
      <c r="D24" s="74"/>
      <c r="E24" s="84">
        <f>SUM(E8:E22)</f>
        <v>0.41705400000000004</v>
      </c>
      <c r="F24" s="29"/>
      <c r="G24" s="29"/>
      <c r="H24" s="29"/>
      <c r="I24" s="29"/>
      <c r="J24" s="29"/>
      <c r="K24" s="29"/>
      <c r="L24" s="29"/>
      <c r="M24" s="29"/>
      <c r="N24" s="29"/>
      <c r="O24" s="29"/>
      <c r="P24" s="29"/>
      <c r="Q24" s="29"/>
      <c r="R24" s="29"/>
      <c r="S24" s="29"/>
      <c r="T24" s="22"/>
      <c r="W24" s="180" t="s">
        <v>26</v>
      </c>
      <c r="X24" s="239">
        <v>1.8287999999999999E-2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113</v>
      </c>
      <c r="X25" s="239">
        <v>1.8251E-2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108</v>
      </c>
      <c r="X26" s="239">
        <v>1.4578000000000001E-2</v>
      </c>
    </row>
    <row r="27" spans="2:24" ht="15" customHeight="1" x14ac:dyDescent="0.25">
      <c r="B27" s="79"/>
      <c r="F27" s="29"/>
      <c r="G27" s="29"/>
      <c r="H27" s="29"/>
      <c r="I27" s="29"/>
      <c r="J27" s="29"/>
      <c r="K27" s="29"/>
      <c r="L27" s="29"/>
      <c r="M27" s="29"/>
      <c r="N27" s="29"/>
      <c r="O27" s="29"/>
      <c r="P27" s="29"/>
      <c r="Q27" s="29"/>
      <c r="R27" s="29"/>
      <c r="S27" s="29"/>
      <c r="T27" s="22"/>
      <c r="W27" s="180" t="s">
        <v>126</v>
      </c>
      <c r="X27" s="239">
        <v>1.3766E-2</v>
      </c>
    </row>
    <row r="28" spans="2:24" ht="15" customHeight="1" x14ac:dyDescent="0.25">
      <c r="B28" s="79"/>
      <c r="F28" s="29"/>
      <c r="G28" s="29"/>
      <c r="H28" s="29"/>
      <c r="I28" s="29"/>
      <c r="J28" s="29"/>
      <c r="K28" s="29"/>
      <c r="L28" s="29"/>
      <c r="M28" s="29"/>
      <c r="N28" s="29"/>
      <c r="O28" s="29"/>
      <c r="P28" s="29"/>
      <c r="Q28" s="29"/>
      <c r="R28" s="29"/>
      <c r="S28" s="29"/>
      <c r="T28" s="22"/>
      <c r="W28" s="180" t="s">
        <v>13</v>
      </c>
      <c r="X28" s="239">
        <v>1.2766E-2</v>
      </c>
    </row>
    <row r="29" spans="2:24" ht="15" customHeight="1" x14ac:dyDescent="0.25">
      <c r="B29" s="79"/>
      <c r="F29" s="29"/>
      <c r="G29" s="29"/>
      <c r="H29" s="29"/>
      <c r="I29" s="29"/>
      <c r="J29" s="29"/>
      <c r="K29" s="29"/>
      <c r="L29" s="29"/>
      <c r="M29" s="29"/>
      <c r="N29" s="29"/>
      <c r="O29" s="29"/>
      <c r="P29" s="29"/>
      <c r="Q29" s="29"/>
      <c r="R29" s="29"/>
      <c r="S29" s="29"/>
      <c r="T29" s="22"/>
      <c r="W29" s="180" t="s">
        <v>121</v>
      </c>
      <c r="X29" s="239">
        <v>1.238E-2</v>
      </c>
    </row>
    <row r="30" spans="2:24" ht="15" customHeight="1" x14ac:dyDescent="0.25">
      <c r="B30" s="79"/>
      <c r="F30" s="29"/>
      <c r="G30" s="29"/>
      <c r="H30" s="29"/>
      <c r="I30" s="29"/>
      <c r="J30" s="29"/>
      <c r="K30" s="29"/>
      <c r="L30" s="29"/>
      <c r="M30" s="29"/>
      <c r="N30" s="29"/>
      <c r="O30" s="29"/>
      <c r="P30" s="29"/>
      <c r="Q30" s="29"/>
      <c r="R30" s="29"/>
      <c r="S30" s="29"/>
      <c r="T30" s="22"/>
      <c r="W30" s="180" t="s">
        <v>133</v>
      </c>
      <c r="X30" s="239">
        <v>1.2179000000000001E-2</v>
      </c>
    </row>
    <row r="31" spans="2:24" ht="15" customHeight="1" x14ac:dyDescent="0.25">
      <c r="B31" s="79"/>
      <c r="F31" s="29"/>
      <c r="G31" s="29"/>
      <c r="H31" s="29"/>
      <c r="I31" s="29"/>
      <c r="J31" s="29"/>
      <c r="K31" s="29"/>
      <c r="L31" s="29"/>
      <c r="M31" s="29"/>
      <c r="N31" s="29"/>
      <c r="O31" s="29"/>
      <c r="P31" s="29"/>
      <c r="Q31" s="29"/>
      <c r="R31" s="29"/>
      <c r="S31" s="29"/>
      <c r="T31" s="22"/>
      <c r="W31" s="180" t="s">
        <v>12</v>
      </c>
      <c r="X31" s="239">
        <v>1.1329000000000001E-2</v>
      </c>
    </row>
    <row r="32" spans="2:24" ht="15" customHeight="1" x14ac:dyDescent="0.25">
      <c r="B32" s="79"/>
      <c r="F32" s="29"/>
      <c r="G32" s="29"/>
      <c r="H32" s="29"/>
      <c r="I32" s="29"/>
      <c r="J32" s="29"/>
      <c r="K32" s="29"/>
      <c r="L32" s="29"/>
      <c r="M32" s="29"/>
      <c r="N32" s="29"/>
      <c r="O32" s="29"/>
      <c r="P32" s="29"/>
      <c r="Q32" s="29"/>
      <c r="R32" s="29"/>
      <c r="S32" s="29"/>
      <c r="T32" s="22"/>
      <c r="W32" s="180" t="s">
        <v>124</v>
      </c>
      <c r="X32" s="239">
        <v>1.0257E-2</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25</v>
      </c>
      <c r="X33" s="239">
        <v>8.9280000000000002E-3</v>
      </c>
    </row>
    <row r="34" spans="2:24" ht="15" customHeight="1" thickBot="1" x14ac:dyDescent="0.3">
      <c r="W34" s="180" t="s">
        <v>83</v>
      </c>
      <c r="X34" s="239">
        <v>8.8319999999999996E-3</v>
      </c>
    </row>
    <row r="35" spans="2:24" ht="15" customHeight="1" x14ac:dyDescent="0.25">
      <c r="B35" s="269" t="s">
        <v>182</v>
      </c>
      <c r="C35" s="270"/>
      <c r="D35" s="270"/>
      <c r="E35" s="270"/>
      <c r="F35" s="270"/>
      <c r="G35" s="270"/>
      <c r="H35" s="270"/>
      <c r="I35" s="270"/>
      <c r="J35" s="270"/>
      <c r="K35" s="270"/>
      <c r="L35" s="270"/>
      <c r="M35" s="270"/>
      <c r="N35" s="270"/>
      <c r="O35" s="270"/>
      <c r="P35" s="270"/>
      <c r="Q35" s="270"/>
      <c r="R35" s="271"/>
      <c r="W35" s="180" t="s">
        <v>15</v>
      </c>
      <c r="X35" s="239">
        <v>7.8320000000000004E-3</v>
      </c>
    </row>
    <row r="36" spans="2:24" ht="15" customHeight="1" x14ac:dyDescent="0.25">
      <c r="B36" s="272"/>
      <c r="C36" s="273"/>
      <c r="D36" s="273"/>
      <c r="E36" s="273"/>
      <c r="F36" s="273"/>
      <c r="G36" s="273"/>
      <c r="H36" s="273"/>
      <c r="I36" s="273"/>
      <c r="J36" s="273"/>
      <c r="K36" s="273"/>
      <c r="L36" s="273"/>
      <c r="M36" s="273"/>
      <c r="N36" s="273"/>
      <c r="O36" s="273"/>
      <c r="P36" s="273"/>
      <c r="Q36" s="273"/>
      <c r="R36" s="274"/>
      <c r="W36" s="180" t="s">
        <v>116</v>
      </c>
      <c r="X36" s="239">
        <v>6.7819999999999998E-3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118</v>
      </c>
      <c r="X37" s="239">
        <v>5.0569999999999999E-3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146</v>
      </c>
      <c r="X38" s="239">
        <v>2.2880000000000001E-3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c r="X39" s="239"/>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thickBot="1" x14ac:dyDescent="0.3">
      <c r="B41" s="275"/>
      <c r="C41" s="276"/>
      <c r="D41" s="276"/>
      <c r="E41" s="276"/>
      <c r="F41" s="276"/>
      <c r="G41" s="276"/>
      <c r="H41" s="276"/>
      <c r="I41" s="276"/>
      <c r="J41" s="276"/>
      <c r="K41" s="276"/>
      <c r="L41" s="276"/>
      <c r="M41" s="276"/>
      <c r="N41" s="276"/>
      <c r="O41" s="276"/>
      <c r="P41" s="276"/>
      <c r="Q41" s="276"/>
      <c r="R41" s="27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168</v>
      </c>
      <c r="D3" s="279"/>
      <c r="E3" s="279"/>
      <c r="F3" s="279"/>
      <c r="G3" s="279"/>
      <c r="H3" s="279"/>
      <c r="I3" s="279"/>
      <c r="J3" s="279"/>
      <c r="K3" s="279"/>
      <c r="L3" s="279"/>
      <c r="M3" s="279"/>
      <c r="N3" s="279"/>
      <c r="O3" s="279"/>
      <c r="P3" s="279"/>
      <c r="Q3" s="279"/>
      <c r="R3" s="279"/>
      <c r="S3" s="279"/>
      <c r="T3" s="22"/>
      <c r="V3" s="40"/>
      <c r="W3" s="40"/>
      <c r="X3" s="40"/>
      <c r="Y3" s="40"/>
      <c r="Z3" s="40"/>
      <c r="AA3" s="40"/>
    </row>
    <row r="4" spans="1:27" ht="15.75" customHeight="1" x14ac:dyDescent="0.25">
      <c r="B4" s="79"/>
      <c r="C4" s="67" t="s">
        <v>412</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411</v>
      </c>
      <c r="D5" s="280" t="s">
        <v>376</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138</v>
      </c>
      <c r="D8" s="206" t="s">
        <v>26</v>
      </c>
      <c r="E8" s="203">
        <v>4.1458000000000002E-2</v>
      </c>
      <c r="F8" s="29"/>
      <c r="G8" s="29"/>
      <c r="H8" s="29"/>
      <c r="I8" s="29"/>
      <c r="J8" s="29"/>
      <c r="K8" s="29"/>
      <c r="L8" s="29"/>
      <c r="M8" s="29"/>
      <c r="N8" s="29"/>
      <c r="O8" s="29"/>
      <c r="P8" s="29"/>
      <c r="Q8" s="29"/>
      <c r="R8" s="29"/>
      <c r="S8" s="29"/>
      <c r="T8" s="22"/>
      <c r="V8" s="158"/>
      <c r="W8" s="180" t="s">
        <v>24</v>
      </c>
      <c r="X8" s="239">
        <v>0.11535200000000001</v>
      </c>
      <c r="Y8" s="158"/>
      <c r="Z8" s="40"/>
      <c r="AA8" s="40"/>
    </row>
    <row r="9" spans="1:27" ht="15.75" customHeight="1" x14ac:dyDescent="0.25">
      <c r="B9" s="79"/>
      <c r="C9" s="207" t="s">
        <v>189</v>
      </c>
      <c r="D9" s="208" t="s">
        <v>107</v>
      </c>
      <c r="E9" s="204">
        <v>3.2572999999999998E-2</v>
      </c>
      <c r="F9" s="29"/>
      <c r="G9" s="29"/>
      <c r="H9" s="29"/>
      <c r="I9" s="29"/>
      <c r="J9" s="29"/>
      <c r="K9" s="29"/>
      <c r="L9" s="29"/>
      <c r="M9" s="29"/>
      <c r="N9" s="29"/>
      <c r="O9" s="29"/>
      <c r="P9" s="29"/>
      <c r="Q9" s="29"/>
      <c r="R9" s="29"/>
      <c r="S9" s="29"/>
      <c r="T9" s="22"/>
      <c r="V9" s="158"/>
      <c r="W9" s="180" t="s">
        <v>119</v>
      </c>
      <c r="X9" s="239">
        <v>9.4567999999999985E-2</v>
      </c>
      <c r="Y9" s="158"/>
      <c r="Z9" s="40"/>
      <c r="AA9" s="40"/>
    </row>
    <row r="10" spans="1:27" ht="15" customHeight="1" x14ac:dyDescent="0.25">
      <c r="B10" s="79"/>
      <c r="C10" s="207" t="s">
        <v>139</v>
      </c>
      <c r="D10" s="208" t="s">
        <v>24</v>
      </c>
      <c r="E10" s="204">
        <v>2.9314E-2</v>
      </c>
      <c r="F10" s="29"/>
      <c r="G10" s="29"/>
      <c r="H10" s="29"/>
      <c r="I10" s="29"/>
      <c r="J10" s="29"/>
      <c r="K10" s="29"/>
      <c r="L10" s="29"/>
      <c r="M10" s="29"/>
      <c r="N10" s="29"/>
      <c r="O10" s="29"/>
      <c r="P10" s="29"/>
      <c r="Q10" s="29"/>
      <c r="R10" s="29"/>
      <c r="S10" s="29"/>
      <c r="T10" s="22"/>
      <c r="V10" s="158"/>
      <c r="W10" s="180" t="s">
        <v>110</v>
      </c>
      <c r="X10" s="239">
        <v>8.2928000000000002E-2</v>
      </c>
      <c r="Y10" s="158"/>
      <c r="Z10" s="40"/>
      <c r="AA10" s="40"/>
    </row>
    <row r="11" spans="1:27" ht="15" customHeight="1" x14ac:dyDescent="0.25">
      <c r="B11" s="79"/>
      <c r="C11" s="207" t="s">
        <v>94</v>
      </c>
      <c r="D11" s="208" t="s">
        <v>84</v>
      </c>
      <c r="E11" s="204">
        <v>2.8967E-2</v>
      </c>
      <c r="F11" s="29"/>
      <c r="G11" s="29"/>
      <c r="H11" s="29"/>
      <c r="I11" s="29"/>
      <c r="J11" s="29"/>
      <c r="K11" s="29"/>
      <c r="L11" s="29"/>
      <c r="M11" s="29"/>
      <c r="N11" s="29"/>
      <c r="O11" s="29"/>
      <c r="P11" s="29"/>
      <c r="Q11" s="29"/>
      <c r="R11" s="29"/>
      <c r="S11" s="29"/>
      <c r="T11" s="22"/>
      <c r="V11" s="158"/>
      <c r="W11" s="180" t="s">
        <v>26</v>
      </c>
      <c r="X11" s="239">
        <v>7.4476000000000014E-2</v>
      </c>
      <c r="Y11" s="158"/>
      <c r="Z11" s="40"/>
      <c r="AA11" s="40"/>
    </row>
    <row r="12" spans="1:27" ht="15" customHeight="1" x14ac:dyDescent="0.25">
      <c r="B12" s="79"/>
      <c r="C12" s="207" t="s">
        <v>241</v>
      </c>
      <c r="D12" s="208" t="s">
        <v>16</v>
      </c>
      <c r="E12" s="204">
        <v>2.8853E-2</v>
      </c>
      <c r="F12" s="29"/>
      <c r="G12" s="29"/>
      <c r="H12" s="29"/>
      <c r="I12" s="29"/>
      <c r="J12" s="29"/>
      <c r="K12" s="29"/>
      <c r="L12" s="29"/>
      <c r="M12" s="29"/>
      <c r="N12" s="29"/>
      <c r="O12" s="29"/>
      <c r="P12" s="29"/>
      <c r="Q12" s="29"/>
      <c r="R12" s="29"/>
      <c r="S12" s="29"/>
      <c r="T12" s="22"/>
      <c r="V12" s="158"/>
      <c r="W12" s="180" t="s">
        <v>16</v>
      </c>
      <c r="X12" s="239">
        <v>7.2777999999999995E-2</v>
      </c>
      <c r="Y12" s="158"/>
      <c r="Z12" s="40"/>
      <c r="AA12" s="40"/>
    </row>
    <row r="13" spans="1:27" ht="15" customHeight="1" x14ac:dyDescent="0.25">
      <c r="B13" s="79"/>
      <c r="C13" s="207" t="s">
        <v>216</v>
      </c>
      <c r="D13" s="208" t="s">
        <v>113</v>
      </c>
      <c r="E13" s="204">
        <v>2.6422000000000001E-2</v>
      </c>
      <c r="F13" s="29"/>
      <c r="G13" s="29"/>
      <c r="H13" s="29"/>
      <c r="I13" s="29"/>
      <c r="J13" s="29"/>
      <c r="K13" s="29"/>
      <c r="L13" s="29"/>
      <c r="M13" s="29"/>
      <c r="N13" s="29"/>
      <c r="O13" s="29"/>
      <c r="P13" s="29"/>
      <c r="Q13" s="29"/>
      <c r="R13" s="29"/>
      <c r="S13" s="29"/>
      <c r="T13" s="22"/>
      <c r="V13" s="158"/>
      <c r="W13" s="180" t="s">
        <v>111</v>
      </c>
      <c r="X13" s="239">
        <v>7.1829999999999991E-2</v>
      </c>
      <c r="Y13" s="158"/>
      <c r="Z13" s="40"/>
      <c r="AA13" s="40"/>
    </row>
    <row r="14" spans="1:27" ht="15" customHeight="1" x14ac:dyDescent="0.25">
      <c r="B14" s="79"/>
      <c r="C14" s="207" t="s">
        <v>98</v>
      </c>
      <c r="D14" s="208" t="s">
        <v>119</v>
      </c>
      <c r="E14" s="204">
        <v>2.4808E-2</v>
      </c>
      <c r="F14" s="29"/>
      <c r="G14" s="29"/>
      <c r="H14" s="29"/>
      <c r="I14" s="29"/>
      <c r="J14" s="29"/>
      <c r="K14" s="29"/>
      <c r="L14" s="29"/>
      <c r="M14" s="29"/>
      <c r="N14" s="29"/>
      <c r="O14" s="29"/>
      <c r="P14" s="29"/>
      <c r="Q14" s="29"/>
      <c r="R14" s="29"/>
      <c r="S14" s="29"/>
      <c r="T14" s="22"/>
      <c r="V14" s="158"/>
      <c r="W14" s="180" t="s">
        <v>107</v>
      </c>
      <c r="X14" s="239">
        <v>6.2382E-2</v>
      </c>
      <c r="Y14" s="158"/>
      <c r="Z14" s="40"/>
      <c r="AA14" s="40"/>
    </row>
    <row r="15" spans="1:27" ht="15.75" customHeight="1" x14ac:dyDescent="0.25">
      <c r="B15" s="79"/>
      <c r="C15" s="207" t="s">
        <v>198</v>
      </c>
      <c r="D15" s="208" t="s">
        <v>119</v>
      </c>
      <c r="E15" s="204">
        <v>2.3556000000000001E-2</v>
      </c>
      <c r="F15" s="29"/>
      <c r="G15" s="29"/>
      <c r="H15" s="29"/>
      <c r="I15" s="29"/>
      <c r="J15" s="29"/>
      <c r="K15" s="29"/>
      <c r="L15" s="29"/>
      <c r="M15" s="29"/>
      <c r="N15" s="29"/>
      <c r="O15" s="29"/>
      <c r="P15" s="29"/>
      <c r="Q15" s="29"/>
      <c r="R15" s="29"/>
      <c r="S15" s="29"/>
      <c r="T15" s="22"/>
      <c r="V15" s="158"/>
      <c r="W15" s="180" t="s">
        <v>113</v>
      </c>
      <c r="X15" s="239">
        <v>4.0523000000000003E-2</v>
      </c>
      <c r="Y15" s="158"/>
      <c r="Z15" s="40"/>
      <c r="AA15" s="40"/>
    </row>
    <row r="16" spans="1:27" ht="15" customHeight="1" x14ac:dyDescent="0.25">
      <c r="B16" s="79"/>
      <c r="C16" s="207" t="s">
        <v>136</v>
      </c>
      <c r="D16" s="208" t="s">
        <v>110</v>
      </c>
      <c r="E16" s="204">
        <v>2.3496E-2</v>
      </c>
      <c r="F16" s="29"/>
      <c r="G16" s="29"/>
      <c r="H16" s="29"/>
      <c r="I16" s="29"/>
      <c r="J16" s="29"/>
      <c r="K16" s="29"/>
      <c r="L16" s="29"/>
      <c r="M16" s="29"/>
      <c r="N16" s="29"/>
      <c r="O16" s="29"/>
      <c r="P16" s="29"/>
      <c r="Q16" s="29"/>
      <c r="R16" s="29"/>
      <c r="S16" s="29"/>
      <c r="T16" s="22"/>
      <c r="V16" s="158"/>
      <c r="W16" s="180" t="s">
        <v>84</v>
      </c>
      <c r="X16" s="239">
        <v>3.4783000000000001E-2</v>
      </c>
      <c r="Y16" s="158"/>
      <c r="Z16" s="40"/>
      <c r="AA16" s="40"/>
    </row>
    <row r="17" spans="2:27" ht="15.75" customHeight="1" x14ac:dyDescent="0.25">
      <c r="B17" s="79"/>
      <c r="C17" s="207" t="s">
        <v>227</v>
      </c>
      <c r="D17" s="208" t="s">
        <v>184</v>
      </c>
      <c r="E17" s="204">
        <v>2.1086000000000001E-2</v>
      </c>
      <c r="F17" s="29"/>
      <c r="G17" s="29"/>
      <c r="H17" s="29"/>
      <c r="I17" s="29"/>
      <c r="J17" s="29"/>
      <c r="K17" s="29"/>
      <c r="L17" s="29"/>
      <c r="M17" s="29"/>
      <c r="N17" s="29"/>
      <c r="O17" s="29"/>
      <c r="P17" s="29"/>
      <c r="Q17" s="29"/>
      <c r="R17" s="29"/>
      <c r="S17" s="29"/>
      <c r="T17" s="22"/>
      <c r="V17" s="158"/>
      <c r="W17" s="180" t="s">
        <v>3</v>
      </c>
      <c r="X17" s="239">
        <v>3.2922E-2</v>
      </c>
      <c r="Y17" s="158"/>
      <c r="Z17" s="40"/>
      <c r="AA17" s="40"/>
    </row>
    <row r="18" spans="2:27" ht="15.75" x14ac:dyDescent="0.25">
      <c r="B18" s="79"/>
      <c r="C18" s="207" t="s">
        <v>281</v>
      </c>
      <c r="D18" s="208" t="s">
        <v>3</v>
      </c>
      <c r="E18" s="204">
        <v>1.9643999999999998E-2</v>
      </c>
      <c r="F18" s="29"/>
      <c r="G18" s="29"/>
      <c r="H18" s="29"/>
      <c r="I18" s="29"/>
      <c r="J18" s="29"/>
      <c r="K18" s="29"/>
      <c r="L18" s="29"/>
      <c r="M18" s="29"/>
      <c r="N18" s="29"/>
      <c r="O18" s="29"/>
      <c r="P18" s="29"/>
      <c r="Q18" s="29"/>
      <c r="R18" s="29"/>
      <c r="S18" s="29"/>
      <c r="T18" s="22"/>
      <c r="V18" s="158"/>
      <c r="W18" s="180" t="s">
        <v>12</v>
      </c>
      <c r="X18" s="239">
        <v>2.4958999999999999E-2</v>
      </c>
      <c r="Y18" s="158"/>
      <c r="Z18" s="40"/>
      <c r="AA18" s="40"/>
    </row>
    <row r="19" spans="2:27" ht="15.75" customHeight="1" x14ac:dyDescent="0.25">
      <c r="B19" s="79"/>
      <c r="C19" s="207" t="s">
        <v>134</v>
      </c>
      <c r="D19" s="208" t="s">
        <v>112</v>
      </c>
      <c r="E19" s="204">
        <v>1.8176999999999999E-2</v>
      </c>
      <c r="F19" s="29"/>
      <c r="G19" s="29"/>
      <c r="H19" s="29"/>
      <c r="I19" s="29"/>
      <c r="J19" s="29"/>
      <c r="K19" s="29"/>
      <c r="L19" s="29"/>
      <c r="M19" s="29"/>
      <c r="N19" s="29"/>
      <c r="O19" s="29"/>
      <c r="P19" s="29"/>
      <c r="Q19" s="29"/>
      <c r="R19" s="29"/>
      <c r="S19" s="29"/>
      <c r="T19" s="22"/>
      <c r="V19" s="158"/>
      <c r="W19" s="180" t="s">
        <v>77</v>
      </c>
      <c r="X19" s="239">
        <v>2.4669999999999997E-2</v>
      </c>
      <c r="Y19" s="158"/>
      <c r="Z19" s="40"/>
      <c r="AA19" s="40"/>
    </row>
    <row r="20" spans="2:27" ht="15" customHeight="1" x14ac:dyDescent="0.25">
      <c r="B20" s="79"/>
      <c r="C20" s="207" t="s">
        <v>71</v>
      </c>
      <c r="D20" s="208" t="s">
        <v>10</v>
      </c>
      <c r="E20" s="204">
        <v>1.7852E-2</v>
      </c>
      <c r="F20" s="29"/>
      <c r="G20" s="29"/>
      <c r="H20" s="29"/>
      <c r="I20" s="29"/>
      <c r="J20" s="29"/>
      <c r="K20" s="29"/>
      <c r="L20" s="29"/>
      <c r="M20" s="29"/>
      <c r="N20" s="29"/>
      <c r="O20" s="29"/>
      <c r="P20" s="29"/>
      <c r="Q20" s="29"/>
      <c r="R20" s="29"/>
      <c r="S20" s="29"/>
      <c r="T20" s="22"/>
      <c r="V20" s="158"/>
      <c r="W20" s="180" t="s">
        <v>4</v>
      </c>
      <c r="X20" s="239">
        <v>2.1368999999999999E-2</v>
      </c>
      <c r="Y20" s="158"/>
      <c r="Z20" s="40"/>
      <c r="AA20" s="40"/>
    </row>
    <row r="21" spans="2:27" ht="15" customHeight="1" x14ac:dyDescent="0.25">
      <c r="B21" s="79"/>
      <c r="C21" s="207" t="s">
        <v>361</v>
      </c>
      <c r="D21" s="208" t="s">
        <v>24</v>
      </c>
      <c r="E21" s="204">
        <v>1.6278000000000001E-2</v>
      </c>
      <c r="F21" s="29"/>
      <c r="G21" s="29"/>
      <c r="H21" s="29"/>
      <c r="I21" s="29"/>
      <c r="J21" s="29"/>
      <c r="K21" s="29"/>
      <c r="L21" s="29"/>
      <c r="M21" s="29"/>
      <c r="N21" s="29"/>
      <c r="O21" s="29"/>
      <c r="P21" s="29"/>
      <c r="Q21" s="29"/>
      <c r="R21" s="29"/>
      <c r="S21" s="29"/>
      <c r="T21" s="22"/>
      <c r="V21" s="158"/>
      <c r="W21" s="180" t="s">
        <v>184</v>
      </c>
      <c r="X21" s="239">
        <v>2.1086000000000001E-2</v>
      </c>
      <c r="Y21" s="158"/>
      <c r="Z21" s="40"/>
      <c r="AA21" s="40"/>
    </row>
    <row r="22" spans="2:27" ht="15" customHeight="1" x14ac:dyDescent="0.25">
      <c r="B22" s="79"/>
      <c r="C22" s="207" t="s">
        <v>362</v>
      </c>
      <c r="D22" s="208" t="s">
        <v>16</v>
      </c>
      <c r="E22" s="204">
        <v>1.5997999999999998E-2</v>
      </c>
      <c r="F22" s="29"/>
      <c r="G22" s="29"/>
      <c r="H22" s="29"/>
      <c r="I22" s="29"/>
      <c r="J22" s="29"/>
      <c r="K22" s="29"/>
      <c r="L22" s="29"/>
      <c r="M22" s="29"/>
      <c r="N22" s="29"/>
      <c r="O22" s="29"/>
      <c r="P22" s="29"/>
      <c r="Q22" s="29"/>
      <c r="R22" s="29"/>
      <c r="S22" s="29"/>
      <c r="T22" s="22"/>
      <c r="V22" s="158"/>
      <c r="W22" s="180" t="s">
        <v>137</v>
      </c>
      <c r="X22" s="239">
        <v>2.0264000000000001E-2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116</v>
      </c>
      <c r="X23" s="239">
        <v>2.0053000000000001E-2</v>
      </c>
      <c r="Y23" s="158"/>
      <c r="Z23" s="40"/>
      <c r="AA23" s="40"/>
    </row>
    <row r="24" spans="2:27" ht="15" customHeight="1" x14ac:dyDescent="0.25">
      <c r="B24" s="79"/>
      <c r="C24" s="73" t="s">
        <v>55</v>
      </c>
      <c r="D24" s="74"/>
      <c r="E24" s="75">
        <f>SUM(E8:E23)</f>
        <v>0.36848199999999998</v>
      </c>
      <c r="F24" s="29"/>
      <c r="G24" s="29"/>
      <c r="H24" s="29"/>
      <c r="I24" s="29"/>
      <c r="J24" s="29"/>
      <c r="K24" s="29"/>
      <c r="L24" s="29"/>
      <c r="M24" s="29"/>
      <c r="N24" s="29"/>
      <c r="O24" s="29"/>
      <c r="P24" s="29"/>
      <c r="Q24" s="29"/>
      <c r="R24" s="29"/>
      <c r="S24" s="29"/>
      <c r="T24" s="22"/>
      <c r="V24" s="158"/>
      <c r="W24" s="180" t="s">
        <v>118</v>
      </c>
      <c r="X24" s="239">
        <v>1.9119999999999998E-2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112</v>
      </c>
      <c r="X25" s="239">
        <v>1.8176999999999999E-2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10</v>
      </c>
      <c r="X26" s="239">
        <v>1.7852E-2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114</v>
      </c>
      <c r="X27" s="239">
        <v>1.4945999999999999E-2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106</v>
      </c>
      <c r="X28" s="239">
        <v>1.2999E-2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87</v>
      </c>
      <c r="X29" s="239">
        <v>1.1848000000000001E-2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83</v>
      </c>
      <c r="X30" s="239">
        <v>9.0559999999999998E-3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126</v>
      </c>
      <c r="X31" s="239">
        <v>8.208E-3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123</v>
      </c>
      <c r="X32" s="239">
        <v>7.9059999999999998E-3</v>
      </c>
    </row>
    <row r="33" spans="2:24" ht="15" customHeight="1" thickBot="1" x14ac:dyDescent="0.3">
      <c r="W33" s="180" t="s">
        <v>11</v>
      </c>
      <c r="X33" s="239">
        <v>7.7359999999999998E-3</v>
      </c>
    </row>
    <row r="34" spans="2:24" ht="15" customHeight="1" x14ac:dyDescent="0.25">
      <c r="B34" s="269" t="s">
        <v>182</v>
      </c>
      <c r="C34" s="270"/>
      <c r="D34" s="270"/>
      <c r="E34" s="270"/>
      <c r="F34" s="270"/>
      <c r="G34" s="270"/>
      <c r="H34" s="270"/>
      <c r="I34" s="270"/>
      <c r="J34" s="270"/>
      <c r="K34" s="270"/>
      <c r="L34" s="270"/>
      <c r="M34" s="270"/>
      <c r="N34" s="270"/>
      <c r="O34" s="270"/>
      <c r="P34" s="270"/>
      <c r="Q34" s="270"/>
      <c r="R34" s="271"/>
      <c r="W34" s="180" t="s">
        <v>85</v>
      </c>
      <c r="X34" s="239">
        <v>7.5649999999999997E-3</v>
      </c>
    </row>
    <row r="35" spans="2:24" ht="15" customHeight="1" x14ac:dyDescent="0.25">
      <c r="B35" s="272"/>
      <c r="C35" s="273"/>
      <c r="D35" s="273"/>
      <c r="E35" s="273"/>
      <c r="F35" s="273"/>
      <c r="G35" s="273"/>
      <c r="H35" s="273"/>
      <c r="I35" s="273"/>
      <c r="J35" s="273"/>
      <c r="K35" s="273"/>
      <c r="L35" s="273"/>
      <c r="M35" s="273"/>
      <c r="N35" s="273"/>
      <c r="O35" s="273"/>
      <c r="P35" s="273"/>
      <c r="Q35" s="273"/>
      <c r="R35" s="274"/>
      <c r="W35" s="180" t="s">
        <v>121</v>
      </c>
      <c r="X35" s="239">
        <v>5.3369999999999997E-3</v>
      </c>
    </row>
    <row r="36" spans="2:24" ht="15" customHeight="1" x14ac:dyDescent="0.25">
      <c r="B36" s="272"/>
      <c r="C36" s="273"/>
      <c r="D36" s="273"/>
      <c r="E36" s="273"/>
      <c r="F36" s="273"/>
      <c r="G36" s="273"/>
      <c r="H36" s="273"/>
      <c r="I36" s="273"/>
      <c r="J36" s="273"/>
      <c r="K36" s="273"/>
      <c r="L36" s="273"/>
      <c r="M36" s="273"/>
      <c r="N36" s="273"/>
      <c r="O36" s="273"/>
      <c r="P36" s="273"/>
      <c r="Q36" s="273"/>
      <c r="R36" s="274"/>
      <c r="W36" s="180" t="s">
        <v>185</v>
      </c>
      <c r="X36" s="239">
        <v>3.117E-3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108</v>
      </c>
      <c r="X37" s="239">
        <v>1.632E-3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13</v>
      </c>
      <c r="X38" s="239">
        <v>1.526E-3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c r="X39" s="239"/>
    </row>
    <row r="40" spans="2:24" ht="21.75" customHeight="1" thickBot="1" x14ac:dyDescent="0.3">
      <c r="B40" s="275"/>
      <c r="C40" s="276"/>
      <c r="D40" s="276"/>
      <c r="E40" s="276"/>
      <c r="F40" s="276"/>
      <c r="G40" s="276"/>
      <c r="H40" s="276"/>
      <c r="I40" s="276"/>
      <c r="J40" s="276"/>
      <c r="K40" s="276"/>
      <c r="L40" s="276"/>
      <c r="M40" s="276"/>
      <c r="N40" s="276"/>
      <c r="O40" s="276"/>
      <c r="P40" s="276"/>
      <c r="Q40" s="276"/>
      <c r="R40" s="277"/>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167</v>
      </c>
      <c r="D3" s="279"/>
      <c r="E3" s="279"/>
      <c r="F3" s="279"/>
      <c r="G3" s="279"/>
      <c r="H3" s="279"/>
      <c r="I3" s="279"/>
      <c r="J3" s="279"/>
      <c r="K3" s="279"/>
      <c r="L3" s="279"/>
      <c r="M3" s="279"/>
      <c r="N3" s="279"/>
      <c r="O3" s="279"/>
      <c r="P3" s="279"/>
      <c r="Q3" s="279"/>
      <c r="R3" s="279"/>
      <c r="S3" s="279"/>
      <c r="T3" s="22"/>
      <c r="V3" s="40"/>
      <c r="W3" s="40"/>
      <c r="X3" s="40"/>
      <c r="Y3" s="40"/>
      <c r="Z3" s="40"/>
      <c r="AA3" s="40"/>
    </row>
    <row r="4" spans="1:27" ht="15.75" customHeight="1" x14ac:dyDescent="0.25">
      <c r="B4" s="79"/>
      <c r="C4" s="67" t="s">
        <v>412</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411</v>
      </c>
      <c r="D5" s="280" t="s">
        <v>377</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29</v>
      </c>
      <c r="D8" s="206" t="s">
        <v>3</v>
      </c>
      <c r="E8" s="203">
        <v>5.1344000000000001E-2</v>
      </c>
      <c r="F8" s="29"/>
      <c r="G8" s="29"/>
      <c r="H8" s="29"/>
      <c r="I8" s="29"/>
      <c r="J8" s="29"/>
      <c r="K8" s="29"/>
      <c r="L8" s="29"/>
      <c r="M8" s="29"/>
      <c r="N8" s="29"/>
      <c r="O8" s="29"/>
      <c r="P8" s="29"/>
      <c r="Q8" s="29"/>
      <c r="R8" s="29"/>
      <c r="S8" s="29"/>
      <c r="T8" s="22"/>
      <c r="V8" s="158"/>
      <c r="W8" s="180" t="s">
        <v>3</v>
      </c>
      <c r="X8" s="239">
        <v>0.15234</v>
      </c>
      <c r="Y8" s="158"/>
      <c r="Z8" s="40"/>
      <c r="AA8" s="40"/>
    </row>
    <row r="9" spans="1:27" ht="15.75" customHeight="1" x14ac:dyDescent="0.25">
      <c r="B9" s="79"/>
      <c r="C9" s="207" t="s">
        <v>31</v>
      </c>
      <c r="D9" s="208" t="s">
        <v>6</v>
      </c>
      <c r="E9" s="204">
        <v>3.6940000000000001E-2</v>
      </c>
      <c r="F9" s="29"/>
      <c r="G9" s="29"/>
      <c r="H9" s="29"/>
      <c r="I9" s="29"/>
      <c r="J9" s="29"/>
      <c r="K9" s="29"/>
      <c r="L9" s="29"/>
      <c r="M9" s="29"/>
      <c r="N9" s="29"/>
      <c r="O9" s="29"/>
      <c r="P9" s="29"/>
      <c r="Q9" s="29"/>
      <c r="R9" s="29"/>
      <c r="S9" s="29"/>
      <c r="T9" s="22"/>
      <c r="V9" s="158"/>
      <c r="W9" s="180" t="s">
        <v>111</v>
      </c>
      <c r="X9" s="239">
        <v>9.0098999999999999E-2</v>
      </c>
      <c r="Y9" s="158"/>
      <c r="Z9" s="40"/>
      <c r="AA9" s="40"/>
    </row>
    <row r="10" spans="1:27" ht="15" customHeight="1" x14ac:dyDescent="0.25">
      <c r="B10" s="79"/>
      <c r="C10" s="207" t="s">
        <v>32</v>
      </c>
      <c r="D10" s="208" t="s">
        <v>3</v>
      </c>
      <c r="E10" s="204">
        <v>2.6547000000000001E-2</v>
      </c>
      <c r="F10" s="29"/>
      <c r="G10" s="29"/>
      <c r="H10" s="29"/>
      <c r="I10" s="29"/>
      <c r="J10" s="29"/>
      <c r="K10" s="29"/>
      <c r="L10" s="29"/>
      <c r="M10" s="29"/>
      <c r="N10" s="29"/>
      <c r="O10" s="29"/>
      <c r="P10" s="29"/>
      <c r="Q10" s="29"/>
      <c r="R10" s="29"/>
      <c r="S10" s="29"/>
      <c r="T10" s="22"/>
      <c r="V10" s="158"/>
      <c r="W10" s="180" t="s">
        <v>107</v>
      </c>
      <c r="X10" s="239">
        <v>6.8142999999999995E-2</v>
      </c>
      <c r="Y10" s="158"/>
      <c r="Z10" s="40"/>
      <c r="AA10" s="40"/>
    </row>
    <row r="11" spans="1:27" ht="15" customHeight="1" x14ac:dyDescent="0.25">
      <c r="B11" s="79"/>
      <c r="C11" s="207" t="s">
        <v>36</v>
      </c>
      <c r="D11" s="208" t="s">
        <v>3</v>
      </c>
      <c r="E11" s="204">
        <v>2.4362999999999999E-2</v>
      </c>
      <c r="F11" s="29"/>
      <c r="G11" s="29"/>
      <c r="H11" s="29"/>
      <c r="I11" s="29"/>
      <c r="J11" s="29"/>
      <c r="K11" s="29"/>
      <c r="L11" s="29"/>
      <c r="M11" s="29"/>
      <c r="N11" s="29"/>
      <c r="O11" s="29"/>
      <c r="P11" s="29"/>
      <c r="Q11" s="29"/>
      <c r="R11" s="29"/>
      <c r="S11" s="29"/>
      <c r="T11" s="22"/>
      <c r="V11" s="158"/>
      <c r="W11" s="180" t="s">
        <v>26</v>
      </c>
      <c r="X11" s="239">
        <v>4.7919999999999997E-2</v>
      </c>
      <c r="Y11" s="158"/>
      <c r="Z11" s="40"/>
      <c r="AA11" s="40"/>
    </row>
    <row r="12" spans="1:27" ht="15" customHeight="1" x14ac:dyDescent="0.25">
      <c r="B12" s="79"/>
      <c r="C12" s="207" t="s">
        <v>28</v>
      </c>
      <c r="D12" s="208" t="s">
        <v>107</v>
      </c>
      <c r="E12" s="204">
        <v>2.2762000000000001E-2</v>
      </c>
      <c r="F12" s="29"/>
      <c r="G12" s="29"/>
      <c r="H12" s="29"/>
      <c r="I12" s="29"/>
      <c r="J12" s="29"/>
      <c r="K12" s="29"/>
      <c r="L12" s="29"/>
      <c r="M12" s="29"/>
      <c r="N12" s="29"/>
      <c r="O12" s="29"/>
      <c r="P12" s="29"/>
      <c r="Q12" s="29"/>
      <c r="R12" s="29"/>
      <c r="S12" s="29"/>
      <c r="T12" s="22"/>
      <c r="V12" s="158"/>
      <c r="W12" s="180" t="s">
        <v>6</v>
      </c>
      <c r="X12" s="239">
        <v>4.1634000000000004E-2</v>
      </c>
      <c r="Y12" s="158"/>
      <c r="Z12" s="40"/>
      <c r="AA12" s="40"/>
    </row>
    <row r="13" spans="1:27" ht="15" customHeight="1" x14ac:dyDescent="0.25">
      <c r="B13" s="79"/>
      <c r="C13" s="207" t="s">
        <v>243</v>
      </c>
      <c r="D13" s="208" t="s">
        <v>26</v>
      </c>
      <c r="E13" s="204">
        <v>2.2606999999999999E-2</v>
      </c>
      <c r="F13" s="29"/>
      <c r="G13" s="29"/>
      <c r="H13" s="29"/>
      <c r="I13" s="29"/>
      <c r="J13" s="29"/>
      <c r="K13" s="29"/>
      <c r="L13" s="29"/>
      <c r="M13" s="29"/>
      <c r="N13" s="29"/>
      <c r="O13" s="29"/>
      <c r="P13" s="29"/>
      <c r="Q13" s="29"/>
      <c r="R13" s="29"/>
      <c r="S13" s="29"/>
      <c r="T13" s="22"/>
      <c r="V13" s="158"/>
      <c r="W13" s="180" t="s">
        <v>16</v>
      </c>
      <c r="X13" s="239">
        <v>3.8684000000000003E-2</v>
      </c>
      <c r="Y13" s="158"/>
      <c r="Z13" s="40"/>
      <c r="AA13" s="40"/>
    </row>
    <row r="14" spans="1:27" ht="15" customHeight="1" x14ac:dyDescent="0.25">
      <c r="B14" s="79"/>
      <c r="C14" s="207" t="s">
        <v>109</v>
      </c>
      <c r="D14" s="208" t="s">
        <v>110</v>
      </c>
      <c r="E14" s="204">
        <v>1.9134999999999999E-2</v>
      </c>
      <c r="F14" s="29"/>
      <c r="G14" s="29"/>
      <c r="H14" s="29"/>
      <c r="I14" s="29"/>
      <c r="J14" s="29"/>
      <c r="K14" s="29"/>
      <c r="L14" s="29"/>
      <c r="M14" s="29"/>
      <c r="N14" s="29"/>
      <c r="O14" s="29"/>
      <c r="P14" s="29"/>
      <c r="Q14" s="29"/>
      <c r="R14" s="29"/>
      <c r="S14" s="29"/>
      <c r="T14" s="22"/>
      <c r="V14" s="158"/>
      <c r="W14" s="180" t="s">
        <v>86</v>
      </c>
      <c r="X14" s="239">
        <v>3.7583999999999992E-2</v>
      </c>
      <c r="Y14" s="158"/>
      <c r="Z14" s="40"/>
      <c r="AA14" s="40"/>
    </row>
    <row r="15" spans="1:27" ht="15.75" customHeight="1" x14ac:dyDescent="0.25">
      <c r="B15" s="79"/>
      <c r="C15" s="207" t="s">
        <v>34</v>
      </c>
      <c r="D15" s="208" t="s">
        <v>23</v>
      </c>
      <c r="E15" s="204">
        <v>1.5972E-2</v>
      </c>
      <c r="F15" s="29"/>
      <c r="G15" s="29"/>
      <c r="H15" s="29"/>
      <c r="I15" s="29"/>
      <c r="J15" s="29"/>
      <c r="K15" s="29"/>
      <c r="L15" s="29"/>
      <c r="M15" s="29"/>
      <c r="N15" s="29"/>
      <c r="O15" s="29"/>
      <c r="P15" s="29"/>
      <c r="Q15" s="29"/>
      <c r="R15" s="29"/>
      <c r="S15" s="29"/>
      <c r="T15" s="22"/>
      <c r="V15" s="158"/>
      <c r="W15" s="180" t="s">
        <v>23</v>
      </c>
      <c r="X15" s="239">
        <v>3.6669E-2</v>
      </c>
      <c r="Y15" s="158"/>
      <c r="Z15" s="40"/>
      <c r="AA15" s="40"/>
    </row>
    <row r="16" spans="1:27" ht="15" customHeight="1" x14ac:dyDescent="0.25">
      <c r="B16" s="79"/>
      <c r="C16" s="207" t="s">
        <v>33</v>
      </c>
      <c r="D16" s="208" t="s">
        <v>107</v>
      </c>
      <c r="E16" s="204">
        <v>1.5696999999999999E-2</v>
      </c>
      <c r="F16" s="29"/>
      <c r="G16" s="29"/>
      <c r="H16" s="29"/>
      <c r="I16" s="29"/>
      <c r="J16" s="29"/>
      <c r="K16" s="29"/>
      <c r="L16" s="29"/>
      <c r="M16" s="29"/>
      <c r="N16" s="29"/>
      <c r="O16" s="29"/>
      <c r="P16" s="29"/>
      <c r="Q16" s="29"/>
      <c r="R16" s="29"/>
      <c r="S16" s="29"/>
      <c r="T16" s="22"/>
      <c r="V16" s="158"/>
      <c r="W16" s="180" t="s">
        <v>118</v>
      </c>
      <c r="X16" s="239">
        <v>3.4078999999999998E-2</v>
      </c>
      <c r="Y16" s="158"/>
      <c r="Z16" s="40"/>
      <c r="AA16" s="40"/>
    </row>
    <row r="17" spans="2:27" ht="15.75" customHeight="1" x14ac:dyDescent="0.25">
      <c r="B17" s="79"/>
      <c r="C17" s="207" t="s">
        <v>35</v>
      </c>
      <c r="D17" s="208" t="s">
        <v>3</v>
      </c>
      <c r="E17" s="204">
        <v>1.5139E-2</v>
      </c>
      <c r="F17" s="29"/>
      <c r="G17" s="29"/>
      <c r="H17" s="29"/>
      <c r="I17" s="29"/>
      <c r="J17" s="29"/>
      <c r="K17" s="29"/>
      <c r="L17" s="29"/>
      <c r="M17" s="29"/>
      <c r="N17" s="29"/>
      <c r="O17" s="29"/>
      <c r="P17" s="29"/>
      <c r="Q17" s="29"/>
      <c r="R17" s="29"/>
      <c r="S17" s="29"/>
      <c r="T17" s="22"/>
      <c r="V17" s="158"/>
      <c r="W17" s="180" t="s">
        <v>4</v>
      </c>
      <c r="X17" s="239">
        <v>3.2488999999999997E-2</v>
      </c>
      <c r="Y17" s="158"/>
      <c r="Z17" s="40"/>
      <c r="AA17" s="40"/>
    </row>
    <row r="18" spans="2:27" ht="15.75" x14ac:dyDescent="0.25">
      <c r="B18" s="79"/>
      <c r="C18" s="207" t="s">
        <v>254</v>
      </c>
      <c r="D18" s="208" t="s">
        <v>108</v>
      </c>
      <c r="E18" s="204">
        <v>1.4364999999999999E-2</v>
      </c>
      <c r="F18" s="29"/>
      <c r="G18" s="29"/>
      <c r="H18" s="29"/>
      <c r="I18" s="29"/>
      <c r="J18" s="29"/>
      <c r="K18" s="29"/>
      <c r="L18" s="29"/>
      <c r="M18" s="29"/>
      <c r="N18" s="29"/>
      <c r="O18" s="29"/>
      <c r="P18" s="29"/>
      <c r="Q18" s="29"/>
      <c r="R18" s="29"/>
      <c r="S18" s="29"/>
      <c r="T18" s="22"/>
      <c r="V18" s="158"/>
      <c r="W18" s="180" t="s">
        <v>113</v>
      </c>
      <c r="X18" s="239">
        <v>3.1440999999999997E-2</v>
      </c>
      <c r="Y18" s="158"/>
      <c r="Z18" s="40"/>
      <c r="AA18" s="40"/>
    </row>
    <row r="19" spans="2:27" ht="15.75" customHeight="1" x14ac:dyDescent="0.25">
      <c r="B19" s="79"/>
      <c r="C19" s="207" t="s">
        <v>253</v>
      </c>
      <c r="D19" s="208" t="s">
        <v>106</v>
      </c>
      <c r="E19" s="204">
        <v>1.3939999999999999E-2</v>
      </c>
      <c r="F19" s="29"/>
      <c r="G19" s="29"/>
      <c r="H19" s="29"/>
      <c r="I19" s="29"/>
      <c r="J19" s="29"/>
      <c r="K19" s="29"/>
      <c r="L19" s="29"/>
      <c r="M19" s="29"/>
      <c r="N19" s="29"/>
      <c r="O19" s="29"/>
      <c r="P19" s="29"/>
      <c r="Q19" s="29"/>
      <c r="R19" s="29"/>
      <c r="S19" s="29"/>
      <c r="T19" s="22"/>
      <c r="V19" s="158"/>
      <c r="W19" s="180" t="s">
        <v>110</v>
      </c>
      <c r="X19" s="239">
        <v>2.8162E-2</v>
      </c>
      <c r="Y19" s="158"/>
      <c r="Z19" s="40"/>
      <c r="AA19" s="40"/>
    </row>
    <row r="20" spans="2:27" ht="15" customHeight="1" x14ac:dyDescent="0.25">
      <c r="B20" s="79"/>
      <c r="C20" s="207" t="s">
        <v>336</v>
      </c>
      <c r="D20" s="208" t="s">
        <v>26</v>
      </c>
      <c r="E20" s="204">
        <v>1.3635E-2</v>
      </c>
      <c r="F20" s="29"/>
      <c r="G20" s="29"/>
      <c r="H20" s="29"/>
      <c r="I20" s="29"/>
      <c r="J20" s="29"/>
      <c r="K20" s="29"/>
      <c r="L20" s="29"/>
      <c r="M20" s="29"/>
      <c r="N20" s="29"/>
      <c r="O20" s="29"/>
      <c r="P20" s="29"/>
      <c r="Q20" s="29"/>
      <c r="R20" s="29"/>
      <c r="S20" s="29"/>
      <c r="T20" s="22"/>
      <c r="V20" s="158"/>
      <c r="W20" s="180" t="s">
        <v>24</v>
      </c>
      <c r="X20" s="239">
        <v>2.6185000000000003E-2</v>
      </c>
      <c r="Y20" s="158"/>
      <c r="Z20" s="40"/>
      <c r="AA20" s="40"/>
    </row>
    <row r="21" spans="2:27" ht="15" customHeight="1" x14ac:dyDescent="0.25">
      <c r="B21" s="79"/>
      <c r="C21" s="207" t="s">
        <v>70</v>
      </c>
      <c r="D21" s="208" t="s">
        <v>12</v>
      </c>
      <c r="E21" s="204">
        <v>1.329E-2</v>
      </c>
      <c r="F21" s="29"/>
      <c r="G21" s="29"/>
      <c r="H21" s="29"/>
      <c r="I21" s="29"/>
      <c r="J21" s="29"/>
      <c r="K21" s="29"/>
      <c r="L21" s="29"/>
      <c r="M21" s="29"/>
      <c r="N21" s="29"/>
      <c r="O21" s="29"/>
      <c r="P21" s="29"/>
      <c r="Q21" s="29"/>
      <c r="R21" s="29"/>
      <c r="S21" s="29"/>
      <c r="T21" s="22"/>
      <c r="V21" s="158"/>
      <c r="W21" s="180" t="s">
        <v>108</v>
      </c>
      <c r="X21" s="239">
        <v>2.3035E-2</v>
      </c>
      <c r="Y21" s="158"/>
      <c r="Z21" s="40"/>
      <c r="AA21" s="40"/>
    </row>
    <row r="22" spans="2:27" ht="15" customHeight="1" x14ac:dyDescent="0.25">
      <c r="B22" s="79"/>
      <c r="C22" s="207" t="s">
        <v>135</v>
      </c>
      <c r="D22" s="208" t="s">
        <v>3</v>
      </c>
      <c r="E22" s="204">
        <v>1.3217E-2</v>
      </c>
      <c r="F22" s="29"/>
      <c r="G22" s="29"/>
      <c r="H22" s="29"/>
      <c r="I22" s="29"/>
      <c r="J22" s="29"/>
      <c r="K22" s="29"/>
      <c r="L22" s="29"/>
      <c r="M22" s="29"/>
      <c r="N22" s="29"/>
      <c r="O22" s="29"/>
      <c r="P22" s="29"/>
      <c r="Q22" s="29"/>
      <c r="R22" s="29"/>
      <c r="S22" s="29"/>
      <c r="T22" s="22"/>
      <c r="V22" s="158"/>
      <c r="W22" s="180" t="s">
        <v>112</v>
      </c>
      <c r="X22" s="239">
        <v>2.2974000000000001E-2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10</v>
      </c>
      <c r="X23" s="239">
        <v>2.1142000000000001E-2</v>
      </c>
      <c r="Y23" s="158"/>
      <c r="Z23" s="40"/>
      <c r="AA23" s="40"/>
    </row>
    <row r="24" spans="2:27" ht="15" customHeight="1" x14ac:dyDescent="0.25">
      <c r="B24" s="79"/>
      <c r="C24" s="73" t="s">
        <v>55</v>
      </c>
      <c r="D24" s="74"/>
      <c r="E24" s="75">
        <f>SUM(E8:E22)</f>
        <v>0.31895299999999999</v>
      </c>
      <c r="F24" s="29"/>
      <c r="G24" s="29"/>
      <c r="H24" s="29"/>
      <c r="I24" s="29"/>
      <c r="J24" s="29"/>
      <c r="K24" s="29"/>
      <c r="L24" s="29"/>
      <c r="M24" s="29"/>
      <c r="N24" s="29"/>
      <c r="O24" s="29"/>
      <c r="P24" s="29"/>
      <c r="Q24" s="29"/>
      <c r="R24" s="29"/>
      <c r="S24" s="29"/>
      <c r="T24" s="22"/>
      <c r="V24" s="158"/>
      <c r="W24" s="180" t="s">
        <v>106</v>
      </c>
      <c r="X24" s="239">
        <v>2.0464E-2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137</v>
      </c>
      <c r="X25" s="239">
        <v>1.9831999999999999E-2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126</v>
      </c>
      <c r="X26" s="239">
        <v>1.7300000000000003E-2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84</v>
      </c>
      <c r="X27" s="239">
        <v>1.6912E-2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83</v>
      </c>
      <c r="X28" s="239">
        <v>1.6038E-2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12</v>
      </c>
      <c r="X29" s="239">
        <v>1.329E-2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114</v>
      </c>
      <c r="X30" s="239">
        <v>1.3051E-2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119</v>
      </c>
      <c r="X31" s="239">
        <v>1.1214E-2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184</v>
      </c>
      <c r="X32" s="239">
        <v>1.1048000000000001E-2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117</v>
      </c>
      <c r="X33" s="239">
        <v>1.0708000000000001E-2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121</v>
      </c>
      <c r="X34" s="239">
        <v>1.0662E-2</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218</v>
      </c>
      <c r="X35" s="239">
        <v>1.0595E-2</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13</v>
      </c>
      <c r="X36" s="239">
        <v>1.0251E-2</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11</v>
      </c>
      <c r="X37" s="239">
        <v>1.018E-2</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133</v>
      </c>
      <c r="X38" s="239">
        <v>9.2599999999999991E-3</v>
      </c>
    </row>
    <row r="39" spans="2:27" ht="15" customHeight="1" thickBot="1" x14ac:dyDescent="0.3">
      <c r="W39" s="180" t="s">
        <v>116</v>
      </c>
      <c r="X39" s="239">
        <v>7.724E-3</v>
      </c>
    </row>
    <row r="40" spans="2:27" ht="15" customHeight="1" x14ac:dyDescent="0.25">
      <c r="B40" s="269" t="s">
        <v>182</v>
      </c>
      <c r="C40" s="270"/>
      <c r="D40" s="270"/>
      <c r="E40" s="270"/>
      <c r="F40" s="270"/>
      <c r="G40" s="270"/>
      <c r="H40" s="270"/>
      <c r="I40" s="270"/>
      <c r="J40" s="270"/>
      <c r="K40" s="270"/>
      <c r="L40" s="270"/>
      <c r="M40" s="270"/>
      <c r="N40" s="270"/>
      <c r="O40" s="270"/>
      <c r="P40" s="270"/>
      <c r="Q40" s="270"/>
      <c r="R40" s="271"/>
      <c r="W40" s="19" t="s">
        <v>146</v>
      </c>
      <c r="X40" s="239">
        <v>5.6369999999999996E-3</v>
      </c>
    </row>
    <row r="41" spans="2:27" ht="15" customHeight="1" x14ac:dyDescent="0.25">
      <c r="B41" s="272"/>
      <c r="C41" s="273"/>
      <c r="D41" s="273"/>
      <c r="E41" s="273"/>
      <c r="F41" s="273"/>
      <c r="G41" s="273"/>
      <c r="H41" s="273"/>
      <c r="I41" s="273"/>
      <c r="J41" s="273"/>
      <c r="K41" s="273"/>
      <c r="L41" s="273"/>
      <c r="M41" s="273"/>
      <c r="N41" s="273"/>
      <c r="O41" s="273"/>
      <c r="P41" s="273"/>
      <c r="Q41" s="273"/>
      <c r="R41" s="274"/>
      <c r="W41" s="19" t="s">
        <v>85</v>
      </c>
      <c r="X41" s="239">
        <v>5.3E-3</v>
      </c>
    </row>
    <row r="42" spans="2:27" ht="15" customHeight="1" x14ac:dyDescent="0.25">
      <c r="B42" s="272"/>
      <c r="C42" s="273"/>
      <c r="D42" s="273"/>
      <c r="E42" s="273"/>
      <c r="F42" s="273"/>
      <c r="G42" s="273"/>
      <c r="H42" s="273"/>
      <c r="I42" s="273"/>
      <c r="J42" s="273"/>
      <c r="K42" s="273"/>
      <c r="L42" s="273"/>
      <c r="M42" s="273"/>
      <c r="N42" s="273"/>
      <c r="O42" s="273"/>
      <c r="P42" s="273"/>
      <c r="Q42" s="273"/>
      <c r="R42" s="274"/>
      <c r="W42" s="19" t="s">
        <v>15</v>
      </c>
      <c r="X42" s="239">
        <v>4.9439999999999996E-3</v>
      </c>
    </row>
    <row r="43" spans="2:27" ht="15" customHeight="1" x14ac:dyDescent="0.25">
      <c r="B43" s="272"/>
      <c r="C43" s="273"/>
      <c r="D43" s="273"/>
      <c r="E43" s="273"/>
      <c r="F43" s="273"/>
      <c r="G43" s="273"/>
      <c r="H43" s="273"/>
      <c r="I43" s="273"/>
      <c r="J43" s="273"/>
      <c r="K43" s="273"/>
      <c r="L43" s="273"/>
      <c r="M43" s="273"/>
      <c r="N43" s="273"/>
      <c r="O43" s="273"/>
      <c r="P43" s="273"/>
      <c r="Q43" s="273"/>
      <c r="R43" s="274"/>
      <c r="W43" s="19" t="s">
        <v>115</v>
      </c>
      <c r="X43" s="239">
        <v>3.6870000000000002E-3</v>
      </c>
    </row>
    <row r="44" spans="2:27" ht="15" customHeight="1" x14ac:dyDescent="0.25">
      <c r="B44" s="272"/>
      <c r="C44" s="273"/>
      <c r="D44" s="273"/>
      <c r="E44" s="273"/>
      <c r="F44" s="273"/>
      <c r="G44" s="273"/>
      <c r="H44" s="273"/>
      <c r="I44" s="273"/>
      <c r="J44" s="273"/>
      <c r="K44" s="273"/>
      <c r="L44" s="273"/>
      <c r="M44" s="273"/>
      <c r="N44" s="273"/>
      <c r="O44" s="273"/>
      <c r="P44" s="273"/>
      <c r="Q44" s="273"/>
      <c r="R44" s="274"/>
      <c r="W44" s="19" t="s">
        <v>123</v>
      </c>
      <c r="X44" s="239">
        <v>2.2390000000000001E-3</v>
      </c>
    </row>
    <row r="45" spans="2:27" ht="15" customHeight="1" x14ac:dyDescent="0.25">
      <c r="B45" s="272"/>
      <c r="C45" s="273"/>
      <c r="D45" s="273"/>
      <c r="E45" s="273"/>
      <c r="F45" s="273"/>
      <c r="G45" s="273"/>
      <c r="H45" s="273"/>
      <c r="I45" s="273"/>
      <c r="J45" s="273"/>
      <c r="K45" s="273"/>
      <c r="L45" s="273"/>
      <c r="M45" s="273"/>
      <c r="N45" s="273"/>
      <c r="O45" s="273"/>
      <c r="P45" s="273"/>
      <c r="Q45" s="273"/>
      <c r="R45" s="274"/>
    </row>
    <row r="46" spans="2:27" ht="21.75" customHeight="1" thickBot="1" x14ac:dyDescent="0.3">
      <c r="B46" s="275"/>
      <c r="C46" s="276"/>
      <c r="D46" s="276"/>
      <c r="E46" s="276"/>
      <c r="F46" s="276"/>
      <c r="G46" s="276"/>
      <c r="H46" s="276"/>
      <c r="I46" s="276"/>
      <c r="J46" s="276"/>
      <c r="K46" s="276"/>
      <c r="L46" s="276"/>
      <c r="M46" s="276"/>
      <c r="N46" s="276"/>
      <c r="O46" s="276"/>
      <c r="P46" s="276"/>
      <c r="Q46" s="276"/>
      <c r="R46" s="277"/>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166</v>
      </c>
      <c r="D3" s="278"/>
      <c r="E3" s="278"/>
      <c r="F3" s="278"/>
      <c r="G3" s="278"/>
      <c r="H3" s="278"/>
      <c r="I3" s="278"/>
      <c r="J3" s="278"/>
      <c r="K3" s="278"/>
      <c r="L3" s="278"/>
      <c r="M3" s="278"/>
      <c r="N3" s="278"/>
      <c r="O3" s="278"/>
      <c r="P3" s="278"/>
      <c r="Q3" s="278"/>
      <c r="R3" s="278"/>
      <c r="S3" s="278"/>
      <c r="T3" s="22"/>
      <c r="V3" s="40"/>
      <c r="W3" s="40"/>
      <c r="X3" s="40"/>
      <c r="Y3" s="40"/>
      <c r="Z3" s="40"/>
      <c r="AA3" s="40"/>
    </row>
    <row r="4" spans="1:27" ht="15.75" customHeight="1" x14ac:dyDescent="0.25">
      <c r="B4" s="79"/>
      <c r="C4" s="67" t="s">
        <v>412</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411</v>
      </c>
      <c r="D5" s="280" t="s">
        <v>378</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3" t="s">
        <v>29</v>
      </c>
      <c r="D8" s="194" t="s">
        <v>3</v>
      </c>
      <c r="E8" s="203">
        <v>7.6375999999999999E-2</v>
      </c>
      <c r="F8" s="29"/>
      <c r="G8" s="29"/>
      <c r="H8" s="29"/>
      <c r="I8" s="29"/>
      <c r="J8" s="29"/>
      <c r="K8" s="29"/>
      <c r="L8" s="29"/>
      <c r="M8" s="29"/>
      <c r="N8" s="29"/>
      <c r="O8" s="29"/>
      <c r="P8" s="29"/>
      <c r="Q8" s="29"/>
      <c r="R8" s="29"/>
      <c r="S8" s="29"/>
      <c r="T8" s="22"/>
      <c r="V8" s="158"/>
      <c r="W8" s="61" t="s">
        <v>3</v>
      </c>
      <c r="X8" s="211">
        <v>0.21389900000000001</v>
      </c>
      <c r="Y8" s="158"/>
      <c r="Z8" s="40"/>
      <c r="AA8" s="40"/>
    </row>
    <row r="9" spans="1:27" ht="15.75" customHeight="1" x14ac:dyDescent="0.25">
      <c r="B9" s="79"/>
      <c r="C9" s="188" t="s">
        <v>32</v>
      </c>
      <c r="D9" s="196" t="s">
        <v>3</v>
      </c>
      <c r="E9" s="204">
        <v>7.3541999999999996E-2</v>
      </c>
      <c r="F9" s="29"/>
      <c r="G9" s="29"/>
      <c r="H9" s="29"/>
      <c r="I9" s="29"/>
      <c r="J9" s="29"/>
      <c r="K9" s="29"/>
      <c r="L9" s="29"/>
      <c r="M9" s="29"/>
      <c r="N9" s="29"/>
      <c r="O9" s="29"/>
      <c r="P9" s="29"/>
      <c r="Q9" s="29"/>
      <c r="R9" s="29"/>
      <c r="S9" s="29"/>
      <c r="T9" s="22"/>
      <c r="V9" s="158"/>
      <c r="W9" s="61" t="s">
        <v>107</v>
      </c>
      <c r="X9" s="211">
        <v>8.8858999999999994E-2</v>
      </c>
      <c r="Y9" s="158"/>
      <c r="Z9" s="40"/>
      <c r="AA9" s="40"/>
    </row>
    <row r="10" spans="1:27" ht="15" customHeight="1" x14ac:dyDescent="0.25">
      <c r="B10" s="79"/>
      <c r="C10" s="188" t="s">
        <v>31</v>
      </c>
      <c r="D10" s="196" t="s">
        <v>6</v>
      </c>
      <c r="E10" s="204">
        <v>4.8429E-2</v>
      </c>
      <c r="F10" s="29"/>
      <c r="G10" s="29"/>
      <c r="H10" s="29"/>
      <c r="I10" s="29"/>
      <c r="J10" s="29"/>
      <c r="K10" s="29"/>
      <c r="L10" s="29"/>
      <c r="M10" s="29"/>
      <c r="N10" s="29"/>
      <c r="O10" s="29"/>
      <c r="P10" s="29"/>
      <c r="Q10" s="29"/>
      <c r="R10" s="29"/>
      <c r="S10" s="29"/>
      <c r="T10" s="22"/>
      <c r="V10" s="158"/>
      <c r="W10" s="61" t="s">
        <v>26</v>
      </c>
      <c r="X10" s="211">
        <v>6.4829999999999999E-2</v>
      </c>
      <c r="Y10" s="158"/>
      <c r="Z10" s="40"/>
      <c r="AA10" s="40"/>
    </row>
    <row r="11" spans="1:27" ht="15" customHeight="1" x14ac:dyDescent="0.25">
      <c r="B11" s="79"/>
      <c r="C11" s="188" t="s">
        <v>28</v>
      </c>
      <c r="D11" s="196" t="s">
        <v>107</v>
      </c>
      <c r="E11" s="204">
        <v>4.3722999999999998E-2</v>
      </c>
      <c r="F11" s="29"/>
      <c r="G11" s="29"/>
      <c r="H11" s="29"/>
      <c r="I11" s="29"/>
      <c r="J11" s="29"/>
      <c r="K11" s="29"/>
      <c r="L11" s="29"/>
      <c r="M11" s="29"/>
      <c r="N11" s="29"/>
      <c r="O11" s="29"/>
      <c r="P11" s="29"/>
      <c r="Q11" s="29"/>
      <c r="R11" s="29"/>
      <c r="S11" s="29"/>
      <c r="T11" s="22"/>
      <c r="V11" s="158"/>
      <c r="W11" s="61" t="s">
        <v>112</v>
      </c>
      <c r="X11" s="211">
        <v>5.2809999999999996E-2</v>
      </c>
      <c r="Y11" s="158"/>
      <c r="Z11" s="40"/>
      <c r="AA11" s="40"/>
    </row>
    <row r="12" spans="1:27" ht="15" customHeight="1" x14ac:dyDescent="0.25">
      <c r="B12" s="79"/>
      <c r="C12" s="188" t="s">
        <v>33</v>
      </c>
      <c r="D12" s="196" t="s">
        <v>107</v>
      </c>
      <c r="E12" s="204">
        <v>3.2348000000000002E-2</v>
      </c>
      <c r="F12" s="29"/>
      <c r="G12" s="29"/>
      <c r="H12" s="29"/>
      <c r="I12" s="29"/>
      <c r="J12" s="29"/>
      <c r="K12" s="29"/>
      <c r="L12" s="29"/>
      <c r="M12" s="29"/>
      <c r="N12" s="29"/>
      <c r="O12" s="29"/>
      <c r="P12" s="29"/>
      <c r="Q12" s="29"/>
      <c r="R12" s="29"/>
      <c r="S12" s="29"/>
      <c r="T12" s="22"/>
      <c r="V12" s="158"/>
      <c r="W12" s="61" t="s">
        <v>111</v>
      </c>
      <c r="X12" s="211">
        <v>5.2181999999999999E-2</v>
      </c>
      <c r="Y12" s="158"/>
      <c r="Z12" s="40"/>
      <c r="AA12" s="40"/>
    </row>
    <row r="13" spans="1:27" ht="15" customHeight="1" x14ac:dyDescent="0.25">
      <c r="B13" s="79"/>
      <c r="C13" s="188" t="s">
        <v>36</v>
      </c>
      <c r="D13" s="196" t="s">
        <v>3</v>
      </c>
      <c r="E13" s="204">
        <v>3.0793999999999998E-2</v>
      </c>
      <c r="F13" s="29"/>
      <c r="G13" s="29"/>
      <c r="H13" s="29"/>
      <c r="I13" s="29"/>
      <c r="J13" s="29"/>
      <c r="K13" s="29"/>
      <c r="L13" s="29"/>
      <c r="M13" s="29"/>
      <c r="N13" s="29"/>
      <c r="O13" s="29"/>
      <c r="P13" s="29"/>
      <c r="Q13" s="29"/>
      <c r="R13" s="29"/>
      <c r="S13" s="29"/>
      <c r="T13" s="22"/>
      <c r="V13" s="158"/>
      <c r="W13" s="61" t="s">
        <v>4</v>
      </c>
      <c r="X13" s="211">
        <v>4.9228999999999995E-2</v>
      </c>
      <c r="Y13" s="158"/>
      <c r="Z13" s="40"/>
      <c r="AA13" s="40"/>
    </row>
    <row r="14" spans="1:27" ht="15" customHeight="1" x14ac:dyDescent="0.25">
      <c r="B14" s="79"/>
      <c r="C14" s="188" t="s">
        <v>70</v>
      </c>
      <c r="D14" s="196" t="s">
        <v>12</v>
      </c>
      <c r="E14" s="204">
        <v>2.7588999999999999E-2</v>
      </c>
      <c r="F14" s="29"/>
      <c r="G14" s="29"/>
      <c r="H14" s="29"/>
      <c r="I14" s="29"/>
      <c r="J14" s="29"/>
      <c r="K14" s="29"/>
      <c r="L14" s="29"/>
      <c r="M14" s="29"/>
      <c r="N14" s="29"/>
      <c r="O14" s="29"/>
      <c r="P14" s="29"/>
      <c r="Q14" s="29"/>
      <c r="R14" s="29"/>
      <c r="S14" s="29"/>
      <c r="T14" s="22"/>
      <c r="V14" s="158"/>
      <c r="W14" s="61" t="s">
        <v>6</v>
      </c>
      <c r="X14" s="211">
        <v>4.8429E-2</v>
      </c>
      <c r="Y14" s="158"/>
      <c r="Z14" s="40"/>
      <c r="AA14" s="40"/>
    </row>
    <row r="15" spans="1:27" ht="15.75" customHeight="1" x14ac:dyDescent="0.25">
      <c r="B15" s="79"/>
      <c r="C15" s="188" t="s">
        <v>37</v>
      </c>
      <c r="D15" s="196" t="s">
        <v>117</v>
      </c>
      <c r="E15" s="204">
        <v>2.5333000000000001E-2</v>
      </c>
      <c r="F15" s="29"/>
      <c r="G15" s="29"/>
      <c r="H15" s="29"/>
      <c r="I15" s="29"/>
      <c r="J15" s="29"/>
      <c r="K15" s="29"/>
      <c r="L15" s="29"/>
      <c r="M15" s="29"/>
      <c r="N15" s="29"/>
      <c r="O15" s="29"/>
      <c r="P15" s="29"/>
      <c r="Q15" s="29"/>
      <c r="R15" s="29"/>
      <c r="S15" s="29"/>
      <c r="T15" s="22"/>
      <c r="V15" s="158"/>
      <c r="W15" s="61" t="s">
        <v>117</v>
      </c>
      <c r="X15" s="211">
        <v>4.0639000000000002E-2</v>
      </c>
      <c r="Y15" s="158"/>
      <c r="Z15" s="40"/>
      <c r="AA15" s="40"/>
    </row>
    <row r="16" spans="1:27" ht="15" customHeight="1" x14ac:dyDescent="0.25">
      <c r="B16" s="79"/>
      <c r="C16" s="188" t="s">
        <v>225</v>
      </c>
      <c r="D16" s="196" t="s">
        <v>26</v>
      </c>
      <c r="E16" s="204">
        <v>2.2505000000000001E-2</v>
      </c>
      <c r="F16" s="29"/>
      <c r="G16" s="29"/>
      <c r="H16" s="29"/>
      <c r="I16" s="29"/>
      <c r="J16" s="29"/>
      <c r="K16" s="29"/>
      <c r="L16" s="29"/>
      <c r="M16" s="29"/>
      <c r="N16" s="29"/>
      <c r="O16" s="29"/>
      <c r="P16" s="29"/>
      <c r="Q16" s="29"/>
      <c r="R16" s="29"/>
      <c r="S16" s="29"/>
      <c r="T16" s="22"/>
      <c r="V16" s="158"/>
      <c r="W16" s="61" t="s">
        <v>23</v>
      </c>
      <c r="X16" s="211">
        <v>3.9453000000000002E-2</v>
      </c>
      <c r="Y16" s="158"/>
      <c r="Z16" s="40"/>
      <c r="AA16" s="40"/>
    </row>
    <row r="17" spans="2:27" ht="15.75" customHeight="1" x14ac:dyDescent="0.25">
      <c r="B17" s="79"/>
      <c r="C17" s="188" t="s">
        <v>81</v>
      </c>
      <c r="D17" s="196" t="s">
        <v>4</v>
      </c>
      <c r="E17" s="204">
        <v>1.9848999999999999E-2</v>
      </c>
      <c r="F17" s="29"/>
      <c r="G17" s="29"/>
      <c r="H17" s="29"/>
      <c r="I17" s="29"/>
      <c r="J17" s="29"/>
      <c r="K17" s="29"/>
      <c r="L17" s="29"/>
      <c r="M17" s="29"/>
      <c r="N17" s="29"/>
      <c r="O17" s="29"/>
      <c r="P17" s="29"/>
      <c r="Q17" s="29"/>
      <c r="R17" s="29"/>
      <c r="S17" s="29"/>
      <c r="T17" s="22"/>
      <c r="V17" s="158"/>
      <c r="W17" s="61" t="s">
        <v>12</v>
      </c>
      <c r="X17" s="211">
        <v>2.7588999999999999E-2</v>
      </c>
      <c r="Y17" s="158"/>
      <c r="Z17" s="40"/>
      <c r="AA17" s="40"/>
    </row>
    <row r="18" spans="2:27" ht="15.75" x14ac:dyDescent="0.25">
      <c r="B18" s="79"/>
      <c r="C18" s="188" t="s">
        <v>34</v>
      </c>
      <c r="D18" s="196" t="s">
        <v>23</v>
      </c>
      <c r="E18" s="204">
        <v>1.8652999999999999E-2</v>
      </c>
      <c r="F18" s="29"/>
      <c r="G18" s="29"/>
      <c r="H18" s="29"/>
      <c r="I18" s="29"/>
      <c r="J18" s="29"/>
      <c r="K18" s="29"/>
      <c r="L18" s="29"/>
      <c r="M18" s="29"/>
      <c r="N18" s="29"/>
      <c r="O18" s="29"/>
      <c r="P18" s="29"/>
      <c r="Q18" s="29"/>
      <c r="R18" s="29"/>
      <c r="S18" s="29"/>
      <c r="T18" s="22"/>
      <c r="V18" s="158"/>
      <c r="W18" s="61" t="s">
        <v>86</v>
      </c>
      <c r="X18" s="211">
        <v>2.7064999999999999E-2</v>
      </c>
      <c r="Y18" s="158"/>
      <c r="Z18" s="40"/>
      <c r="AA18" s="40"/>
    </row>
    <row r="19" spans="2:27" ht="15.75" customHeight="1" x14ac:dyDescent="0.25">
      <c r="B19" s="79"/>
      <c r="C19" s="188" t="s">
        <v>96</v>
      </c>
      <c r="D19" s="196" t="s">
        <v>112</v>
      </c>
      <c r="E19" s="204">
        <v>1.8651000000000001E-2</v>
      </c>
      <c r="F19" s="29"/>
      <c r="G19" s="29"/>
      <c r="H19" s="29"/>
      <c r="I19" s="29"/>
      <c r="J19" s="29"/>
      <c r="K19" s="29"/>
      <c r="L19" s="29"/>
      <c r="M19" s="29"/>
      <c r="N19" s="29"/>
      <c r="O19" s="29"/>
      <c r="P19" s="29"/>
      <c r="Q19" s="29"/>
      <c r="R19" s="29"/>
      <c r="S19" s="29"/>
      <c r="T19" s="22"/>
      <c r="V19" s="158"/>
      <c r="W19" s="61" t="s">
        <v>24</v>
      </c>
      <c r="X19" s="211">
        <v>2.6297000000000001E-2</v>
      </c>
      <c r="Y19" s="158"/>
      <c r="Z19" s="40"/>
      <c r="AA19" s="40"/>
    </row>
    <row r="20" spans="2:27" ht="15" customHeight="1" x14ac:dyDescent="0.25">
      <c r="B20" s="79"/>
      <c r="C20" s="188" t="s">
        <v>336</v>
      </c>
      <c r="D20" s="196" t="s">
        <v>26</v>
      </c>
      <c r="E20" s="204">
        <v>1.8527999999999999E-2</v>
      </c>
      <c r="F20" s="29"/>
      <c r="G20" s="29"/>
      <c r="H20" s="29"/>
      <c r="I20" s="29"/>
      <c r="J20" s="29"/>
      <c r="K20" s="29"/>
      <c r="L20" s="29"/>
      <c r="M20" s="29"/>
      <c r="N20" s="29"/>
      <c r="O20" s="29"/>
      <c r="P20" s="29"/>
      <c r="Q20" s="29"/>
      <c r="R20" s="29"/>
      <c r="S20" s="29"/>
      <c r="T20" s="22"/>
      <c r="V20" s="158"/>
      <c r="W20" s="61" t="s">
        <v>16</v>
      </c>
      <c r="X20" s="211">
        <v>2.6223E-2</v>
      </c>
      <c r="Y20" s="158"/>
      <c r="Z20" s="40"/>
      <c r="AA20" s="40"/>
    </row>
    <row r="21" spans="2:27" ht="15" customHeight="1" x14ac:dyDescent="0.25">
      <c r="B21" s="79"/>
      <c r="C21" s="188" t="s">
        <v>266</v>
      </c>
      <c r="D21" s="196" t="s">
        <v>16</v>
      </c>
      <c r="E21" s="204">
        <v>1.7897E-2</v>
      </c>
      <c r="F21" s="29"/>
      <c r="G21" s="29"/>
      <c r="H21" s="29"/>
      <c r="I21" s="29"/>
      <c r="J21" s="29"/>
      <c r="K21" s="29"/>
      <c r="L21" s="29"/>
      <c r="M21" s="29"/>
      <c r="N21" s="29"/>
      <c r="O21" s="29"/>
      <c r="P21" s="29"/>
      <c r="Q21" s="29"/>
      <c r="R21" s="29"/>
      <c r="S21" s="29"/>
      <c r="T21" s="22"/>
      <c r="V21" s="158"/>
      <c r="W21" s="61" t="s">
        <v>10</v>
      </c>
      <c r="X21" s="211">
        <v>2.2539E-2</v>
      </c>
      <c r="Y21" s="158"/>
      <c r="Z21" s="40"/>
      <c r="AA21" s="40"/>
    </row>
    <row r="22" spans="2:27" ht="15" customHeight="1" x14ac:dyDescent="0.25">
      <c r="B22" s="79"/>
      <c r="C22" s="188" t="s">
        <v>120</v>
      </c>
      <c r="D22" s="196" t="s">
        <v>112</v>
      </c>
      <c r="E22" s="204">
        <v>1.6861999999999999E-2</v>
      </c>
      <c r="F22" s="29"/>
      <c r="G22" s="29"/>
      <c r="H22" s="29"/>
      <c r="I22" s="29"/>
      <c r="J22" s="29"/>
      <c r="K22" s="29"/>
      <c r="L22" s="29"/>
      <c r="M22" s="29"/>
      <c r="N22" s="29"/>
      <c r="O22" s="29"/>
      <c r="P22" s="29"/>
      <c r="Q22" s="29"/>
      <c r="R22" s="29"/>
      <c r="S22" s="29"/>
      <c r="T22" s="22"/>
      <c r="V22" s="158"/>
      <c r="W22" s="61" t="s">
        <v>83</v>
      </c>
      <c r="X22" s="211">
        <v>1.8015999999999997E-2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119</v>
      </c>
      <c r="X23" s="211">
        <v>1.7840000000000002E-2</v>
      </c>
      <c r="Y23" s="158"/>
      <c r="Z23" s="40"/>
      <c r="AA23" s="40"/>
    </row>
    <row r="24" spans="2:27" ht="15" customHeight="1" x14ac:dyDescent="0.25">
      <c r="B24" s="79"/>
      <c r="C24" s="73" t="s">
        <v>55</v>
      </c>
      <c r="D24" s="74"/>
      <c r="E24" s="75">
        <f>SUM(E8:E22)</f>
        <v>0.49107899999999993</v>
      </c>
      <c r="F24" s="29"/>
      <c r="G24" s="29"/>
      <c r="H24" s="29"/>
      <c r="I24" s="29"/>
      <c r="J24" s="29"/>
      <c r="K24" s="29"/>
      <c r="L24" s="29"/>
      <c r="M24" s="29"/>
      <c r="N24" s="29"/>
      <c r="O24" s="29"/>
      <c r="P24" s="29"/>
      <c r="Q24" s="29"/>
      <c r="R24" s="29"/>
      <c r="S24" s="29"/>
      <c r="T24" s="22"/>
      <c r="V24" s="158"/>
      <c r="W24" s="61" t="s">
        <v>108</v>
      </c>
      <c r="X24" s="211">
        <v>1.3243999999999999E-2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113</v>
      </c>
      <c r="X25" s="211">
        <v>1.3072999999999998E-2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11</v>
      </c>
      <c r="X26" s="211">
        <v>1.2432E-2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126</v>
      </c>
      <c r="X27" s="211">
        <v>1.0738000000000001E-2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110</v>
      </c>
      <c r="X28" s="211">
        <v>1.0290000000000001E-2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121</v>
      </c>
      <c r="X29" s="211">
        <v>9.7599999999999996E-3</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77</v>
      </c>
      <c r="X30" s="211">
        <v>9.2510000000000005E-3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131</v>
      </c>
      <c r="X31" s="211">
        <v>8.5660000000000007E-3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15</v>
      </c>
      <c r="X32" s="211">
        <v>7.9830000000000005E-3</v>
      </c>
    </row>
    <row r="33" spans="2:24" ht="15" customHeight="1" thickBot="1" x14ac:dyDescent="0.3">
      <c r="W33" s="19" t="s">
        <v>84</v>
      </c>
      <c r="X33" s="211">
        <v>7.8969999999999995E-3</v>
      </c>
    </row>
    <row r="34" spans="2:24" ht="15" customHeight="1" x14ac:dyDescent="0.25">
      <c r="B34" s="269" t="s">
        <v>182</v>
      </c>
      <c r="C34" s="270"/>
      <c r="D34" s="270"/>
      <c r="E34" s="270"/>
      <c r="F34" s="270"/>
      <c r="G34" s="270"/>
      <c r="H34" s="270"/>
      <c r="I34" s="270"/>
      <c r="J34" s="270"/>
      <c r="K34" s="270"/>
      <c r="L34" s="270"/>
      <c r="M34" s="270"/>
      <c r="N34" s="270"/>
      <c r="O34" s="270"/>
      <c r="P34" s="270"/>
      <c r="Q34" s="270"/>
      <c r="R34" s="271"/>
      <c r="W34" s="19" t="s">
        <v>133</v>
      </c>
      <c r="X34" s="211">
        <v>7.4640000000000001E-3</v>
      </c>
    </row>
    <row r="35" spans="2:24" ht="15" customHeight="1" x14ac:dyDescent="0.25">
      <c r="B35" s="272"/>
      <c r="C35" s="273"/>
      <c r="D35" s="273"/>
      <c r="E35" s="273"/>
      <c r="F35" s="273"/>
      <c r="G35" s="273"/>
      <c r="H35" s="273"/>
      <c r="I35" s="273"/>
      <c r="J35" s="273"/>
      <c r="K35" s="273"/>
      <c r="L35" s="273"/>
      <c r="M35" s="273"/>
      <c r="N35" s="273"/>
      <c r="O35" s="273"/>
      <c r="P35" s="273"/>
      <c r="Q35" s="273"/>
      <c r="R35" s="274"/>
      <c r="W35" s="19" t="s">
        <v>122</v>
      </c>
      <c r="X35" s="211">
        <v>6.097E-3</v>
      </c>
    </row>
    <row r="36" spans="2:24" ht="15" customHeight="1" x14ac:dyDescent="0.25">
      <c r="B36" s="272"/>
      <c r="C36" s="273"/>
      <c r="D36" s="273"/>
      <c r="E36" s="273"/>
      <c r="F36" s="273"/>
      <c r="G36" s="273"/>
      <c r="H36" s="273"/>
      <c r="I36" s="273"/>
      <c r="J36" s="273"/>
      <c r="K36" s="273"/>
      <c r="L36" s="273"/>
      <c r="M36" s="273"/>
      <c r="N36" s="273"/>
      <c r="O36" s="273"/>
      <c r="P36" s="273"/>
      <c r="Q36" s="273"/>
      <c r="R36" s="274"/>
      <c r="W36" s="19" t="s">
        <v>218</v>
      </c>
      <c r="X36" s="211">
        <v>6.0260000000000001E-3</v>
      </c>
    </row>
    <row r="37" spans="2:24" ht="15" customHeight="1" x14ac:dyDescent="0.25">
      <c r="B37" s="272"/>
      <c r="C37" s="273"/>
      <c r="D37" s="273"/>
      <c r="E37" s="273"/>
      <c r="F37" s="273"/>
      <c r="G37" s="273"/>
      <c r="H37" s="273"/>
      <c r="I37" s="273"/>
      <c r="J37" s="273"/>
      <c r="K37" s="273"/>
      <c r="L37" s="273"/>
      <c r="M37" s="273"/>
      <c r="N37" s="273"/>
      <c r="O37" s="273"/>
      <c r="P37" s="273"/>
      <c r="Q37" s="273"/>
      <c r="R37" s="274"/>
      <c r="W37" s="19" t="s">
        <v>146</v>
      </c>
      <c r="X37" s="211">
        <v>5.7739999999999996E-3</v>
      </c>
    </row>
    <row r="38" spans="2:24" ht="15" customHeight="1" x14ac:dyDescent="0.25">
      <c r="B38" s="272"/>
      <c r="C38" s="273"/>
      <c r="D38" s="273"/>
      <c r="E38" s="273"/>
      <c r="F38" s="273"/>
      <c r="G38" s="273"/>
      <c r="H38" s="273"/>
      <c r="I38" s="273"/>
      <c r="J38" s="273"/>
      <c r="K38" s="273"/>
      <c r="L38" s="273"/>
      <c r="M38" s="273"/>
      <c r="N38" s="273"/>
      <c r="O38" s="273"/>
      <c r="P38" s="273"/>
      <c r="Q38" s="273"/>
      <c r="R38" s="274"/>
      <c r="W38" s="19" t="s">
        <v>118</v>
      </c>
      <c r="X38" s="211">
        <v>4.7289999999999997E-3</v>
      </c>
    </row>
    <row r="39" spans="2:24" ht="15" customHeight="1" x14ac:dyDescent="0.25">
      <c r="B39" s="272"/>
      <c r="C39" s="273"/>
      <c r="D39" s="273"/>
      <c r="E39" s="273"/>
      <c r="F39" s="273"/>
      <c r="G39" s="273"/>
      <c r="H39" s="273"/>
      <c r="I39" s="273"/>
      <c r="J39" s="273"/>
      <c r="K39" s="273"/>
      <c r="L39" s="273"/>
      <c r="M39" s="273"/>
      <c r="N39" s="273"/>
      <c r="O39" s="273"/>
      <c r="P39" s="273"/>
      <c r="Q39" s="273"/>
      <c r="R39" s="274"/>
      <c r="W39" s="19" t="s">
        <v>123</v>
      </c>
      <c r="X39" s="211">
        <v>4.346E-3</v>
      </c>
    </row>
    <row r="40" spans="2:24" ht="21.75" customHeight="1" thickBot="1" x14ac:dyDescent="0.3">
      <c r="B40" s="275"/>
      <c r="C40" s="276"/>
      <c r="D40" s="276"/>
      <c r="E40" s="276"/>
      <c r="F40" s="276"/>
      <c r="G40" s="276"/>
      <c r="H40" s="276"/>
      <c r="I40" s="276"/>
      <c r="J40" s="276"/>
      <c r="K40" s="276"/>
      <c r="L40" s="276"/>
      <c r="M40" s="276"/>
      <c r="N40" s="276"/>
      <c r="O40" s="276"/>
      <c r="P40" s="276"/>
      <c r="Q40" s="276"/>
      <c r="R40" s="277"/>
      <c r="X40" s="211"/>
    </row>
    <row r="41" spans="2:24" ht="15" customHeight="1" x14ac:dyDescent="0.25">
      <c r="X41" s="211"/>
    </row>
    <row r="42" spans="2:24" ht="15" customHeight="1" x14ac:dyDescent="0.25">
      <c r="X42" s="211"/>
    </row>
    <row r="43" spans="2:24" ht="15" customHeight="1" x14ac:dyDescent="0.25">
      <c r="X43" s="211"/>
    </row>
    <row r="44" spans="2:24" ht="15" customHeight="1" x14ac:dyDescent="0.25">
      <c r="X44" s="211"/>
    </row>
    <row r="45" spans="2:24" ht="15" customHeight="1" x14ac:dyDescent="0.25">
      <c r="X45" s="21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210</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379</v>
      </c>
      <c r="E5" s="28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269</v>
      </c>
      <c r="D8" s="194" t="s">
        <v>115</v>
      </c>
      <c r="E8" s="195">
        <v>2.6196000000000001E-2</v>
      </c>
      <c r="F8" s="29"/>
      <c r="G8" s="29"/>
      <c r="H8" s="29"/>
      <c r="I8" s="29"/>
      <c r="J8" s="29"/>
      <c r="K8" s="29"/>
      <c r="L8" s="29"/>
      <c r="M8" s="29"/>
      <c r="N8" s="29"/>
      <c r="O8" s="29"/>
      <c r="P8" s="29"/>
      <c r="Q8" s="29"/>
      <c r="R8" s="29"/>
      <c r="S8" s="29"/>
      <c r="T8" s="22"/>
      <c r="W8" s="173" t="s">
        <v>4</v>
      </c>
      <c r="X8" s="174">
        <v>9.678500000000001E-2</v>
      </c>
    </row>
    <row r="9" spans="1:24" ht="15.75" customHeight="1" x14ac:dyDescent="0.25">
      <c r="B9" s="79"/>
      <c r="C9" s="188" t="s">
        <v>261</v>
      </c>
      <c r="D9" s="196" t="s">
        <v>116</v>
      </c>
      <c r="E9" s="197">
        <v>2.5496000000000001E-2</v>
      </c>
      <c r="F9" s="29"/>
      <c r="G9" s="29"/>
      <c r="H9" s="29"/>
      <c r="I9" s="29"/>
      <c r="J9" s="29"/>
      <c r="K9" s="29"/>
      <c r="L9" s="29"/>
      <c r="M9" s="29"/>
      <c r="N9" s="29"/>
      <c r="O9" s="29"/>
      <c r="P9" s="29"/>
      <c r="Q9" s="29"/>
      <c r="R9" s="29"/>
      <c r="S9" s="29"/>
      <c r="T9" s="22"/>
      <c r="W9" s="173" t="s">
        <v>111</v>
      </c>
      <c r="X9" s="174">
        <v>9.1095000000000009E-2</v>
      </c>
    </row>
    <row r="10" spans="1:24" ht="15" customHeight="1" x14ac:dyDescent="0.25">
      <c r="B10" s="79"/>
      <c r="C10" s="188" t="s">
        <v>299</v>
      </c>
      <c r="D10" s="196" t="s">
        <v>113</v>
      </c>
      <c r="E10" s="197">
        <v>2.1691999999999999E-2</v>
      </c>
      <c r="F10" s="29"/>
      <c r="G10" s="29"/>
      <c r="H10" s="29"/>
      <c r="I10" s="29"/>
      <c r="J10" s="29"/>
      <c r="K10" s="29"/>
      <c r="L10" s="29"/>
      <c r="M10" s="29"/>
      <c r="N10" s="29"/>
      <c r="O10" s="29"/>
      <c r="P10" s="29"/>
      <c r="Q10" s="29"/>
      <c r="R10" s="29"/>
      <c r="S10" s="29"/>
      <c r="T10" s="22"/>
      <c r="W10" s="173" t="s">
        <v>113</v>
      </c>
      <c r="X10" s="174">
        <v>6.5791000000000002E-2</v>
      </c>
    </row>
    <row r="11" spans="1:24" ht="15" customHeight="1" x14ac:dyDescent="0.25">
      <c r="B11" s="79"/>
      <c r="C11" s="188" t="s">
        <v>190</v>
      </c>
      <c r="D11" s="196" t="s">
        <v>4</v>
      </c>
      <c r="E11" s="197">
        <v>1.9597E-2</v>
      </c>
      <c r="F11" s="29"/>
      <c r="G11" s="29"/>
      <c r="H11" s="29"/>
      <c r="I11" s="29"/>
      <c r="J11" s="29"/>
      <c r="K11" s="29"/>
      <c r="L11" s="29"/>
      <c r="M11" s="29"/>
      <c r="N11" s="29"/>
      <c r="O11" s="29"/>
      <c r="P11" s="29"/>
      <c r="Q11" s="29"/>
      <c r="R11" s="29"/>
      <c r="S11" s="29"/>
      <c r="T11" s="22"/>
      <c r="W11" s="173" t="s">
        <v>3</v>
      </c>
      <c r="X11" s="174">
        <v>6.0962999999999996E-2</v>
      </c>
    </row>
    <row r="12" spans="1:24" ht="15" customHeight="1" x14ac:dyDescent="0.25">
      <c r="B12" s="79"/>
      <c r="C12" s="188" t="s">
        <v>199</v>
      </c>
      <c r="D12" s="196" t="s">
        <v>122</v>
      </c>
      <c r="E12" s="197">
        <v>1.7578E-2</v>
      </c>
      <c r="F12" s="29"/>
      <c r="G12" s="29"/>
      <c r="H12" s="29"/>
      <c r="I12" s="29"/>
      <c r="J12" s="29"/>
      <c r="K12" s="29"/>
      <c r="L12" s="29"/>
      <c r="M12" s="29"/>
      <c r="N12" s="29"/>
      <c r="O12" s="29"/>
      <c r="P12" s="29"/>
      <c r="Q12" s="29"/>
      <c r="R12" s="29"/>
      <c r="S12" s="29"/>
      <c r="T12" s="22"/>
      <c r="W12" s="173" t="s">
        <v>24</v>
      </c>
      <c r="X12" s="174">
        <v>4.8827000000000002E-2</v>
      </c>
    </row>
    <row r="13" spans="1:24" ht="15" customHeight="1" x14ac:dyDescent="0.25">
      <c r="B13" s="79"/>
      <c r="C13" s="188" t="s">
        <v>270</v>
      </c>
      <c r="D13" s="196" t="s">
        <v>3</v>
      </c>
      <c r="E13" s="197">
        <v>1.6024E-2</v>
      </c>
      <c r="F13" s="29"/>
      <c r="G13" s="29"/>
      <c r="H13" s="29"/>
      <c r="I13" s="29"/>
      <c r="J13" s="29"/>
      <c r="K13" s="29"/>
      <c r="L13" s="29"/>
      <c r="M13" s="29"/>
      <c r="N13" s="29"/>
      <c r="O13" s="29"/>
      <c r="P13" s="29"/>
      <c r="Q13" s="29"/>
      <c r="R13" s="29"/>
      <c r="S13" s="29"/>
      <c r="T13" s="22"/>
      <c r="W13" s="173" t="s">
        <v>119</v>
      </c>
      <c r="X13" s="174">
        <v>4.7346000000000006E-2</v>
      </c>
    </row>
    <row r="14" spans="1:24" ht="15" customHeight="1" x14ac:dyDescent="0.25">
      <c r="B14" s="79"/>
      <c r="C14" s="188" t="s">
        <v>78</v>
      </c>
      <c r="D14" s="196" t="s">
        <v>24</v>
      </c>
      <c r="E14" s="197">
        <v>1.5459000000000001E-2</v>
      </c>
      <c r="F14" s="29"/>
      <c r="G14" s="29"/>
      <c r="H14" s="29"/>
      <c r="I14" s="29"/>
      <c r="J14" s="29"/>
      <c r="K14" s="29"/>
      <c r="L14" s="29"/>
      <c r="M14" s="29"/>
      <c r="N14" s="29"/>
      <c r="O14" s="29"/>
      <c r="P14" s="29"/>
      <c r="Q14" s="29"/>
      <c r="R14" s="29"/>
      <c r="S14" s="29"/>
      <c r="T14" s="22"/>
      <c r="W14" s="173" t="s">
        <v>85</v>
      </c>
      <c r="X14" s="174">
        <v>4.7233999999999998E-2</v>
      </c>
    </row>
    <row r="15" spans="1:24" ht="15" customHeight="1" x14ac:dyDescent="0.25">
      <c r="B15" s="79"/>
      <c r="C15" s="188" t="s">
        <v>198</v>
      </c>
      <c r="D15" s="196" t="s">
        <v>119</v>
      </c>
      <c r="E15" s="197">
        <v>1.4995E-2</v>
      </c>
      <c r="F15" s="29"/>
      <c r="G15" s="29"/>
      <c r="H15" s="29"/>
      <c r="I15" s="29"/>
      <c r="J15" s="29"/>
      <c r="K15" s="29"/>
      <c r="L15" s="29"/>
      <c r="M15" s="29"/>
      <c r="N15" s="29"/>
      <c r="O15" s="29"/>
      <c r="P15" s="29"/>
      <c r="Q15" s="29"/>
      <c r="R15" s="29"/>
      <c r="S15" s="29"/>
      <c r="T15" s="22"/>
      <c r="W15" s="173" t="s">
        <v>116</v>
      </c>
      <c r="X15" s="174">
        <v>4.6830000000000004E-2</v>
      </c>
    </row>
    <row r="16" spans="1:24" ht="15" customHeight="1" x14ac:dyDescent="0.25">
      <c r="B16" s="79"/>
      <c r="C16" s="188" t="s">
        <v>282</v>
      </c>
      <c r="D16" s="196" t="s">
        <v>3</v>
      </c>
      <c r="E16" s="197">
        <v>1.4544E-2</v>
      </c>
      <c r="F16" s="29"/>
      <c r="G16" s="29"/>
      <c r="H16" s="29"/>
      <c r="I16" s="29"/>
      <c r="J16" s="29"/>
      <c r="K16" s="29"/>
      <c r="L16" s="29"/>
      <c r="M16" s="29"/>
      <c r="N16" s="29"/>
      <c r="O16" s="29"/>
      <c r="P16" s="29"/>
      <c r="Q16" s="29"/>
      <c r="R16" s="29"/>
      <c r="S16" s="29"/>
      <c r="T16" s="22"/>
      <c r="W16" s="173" t="s">
        <v>16</v>
      </c>
      <c r="X16" s="174">
        <v>3.9740999999999999E-2</v>
      </c>
    </row>
    <row r="17" spans="2:24" ht="15" customHeight="1" x14ac:dyDescent="0.25">
      <c r="B17" s="79"/>
      <c r="C17" s="188" t="s">
        <v>255</v>
      </c>
      <c r="D17" s="196" t="s">
        <v>238</v>
      </c>
      <c r="E17" s="197">
        <v>1.4167000000000001E-2</v>
      </c>
      <c r="F17" s="29"/>
      <c r="G17" s="29"/>
      <c r="H17" s="29"/>
      <c r="I17" s="29"/>
      <c r="J17" s="29"/>
      <c r="K17" s="29"/>
      <c r="L17" s="29"/>
      <c r="M17" s="29"/>
      <c r="N17" s="29"/>
      <c r="O17" s="29"/>
      <c r="P17" s="29"/>
      <c r="Q17" s="29"/>
      <c r="R17" s="29"/>
      <c r="S17" s="29"/>
      <c r="T17" s="22"/>
      <c r="W17" s="173" t="s">
        <v>122</v>
      </c>
      <c r="X17" s="174">
        <v>3.6254999999999996E-2</v>
      </c>
    </row>
    <row r="18" spans="2:24" ht="15" customHeight="1" x14ac:dyDescent="0.25">
      <c r="B18" s="79"/>
      <c r="C18" s="188" t="s">
        <v>69</v>
      </c>
      <c r="D18" s="196" t="s">
        <v>4</v>
      </c>
      <c r="E18" s="197">
        <v>1.2812E-2</v>
      </c>
      <c r="F18" s="29"/>
      <c r="G18" s="29"/>
      <c r="H18" s="29"/>
      <c r="I18" s="29"/>
      <c r="J18" s="29"/>
      <c r="K18" s="29"/>
      <c r="L18" s="29"/>
      <c r="M18" s="29"/>
      <c r="N18" s="29"/>
      <c r="O18" s="29"/>
      <c r="P18" s="29"/>
      <c r="Q18" s="29"/>
      <c r="R18" s="29"/>
      <c r="S18" s="29"/>
      <c r="T18" s="22"/>
      <c r="W18" s="173" t="s">
        <v>115</v>
      </c>
      <c r="X18" s="174">
        <v>3.1509999999999996E-2</v>
      </c>
    </row>
    <row r="19" spans="2:24" ht="15" customHeight="1" x14ac:dyDescent="0.25">
      <c r="B19" s="79"/>
      <c r="C19" s="188" t="s">
        <v>309</v>
      </c>
      <c r="D19" s="196" t="s">
        <v>85</v>
      </c>
      <c r="E19" s="197">
        <v>1.2652999999999999E-2</v>
      </c>
      <c r="F19" s="29"/>
      <c r="G19" s="29"/>
      <c r="H19" s="29"/>
      <c r="I19" s="29"/>
      <c r="J19" s="29"/>
      <c r="K19" s="29"/>
      <c r="L19" s="29"/>
      <c r="M19" s="29"/>
      <c r="N19" s="29"/>
      <c r="O19" s="29"/>
      <c r="P19" s="29"/>
      <c r="Q19" s="29"/>
      <c r="R19" s="29"/>
      <c r="S19" s="29"/>
      <c r="T19" s="22"/>
      <c r="W19" s="173" t="s">
        <v>110</v>
      </c>
      <c r="X19" s="174">
        <v>3.0097000000000002E-2</v>
      </c>
    </row>
    <row r="20" spans="2:24" ht="15" customHeight="1" x14ac:dyDescent="0.25">
      <c r="B20" s="79"/>
      <c r="C20" s="188" t="s">
        <v>337</v>
      </c>
      <c r="D20" s="196" t="s">
        <v>122</v>
      </c>
      <c r="E20" s="197">
        <v>1.2232E-2</v>
      </c>
      <c r="F20" s="29"/>
      <c r="G20" s="29"/>
      <c r="H20" s="29"/>
      <c r="I20" s="29"/>
      <c r="J20" s="29"/>
      <c r="K20" s="29"/>
      <c r="L20" s="29"/>
      <c r="M20" s="29"/>
      <c r="N20" s="29"/>
      <c r="O20" s="29"/>
      <c r="P20" s="29"/>
      <c r="Q20" s="29"/>
      <c r="R20" s="29"/>
      <c r="S20" s="29"/>
      <c r="T20" s="22"/>
      <c r="W20" s="173" t="s">
        <v>126</v>
      </c>
      <c r="X20" s="174">
        <v>2.5225999999999998E-2</v>
      </c>
    </row>
    <row r="21" spans="2:24" ht="15" customHeight="1" x14ac:dyDescent="0.25">
      <c r="B21" s="79"/>
      <c r="C21" s="188" t="s">
        <v>204</v>
      </c>
      <c r="D21" s="196" t="s">
        <v>4</v>
      </c>
      <c r="E21" s="197">
        <v>1.1795999999999999E-2</v>
      </c>
      <c r="F21" s="29"/>
      <c r="G21" s="29"/>
      <c r="H21" s="29"/>
      <c r="I21" s="29"/>
      <c r="J21" s="29"/>
      <c r="K21" s="29"/>
      <c r="L21" s="29"/>
      <c r="M21" s="29"/>
      <c r="N21" s="29"/>
      <c r="O21" s="29"/>
      <c r="P21" s="29"/>
      <c r="Q21" s="29"/>
      <c r="R21" s="29"/>
      <c r="S21" s="29"/>
      <c r="T21" s="22"/>
      <c r="W21" s="173" t="s">
        <v>77</v>
      </c>
      <c r="X21" s="174">
        <v>2.5107000000000001E-2</v>
      </c>
    </row>
    <row r="22" spans="2:24" ht="15" customHeight="1" x14ac:dyDescent="0.25">
      <c r="B22" s="79"/>
      <c r="C22" s="188" t="s">
        <v>135</v>
      </c>
      <c r="D22" s="196" t="s">
        <v>3</v>
      </c>
      <c r="E22" s="197">
        <v>1.1674E-2</v>
      </c>
      <c r="F22" s="29"/>
      <c r="G22" s="29"/>
      <c r="H22" s="29"/>
      <c r="I22" s="29"/>
      <c r="J22" s="29"/>
      <c r="K22" s="29"/>
      <c r="L22" s="29"/>
      <c r="M22" s="29"/>
      <c r="N22" s="29"/>
      <c r="O22" s="29"/>
      <c r="P22" s="29"/>
      <c r="Q22" s="29"/>
      <c r="R22" s="29"/>
      <c r="S22" s="29"/>
      <c r="T22" s="22"/>
      <c r="W22" s="173" t="s">
        <v>124</v>
      </c>
      <c r="X22" s="174">
        <v>1.9844000000000001E-2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26</v>
      </c>
      <c r="X23" s="174">
        <v>1.9674000000000001E-2</v>
      </c>
    </row>
    <row r="24" spans="2:24" ht="15" customHeight="1" x14ac:dyDescent="0.25">
      <c r="B24" s="79"/>
      <c r="C24" s="73" t="s">
        <v>55</v>
      </c>
      <c r="D24" s="74"/>
      <c r="E24" s="75">
        <f>SUM(E8:E22)</f>
        <v>0.246915</v>
      </c>
      <c r="F24" s="29"/>
      <c r="G24" s="29"/>
      <c r="H24" s="29"/>
      <c r="I24" s="29"/>
      <c r="J24" s="29"/>
      <c r="K24" s="29"/>
      <c r="L24" s="29"/>
      <c r="M24" s="29"/>
      <c r="N24" s="29"/>
      <c r="O24" s="29"/>
      <c r="P24" s="29"/>
      <c r="Q24" s="29"/>
      <c r="R24" s="29"/>
      <c r="S24" s="29"/>
      <c r="T24" s="22"/>
      <c r="W24" s="173" t="s">
        <v>106</v>
      </c>
      <c r="X24" s="174">
        <v>1.84E-2</v>
      </c>
    </row>
    <row r="25" spans="2:24" ht="15" customHeight="1" x14ac:dyDescent="0.25">
      <c r="B25" s="79"/>
      <c r="F25" s="29"/>
      <c r="G25" s="29"/>
      <c r="H25" s="29"/>
      <c r="I25" s="29"/>
      <c r="J25" s="29"/>
      <c r="K25" s="29"/>
      <c r="L25" s="29"/>
      <c r="M25" s="29"/>
      <c r="N25" s="29"/>
      <c r="O25" s="29"/>
      <c r="P25" s="29"/>
      <c r="Q25" s="29"/>
      <c r="R25" s="29"/>
      <c r="S25" s="29"/>
      <c r="T25" s="22"/>
      <c r="W25" s="173" t="s">
        <v>137</v>
      </c>
      <c r="X25" s="174">
        <v>1.7482000000000001E-2</v>
      </c>
    </row>
    <row r="26" spans="2:24" ht="15" customHeight="1" x14ac:dyDescent="0.25">
      <c r="B26" s="79"/>
      <c r="F26" s="29"/>
      <c r="G26" s="29"/>
      <c r="H26" s="29"/>
      <c r="I26" s="29"/>
      <c r="J26" s="29"/>
      <c r="K26" s="29"/>
      <c r="L26" s="29"/>
      <c r="M26" s="29"/>
      <c r="N26" s="29"/>
      <c r="O26" s="29"/>
      <c r="P26" s="29"/>
      <c r="Q26" s="29"/>
      <c r="R26" s="29"/>
      <c r="S26" s="29"/>
      <c r="T26" s="22"/>
      <c r="W26" s="173" t="s">
        <v>238</v>
      </c>
      <c r="X26" s="174">
        <v>1.4167000000000001E-2</v>
      </c>
    </row>
    <row r="27" spans="2:24" ht="15" customHeight="1" x14ac:dyDescent="0.25">
      <c r="B27" s="79"/>
      <c r="F27" s="29"/>
      <c r="G27" s="29"/>
      <c r="H27" s="29"/>
      <c r="I27" s="29"/>
      <c r="J27" s="29"/>
      <c r="K27" s="29"/>
      <c r="L27" s="29"/>
      <c r="M27" s="29"/>
      <c r="N27" s="29"/>
      <c r="O27" s="29"/>
      <c r="P27" s="29"/>
      <c r="Q27" s="29"/>
      <c r="R27" s="29"/>
      <c r="S27" s="29"/>
      <c r="T27" s="22"/>
      <c r="W27" s="173" t="s">
        <v>23</v>
      </c>
      <c r="X27" s="174">
        <v>1.3653999999999999E-2</v>
      </c>
    </row>
    <row r="28" spans="2:24" ht="15" customHeight="1" x14ac:dyDescent="0.25">
      <c r="B28" s="79"/>
      <c r="F28" s="29"/>
      <c r="G28" s="29"/>
      <c r="H28" s="29"/>
      <c r="I28" s="29"/>
      <c r="J28" s="29"/>
      <c r="K28" s="29"/>
      <c r="L28" s="29"/>
      <c r="M28" s="29"/>
      <c r="N28" s="29"/>
      <c r="O28" s="29"/>
      <c r="P28" s="29"/>
      <c r="Q28" s="29"/>
      <c r="R28" s="29"/>
      <c r="S28" s="29"/>
      <c r="T28" s="22"/>
      <c r="W28" s="173" t="s">
        <v>84</v>
      </c>
      <c r="X28" s="174">
        <v>1.1143000000000002E-2</v>
      </c>
    </row>
    <row r="29" spans="2:24" ht="15" customHeight="1" x14ac:dyDescent="0.25">
      <c r="B29" s="79"/>
      <c r="F29" s="29"/>
      <c r="G29" s="29"/>
      <c r="H29" s="29"/>
      <c r="I29" s="29"/>
      <c r="J29" s="29"/>
      <c r="K29" s="29"/>
      <c r="L29" s="29"/>
      <c r="M29" s="29"/>
      <c r="N29" s="29"/>
      <c r="O29" s="29"/>
      <c r="P29" s="29"/>
      <c r="Q29" s="29"/>
      <c r="R29" s="29"/>
      <c r="S29" s="29"/>
      <c r="T29" s="22"/>
      <c r="W29" s="173" t="s">
        <v>114</v>
      </c>
      <c r="X29" s="174">
        <v>1.0213E-2</v>
      </c>
    </row>
    <row r="30" spans="2:24" ht="15" customHeight="1" x14ac:dyDescent="0.25">
      <c r="B30" s="79"/>
      <c r="F30" s="29"/>
      <c r="G30" s="29"/>
      <c r="H30" s="29"/>
      <c r="I30" s="29"/>
      <c r="J30" s="29"/>
      <c r="K30" s="29"/>
      <c r="L30" s="29"/>
      <c r="M30" s="29"/>
      <c r="N30" s="29"/>
      <c r="O30" s="29"/>
      <c r="P30" s="29"/>
      <c r="Q30" s="29"/>
      <c r="R30" s="29"/>
      <c r="S30" s="29"/>
      <c r="T30" s="22"/>
      <c r="W30" s="173" t="s">
        <v>133</v>
      </c>
      <c r="X30" s="174">
        <v>9.3209999999999994E-3</v>
      </c>
    </row>
    <row r="31" spans="2:24" ht="15" customHeight="1" x14ac:dyDescent="0.25">
      <c r="B31" s="79"/>
      <c r="F31" s="29"/>
      <c r="G31" s="29"/>
      <c r="H31" s="29"/>
      <c r="I31" s="29"/>
      <c r="J31" s="29"/>
      <c r="K31" s="29"/>
      <c r="L31" s="29"/>
      <c r="M31" s="29"/>
      <c r="N31" s="29"/>
      <c r="O31" s="29"/>
      <c r="P31" s="29"/>
      <c r="Q31" s="29"/>
      <c r="R31" s="29"/>
      <c r="S31" s="29"/>
      <c r="T31" s="22"/>
      <c r="W31" s="173" t="s">
        <v>10</v>
      </c>
      <c r="X31" s="174">
        <v>8.7600000000000004E-3</v>
      </c>
    </row>
    <row r="32" spans="2:24" ht="15" customHeight="1" x14ac:dyDescent="0.25">
      <c r="B32" s="79"/>
      <c r="F32" s="29"/>
      <c r="G32" s="29"/>
      <c r="H32" s="29"/>
      <c r="I32" s="29"/>
      <c r="J32" s="29"/>
      <c r="K32" s="29"/>
      <c r="L32" s="29"/>
      <c r="M32" s="29"/>
      <c r="N32" s="29"/>
      <c r="O32" s="29"/>
      <c r="P32" s="29"/>
      <c r="Q32" s="29"/>
      <c r="R32" s="29"/>
      <c r="S32" s="29"/>
      <c r="T32" s="22"/>
      <c r="W32" s="173" t="s">
        <v>11</v>
      </c>
      <c r="X32" s="174">
        <v>8.5970000000000005E-3</v>
      </c>
    </row>
    <row r="33" spans="2:24" ht="15.75" customHeight="1" x14ac:dyDescent="0.25">
      <c r="B33" s="79"/>
      <c r="F33" s="29"/>
      <c r="G33" s="29"/>
      <c r="H33" s="29"/>
      <c r="I33" s="29"/>
      <c r="J33" s="29"/>
      <c r="K33" s="29"/>
      <c r="L33" s="29"/>
      <c r="M33" s="29"/>
      <c r="N33" s="29"/>
      <c r="O33" s="29"/>
      <c r="P33" s="29"/>
      <c r="Q33" s="29"/>
      <c r="R33" s="29"/>
      <c r="S33" s="29"/>
      <c r="T33" s="22"/>
      <c r="W33" s="173" t="s">
        <v>107</v>
      </c>
      <c r="X33" s="174">
        <v>7.0530000000000002E-3</v>
      </c>
    </row>
    <row r="34" spans="2:24" ht="15.75" customHeight="1" x14ac:dyDescent="0.25">
      <c r="B34" s="79"/>
      <c r="F34" s="29"/>
      <c r="G34" s="29"/>
      <c r="H34" s="29"/>
      <c r="I34" s="29"/>
      <c r="J34" s="29"/>
      <c r="K34" s="29"/>
      <c r="L34" s="29"/>
      <c r="M34" s="29"/>
      <c r="N34" s="29"/>
      <c r="O34" s="29"/>
      <c r="P34" s="29"/>
      <c r="Q34" s="29"/>
      <c r="R34" s="29"/>
      <c r="S34" s="29"/>
      <c r="T34" s="22"/>
      <c r="W34" s="173" t="s">
        <v>6</v>
      </c>
      <c r="X34" s="174">
        <v>6.4429999999999999E-3</v>
      </c>
    </row>
    <row r="35" spans="2:24" ht="15.75" customHeight="1" x14ac:dyDescent="0.25">
      <c r="B35" s="79"/>
      <c r="F35" s="29"/>
      <c r="G35" s="29"/>
      <c r="H35" s="29"/>
      <c r="I35" s="29"/>
      <c r="J35" s="29"/>
      <c r="K35" s="29"/>
      <c r="L35" s="29"/>
      <c r="M35" s="29"/>
      <c r="N35" s="29"/>
      <c r="O35" s="29"/>
      <c r="P35" s="29"/>
      <c r="Q35" s="29"/>
      <c r="R35" s="29"/>
      <c r="S35" s="29"/>
      <c r="T35" s="22"/>
      <c r="W35" s="173" t="s">
        <v>108</v>
      </c>
      <c r="X35" s="174">
        <v>5.8909999999999995E-3</v>
      </c>
    </row>
    <row r="36" spans="2:24" ht="15.75" customHeight="1" x14ac:dyDescent="0.25">
      <c r="B36" s="79"/>
      <c r="F36" s="29"/>
      <c r="G36" s="29"/>
      <c r="H36" s="29"/>
      <c r="I36" s="29"/>
      <c r="J36" s="29"/>
      <c r="K36" s="29"/>
      <c r="L36" s="29"/>
      <c r="M36" s="29"/>
      <c r="N36" s="29"/>
      <c r="O36" s="29"/>
      <c r="P36" s="29"/>
      <c r="Q36" s="29"/>
      <c r="R36" s="29"/>
      <c r="S36" s="29"/>
      <c r="T36" s="22"/>
      <c r="W36" s="173" t="s">
        <v>87</v>
      </c>
      <c r="X36" s="174">
        <v>5.195E-3</v>
      </c>
    </row>
    <row r="37" spans="2:24" ht="15.75" customHeight="1" x14ac:dyDescent="0.25">
      <c r="B37" s="79"/>
      <c r="F37" s="29"/>
      <c r="G37" s="29"/>
      <c r="H37" s="29"/>
      <c r="I37" s="29"/>
      <c r="J37" s="29"/>
      <c r="K37" s="29"/>
      <c r="L37" s="29"/>
      <c r="M37" s="29"/>
      <c r="N37" s="29"/>
      <c r="O37" s="29"/>
      <c r="P37" s="29"/>
      <c r="Q37" s="29"/>
      <c r="R37" s="29"/>
      <c r="S37" s="29"/>
      <c r="T37" s="22"/>
      <c r="W37" s="173" t="s">
        <v>118</v>
      </c>
      <c r="X37" s="174">
        <v>4.8320000000000004E-3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83</v>
      </c>
      <c r="X38" s="174">
        <v>4.5859999999999998E-3</v>
      </c>
    </row>
    <row r="39" spans="2:24" ht="15" customHeight="1" thickBot="1" x14ac:dyDescent="0.3">
      <c r="W39" s="173" t="s">
        <v>123</v>
      </c>
      <c r="X39" s="174">
        <v>4.4260000000000002E-3</v>
      </c>
    </row>
    <row r="40" spans="2:24" ht="15" customHeight="1" x14ac:dyDescent="0.25">
      <c r="B40" s="269" t="s">
        <v>182</v>
      </c>
      <c r="C40" s="270"/>
      <c r="D40" s="270"/>
      <c r="E40" s="270"/>
      <c r="F40" s="270"/>
      <c r="G40" s="270"/>
      <c r="H40" s="270"/>
      <c r="I40" s="270"/>
      <c r="J40" s="270"/>
      <c r="K40" s="270"/>
      <c r="L40" s="270"/>
      <c r="M40" s="270"/>
      <c r="N40" s="270"/>
      <c r="O40" s="270"/>
      <c r="P40" s="270"/>
      <c r="Q40" s="270"/>
      <c r="R40" s="271"/>
      <c r="W40" s="173" t="s">
        <v>15</v>
      </c>
      <c r="X40" s="174">
        <v>4.4250000000000001E-3</v>
      </c>
    </row>
    <row r="41" spans="2:24" ht="15" customHeight="1" x14ac:dyDescent="0.25">
      <c r="B41" s="272"/>
      <c r="C41" s="273"/>
      <c r="D41" s="273"/>
      <c r="E41" s="273"/>
      <c r="F41" s="273"/>
      <c r="G41" s="273"/>
      <c r="H41" s="273"/>
      <c r="I41" s="273"/>
      <c r="J41" s="273"/>
      <c r="K41" s="273"/>
      <c r="L41" s="273"/>
      <c r="M41" s="273"/>
      <c r="N41" s="273"/>
      <c r="O41" s="273"/>
      <c r="P41" s="273"/>
      <c r="Q41" s="273"/>
      <c r="R41" s="274"/>
      <c r="W41" s="173" t="s">
        <v>218</v>
      </c>
      <c r="X41" s="174">
        <v>3.009E-3</v>
      </c>
    </row>
    <row r="42" spans="2:24" ht="15" customHeight="1" x14ac:dyDescent="0.25">
      <c r="B42" s="272"/>
      <c r="C42" s="273"/>
      <c r="D42" s="273"/>
      <c r="E42" s="273"/>
      <c r="F42" s="273"/>
      <c r="G42" s="273"/>
      <c r="H42" s="273"/>
      <c r="I42" s="273"/>
      <c r="J42" s="273"/>
      <c r="K42" s="273"/>
      <c r="L42" s="273"/>
      <c r="M42" s="273"/>
      <c r="N42" s="273"/>
      <c r="O42" s="273"/>
      <c r="P42" s="273"/>
      <c r="Q42" s="273"/>
      <c r="R42" s="274"/>
      <c r="W42" s="173" t="s">
        <v>288</v>
      </c>
      <c r="X42" s="174">
        <v>2.905E-3</v>
      </c>
    </row>
    <row r="43" spans="2:24" ht="15" customHeight="1" x14ac:dyDescent="0.25">
      <c r="B43" s="272"/>
      <c r="C43" s="273"/>
      <c r="D43" s="273"/>
      <c r="E43" s="273"/>
      <c r="F43" s="273"/>
      <c r="G43" s="273"/>
      <c r="H43" s="273"/>
      <c r="I43" s="273"/>
      <c r="J43" s="273"/>
      <c r="K43" s="273"/>
      <c r="L43" s="273"/>
      <c r="M43" s="273"/>
      <c r="N43" s="273"/>
      <c r="O43" s="273"/>
      <c r="P43" s="273"/>
      <c r="Q43" s="273"/>
      <c r="R43" s="274"/>
      <c r="W43" s="173" t="s">
        <v>12</v>
      </c>
      <c r="X43" s="174">
        <v>2.643E-3</v>
      </c>
    </row>
    <row r="44" spans="2:24" ht="15" customHeight="1" x14ac:dyDescent="0.25">
      <c r="B44" s="272"/>
      <c r="C44" s="273"/>
      <c r="D44" s="273"/>
      <c r="E44" s="273"/>
      <c r="F44" s="273"/>
      <c r="G44" s="273"/>
      <c r="H44" s="273"/>
      <c r="I44" s="273"/>
      <c r="J44" s="273"/>
      <c r="K44" s="273"/>
      <c r="L44" s="273"/>
      <c r="M44" s="273"/>
      <c r="N44" s="273"/>
      <c r="O44" s="273"/>
      <c r="P44" s="273"/>
      <c r="Q44" s="273"/>
      <c r="R44" s="274"/>
      <c r="W44" s="173" t="s">
        <v>121</v>
      </c>
      <c r="X44" s="174">
        <v>2.598E-3</v>
      </c>
    </row>
    <row r="45" spans="2:24" ht="15" customHeight="1" x14ac:dyDescent="0.25">
      <c r="B45" s="272"/>
      <c r="C45" s="273"/>
      <c r="D45" s="273"/>
      <c r="E45" s="273"/>
      <c r="F45" s="273"/>
      <c r="G45" s="273"/>
      <c r="H45" s="273"/>
      <c r="I45" s="273"/>
      <c r="J45" s="273"/>
      <c r="K45" s="273"/>
      <c r="L45" s="273"/>
      <c r="M45" s="273"/>
      <c r="N45" s="273"/>
      <c r="O45" s="273"/>
      <c r="P45" s="273"/>
      <c r="Q45" s="273"/>
      <c r="R45" s="274"/>
      <c r="W45" s="173" t="s">
        <v>185</v>
      </c>
      <c r="X45" s="174">
        <v>2.431E-3</v>
      </c>
    </row>
    <row r="46" spans="2:24" ht="15" customHeight="1" thickBot="1" x14ac:dyDescent="0.3">
      <c r="B46" s="275"/>
      <c r="C46" s="276"/>
      <c r="D46" s="276"/>
      <c r="E46" s="276"/>
      <c r="F46" s="276"/>
      <c r="G46" s="276"/>
      <c r="H46" s="276"/>
      <c r="I46" s="276"/>
      <c r="J46" s="276"/>
      <c r="K46" s="276"/>
      <c r="L46" s="276"/>
      <c r="M46" s="276"/>
      <c r="N46" s="276"/>
      <c r="O46" s="276"/>
      <c r="P46" s="276"/>
      <c r="Q46" s="276"/>
      <c r="R46" s="277"/>
      <c r="W46" s="173" t="s">
        <v>25</v>
      </c>
      <c r="X46" s="174">
        <v>2.3750000000000004E-3</v>
      </c>
    </row>
    <row r="47" spans="2:24" ht="15" customHeight="1" x14ac:dyDescent="0.25">
      <c r="W47" s="173" t="s">
        <v>112</v>
      </c>
      <c r="X47" s="174">
        <v>1.534E-3</v>
      </c>
    </row>
    <row r="48" spans="2:24" ht="15" customHeight="1" x14ac:dyDescent="0.25">
      <c r="W48" s="173" t="s">
        <v>117</v>
      </c>
      <c r="X48" s="174">
        <v>9.7799999999999992E-4</v>
      </c>
    </row>
    <row r="49" spans="23:24" ht="15" customHeight="1" x14ac:dyDescent="0.25">
      <c r="W49" s="173" t="s">
        <v>146</v>
      </c>
      <c r="X49" s="174">
        <v>9.4899999999999997E-4</v>
      </c>
    </row>
    <row r="50" spans="23:24" ht="15" customHeight="1" x14ac:dyDescent="0.25">
      <c r="W50" s="173" t="s">
        <v>95</v>
      </c>
      <c r="X50" s="174">
        <v>6.3400000000000001E-4</v>
      </c>
    </row>
    <row r="51" spans="23:24" ht="15" customHeight="1" x14ac:dyDescent="0.25">
      <c r="W51" s="173"/>
      <c r="X51" s="174"/>
    </row>
    <row r="52" spans="23:24" ht="15" customHeight="1" x14ac:dyDescent="0.25">
      <c r="W52" s="173"/>
      <c r="X52" s="174"/>
    </row>
    <row r="53" spans="23:24" ht="15" customHeight="1" x14ac:dyDescent="0.25">
      <c r="W53" s="173"/>
      <c r="X53" s="174"/>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election activeCell="C4" sqref="C4"/>
    </sheetView>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165</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380</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180</v>
      </c>
      <c r="D8" s="196" t="s">
        <v>24</v>
      </c>
      <c r="E8" s="204">
        <v>5.6210999999999997E-2</v>
      </c>
      <c r="F8" s="29"/>
      <c r="G8" s="29"/>
      <c r="H8" s="29"/>
      <c r="I8" s="29"/>
      <c r="J8" s="29"/>
      <c r="K8" s="29"/>
      <c r="L8" s="29"/>
      <c r="M8" s="29"/>
      <c r="N8" s="29"/>
      <c r="O8" s="29"/>
      <c r="P8" s="29"/>
      <c r="Q8" s="29"/>
      <c r="R8" s="29"/>
      <c r="S8" s="29"/>
      <c r="T8" s="22"/>
      <c r="W8" s="61" t="s">
        <v>23</v>
      </c>
      <c r="X8" s="62">
        <v>0.24272600000000003</v>
      </c>
    </row>
    <row r="9" spans="1:24" ht="15.75" customHeight="1" x14ac:dyDescent="0.25">
      <c r="B9" s="79"/>
      <c r="C9" s="188" t="s">
        <v>214</v>
      </c>
      <c r="D9" s="196" t="s">
        <v>23</v>
      </c>
      <c r="E9" s="204">
        <v>3.9669000000000003E-2</v>
      </c>
      <c r="F9" s="29"/>
      <c r="G9" s="29"/>
      <c r="H9" s="29"/>
      <c r="I9" s="29"/>
      <c r="J9" s="29"/>
      <c r="K9" s="29"/>
      <c r="L9" s="29"/>
      <c r="M9" s="29"/>
      <c r="N9" s="29"/>
      <c r="O9" s="29"/>
      <c r="P9" s="29"/>
      <c r="Q9" s="29"/>
      <c r="R9" s="29"/>
      <c r="S9" s="29"/>
      <c r="T9" s="22"/>
      <c r="W9" s="61" t="s">
        <v>24</v>
      </c>
      <c r="X9" s="62">
        <v>9.1892999999999989E-2</v>
      </c>
    </row>
    <row r="10" spans="1:24" ht="15" customHeight="1" x14ac:dyDescent="0.25">
      <c r="B10" s="79"/>
      <c r="C10" s="188" t="s">
        <v>34</v>
      </c>
      <c r="D10" s="196" t="s">
        <v>23</v>
      </c>
      <c r="E10" s="204">
        <v>3.5511000000000001E-2</v>
      </c>
      <c r="F10" s="29"/>
      <c r="G10" s="29"/>
      <c r="H10" s="29"/>
      <c r="I10" s="29"/>
      <c r="J10" s="29"/>
      <c r="K10" s="29"/>
      <c r="L10" s="29"/>
      <c r="M10" s="29"/>
      <c r="N10" s="29"/>
      <c r="O10" s="29"/>
      <c r="P10" s="29"/>
      <c r="Q10" s="29"/>
      <c r="R10" s="29"/>
      <c r="S10" s="29"/>
      <c r="T10" s="22"/>
      <c r="W10" s="61" t="s">
        <v>119</v>
      </c>
      <c r="X10" s="62">
        <v>9.0288000000000007E-2</v>
      </c>
    </row>
    <row r="11" spans="1:24" ht="15" customHeight="1" x14ac:dyDescent="0.25">
      <c r="B11" s="79"/>
      <c r="C11" s="188" t="s">
        <v>31</v>
      </c>
      <c r="D11" s="196" t="s">
        <v>6</v>
      </c>
      <c r="E11" s="204">
        <v>3.2529000000000002E-2</v>
      </c>
      <c r="F11" s="29"/>
      <c r="G11" s="29"/>
      <c r="H11" s="29"/>
      <c r="I11" s="29"/>
      <c r="J11" s="29"/>
      <c r="K11" s="29"/>
      <c r="L11" s="29"/>
      <c r="M11" s="29"/>
      <c r="N11" s="29"/>
      <c r="O11" s="29"/>
      <c r="P11" s="29"/>
      <c r="Q11" s="29"/>
      <c r="R11" s="29"/>
      <c r="S11" s="29"/>
      <c r="T11" s="22"/>
      <c r="W11" s="61" t="s">
        <v>10</v>
      </c>
      <c r="X11" s="62">
        <v>8.3810000000000009E-2</v>
      </c>
    </row>
    <row r="12" spans="1:24" ht="15" customHeight="1" x14ac:dyDescent="0.25">
      <c r="B12" s="79"/>
      <c r="C12" s="188" t="s">
        <v>284</v>
      </c>
      <c r="D12" s="196" t="s">
        <v>4</v>
      </c>
      <c r="E12" s="204">
        <v>3.0131999999999999E-2</v>
      </c>
      <c r="F12" s="29"/>
      <c r="G12" s="29"/>
      <c r="H12" s="29"/>
      <c r="I12" s="29"/>
      <c r="J12" s="29"/>
      <c r="K12" s="29"/>
      <c r="L12" s="29"/>
      <c r="M12" s="29"/>
      <c r="N12" s="29"/>
      <c r="O12" s="29"/>
      <c r="P12" s="29"/>
      <c r="Q12" s="29"/>
      <c r="R12" s="29"/>
      <c r="S12" s="29"/>
      <c r="T12" s="22"/>
      <c r="W12" s="61" t="s">
        <v>124</v>
      </c>
      <c r="X12" s="62">
        <v>5.5177999999999991E-2</v>
      </c>
    </row>
    <row r="13" spans="1:24" ht="15" customHeight="1" x14ac:dyDescent="0.25">
      <c r="B13" s="79"/>
      <c r="C13" s="188" t="s">
        <v>64</v>
      </c>
      <c r="D13" s="196" t="s">
        <v>83</v>
      </c>
      <c r="E13" s="204">
        <v>2.9262E-2</v>
      </c>
      <c r="F13" s="29"/>
      <c r="G13" s="29"/>
      <c r="H13" s="29"/>
      <c r="I13" s="29"/>
      <c r="J13" s="29"/>
      <c r="K13" s="29"/>
      <c r="L13" s="29"/>
      <c r="M13" s="29"/>
      <c r="N13" s="29"/>
      <c r="O13" s="29"/>
      <c r="P13" s="29"/>
      <c r="Q13" s="29"/>
      <c r="R13" s="29"/>
      <c r="S13" s="29"/>
      <c r="T13" s="22"/>
      <c r="W13" s="61" t="s">
        <v>137</v>
      </c>
      <c r="X13" s="62">
        <v>4.6988999999999996E-2</v>
      </c>
    </row>
    <row r="14" spans="1:24" ht="15" customHeight="1" x14ac:dyDescent="0.25">
      <c r="B14" s="79"/>
      <c r="C14" s="188" t="s">
        <v>256</v>
      </c>
      <c r="D14" s="196" t="s">
        <v>130</v>
      </c>
      <c r="E14" s="204">
        <v>2.8785000000000002E-2</v>
      </c>
      <c r="F14" s="29"/>
      <c r="G14" s="29"/>
      <c r="H14" s="29"/>
      <c r="I14" s="29"/>
      <c r="J14" s="29"/>
      <c r="K14" s="29"/>
      <c r="L14" s="29"/>
      <c r="M14" s="29"/>
      <c r="N14" s="29"/>
      <c r="O14" s="29"/>
      <c r="P14" s="29"/>
      <c r="Q14" s="29"/>
      <c r="R14" s="29"/>
      <c r="S14" s="29"/>
      <c r="T14" s="22"/>
      <c r="W14" s="61" t="s">
        <v>110</v>
      </c>
      <c r="X14" s="62">
        <v>4.6352000000000004E-2</v>
      </c>
    </row>
    <row r="15" spans="1:24" ht="15" customHeight="1" x14ac:dyDescent="0.25">
      <c r="B15" s="79"/>
      <c r="C15" s="188" t="s">
        <v>70</v>
      </c>
      <c r="D15" s="196" t="s">
        <v>12</v>
      </c>
      <c r="E15" s="204">
        <v>2.8257999999999998E-2</v>
      </c>
      <c r="F15" s="29"/>
      <c r="G15" s="29"/>
      <c r="H15" s="29"/>
      <c r="I15" s="29"/>
      <c r="J15" s="29"/>
      <c r="K15" s="29"/>
      <c r="L15" s="29"/>
      <c r="M15" s="29"/>
      <c r="N15" s="29"/>
      <c r="O15" s="29"/>
      <c r="P15" s="29"/>
      <c r="Q15" s="29"/>
      <c r="R15" s="29"/>
      <c r="S15" s="29"/>
      <c r="T15" s="22"/>
      <c r="W15" s="61" t="s">
        <v>4</v>
      </c>
      <c r="X15" s="62">
        <v>4.0554E-2</v>
      </c>
    </row>
    <row r="16" spans="1:24" ht="15" customHeight="1" x14ac:dyDescent="0.25">
      <c r="B16" s="79"/>
      <c r="C16" s="188" t="s">
        <v>267</v>
      </c>
      <c r="D16" s="196" t="s">
        <v>23</v>
      </c>
      <c r="E16" s="204">
        <v>2.7869000000000001E-2</v>
      </c>
      <c r="F16" s="29"/>
      <c r="G16" s="29"/>
      <c r="H16" s="29"/>
      <c r="I16" s="29"/>
      <c r="J16" s="29"/>
      <c r="K16" s="29"/>
      <c r="L16" s="29"/>
      <c r="M16" s="29"/>
      <c r="N16" s="29"/>
      <c r="O16" s="29"/>
      <c r="P16" s="29"/>
      <c r="Q16" s="29"/>
      <c r="R16" s="29"/>
      <c r="S16" s="29"/>
      <c r="T16" s="22"/>
      <c r="W16" s="61" t="s">
        <v>12</v>
      </c>
      <c r="X16" s="62">
        <v>4.0086999999999998E-2</v>
      </c>
    </row>
    <row r="17" spans="2:24" ht="15" customHeight="1" x14ac:dyDescent="0.25">
      <c r="B17" s="79"/>
      <c r="C17" s="188" t="s">
        <v>147</v>
      </c>
      <c r="D17" s="196" t="s">
        <v>23</v>
      </c>
      <c r="E17" s="204">
        <v>2.6173999999999999E-2</v>
      </c>
      <c r="F17" s="29"/>
      <c r="G17" s="29"/>
      <c r="H17" s="29"/>
      <c r="I17" s="29"/>
      <c r="J17" s="29"/>
      <c r="K17" s="29"/>
      <c r="L17" s="29"/>
      <c r="M17" s="29"/>
      <c r="N17" s="29"/>
      <c r="O17" s="29"/>
      <c r="P17" s="29"/>
      <c r="Q17" s="29"/>
      <c r="R17" s="29"/>
      <c r="S17" s="29"/>
      <c r="T17" s="22"/>
      <c r="W17" s="61" t="s">
        <v>87</v>
      </c>
      <c r="X17" s="62">
        <v>3.6382999999999999E-2</v>
      </c>
    </row>
    <row r="18" spans="2:24" ht="15" customHeight="1" x14ac:dyDescent="0.25">
      <c r="B18" s="79"/>
      <c r="C18" s="188" t="s">
        <v>129</v>
      </c>
      <c r="D18" s="196" t="s">
        <v>87</v>
      </c>
      <c r="E18" s="204">
        <v>2.4521000000000001E-2</v>
      </c>
      <c r="F18" s="29"/>
      <c r="G18" s="29"/>
      <c r="H18" s="29"/>
      <c r="I18" s="29"/>
      <c r="J18" s="29"/>
      <c r="K18" s="29"/>
      <c r="L18" s="29"/>
      <c r="M18" s="29"/>
      <c r="N18" s="29"/>
      <c r="O18" s="29"/>
      <c r="P18" s="29"/>
      <c r="Q18" s="29"/>
      <c r="R18" s="29"/>
      <c r="S18" s="29"/>
      <c r="T18" s="22"/>
      <c r="W18" s="61" t="s">
        <v>130</v>
      </c>
      <c r="X18" s="62">
        <v>3.3626000000000003E-2</v>
      </c>
    </row>
    <row r="19" spans="2:24" ht="15" customHeight="1" x14ac:dyDescent="0.25">
      <c r="B19" s="79"/>
      <c r="C19" s="188" t="s">
        <v>300</v>
      </c>
      <c r="D19" s="196" t="s">
        <v>23</v>
      </c>
      <c r="E19" s="204">
        <v>2.3834000000000001E-2</v>
      </c>
      <c r="F19" s="29"/>
      <c r="G19" s="29"/>
      <c r="H19" s="29"/>
      <c r="I19" s="29"/>
      <c r="J19" s="29"/>
      <c r="K19" s="29"/>
      <c r="L19" s="29"/>
      <c r="M19" s="29"/>
      <c r="N19" s="29"/>
      <c r="O19" s="29"/>
      <c r="P19" s="29"/>
      <c r="Q19" s="29"/>
      <c r="R19" s="29"/>
      <c r="S19" s="29"/>
      <c r="T19" s="22"/>
      <c r="W19" s="61" t="s">
        <v>6</v>
      </c>
      <c r="X19" s="62">
        <v>3.2529000000000002E-2</v>
      </c>
    </row>
    <row r="20" spans="2:24" ht="15" customHeight="1" x14ac:dyDescent="0.25">
      <c r="B20" s="79"/>
      <c r="C20" s="188" t="s">
        <v>310</v>
      </c>
      <c r="D20" s="196" t="s">
        <v>124</v>
      </c>
      <c r="E20" s="204">
        <v>2.2362E-2</v>
      </c>
      <c r="F20" s="29"/>
      <c r="G20" s="29"/>
      <c r="H20" s="29"/>
      <c r="I20" s="29"/>
      <c r="J20" s="29"/>
      <c r="K20" s="29"/>
      <c r="L20" s="29"/>
      <c r="M20" s="29"/>
      <c r="N20" s="29"/>
      <c r="O20" s="29"/>
      <c r="P20" s="29"/>
      <c r="Q20" s="29"/>
      <c r="R20" s="29"/>
      <c r="S20" s="29"/>
      <c r="T20" s="22"/>
      <c r="W20" s="61" t="s">
        <v>83</v>
      </c>
      <c r="X20" s="62">
        <v>2.9262E-2</v>
      </c>
    </row>
    <row r="21" spans="2:24" ht="15" customHeight="1" x14ac:dyDescent="0.25">
      <c r="B21" s="79"/>
      <c r="C21" s="188" t="s">
        <v>363</v>
      </c>
      <c r="D21" s="196" t="s">
        <v>119</v>
      </c>
      <c r="E21" s="204">
        <v>1.8790000000000001E-2</v>
      </c>
      <c r="F21" s="29"/>
      <c r="G21" s="29"/>
      <c r="H21" s="29"/>
      <c r="I21" s="29"/>
      <c r="J21" s="29"/>
      <c r="K21" s="29"/>
      <c r="L21" s="29"/>
      <c r="M21" s="29"/>
      <c r="N21" s="29"/>
      <c r="O21" s="29"/>
      <c r="P21" s="29"/>
      <c r="Q21" s="29"/>
      <c r="R21" s="29"/>
      <c r="S21" s="29"/>
      <c r="T21" s="22"/>
      <c r="W21" s="61" t="s">
        <v>25</v>
      </c>
      <c r="X21" s="62">
        <v>2.3334000000000001E-2</v>
      </c>
    </row>
    <row r="22" spans="2:24" ht="15" customHeight="1" x14ac:dyDescent="0.25">
      <c r="B22" s="79"/>
      <c r="C22" s="188" t="s">
        <v>62</v>
      </c>
      <c r="D22" s="196" t="s">
        <v>10</v>
      </c>
      <c r="E22" s="204">
        <v>1.8711999999999999E-2</v>
      </c>
      <c r="F22" s="29"/>
      <c r="G22" s="29"/>
      <c r="H22" s="29"/>
      <c r="I22" s="29"/>
      <c r="J22" s="29"/>
      <c r="K22" s="29"/>
      <c r="L22" s="29"/>
      <c r="M22" s="29"/>
      <c r="N22" s="29"/>
      <c r="O22" s="29"/>
      <c r="P22" s="29"/>
      <c r="Q22" s="29"/>
      <c r="R22" s="29"/>
      <c r="S22" s="29"/>
      <c r="T22" s="22"/>
      <c r="W22" s="56" t="s">
        <v>11</v>
      </c>
      <c r="X22" s="57">
        <v>1.8481999999999998E-2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123</v>
      </c>
      <c r="X23" s="57">
        <v>1.7565999999999998E-2</v>
      </c>
    </row>
    <row r="24" spans="2:24" ht="15" customHeight="1" x14ac:dyDescent="0.25">
      <c r="B24" s="79"/>
      <c r="C24" s="73" t="s">
        <v>55</v>
      </c>
      <c r="D24" s="74"/>
      <c r="E24" s="75">
        <f>SUM(E8:E22)</f>
        <v>0.44261899999999993</v>
      </c>
      <c r="F24" s="29"/>
      <c r="G24" s="29"/>
      <c r="H24" s="29"/>
      <c r="I24" s="29"/>
      <c r="J24" s="29"/>
      <c r="K24" s="29"/>
      <c r="L24" s="29"/>
      <c r="M24" s="29"/>
      <c r="N24" s="29"/>
      <c r="O24" s="29"/>
      <c r="P24" s="29"/>
      <c r="Q24" s="29"/>
      <c r="R24" s="29"/>
      <c r="S24" s="29"/>
      <c r="T24" s="22"/>
      <c r="W24" s="56" t="s">
        <v>77</v>
      </c>
      <c r="X24" s="57">
        <v>1.6535000000000001E-2</v>
      </c>
    </row>
    <row r="25" spans="2:24" ht="15" customHeight="1" x14ac:dyDescent="0.25">
      <c r="B25" s="79"/>
      <c r="F25" s="29"/>
      <c r="G25" s="29"/>
      <c r="H25" s="29"/>
      <c r="I25" s="29"/>
      <c r="J25" s="29"/>
      <c r="K25" s="29"/>
      <c r="L25" s="29"/>
      <c r="M25" s="29"/>
      <c r="N25" s="29"/>
      <c r="O25" s="29"/>
      <c r="P25" s="29"/>
      <c r="Q25" s="29"/>
      <c r="R25" s="29"/>
      <c r="S25" s="29"/>
      <c r="T25" s="22"/>
      <c r="W25" s="56" t="s">
        <v>116</v>
      </c>
      <c r="X25" s="57">
        <v>1.2581999999999999E-2</v>
      </c>
    </row>
    <row r="26" spans="2:24" ht="15" customHeight="1" x14ac:dyDescent="0.25">
      <c r="B26" s="79"/>
      <c r="F26" s="29"/>
      <c r="G26" s="29"/>
      <c r="H26" s="29"/>
      <c r="I26" s="29"/>
      <c r="J26" s="29"/>
      <c r="K26" s="29"/>
      <c r="L26" s="29"/>
      <c r="M26" s="29"/>
      <c r="N26" s="29"/>
      <c r="O26" s="29"/>
      <c r="P26" s="29"/>
      <c r="Q26" s="29"/>
      <c r="R26" s="29"/>
      <c r="S26" s="29"/>
      <c r="T26" s="22"/>
      <c r="W26" s="56" t="s">
        <v>15</v>
      </c>
      <c r="X26" s="57">
        <v>6.8389999999999996E-3</v>
      </c>
    </row>
    <row r="27" spans="2:24" ht="15" customHeight="1" x14ac:dyDescent="0.25">
      <c r="B27" s="79"/>
      <c r="F27" s="29"/>
      <c r="G27" s="29"/>
      <c r="H27" s="29"/>
      <c r="I27" s="29"/>
      <c r="J27" s="29"/>
      <c r="K27" s="29"/>
      <c r="L27" s="29"/>
      <c r="M27" s="29"/>
      <c r="N27" s="29"/>
      <c r="O27" s="29"/>
      <c r="P27" s="29"/>
      <c r="Q27" s="29"/>
      <c r="R27" s="29"/>
      <c r="S27" s="29"/>
      <c r="T27" s="22"/>
      <c r="W27" s="154" t="s">
        <v>133</v>
      </c>
      <c r="X27" s="155">
        <v>5.4219999999999997E-3</v>
      </c>
    </row>
    <row r="28" spans="2:24" ht="15" customHeight="1" x14ac:dyDescent="0.25">
      <c r="B28" s="79"/>
      <c r="F28" s="29"/>
      <c r="G28" s="29"/>
      <c r="H28" s="29"/>
      <c r="I28" s="29"/>
      <c r="J28" s="29"/>
      <c r="K28" s="29"/>
      <c r="L28" s="29"/>
      <c r="M28" s="29"/>
      <c r="N28" s="29"/>
      <c r="O28" s="29"/>
      <c r="P28" s="29"/>
      <c r="Q28" s="29"/>
      <c r="R28" s="29"/>
      <c r="S28" s="29"/>
      <c r="T28" s="22"/>
      <c r="W28" s="154" t="s">
        <v>84</v>
      </c>
      <c r="X28" s="155">
        <v>3.4510000000000001E-3</v>
      </c>
    </row>
    <row r="29" spans="2:24" ht="15" customHeight="1" x14ac:dyDescent="0.25">
      <c r="B29" s="79"/>
      <c r="F29" s="29"/>
      <c r="G29" s="29"/>
      <c r="H29" s="29"/>
      <c r="I29" s="29"/>
      <c r="J29" s="29"/>
      <c r="K29" s="29"/>
      <c r="L29" s="29"/>
      <c r="M29" s="29"/>
      <c r="N29" s="29"/>
      <c r="O29" s="29"/>
      <c r="P29" s="29"/>
      <c r="Q29" s="29"/>
      <c r="R29" s="29"/>
      <c r="S29" s="29"/>
      <c r="T29" s="22"/>
      <c r="W29" s="39" t="s">
        <v>127</v>
      </c>
      <c r="X29" s="155">
        <v>2.0709999999999999E-3</v>
      </c>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69" t="s">
        <v>182</v>
      </c>
      <c r="C36" s="270"/>
      <c r="D36" s="270"/>
      <c r="E36" s="270"/>
      <c r="F36" s="270"/>
      <c r="G36" s="270"/>
      <c r="H36" s="270"/>
      <c r="I36" s="270"/>
      <c r="J36" s="270"/>
      <c r="K36" s="270"/>
      <c r="L36" s="270"/>
      <c r="M36" s="270"/>
      <c r="N36" s="270"/>
      <c r="O36" s="270"/>
      <c r="P36" s="270"/>
      <c r="Q36" s="270"/>
      <c r="R36" s="271"/>
    </row>
    <row r="37" spans="2:20" ht="15" customHeight="1" x14ac:dyDescent="0.25">
      <c r="B37" s="272"/>
      <c r="C37" s="273"/>
      <c r="D37" s="273"/>
      <c r="E37" s="273"/>
      <c r="F37" s="273"/>
      <c r="G37" s="273"/>
      <c r="H37" s="273"/>
      <c r="I37" s="273"/>
      <c r="J37" s="273"/>
      <c r="K37" s="273"/>
      <c r="L37" s="273"/>
      <c r="M37" s="273"/>
      <c r="N37" s="273"/>
      <c r="O37" s="273"/>
      <c r="P37" s="273"/>
      <c r="Q37" s="273"/>
      <c r="R37" s="274"/>
    </row>
    <row r="38" spans="2:20" ht="15" customHeight="1" x14ac:dyDescent="0.25">
      <c r="B38" s="272"/>
      <c r="C38" s="273"/>
      <c r="D38" s="273"/>
      <c r="E38" s="273"/>
      <c r="F38" s="273"/>
      <c r="G38" s="273"/>
      <c r="H38" s="273"/>
      <c r="I38" s="273"/>
      <c r="J38" s="273"/>
      <c r="K38" s="273"/>
      <c r="L38" s="273"/>
      <c r="M38" s="273"/>
      <c r="N38" s="273"/>
      <c r="O38" s="273"/>
      <c r="P38" s="273"/>
      <c r="Q38" s="273"/>
      <c r="R38" s="274"/>
    </row>
    <row r="39" spans="2:20" ht="15" customHeight="1" x14ac:dyDescent="0.25">
      <c r="B39" s="272"/>
      <c r="C39" s="273"/>
      <c r="D39" s="273"/>
      <c r="E39" s="273"/>
      <c r="F39" s="273"/>
      <c r="G39" s="273"/>
      <c r="H39" s="273"/>
      <c r="I39" s="273"/>
      <c r="J39" s="273"/>
      <c r="K39" s="273"/>
      <c r="L39" s="273"/>
      <c r="M39" s="273"/>
      <c r="N39" s="273"/>
      <c r="O39" s="273"/>
      <c r="P39" s="273"/>
      <c r="Q39" s="273"/>
      <c r="R39" s="274"/>
    </row>
    <row r="40" spans="2:20" ht="15" customHeight="1" x14ac:dyDescent="0.25">
      <c r="B40" s="272"/>
      <c r="C40" s="273"/>
      <c r="D40" s="273"/>
      <c r="E40" s="273"/>
      <c r="F40" s="273"/>
      <c r="G40" s="273"/>
      <c r="H40" s="273"/>
      <c r="I40" s="273"/>
      <c r="J40" s="273"/>
      <c r="K40" s="273"/>
      <c r="L40" s="273"/>
      <c r="M40" s="273"/>
      <c r="N40" s="273"/>
      <c r="O40" s="273"/>
      <c r="P40" s="273"/>
      <c r="Q40" s="273"/>
      <c r="R40" s="274"/>
    </row>
    <row r="41" spans="2:20" ht="15" customHeight="1" x14ac:dyDescent="0.25">
      <c r="B41" s="272"/>
      <c r="C41" s="273"/>
      <c r="D41" s="273"/>
      <c r="E41" s="273"/>
      <c r="F41" s="273"/>
      <c r="G41" s="273"/>
      <c r="H41" s="273"/>
      <c r="I41" s="273"/>
      <c r="J41" s="273"/>
      <c r="K41" s="273"/>
      <c r="L41" s="273"/>
      <c r="M41" s="273"/>
      <c r="N41" s="273"/>
      <c r="O41" s="273"/>
      <c r="P41" s="273"/>
      <c r="Q41" s="273"/>
      <c r="R41" s="274"/>
    </row>
    <row r="42" spans="2:20" ht="15" customHeight="1" thickBot="1" x14ac:dyDescent="0.3">
      <c r="B42" s="275"/>
      <c r="C42" s="276"/>
      <c r="D42" s="276"/>
      <c r="E42" s="276"/>
      <c r="F42" s="276"/>
      <c r="G42" s="276"/>
      <c r="H42" s="276"/>
      <c r="I42" s="276"/>
      <c r="J42" s="276"/>
      <c r="K42" s="276"/>
      <c r="L42" s="276"/>
      <c r="M42" s="276"/>
      <c r="N42" s="276"/>
      <c r="O42" s="276"/>
      <c r="P42" s="276"/>
      <c r="Q42" s="276"/>
      <c r="R42" s="277"/>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164</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412</v>
      </c>
      <c r="D4" s="29"/>
      <c r="E4" s="29"/>
      <c r="F4" s="29"/>
      <c r="G4" s="29"/>
      <c r="H4" s="29"/>
      <c r="I4" s="29"/>
      <c r="J4" s="29"/>
      <c r="K4" s="29"/>
      <c r="L4" s="29"/>
      <c r="M4" s="29"/>
      <c r="N4" s="29"/>
      <c r="O4" s="29"/>
      <c r="P4" s="29"/>
      <c r="Q4" s="29"/>
      <c r="R4" s="29"/>
      <c r="S4" s="29"/>
      <c r="T4" s="29"/>
      <c r="U4" s="25"/>
    </row>
    <row r="5" spans="1:24" ht="18" customHeight="1" x14ac:dyDescent="0.25">
      <c r="B5" s="64"/>
      <c r="C5" s="221" t="s">
        <v>411</v>
      </c>
      <c r="D5" s="282" t="s">
        <v>381</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120</v>
      </c>
      <c r="D8" s="194" t="s">
        <v>112</v>
      </c>
      <c r="E8" s="195">
        <v>0.103726</v>
      </c>
      <c r="F8" s="29"/>
      <c r="G8" s="29"/>
      <c r="H8" s="29"/>
      <c r="I8" s="29"/>
      <c r="J8" s="29"/>
      <c r="K8" s="29"/>
      <c r="L8" s="29"/>
      <c r="M8" s="29"/>
      <c r="N8" s="29"/>
      <c r="O8" s="29"/>
      <c r="P8" s="29"/>
      <c r="Q8" s="29"/>
      <c r="R8" s="29"/>
      <c r="S8" s="29"/>
      <c r="T8" s="29"/>
      <c r="U8" s="25"/>
      <c r="W8" s="180" t="s">
        <v>112</v>
      </c>
      <c r="X8" s="239">
        <v>0.38901500000000006</v>
      </c>
    </row>
    <row r="9" spans="1:24" ht="15.75" customHeight="1" x14ac:dyDescent="0.25">
      <c r="B9" s="64"/>
      <c r="C9" s="188" t="s">
        <v>96</v>
      </c>
      <c r="D9" s="196" t="s">
        <v>112</v>
      </c>
      <c r="E9" s="197">
        <v>9.5798999999999995E-2</v>
      </c>
      <c r="F9" s="29"/>
      <c r="G9" s="29"/>
      <c r="H9" s="29"/>
      <c r="I9" s="29"/>
      <c r="J9" s="29"/>
      <c r="K9" s="29"/>
      <c r="L9" s="29"/>
      <c r="M9" s="29"/>
      <c r="N9" s="29"/>
      <c r="O9" s="29"/>
      <c r="P9" s="29"/>
      <c r="Q9" s="29"/>
      <c r="R9" s="29"/>
      <c r="S9" s="29"/>
      <c r="T9" s="29"/>
      <c r="U9" s="25"/>
      <c r="W9" s="180" t="s">
        <v>110</v>
      </c>
      <c r="X9" s="239">
        <v>0.294352</v>
      </c>
    </row>
    <row r="10" spans="1:24" ht="15.75" x14ac:dyDescent="0.25">
      <c r="B10" s="64"/>
      <c r="C10" s="188" t="s">
        <v>109</v>
      </c>
      <c r="D10" s="196" t="s">
        <v>110</v>
      </c>
      <c r="E10" s="197">
        <v>5.7922000000000001E-2</v>
      </c>
      <c r="F10" s="29"/>
      <c r="G10" s="29"/>
      <c r="H10" s="29"/>
      <c r="I10" s="29"/>
      <c r="J10" s="29"/>
      <c r="K10" s="29"/>
      <c r="L10" s="29"/>
      <c r="M10" s="29"/>
      <c r="N10" s="29"/>
      <c r="O10" s="29"/>
      <c r="P10" s="29"/>
      <c r="Q10" s="29"/>
      <c r="R10" s="29"/>
      <c r="S10" s="29"/>
      <c r="T10" s="29"/>
      <c r="U10" s="25"/>
      <c r="W10" s="180" t="s">
        <v>124</v>
      </c>
      <c r="X10" s="239">
        <v>9.9381999999999984E-2</v>
      </c>
    </row>
    <row r="11" spans="1:24" ht="15.75" customHeight="1" x14ac:dyDescent="0.25">
      <c r="B11" s="64"/>
      <c r="C11" s="188" t="s">
        <v>80</v>
      </c>
      <c r="D11" s="196" t="s">
        <v>112</v>
      </c>
      <c r="E11" s="197">
        <v>5.79E-2</v>
      </c>
      <c r="F11" s="29"/>
      <c r="G11" s="29"/>
      <c r="H11" s="29"/>
      <c r="I11" s="29"/>
      <c r="J11" s="29"/>
      <c r="K11" s="29"/>
      <c r="L11" s="29"/>
      <c r="M11" s="29"/>
      <c r="N11" s="29"/>
      <c r="O11" s="29"/>
      <c r="P11" s="29"/>
      <c r="Q11" s="29"/>
      <c r="R11" s="29"/>
      <c r="S11" s="29"/>
      <c r="T11" s="29"/>
      <c r="U11" s="25"/>
      <c r="W11" s="180" t="s">
        <v>4</v>
      </c>
      <c r="X11" s="239">
        <v>3.8521E-2</v>
      </c>
    </row>
    <row r="12" spans="1:24" ht="15" customHeight="1" x14ac:dyDescent="0.25">
      <c r="B12" s="64"/>
      <c r="C12" s="188" t="s">
        <v>144</v>
      </c>
      <c r="D12" s="196" t="s">
        <v>112</v>
      </c>
      <c r="E12" s="197">
        <v>5.6966999999999997E-2</v>
      </c>
      <c r="F12" s="29"/>
      <c r="G12" s="29"/>
      <c r="H12" s="29"/>
      <c r="I12" s="29"/>
      <c r="J12" s="29"/>
      <c r="K12" s="29"/>
      <c r="L12" s="29"/>
      <c r="M12" s="29"/>
      <c r="N12" s="29"/>
      <c r="O12" s="29"/>
      <c r="P12" s="29"/>
      <c r="Q12" s="29"/>
      <c r="R12" s="29"/>
      <c r="S12" s="29"/>
      <c r="T12" s="29"/>
      <c r="U12" s="25"/>
      <c r="W12" s="180" t="s">
        <v>26</v>
      </c>
      <c r="X12" s="239">
        <v>3.6861000000000005E-2</v>
      </c>
    </row>
    <row r="13" spans="1:24" ht="15" customHeight="1" x14ac:dyDescent="0.25">
      <c r="B13" s="64"/>
      <c r="C13" s="188" t="s">
        <v>226</v>
      </c>
      <c r="D13" s="196" t="s">
        <v>112</v>
      </c>
      <c r="E13" s="197">
        <v>3.5573E-2</v>
      </c>
      <c r="F13" s="29"/>
      <c r="G13" s="29"/>
      <c r="H13" s="29"/>
      <c r="I13" s="29"/>
      <c r="J13" s="29"/>
      <c r="K13" s="29"/>
      <c r="L13" s="29"/>
      <c r="M13" s="29"/>
      <c r="N13" s="29"/>
      <c r="O13" s="29"/>
      <c r="P13" s="29"/>
      <c r="Q13" s="29"/>
      <c r="R13" s="29"/>
      <c r="S13" s="29"/>
      <c r="T13" s="29"/>
      <c r="U13" s="25"/>
      <c r="W13" s="61" t="s">
        <v>127</v>
      </c>
      <c r="X13" s="62">
        <v>2.6030000000000001E-2</v>
      </c>
    </row>
    <row r="14" spans="1:24" ht="15" customHeight="1" x14ac:dyDescent="0.25">
      <c r="B14" s="64"/>
      <c r="C14" s="188" t="s">
        <v>145</v>
      </c>
      <c r="D14" s="196" t="s">
        <v>124</v>
      </c>
      <c r="E14" s="197">
        <v>2.8209000000000001E-2</v>
      </c>
      <c r="F14" s="29"/>
      <c r="G14" s="29"/>
      <c r="H14" s="29"/>
      <c r="I14" s="29"/>
      <c r="J14" s="29"/>
      <c r="K14" s="29"/>
      <c r="L14" s="29"/>
      <c r="M14" s="29"/>
      <c r="N14" s="29"/>
      <c r="O14" s="29"/>
      <c r="P14" s="29"/>
      <c r="Q14" s="29"/>
      <c r="R14" s="29"/>
      <c r="S14" s="29"/>
      <c r="T14" s="29"/>
      <c r="U14" s="25"/>
      <c r="W14" s="61" t="s">
        <v>84</v>
      </c>
      <c r="X14" s="62">
        <v>1.3383000000000001E-2</v>
      </c>
    </row>
    <row r="15" spans="1:24" ht="15" customHeight="1" x14ac:dyDescent="0.25">
      <c r="B15" s="64"/>
      <c r="C15" s="188" t="s">
        <v>225</v>
      </c>
      <c r="D15" s="196" t="s">
        <v>26</v>
      </c>
      <c r="E15" s="197">
        <v>2.5746000000000002E-2</v>
      </c>
      <c r="F15" s="29"/>
      <c r="G15" s="29"/>
      <c r="H15" s="29"/>
      <c r="I15" s="29"/>
      <c r="J15" s="29"/>
      <c r="K15" s="29"/>
      <c r="L15" s="29"/>
      <c r="M15" s="29"/>
      <c r="N15" s="29"/>
      <c r="O15" s="29"/>
      <c r="P15" s="29"/>
      <c r="Q15" s="29"/>
      <c r="R15" s="29"/>
      <c r="S15" s="29"/>
      <c r="T15" s="29"/>
      <c r="U15" s="25"/>
      <c r="W15" s="61" t="s">
        <v>16</v>
      </c>
      <c r="X15" s="62">
        <v>1.3136999999999999E-2</v>
      </c>
    </row>
    <row r="16" spans="1:24" ht="15" customHeight="1" x14ac:dyDescent="0.25">
      <c r="B16" s="64"/>
      <c r="C16" s="188" t="s">
        <v>143</v>
      </c>
      <c r="D16" s="196" t="s">
        <v>112</v>
      </c>
      <c r="E16" s="197">
        <v>2.494E-2</v>
      </c>
      <c r="F16" s="29"/>
      <c r="G16" s="29"/>
      <c r="H16" s="29"/>
      <c r="I16" s="29"/>
      <c r="J16" s="29"/>
      <c r="K16" s="29"/>
      <c r="L16" s="29"/>
      <c r="M16" s="29"/>
      <c r="N16" s="29"/>
      <c r="O16" s="29"/>
      <c r="P16" s="29"/>
      <c r="Q16" s="29"/>
      <c r="R16" s="29"/>
      <c r="S16" s="29"/>
      <c r="T16" s="29"/>
      <c r="U16" s="25"/>
      <c r="W16" s="61" t="s">
        <v>24</v>
      </c>
      <c r="X16" s="62">
        <v>1.29E-2</v>
      </c>
    </row>
    <row r="17" spans="2:24" ht="15" customHeight="1" x14ac:dyDescent="0.25">
      <c r="B17" s="64"/>
      <c r="C17" s="188" t="s">
        <v>285</v>
      </c>
      <c r="D17" s="196" t="s">
        <v>4</v>
      </c>
      <c r="E17" s="197">
        <v>2.3306E-2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311</v>
      </c>
      <c r="D18" s="196" t="s">
        <v>110</v>
      </c>
      <c r="E18" s="197">
        <v>2.3053000000000001E-2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313</v>
      </c>
      <c r="D19" s="196" t="s">
        <v>110</v>
      </c>
      <c r="E19" s="197">
        <v>2.0931000000000002E-2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264</v>
      </c>
      <c r="D20" s="196" t="s">
        <v>124</v>
      </c>
      <c r="E20" s="197">
        <v>2.0261999999999999E-2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338</v>
      </c>
      <c r="D21" s="196" t="s">
        <v>110</v>
      </c>
      <c r="E21" s="197">
        <v>2.0239E-2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312</v>
      </c>
      <c r="D22" s="196" t="s">
        <v>127</v>
      </c>
      <c r="E22" s="197">
        <v>1.9623000000000002E-2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0.61419599999999996</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ht="15" customHeight="1" x14ac:dyDescent="0.25">
      <c r="B40" s="272"/>
      <c r="C40" s="273"/>
      <c r="D40" s="273"/>
      <c r="E40" s="273"/>
      <c r="F40" s="273"/>
      <c r="G40" s="273"/>
      <c r="H40" s="273"/>
      <c r="I40" s="273"/>
      <c r="J40" s="273"/>
      <c r="K40" s="273"/>
      <c r="L40" s="273"/>
      <c r="M40" s="273"/>
      <c r="N40" s="273"/>
      <c r="O40" s="273"/>
      <c r="P40" s="273"/>
      <c r="Q40" s="273"/>
      <c r="R40" s="274"/>
      <c r="W40" s="61"/>
      <c r="X40" s="62"/>
    </row>
    <row r="41" spans="2:24" ht="15" customHeight="1" x14ac:dyDescent="0.25">
      <c r="B41" s="272"/>
      <c r="C41" s="273"/>
      <c r="D41" s="273"/>
      <c r="E41" s="273"/>
      <c r="F41" s="273"/>
      <c r="G41" s="273"/>
      <c r="H41" s="273"/>
      <c r="I41" s="273"/>
      <c r="J41" s="273"/>
      <c r="K41" s="273"/>
      <c r="L41" s="273"/>
      <c r="M41" s="273"/>
      <c r="N41" s="273"/>
      <c r="O41" s="273"/>
      <c r="P41" s="273"/>
      <c r="Q41" s="273"/>
      <c r="R41" s="274"/>
      <c r="W41" s="61"/>
      <c r="X41" s="62"/>
    </row>
    <row r="42" spans="2:24" ht="15" customHeight="1" x14ac:dyDescent="0.25">
      <c r="B42" s="272"/>
      <c r="C42" s="273"/>
      <c r="D42" s="273"/>
      <c r="E42" s="273"/>
      <c r="F42" s="273"/>
      <c r="G42" s="273"/>
      <c r="H42" s="273"/>
      <c r="I42" s="273"/>
      <c r="J42" s="273"/>
      <c r="K42" s="273"/>
      <c r="L42" s="273"/>
      <c r="M42" s="273"/>
      <c r="N42" s="273"/>
      <c r="O42" s="273"/>
      <c r="P42" s="273"/>
      <c r="Q42" s="273"/>
      <c r="R42" s="274"/>
      <c r="W42" s="61"/>
      <c r="X42" s="62"/>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183</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412</v>
      </c>
      <c r="D4" s="29"/>
      <c r="E4" s="29"/>
      <c r="F4" s="29"/>
      <c r="G4" s="29"/>
      <c r="H4" s="29"/>
      <c r="I4" s="29"/>
      <c r="J4" s="29"/>
      <c r="K4" s="29"/>
      <c r="L4" s="29"/>
      <c r="M4" s="29"/>
      <c r="N4" s="29"/>
      <c r="O4" s="29"/>
      <c r="P4" s="29"/>
      <c r="Q4" s="29"/>
      <c r="R4" s="29"/>
      <c r="S4" s="29"/>
      <c r="T4" s="29"/>
      <c r="U4" s="25"/>
    </row>
    <row r="5" spans="1:24" ht="18" customHeight="1" x14ac:dyDescent="0.25">
      <c r="B5" s="64"/>
      <c r="C5" s="221" t="s">
        <v>411</v>
      </c>
      <c r="D5" s="282" t="s">
        <v>382</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29</v>
      </c>
      <c r="D8" s="194" t="s">
        <v>3</v>
      </c>
      <c r="E8" s="195">
        <v>0.14953</v>
      </c>
      <c r="F8" s="29"/>
      <c r="G8" s="29"/>
      <c r="H8" s="29"/>
      <c r="I8" s="29"/>
      <c r="J8" s="29"/>
      <c r="K8" s="29"/>
      <c r="L8" s="29"/>
      <c r="M8" s="29"/>
      <c r="N8" s="29"/>
      <c r="O8" s="29"/>
      <c r="P8" s="29"/>
      <c r="Q8" s="29"/>
      <c r="R8" s="29"/>
      <c r="S8" s="29"/>
      <c r="T8" s="29"/>
      <c r="U8" s="25"/>
      <c r="W8" s="180" t="s">
        <v>3</v>
      </c>
      <c r="X8" s="179">
        <v>0.45785200000000004</v>
      </c>
    </row>
    <row r="9" spans="1:24" ht="15.75" customHeight="1" x14ac:dyDescent="0.25">
      <c r="B9" s="64"/>
      <c r="C9" s="188" t="s">
        <v>32</v>
      </c>
      <c r="D9" s="196" t="s">
        <v>3</v>
      </c>
      <c r="E9" s="197">
        <v>0.14824300000000001</v>
      </c>
      <c r="F9" s="29"/>
      <c r="G9" s="29"/>
      <c r="H9" s="29"/>
      <c r="I9" s="29"/>
      <c r="J9" s="29"/>
      <c r="K9" s="29"/>
      <c r="L9" s="29"/>
      <c r="M9" s="29"/>
      <c r="N9" s="29"/>
      <c r="O9" s="29"/>
      <c r="P9" s="29"/>
      <c r="Q9" s="29"/>
      <c r="R9" s="29"/>
      <c r="S9" s="29"/>
      <c r="T9" s="29"/>
      <c r="U9" s="25"/>
      <c r="W9" s="180" t="s">
        <v>4</v>
      </c>
      <c r="X9" s="179">
        <v>0.25251000000000001</v>
      </c>
    </row>
    <row r="10" spans="1:24" ht="15.75" x14ac:dyDescent="0.25">
      <c r="B10" s="64"/>
      <c r="C10" s="188" t="s">
        <v>36</v>
      </c>
      <c r="D10" s="196" t="s">
        <v>3</v>
      </c>
      <c r="E10" s="197">
        <v>8.6576E-2</v>
      </c>
      <c r="F10" s="29"/>
      <c r="G10" s="29"/>
      <c r="H10" s="29"/>
      <c r="I10" s="29"/>
      <c r="J10" s="29"/>
      <c r="K10" s="29"/>
      <c r="L10" s="29"/>
      <c r="M10" s="29"/>
      <c r="N10" s="29"/>
      <c r="O10" s="29"/>
      <c r="P10" s="29"/>
      <c r="Q10" s="29"/>
      <c r="R10" s="29"/>
      <c r="S10" s="29"/>
      <c r="T10" s="29"/>
      <c r="U10" s="25"/>
      <c r="W10" s="180" t="s">
        <v>85</v>
      </c>
      <c r="X10" s="179">
        <v>0.115872</v>
      </c>
    </row>
    <row r="11" spans="1:24" ht="15.75" customHeight="1" x14ac:dyDescent="0.25">
      <c r="B11" s="64"/>
      <c r="C11" s="188" t="s">
        <v>35</v>
      </c>
      <c r="D11" s="196" t="s">
        <v>3</v>
      </c>
      <c r="E11" s="197">
        <v>5.3187999999999999E-2</v>
      </c>
      <c r="F11" s="29"/>
      <c r="G11" s="29"/>
      <c r="H11" s="29"/>
      <c r="I11" s="29"/>
      <c r="J11" s="29"/>
      <c r="K11" s="29"/>
      <c r="L11" s="29"/>
      <c r="M11" s="29"/>
      <c r="N11" s="29"/>
      <c r="O11" s="29"/>
      <c r="P11" s="29"/>
      <c r="Q11" s="29"/>
      <c r="R11" s="29"/>
      <c r="S11" s="29"/>
      <c r="T11" s="29"/>
      <c r="U11" s="25"/>
      <c r="W11" s="180" t="s">
        <v>86</v>
      </c>
      <c r="X11" s="179">
        <v>7.0135000000000003E-2</v>
      </c>
    </row>
    <row r="12" spans="1:24" ht="15" customHeight="1" x14ac:dyDescent="0.25">
      <c r="B12" s="64"/>
      <c r="C12" s="188" t="s">
        <v>105</v>
      </c>
      <c r="D12" s="196" t="s">
        <v>4</v>
      </c>
      <c r="E12" s="197">
        <v>3.2781999999999999E-2</v>
      </c>
      <c r="F12" s="29"/>
      <c r="G12" s="29"/>
      <c r="H12" s="29"/>
      <c r="I12" s="29"/>
      <c r="J12" s="29"/>
      <c r="K12" s="29"/>
      <c r="L12" s="29"/>
      <c r="M12" s="29"/>
      <c r="N12" s="29"/>
      <c r="O12" s="29"/>
      <c r="P12" s="29"/>
      <c r="Q12" s="29"/>
      <c r="R12" s="29"/>
      <c r="S12" s="29"/>
      <c r="T12" s="29"/>
      <c r="U12" s="25"/>
      <c r="W12" s="180" t="s">
        <v>184</v>
      </c>
      <c r="X12" s="179">
        <v>4.6796000000000004E-2</v>
      </c>
    </row>
    <row r="13" spans="1:24" ht="15" customHeight="1" x14ac:dyDescent="0.25">
      <c r="B13" s="64"/>
      <c r="C13" s="188" t="s">
        <v>239</v>
      </c>
      <c r="D13" s="196" t="s">
        <v>4</v>
      </c>
      <c r="E13" s="197">
        <v>3.1512999999999999E-2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8" t="s">
        <v>206</v>
      </c>
      <c r="D14" s="196" t="s">
        <v>4</v>
      </c>
      <c r="E14" s="197">
        <v>2.8410000000000001E-2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8" t="s">
        <v>227</v>
      </c>
      <c r="D15" s="196" t="s">
        <v>184</v>
      </c>
      <c r="E15" s="197">
        <v>2.6988000000000002E-2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8" t="s">
        <v>245</v>
      </c>
      <c r="D16" s="196" t="s">
        <v>85</v>
      </c>
      <c r="E16" s="197">
        <v>2.5724E-2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8" t="s">
        <v>262</v>
      </c>
      <c r="D17" s="196" t="s">
        <v>85</v>
      </c>
      <c r="E17" s="197">
        <v>2.3689999999999999E-2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291</v>
      </c>
      <c r="D18" s="196" t="s">
        <v>184</v>
      </c>
      <c r="E18" s="197">
        <v>1.9807999999999999E-2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81</v>
      </c>
      <c r="D19" s="196" t="s">
        <v>4</v>
      </c>
      <c r="E19" s="197">
        <v>1.9189999999999999E-2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249</v>
      </c>
      <c r="D20" s="196" t="s">
        <v>85</v>
      </c>
      <c r="E20" s="197">
        <v>1.8037999999999998E-2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314</v>
      </c>
      <c r="D21" s="196" t="s">
        <v>4</v>
      </c>
      <c r="E21" s="197">
        <v>1.6954E-2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352</v>
      </c>
      <c r="D22" s="196" t="s">
        <v>4</v>
      </c>
      <c r="E22" s="197">
        <v>1.5571E-2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0.69620500000000007</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ht="15" customHeight="1" x14ac:dyDescent="0.25">
      <c r="B40" s="272"/>
      <c r="C40" s="273"/>
      <c r="D40" s="273"/>
      <c r="E40" s="273"/>
      <c r="F40" s="273"/>
      <c r="G40" s="273"/>
      <c r="H40" s="273"/>
      <c r="I40" s="273"/>
      <c r="J40" s="273"/>
      <c r="K40" s="273"/>
      <c r="L40" s="273"/>
      <c r="M40" s="273"/>
      <c r="N40" s="273"/>
      <c r="O40" s="273"/>
      <c r="P40" s="273"/>
      <c r="Q40" s="273"/>
      <c r="R40" s="274"/>
      <c r="W40" s="61"/>
      <c r="X40" s="62"/>
    </row>
    <row r="41" spans="2:24" ht="15" customHeight="1" x14ac:dyDescent="0.25">
      <c r="B41" s="272"/>
      <c r="C41" s="273"/>
      <c r="D41" s="273"/>
      <c r="E41" s="273"/>
      <c r="F41" s="273"/>
      <c r="G41" s="273"/>
      <c r="H41" s="273"/>
      <c r="I41" s="273"/>
      <c r="J41" s="273"/>
      <c r="K41" s="273"/>
      <c r="L41" s="273"/>
      <c r="M41" s="273"/>
      <c r="N41" s="273"/>
      <c r="O41" s="273"/>
      <c r="P41" s="273"/>
      <c r="Q41" s="273"/>
      <c r="R41" s="274"/>
      <c r="W41" s="61"/>
      <c r="X41" s="62"/>
    </row>
    <row r="42" spans="2:24" ht="15" customHeight="1" x14ac:dyDescent="0.25">
      <c r="B42" s="272"/>
      <c r="C42" s="273"/>
      <c r="D42" s="273"/>
      <c r="E42" s="273"/>
      <c r="F42" s="273"/>
      <c r="G42" s="273"/>
      <c r="H42" s="273"/>
      <c r="I42" s="273"/>
      <c r="J42" s="273"/>
      <c r="K42" s="273"/>
      <c r="L42" s="273"/>
      <c r="M42" s="273"/>
      <c r="N42" s="273"/>
      <c r="O42" s="273"/>
      <c r="P42" s="273"/>
      <c r="Q42" s="273"/>
      <c r="R42" s="274"/>
      <c r="W42" s="61"/>
      <c r="X42" s="62"/>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252</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383</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291</v>
      </c>
      <c r="D8" s="196" t="s">
        <v>184</v>
      </c>
      <c r="E8" s="204">
        <v>3.2268999999999999E-2</v>
      </c>
      <c r="F8" s="29">
        <v>1</v>
      </c>
      <c r="G8" s="29"/>
      <c r="H8" s="29"/>
      <c r="I8" s="29"/>
      <c r="J8" s="29"/>
      <c r="K8" s="29"/>
      <c r="L8" s="29"/>
      <c r="M8" s="29"/>
      <c r="N8" s="29"/>
      <c r="O8" s="29"/>
      <c r="P8" s="29"/>
      <c r="Q8" s="29"/>
      <c r="R8" s="29"/>
      <c r="S8" s="29"/>
      <c r="T8" s="22"/>
      <c r="W8" s="180" t="s">
        <v>111</v>
      </c>
      <c r="X8" s="239">
        <v>0.11794300000000002</v>
      </c>
    </row>
    <row r="9" spans="1:24" ht="15.75" customHeight="1" x14ac:dyDescent="0.25">
      <c r="B9" s="79"/>
      <c r="C9" s="188" t="s">
        <v>257</v>
      </c>
      <c r="D9" s="196" t="s">
        <v>111</v>
      </c>
      <c r="E9" s="204">
        <v>3.1792000000000001E-2</v>
      </c>
      <c r="F9" s="29">
        <v>2</v>
      </c>
      <c r="G9" s="29"/>
      <c r="H9" s="29"/>
      <c r="I9" s="29"/>
      <c r="J9" s="29"/>
      <c r="K9" s="29"/>
      <c r="L9" s="29"/>
      <c r="M9" s="29"/>
      <c r="N9" s="29"/>
      <c r="O9" s="29"/>
      <c r="P9" s="29"/>
      <c r="Q9" s="29"/>
      <c r="R9" s="29"/>
      <c r="S9" s="29"/>
      <c r="T9" s="22"/>
      <c r="W9" s="180" t="s">
        <v>26</v>
      </c>
      <c r="X9" s="239">
        <v>9.8276000000000002E-2</v>
      </c>
    </row>
    <row r="10" spans="1:24" ht="15" customHeight="1" x14ac:dyDescent="0.25">
      <c r="B10" s="79"/>
      <c r="C10" s="188" t="s">
        <v>225</v>
      </c>
      <c r="D10" s="196" t="s">
        <v>26</v>
      </c>
      <c r="E10" s="204">
        <v>3.0452E-2</v>
      </c>
      <c r="F10" s="29">
        <v>3</v>
      </c>
      <c r="G10" s="29"/>
      <c r="H10" s="29"/>
      <c r="I10" s="29"/>
      <c r="J10" s="29"/>
      <c r="K10" s="29"/>
      <c r="L10" s="29"/>
      <c r="M10" s="29"/>
      <c r="N10" s="29"/>
      <c r="O10" s="29"/>
      <c r="P10" s="29"/>
      <c r="Q10" s="29"/>
      <c r="R10" s="29"/>
      <c r="S10" s="29"/>
      <c r="T10" s="22"/>
      <c r="W10" s="180" t="s">
        <v>77</v>
      </c>
      <c r="X10" s="239">
        <v>5.9900000000000002E-2</v>
      </c>
    </row>
    <row r="11" spans="1:24" ht="15" customHeight="1" x14ac:dyDescent="0.25">
      <c r="B11" s="79"/>
      <c r="C11" s="188" t="s">
        <v>197</v>
      </c>
      <c r="D11" s="196" t="s">
        <v>106</v>
      </c>
      <c r="E11" s="204">
        <v>2.9937999999999999E-2</v>
      </c>
      <c r="F11" s="29">
        <v>4</v>
      </c>
      <c r="G11" s="29"/>
      <c r="H11" s="29"/>
      <c r="I11" s="29"/>
      <c r="J11" s="29"/>
      <c r="K11" s="29"/>
      <c r="L11" s="29"/>
      <c r="M11" s="29"/>
      <c r="N11" s="29"/>
      <c r="O11" s="29"/>
      <c r="P11" s="29"/>
      <c r="Q11" s="29"/>
      <c r="R11" s="29"/>
      <c r="S11" s="29"/>
      <c r="T11" s="22"/>
      <c r="W11" s="180" t="s">
        <v>4</v>
      </c>
      <c r="X11" s="239">
        <v>5.9364E-2</v>
      </c>
    </row>
    <row r="12" spans="1:24" ht="15" customHeight="1" x14ac:dyDescent="0.25">
      <c r="B12" s="79"/>
      <c r="C12" s="188" t="s">
        <v>236</v>
      </c>
      <c r="D12" s="196" t="s">
        <v>26</v>
      </c>
      <c r="E12" s="204">
        <v>2.7809E-2</v>
      </c>
      <c r="F12" s="29">
        <v>5</v>
      </c>
      <c r="G12" s="29"/>
      <c r="H12" s="29"/>
      <c r="I12" s="29"/>
      <c r="J12" s="29"/>
      <c r="K12" s="29"/>
      <c r="L12" s="29"/>
      <c r="M12" s="29"/>
      <c r="N12" s="29"/>
      <c r="O12" s="29"/>
      <c r="P12" s="29"/>
      <c r="Q12" s="29"/>
      <c r="R12" s="29"/>
      <c r="S12" s="29"/>
      <c r="T12" s="22"/>
      <c r="W12" s="180" t="s">
        <v>107</v>
      </c>
      <c r="X12" s="239">
        <v>5.6902000000000001E-2</v>
      </c>
    </row>
    <row r="13" spans="1:24" ht="15" customHeight="1" x14ac:dyDescent="0.25">
      <c r="B13" s="79"/>
      <c r="C13" s="188" t="s">
        <v>70</v>
      </c>
      <c r="D13" s="196" t="s">
        <v>12</v>
      </c>
      <c r="E13" s="204">
        <v>2.7508000000000001E-2</v>
      </c>
      <c r="F13" s="29">
        <v>6</v>
      </c>
      <c r="G13" s="29"/>
      <c r="H13" s="29"/>
      <c r="I13" s="29"/>
      <c r="J13" s="29"/>
      <c r="K13" s="29"/>
      <c r="L13" s="29"/>
      <c r="M13" s="29"/>
      <c r="N13" s="29"/>
      <c r="O13" s="29"/>
      <c r="P13" s="29"/>
      <c r="Q13" s="29"/>
      <c r="R13" s="29"/>
      <c r="S13" s="29"/>
      <c r="T13" s="22"/>
      <c r="W13" s="180" t="s">
        <v>16</v>
      </c>
      <c r="X13" s="239">
        <v>5.0349999999999999E-2</v>
      </c>
    </row>
    <row r="14" spans="1:24" ht="15" customHeight="1" x14ac:dyDescent="0.25">
      <c r="B14" s="79"/>
      <c r="C14" s="188" t="s">
        <v>81</v>
      </c>
      <c r="D14" s="196" t="s">
        <v>4</v>
      </c>
      <c r="E14" s="204">
        <v>2.5651E-2</v>
      </c>
      <c r="F14" s="29">
        <v>7</v>
      </c>
      <c r="G14" s="29"/>
      <c r="H14" s="29"/>
      <c r="I14" s="29"/>
      <c r="J14" s="29"/>
      <c r="K14" s="29"/>
      <c r="L14" s="29"/>
      <c r="M14" s="29"/>
      <c r="N14" s="29"/>
      <c r="O14" s="29"/>
      <c r="P14" s="29"/>
      <c r="Q14" s="29"/>
      <c r="R14" s="29"/>
      <c r="S14" s="29"/>
      <c r="T14" s="22"/>
      <c r="W14" s="180" t="s">
        <v>106</v>
      </c>
      <c r="X14" s="239">
        <v>4.752E-2</v>
      </c>
    </row>
    <row r="15" spans="1:24" ht="15" customHeight="1" x14ac:dyDescent="0.25">
      <c r="B15" s="79"/>
      <c r="C15" s="188" t="s">
        <v>263</v>
      </c>
      <c r="D15" s="196" t="s">
        <v>77</v>
      </c>
      <c r="E15" s="204">
        <v>2.5144E-2</v>
      </c>
      <c r="F15" s="29">
        <v>8</v>
      </c>
      <c r="G15" s="29"/>
      <c r="H15" s="29"/>
      <c r="I15" s="29"/>
      <c r="J15" s="29"/>
      <c r="K15" s="29"/>
      <c r="L15" s="29"/>
      <c r="M15" s="29"/>
      <c r="N15" s="29"/>
      <c r="O15" s="29"/>
      <c r="P15" s="29"/>
      <c r="Q15" s="29"/>
      <c r="R15" s="29"/>
      <c r="S15" s="29"/>
      <c r="T15" s="22"/>
      <c r="W15" s="180" t="s">
        <v>119</v>
      </c>
      <c r="X15" s="239">
        <v>3.5140999999999999E-2</v>
      </c>
    </row>
    <row r="16" spans="1:24" ht="15" customHeight="1" x14ac:dyDescent="0.25">
      <c r="B16" s="79"/>
      <c r="C16" s="188" t="s">
        <v>194</v>
      </c>
      <c r="D16" s="196" t="s">
        <v>107</v>
      </c>
      <c r="E16" s="204">
        <v>2.4247000000000001E-2</v>
      </c>
      <c r="F16" s="29">
        <v>9</v>
      </c>
      <c r="G16" s="29"/>
      <c r="H16" s="29"/>
      <c r="I16" s="29"/>
      <c r="J16" s="29"/>
      <c r="K16" s="29"/>
      <c r="L16" s="29"/>
      <c r="M16" s="29"/>
      <c r="N16" s="29"/>
      <c r="O16" s="29"/>
      <c r="P16" s="29"/>
      <c r="Q16" s="29"/>
      <c r="R16" s="29"/>
      <c r="S16" s="29"/>
      <c r="T16" s="22"/>
      <c r="W16" s="180" t="s">
        <v>137</v>
      </c>
      <c r="X16" s="239">
        <v>3.3832000000000001E-2</v>
      </c>
    </row>
    <row r="17" spans="2:24" ht="15" customHeight="1" x14ac:dyDescent="0.25">
      <c r="B17" s="79"/>
      <c r="C17" s="188" t="s">
        <v>258</v>
      </c>
      <c r="D17" s="196" t="s">
        <v>77</v>
      </c>
      <c r="E17" s="204">
        <v>2.4133999999999999E-2</v>
      </c>
      <c r="F17" s="29">
        <v>10</v>
      </c>
      <c r="G17" s="29"/>
      <c r="H17" s="29"/>
      <c r="I17" s="29"/>
      <c r="J17" s="29"/>
      <c r="K17" s="29"/>
      <c r="L17" s="29"/>
      <c r="M17" s="29"/>
      <c r="N17" s="29"/>
      <c r="O17" s="29"/>
      <c r="P17" s="29"/>
      <c r="Q17" s="29"/>
      <c r="R17" s="29"/>
      <c r="S17" s="29"/>
      <c r="T17" s="22"/>
      <c r="W17" s="180" t="s">
        <v>184</v>
      </c>
      <c r="X17" s="239">
        <v>3.2268999999999999E-2</v>
      </c>
    </row>
    <row r="18" spans="2:24" ht="15" customHeight="1" x14ac:dyDescent="0.25">
      <c r="B18" s="79"/>
      <c r="C18" s="188" t="s">
        <v>315</v>
      </c>
      <c r="D18" s="196" t="s">
        <v>116</v>
      </c>
      <c r="E18" s="204">
        <v>2.1402000000000001E-2</v>
      </c>
      <c r="F18" s="29">
        <v>11</v>
      </c>
      <c r="G18" s="29"/>
      <c r="H18" s="29"/>
      <c r="I18" s="29"/>
      <c r="J18" s="29"/>
      <c r="K18" s="29"/>
      <c r="L18" s="29"/>
      <c r="M18" s="29"/>
      <c r="N18" s="29"/>
      <c r="O18" s="29"/>
      <c r="P18" s="29"/>
      <c r="Q18" s="29"/>
      <c r="R18" s="29"/>
      <c r="S18" s="29"/>
      <c r="T18" s="22"/>
      <c r="W18" s="180" t="s">
        <v>116</v>
      </c>
      <c r="X18" s="239">
        <v>3.0682000000000001E-2</v>
      </c>
    </row>
    <row r="19" spans="2:24" ht="15" customHeight="1" x14ac:dyDescent="0.25">
      <c r="B19" s="79"/>
      <c r="C19" s="188" t="s">
        <v>32</v>
      </c>
      <c r="D19" s="196" t="s">
        <v>3</v>
      </c>
      <c r="E19" s="204">
        <v>1.8526999999999998E-2</v>
      </c>
      <c r="F19" s="29">
        <v>12</v>
      </c>
      <c r="G19" s="29"/>
      <c r="H19" s="29"/>
      <c r="I19" s="29"/>
      <c r="J19" s="29"/>
      <c r="K19" s="29"/>
      <c r="L19" s="29"/>
      <c r="M19" s="29"/>
      <c r="N19" s="29"/>
      <c r="O19" s="29"/>
      <c r="P19" s="29"/>
      <c r="Q19" s="29"/>
      <c r="R19" s="29"/>
      <c r="S19" s="29"/>
      <c r="T19" s="22"/>
      <c r="W19" s="180" t="s">
        <v>24</v>
      </c>
      <c r="X19" s="239">
        <v>2.9755E-2</v>
      </c>
    </row>
    <row r="20" spans="2:24" ht="15" customHeight="1" x14ac:dyDescent="0.25">
      <c r="B20" s="79"/>
      <c r="C20" s="188" t="s">
        <v>271</v>
      </c>
      <c r="D20" s="196" t="s">
        <v>137</v>
      </c>
      <c r="E20" s="204">
        <v>1.8081E-2</v>
      </c>
      <c r="F20" s="29">
        <v>13</v>
      </c>
      <c r="G20" s="29"/>
      <c r="H20" s="29"/>
      <c r="I20" s="29"/>
      <c r="J20" s="29"/>
      <c r="K20" s="29"/>
      <c r="L20" s="29"/>
      <c r="M20" s="29"/>
      <c r="N20" s="29"/>
      <c r="O20" s="29"/>
      <c r="P20" s="29"/>
      <c r="Q20" s="29"/>
      <c r="R20" s="29"/>
      <c r="S20" s="29"/>
      <c r="T20" s="22"/>
      <c r="W20" s="180" t="s">
        <v>12</v>
      </c>
      <c r="X20" s="239">
        <v>2.7508000000000001E-2</v>
      </c>
    </row>
    <row r="21" spans="2:24" ht="15" customHeight="1" x14ac:dyDescent="0.25">
      <c r="B21" s="79"/>
      <c r="C21" s="188" t="s">
        <v>145</v>
      </c>
      <c r="D21" s="196" t="s">
        <v>124</v>
      </c>
      <c r="E21" s="204">
        <v>1.8002000000000001E-2</v>
      </c>
      <c r="F21" s="29">
        <v>14</v>
      </c>
      <c r="G21" s="29"/>
      <c r="H21" s="29"/>
      <c r="I21" s="29"/>
      <c r="J21" s="29"/>
      <c r="K21" s="29"/>
      <c r="L21" s="29"/>
      <c r="M21" s="29"/>
      <c r="N21" s="29"/>
      <c r="O21" s="29"/>
      <c r="P21" s="29"/>
      <c r="Q21" s="29"/>
      <c r="R21" s="29"/>
      <c r="S21" s="29"/>
      <c r="T21" s="22"/>
      <c r="W21" s="180" t="s">
        <v>124</v>
      </c>
      <c r="X21" s="239">
        <v>2.7463000000000001E-2</v>
      </c>
    </row>
    <row r="22" spans="2:24" ht="15" customHeight="1" x14ac:dyDescent="0.25">
      <c r="B22" s="79"/>
      <c r="C22" s="188" t="s">
        <v>189</v>
      </c>
      <c r="D22" s="196" t="s">
        <v>107</v>
      </c>
      <c r="E22" s="204">
        <v>1.7824E-2</v>
      </c>
      <c r="F22" s="29">
        <v>15</v>
      </c>
      <c r="G22" s="29"/>
      <c r="H22" s="29"/>
      <c r="I22" s="29"/>
      <c r="J22" s="29"/>
      <c r="K22" s="29"/>
      <c r="L22" s="29"/>
      <c r="M22" s="29"/>
      <c r="N22" s="29"/>
      <c r="O22" s="29"/>
      <c r="P22" s="29"/>
      <c r="Q22" s="29"/>
      <c r="R22" s="29"/>
      <c r="S22" s="29"/>
      <c r="T22" s="22"/>
      <c r="W22" s="180" t="s">
        <v>114</v>
      </c>
      <c r="X22" s="239">
        <v>2.5843999999999999E-2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85</v>
      </c>
      <c r="X23" s="239">
        <v>2.4886000000000002E-2</v>
      </c>
    </row>
    <row r="24" spans="2:24" ht="15" customHeight="1" x14ac:dyDescent="0.25">
      <c r="B24" s="79"/>
      <c r="C24" s="73" t="s">
        <v>55</v>
      </c>
      <c r="D24" s="74"/>
      <c r="E24" s="75">
        <f>SUM(E8:E22)</f>
        <v>0.37278000000000006</v>
      </c>
      <c r="F24" s="29"/>
      <c r="G24" s="29"/>
      <c r="H24" s="29"/>
      <c r="I24" s="29"/>
      <c r="J24" s="29"/>
      <c r="K24" s="29"/>
      <c r="L24" s="29"/>
      <c r="M24" s="29"/>
      <c r="N24" s="29"/>
      <c r="O24" s="29"/>
      <c r="P24" s="29"/>
      <c r="Q24" s="29"/>
      <c r="R24" s="29"/>
      <c r="S24" s="29"/>
      <c r="T24" s="22"/>
      <c r="W24" s="180" t="s">
        <v>112</v>
      </c>
      <c r="X24" s="239">
        <v>2.1330000000000002E-2</v>
      </c>
    </row>
    <row r="25" spans="2:24" ht="15" customHeight="1" x14ac:dyDescent="0.25">
      <c r="B25" s="79"/>
      <c r="F25" s="29"/>
      <c r="G25" s="29"/>
      <c r="H25" s="29"/>
      <c r="I25" s="29"/>
      <c r="J25" s="29"/>
      <c r="K25" s="29"/>
      <c r="L25" s="29"/>
      <c r="M25" s="29"/>
      <c r="N25" s="29"/>
      <c r="O25" s="29"/>
      <c r="P25" s="29"/>
      <c r="Q25" s="29"/>
      <c r="R25" s="29"/>
      <c r="S25" s="29"/>
      <c r="T25" s="22"/>
      <c r="W25" s="180" t="s">
        <v>3</v>
      </c>
      <c r="X25" s="239">
        <v>1.8526999999999998E-2</v>
      </c>
    </row>
    <row r="26" spans="2:24" ht="15" customHeight="1" x14ac:dyDescent="0.25">
      <c r="B26" s="79"/>
      <c r="F26" s="29"/>
      <c r="G26" s="29"/>
      <c r="H26" s="29"/>
      <c r="I26" s="29"/>
      <c r="J26" s="29"/>
      <c r="K26" s="29"/>
      <c r="L26" s="29"/>
      <c r="M26" s="29"/>
      <c r="N26" s="29"/>
      <c r="O26" s="29"/>
      <c r="P26" s="29"/>
      <c r="Q26" s="29"/>
      <c r="R26" s="29"/>
      <c r="S26" s="29"/>
      <c r="T26" s="22"/>
      <c r="W26" s="180" t="s">
        <v>86</v>
      </c>
      <c r="X26" s="239">
        <v>1.5661000000000001E-2</v>
      </c>
    </row>
    <row r="27" spans="2:24" ht="15" customHeight="1" x14ac:dyDescent="0.25">
      <c r="B27" s="79"/>
      <c r="F27" s="29"/>
      <c r="G27" s="29"/>
      <c r="H27" s="29"/>
      <c r="I27" s="29"/>
      <c r="J27" s="29"/>
      <c r="K27" s="29"/>
      <c r="L27" s="29"/>
      <c r="M27" s="29"/>
      <c r="N27" s="29"/>
      <c r="O27" s="29"/>
      <c r="P27" s="29"/>
      <c r="Q27" s="29"/>
      <c r="R27" s="29"/>
      <c r="S27" s="29"/>
      <c r="T27" s="22"/>
      <c r="W27" s="180" t="s">
        <v>110</v>
      </c>
      <c r="X27" s="239">
        <v>1.5259000000000002E-2</v>
      </c>
    </row>
    <row r="28" spans="2:24" ht="15" customHeight="1" x14ac:dyDescent="0.25">
      <c r="B28" s="79"/>
      <c r="F28" s="29"/>
      <c r="G28" s="29"/>
      <c r="H28" s="29"/>
      <c r="I28" s="29"/>
      <c r="J28" s="29"/>
      <c r="K28" s="29"/>
      <c r="L28" s="29"/>
      <c r="M28" s="29"/>
      <c r="N28" s="29"/>
      <c r="O28" s="29"/>
      <c r="P28" s="29"/>
      <c r="Q28" s="29"/>
      <c r="R28" s="29"/>
      <c r="S28" s="29"/>
      <c r="T28" s="22"/>
      <c r="W28" s="180" t="s">
        <v>84</v>
      </c>
      <c r="X28" s="239">
        <v>1.4617E-2</v>
      </c>
    </row>
    <row r="29" spans="2:24" ht="15" customHeight="1" x14ac:dyDescent="0.25">
      <c r="B29" s="79"/>
      <c r="F29" s="29"/>
      <c r="G29" s="29"/>
      <c r="H29" s="29"/>
      <c r="I29" s="29"/>
      <c r="J29" s="29"/>
      <c r="K29" s="29"/>
      <c r="L29" s="29"/>
      <c r="M29" s="29"/>
      <c r="N29" s="29"/>
      <c r="O29" s="29"/>
      <c r="P29" s="29"/>
      <c r="Q29" s="29"/>
      <c r="R29" s="29"/>
      <c r="S29" s="29"/>
      <c r="T29" s="22"/>
      <c r="W29" s="180" t="s">
        <v>87</v>
      </c>
      <c r="X29" s="239">
        <v>1.4020999999999999E-2</v>
      </c>
    </row>
    <row r="30" spans="2:24" ht="15" customHeight="1" x14ac:dyDescent="0.25">
      <c r="B30" s="79"/>
      <c r="F30" s="29"/>
      <c r="G30" s="29"/>
      <c r="H30" s="29"/>
      <c r="I30" s="29"/>
      <c r="J30" s="29"/>
      <c r="K30" s="29"/>
      <c r="L30" s="29"/>
      <c r="M30" s="29"/>
      <c r="N30" s="29"/>
      <c r="O30" s="29"/>
      <c r="P30" s="29"/>
      <c r="Q30" s="29"/>
      <c r="R30" s="29"/>
      <c r="S30" s="29"/>
      <c r="T30" s="22"/>
      <c r="W30" s="180" t="s">
        <v>83</v>
      </c>
      <c r="X30" s="239">
        <v>1.2324000000000002E-2</v>
      </c>
    </row>
    <row r="31" spans="2:24" ht="15" customHeight="1" x14ac:dyDescent="0.25">
      <c r="B31" s="79"/>
      <c r="F31" s="29"/>
      <c r="G31" s="29"/>
      <c r="H31" s="29"/>
      <c r="I31" s="29"/>
      <c r="J31" s="29"/>
      <c r="K31" s="29"/>
      <c r="L31" s="29"/>
      <c r="M31" s="29"/>
      <c r="N31" s="29"/>
      <c r="O31" s="29"/>
      <c r="P31" s="29"/>
      <c r="Q31" s="29"/>
      <c r="R31" s="29"/>
      <c r="S31" s="29"/>
      <c r="T31" s="22"/>
      <c r="W31" s="180" t="s">
        <v>10</v>
      </c>
      <c r="X31" s="239">
        <v>1.1593000000000001E-2</v>
      </c>
    </row>
    <row r="32" spans="2:24" ht="15.75" customHeight="1" x14ac:dyDescent="0.25">
      <c r="B32" s="79"/>
      <c r="F32" s="29"/>
      <c r="G32" s="29"/>
      <c r="H32" s="29"/>
      <c r="I32" s="29"/>
      <c r="J32" s="29"/>
      <c r="K32" s="29"/>
      <c r="L32" s="29"/>
      <c r="M32" s="29"/>
      <c r="N32" s="29"/>
      <c r="O32" s="29"/>
      <c r="P32" s="29"/>
      <c r="Q32" s="29"/>
      <c r="R32" s="29"/>
      <c r="S32" s="29"/>
      <c r="T32" s="22"/>
      <c r="W32" s="180" t="s">
        <v>238</v>
      </c>
      <c r="X32" s="239">
        <v>1.0723E-2</v>
      </c>
    </row>
    <row r="33" spans="2:24" ht="15" customHeight="1" x14ac:dyDescent="0.25">
      <c r="B33" s="79"/>
      <c r="F33" s="29"/>
      <c r="G33" s="29"/>
      <c r="H33" s="29"/>
      <c r="I33" s="29"/>
      <c r="J33" s="29"/>
      <c r="K33" s="29"/>
      <c r="L33" s="29"/>
      <c r="M33" s="29"/>
      <c r="N33" s="29"/>
      <c r="O33" s="29"/>
      <c r="P33" s="29"/>
      <c r="Q33" s="29"/>
      <c r="R33" s="29"/>
      <c r="S33" s="29"/>
      <c r="T33" s="22"/>
      <c r="W33" s="180" t="s">
        <v>113</v>
      </c>
      <c r="X33" s="239">
        <v>1.0404999999999999E-2</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23</v>
      </c>
      <c r="X34" s="239">
        <v>1.0314E-2</v>
      </c>
    </row>
    <row r="35" spans="2:24" ht="15" customHeight="1" thickBot="1" x14ac:dyDescent="0.3">
      <c r="W35" s="180" t="s">
        <v>123</v>
      </c>
      <c r="X35" s="239">
        <v>9.3449999999999991E-3</v>
      </c>
    </row>
    <row r="36" spans="2:24" ht="15" customHeight="1" x14ac:dyDescent="0.25">
      <c r="B36" s="269" t="s">
        <v>182</v>
      </c>
      <c r="C36" s="270"/>
      <c r="D36" s="270"/>
      <c r="E36" s="270"/>
      <c r="F36" s="270"/>
      <c r="G36" s="270"/>
      <c r="H36" s="270"/>
      <c r="I36" s="270"/>
      <c r="J36" s="270"/>
      <c r="K36" s="270"/>
      <c r="L36" s="270"/>
      <c r="M36" s="270"/>
      <c r="N36" s="270"/>
      <c r="O36" s="270"/>
      <c r="P36" s="270"/>
      <c r="Q36" s="270"/>
      <c r="R36" s="271"/>
      <c r="W36" s="180" t="s">
        <v>126</v>
      </c>
      <c r="X36" s="239">
        <v>9.2510000000000005E-3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95</v>
      </c>
      <c r="X37" s="239">
        <v>9.1570000000000002E-3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133</v>
      </c>
      <c r="X38" s="239">
        <v>9.0220000000000005E-3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t="s">
        <v>125</v>
      </c>
      <c r="X39" s="239">
        <v>6.5030000000000001E-3</v>
      </c>
    </row>
    <row r="40" spans="2:24" ht="15" customHeight="1" x14ac:dyDescent="0.25">
      <c r="B40" s="272"/>
      <c r="C40" s="273"/>
      <c r="D40" s="273"/>
      <c r="E40" s="273"/>
      <c r="F40" s="273"/>
      <c r="G40" s="273"/>
      <c r="H40" s="273"/>
      <c r="I40" s="273"/>
      <c r="J40" s="273"/>
      <c r="K40" s="273"/>
      <c r="L40" s="273"/>
      <c r="M40" s="273"/>
      <c r="N40" s="273"/>
      <c r="O40" s="273"/>
      <c r="P40" s="273"/>
      <c r="Q40" s="273"/>
      <c r="R40" s="274"/>
      <c r="W40" s="180" t="s">
        <v>6</v>
      </c>
      <c r="X40" s="239">
        <v>3.748E-3</v>
      </c>
    </row>
    <row r="41" spans="2:24" ht="15" customHeight="1" x14ac:dyDescent="0.25">
      <c r="B41" s="272"/>
      <c r="C41" s="273"/>
      <c r="D41" s="273"/>
      <c r="E41" s="273"/>
      <c r="F41" s="273"/>
      <c r="G41" s="273"/>
      <c r="H41" s="273"/>
      <c r="I41" s="273"/>
      <c r="J41" s="273"/>
      <c r="K41" s="273"/>
      <c r="L41" s="273"/>
      <c r="M41" s="273"/>
      <c r="N41" s="273"/>
      <c r="O41" s="273"/>
      <c r="P41" s="273"/>
      <c r="Q41" s="273"/>
      <c r="R41" s="274"/>
      <c r="W41" s="180"/>
      <c r="X41" s="239"/>
    </row>
    <row r="42" spans="2:24" ht="15" customHeight="1" thickBot="1" x14ac:dyDescent="0.3">
      <c r="B42" s="275"/>
      <c r="C42" s="276"/>
      <c r="D42" s="276"/>
      <c r="E42" s="276"/>
      <c r="F42" s="276"/>
      <c r="G42" s="276"/>
      <c r="H42" s="276"/>
      <c r="I42" s="276"/>
      <c r="J42" s="276"/>
      <c r="K42" s="276"/>
      <c r="L42" s="276"/>
      <c r="M42" s="276"/>
      <c r="N42" s="276"/>
      <c r="O42" s="276"/>
      <c r="P42" s="276"/>
      <c r="Q42" s="276"/>
      <c r="R42" s="277"/>
      <c r="X42" s="239"/>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328</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384</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62</v>
      </c>
      <c r="D8" s="196" t="s">
        <v>10</v>
      </c>
      <c r="E8" s="204">
        <v>2.3571999999999999E-2</v>
      </c>
      <c r="F8" s="29">
        <v>1</v>
      </c>
      <c r="G8" s="29"/>
      <c r="H8" s="29"/>
      <c r="I8" s="29"/>
      <c r="J8" s="29"/>
      <c r="K8" s="29"/>
      <c r="L8" s="29"/>
      <c r="M8" s="29"/>
      <c r="N8" s="29"/>
      <c r="O8" s="29"/>
      <c r="P8" s="29"/>
      <c r="Q8" s="29"/>
      <c r="R8" s="29"/>
      <c r="S8" s="29"/>
      <c r="T8" s="22"/>
      <c r="W8" s="236" t="s">
        <v>4</v>
      </c>
      <c r="X8" s="239">
        <v>9.9169999999999994E-2</v>
      </c>
    </row>
    <row r="9" spans="1:24" ht="15.75" customHeight="1" x14ac:dyDescent="0.25">
      <c r="B9" s="79"/>
      <c r="C9" s="188" t="s">
        <v>36</v>
      </c>
      <c r="D9" s="196" t="s">
        <v>3</v>
      </c>
      <c r="E9" s="204">
        <v>2.273E-2</v>
      </c>
      <c r="F9" s="29">
        <v>2</v>
      </c>
      <c r="G9" s="29"/>
      <c r="H9" s="29"/>
      <c r="I9" s="29"/>
      <c r="J9" s="29"/>
      <c r="K9" s="29"/>
      <c r="L9" s="29"/>
      <c r="M9" s="29"/>
      <c r="N9" s="29"/>
      <c r="O9" s="29"/>
      <c r="P9" s="29"/>
      <c r="Q9" s="29"/>
      <c r="R9" s="29"/>
      <c r="S9" s="29"/>
      <c r="T9" s="22"/>
      <c r="W9" s="236" t="s">
        <v>3</v>
      </c>
      <c r="X9" s="239">
        <v>9.274700000000001E-2</v>
      </c>
    </row>
    <row r="10" spans="1:24" ht="15" customHeight="1" x14ac:dyDescent="0.25">
      <c r="B10" s="79"/>
      <c r="C10" s="188" t="s">
        <v>339</v>
      </c>
      <c r="D10" s="196" t="s">
        <v>110</v>
      </c>
      <c r="E10" s="204">
        <v>2.2121999999999999E-2</v>
      </c>
      <c r="F10" s="29">
        <v>3</v>
      </c>
      <c r="G10" s="29"/>
      <c r="H10" s="29"/>
      <c r="I10" s="29"/>
      <c r="J10" s="29"/>
      <c r="K10" s="29"/>
      <c r="L10" s="29"/>
      <c r="M10" s="29"/>
      <c r="N10" s="29"/>
      <c r="O10" s="29"/>
      <c r="P10" s="29"/>
      <c r="Q10" s="29"/>
      <c r="R10" s="29"/>
      <c r="S10" s="29"/>
      <c r="T10" s="22"/>
      <c r="W10" s="236" t="s">
        <v>23</v>
      </c>
      <c r="X10" s="239">
        <v>5.9926999999999994E-2</v>
      </c>
    </row>
    <row r="11" spans="1:24" ht="15" customHeight="1" x14ac:dyDescent="0.25">
      <c r="B11" s="79"/>
      <c r="C11" s="188" t="s">
        <v>364</v>
      </c>
      <c r="D11" s="196" t="s">
        <v>111</v>
      </c>
      <c r="E11" s="204">
        <v>2.0922E-2</v>
      </c>
      <c r="F11" s="29">
        <v>4</v>
      </c>
      <c r="G11" s="29"/>
      <c r="H11" s="29"/>
      <c r="I11" s="29"/>
      <c r="J11" s="29"/>
      <c r="K11" s="29"/>
      <c r="L11" s="29"/>
      <c r="M11" s="29"/>
      <c r="N11" s="29"/>
      <c r="O11" s="29"/>
      <c r="P11" s="29"/>
      <c r="Q11" s="29"/>
      <c r="R11" s="29"/>
      <c r="S11" s="29"/>
      <c r="T11" s="22"/>
      <c r="W11" s="236" t="s">
        <v>107</v>
      </c>
      <c r="X11" s="239">
        <v>5.4420999999999997E-2</v>
      </c>
    </row>
    <row r="12" spans="1:24" ht="15" customHeight="1" x14ac:dyDescent="0.25">
      <c r="B12" s="79"/>
      <c r="C12" s="188" t="s">
        <v>81</v>
      </c>
      <c r="D12" s="196" t="s">
        <v>4</v>
      </c>
      <c r="E12" s="204">
        <v>2.0729999999999998E-2</v>
      </c>
      <c r="F12" s="29">
        <v>5</v>
      </c>
      <c r="G12" s="29"/>
      <c r="H12" s="29"/>
      <c r="I12" s="29"/>
      <c r="J12" s="29"/>
      <c r="K12" s="29"/>
      <c r="L12" s="29"/>
      <c r="M12" s="29"/>
      <c r="N12" s="29"/>
      <c r="O12" s="29"/>
      <c r="P12" s="29"/>
      <c r="Q12" s="29"/>
      <c r="R12" s="29"/>
      <c r="S12" s="29"/>
      <c r="T12" s="22"/>
      <c r="W12" s="236" t="s">
        <v>111</v>
      </c>
      <c r="X12" s="239">
        <v>4.7087000000000004E-2</v>
      </c>
    </row>
    <row r="13" spans="1:24" ht="15" customHeight="1" x14ac:dyDescent="0.25">
      <c r="B13" s="79"/>
      <c r="C13" s="188" t="s">
        <v>34</v>
      </c>
      <c r="D13" s="196" t="s">
        <v>23</v>
      </c>
      <c r="E13" s="204">
        <v>1.9859999999999999E-2</v>
      </c>
      <c r="F13" s="29">
        <v>6</v>
      </c>
      <c r="G13" s="29"/>
      <c r="H13" s="29"/>
      <c r="I13" s="29"/>
      <c r="J13" s="29"/>
      <c r="K13" s="29"/>
      <c r="L13" s="29"/>
      <c r="M13" s="29"/>
      <c r="N13" s="29"/>
      <c r="O13" s="29"/>
      <c r="P13" s="29"/>
      <c r="Q13" s="29"/>
      <c r="R13" s="29"/>
      <c r="S13" s="29"/>
      <c r="T13" s="22"/>
      <c r="W13" s="236" t="s">
        <v>10</v>
      </c>
      <c r="X13" s="239">
        <v>4.2464000000000002E-2</v>
      </c>
    </row>
    <row r="14" spans="1:24" ht="15" customHeight="1" x14ac:dyDescent="0.25">
      <c r="B14" s="79"/>
      <c r="C14" s="188" t="s">
        <v>28</v>
      </c>
      <c r="D14" s="196" t="s">
        <v>107</v>
      </c>
      <c r="E14" s="204">
        <v>1.9781E-2</v>
      </c>
      <c r="F14" s="29">
        <v>7</v>
      </c>
      <c r="G14" s="29"/>
      <c r="H14" s="29"/>
      <c r="I14" s="29"/>
      <c r="J14" s="29"/>
      <c r="K14" s="29"/>
      <c r="L14" s="29"/>
      <c r="M14" s="29"/>
      <c r="N14" s="29"/>
      <c r="O14" s="29"/>
      <c r="P14" s="29"/>
      <c r="Q14" s="29"/>
      <c r="R14" s="29"/>
      <c r="S14" s="29"/>
      <c r="T14" s="22"/>
      <c r="W14" s="236" t="s">
        <v>118</v>
      </c>
      <c r="X14" s="239">
        <v>3.2936999999999994E-2</v>
      </c>
    </row>
    <row r="15" spans="1:24" ht="15" customHeight="1" x14ac:dyDescent="0.25">
      <c r="B15" s="79"/>
      <c r="C15" s="188" t="s">
        <v>69</v>
      </c>
      <c r="D15" s="196" t="s">
        <v>4</v>
      </c>
      <c r="E15" s="204">
        <v>1.8991999999999998E-2</v>
      </c>
      <c r="F15" s="29">
        <v>8</v>
      </c>
      <c r="G15" s="29"/>
      <c r="H15" s="29"/>
      <c r="I15" s="29"/>
      <c r="J15" s="29"/>
      <c r="K15" s="29"/>
      <c r="L15" s="29"/>
      <c r="M15" s="29"/>
      <c r="N15" s="29"/>
      <c r="O15" s="29"/>
      <c r="P15" s="29"/>
      <c r="Q15" s="29"/>
      <c r="R15" s="29"/>
      <c r="S15" s="29"/>
      <c r="T15" s="22"/>
      <c r="W15" s="236" t="s">
        <v>26</v>
      </c>
      <c r="X15" s="239">
        <v>3.0516000000000001E-2</v>
      </c>
    </row>
    <row r="16" spans="1:24" ht="15" customHeight="1" x14ac:dyDescent="0.25">
      <c r="B16" s="79"/>
      <c r="C16" s="188" t="s">
        <v>365</v>
      </c>
      <c r="D16" s="196" t="s">
        <v>26</v>
      </c>
      <c r="E16" s="204">
        <v>1.7760000000000001E-2</v>
      </c>
      <c r="F16" s="29">
        <v>9</v>
      </c>
      <c r="G16" s="29"/>
      <c r="H16" s="29"/>
      <c r="I16" s="29"/>
      <c r="J16" s="29"/>
      <c r="K16" s="29"/>
      <c r="L16" s="29"/>
      <c r="M16" s="29"/>
      <c r="N16" s="29"/>
      <c r="O16" s="29"/>
      <c r="P16" s="29"/>
      <c r="Q16" s="29"/>
      <c r="R16" s="29"/>
      <c r="S16" s="29"/>
      <c r="T16" s="22"/>
      <c r="W16" s="236" t="s">
        <v>110</v>
      </c>
      <c r="X16" s="239">
        <v>3.0433999999999999E-2</v>
      </c>
    </row>
    <row r="17" spans="2:24" ht="15" customHeight="1" x14ac:dyDescent="0.25">
      <c r="B17" s="79"/>
      <c r="C17" s="188" t="s">
        <v>256</v>
      </c>
      <c r="D17" s="196" t="s">
        <v>130</v>
      </c>
      <c r="E17" s="204">
        <v>1.7725000000000001E-2</v>
      </c>
      <c r="F17" s="29">
        <v>10</v>
      </c>
      <c r="G17" s="29"/>
      <c r="H17" s="29"/>
      <c r="I17" s="29"/>
      <c r="J17" s="29"/>
      <c r="K17" s="29"/>
      <c r="L17" s="29"/>
      <c r="M17" s="29"/>
      <c r="N17" s="29"/>
      <c r="O17" s="29"/>
      <c r="P17" s="29"/>
      <c r="Q17" s="29"/>
      <c r="R17" s="29"/>
      <c r="S17" s="29"/>
      <c r="T17" s="22"/>
      <c r="W17" s="236" t="s">
        <v>130</v>
      </c>
      <c r="X17" s="239">
        <v>2.8056999999999999E-2</v>
      </c>
    </row>
    <row r="18" spans="2:24" ht="15" customHeight="1" x14ac:dyDescent="0.25">
      <c r="B18" s="79"/>
      <c r="C18" s="188" t="s">
        <v>31</v>
      </c>
      <c r="D18" s="196" t="s">
        <v>6</v>
      </c>
      <c r="E18" s="204">
        <v>1.7250000000000001E-2</v>
      </c>
      <c r="F18" s="29">
        <v>11</v>
      </c>
      <c r="G18" s="29"/>
      <c r="H18" s="29"/>
      <c r="I18" s="29"/>
      <c r="J18" s="29"/>
      <c r="K18" s="29"/>
      <c r="L18" s="29"/>
      <c r="M18" s="29"/>
      <c r="N18" s="29"/>
      <c r="O18" s="29"/>
      <c r="P18" s="29"/>
      <c r="Q18" s="29"/>
      <c r="R18" s="29"/>
      <c r="S18" s="29"/>
      <c r="T18" s="22"/>
      <c r="W18" s="236" t="s">
        <v>6</v>
      </c>
      <c r="X18" s="239">
        <v>2.1330000000000002E-2</v>
      </c>
    </row>
    <row r="19" spans="2:24" ht="15" customHeight="1" x14ac:dyDescent="0.25">
      <c r="B19" s="79"/>
      <c r="C19" s="188" t="s">
        <v>35</v>
      </c>
      <c r="D19" s="196" t="s">
        <v>3</v>
      </c>
      <c r="E19" s="204">
        <v>1.5934E-2</v>
      </c>
      <c r="F19" s="29">
        <v>12</v>
      </c>
      <c r="G19" s="29"/>
      <c r="H19" s="29"/>
      <c r="I19" s="29"/>
      <c r="J19" s="29"/>
      <c r="K19" s="29"/>
      <c r="L19" s="29"/>
      <c r="M19" s="29"/>
      <c r="N19" s="29"/>
      <c r="O19" s="29"/>
      <c r="P19" s="29"/>
      <c r="Q19" s="29"/>
      <c r="R19" s="29"/>
      <c r="S19" s="29"/>
      <c r="T19" s="22"/>
      <c r="W19" s="236" t="s">
        <v>112</v>
      </c>
      <c r="X19" s="239">
        <v>2.0642999999999998E-2</v>
      </c>
    </row>
    <row r="20" spans="2:24" ht="15" customHeight="1" x14ac:dyDescent="0.25">
      <c r="B20" s="79"/>
      <c r="C20" s="188" t="s">
        <v>191</v>
      </c>
      <c r="D20" s="196" t="s">
        <v>107</v>
      </c>
      <c r="E20" s="204">
        <v>1.5497E-2</v>
      </c>
      <c r="F20" s="29">
        <v>13</v>
      </c>
      <c r="G20" s="29"/>
      <c r="H20" s="29"/>
      <c r="I20" s="29"/>
      <c r="J20" s="29"/>
      <c r="K20" s="29"/>
      <c r="L20" s="29"/>
      <c r="M20" s="29"/>
      <c r="N20" s="29"/>
      <c r="O20" s="29"/>
      <c r="P20" s="29"/>
      <c r="Q20" s="29"/>
      <c r="R20" s="29"/>
      <c r="S20" s="29"/>
      <c r="T20" s="22"/>
      <c r="W20" s="236" t="s">
        <v>24</v>
      </c>
      <c r="X20" s="239">
        <v>2.0205999999999998E-2</v>
      </c>
    </row>
    <row r="21" spans="2:24" ht="15" customHeight="1" x14ac:dyDescent="0.25">
      <c r="B21" s="79"/>
      <c r="C21" s="188" t="s">
        <v>329</v>
      </c>
      <c r="D21" s="196" t="s">
        <v>118</v>
      </c>
      <c r="E21" s="204">
        <v>1.5162999999999999E-2</v>
      </c>
      <c r="F21" s="29">
        <v>14</v>
      </c>
      <c r="G21" s="29"/>
      <c r="H21" s="29"/>
      <c r="I21" s="29"/>
      <c r="J21" s="29"/>
      <c r="K21" s="29"/>
      <c r="L21" s="29"/>
      <c r="M21" s="29"/>
      <c r="N21" s="29"/>
      <c r="O21" s="29"/>
      <c r="P21" s="29"/>
      <c r="Q21" s="29"/>
      <c r="R21" s="29"/>
      <c r="S21" s="29"/>
      <c r="T21" s="22"/>
      <c r="W21" s="180" t="s">
        <v>85</v>
      </c>
      <c r="X21" s="239">
        <v>1.7049999999999999E-2</v>
      </c>
    </row>
    <row r="22" spans="2:24" ht="15" customHeight="1" x14ac:dyDescent="0.25">
      <c r="B22" s="79"/>
      <c r="C22" s="188" t="s">
        <v>350</v>
      </c>
      <c r="D22" s="196" t="s">
        <v>118</v>
      </c>
      <c r="E22" s="204">
        <v>1.4896E-2</v>
      </c>
      <c r="F22" s="29">
        <v>15</v>
      </c>
      <c r="G22" s="29"/>
      <c r="H22" s="29"/>
      <c r="I22" s="29"/>
      <c r="J22" s="29"/>
      <c r="K22" s="29"/>
      <c r="L22" s="29"/>
      <c r="M22" s="29"/>
      <c r="N22" s="29"/>
      <c r="O22" s="29"/>
      <c r="P22" s="29"/>
      <c r="Q22" s="29"/>
      <c r="R22" s="29"/>
      <c r="S22" s="29"/>
      <c r="T22" s="22"/>
      <c r="W22" s="180" t="s">
        <v>116</v>
      </c>
      <c r="X22" s="239">
        <v>1.6028000000000001E-2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11</v>
      </c>
      <c r="X23" s="239">
        <v>1.2812E-2</v>
      </c>
    </row>
    <row r="24" spans="2:24" ht="15" customHeight="1" x14ac:dyDescent="0.25">
      <c r="B24" s="79"/>
      <c r="C24" s="73" t="s">
        <v>55</v>
      </c>
      <c r="D24" s="74"/>
      <c r="E24" s="75">
        <f>SUM(E8:E22)</f>
        <v>0.28293399999999996</v>
      </c>
      <c r="F24" s="29"/>
      <c r="G24" s="29"/>
      <c r="H24" s="29"/>
      <c r="I24" s="29"/>
      <c r="J24" s="29"/>
      <c r="K24" s="29"/>
      <c r="L24" s="29"/>
      <c r="M24" s="29"/>
      <c r="N24" s="29"/>
      <c r="O24" s="29"/>
      <c r="P24" s="29"/>
      <c r="Q24" s="29"/>
      <c r="R24" s="29"/>
      <c r="S24" s="29"/>
      <c r="T24" s="22"/>
      <c r="W24" s="180" t="s">
        <v>87</v>
      </c>
      <c r="X24" s="239">
        <v>1.2236E-2</v>
      </c>
    </row>
    <row r="25" spans="2:24" ht="15" customHeight="1" x14ac:dyDescent="0.25">
      <c r="B25" s="79"/>
      <c r="F25" s="29"/>
      <c r="G25" s="29"/>
      <c r="H25" s="29"/>
      <c r="I25" s="29"/>
      <c r="J25" s="29"/>
      <c r="K25" s="29"/>
      <c r="L25" s="29"/>
      <c r="M25" s="29"/>
      <c r="N25" s="29"/>
      <c r="O25" s="29"/>
      <c r="P25" s="29"/>
      <c r="Q25" s="29"/>
      <c r="R25" s="29"/>
      <c r="S25" s="29"/>
      <c r="T25" s="22"/>
      <c r="W25" s="180" t="s">
        <v>124</v>
      </c>
      <c r="X25" s="239">
        <v>1.1918E-2</v>
      </c>
    </row>
    <row r="26" spans="2:24" ht="15" customHeight="1" x14ac:dyDescent="0.25">
      <c r="B26" s="79"/>
      <c r="F26" s="29"/>
      <c r="G26" s="29"/>
      <c r="H26" s="29"/>
      <c r="I26" s="29"/>
      <c r="J26" s="29"/>
      <c r="K26" s="29"/>
      <c r="L26" s="29"/>
      <c r="M26" s="29"/>
      <c r="N26" s="29"/>
      <c r="O26" s="29"/>
      <c r="P26" s="29"/>
      <c r="Q26" s="29"/>
      <c r="R26" s="29"/>
      <c r="S26" s="29"/>
      <c r="T26" s="22"/>
      <c r="W26" s="180" t="s">
        <v>137</v>
      </c>
      <c r="X26" s="239">
        <v>1.176E-2</v>
      </c>
    </row>
    <row r="27" spans="2:24" ht="15" customHeight="1" x14ac:dyDescent="0.25">
      <c r="B27" s="79"/>
      <c r="F27" s="29"/>
      <c r="G27" s="29"/>
      <c r="H27" s="29"/>
      <c r="I27" s="29"/>
      <c r="J27" s="29"/>
      <c r="K27" s="29"/>
      <c r="L27" s="29"/>
      <c r="M27" s="29"/>
      <c r="N27" s="29"/>
      <c r="O27" s="29"/>
      <c r="P27" s="29"/>
      <c r="Q27" s="29"/>
      <c r="R27" s="29"/>
      <c r="S27" s="29"/>
      <c r="T27" s="22"/>
      <c r="W27" s="180" t="s">
        <v>83</v>
      </c>
      <c r="X27" s="239">
        <v>1.1401000000000001E-2</v>
      </c>
    </row>
    <row r="28" spans="2:24" ht="15" customHeight="1" x14ac:dyDescent="0.25">
      <c r="B28" s="79"/>
      <c r="F28" s="29"/>
      <c r="G28" s="29"/>
      <c r="H28" s="29"/>
      <c r="I28" s="29"/>
      <c r="J28" s="29"/>
      <c r="K28" s="29"/>
      <c r="L28" s="29"/>
      <c r="M28" s="29"/>
      <c r="N28" s="29"/>
      <c r="O28" s="29"/>
      <c r="P28" s="29"/>
      <c r="Q28" s="29"/>
      <c r="R28" s="29"/>
      <c r="S28" s="29"/>
      <c r="T28" s="22"/>
      <c r="W28" s="180" t="s">
        <v>113</v>
      </c>
      <c r="X28" s="239">
        <v>1.0865E-2</v>
      </c>
    </row>
    <row r="29" spans="2:24" ht="15" customHeight="1" x14ac:dyDescent="0.25">
      <c r="B29" s="79"/>
      <c r="F29" s="29"/>
      <c r="G29" s="29"/>
      <c r="H29" s="29"/>
      <c r="I29" s="29"/>
      <c r="J29" s="29"/>
      <c r="K29" s="29"/>
      <c r="L29" s="29"/>
      <c r="M29" s="29"/>
      <c r="N29" s="29"/>
      <c r="O29" s="29"/>
      <c r="P29" s="29"/>
      <c r="Q29" s="29"/>
      <c r="R29" s="29"/>
      <c r="S29" s="29"/>
      <c r="T29" s="22"/>
      <c r="W29" s="180" t="s">
        <v>77</v>
      </c>
      <c r="X29" s="239">
        <v>9.4450000000000003E-3</v>
      </c>
    </row>
    <row r="30" spans="2:24" ht="15" customHeight="1" x14ac:dyDescent="0.25">
      <c r="B30" s="79"/>
      <c r="F30" s="29"/>
      <c r="G30" s="29"/>
      <c r="H30" s="29"/>
      <c r="I30" s="29"/>
      <c r="J30" s="29"/>
      <c r="K30" s="29"/>
      <c r="L30" s="29"/>
      <c r="M30" s="29"/>
      <c r="N30" s="29"/>
      <c r="O30" s="29"/>
      <c r="P30" s="29"/>
      <c r="Q30" s="29"/>
      <c r="R30" s="29"/>
      <c r="S30" s="29"/>
      <c r="T30" s="22"/>
      <c r="W30" s="180" t="s">
        <v>121</v>
      </c>
      <c r="X30" s="239">
        <v>8.9899999999999997E-3</v>
      </c>
    </row>
    <row r="31" spans="2:24" ht="15" customHeight="1" x14ac:dyDescent="0.25">
      <c r="B31" s="79"/>
      <c r="F31" s="29"/>
      <c r="G31" s="29"/>
      <c r="H31" s="29"/>
      <c r="I31" s="29"/>
      <c r="J31" s="29"/>
      <c r="K31" s="29"/>
      <c r="L31" s="29"/>
      <c r="M31" s="29"/>
      <c r="N31" s="29"/>
      <c r="O31" s="29"/>
      <c r="P31" s="29"/>
      <c r="Q31" s="29"/>
      <c r="R31" s="29"/>
      <c r="S31" s="29"/>
      <c r="T31" s="22"/>
      <c r="W31" s="180" t="s">
        <v>114</v>
      </c>
      <c r="X31" s="239">
        <v>7.3049999999999999E-3</v>
      </c>
    </row>
    <row r="32" spans="2:24" ht="15.75" customHeight="1" x14ac:dyDescent="0.25">
      <c r="B32" s="79"/>
      <c r="F32" s="29"/>
      <c r="G32" s="29"/>
      <c r="H32" s="29"/>
      <c r="I32" s="29"/>
      <c r="J32" s="29"/>
      <c r="K32" s="29"/>
      <c r="L32" s="29"/>
      <c r="M32" s="29"/>
      <c r="N32" s="29"/>
      <c r="O32" s="29"/>
      <c r="P32" s="29"/>
      <c r="Q32" s="29"/>
      <c r="R32" s="29"/>
      <c r="S32" s="29"/>
      <c r="T32" s="22"/>
      <c r="W32" s="180" t="s">
        <v>127</v>
      </c>
      <c r="X32" s="239">
        <v>6.6819999999999996E-3</v>
      </c>
    </row>
    <row r="33" spans="2:24" ht="15" customHeight="1" x14ac:dyDescent="0.25">
      <c r="B33" s="79"/>
      <c r="F33" s="29"/>
      <c r="G33" s="29"/>
      <c r="H33" s="29"/>
      <c r="I33" s="29"/>
      <c r="J33" s="29"/>
      <c r="K33" s="29"/>
      <c r="L33" s="29"/>
      <c r="M33" s="29"/>
      <c r="N33" s="29"/>
      <c r="O33" s="29"/>
      <c r="P33" s="29"/>
      <c r="Q33" s="29"/>
      <c r="R33" s="29"/>
      <c r="S33" s="29"/>
      <c r="T33" s="22"/>
      <c r="W33" s="180" t="s">
        <v>184</v>
      </c>
      <c r="X33" s="239">
        <v>6.4849999999999994E-3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25</v>
      </c>
      <c r="X34" s="239">
        <v>5.5649999999999996E-3</v>
      </c>
    </row>
    <row r="35" spans="2:24" ht="15" customHeight="1" thickBot="1" x14ac:dyDescent="0.3">
      <c r="W35" s="180" t="s">
        <v>106</v>
      </c>
      <c r="X35" s="239">
        <v>5.1149999999999998E-3</v>
      </c>
    </row>
    <row r="36" spans="2:24" ht="15" customHeight="1" x14ac:dyDescent="0.25">
      <c r="B36" s="269" t="s">
        <v>182</v>
      </c>
      <c r="C36" s="270"/>
      <c r="D36" s="270"/>
      <c r="E36" s="270"/>
      <c r="F36" s="270"/>
      <c r="G36" s="270"/>
      <c r="H36" s="270"/>
      <c r="I36" s="270"/>
      <c r="J36" s="270"/>
      <c r="K36" s="270"/>
      <c r="L36" s="270"/>
      <c r="M36" s="270"/>
      <c r="N36" s="270"/>
      <c r="O36" s="270"/>
      <c r="P36" s="270"/>
      <c r="Q36" s="270"/>
      <c r="R36" s="271"/>
      <c r="W36" s="180" t="s">
        <v>86</v>
      </c>
      <c r="X36" s="239">
        <v>4.5890000000000002E-3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119</v>
      </c>
      <c r="X37" s="239">
        <v>4.4320000000000002E-3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126</v>
      </c>
      <c r="X38" s="239">
        <v>3.4889999999999999E-3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t="s">
        <v>84</v>
      </c>
      <c r="X39" s="239">
        <v>2.313E-3</v>
      </c>
    </row>
    <row r="40" spans="2:24" ht="15" customHeight="1" x14ac:dyDescent="0.25">
      <c r="B40" s="272"/>
      <c r="C40" s="273"/>
      <c r="D40" s="273"/>
      <c r="E40" s="273"/>
      <c r="F40" s="273"/>
      <c r="G40" s="273"/>
      <c r="H40" s="273"/>
      <c r="I40" s="273"/>
      <c r="J40" s="273"/>
      <c r="K40" s="273"/>
      <c r="L40" s="273"/>
      <c r="M40" s="273"/>
      <c r="N40" s="273"/>
      <c r="O40" s="273"/>
      <c r="P40" s="273"/>
      <c r="Q40" s="273"/>
      <c r="R40" s="274"/>
      <c r="W40" s="180" t="s">
        <v>16</v>
      </c>
      <c r="X40" s="239">
        <v>1.474E-3</v>
      </c>
    </row>
    <row r="41" spans="2:24" ht="15" customHeight="1" x14ac:dyDescent="0.25">
      <c r="B41" s="272"/>
      <c r="C41" s="273"/>
      <c r="D41" s="273"/>
      <c r="E41" s="273"/>
      <c r="F41" s="273"/>
      <c r="G41" s="273"/>
      <c r="H41" s="273"/>
      <c r="I41" s="273"/>
      <c r="J41" s="273"/>
      <c r="K41" s="273"/>
      <c r="L41" s="273"/>
      <c r="M41" s="273"/>
      <c r="N41" s="273"/>
      <c r="O41" s="273"/>
      <c r="P41" s="273"/>
      <c r="Q41" s="273"/>
      <c r="R41" s="274"/>
      <c r="W41" s="180"/>
      <c r="X41" s="239"/>
    </row>
    <row r="42" spans="2:24" ht="15" customHeight="1" thickBot="1" x14ac:dyDescent="0.3">
      <c r="B42" s="275"/>
      <c r="C42" s="276"/>
      <c r="D42" s="276"/>
      <c r="E42" s="276"/>
      <c r="F42" s="276"/>
      <c r="G42" s="276"/>
      <c r="H42" s="276"/>
      <c r="I42" s="276"/>
      <c r="J42" s="276"/>
      <c r="K42" s="276"/>
      <c r="L42" s="276"/>
      <c r="M42" s="276"/>
      <c r="N42" s="276"/>
      <c r="O42" s="276"/>
      <c r="P42" s="276"/>
      <c r="Q42" s="276"/>
      <c r="R42" s="277"/>
      <c r="X42" s="239"/>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278" t="s">
        <v>211</v>
      </c>
      <c r="D3" s="279"/>
      <c r="E3" s="279"/>
      <c r="F3" s="279"/>
      <c r="G3" s="279"/>
      <c r="H3" s="279"/>
      <c r="I3" s="279"/>
      <c r="J3" s="279"/>
      <c r="K3" s="279"/>
      <c r="L3" s="279"/>
      <c r="M3" s="279"/>
      <c r="N3" s="279"/>
      <c r="O3" s="279"/>
      <c r="P3" s="279"/>
      <c r="Q3" s="279"/>
      <c r="R3" s="279"/>
      <c r="S3" s="279"/>
      <c r="T3" s="22"/>
    </row>
    <row r="4" spans="1:25" ht="15.75" customHeight="1" x14ac:dyDescent="0.25">
      <c r="B4" s="79"/>
      <c r="C4" s="67" t="s">
        <v>412</v>
      </c>
      <c r="D4" s="29"/>
      <c r="E4" s="29"/>
      <c r="F4" s="29"/>
      <c r="G4" s="29"/>
      <c r="H4" s="29"/>
      <c r="I4" s="29"/>
      <c r="J4" s="29"/>
      <c r="K4" s="29"/>
      <c r="L4" s="29"/>
      <c r="M4" s="29"/>
      <c r="N4" s="29"/>
      <c r="O4" s="29"/>
      <c r="P4" s="29"/>
      <c r="Q4" s="29"/>
      <c r="R4" s="29"/>
      <c r="S4" s="29"/>
      <c r="T4" s="22"/>
    </row>
    <row r="5" spans="1:25" ht="18" customHeight="1" x14ac:dyDescent="0.25">
      <c r="B5" s="79"/>
      <c r="C5" s="221" t="s">
        <v>411</v>
      </c>
      <c r="D5" s="280" t="s">
        <v>385</v>
      </c>
      <c r="E5" s="280"/>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3" t="s">
        <v>29</v>
      </c>
      <c r="D8" s="194" t="s">
        <v>3</v>
      </c>
      <c r="E8" s="195">
        <v>6.5129000000000006E-2</v>
      </c>
      <c r="F8" s="29"/>
      <c r="G8" s="29"/>
      <c r="H8" s="29"/>
      <c r="I8" s="29"/>
      <c r="J8" s="29"/>
      <c r="K8" s="29"/>
      <c r="L8" s="29"/>
      <c r="M8" s="29"/>
      <c r="N8" s="29"/>
      <c r="O8" s="29"/>
      <c r="P8" s="29"/>
      <c r="Q8" s="29"/>
      <c r="R8" s="29"/>
      <c r="S8" s="29"/>
      <c r="T8" s="22"/>
      <c r="W8" s="173" t="s">
        <v>3</v>
      </c>
      <c r="X8" s="174">
        <v>0.20847100000000002</v>
      </c>
      <c r="Y8" s="149"/>
    </row>
    <row r="9" spans="1:25" ht="15.75" customHeight="1" x14ac:dyDescent="0.25">
      <c r="B9" s="79"/>
      <c r="C9" s="188" t="s">
        <v>32</v>
      </c>
      <c r="D9" s="196" t="s">
        <v>3</v>
      </c>
      <c r="E9" s="197">
        <v>5.6572999999999998E-2</v>
      </c>
      <c r="F9" s="29"/>
      <c r="G9" s="29"/>
      <c r="H9" s="29"/>
      <c r="I9" s="29"/>
      <c r="J9" s="29"/>
      <c r="K9" s="29"/>
      <c r="L9" s="29"/>
      <c r="M9" s="29"/>
      <c r="N9" s="29"/>
      <c r="O9" s="29"/>
      <c r="P9" s="29"/>
      <c r="Q9" s="29"/>
      <c r="R9" s="29"/>
      <c r="S9" s="29"/>
      <c r="T9" s="22"/>
      <c r="W9" s="173" t="s">
        <v>107</v>
      </c>
      <c r="X9" s="174">
        <v>9.6171999999999994E-2</v>
      </c>
      <c r="Y9" s="149"/>
    </row>
    <row r="10" spans="1:25" ht="15" customHeight="1" x14ac:dyDescent="0.25">
      <c r="B10" s="79"/>
      <c r="C10" s="188" t="s">
        <v>31</v>
      </c>
      <c r="D10" s="196" t="s">
        <v>6</v>
      </c>
      <c r="E10" s="197">
        <v>4.8731999999999998E-2</v>
      </c>
      <c r="F10" s="29"/>
      <c r="G10" s="29"/>
      <c r="H10" s="29"/>
      <c r="I10" s="29"/>
      <c r="J10" s="29"/>
      <c r="K10" s="29"/>
      <c r="L10" s="29"/>
      <c r="M10" s="29"/>
      <c r="N10" s="29"/>
      <c r="O10" s="29"/>
      <c r="P10" s="29"/>
      <c r="Q10" s="29"/>
      <c r="R10" s="29"/>
      <c r="S10" s="29"/>
      <c r="T10" s="22"/>
      <c r="W10" s="173" t="s">
        <v>111</v>
      </c>
      <c r="X10" s="174">
        <v>8.282500000000001E-2</v>
      </c>
      <c r="Y10" s="149"/>
    </row>
    <row r="11" spans="1:25" ht="15" customHeight="1" x14ac:dyDescent="0.25">
      <c r="B11" s="79"/>
      <c r="C11" s="188" t="s">
        <v>36</v>
      </c>
      <c r="D11" s="196" t="s">
        <v>3</v>
      </c>
      <c r="E11" s="197">
        <v>4.1204999999999999E-2</v>
      </c>
      <c r="F11" s="29"/>
      <c r="G11" s="29"/>
      <c r="H11" s="29"/>
      <c r="I11" s="29"/>
      <c r="J11" s="29"/>
      <c r="K11" s="29"/>
      <c r="L11" s="29"/>
      <c r="M11" s="29"/>
      <c r="N11" s="29"/>
      <c r="O11" s="29"/>
      <c r="P11" s="29"/>
      <c r="Q11" s="29"/>
      <c r="R11" s="29"/>
      <c r="S11" s="29"/>
      <c r="T11" s="22"/>
      <c r="W11" s="173" t="s">
        <v>23</v>
      </c>
      <c r="X11" s="174">
        <v>4.9581E-2</v>
      </c>
      <c r="Y11" s="149"/>
    </row>
    <row r="12" spans="1:25" ht="15" customHeight="1" x14ac:dyDescent="0.25">
      <c r="B12" s="79"/>
      <c r="C12" s="188" t="s">
        <v>28</v>
      </c>
      <c r="D12" s="196" t="s">
        <v>107</v>
      </c>
      <c r="E12" s="197">
        <v>3.7726999999999997E-2</v>
      </c>
      <c r="F12" s="29"/>
      <c r="G12" s="29"/>
      <c r="H12" s="29"/>
      <c r="I12" s="29"/>
      <c r="J12" s="29"/>
      <c r="K12" s="29"/>
      <c r="L12" s="29"/>
      <c r="M12" s="29"/>
      <c r="N12" s="29"/>
      <c r="O12" s="29"/>
      <c r="P12" s="29"/>
      <c r="Q12" s="29"/>
      <c r="R12" s="29"/>
      <c r="S12" s="29"/>
      <c r="T12" s="22"/>
      <c r="W12" s="173" t="s">
        <v>6</v>
      </c>
      <c r="X12" s="174">
        <v>4.8731999999999998E-2</v>
      </c>
      <c r="Y12" s="149"/>
    </row>
    <row r="13" spans="1:25" ht="15" customHeight="1" x14ac:dyDescent="0.25">
      <c r="B13" s="79"/>
      <c r="C13" s="188" t="s">
        <v>70</v>
      </c>
      <c r="D13" s="196" t="s">
        <v>12</v>
      </c>
      <c r="E13" s="197">
        <v>2.5961999999999999E-2</v>
      </c>
      <c r="F13" s="29"/>
      <c r="G13" s="29"/>
      <c r="H13" s="29"/>
      <c r="I13" s="29"/>
      <c r="J13" s="29"/>
      <c r="K13" s="29"/>
      <c r="L13" s="29"/>
      <c r="M13" s="29"/>
      <c r="N13" s="29"/>
      <c r="O13" s="29"/>
      <c r="P13" s="29"/>
      <c r="Q13" s="29"/>
      <c r="R13" s="29"/>
      <c r="S13" s="29"/>
      <c r="T13" s="22"/>
      <c r="W13" s="173" t="s">
        <v>110</v>
      </c>
      <c r="X13" s="174">
        <v>3.5812999999999998E-2</v>
      </c>
      <c r="Y13" s="149"/>
    </row>
    <row r="14" spans="1:25" ht="15" customHeight="1" x14ac:dyDescent="0.25">
      <c r="B14" s="79"/>
      <c r="C14" s="188" t="s">
        <v>33</v>
      </c>
      <c r="D14" s="196" t="s">
        <v>107</v>
      </c>
      <c r="E14" s="197">
        <v>2.4778999999999999E-2</v>
      </c>
      <c r="F14" s="29"/>
      <c r="G14" s="29"/>
      <c r="H14" s="29"/>
      <c r="I14" s="29"/>
      <c r="J14" s="29"/>
      <c r="K14" s="29"/>
      <c r="L14" s="29"/>
      <c r="M14" s="29"/>
      <c r="N14" s="29"/>
      <c r="O14" s="29"/>
      <c r="P14" s="29"/>
      <c r="Q14" s="29"/>
      <c r="R14" s="29"/>
      <c r="S14" s="29"/>
      <c r="T14" s="22"/>
      <c r="W14" s="173" t="s">
        <v>112</v>
      </c>
      <c r="X14" s="174">
        <v>3.4680000000000002E-2</v>
      </c>
      <c r="Y14" s="149"/>
    </row>
    <row r="15" spans="1:25" ht="15" customHeight="1" x14ac:dyDescent="0.25">
      <c r="B15" s="79"/>
      <c r="C15" s="188" t="s">
        <v>62</v>
      </c>
      <c r="D15" s="196" t="s">
        <v>10</v>
      </c>
      <c r="E15" s="197">
        <v>2.1099E-2</v>
      </c>
      <c r="F15" s="29"/>
      <c r="G15" s="29"/>
      <c r="H15" s="29"/>
      <c r="I15" s="29"/>
      <c r="J15" s="29"/>
      <c r="K15" s="29"/>
      <c r="L15" s="29"/>
      <c r="M15" s="29"/>
      <c r="N15" s="29"/>
      <c r="O15" s="29"/>
      <c r="P15" s="29"/>
      <c r="Q15" s="29"/>
      <c r="R15" s="29"/>
      <c r="S15" s="29"/>
      <c r="T15" s="22"/>
      <c r="W15" s="173" t="s">
        <v>10</v>
      </c>
      <c r="X15" s="174">
        <v>3.4041000000000002E-2</v>
      </c>
      <c r="Y15" s="149"/>
    </row>
    <row r="16" spans="1:25" ht="15" customHeight="1" x14ac:dyDescent="0.25">
      <c r="B16" s="79"/>
      <c r="C16" s="188" t="s">
        <v>98</v>
      </c>
      <c r="D16" s="196" t="s">
        <v>119</v>
      </c>
      <c r="E16" s="197">
        <v>2.018E-2</v>
      </c>
      <c r="F16" s="29"/>
      <c r="G16" s="29"/>
      <c r="H16" s="29"/>
      <c r="I16" s="29"/>
      <c r="J16" s="29"/>
      <c r="K16" s="29"/>
      <c r="L16" s="29"/>
      <c r="M16" s="29"/>
      <c r="N16" s="29"/>
      <c r="O16" s="29"/>
      <c r="P16" s="29"/>
      <c r="Q16" s="29"/>
      <c r="R16" s="29"/>
      <c r="S16" s="29"/>
      <c r="T16" s="22"/>
      <c r="W16" s="173" t="s">
        <v>86</v>
      </c>
      <c r="X16" s="174">
        <v>3.3909000000000002E-2</v>
      </c>
      <c r="Y16" s="149"/>
    </row>
    <row r="17" spans="2:25" ht="15" customHeight="1" x14ac:dyDescent="0.25">
      <c r="B17" s="79"/>
      <c r="C17" s="188" t="s">
        <v>75</v>
      </c>
      <c r="D17" s="196" t="s">
        <v>11</v>
      </c>
      <c r="E17" s="197">
        <v>1.9722E-2</v>
      </c>
      <c r="F17" s="29"/>
      <c r="G17" s="29"/>
      <c r="H17" s="29"/>
      <c r="I17" s="29"/>
      <c r="J17" s="29"/>
      <c r="K17" s="29"/>
      <c r="L17" s="29"/>
      <c r="M17" s="29"/>
      <c r="N17" s="29"/>
      <c r="O17" s="29"/>
      <c r="P17" s="29"/>
      <c r="Q17" s="29"/>
      <c r="R17" s="29"/>
      <c r="S17" s="29"/>
      <c r="T17" s="22"/>
      <c r="W17" s="173" t="s">
        <v>4</v>
      </c>
      <c r="X17" s="174">
        <v>2.8650000000000002E-2</v>
      </c>
      <c r="Y17" s="149"/>
    </row>
    <row r="18" spans="2:25" ht="15" customHeight="1" x14ac:dyDescent="0.25">
      <c r="B18" s="79"/>
      <c r="C18" s="188" t="s">
        <v>104</v>
      </c>
      <c r="D18" s="196" t="s">
        <v>111</v>
      </c>
      <c r="E18" s="197">
        <v>1.8912000000000002E-2</v>
      </c>
      <c r="F18" s="29"/>
      <c r="G18" s="29"/>
      <c r="H18" s="29"/>
      <c r="I18" s="29"/>
      <c r="J18" s="29"/>
      <c r="K18" s="29"/>
      <c r="L18" s="29"/>
      <c r="M18" s="29"/>
      <c r="N18" s="29"/>
      <c r="O18" s="29"/>
      <c r="P18" s="29"/>
      <c r="Q18" s="29"/>
      <c r="R18" s="29"/>
      <c r="S18" s="29"/>
      <c r="T18" s="22"/>
      <c r="W18" s="173" t="s">
        <v>11</v>
      </c>
      <c r="X18" s="174">
        <v>2.6268E-2</v>
      </c>
      <c r="Y18" s="149"/>
    </row>
    <row r="19" spans="2:25" ht="15" customHeight="1" x14ac:dyDescent="0.25">
      <c r="B19" s="79"/>
      <c r="C19" s="188" t="s">
        <v>34</v>
      </c>
      <c r="D19" s="196" t="s">
        <v>23</v>
      </c>
      <c r="E19" s="197">
        <v>1.891E-2</v>
      </c>
      <c r="F19" s="29"/>
      <c r="G19" s="29"/>
      <c r="H19" s="29"/>
      <c r="I19" s="29"/>
      <c r="J19" s="29"/>
      <c r="K19" s="29"/>
      <c r="L19" s="29"/>
      <c r="M19" s="29"/>
      <c r="N19" s="29"/>
      <c r="O19" s="29"/>
      <c r="P19" s="29"/>
      <c r="Q19" s="29"/>
      <c r="R19" s="29"/>
      <c r="S19" s="29"/>
      <c r="T19" s="22"/>
      <c r="W19" s="173" t="s">
        <v>12</v>
      </c>
      <c r="X19" s="174">
        <v>2.5961999999999999E-2</v>
      </c>
      <c r="Y19" s="149"/>
    </row>
    <row r="20" spans="2:25" ht="15" customHeight="1" x14ac:dyDescent="0.25">
      <c r="B20" s="79"/>
      <c r="C20" s="188" t="s">
        <v>193</v>
      </c>
      <c r="D20" s="196" t="s">
        <v>107</v>
      </c>
      <c r="E20" s="197">
        <v>1.8763999999999999E-2</v>
      </c>
      <c r="F20" s="29"/>
      <c r="G20" s="29"/>
      <c r="H20" s="29"/>
      <c r="I20" s="29"/>
      <c r="J20" s="29"/>
      <c r="K20" s="29"/>
      <c r="L20" s="29"/>
      <c r="M20" s="29"/>
      <c r="N20" s="29"/>
      <c r="O20" s="29"/>
      <c r="P20" s="29"/>
      <c r="Q20" s="29"/>
      <c r="R20" s="29"/>
      <c r="S20" s="29"/>
      <c r="T20" s="22"/>
      <c r="W20" s="173" t="s">
        <v>106</v>
      </c>
      <c r="X20" s="174">
        <v>2.5427999999999999E-2</v>
      </c>
      <c r="Y20" s="149"/>
    </row>
    <row r="21" spans="2:25" ht="15" customHeight="1" x14ac:dyDescent="0.25">
      <c r="B21" s="79"/>
      <c r="C21" s="188" t="s">
        <v>267</v>
      </c>
      <c r="D21" s="196" t="s">
        <v>23</v>
      </c>
      <c r="E21" s="197">
        <v>1.8350999999999999E-2</v>
      </c>
      <c r="F21" s="29"/>
      <c r="G21" s="29"/>
      <c r="H21" s="29"/>
      <c r="I21" s="29"/>
      <c r="J21" s="29"/>
      <c r="K21" s="29"/>
      <c r="L21" s="29"/>
      <c r="M21" s="29"/>
      <c r="N21" s="29"/>
      <c r="O21" s="29"/>
      <c r="P21" s="29"/>
      <c r="Q21" s="29"/>
      <c r="R21" s="29"/>
      <c r="S21" s="29"/>
      <c r="T21" s="22"/>
      <c r="W21" s="173" t="s">
        <v>84</v>
      </c>
      <c r="X21" s="174">
        <v>2.4082999999999997E-2</v>
      </c>
      <c r="Y21" s="149"/>
    </row>
    <row r="22" spans="2:25" ht="15" customHeight="1" x14ac:dyDescent="0.25">
      <c r="B22" s="79"/>
      <c r="C22" s="188" t="s">
        <v>109</v>
      </c>
      <c r="D22" s="196" t="s">
        <v>110</v>
      </c>
      <c r="E22" s="197">
        <v>1.7498E-2</v>
      </c>
      <c r="F22" s="29"/>
      <c r="G22" s="29"/>
      <c r="H22" s="29"/>
      <c r="I22" s="29"/>
      <c r="J22" s="29"/>
      <c r="K22" s="29"/>
      <c r="L22" s="29"/>
      <c r="M22" s="29"/>
      <c r="N22" s="29"/>
      <c r="O22" s="29"/>
      <c r="P22" s="29"/>
      <c r="Q22" s="29"/>
      <c r="R22" s="29"/>
      <c r="S22" s="29"/>
      <c r="T22" s="22"/>
      <c r="W22" s="173" t="s">
        <v>26</v>
      </c>
      <c r="X22" s="174">
        <v>2.1833999999999999E-2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119</v>
      </c>
      <c r="X23" s="174">
        <v>2.018E-2</v>
      </c>
      <c r="Y23" s="149"/>
    </row>
    <row r="24" spans="2:25" ht="15" customHeight="1" x14ac:dyDescent="0.25">
      <c r="B24" s="79"/>
      <c r="C24" s="73" t="s">
        <v>55</v>
      </c>
      <c r="D24" s="74"/>
      <c r="E24" s="75">
        <f>SUM(E8:E22)</f>
        <v>0.45354299999999992</v>
      </c>
      <c r="F24" s="29"/>
      <c r="G24" s="29"/>
      <c r="H24" s="29"/>
      <c r="I24" s="29"/>
      <c r="J24" s="29"/>
      <c r="K24" s="29"/>
      <c r="L24" s="29"/>
      <c r="M24" s="29"/>
      <c r="N24" s="29"/>
      <c r="O24" s="29"/>
      <c r="P24" s="29"/>
      <c r="Q24" s="29"/>
      <c r="R24" s="29"/>
      <c r="S24" s="29"/>
      <c r="T24" s="22"/>
      <c r="W24" s="173" t="s">
        <v>83</v>
      </c>
      <c r="X24" s="174">
        <v>2.0091999999999999E-2</v>
      </c>
      <c r="Y24" s="149"/>
    </row>
    <row r="25" spans="2:25" ht="15" customHeight="1" x14ac:dyDescent="0.25">
      <c r="B25" s="79"/>
      <c r="F25" s="29"/>
      <c r="G25" s="29"/>
      <c r="H25" s="29"/>
      <c r="I25" s="29"/>
      <c r="J25" s="29"/>
      <c r="K25" s="29"/>
      <c r="L25" s="29"/>
      <c r="M25" s="29"/>
      <c r="N25" s="29"/>
      <c r="O25" s="29"/>
      <c r="P25" s="29"/>
      <c r="Q25" s="29"/>
      <c r="R25" s="29"/>
      <c r="S25" s="29"/>
      <c r="T25" s="22"/>
      <c r="W25" s="173" t="s">
        <v>117</v>
      </c>
      <c r="X25" s="174">
        <v>1.7288000000000001E-2</v>
      </c>
      <c r="Y25" s="149"/>
    </row>
    <row r="26" spans="2:25" ht="15" customHeight="1" x14ac:dyDescent="0.25">
      <c r="B26" s="79"/>
      <c r="F26" s="29"/>
      <c r="G26" s="29"/>
      <c r="H26" s="29"/>
      <c r="I26" s="29"/>
      <c r="J26" s="29"/>
      <c r="K26" s="29"/>
      <c r="L26" s="29"/>
      <c r="M26" s="29"/>
      <c r="N26" s="29"/>
      <c r="O26" s="29"/>
      <c r="P26" s="29"/>
      <c r="Q26" s="29"/>
      <c r="R26" s="29"/>
      <c r="S26" s="29"/>
      <c r="T26" s="22"/>
      <c r="W26" s="173" t="s">
        <v>108</v>
      </c>
      <c r="X26" s="174">
        <v>1.6566999999999998E-2</v>
      </c>
      <c r="Y26" s="149"/>
    </row>
    <row r="27" spans="2:25" ht="15" customHeight="1" x14ac:dyDescent="0.25">
      <c r="B27" s="79"/>
      <c r="F27" s="29"/>
      <c r="G27" s="29"/>
      <c r="H27" s="29"/>
      <c r="I27" s="29"/>
      <c r="J27" s="29"/>
      <c r="K27" s="29"/>
      <c r="L27" s="29"/>
      <c r="M27" s="29"/>
      <c r="N27" s="29"/>
      <c r="O27" s="29"/>
      <c r="P27" s="29"/>
      <c r="Q27" s="29"/>
      <c r="R27" s="29"/>
      <c r="S27" s="29"/>
      <c r="T27" s="22"/>
      <c r="W27" s="173" t="s">
        <v>113</v>
      </c>
      <c r="X27" s="174">
        <v>1.6272999999999999E-2</v>
      </c>
      <c r="Y27" s="149"/>
    </row>
    <row r="28" spans="2:25" ht="15" customHeight="1" x14ac:dyDescent="0.25">
      <c r="B28" s="79"/>
      <c r="F28" s="29"/>
      <c r="G28" s="29"/>
      <c r="H28" s="29"/>
      <c r="I28" s="29"/>
      <c r="J28" s="29"/>
      <c r="K28" s="29"/>
      <c r="L28" s="29"/>
      <c r="M28" s="29"/>
      <c r="N28" s="29"/>
      <c r="O28" s="29"/>
      <c r="P28" s="29"/>
      <c r="Q28" s="29"/>
      <c r="R28" s="29"/>
      <c r="S28" s="29"/>
      <c r="T28" s="22"/>
      <c r="W28" s="173" t="s">
        <v>16</v>
      </c>
      <c r="X28" s="174">
        <v>1.5181999999999999E-2</v>
      </c>
      <c r="Y28" s="149"/>
    </row>
    <row r="29" spans="2:25" ht="15" customHeight="1" x14ac:dyDescent="0.25">
      <c r="B29" s="79"/>
      <c r="F29" s="29"/>
      <c r="G29" s="29"/>
      <c r="H29" s="29"/>
      <c r="I29" s="29"/>
      <c r="J29" s="29"/>
      <c r="K29" s="29"/>
      <c r="L29" s="29"/>
      <c r="M29" s="29"/>
      <c r="N29" s="29"/>
      <c r="O29" s="29"/>
      <c r="P29" s="29"/>
      <c r="Q29" s="29"/>
      <c r="R29" s="29"/>
      <c r="S29" s="29"/>
      <c r="T29" s="22"/>
      <c r="W29" s="173" t="s">
        <v>133</v>
      </c>
      <c r="X29" s="174">
        <v>1.1183E-2</v>
      </c>
      <c r="Y29" s="149"/>
    </row>
    <row r="30" spans="2:25" ht="15" customHeight="1" x14ac:dyDescent="0.25">
      <c r="B30" s="79"/>
      <c r="F30" s="29"/>
      <c r="G30" s="29"/>
      <c r="H30" s="29"/>
      <c r="I30" s="29"/>
      <c r="J30" s="29"/>
      <c r="K30" s="29"/>
      <c r="L30" s="29"/>
      <c r="M30" s="29"/>
      <c r="N30" s="29"/>
      <c r="O30" s="29"/>
      <c r="P30" s="29"/>
      <c r="Q30" s="29"/>
      <c r="R30" s="29"/>
      <c r="S30" s="29"/>
      <c r="T30" s="22"/>
      <c r="W30" s="173" t="s">
        <v>121</v>
      </c>
      <c r="X30" s="174">
        <v>1.0704999999999999E-2</v>
      </c>
    </row>
    <row r="31" spans="2:25" ht="15" customHeight="1" x14ac:dyDescent="0.25">
      <c r="B31" s="79"/>
      <c r="F31" s="29"/>
      <c r="G31" s="29"/>
      <c r="H31" s="29"/>
      <c r="I31" s="29"/>
      <c r="J31" s="29"/>
      <c r="K31" s="29"/>
      <c r="L31" s="29"/>
      <c r="M31" s="29"/>
      <c r="N31" s="29"/>
      <c r="O31" s="29"/>
      <c r="P31" s="29"/>
      <c r="Q31" s="29"/>
      <c r="R31" s="29"/>
      <c r="S31" s="29"/>
      <c r="T31" s="22"/>
      <c r="W31" s="173" t="s">
        <v>124</v>
      </c>
      <c r="X31" s="174">
        <v>9.6830000000000006E-3</v>
      </c>
    </row>
    <row r="32" spans="2:25" ht="15" customHeight="1" x14ac:dyDescent="0.25">
      <c r="B32" s="79"/>
      <c r="F32" s="29"/>
      <c r="G32" s="29"/>
      <c r="H32" s="29"/>
      <c r="I32" s="29"/>
      <c r="J32" s="29"/>
      <c r="K32" s="29"/>
      <c r="L32" s="29"/>
      <c r="M32" s="29"/>
      <c r="N32" s="29"/>
      <c r="O32" s="29"/>
      <c r="P32" s="29"/>
      <c r="Q32" s="29"/>
      <c r="R32" s="29"/>
      <c r="S32" s="29"/>
      <c r="T32" s="22"/>
      <c r="W32" s="173" t="s">
        <v>15</v>
      </c>
      <c r="X32" s="174">
        <v>9.5180000000000004E-3</v>
      </c>
    </row>
    <row r="33" spans="2:24" ht="15" customHeight="1" x14ac:dyDescent="0.25">
      <c r="B33" s="79"/>
      <c r="F33" s="29"/>
      <c r="G33" s="29"/>
      <c r="H33" s="29"/>
      <c r="I33" s="29"/>
      <c r="J33" s="29"/>
      <c r="K33" s="29"/>
      <c r="L33" s="29"/>
      <c r="M33" s="29"/>
      <c r="N33" s="29"/>
      <c r="O33" s="29"/>
      <c r="P33" s="29"/>
      <c r="Q33" s="29"/>
      <c r="R33" s="29"/>
      <c r="S33" s="29"/>
      <c r="T33" s="22"/>
      <c r="W33" s="173" t="s">
        <v>118</v>
      </c>
      <c r="X33" s="174">
        <v>9.0819999999999998E-3</v>
      </c>
    </row>
    <row r="34" spans="2:24" ht="15" customHeight="1" x14ac:dyDescent="0.25">
      <c r="B34" s="79"/>
      <c r="F34" s="29"/>
      <c r="G34" s="29"/>
      <c r="H34" s="29"/>
      <c r="I34" s="29"/>
      <c r="J34" s="29"/>
      <c r="K34" s="29"/>
      <c r="L34" s="29"/>
      <c r="M34" s="29"/>
      <c r="N34" s="29"/>
      <c r="O34" s="29"/>
      <c r="P34" s="29"/>
      <c r="Q34" s="29"/>
      <c r="R34" s="29"/>
      <c r="S34" s="29"/>
      <c r="T34" s="22"/>
      <c r="W34" s="173" t="s">
        <v>218</v>
      </c>
      <c r="X34" s="174">
        <v>8.3820000000000006E-3</v>
      </c>
    </row>
    <row r="35" spans="2:24" ht="15" customHeight="1" x14ac:dyDescent="0.25">
      <c r="B35" s="79"/>
      <c r="F35" s="29"/>
      <c r="G35" s="29"/>
      <c r="H35" s="29"/>
      <c r="I35" s="29"/>
      <c r="J35" s="29"/>
      <c r="K35" s="29"/>
      <c r="L35" s="29"/>
      <c r="M35" s="29"/>
      <c r="N35" s="29"/>
      <c r="O35" s="29"/>
      <c r="P35" s="29"/>
      <c r="Q35" s="29"/>
      <c r="R35" s="29"/>
      <c r="S35" s="29"/>
      <c r="T35" s="22"/>
      <c r="W35" s="173" t="s">
        <v>13</v>
      </c>
      <c r="X35" s="174">
        <v>6.3299999999999997E-3</v>
      </c>
    </row>
    <row r="36" spans="2:24" ht="15" customHeight="1" x14ac:dyDescent="0.25">
      <c r="B36" s="79"/>
      <c r="F36" s="29"/>
      <c r="G36" s="29"/>
      <c r="H36" s="29"/>
      <c r="I36" s="29"/>
      <c r="J36" s="29"/>
      <c r="K36" s="29"/>
      <c r="L36" s="29"/>
      <c r="M36" s="29"/>
      <c r="N36" s="29"/>
      <c r="O36" s="29"/>
      <c r="P36" s="29"/>
      <c r="Q36" s="29"/>
      <c r="R36" s="29"/>
      <c r="S36" s="29"/>
      <c r="T36" s="22"/>
      <c r="W36" s="173" t="s">
        <v>116</v>
      </c>
      <c r="X36" s="174">
        <v>5.934E-3</v>
      </c>
    </row>
    <row r="37" spans="2:24" ht="15" customHeight="1" x14ac:dyDescent="0.25">
      <c r="B37" s="79"/>
      <c r="F37" s="29"/>
      <c r="G37" s="29"/>
      <c r="H37" s="29"/>
      <c r="I37" s="29"/>
      <c r="J37" s="29"/>
      <c r="K37" s="29"/>
      <c r="L37" s="29"/>
      <c r="M37" s="29"/>
      <c r="N37" s="29"/>
      <c r="O37" s="29"/>
      <c r="P37" s="29"/>
      <c r="Q37" s="29"/>
      <c r="R37" s="29"/>
      <c r="S37" s="29"/>
      <c r="T37" s="22"/>
      <c r="W37" s="173" t="s">
        <v>24</v>
      </c>
      <c r="X37" s="174">
        <v>3.5829999999999998E-3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69" t="s">
        <v>182</v>
      </c>
      <c r="C40" s="270"/>
      <c r="D40" s="270"/>
      <c r="E40" s="270"/>
      <c r="F40" s="270"/>
      <c r="G40" s="270"/>
      <c r="H40" s="270"/>
      <c r="I40" s="270"/>
      <c r="J40" s="270"/>
      <c r="K40" s="270"/>
      <c r="L40" s="270"/>
      <c r="M40" s="270"/>
      <c r="N40" s="270"/>
      <c r="O40" s="270"/>
      <c r="P40" s="270"/>
      <c r="Q40" s="270"/>
      <c r="R40" s="271"/>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15" customHeight="1" x14ac:dyDescent="0.25">
      <c r="B45" s="272"/>
      <c r="C45" s="273"/>
      <c r="D45" s="273"/>
      <c r="E45" s="273"/>
      <c r="F45" s="273"/>
      <c r="G45" s="273"/>
      <c r="H45" s="273"/>
      <c r="I45" s="273"/>
      <c r="J45" s="273"/>
      <c r="K45" s="273"/>
      <c r="L45" s="273"/>
      <c r="M45" s="273"/>
      <c r="N45" s="273"/>
      <c r="O45" s="273"/>
      <c r="P45" s="273"/>
      <c r="Q45" s="273"/>
      <c r="R45" s="274"/>
    </row>
    <row r="46" spans="2:24" ht="15" customHeight="1" thickBot="1" x14ac:dyDescent="0.3">
      <c r="B46" s="275"/>
      <c r="C46" s="276"/>
      <c r="D46" s="276"/>
      <c r="E46" s="276"/>
      <c r="F46" s="276"/>
      <c r="G46" s="276"/>
      <c r="H46" s="276"/>
      <c r="I46" s="276"/>
      <c r="J46" s="276"/>
      <c r="K46" s="276"/>
      <c r="L46" s="276"/>
      <c r="M46" s="276"/>
      <c r="N46" s="276"/>
      <c r="O46" s="276"/>
      <c r="P46" s="276"/>
      <c r="Q46" s="276"/>
      <c r="R46" s="27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63" t="s">
        <v>162</v>
      </c>
      <c r="D3" s="263"/>
      <c r="E3" s="263"/>
      <c r="F3" s="263"/>
      <c r="G3" s="263"/>
      <c r="H3" s="263"/>
      <c r="I3" s="263"/>
      <c r="J3" s="263"/>
      <c r="K3" s="263"/>
      <c r="L3" s="263"/>
      <c r="M3" s="263"/>
      <c r="N3" s="263"/>
      <c r="O3" s="263"/>
      <c r="P3" s="263"/>
      <c r="Q3" s="20"/>
    </row>
    <row r="4" spans="2:27" ht="15.75" x14ac:dyDescent="0.25">
      <c r="B4" s="93"/>
      <c r="C4" s="67" t="s">
        <v>412</v>
      </c>
      <c r="D4" s="5"/>
      <c r="E4" s="5"/>
      <c r="F4" s="5"/>
      <c r="G4" s="5"/>
      <c r="H4" s="5"/>
      <c r="I4" s="5"/>
      <c r="J4" s="5"/>
      <c r="K4" s="5"/>
      <c r="L4" s="5"/>
      <c r="M4" s="5"/>
      <c r="N4" s="5"/>
      <c r="O4" s="5"/>
      <c r="P4" s="5"/>
      <c r="Q4" s="20"/>
    </row>
    <row r="5" spans="2:27" ht="20.25" x14ac:dyDescent="0.2">
      <c r="B5" s="93"/>
      <c r="C5" s="221" t="s">
        <v>411</v>
      </c>
      <c r="D5" s="280" t="s">
        <v>386</v>
      </c>
      <c r="E5" s="280"/>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163</v>
      </c>
      <c r="T7" s="171"/>
    </row>
    <row r="8" spans="2:27" ht="15.75" x14ac:dyDescent="0.25">
      <c r="B8" s="93"/>
      <c r="C8" s="102"/>
      <c r="D8" s="38"/>
      <c r="E8" s="218"/>
      <c r="F8" s="5"/>
      <c r="G8" s="5"/>
      <c r="H8" s="5"/>
      <c r="I8" s="5"/>
      <c r="J8" s="5"/>
      <c r="K8" s="5"/>
      <c r="L8" s="5"/>
      <c r="M8" s="5"/>
      <c r="N8" s="5"/>
      <c r="O8" s="5"/>
      <c r="P8" s="5"/>
      <c r="Q8" s="20"/>
      <c r="R8" s="12" t="s">
        <v>39</v>
      </c>
      <c r="S8" s="13">
        <f>E9</f>
        <v>0.71275900000000003</v>
      </c>
      <c r="T8" s="171"/>
      <c r="V8" s="56"/>
      <c r="W8" s="57"/>
      <c r="Z8" s="43"/>
      <c r="AA8" s="43"/>
    </row>
    <row r="9" spans="2:27" ht="15.75" x14ac:dyDescent="0.25">
      <c r="B9" s="93"/>
      <c r="C9" s="128" t="s">
        <v>39</v>
      </c>
      <c r="D9" s="125"/>
      <c r="E9" s="191">
        <v>0.71275900000000003</v>
      </c>
      <c r="F9" s="47"/>
      <c r="G9" s="5"/>
      <c r="H9" s="5"/>
      <c r="I9" s="5"/>
      <c r="J9" s="5"/>
      <c r="K9" s="5"/>
      <c r="L9" s="5"/>
      <c r="M9" s="5"/>
      <c r="N9" s="5"/>
      <c r="O9" s="5"/>
      <c r="P9" s="5"/>
      <c r="Q9" s="20"/>
      <c r="R9" s="12" t="s">
        <v>40</v>
      </c>
      <c r="S9" s="13">
        <f>100%-S8</f>
        <v>0.28724099999999997</v>
      </c>
      <c r="T9" s="171"/>
      <c r="V9" s="56"/>
      <c r="W9" s="57"/>
      <c r="Z9" s="43"/>
      <c r="AA9" s="43"/>
    </row>
    <row r="10" spans="2:27" ht="15.75" x14ac:dyDescent="0.25">
      <c r="B10" s="93"/>
      <c r="C10" s="102"/>
      <c r="D10" s="38"/>
      <c r="E10" s="217"/>
      <c r="F10" s="47"/>
      <c r="G10" s="5"/>
      <c r="H10" s="5"/>
      <c r="I10" s="5"/>
      <c r="J10" s="5"/>
      <c r="K10" s="5"/>
      <c r="L10" s="5"/>
      <c r="M10" s="5"/>
      <c r="N10" s="5"/>
      <c r="O10" s="5"/>
      <c r="P10" s="5"/>
      <c r="Q10" s="20"/>
      <c r="R10" s="172"/>
      <c r="S10" s="171"/>
      <c r="T10" s="171"/>
      <c r="V10" s="56"/>
      <c r="W10" s="57"/>
      <c r="Z10" s="43"/>
      <c r="AA10" s="43"/>
    </row>
    <row r="11" spans="2:27" ht="15.75" x14ac:dyDescent="0.25">
      <c r="B11" s="93"/>
      <c r="C11" s="128" t="s">
        <v>353</v>
      </c>
      <c r="D11" s="125"/>
      <c r="E11" s="191">
        <v>6.4419999999999998E-3</v>
      </c>
      <c r="F11" s="47"/>
      <c r="G11" s="5"/>
      <c r="H11" s="5"/>
      <c r="I11" s="5"/>
      <c r="J11" s="5"/>
      <c r="K11" s="5"/>
      <c r="L11" s="5"/>
      <c r="M11" s="5"/>
      <c r="N11" s="5"/>
      <c r="O11" s="5"/>
      <c r="P11" s="5"/>
      <c r="Q11" s="20"/>
      <c r="R11" s="14"/>
      <c r="S11" s="1"/>
      <c r="T11" s="1"/>
      <c r="V11" s="56"/>
      <c r="W11" s="57"/>
    </row>
    <row r="12" spans="2:27" ht="15.75" x14ac:dyDescent="0.25">
      <c r="B12" s="93"/>
      <c r="C12" s="222"/>
      <c r="D12" s="225"/>
      <c r="E12" s="223"/>
      <c r="F12" s="47"/>
      <c r="G12" s="5"/>
      <c r="H12" s="5"/>
      <c r="I12" s="5"/>
      <c r="J12" s="5"/>
      <c r="K12" s="5"/>
      <c r="L12" s="5"/>
      <c r="M12" s="5"/>
      <c r="N12" s="5"/>
      <c r="O12" s="5"/>
      <c r="P12" s="5"/>
      <c r="Q12" s="20"/>
      <c r="R12" s="14"/>
      <c r="S12" s="1"/>
      <c r="T12" s="1"/>
      <c r="V12" s="56"/>
      <c r="W12" s="57"/>
    </row>
    <row r="13" spans="2:27" ht="15.75" x14ac:dyDescent="0.25">
      <c r="B13" s="93"/>
      <c r="C13" s="128" t="s">
        <v>41</v>
      </c>
      <c r="D13" s="125"/>
      <c r="E13" s="191">
        <v>4.2958999999999997E-2</v>
      </c>
      <c r="F13" s="47"/>
      <c r="G13" s="5"/>
      <c r="H13" s="5"/>
      <c r="I13" s="5"/>
      <c r="J13" s="5"/>
      <c r="K13" s="5"/>
      <c r="L13" s="5"/>
      <c r="M13" s="5"/>
      <c r="N13" s="5"/>
      <c r="O13" s="5"/>
      <c r="P13" s="5"/>
      <c r="Q13" s="20"/>
      <c r="R13" s="49"/>
      <c r="V13" s="56"/>
      <c r="W13" s="57"/>
    </row>
    <row r="14" spans="2:27" ht="15.75" x14ac:dyDescent="0.25">
      <c r="B14" s="93"/>
      <c r="C14" s="102"/>
      <c r="D14" s="38"/>
      <c r="E14" s="224"/>
      <c r="F14" s="47"/>
      <c r="G14" s="5"/>
      <c r="H14" s="5"/>
      <c r="I14" s="5"/>
      <c r="J14" s="5"/>
      <c r="K14" s="5"/>
      <c r="L14" s="5"/>
      <c r="M14" s="5"/>
      <c r="N14" s="5"/>
      <c r="O14" s="5"/>
      <c r="P14" s="5"/>
      <c r="Q14" s="20"/>
      <c r="R14" s="49"/>
      <c r="V14" s="56"/>
      <c r="W14" s="57"/>
    </row>
    <row r="15" spans="2:27" ht="15.75" x14ac:dyDescent="0.25">
      <c r="B15" s="93"/>
      <c r="C15" s="128" t="s">
        <v>42</v>
      </c>
      <c r="D15" s="125"/>
      <c r="E15" s="191">
        <v>6.5899999999999997E-4</v>
      </c>
      <c r="F15" s="47"/>
      <c r="G15" s="5"/>
      <c r="H15" s="5"/>
      <c r="I15" s="5"/>
      <c r="J15" s="5"/>
      <c r="K15" s="5"/>
      <c r="L15" s="5"/>
      <c r="M15" s="5"/>
      <c r="N15" s="5"/>
      <c r="O15" s="5"/>
      <c r="P15" s="5"/>
      <c r="Q15" s="20"/>
      <c r="R15" s="49"/>
      <c r="V15" s="56"/>
      <c r="W15" s="57"/>
    </row>
    <row r="16" spans="2:27" ht="15.75" x14ac:dyDescent="0.25">
      <c r="B16" s="93"/>
      <c r="C16" s="102"/>
      <c r="D16" s="38"/>
      <c r="E16" s="224"/>
      <c r="F16" s="47"/>
      <c r="G16" s="5"/>
      <c r="H16" s="5"/>
      <c r="I16" s="5"/>
      <c r="J16" s="5"/>
      <c r="K16" s="5"/>
      <c r="L16" s="5"/>
      <c r="M16" s="5"/>
      <c r="N16" s="5"/>
      <c r="O16" s="5"/>
      <c r="P16" s="5"/>
      <c r="Q16" s="20"/>
      <c r="R16" s="49"/>
      <c r="V16" s="56"/>
      <c r="W16" s="57"/>
    </row>
    <row r="17" spans="1:27" ht="15.75" x14ac:dyDescent="0.25">
      <c r="B17" s="93"/>
      <c r="C17" s="128" t="s">
        <v>331</v>
      </c>
      <c r="D17" s="125"/>
      <c r="E17" s="191">
        <v>2.0593E-2</v>
      </c>
      <c r="F17" s="47"/>
      <c r="G17" s="29"/>
      <c r="H17" s="29"/>
      <c r="I17" s="29"/>
      <c r="J17" s="29"/>
      <c r="K17" s="29"/>
      <c r="L17" s="29"/>
      <c r="M17" s="29"/>
      <c r="N17" s="29"/>
      <c r="O17" s="29"/>
      <c r="P17" s="29"/>
      <c r="Q17" s="20"/>
      <c r="R17" s="49"/>
    </row>
    <row r="18" spans="1:27" ht="15.75" x14ac:dyDescent="0.25">
      <c r="B18" s="93"/>
      <c r="C18" s="102"/>
      <c r="D18" s="38"/>
      <c r="E18" s="224"/>
      <c r="F18" s="5"/>
      <c r="G18" s="29"/>
      <c r="H18" s="29"/>
      <c r="I18" s="29"/>
      <c r="J18" s="29"/>
      <c r="K18" s="29"/>
      <c r="L18" s="29"/>
      <c r="M18" s="29"/>
      <c r="N18" s="29"/>
      <c r="O18" s="29"/>
      <c r="P18" s="29"/>
      <c r="Q18" s="20"/>
      <c r="R18" s="49"/>
    </row>
    <row r="19" spans="1:27" x14ac:dyDescent="0.2">
      <c r="B19" s="93"/>
      <c r="C19" s="102" t="s">
        <v>223</v>
      </c>
      <c r="D19" s="38"/>
      <c r="E19" s="224">
        <v>0.13170999999999999</v>
      </c>
      <c r="F19" s="148"/>
      <c r="G19" s="5"/>
      <c r="H19" s="5"/>
      <c r="I19" s="5"/>
      <c r="J19" s="5"/>
      <c r="K19" s="5"/>
      <c r="L19" s="5"/>
      <c r="M19" s="5"/>
      <c r="N19" s="5"/>
      <c r="O19" s="5"/>
      <c r="P19" s="5"/>
      <c r="Q19" s="20"/>
      <c r="R19" s="49"/>
    </row>
    <row r="20" spans="1:27" x14ac:dyDescent="0.2">
      <c r="B20" s="93"/>
      <c r="C20" s="102" t="s">
        <v>175</v>
      </c>
      <c r="D20" s="38"/>
      <c r="E20" s="224">
        <v>6.6173999999999997E-2</v>
      </c>
      <c r="F20" s="5"/>
      <c r="G20" s="5"/>
      <c r="H20" s="5"/>
      <c r="I20" s="5"/>
      <c r="J20" s="5"/>
      <c r="K20" s="5"/>
      <c r="L20" s="5"/>
      <c r="M20" s="5"/>
      <c r="N20" s="5"/>
      <c r="O20" s="5"/>
      <c r="P20" s="5"/>
      <c r="Q20" s="20"/>
      <c r="R20" s="49"/>
    </row>
    <row r="21" spans="1:27" x14ac:dyDescent="0.2">
      <c r="B21" s="93"/>
      <c r="C21" s="102" t="s">
        <v>176</v>
      </c>
      <c r="D21" s="38"/>
      <c r="E21" s="224">
        <v>1.3351E-2</v>
      </c>
      <c r="F21" s="5"/>
      <c r="G21" s="5"/>
      <c r="H21" s="5"/>
      <c r="I21" s="5"/>
      <c r="J21" s="5"/>
      <c r="K21" s="5"/>
      <c r="L21" s="5"/>
      <c r="M21" s="5"/>
      <c r="N21" s="5"/>
      <c r="O21" s="5"/>
      <c r="P21" s="5"/>
      <c r="Q21" s="20"/>
      <c r="R21" s="49"/>
    </row>
    <row r="22" spans="1:27" ht="15.75" x14ac:dyDescent="0.2">
      <c r="B22" s="93"/>
      <c r="C22" s="128" t="s">
        <v>222</v>
      </c>
      <c r="D22" s="125"/>
      <c r="E22" s="191">
        <v>0.21123500000000001</v>
      </c>
      <c r="F22" s="5"/>
      <c r="G22" s="5"/>
      <c r="H22" s="5"/>
      <c r="I22" s="5"/>
      <c r="J22" s="5"/>
      <c r="K22" s="5"/>
      <c r="L22" s="5"/>
      <c r="M22" s="5"/>
      <c r="N22" s="5"/>
      <c r="O22" s="5"/>
      <c r="P22" s="5"/>
      <c r="Q22" s="20"/>
      <c r="R22" s="49"/>
    </row>
    <row r="23" spans="1:27" x14ac:dyDescent="0.2">
      <c r="B23" s="93"/>
      <c r="C23" s="102"/>
      <c r="D23" s="38"/>
      <c r="E23" s="217"/>
      <c r="F23" s="5"/>
      <c r="G23" s="5"/>
      <c r="H23" s="5"/>
      <c r="I23" s="5"/>
      <c r="J23" s="5"/>
      <c r="K23" s="5"/>
      <c r="L23" s="5"/>
      <c r="M23" s="5"/>
      <c r="N23" s="5"/>
      <c r="O23" s="5"/>
      <c r="P23" s="5"/>
      <c r="Q23" s="20"/>
      <c r="R23" s="49"/>
    </row>
    <row r="24" spans="1:27" ht="15.75" x14ac:dyDescent="0.2">
      <c r="B24" s="93"/>
      <c r="C24" s="128" t="s">
        <v>20</v>
      </c>
      <c r="D24" s="125"/>
      <c r="E24" s="191">
        <v>5.3530000000000591E-3</v>
      </c>
      <c r="F24" s="148"/>
      <c r="G24" s="5"/>
      <c r="H24" s="5"/>
      <c r="I24" s="5"/>
      <c r="J24" s="5"/>
      <c r="K24" s="5"/>
      <c r="L24" s="5"/>
      <c r="M24" s="5"/>
      <c r="N24" s="5"/>
      <c r="O24" s="5"/>
      <c r="P24" s="5"/>
      <c r="Q24" s="20"/>
      <c r="R24" s="49"/>
    </row>
    <row r="25" spans="1:27" x14ac:dyDescent="0.2">
      <c r="B25" s="93"/>
      <c r="C25" s="102"/>
      <c r="D25" s="38"/>
      <c r="E25" s="217"/>
      <c r="F25" s="5"/>
      <c r="G25" s="5"/>
      <c r="H25" s="5"/>
      <c r="I25" s="5"/>
      <c r="J25" s="5"/>
      <c r="K25" s="5"/>
      <c r="L25" s="5"/>
      <c r="M25" s="5"/>
      <c r="N25" s="5"/>
      <c r="O25" s="5"/>
      <c r="P25" s="5"/>
      <c r="Q25" s="20"/>
      <c r="R25" s="49"/>
    </row>
    <row r="26" spans="1:27" ht="15.75" x14ac:dyDescent="0.2">
      <c r="B26" s="93"/>
      <c r="C26" s="214" t="s">
        <v>21</v>
      </c>
      <c r="D26" s="226"/>
      <c r="E26" s="219">
        <f>SUM(E24+E22+E15+E13+E11+E9+E17)</f>
        <v>1.0000000000000002</v>
      </c>
      <c r="F26" s="5"/>
      <c r="G26" s="5"/>
      <c r="H26" s="5"/>
      <c r="I26" s="5"/>
      <c r="J26" s="5"/>
      <c r="K26" s="5"/>
      <c r="L26" s="5"/>
      <c r="M26" s="5"/>
      <c r="N26" s="5"/>
      <c r="O26" s="5"/>
      <c r="P26" s="5"/>
      <c r="Q26" s="20"/>
      <c r="R26" s="49"/>
    </row>
    <row r="27" spans="1:27" ht="15.75" thickBot="1" x14ac:dyDescent="0.25">
      <c r="A27" s="5"/>
      <c r="B27" s="96"/>
      <c r="C27" s="45"/>
      <c r="D27" s="45"/>
      <c r="E27" s="45"/>
      <c r="F27" s="45"/>
      <c r="G27" s="45"/>
      <c r="H27" s="45"/>
      <c r="I27" s="45"/>
      <c r="J27" s="45"/>
      <c r="K27" s="45"/>
      <c r="L27" s="45"/>
      <c r="M27" s="45"/>
      <c r="N27" s="45"/>
      <c r="O27" s="45"/>
      <c r="P27" s="45"/>
      <c r="Q27" s="118"/>
      <c r="R27" s="5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50"/>
      <c r="S28" s="5"/>
      <c r="T28" s="5"/>
      <c r="U28" s="5"/>
      <c r="V28" s="5"/>
      <c r="W28" s="5"/>
      <c r="X28" s="5"/>
      <c r="Y28" s="5"/>
      <c r="Z28" s="5"/>
      <c r="AA28" s="5"/>
    </row>
    <row r="29" spans="1:27" ht="15" customHeight="1" x14ac:dyDescent="0.2">
      <c r="A29" s="5"/>
      <c r="B29" s="269" t="s">
        <v>182</v>
      </c>
      <c r="C29" s="270"/>
      <c r="D29" s="270"/>
      <c r="E29" s="270"/>
      <c r="F29" s="270"/>
      <c r="G29" s="270"/>
      <c r="H29" s="270"/>
      <c r="I29" s="270"/>
      <c r="J29" s="270"/>
      <c r="K29" s="270"/>
      <c r="L29" s="270"/>
      <c r="M29" s="270"/>
      <c r="N29" s="270"/>
      <c r="O29" s="270"/>
      <c r="P29" s="270"/>
      <c r="Q29" s="270"/>
      <c r="R29" s="271"/>
      <c r="S29" s="5"/>
      <c r="T29" s="5"/>
      <c r="U29" s="5"/>
      <c r="V29" s="5"/>
      <c r="W29" s="5"/>
      <c r="X29" s="5"/>
      <c r="Y29" s="5"/>
      <c r="Z29" s="5"/>
      <c r="AA29" s="5"/>
    </row>
    <row r="30" spans="1:27" x14ac:dyDescent="0.2">
      <c r="A30" s="5"/>
      <c r="B30" s="272"/>
      <c r="C30" s="273"/>
      <c r="D30" s="273"/>
      <c r="E30" s="273"/>
      <c r="F30" s="273"/>
      <c r="G30" s="273"/>
      <c r="H30" s="273"/>
      <c r="I30" s="273"/>
      <c r="J30" s="273"/>
      <c r="K30" s="273"/>
      <c r="L30" s="273"/>
      <c r="M30" s="273"/>
      <c r="N30" s="273"/>
      <c r="O30" s="273"/>
      <c r="P30" s="273"/>
      <c r="Q30" s="273"/>
      <c r="R30" s="274"/>
      <c r="S30" s="5"/>
      <c r="T30" s="5"/>
      <c r="U30" s="5"/>
      <c r="V30" s="5"/>
      <c r="W30" s="5"/>
      <c r="X30" s="5"/>
      <c r="Y30" s="5"/>
      <c r="Z30" s="5"/>
      <c r="AA30" s="5"/>
    </row>
    <row r="31" spans="1:27" x14ac:dyDescent="0.2">
      <c r="A31" s="5"/>
      <c r="B31" s="272"/>
      <c r="C31" s="273"/>
      <c r="D31" s="273"/>
      <c r="E31" s="273"/>
      <c r="F31" s="273"/>
      <c r="G31" s="273"/>
      <c r="H31" s="273"/>
      <c r="I31" s="273"/>
      <c r="J31" s="273"/>
      <c r="K31" s="273"/>
      <c r="L31" s="273"/>
      <c r="M31" s="273"/>
      <c r="N31" s="273"/>
      <c r="O31" s="273"/>
      <c r="P31" s="273"/>
      <c r="Q31" s="273"/>
      <c r="R31" s="274"/>
      <c r="S31" s="5"/>
      <c r="T31" s="5"/>
      <c r="U31" s="5"/>
      <c r="V31" s="5"/>
      <c r="W31" s="5"/>
      <c r="X31" s="5"/>
      <c r="Y31" s="5"/>
      <c r="Z31" s="5"/>
      <c r="AA31" s="5"/>
    </row>
    <row r="32" spans="1:27" x14ac:dyDescent="0.2">
      <c r="A32" s="5"/>
      <c r="B32" s="272"/>
      <c r="C32" s="273"/>
      <c r="D32" s="273"/>
      <c r="E32" s="273"/>
      <c r="F32" s="273"/>
      <c r="G32" s="273"/>
      <c r="H32" s="273"/>
      <c r="I32" s="273"/>
      <c r="J32" s="273"/>
      <c r="K32" s="273"/>
      <c r="L32" s="273"/>
      <c r="M32" s="273"/>
      <c r="N32" s="273"/>
      <c r="O32" s="273"/>
      <c r="P32" s="273"/>
      <c r="Q32" s="273"/>
      <c r="R32" s="274"/>
      <c r="S32" s="5"/>
      <c r="T32" s="5"/>
      <c r="U32" s="5"/>
      <c r="V32" s="5"/>
      <c r="W32" s="5"/>
      <c r="X32" s="5"/>
      <c r="Y32" s="5"/>
      <c r="Z32" s="5"/>
      <c r="AA32" s="5"/>
    </row>
    <row r="33" spans="1:27" x14ac:dyDescent="0.2">
      <c r="A33" s="5"/>
      <c r="B33" s="272"/>
      <c r="C33" s="273"/>
      <c r="D33" s="273"/>
      <c r="E33" s="273"/>
      <c r="F33" s="273"/>
      <c r="G33" s="273"/>
      <c r="H33" s="273"/>
      <c r="I33" s="273"/>
      <c r="J33" s="273"/>
      <c r="K33" s="273"/>
      <c r="L33" s="273"/>
      <c r="M33" s="273"/>
      <c r="N33" s="273"/>
      <c r="O33" s="273"/>
      <c r="P33" s="273"/>
      <c r="Q33" s="273"/>
      <c r="R33" s="274"/>
      <c r="S33" s="5"/>
      <c r="T33" s="5"/>
      <c r="U33" s="5"/>
      <c r="V33" s="5"/>
      <c r="W33" s="5"/>
      <c r="X33" s="5"/>
      <c r="Y33" s="5"/>
      <c r="Z33" s="5"/>
      <c r="AA33" s="5"/>
    </row>
    <row r="34" spans="1:27" x14ac:dyDescent="0.2">
      <c r="A34" s="5"/>
      <c r="B34" s="272"/>
      <c r="C34" s="273"/>
      <c r="D34" s="273"/>
      <c r="E34" s="273"/>
      <c r="F34" s="273"/>
      <c r="G34" s="273"/>
      <c r="H34" s="273"/>
      <c r="I34" s="273"/>
      <c r="J34" s="273"/>
      <c r="K34" s="273"/>
      <c r="L34" s="273"/>
      <c r="M34" s="273"/>
      <c r="N34" s="273"/>
      <c r="O34" s="273"/>
      <c r="P34" s="273"/>
      <c r="Q34" s="273"/>
      <c r="R34" s="274"/>
      <c r="S34" s="5"/>
      <c r="T34" s="5"/>
      <c r="U34" s="5"/>
      <c r="V34" s="5"/>
      <c r="W34" s="5"/>
      <c r="X34" s="5"/>
      <c r="Y34" s="5"/>
      <c r="Z34" s="5"/>
      <c r="AA34" s="5"/>
    </row>
    <row r="35" spans="1:27" ht="15.75" thickBot="1" x14ac:dyDescent="0.25">
      <c r="A35" s="5"/>
      <c r="B35" s="275"/>
      <c r="C35" s="276"/>
      <c r="D35" s="276"/>
      <c r="E35" s="276"/>
      <c r="F35" s="276"/>
      <c r="G35" s="276"/>
      <c r="H35" s="276"/>
      <c r="I35" s="276"/>
      <c r="J35" s="276"/>
      <c r="K35" s="276"/>
      <c r="L35" s="276"/>
      <c r="M35" s="276"/>
      <c r="N35" s="276"/>
      <c r="O35" s="276"/>
      <c r="P35" s="276"/>
      <c r="Q35" s="276"/>
      <c r="R35" s="277"/>
      <c r="S35" s="5"/>
      <c r="T35" s="5"/>
      <c r="U35" s="5"/>
      <c r="V35" s="5"/>
      <c r="W35" s="5"/>
      <c r="X35" s="5"/>
      <c r="Y35" s="5"/>
      <c r="Z35" s="5"/>
      <c r="AA35" s="5"/>
    </row>
    <row r="36" spans="1:27" x14ac:dyDescent="0.2">
      <c r="A36" s="5"/>
      <c r="B36" s="5"/>
      <c r="F36" s="5"/>
      <c r="G36" s="5"/>
      <c r="H36" s="5"/>
      <c r="I36" s="5"/>
      <c r="J36" s="5"/>
      <c r="K36" s="5"/>
      <c r="L36" s="5"/>
      <c r="M36" s="5"/>
      <c r="N36" s="5"/>
      <c r="O36" s="5"/>
      <c r="P36" s="5"/>
      <c r="Q36" s="5"/>
      <c r="R36" s="50"/>
      <c r="S36" s="5"/>
      <c r="T36" s="5"/>
      <c r="U36" s="5"/>
      <c r="V36" s="5"/>
      <c r="W36" s="5"/>
      <c r="X36" s="5"/>
      <c r="Y36" s="5"/>
      <c r="Z36" s="5"/>
      <c r="AA36" s="5"/>
    </row>
    <row r="37" spans="1:27" x14ac:dyDescent="0.2">
      <c r="A37" s="5"/>
      <c r="B37" s="5"/>
      <c r="F37" s="5"/>
      <c r="G37" s="5"/>
      <c r="H37" s="5"/>
      <c r="I37" s="5"/>
      <c r="J37" s="5"/>
      <c r="K37" s="5"/>
      <c r="L37" s="5"/>
      <c r="M37" s="5"/>
      <c r="N37" s="5"/>
      <c r="O37" s="5"/>
      <c r="P37" s="5"/>
      <c r="Q37" s="5"/>
      <c r="R37" s="50"/>
      <c r="S37" s="5"/>
      <c r="T37" s="5"/>
      <c r="U37" s="5"/>
      <c r="V37" s="5"/>
      <c r="W37" s="5"/>
      <c r="X37" s="5"/>
      <c r="Y37" s="5"/>
      <c r="Z37" s="5"/>
      <c r="AA37" s="5"/>
    </row>
    <row r="38" spans="1:27" x14ac:dyDescent="0.2">
      <c r="A38" s="5"/>
      <c r="B38" s="5"/>
      <c r="F38" s="5"/>
      <c r="G38" s="5"/>
      <c r="H38" s="5"/>
      <c r="I38" s="5"/>
      <c r="J38" s="5"/>
      <c r="K38" s="5"/>
      <c r="L38" s="5"/>
      <c r="M38" s="5"/>
      <c r="N38" s="5"/>
      <c r="O38" s="5"/>
      <c r="P38" s="5"/>
      <c r="Q38" s="5"/>
      <c r="R38" s="50"/>
      <c r="S38" s="5"/>
      <c r="T38" s="5"/>
      <c r="U38" s="5"/>
      <c r="V38" s="5"/>
      <c r="W38" s="5"/>
      <c r="X38" s="5"/>
      <c r="Y38" s="5"/>
      <c r="Z38" s="5"/>
      <c r="AA38" s="5"/>
    </row>
    <row r="39" spans="1:27" x14ac:dyDescent="0.2">
      <c r="A39" s="5"/>
      <c r="B39" s="5"/>
      <c r="F39" s="5"/>
      <c r="G39" s="5"/>
      <c r="H39" s="5"/>
      <c r="I39" s="5"/>
      <c r="J39" s="5"/>
      <c r="K39" s="5"/>
      <c r="L39" s="5"/>
      <c r="M39" s="5"/>
      <c r="N39" s="5"/>
      <c r="O39" s="5"/>
      <c r="P39" s="5"/>
      <c r="Q39" s="5"/>
      <c r="R39" s="5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49"/>
    </row>
    <row r="99" spans="1:27" x14ac:dyDescent="0.2">
      <c r="B99" s="5"/>
      <c r="C99" s="5"/>
      <c r="D99" s="5"/>
      <c r="E99" s="5"/>
      <c r="F99" s="5"/>
      <c r="G99" s="5"/>
      <c r="H99" s="5"/>
      <c r="I99" s="5"/>
      <c r="J99" s="5"/>
      <c r="K99" s="5"/>
      <c r="L99" s="5"/>
      <c r="M99" s="5"/>
      <c r="N99" s="5"/>
      <c r="O99" s="5"/>
      <c r="P99" s="5"/>
      <c r="Q99" s="5"/>
      <c r="R99" s="49"/>
    </row>
    <row r="100" spans="1:27" x14ac:dyDescent="0.2">
      <c r="B100" s="5"/>
      <c r="C100" s="5"/>
      <c r="D100" s="5"/>
      <c r="E100" s="5"/>
      <c r="F100" s="5"/>
      <c r="G100" s="5"/>
      <c r="H100" s="5"/>
      <c r="I100" s="5"/>
      <c r="J100" s="5"/>
      <c r="K100" s="5"/>
      <c r="L100" s="5"/>
      <c r="M100" s="5"/>
      <c r="N100" s="5"/>
      <c r="O100" s="5"/>
      <c r="P100" s="5"/>
      <c r="Q100" s="5"/>
      <c r="R100" s="49"/>
    </row>
    <row r="101" spans="1:27" x14ac:dyDescent="0.2">
      <c r="B101" s="5"/>
      <c r="C101" s="5"/>
      <c r="D101" s="5"/>
      <c r="E101" s="5"/>
      <c r="F101" s="5"/>
      <c r="G101" s="5"/>
      <c r="H101" s="5"/>
      <c r="I101" s="5"/>
      <c r="J101" s="5"/>
      <c r="K101" s="5"/>
      <c r="L101" s="5"/>
      <c r="M101" s="5"/>
      <c r="N101" s="5"/>
      <c r="O101" s="5"/>
      <c r="P101" s="5"/>
      <c r="Q101" s="5"/>
      <c r="R101" s="49"/>
    </row>
    <row r="102" spans="1:27" x14ac:dyDescent="0.2">
      <c r="R102" s="49"/>
    </row>
    <row r="103" spans="1:27" x14ac:dyDescent="0.2">
      <c r="R103" s="49"/>
    </row>
    <row r="104" spans="1:27" x14ac:dyDescent="0.2">
      <c r="R104" s="49"/>
    </row>
    <row r="105" spans="1:27" x14ac:dyDescent="0.2">
      <c r="R105" s="49"/>
    </row>
    <row r="106" spans="1:27" x14ac:dyDescent="0.2">
      <c r="R106" s="49"/>
    </row>
    <row r="107" spans="1:27" x14ac:dyDescent="0.2">
      <c r="R107" s="49"/>
    </row>
    <row r="108" spans="1:27" x14ac:dyDescent="0.2">
      <c r="R108" s="49"/>
    </row>
    <row r="109" spans="1:27" x14ac:dyDescent="0.2">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sheetData>
  <sortState ref="C16:E18">
    <sortCondition descending="1" ref="E16"/>
  </sortState>
  <mergeCells count="3">
    <mergeCell ref="C3:P3"/>
    <mergeCell ref="D5:E5"/>
    <mergeCell ref="B29:R35"/>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278" t="s">
        <v>161</v>
      </c>
      <c r="D3" s="279"/>
      <c r="E3" s="279"/>
      <c r="F3" s="279"/>
      <c r="G3" s="279"/>
      <c r="H3" s="279"/>
      <c r="I3" s="279"/>
      <c r="J3" s="279"/>
      <c r="K3" s="279"/>
      <c r="L3" s="279"/>
      <c r="M3" s="279"/>
      <c r="N3" s="279"/>
      <c r="O3" s="279"/>
      <c r="P3" s="279"/>
      <c r="Q3" s="279"/>
      <c r="R3" s="279"/>
      <c r="S3" s="279"/>
      <c r="T3" s="25"/>
    </row>
    <row r="4" spans="1:25" ht="15.75" customHeight="1" x14ac:dyDescent="0.25">
      <c r="B4" s="64"/>
      <c r="C4" s="67" t="s">
        <v>412</v>
      </c>
      <c r="D4" s="29"/>
      <c r="E4" s="29"/>
      <c r="F4" s="29"/>
      <c r="G4" s="29"/>
      <c r="H4" s="29"/>
      <c r="I4" s="29"/>
      <c r="J4" s="29"/>
      <c r="K4" s="29"/>
      <c r="L4" s="29"/>
      <c r="M4" s="29"/>
      <c r="N4" s="29"/>
      <c r="O4" s="29"/>
      <c r="P4" s="29"/>
      <c r="Q4" s="29"/>
      <c r="R4" s="29"/>
      <c r="S4" s="29"/>
      <c r="T4" s="25"/>
    </row>
    <row r="5" spans="1:25" ht="18" customHeight="1" x14ac:dyDescent="0.25">
      <c r="B5" s="64"/>
      <c r="C5" s="221" t="s">
        <v>411</v>
      </c>
      <c r="D5" s="280" t="s">
        <v>387</v>
      </c>
      <c r="E5" s="280"/>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7" t="s">
        <v>32</v>
      </c>
      <c r="D8" s="188" t="s">
        <v>3</v>
      </c>
      <c r="E8" s="189">
        <v>3.5188999999999998E-2</v>
      </c>
      <c r="F8" s="29"/>
      <c r="G8" s="29"/>
      <c r="H8" s="29"/>
      <c r="I8" s="29"/>
      <c r="J8" s="29"/>
      <c r="K8" s="29"/>
      <c r="L8" s="29"/>
      <c r="M8" s="29"/>
      <c r="N8" s="29"/>
      <c r="O8" s="29"/>
      <c r="P8" s="29"/>
      <c r="Q8" s="29"/>
      <c r="R8" s="29"/>
      <c r="S8" s="29"/>
      <c r="T8" s="25"/>
      <c r="W8" s="236" t="s">
        <v>3</v>
      </c>
      <c r="X8" s="239">
        <v>8.1657999999999981E-2</v>
      </c>
      <c r="Y8" s="39"/>
    </row>
    <row r="9" spans="1:25" ht="15.75" customHeight="1" x14ac:dyDescent="0.25">
      <c r="B9" s="64"/>
      <c r="C9" s="187" t="s">
        <v>197</v>
      </c>
      <c r="D9" s="188" t="s">
        <v>106</v>
      </c>
      <c r="E9" s="189">
        <v>2.6766000000000002E-2</v>
      </c>
      <c r="F9" s="29"/>
      <c r="G9" s="29"/>
      <c r="H9" s="29"/>
      <c r="I9" s="29"/>
      <c r="J9" s="29"/>
      <c r="K9" s="29"/>
      <c r="L9" s="29"/>
      <c r="M9" s="29"/>
      <c r="N9" s="29"/>
      <c r="O9" s="29"/>
      <c r="P9" s="29"/>
      <c r="Q9" s="29"/>
      <c r="R9" s="29"/>
      <c r="S9" s="29"/>
      <c r="T9" s="25"/>
      <c r="W9" s="236" t="s">
        <v>26</v>
      </c>
      <c r="X9" s="239">
        <v>5.4011000000000003E-2</v>
      </c>
      <c r="Y9" s="39"/>
    </row>
    <row r="10" spans="1:25" ht="15" customHeight="1" x14ac:dyDescent="0.25">
      <c r="B10" s="64"/>
      <c r="C10" s="187" t="s">
        <v>31</v>
      </c>
      <c r="D10" s="188" t="s">
        <v>6</v>
      </c>
      <c r="E10" s="189">
        <v>2.0648E-2</v>
      </c>
      <c r="F10" s="29"/>
      <c r="G10" s="29"/>
      <c r="H10" s="29"/>
      <c r="I10" s="29"/>
      <c r="J10" s="29"/>
      <c r="K10" s="29"/>
      <c r="L10" s="29"/>
      <c r="M10" s="29"/>
      <c r="N10" s="29"/>
      <c r="O10" s="29"/>
      <c r="P10" s="29"/>
      <c r="Q10" s="29"/>
      <c r="R10" s="29"/>
      <c r="S10" s="29"/>
      <c r="T10" s="25"/>
      <c r="W10" s="236" t="s">
        <v>107</v>
      </c>
      <c r="X10" s="239">
        <v>4.0889000000000009E-2</v>
      </c>
      <c r="Y10" s="39"/>
    </row>
    <row r="11" spans="1:25" ht="15" customHeight="1" x14ac:dyDescent="0.25">
      <c r="B11" s="64"/>
      <c r="C11" s="187" t="s">
        <v>28</v>
      </c>
      <c r="D11" s="188" t="s">
        <v>107</v>
      </c>
      <c r="E11" s="189">
        <v>1.8139000000000002E-2</v>
      </c>
      <c r="F11" s="29"/>
      <c r="G11" s="29"/>
      <c r="H11" s="29"/>
      <c r="I11" s="29"/>
      <c r="J11" s="29"/>
      <c r="K11" s="29"/>
      <c r="L11" s="29"/>
      <c r="M11" s="29"/>
      <c r="N11" s="29"/>
      <c r="O11" s="29"/>
      <c r="P11" s="29"/>
      <c r="Q11" s="29"/>
      <c r="R11" s="29"/>
      <c r="S11" s="29"/>
      <c r="T11" s="25"/>
      <c r="W11" s="236" t="s">
        <v>111</v>
      </c>
      <c r="X11" s="239">
        <v>3.0922000000000002E-2</v>
      </c>
      <c r="Y11" s="39"/>
    </row>
    <row r="12" spans="1:25" ht="15" customHeight="1" x14ac:dyDescent="0.25">
      <c r="B12" s="64"/>
      <c r="C12" s="187" t="s">
        <v>79</v>
      </c>
      <c r="D12" s="188" t="s">
        <v>3</v>
      </c>
      <c r="E12" s="189">
        <v>1.6442999999999996E-2</v>
      </c>
      <c r="F12" s="29"/>
      <c r="G12" s="29"/>
      <c r="H12" s="29"/>
      <c r="I12" s="29"/>
      <c r="J12" s="29"/>
      <c r="K12" s="29"/>
      <c r="L12" s="29"/>
      <c r="M12" s="29"/>
      <c r="N12" s="29"/>
      <c r="O12" s="29"/>
      <c r="P12" s="29"/>
      <c r="Q12" s="29"/>
      <c r="R12" s="29"/>
      <c r="S12" s="29"/>
      <c r="T12" s="25"/>
      <c r="W12" s="236" t="s">
        <v>106</v>
      </c>
      <c r="X12" s="239">
        <v>2.8603999999999997E-2</v>
      </c>
      <c r="Y12" s="39"/>
    </row>
    <row r="13" spans="1:25" ht="15" customHeight="1" x14ac:dyDescent="0.25">
      <c r="B13" s="64"/>
      <c r="C13" s="187" t="s">
        <v>225</v>
      </c>
      <c r="D13" s="188" t="s">
        <v>26</v>
      </c>
      <c r="E13" s="189">
        <v>1.5523E-2</v>
      </c>
      <c r="F13" s="29"/>
      <c r="G13" s="29"/>
      <c r="H13" s="29"/>
      <c r="I13" s="29"/>
      <c r="J13" s="29"/>
      <c r="K13" s="29"/>
      <c r="L13" s="29"/>
      <c r="M13" s="29"/>
      <c r="N13" s="29"/>
      <c r="O13" s="29"/>
      <c r="P13" s="29"/>
      <c r="Q13" s="29"/>
      <c r="R13" s="29"/>
      <c r="S13" s="29"/>
      <c r="T13" s="25"/>
      <c r="W13" s="236" t="s">
        <v>4</v>
      </c>
      <c r="X13" s="239">
        <v>2.3144999999999999E-2</v>
      </c>
      <c r="Y13" s="39"/>
    </row>
    <row r="14" spans="1:25" ht="15.75" customHeight="1" x14ac:dyDescent="0.25">
      <c r="B14" s="64"/>
      <c r="C14" s="187" t="s">
        <v>291</v>
      </c>
      <c r="D14" s="188" t="s">
        <v>184</v>
      </c>
      <c r="E14" s="189">
        <v>1.4983E-2</v>
      </c>
      <c r="F14" s="29"/>
      <c r="G14" s="29"/>
      <c r="H14" s="29"/>
      <c r="I14" s="29"/>
      <c r="J14" s="29"/>
      <c r="K14" s="29"/>
      <c r="L14" s="29"/>
      <c r="M14" s="29"/>
      <c r="N14" s="29"/>
      <c r="O14" s="29"/>
      <c r="P14" s="29"/>
      <c r="Q14" s="29"/>
      <c r="R14" s="29"/>
      <c r="S14" s="29"/>
      <c r="T14" s="25"/>
      <c r="W14" s="236" t="s">
        <v>77</v>
      </c>
      <c r="X14" s="239">
        <v>2.2327E-2</v>
      </c>
      <c r="Y14" s="39"/>
    </row>
    <row r="15" spans="1:25" ht="15.75" x14ac:dyDescent="0.25">
      <c r="B15" s="64"/>
      <c r="C15" s="187" t="s">
        <v>70</v>
      </c>
      <c r="D15" s="188" t="s">
        <v>12</v>
      </c>
      <c r="E15" s="189">
        <v>1.4365000000000003E-2</v>
      </c>
      <c r="F15" s="29"/>
      <c r="G15" s="29"/>
      <c r="H15" s="29"/>
      <c r="I15" s="29"/>
      <c r="J15" s="29"/>
      <c r="K15" s="29"/>
      <c r="L15" s="29"/>
      <c r="M15" s="29"/>
      <c r="N15" s="29"/>
      <c r="O15" s="29"/>
      <c r="P15" s="29"/>
      <c r="Q15" s="29"/>
      <c r="R15" s="29"/>
      <c r="S15" s="29"/>
      <c r="T15" s="25"/>
      <c r="W15" s="236" t="s">
        <v>23</v>
      </c>
      <c r="X15" s="239">
        <v>2.1513999999999998E-2</v>
      </c>
      <c r="Y15" s="39"/>
    </row>
    <row r="16" spans="1:25" ht="15.75" customHeight="1" x14ac:dyDescent="0.25">
      <c r="B16" s="64"/>
      <c r="C16" s="187" t="s">
        <v>29</v>
      </c>
      <c r="D16" s="188" t="s">
        <v>3</v>
      </c>
      <c r="E16" s="189">
        <v>1.4229E-2</v>
      </c>
      <c r="F16" s="29"/>
      <c r="G16" s="29"/>
      <c r="H16" s="29"/>
      <c r="I16" s="29"/>
      <c r="J16" s="29"/>
      <c r="K16" s="29"/>
      <c r="L16" s="29"/>
      <c r="M16" s="29"/>
      <c r="N16" s="29"/>
      <c r="O16" s="29"/>
      <c r="P16" s="29"/>
      <c r="Q16" s="29"/>
      <c r="R16" s="29"/>
      <c r="S16" s="29"/>
      <c r="T16" s="25"/>
      <c r="W16" s="236" t="s">
        <v>6</v>
      </c>
      <c r="X16" s="239">
        <v>2.0648E-2</v>
      </c>
      <c r="Y16" s="39"/>
    </row>
    <row r="17" spans="2:25" ht="15" customHeight="1" x14ac:dyDescent="0.25">
      <c r="B17" s="64"/>
      <c r="C17" s="187" t="s">
        <v>236</v>
      </c>
      <c r="D17" s="188" t="s">
        <v>26</v>
      </c>
      <c r="E17" s="189">
        <v>1.374E-2</v>
      </c>
      <c r="F17" s="29"/>
      <c r="G17" s="29"/>
      <c r="H17" s="29"/>
      <c r="I17" s="29"/>
      <c r="J17" s="29"/>
      <c r="K17" s="29"/>
      <c r="L17" s="29"/>
      <c r="M17" s="29"/>
      <c r="N17" s="29"/>
      <c r="O17" s="29"/>
      <c r="P17" s="29"/>
      <c r="Q17" s="29"/>
      <c r="R17" s="29"/>
      <c r="S17" s="29"/>
      <c r="T17" s="25"/>
      <c r="W17" s="236" t="s">
        <v>10</v>
      </c>
      <c r="X17" s="239">
        <v>1.7544000000000001E-2</v>
      </c>
      <c r="Y17" s="39"/>
    </row>
    <row r="18" spans="2:25" ht="15" customHeight="1" x14ac:dyDescent="0.25">
      <c r="B18" s="64"/>
      <c r="C18" s="187" t="s">
        <v>34</v>
      </c>
      <c r="D18" s="188" t="s">
        <v>23</v>
      </c>
      <c r="E18" s="189">
        <v>1.3191E-2</v>
      </c>
      <c r="F18" s="29"/>
      <c r="G18" s="29"/>
      <c r="H18" s="29"/>
      <c r="I18" s="29"/>
      <c r="J18" s="29"/>
      <c r="K18" s="29"/>
      <c r="L18" s="29"/>
      <c r="M18" s="29"/>
      <c r="N18" s="29"/>
      <c r="O18" s="29"/>
      <c r="P18" s="29"/>
      <c r="Q18" s="29"/>
      <c r="R18" s="29"/>
      <c r="S18" s="29"/>
      <c r="T18" s="25"/>
      <c r="W18" s="236" t="s">
        <v>184</v>
      </c>
      <c r="X18" s="239">
        <v>1.4983E-2</v>
      </c>
      <c r="Y18" s="39"/>
    </row>
    <row r="19" spans="2:25" ht="15" customHeight="1" x14ac:dyDescent="0.25">
      <c r="B19" s="64"/>
      <c r="C19" s="187" t="s">
        <v>263</v>
      </c>
      <c r="D19" s="188" t="s">
        <v>77</v>
      </c>
      <c r="E19" s="189">
        <v>1.2172000000000001E-2</v>
      </c>
      <c r="F19" s="29"/>
      <c r="G19" s="29"/>
      <c r="H19" s="29"/>
      <c r="I19" s="29"/>
      <c r="J19" s="29"/>
      <c r="K19" s="29"/>
      <c r="L19" s="29"/>
      <c r="M19" s="29"/>
      <c r="N19" s="29"/>
      <c r="O19" s="29"/>
      <c r="P19" s="29"/>
      <c r="Q19" s="29"/>
      <c r="R19" s="29"/>
      <c r="S19" s="29"/>
      <c r="T19" s="25"/>
      <c r="W19" s="236" t="s">
        <v>12</v>
      </c>
      <c r="X19" s="239">
        <v>1.4338000000000004E-2</v>
      </c>
      <c r="Y19" s="39"/>
    </row>
    <row r="20" spans="2:25" ht="15" customHeight="1" x14ac:dyDescent="0.25">
      <c r="B20" s="64"/>
      <c r="C20" s="187" t="s">
        <v>304</v>
      </c>
      <c r="D20" s="188" t="s">
        <v>133</v>
      </c>
      <c r="E20" s="189">
        <v>1.1597E-2</v>
      </c>
      <c r="F20" s="29"/>
      <c r="G20" s="29"/>
      <c r="H20" s="29"/>
      <c r="I20" s="29"/>
      <c r="J20" s="29"/>
      <c r="K20" s="29"/>
      <c r="L20" s="29"/>
      <c r="M20" s="29"/>
      <c r="N20" s="29"/>
      <c r="O20" s="29"/>
      <c r="P20" s="29"/>
      <c r="Q20" s="29"/>
      <c r="R20" s="29"/>
      <c r="S20" s="29"/>
      <c r="T20" s="25"/>
      <c r="W20" s="236" t="s">
        <v>124</v>
      </c>
      <c r="X20" s="239">
        <v>1.3696E-2</v>
      </c>
      <c r="Y20" s="39"/>
    </row>
    <row r="21" spans="2:25" ht="15" customHeight="1" x14ac:dyDescent="0.25">
      <c r="B21" s="64"/>
      <c r="C21" s="187" t="s">
        <v>36</v>
      </c>
      <c r="D21" s="188" t="s">
        <v>3</v>
      </c>
      <c r="E21" s="189">
        <v>1.1122E-2</v>
      </c>
      <c r="F21" s="29"/>
      <c r="G21" s="29"/>
      <c r="H21" s="29"/>
      <c r="I21" s="29"/>
      <c r="J21" s="29"/>
      <c r="K21" s="29"/>
      <c r="L21" s="29"/>
      <c r="M21" s="29"/>
      <c r="N21" s="29"/>
      <c r="O21" s="29"/>
      <c r="P21" s="29"/>
      <c r="Q21" s="29"/>
      <c r="R21" s="29"/>
      <c r="S21" s="29"/>
      <c r="T21" s="25"/>
      <c r="W21" s="236" t="s">
        <v>112</v>
      </c>
      <c r="X21" s="239">
        <v>1.2803999999999994E-2</v>
      </c>
      <c r="Y21" s="39"/>
    </row>
    <row r="22" spans="2:25" ht="15" customHeight="1" x14ac:dyDescent="0.25">
      <c r="B22" s="64"/>
      <c r="C22" s="187" t="s">
        <v>81</v>
      </c>
      <c r="D22" s="188" t="s">
        <v>4</v>
      </c>
      <c r="E22" s="189">
        <v>1.0249000000000001E-2</v>
      </c>
      <c r="F22" s="29"/>
      <c r="G22" s="29"/>
      <c r="H22" s="29"/>
      <c r="I22" s="29"/>
      <c r="J22" s="29"/>
      <c r="K22" s="29"/>
      <c r="L22" s="29"/>
      <c r="M22" s="29"/>
      <c r="N22" s="29"/>
      <c r="O22" s="29"/>
      <c r="P22" s="29"/>
      <c r="Q22" s="29"/>
      <c r="R22" s="29"/>
      <c r="S22" s="29"/>
      <c r="T22" s="25"/>
      <c r="W22" s="236" t="s">
        <v>110</v>
      </c>
      <c r="X22" s="239">
        <v>1.2424000000000001E-2</v>
      </c>
      <c r="Y22" s="39"/>
    </row>
    <row r="23" spans="2:25" ht="16.5" customHeight="1" x14ac:dyDescent="0.25">
      <c r="B23" s="64"/>
      <c r="C23" s="128" t="s">
        <v>65</v>
      </c>
      <c r="D23" s="129"/>
      <c r="E23" s="130">
        <v>0.24835599999999997</v>
      </c>
      <c r="F23" s="29"/>
      <c r="G23" s="29"/>
      <c r="H23" s="29"/>
      <c r="I23" s="29"/>
      <c r="J23" s="29"/>
      <c r="K23" s="29"/>
      <c r="L23" s="29"/>
      <c r="M23" s="29"/>
      <c r="N23" s="29"/>
      <c r="O23" s="29"/>
      <c r="P23" s="29"/>
      <c r="Q23" s="29"/>
      <c r="R23" s="29"/>
      <c r="S23" s="29"/>
      <c r="T23" s="25"/>
      <c r="W23" s="236" t="s">
        <v>119</v>
      </c>
      <c r="X23" s="239">
        <v>1.2416E-2</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6" t="s">
        <v>113</v>
      </c>
      <c r="X24" s="239">
        <v>1.2275000000000001E-2</v>
      </c>
      <c r="Y24" s="39"/>
    </row>
    <row r="25" spans="2:25" ht="15" customHeight="1" x14ac:dyDescent="0.25">
      <c r="B25" s="64"/>
      <c r="C25" s="128" t="s">
        <v>59</v>
      </c>
      <c r="D25" s="129"/>
      <c r="E25" s="190">
        <v>0.24827500000000002</v>
      </c>
      <c r="F25" s="29"/>
      <c r="G25" s="29"/>
      <c r="H25" s="29"/>
      <c r="I25" s="29"/>
      <c r="J25" s="29"/>
      <c r="K25" s="29"/>
      <c r="L25" s="29"/>
      <c r="M25" s="29"/>
      <c r="N25" s="29"/>
      <c r="O25" s="29"/>
      <c r="P25" s="29"/>
      <c r="Q25" s="29"/>
      <c r="R25" s="29"/>
      <c r="S25" s="29"/>
      <c r="T25" s="25"/>
      <c r="W25" s="236" t="s">
        <v>133</v>
      </c>
      <c r="X25" s="239">
        <v>1.1597E-2</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6" t="s">
        <v>85</v>
      </c>
      <c r="X26" s="239">
        <v>9.214E-3</v>
      </c>
      <c r="Y26" s="39"/>
    </row>
    <row r="27" spans="2:25" ht="18" customHeight="1" x14ac:dyDescent="0.25">
      <c r="B27" s="64"/>
      <c r="C27" s="128" t="s">
        <v>58</v>
      </c>
      <c r="D27" s="108"/>
      <c r="E27" s="191">
        <v>0.32000200000000001</v>
      </c>
      <c r="F27" s="29"/>
      <c r="G27" s="29"/>
      <c r="H27" s="29"/>
      <c r="I27" s="29"/>
      <c r="J27" s="29"/>
      <c r="K27" s="29"/>
      <c r="L27" s="29"/>
      <c r="M27" s="29"/>
      <c r="N27" s="29"/>
      <c r="O27" s="29"/>
      <c r="P27" s="29"/>
      <c r="Q27" s="29"/>
      <c r="R27" s="29"/>
      <c r="S27" s="29"/>
      <c r="T27" s="25"/>
      <c r="W27" s="236" t="s">
        <v>87</v>
      </c>
      <c r="X27" s="239">
        <v>6.3010000000000002E-3</v>
      </c>
    </row>
    <row r="28" spans="2:25" ht="18" customHeight="1" x14ac:dyDescent="0.25">
      <c r="B28" s="64"/>
      <c r="C28" s="240"/>
      <c r="D28" s="241"/>
      <c r="E28" s="127"/>
      <c r="F28" s="29"/>
      <c r="G28" s="29"/>
      <c r="H28" s="29"/>
      <c r="I28" s="29"/>
      <c r="J28" s="29"/>
      <c r="K28" s="29"/>
      <c r="L28" s="29"/>
      <c r="M28" s="29"/>
      <c r="N28" s="29"/>
      <c r="O28" s="29"/>
      <c r="P28" s="29"/>
      <c r="Q28" s="29"/>
      <c r="R28" s="29"/>
      <c r="S28" s="29"/>
      <c r="T28" s="25"/>
      <c r="W28" s="236" t="s">
        <v>83</v>
      </c>
      <c r="X28" s="239">
        <v>5.7990000000000003E-3</v>
      </c>
    </row>
    <row r="29" spans="2:25" ht="15" customHeight="1" x14ac:dyDescent="0.25">
      <c r="B29" s="64"/>
      <c r="C29" s="240" t="s">
        <v>276</v>
      </c>
      <c r="D29" s="241" t="s">
        <v>277</v>
      </c>
      <c r="E29" s="127">
        <v>6.5880000000000001E-3</v>
      </c>
      <c r="F29" s="29"/>
      <c r="G29" s="29"/>
      <c r="H29" s="29"/>
      <c r="I29" s="29"/>
      <c r="J29" s="29"/>
      <c r="K29" s="29"/>
      <c r="L29" s="29"/>
      <c r="M29" s="29"/>
      <c r="N29" s="29"/>
      <c r="O29" s="29"/>
      <c r="P29" s="29"/>
      <c r="Q29" s="29"/>
      <c r="R29" s="29"/>
      <c r="S29" s="29"/>
      <c r="T29" s="25"/>
      <c r="W29" s="236" t="s">
        <v>25</v>
      </c>
      <c r="X29" s="239">
        <v>5.241E-3</v>
      </c>
    </row>
    <row r="30" spans="2:25" ht="15" customHeight="1" x14ac:dyDescent="0.25">
      <c r="B30" s="64"/>
      <c r="C30" s="242" t="s">
        <v>354</v>
      </c>
      <c r="D30" s="241" t="s">
        <v>277</v>
      </c>
      <c r="E30" s="127">
        <v>4.3909999999999999E-3</v>
      </c>
      <c r="F30" s="29"/>
      <c r="G30" s="132"/>
      <c r="H30" s="29"/>
      <c r="I30" s="29"/>
      <c r="J30" s="29"/>
      <c r="K30" s="29"/>
      <c r="L30" s="29"/>
      <c r="M30" s="29"/>
      <c r="N30" s="29"/>
      <c r="O30" s="29"/>
      <c r="P30" s="29"/>
      <c r="Q30" s="29"/>
      <c r="R30" s="29"/>
      <c r="S30" s="29"/>
      <c r="T30" s="25"/>
      <c r="W30" s="236" t="s">
        <v>268</v>
      </c>
      <c r="X30" s="239">
        <v>4.8170000000000001E-3</v>
      </c>
    </row>
    <row r="31" spans="2:25" ht="15" customHeight="1" x14ac:dyDescent="0.25">
      <c r="B31" s="64"/>
      <c r="C31" s="242" t="s">
        <v>275</v>
      </c>
      <c r="D31" s="241" t="s">
        <v>290</v>
      </c>
      <c r="E31" s="127">
        <v>2.2109999999999999E-3</v>
      </c>
      <c r="F31" s="29"/>
      <c r="G31" s="132"/>
      <c r="H31" s="29"/>
      <c r="I31" s="29"/>
      <c r="J31" s="29"/>
      <c r="K31" s="29"/>
      <c r="L31" s="29"/>
      <c r="M31" s="29"/>
      <c r="N31" s="29"/>
      <c r="O31" s="29"/>
      <c r="P31" s="29"/>
      <c r="Q31" s="29"/>
      <c r="R31" s="29"/>
      <c r="S31" s="29"/>
      <c r="T31" s="25"/>
      <c r="W31" s="236" t="s">
        <v>137</v>
      </c>
      <c r="X31" s="239">
        <v>4.3109999999999997E-3</v>
      </c>
    </row>
    <row r="32" spans="2:25" ht="15" customHeight="1" x14ac:dyDescent="0.25">
      <c r="B32" s="64"/>
      <c r="C32" s="240" t="s">
        <v>355</v>
      </c>
      <c r="D32" s="241" t="s">
        <v>277</v>
      </c>
      <c r="E32" s="127">
        <v>2.2030000000000001E-3</v>
      </c>
      <c r="F32" s="29"/>
      <c r="G32" s="132"/>
      <c r="H32" s="29"/>
      <c r="I32" s="29"/>
      <c r="J32" s="29"/>
      <c r="K32" s="29"/>
      <c r="L32" s="29"/>
      <c r="M32" s="29"/>
      <c r="N32" s="29"/>
      <c r="O32" s="29"/>
      <c r="P32" s="29"/>
      <c r="Q32" s="29"/>
      <c r="R32" s="29"/>
      <c r="S32" s="29"/>
      <c r="T32" s="25"/>
      <c r="W32" s="236" t="s">
        <v>84</v>
      </c>
      <c r="X32" s="239">
        <v>3.7269999999999998E-3</v>
      </c>
    </row>
    <row r="33" spans="2:24" ht="15" customHeight="1" x14ac:dyDescent="0.25">
      <c r="B33" s="64"/>
      <c r="C33" s="242" t="s">
        <v>332</v>
      </c>
      <c r="D33" s="241" t="s">
        <v>290</v>
      </c>
      <c r="E33" s="127">
        <v>2.1909999999999998E-3</v>
      </c>
      <c r="F33" s="29"/>
      <c r="G33" s="132"/>
      <c r="H33" s="29"/>
      <c r="I33" s="29"/>
      <c r="J33" s="29"/>
      <c r="K33" s="29"/>
      <c r="L33" s="29"/>
      <c r="M33" s="29"/>
      <c r="N33" s="29"/>
      <c r="O33" s="29"/>
      <c r="P33" s="29"/>
      <c r="Q33" s="29"/>
      <c r="R33" s="29"/>
      <c r="S33" s="29"/>
      <c r="T33" s="25"/>
      <c r="W33" s="236" t="s">
        <v>146</v>
      </c>
      <c r="X33" s="239">
        <v>3.408E-3</v>
      </c>
    </row>
    <row r="34" spans="2:24" ht="15" customHeight="1" x14ac:dyDescent="0.25">
      <c r="B34" s="64"/>
      <c r="C34" s="242" t="s">
        <v>62</v>
      </c>
      <c r="D34" s="241" t="s">
        <v>63</v>
      </c>
      <c r="E34" s="255">
        <v>4.3999999999999999E-5</v>
      </c>
      <c r="F34" s="29"/>
      <c r="G34" s="132"/>
      <c r="H34" s="29"/>
      <c r="I34" s="29"/>
      <c r="J34" s="29"/>
      <c r="K34" s="29"/>
      <c r="L34" s="29"/>
      <c r="M34" s="29"/>
      <c r="N34" s="29"/>
      <c r="O34" s="29"/>
      <c r="P34" s="29"/>
      <c r="Q34" s="29"/>
      <c r="R34" s="29"/>
      <c r="S34" s="29"/>
      <c r="T34" s="25"/>
      <c r="W34" s="236" t="s">
        <v>13</v>
      </c>
      <c r="X34" s="239">
        <v>2.81E-3</v>
      </c>
    </row>
    <row r="35" spans="2:24" ht="15" customHeight="1" x14ac:dyDescent="0.25">
      <c r="B35" s="64"/>
      <c r="C35" s="133" t="s">
        <v>5</v>
      </c>
      <c r="D35" s="129"/>
      <c r="E35" s="130">
        <v>1.7628000000000001E-2</v>
      </c>
      <c r="F35" s="29"/>
      <c r="G35" s="132"/>
      <c r="H35" s="29"/>
      <c r="I35" s="29"/>
      <c r="J35" s="29"/>
      <c r="K35" s="29"/>
      <c r="L35" s="29"/>
      <c r="M35" s="29"/>
      <c r="N35" s="29"/>
      <c r="O35" s="29"/>
      <c r="P35" s="29"/>
      <c r="Q35" s="29"/>
      <c r="R35" s="29"/>
      <c r="S35" s="29"/>
      <c r="T35" s="25"/>
      <c r="W35" s="236" t="s">
        <v>117</v>
      </c>
      <c r="X35" s="239">
        <v>2.7689999999999972E-3</v>
      </c>
    </row>
    <row r="36" spans="2:24" ht="15" customHeight="1" x14ac:dyDescent="0.25">
      <c r="B36" s="64"/>
      <c r="C36" s="233"/>
      <c r="D36" s="234"/>
      <c r="E36" s="234"/>
      <c r="F36" s="29"/>
      <c r="G36" s="132"/>
      <c r="H36" s="29"/>
      <c r="I36" s="29"/>
      <c r="J36" s="29"/>
      <c r="K36" s="29"/>
      <c r="L36" s="29"/>
      <c r="M36" s="29"/>
      <c r="N36" s="29"/>
      <c r="O36" s="29"/>
      <c r="P36" s="29"/>
      <c r="Q36" s="29"/>
      <c r="R36" s="29"/>
      <c r="S36" s="29"/>
      <c r="T36" s="25"/>
      <c r="W36" s="236" t="s">
        <v>116</v>
      </c>
      <c r="X36" s="239">
        <v>1.5629999999999993E-3</v>
      </c>
    </row>
    <row r="37" spans="2:24" ht="15" customHeight="1" x14ac:dyDescent="0.25">
      <c r="B37" s="64"/>
      <c r="C37" s="141" t="s">
        <v>196</v>
      </c>
      <c r="D37" s="142" t="s">
        <v>61</v>
      </c>
      <c r="E37" s="235">
        <v>5.0652000000000003E-2</v>
      </c>
      <c r="F37" s="29"/>
      <c r="G37" s="132"/>
      <c r="H37" s="29"/>
      <c r="I37" s="29"/>
      <c r="J37" s="29"/>
      <c r="K37" s="29"/>
      <c r="L37" s="29"/>
      <c r="M37" s="29"/>
      <c r="N37" s="29"/>
      <c r="O37" s="29"/>
      <c r="P37" s="29"/>
      <c r="Q37" s="29"/>
      <c r="R37" s="29"/>
      <c r="S37" s="29"/>
      <c r="T37" s="25"/>
      <c r="W37" s="236" t="s">
        <v>95</v>
      </c>
      <c r="X37" s="239">
        <v>1.101E-3</v>
      </c>
    </row>
    <row r="38" spans="2:24" ht="15" customHeight="1" x14ac:dyDescent="0.25">
      <c r="B38" s="64"/>
      <c r="C38" s="141" t="s">
        <v>224</v>
      </c>
      <c r="D38" s="142" t="s">
        <v>61</v>
      </c>
      <c r="E38" s="235">
        <v>4.7629999999999999E-2</v>
      </c>
      <c r="F38" s="29"/>
      <c r="G38" s="132"/>
      <c r="H38" s="29"/>
      <c r="I38" s="29"/>
      <c r="J38" s="29"/>
      <c r="K38" s="29"/>
      <c r="L38" s="29"/>
      <c r="M38" s="29"/>
      <c r="N38" s="29"/>
      <c r="O38" s="29"/>
      <c r="P38" s="29"/>
      <c r="Q38" s="29"/>
      <c r="R38" s="29"/>
      <c r="S38" s="29"/>
      <c r="T38" s="25"/>
      <c r="W38" s="236" t="s">
        <v>118</v>
      </c>
      <c r="X38" s="239">
        <v>-2.900000000000038E-5</v>
      </c>
    </row>
    <row r="39" spans="2:24" ht="15" customHeight="1" x14ac:dyDescent="0.25">
      <c r="B39" s="64"/>
      <c r="C39" s="131" t="s">
        <v>200</v>
      </c>
      <c r="D39" s="142" t="s">
        <v>61</v>
      </c>
      <c r="E39" s="184">
        <v>1.3474E-2</v>
      </c>
      <c r="F39" s="29"/>
      <c r="G39" s="134"/>
      <c r="H39" s="29"/>
      <c r="I39" s="29"/>
      <c r="J39" s="29"/>
      <c r="K39" s="29"/>
      <c r="L39" s="29"/>
      <c r="M39" s="29"/>
      <c r="N39" s="29"/>
      <c r="O39" s="29"/>
      <c r="P39" s="29"/>
      <c r="Q39" s="29"/>
      <c r="R39" s="29"/>
      <c r="S39" s="29"/>
      <c r="T39" s="25"/>
      <c r="W39" s="236" t="s">
        <v>16</v>
      </c>
      <c r="X39" s="239">
        <v>-3.7000000000000574E-5</v>
      </c>
    </row>
    <row r="40" spans="2:24" ht="15" customHeight="1" x14ac:dyDescent="0.25">
      <c r="B40" s="64"/>
      <c r="C40" s="141" t="s">
        <v>242</v>
      </c>
      <c r="D40" s="142" t="s">
        <v>61</v>
      </c>
      <c r="E40" s="235">
        <v>2.1559999999999999E-3</v>
      </c>
      <c r="F40" s="29"/>
      <c r="G40" s="29"/>
      <c r="H40" s="29"/>
      <c r="I40" s="135"/>
      <c r="J40" s="29"/>
      <c r="K40" s="29"/>
      <c r="L40" s="29"/>
      <c r="M40" s="29"/>
      <c r="N40" s="29"/>
      <c r="O40" s="29"/>
      <c r="P40" s="29"/>
      <c r="Q40" s="29"/>
      <c r="R40" s="29"/>
      <c r="S40" s="29"/>
      <c r="T40" s="25"/>
      <c r="W40" s="236" t="s">
        <v>86</v>
      </c>
      <c r="X40" s="239">
        <v>-4.9000000000000432E-5</v>
      </c>
    </row>
    <row r="41" spans="2:24" ht="15" customHeight="1" x14ac:dyDescent="0.25">
      <c r="B41" s="64"/>
      <c r="C41" s="128" t="s">
        <v>305</v>
      </c>
      <c r="D41" s="108"/>
      <c r="E41" s="130">
        <v>0.113912</v>
      </c>
      <c r="F41" s="29"/>
      <c r="G41" s="29"/>
      <c r="H41" s="29"/>
      <c r="I41" s="135"/>
      <c r="J41" s="29"/>
      <c r="K41" s="29"/>
      <c r="L41" s="29"/>
      <c r="M41" s="29"/>
      <c r="N41" s="29"/>
      <c r="O41" s="29"/>
      <c r="P41" s="29"/>
      <c r="Q41" s="29"/>
      <c r="R41" s="29"/>
      <c r="S41" s="29"/>
      <c r="T41" s="25"/>
      <c r="W41" s="236" t="s">
        <v>121</v>
      </c>
      <c r="X41" s="239">
        <v>-5.3999999999998494E-5</v>
      </c>
    </row>
    <row r="42" spans="2:24" ht="15" customHeight="1" x14ac:dyDescent="0.25">
      <c r="B42" s="64"/>
      <c r="C42" s="137"/>
      <c r="D42" s="138"/>
      <c r="E42" s="139"/>
      <c r="F42" s="29"/>
      <c r="G42" s="29"/>
      <c r="H42" s="29"/>
      <c r="I42" s="135"/>
      <c r="J42" s="29"/>
      <c r="K42" s="29"/>
      <c r="L42" s="29"/>
      <c r="M42" s="29"/>
      <c r="N42" s="29"/>
      <c r="O42" s="29"/>
      <c r="P42" s="29"/>
      <c r="Q42" s="29"/>
      <c r="R42" s="29"/>
      <c r="S42" s="29"/>
      <c r="T42" s="25"/>
      <c r="W42" s="236" t="s">
        <v>11</v>
      </c>
      <c r="X42" s="239">
        <v>-5.5999999999998759E-5</v>
      </c>
    </row>
    <row r="43" spans="2:24" ht="15" customHeight="1" x14ac:dyDescent="0.25">
      <c r="B43" s="64"/>
      <c r="C43" s="141" t="s">
        <v>307</v>
      </c>
      <c r="D43" s="142" t="s">
        <v>277</v>
      </c>
      <c r="E43" s="235">
        <v>1.3162999999999999E-2</v>
      </c>
      <c r="F43" s="29"/>
      <c r="G43" s="29"/>
      <c r="H43" s="29"/>
      <c r="I43" s="135"/>
      <c r="J43" s="29"/>
      <c r="K43" s="29"/>
      <c r="L43" s="29"/>
      <c r="M43" s="29"/>
      <c r="N43" s="29"/>
      <c r="O43" s="29"/>
      <c r="P43" s="29"/>
      <c r="Q43" s="29"/>
      <c r="R43" s="29"/>
      <c r="S43" s="29"/>
      <c r="T43" s="25"/>
      <c r="W43" s="236"/>
      <c r="X43" s="239"/>
    </row>
    <row r="44" spans="2:24" ht="15" customHeight="1" x14ac:dyDescent="0.25">
      <c r="B44" s="64"/>
      <c r="C44" s="128" t="s">
        <v>306</v>
      </c>
      <c r="D44" s="108"/>
      <c r="E44" s="130">
        <v>1.3162999999999999E-2</v>
      </c>
      <c r="F44" s="29"/>
      <c r="G44" s="29"/>
      <c r="H44" s="29"/>
      <c r="I44" s="135"/>
      <c r="J44" s="29"/>
      <c r="K44" s="29"/>
      <c r="L44" s="29"/>
      <c r="M44" s="29"/>
      <c r="N44" s="29"/>
      <c r="O44" s="29"/>
      <c r="P44" s="29"/>
      <c r="Q44" s="29"/>
      <c r="R44" s="29"/>
      <c r="S44" s="29"/>
      <c r="T44" s="25"/>
      <c r="W44" s="236"/>
      <c r="X44" s="239"/>
    </row>
    <row r="45" spans="2:24" s="53" customFormat="1" ht="15" customHeight="1" x14ac:dyDescent="0.25">
      <c r="B45" s="136"/>
      <c r="C45" s="137"/>
      <c r="D45" s="138"/>
      <c r="E45" s="139"/>
      <c r="F45" s="51"/>
      <c r="G45" s="51"/>
      <c r="H45" s="51"/>
      <c r="I45" s="140"/>
      <c r="J45" s="51"/>
      <c r="K45" s="51"/>
      <c r="L45" s="51"/>
      <c r="M45" s="51"/>
      <c r="N45" s="51"/>
      <c r="O45" s="51"/>
      <c r="P45" s="51"/>
      <c r="Q45" s="51"/>
      <c r="R45" s="51"/>
      <c r="S45" s="51"/>
      <c r="T45" s="52"/>
      <c r="W45" s="236"/>
      <c r="X45" s="239"/>
    </row>
    <row r="46" spans="2:24" s="53" customFormat="1" ht="15" customHeight="1" x14ac:dyDescent="0.25">
      <c r="B46" s="136"/>
      <c r="C46" s="143" t="s">
        <v>68</v>
      </c>
      <c r="D46" s="144"/>
      <c r="E46" s="190">
        <v>3.8663999999999983E-2</v>
      </c>
      <c r="F46" s="51"/>
      <c r="G46" s="51"/>
      <c r="H46" s="51"/>
      <c r="I46" s="140"/>
      <c r="J46" s="51"/>
      <c r="K46" s="51"/>
      <c r="L46" s="51"/>
      <c r="M46" s="51"/>
      <c r="N46" s="51"/>
      <c r="O46" s="51"/>
      <c r="P46" s="51"/>
      <c r="Q46" s="51"/>
      <c r="R46" s="51"/>
      <c r="S46" s="51"/>
      <c r="T46" s="52"/>
      <c r="W46" s="236"/>
      <c r="X46" s="239"/>
    </row>
    <row r="47" spans="2:24" s="53" customFormat="1" ht="15" customHeight="1" x14ac:dyDescent="0.25">
      <c r="B47" s="136"/>
      <c r="C47" s="145"/>
      <c r="D47" s="113"/>
      <c r="E47" s="146"/>
      <c r="F47" s="51"/>
      <c r="G47" s="51"/>
      <c r="H47" s="51"/>
      <c r="I47" s="140"/>
      <c r="J47" s="51"/>
      <c r="K47" s="51"/>
      <c r="L47" s="51"/>
      <c r="M47" s="51"/>
      <c r="N47" s="51"/>
      <c r="O47" s="51"/>
      <c r="P47" s="51"/>
      <c r="Q47" s="51"/>
      <c r="R47" s="51"/>
      <c r="S47" s="51"/>
      <c r="T47" s="52"/>
      <c r="W47" s="236"/>
      <c r="X47" s="239"/>
    </row>
    <row r="48" spans="2:24" s="53" customFormat="1" ht="15" customHeight="1" x14ac:dyDescent="0.25">
      <c r="B48" s="136"/>
      <c r="C48" s="147" t="s">
        <v>21</v>
      </c>
      <c r="D48" s="74"/>
      <c r="E48" s="75">
        <f>E46+E41+E35+E27+E25+E23+E44</f>
        <v>1</v>
      </c>
      <c r="F48" s="51"/>
      <c r="G48" s="51"/>
      <c r="H48" s="51"/>
      <c r="I48" s="140"/>
      <c r="J48" s="51"/>
      <c r="K48" s="51"/>
      <c r="L48" s="51"/>
      <c r="M48" s="51"/>
      <c r="N48" s="51"/>
      <c r="O48" s="51"/>
      <c r="P48" s="51"/>
      <c r="Q48" s="51"/>
      <c r="R48" s="51"/>
      <c r="S48" s="51"/>
      <c r="T48" s="52"/>
      <c r="W48" s="236"/>
      <c r="X48" s="239"/>
    </row>
    <row r="49" spans="2:24" s="53" customFormat="1" ht="15" customHeight="1" x14ac:dyDescent="0.25">
      <c r="B49" s="136"/>
      <c r="F49" s="51"/>
      <c r="G49" s="51"/>
      <c r="H49" s="51"/>
      <c r="I49" s="140"/>
      <c r="J49" s="51"/>
      <c r="K49" s="51"/>
      <c r="L49" s="51"/>
      <c r="M49" s="51"/>
      <c r="N49" s="51"/>
      <c r="O49" s="51"/>
      <c r="P49" s="51"/>
      <c r="Q49" s="51"/>
      <c r="R49" s="51"/>
      <c r="S49" s="51"/>
      <c r="T49" s="52"/>
      <c r="W49" s="236"/>
      <c r="X49" s="239"/>
    </row>
    <row r="50" spans="2:24" s="53" customFormat="1" ht="15" customHeight="1" x14ac:dyDescent="0.25">
      <c r="B50" s="136"/>
      <c r="F50" s="51"/>
      <c r="G50" s="51"/>
      <c r="H50" s="51"/>
      <c r="I50" s="140"/>
      <c r="J50" s="51"/>
      <c r="K50" s="51"/>
      <c r="L50" s="51"/>
      <c r="M50" s="51"/>
      <c r="N50" s="51"/>
      <c r="O50" s="51"/>
      <c r="P50" s="51"/>
      <c r="Q50" s="51"/>
      <c r="R50" s="51"/>
      <c r="S50" s="51"/>
      <c r="T50" s="52"/>
      <c r="X50" s="179"/>
    </row>
    <row r="51" spans="2:24" s="53" customFormat="1" ht="15" customHeight="1" x14ac:dyDescent="0.25">
      <c r="B51" s="136"/>
      <c r="F51" s="51"/>
      <c r="G51" s="51"/>
      <c r="H51" s="51"/>
      <c r="I51" s="140"/>
      <c r="J51" s="51"/>
      <c r="K51" s="51"/>
      <c r="L51" s="51"/>
      <c r="M51" s="51"/>
      <c r="N51" s="51"/>
      <c r="O51" s="51"/>
      <c r="P51" s="51"/>
      <c r="Q51" s="51"/>
      <c r="R51" s="51"/>
      <c r="S51" s="51"/>
      <c r="T51" s="52"/>
    </row>
    <row r="52" spans="2:24" ht="15" customHeight="1" x14ac:dyDescent="0.25">
      <c r="B52" s="64"/>
      <c r="F52" s="29"/>
      <c r="G52" s="29"/>
      <c r="H52" s="29"/>
      <c r="I52" s="135"/>
      <c r="J52" s="29"/>
      <c r="K52" s="29"/>
      <c r="L52" s="29"/>
      <c r="M52" s="29"/>
      <c r="N52" s="29"/>
      <c r="O52" s="29"/>
      <c r="P52" s="29"/>
      <c r="Q52" s="29"/>
      <c r="R52" s="29"/>
      <c r="S52" s="29"/>
      <c r="T52" s="25"/>
    </row>
    <row r="53" spans="2:24" ht="15" customHeight="1" x14ac:dyDescent="0.25">
      <c r="B53" s="64"/>
      <c r="F53" s="29"/>
      <c r="G53" s="29"/>
      <c r="H53" s="29"/>
      <c r="I53" s="135"/>
      <c r="J53" s="29"/>
      <c r="K53" s="29"/>
      <c r="L53" s="29"/>
      <c r="M53" s="29"/>
      <c r="N53" s="29"/>
      <c r="O53" s="29"/>
      <c r="P53" s="29"/>
      <c r="Q53" s="29"/>
      <c r="R53" s="29"/>
      <c r="S53" s="29"/>
      <c r="T53" s="25"/>
    </row>
    <row r="54" spans="2:24" ht="15" customHeight="1" thickBot="1" x14ac:dyDescent="0.3">
      <c r="B54" s="76"/>
      <c r="C54" s="30"/>
      <c r="D54" s="30"/>
      <c r="E54" s="30"/>
      <c r="F54" s="30"/>
      <c r="G54" s="30"/>
      <c r="H54" s="30"/>
      <c r="I54" s="30"/>
      <c r="J54" s="30"/>
      <c r="K54" s="30"/>
      <c r="L54" s="30"/>
      <c r="M54" s="30"/>
      <c r="N54" s="30"/>
      <c r="O54" s="30"/>
      <c r="P54" s="30"/>
      <c r="Q54" s="30"/>
      <c r="R54" s="30"/>
      <c r="S54" s="30"/>
      <c r="T54" s="26"/>
    </row>
    <row r="55" spans="2:24" ht="15" customHeight="1" thickBot="1" x14ac:dyDescent="0.3"/>
    <row r="56" spans="2:24" ht="15" customHeight="1" x14ac:dyDescent="0.25">
      <c r="B56" s="269" t="s">
        <v>182</v>
      </c>
      <c r="C56" s="270"/>
      <c r="D56" s="270"/>
      <c r="E56" s="270"/>
      <c r="F56" s="270"/>
      <c r="G56" s="270"/>
      <c r="H56" s="270"/>
      <c r="I56" s="270"/>
      <c r="J56" s="270"/>
      <c r="K56" s="270"/>
      <c r="L56" s="270"/>
      <c r="M56" s="270"/>
      <c r="N56" s="270"/>
      <c r="O56" s="270"/>
      <c r="P56" s="270"/>
      <c r="Q56" s="270"/>
      <c r="R56" s="271"/>
    </row>
    <row r="57" spans="2:24" ht="15" customHeight="1" x14ac:dyDescent="0.25">
      <c r="B57" s="272"/>
      <c r="C57" s="273"/>
      <c r="D57" s="273"/>
      <c r="E57" s="273"/>
      <c r="F57" s="273"/>
      <c r="G57" s="273"/>
      <c r="H57" s="273"/>
      <c r="I57" s="273"/>
      <c r="J57" s="273"/>
      <c r="K57" s="273"/>
      <c r="L57" s="273"/>
      <c r="M57" s="273"/>
      <c r="N57" s="273"/>
      <c r="O57" s="273"/>
      <c r="P57" s="273"/>
      <c r="Q57" s="273"/>
      <c r="R57" s="274"/>
    </row>
    <row r="58" spans="2:24" ht="15" customHeight="1" x14ac:dyDescent="0.25">
      <c r="B58" s="272"/>
      <c r="C58" s="273"/>
      <c r="D58" s="273"/>
      <c r="E58" s="273"/>
      <c r="F58" s="273"/>
      <c r="G58" s="273"/>
      <c r="H58" s="273"/>
      <c r="I58" s="273"/>
      <c r="J58" s="273"/>
      <c r="K58" s="273"/>
      <c r="L58" s="273"/>
      <c r="M58" s="273"/>
      <c r="N58" s="273"/>
      <c r="O58" s="273"/>
      <c r="P58" s="273"/>
      <c r="Q58" s="273"/>
      <c r="R58" s="274"/>
    </row>
    <row r="59" spans="2:24" ht="15" customHeight="1" x14ac:dyDescent="0.25">
      <c r="B59" s="272"/>
      <c r="C59" s="273"/>
      <c r="D59" s="273"/>
      <c r="E59" s="273"/>
      <c r="F59" s="273"/>
      <c r="G59" s="273"/>
      <c r="H59" s="273"/>
      <c r="I59" s="273"/>
      <c r="J59" s="273"/>
      <c r="K59" s="273"/>
      <c r="L59" s="273"/>
      <c r="M59" s="273"/>
      <c r="N59" s="273"/>
      <c r="O59" s="273"/>
      <c r="P59" s="273"/>
      <c r="Q59" s="273"/>
      <c r="R59" s="274"/>
    </row>
    <row r="60" spans="2:24" ht="15" customHeight="1" x14ac:dyDescent="0.25">
      <c r="B60" s="272"/>
      <c r="C60" s="273"/>
      <c r="D60" s="273"/>
      <c r="E60" s="273"/>
      <c r="F60" s="273"/>
      <c r="G60" s="273"/>
      <c r="H60" s="273"/>
      <c r="I60" s="273"/>
      <c r="J60" s="273"/>
      <c r="K60" s="273"/>
      <c r="L60" s="273"/>
      <c r="M60" s="273"/>
      <c r="N60" s="273"/>
      <c r="O60" s="273"/>
      <c r="P60" s="273"/>
      <c r="Q60" s="273"/>
      <c r="R60" s="274"/>
    </row>
    <row r="61" spans="2:24" ht="15" customHeight="1" x14ac:dyDescent="0.25">
      <c r="B61" s="272"/>
      <c r="C61" s="273"/>
      <c r="D61" s="273"/>
      <c r="E61" s="273"/>
      <c r="F61" s="273"/>
      <c r="G61" s="273"/>
      <c r="H61" s="273"/>
      <c r="I61" s="273"/>
      <c r="J61" s="273"/>
      <c r="K61" s="273"/>
      <c r="L61" s="273"/>
      <c r="M61" s="273"/>
      <c r="N61" s="273"/>
      <c r="O61" s="273"/>
      <c r="P61" s="273"/>
      <c r="Q61" s="273"/>
      <c r="R61" s="274"/>
    </row>
    <row r="62" spans="2:24" ht="24.75" customHeight="1" thickBot="1" x14ac:dyDescent="0.3">
      <c r="B62" s="275"/>
      <c r="C62" s="276"/>
      <c r="D62" s="276"/>
      <c r="E62" s="276"/>
      <c r="F62" s="276"/>
      <c r="G62" s="276"/>
      <c r="H62" s="276"/>
      <c r="I62" s="276"/>
      <c r="J62" s="276"/>
      <c r="K62" s="276"/>
      <c r="L62" s="276"/>
      <c r="M62" s="276"/>
      <c r="N62" s="276"/>
      <c r="O62" s="276"/>
      <c r="P62" s="276"/>
      <c r="Q62" s="276"/>
      <c r="R62" s="277"/>
    </row>
    <row r="63" spans="2:24" ht="15" customHeight="1" x14ac:dyDescent="0.25"/>
    <row r="64" spans="2:2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37:E40">
    <sortCondition descending="1" ref="E37"/>
  </sortState>
  <mergeCells count="3">
    <mergeCell ref="C3:S3"/>
    <mergeCell ref="D5:E5"/>
    <mergeCell ref="B56:R62"/>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63" t="s">
        <v>160</v>
      </c>
      <c r="D3" s="263"/>
      <c r="E3" s="263"/>
      <c r="F3" s="263"/>
      <c r="G3" s="263"/>
      <c r="H3" s="263"/>
      <c r="I3" s="263"/>
      <c r="J3" s="263"/>
      <c r="K3" s="263"/>
      <c r="L3" s="263"/>
      <c r="M3" s="263"/>
      <c r="N3" s="264"/>
    </row>
    <row r="4" spans="2:19" ht="15.75" x14ac:dyDescent="0.25">
      <c r="B4" s="93"/>
      <c r="C4" s="67" t="s">
        <v>412</v>
      </c>
      <c r="D4" s="29"/>
      <c r="E4" s="29"/>
      <c r="F4" s="5"/>
      <c r="G4" s="5"/>
      <c r="H4" s="5"/>
      <c r="I4" s="5"/>
      <c r="J4" s="5"/>
      <c r="K4" s="5"/>
      <c r="L4" s="5"/>
      <c r="M4" s="5"/>
      <c r="N4" s="20"/>
    </row>
    <row r="5" spans="2:19" ht="20.25" customHeight="1" x14ac:dyDescent="0.2">
      <c r="B5" s="93"/>
      <c r="C5" s="221" t="s">
        <v>411</v>
      </c>
      <c r="D5" s="280" t="s">
        <v>388</v>
      </c>
      <c r="E5" s="280"/>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31" t="s">
        <v>45</v>
      </c>
      <c r="F7" s="5"/>
      <c r="G7" s="265" t="s">
        <v>46</v>
      </c>
      <c r="H7" s="265"/>
      <c r="I7" s="265"/>
      <c r="J7" s="265"/>
      <c r="K7" s="265"/>
      <c r="L7" s="265"/>
      <c r="M7" s="265"/>
      <c r="N7" s="266"/>
    </row>
    <row r="8" spans="2:19" x14ac:dyDescent="0.2">
      <c r="B8" s="93"/>
      <c r="C8" s="120" t="s">
        <v>265</v>
      </c>
      <c r="D8" s="121" t="s">
        <v>111</v>
      </c>
      <c r="E8" s="192">
        <v>4.3109999999999989E-3</v>
      </c>
      <c r="F8" s="5"/>
      <c r="G8" s="245" t="s">
        <v>47</v>
      </c>
      <c r="H8" s="246">
        <v>1</v>
      </c>
      <c r="I8" s="247">
        <f>H8/SUM($H$8:$H$10)</f>
        <v>1</v>
      </c>
      <c r="J8" s="245"/>
      <c r="K8" s="246"/>
      <c r="L8" s="249"/>
      <c r="M8" s="5"/>
      <c r="N8" s="20"/>
      <c r="S8" s="49"/>
    </row>
    <row r="9" spans="2:19" ht="15.75" customHeight="1" x14ac:dyDescent="0.2">
      <c r="B9" s="93"/>
      <c r="C9" s="122" t="s">
        <v>32</v>
      </c>
      <c r="D9" s="38" t="s">
        <v>3</v>
      </c>
      <c r="E9" s="192">
        <v>4.104E-3</v>
      </c>
      <c r="F9" s="5"/>
      <c r="G9" s="245" t="s">
        <v>57</v>
      </c>
      <c r="H9" s="248">
        <v>0</v>
      </c>
      <c r="I9" s="247">
        <f>H9/SUM($H$8:$H$10)</f>
        <v>0</v>
      </c>
      <c r="J9" s="245" t="s">
        <v>99</v>
      </c>
      <c r="K9" s="246">
        <f>E23+E25</f>
        <v>0.10283100000000001</v>
      </c>
      <c r="L9" s="249"/>
      <c r="M9" s="5"/>
      <c r="N9" s="20"/>
      <c r="S9" s="49"/>
    </row>
    <row r="10" spans="2:19" x14ac:dyDescent="0.2">
      <c r="B10" s="93"/>
      <c r="C10" s="122" t="s">
        <v>37</v>
      </c>
      <c r="D10" s="38" t="s">
        <v>117</v>
      </c>
      <c r="E10" s="192">
        <v>4.0790000000000002E-3</v>
      </c>
      <c r="F10" s="31"/>
      <c r="G10" s="245" t="s">
        <v>48</v>
      </c>
      <c r="H10" s="248">
        <v>0</v>
      </c>
      <c r="I10" s="247">
        <f>H10/SUM($H$8:$H$10)</f>
        <v>0</v>
      </c>
      <c r="J10" s="245" t="s">
        <v>20</v>
      </c>
      <c r="K10" s="246">
        <f>E45</f>
        <v>9.2163000000000037E-2</v>
      </c>
      <c r="L10" s="249"/>
      <c r="M10" s="5"/>
      <c r="N10" s="20"/>
      <c r="S10" s="49"/>
    </row>
    <row r="11" spans="2:19" x14ac:dyDescent="0.2">
      <c r="B11" s="93"/>
      <c r="C11" s="122" t="s">
        <v>30</v>
      </c>
      <c r="D11" s="38" t="s">
        <v>117</v>
      </c>
      <c r="E11" s="192">
        <v>4.0700000000000007E-3</v>
      </c>
      <c r="F11" s="5"/>
      <c r="G11" s="245"/>
      <c r="H11" s="245"/>
      <c r="I11" s="245"/>
      <c r="J11" s="1"/>
      <c r="K11" s="1"/>
      <c r="L11" s="249"/>
      <c r="M11" s="5"/>
      <c r="N11" s="20"/>
      <c r="S11" s="49"/>
    </row>
    <row r="12" spans="2:19" ht="15.75" customHeight="1" x14ac:dyDescent="0.2">
      <c r="B12" s="93"/>
      <c r="C12" s="122" t="s">
        <v>33</v>
      </c>
      <c r="D12" s="38" t="s">
        <v>107</v>
      </c>
      <c r="E12" s="192">
        <v>4.0320000000000009E-3</v>
      </c>
      <c r="F12" s="31"/>
      <c r="G12" s="245"/>
      <c r="H12" s="246"/>
      <c r="I12" s="245"/>
      <c r="J12" s="245" t="s">
        <v>41</v>
      </c>
      <c r="K12" s="246">
        <f>E37</f>
        <v>6.4939999999999998E-2</v>
      </c>
      <c r="L12" s="249"/>
      <c r="M12" s="5"/>
      <c r="N12" s="20"/>
      <c r="S12" s="49"/>
    </row>
    <row r="13" spans="2:19" x14ac:dyDescent="0.2">
      <c r="B13" s="93"/>
      <c r="C13" s="122" t="s">
        <v>29</v>
      </c>
      <c r="D13" s="38" t="s">
        <v>3</v>
      </c>
      <c r="E13" s="192">
        <v>3.7839999999999957E-3</v>
      </c>
      <c r="F13" s="31"/>
      <c r="G13" s="245"/>
      <c r="H13" s="245"/>
      <c r="I13" s="245"/>
      <c r="J13" s="245"/>
      <c r="K13" s="262"/>
      <c r="L13" s="249"/>
      <c r="M13" s="5"/>
      <c r="N13" s="20"/>
      <c r="S13" s="49"/>
    </row>
    <row r="14" spans="2:19" x14ac:dyDescent="0.2">
      <c r="B14" s="93"/>
      <c r="C14" s="122" t="s">
        <v>142</v>
      </c>
      <c r="D14" s="38" t="s">
        <v>111</v>
      </c>
      <c r="E14" s="192">
        <v>3.751E-3</v>
      </c>
      <c r="F14" s="31"/>
      <c r="G14" s="245"/>
      <c r="H14" s="245"/>
      <c r="I14" s="245"/>
      <c r="J14" s="245" t="s">
        <v>222</v>
      </c>
      <c r="K14" s="246">
        <f>E28</f>
        <v>8.2397999999999999E-2</v>
      </c>
      <c r="L14" s="249"/>
      <c r="M14" s="5"/>
      <c r="N14" s="20"/>
      <c r="S14" s="49"/>
    </row>
    <row r="15" spans="2:19" x14ac:dyDescent="0.2">
      <c r="B15" s="93"/>
      <c r="C15" s="122" t="s">
        <v>28</v>
      </c>
      <c r="D15" s="38" t="s">
        <v>107</v>
      </c>
      <c r="E15" s="192">
        <v>3.739000000000001E-3</v>
      </c>
      <c r="F15" s="5"/>
      <c r="G15" s="245"/>
      <c r="H15" s="245"/>
      <c r="I15" s="245"/>
      <c r="J15" s="245" t="s">
        <v>42</v>
      </c>
      <c r="K15" s="246">
        <f>E40</f>
        <v>6.9286E-2</v>
      </c>
      <c r="L15" s="249"/>
      <c r="M15" s="5"/>
      <c r="N15" s="20"/>
      <c r="S15" s="49"/>
    </row>
    <row r="16" spans="2:19" x14ac:dyDescent="0.2">
      <c r="B16" s="93"/>
      <c r="C16" s="122" t="s">
        <v>193</v>
      </c>
      <c r="D16" s="38" t="s">
        <v>107</v>
      </c>
      <c r="E16" s="192">
        <v>3.707000000000002E-3</v>
      </c>
      <c r="F16" s="5"/>
      <c r="G16" s="245"/>
      <c r="H16" s="245"/>
      <c r="I16" s="245"/>
      <c r="J16" s="245" t="s">
        <v>60</v>
      </c>
      <c r="K16" s="246">
        <f>E32</f>
        <v>0.56708700000000001</v>
      </c>
      <c r="L16" s="245"/>
      <c r="M16" s="5"/>
      <c r="N16" s="20"/>
      <c r="S16" s="49"/>
    </row>
    <row r="17" spans="2:19" x14ac:dyDescent="0.2">
      <c r="B17" s="93"/>
      <c r="C17" s="123" t="s">
        <v>88</v>
      </c>
      <c r="D17" s="105" t="s">
        <v>108</v>
      </c>
      <c r="E17" s="192">
        <v>3.666E-3</v>
      </c>
      <c r="F17" s="5"/>
      <c r="G17" s="245"/>
      <c r="H17" s="245"/>
      <c r="I17" s="245"/>
      <c r="J17" s="245" t="s">
        <v>330</v>
      </c>
      <c r="K17" s="246">
        <f>E30</f>
        <v>2.3800000000000001E-4</v>
      </c>
      <c r="L17" s="245"/>
      <c r="M17" s="5"/>
      <c r="N17" s="20"/>
      <c r="S17" s="49"/>
    </row>
    <row r="18" spans="2:19" x14ac:dyDescent="0.2">
      <c r="B18" s="93"/>
      <c r="C18" s="122" t="s">
        <v>246</v>
      </c>
      <c r="D18" s="38" t="s">
        <v>16</v>
      </c>
      <c r="E18" s="192">
        <v>3.604E-3</v>
      </c>
      <c r="F18" s="5"/>
      <c r="G18" s="245"/>
      <c r="H18" s="245"/>
      <c r="I18" s="245"/>
      <c r="J18" s="245" t="s">
        <v>331</v>
      </c>
      <c r="K18" s="262">
        <f>E43</f>
        <v>2.1056999999999999E-2</v>
      </c>
      <c r="L18" s="245"/>
      <c r="M18" s="5"/>
      <c r="N18" s="20"/>
      <c r="S18" s="49"/>
    </row>
    <row r="19" spans="2:19" x14ac:dyDescent="0.2">
      <c r="B19" s="93"/>
      <c r="C19" s="122" t="s">
        <v>308</v>
      </c>
      <c r="D19" s="38" t="s">
        <v>108</v>
      </c>
      <c r="E19" s="192">
        <v>3.5959999999999998E-3</v>
      </c>
      <c r="F19" s="5"/>
      <c r="G19" s="249"/>
      <c r="H19" s="249"/>
      <c r="I19" s="249"/>
      <c r="J19" s="249"/>
      <c r="K19" s="249"/>
      <c r="L19" s="249"/>
      <c r="M19" s="5"/>
      <c r="N19" s="20"/>
      <c r="S19" s="49"/>
    </row>
    <row r="20" spans="2:19" ht="15.75" customHeight="1" x14ac:dyDescent="0.25">
      <c r="B20" s="93"/>
      <c r="C20" s="122" t="s">
        <v>316</v>
      </c>
      <c r="D20" s="38" t="s">
        <v>77</v>
      </c>
      <c r="E20" s="192">
        <v>3.5930000000000003E-3</v>
      </c>
      <c r="F20" s="5"/>
      <c r="G20" s="283" t="s">
        <v>100</v>
      </c>
      <c r="H20" s="284"/>
      <c r="I20" s="284"/>
      <c r="J20" s="284"/>
      <c r="K20" s="284"/>
      <c r="L20" s="181">
        <v>2.5920806716659035</v>
      </c>
      <c r="M20" s="124"/>
      <c r="N20" s="107"/>
      <c r="P20" s="19"/>
      <c r="S20" s="49"/>
    </row>
    <row r="21" spans="2:19" ht="15.75" x14ac:dyDescent="0.25">
      <c r="B21" s="93"/>
      <c r="C21" s="122" t="s">
        <v>64</v>
      </c>
      <c r="D21" s="38" t="s">
        <v>83</v>
      </c>
      <c r="E21" s="192">
        <v>3.5280000000000003E-3</v>
      </c>
      <c r="F21" s="5"/>
      <c r="G21" s="5"/>
      <c r="H21" s="5"/>
      <c r="I21" s="5"/>
      <c r="J21" s="5"/>
      <c r="K21" s="5"/>
      <c r="L21" s="5"/>
      <c r="M21" s="5"/>
      <c r="N21" s="20"/>
      <c r="P21" s="19"/>
      <c r="S21" s="49"/>
    </row>
    <row r="22" spans="2:19" ht="15.75" x14ac:dyDescent="0.25">
      <c r="B22" s="93"/>
      <c r="C22" s="122" t="s">
        <v>70</v>
      </c>
      <c r="D22" s="38" t="s">
        <v>12</v>
      </c>
      <c r="E22" s="192">
        <v>3.4759999999999999E-3</v>
      </c>
      <c r="F22" s="5"/>
      <c r="G22" s="31"/>
      <c r="H22" s="31"/>
      <c r="I22" s="31"/>
      <c r="J22" s="5"/>
      <c r="K22" s="31"/>
      <c r="L22" s="5"/>
      <c r="M22" s="5"/>
      <c r="N22" s="20"/>
      <c r="P22" s="19"/>
      <c r="S22" s="49"/>
    </row>
    <row r="23" spans="2:19" ht="15.75" customHeight="1" x14ac:dyDescent="0.25">
      <c r="B23" s="93"/>
      <c r="C23" s="108" t="s">
        <v>89</v>
      </c>
      <c r="D23" s="108"/>
      <c r="E23" s="109">
        <v>5.7040000000000007E-2</v>
      </c>
      <c r="F23" s="5"/>
      <c r="G23" s="265" t="s">
        <v>50</v>
      </c>
      <c r="H23" s="265"/>
      <c r="I23" s="265"/>
      <c r="J23" s="265"/>
      <c r="K23" s="265"/>
      <c r="L23" s="265"/>
      <c r="M23" s="265"/>
      <c r="N23" s="266"/>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90</v>
      </c>
      <c r="D25" s="108"/>
      <c r="E25" s="109">
        <v>4.5790999999999991E-2</v>
      </c>
      <c r="F25" s="5"/>
      <c r="G25" s="5"/>
      <c r="H25" s="5"/>
      <c r="I25" s="5"/>
      <c r="J25" s="5"/>
      <c r="K25" s="5"/>
      <c r="L25" s="5"/>
      <c r="M25" s="5"/>
      <c r="N25" s="20"/>
      <c r="P25" s="19"/>
      <c r="S25" s="49"/>
    </row>
    <row r="26" spans="2:19" ht="15.75" x14ac:dyDescent="0.25">
      <c r="B26" s="93"/>
      <c r="C26" s="210"/>
      <c r="D26" s="210"/>
      <c r="E26" s="192"/>
      <c r="F26" s="5"/>
      <c r="G26" s="5"/>
      <c r="H26" s="5"/>
      <c r="I26" s="5"/>
      <c r="J26" s="5"/>
      <c r="K26" s="5"/>
      <c r="L26" s="5"/>
      <c r="M26" s="5"/>
      <c r="N26" s="20"/>
      <c r="P26" s="19"/>
      <c r="S26" s="49"/>
    </row>
    <row r="27" spans="2:19" ht="15.75" x14ac:dyDescent="0.25">
      <c r="B27" s="93"/>
      <c r="C27" s="210" t="s">
        <v>223</v>
      </c>
      <c r="D27" s="210"/>
      <c r="E27" s="192">
        <v>8.2397999999999999E-2</v>
      </c>
      <c r="F27" s="5"/>
      <c r="G27" s="5"/>
      <c r="H27" s="5"/>
      <c r="I27" s="5"/>
      <c r="J27" s="5"/>
      <c r="K27" s="5"/>
      <c r="L27" s="5"/>
      <c r="M27" s="5"/>
      <c r="N27" s="20"/>
      <c r="P27" s="19"/>
      <c r="S27" s="49"/>
    </row>
    <row r="28" spans="2:19" ht="15.75" x14ac:dyDescent="0.25">
      <c r="B28" s="93"/>
      <c r="C28" s="108" t="s">
        <v>222</v>
      </c>
      <c r="D28" s="108"/>
      <c r="E28" s="186">
        <v>8.2397999999999999E-2</v>
      </c>
      <c r="F28" s="5"/>
      <c r="G28" s="5"/>
      <c r="H28" s="5"/>
      <c r="I28" s="5"/>
      <c r="J28" s="5"/>
      <c r="K28" s="5"/>
      <c r="L28" s="5"/>
      <c r="M28" s="5"/>
      <c r="N28" s="20"/>
      <c r="P28" s="19"/>
      <c r="S28" s="49"/>
    </row>
    <row r="29" spans="2:19" ht="15.75" x14ac:dyDescent="0.25">
      <c r="B29" s="93"/>
      <c r="C29" s="244"/>
      <c r="D29" s="257"/>
      <c r="E29" s="256"/>
      <c r="F29" s="5"/>
      <c r="G29" s="5"/>
      <c r="H29" s="5"/>
      <c r="I29" s="5"/>
      <c r="J29" s="5"/>
      <c r="K29" s="5"/>
      <c r="L29" s="5"/>
      <c r="M29" s="5"/>
      <c r="N29" s="20"/>
      <c r="P29" s="19"/>
      <c r="S29" s="49"/>
    </row>
    <row r="30" spans="2:19" ht="15.75" x14ac:dyDescent="0.25">
      <c r="B30" s="93"/>
      <c r="C30" s="108" t="s">
        <v>330</v>
      </c>
      <c r="D30" s="258"/>
      <c r="E30" s="186">
        <v>2.3800000000000001E-4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8" t="s">
        <v>58</v>
      </c>
      <c r="D32" s="258"/>
      <c r="E32" s="186">
        <v>0.56708700000000001</v>
      </c>
      <c r="F32" s="5"/>
      <c r="G32" s="5"/>
      <c r="H32" s="5"/>
      <c r="I32" s="5"/>
      <c r="J32" s="5"/>
      <c r="K32" s="5"/>
      <c r="L32" s="5"/>
      <c r="M32" s="5"/>
      <c r="N32" s="20"/>
      <c r="P32" s="19"/>
      <c r="S32" s="49"/>
    </row>
    <row r="33" spans="2:19" ht="15" customHeight="1" x14ac:dyDescent="0.25">
      <c r="B33" s="93"/>
      <c r="C33" s="210" t="s">
        <v>76</v>
      </c>
      <c r="D33" s="259" t="s">
        <v>63</v>
      </c>
      <c r="E33" s="192">
        <v>2.0341000000000001E-2</v>
      </c>
      <c r="F33" s="5"/>
      <c r="G33" s="5"/>
      <c r="H33" s="5"/>
      <c r="I33" s="5"/>
      <c r="J33" s="5"/>
      <c r="K33" s="5"/>
      <c r="L33" s="5"/>
      <c r="M33" s="5"/>
      <c r="N33" s="20"/>
      <c r="P33" s="19"/>
      <c r="S33" s="49"/>
    </row>
    <row r="34" spans="2:19" ht="15" customHeight="1" x14ac:dyDescent="0.25">
      <c r="B34" s="93"/>
      <c r="C34" s="210" t="s">
        <v>74</v>
      </c>
      <c r="D34" s="259" t="s">
        <v>63</v>
      </c>
      <c r="E34" s="192">
        <v>2.0333E-2</v>
      </c>
      <c r="F34" s="5"/>
      <c r="G34" s="5"/>
      <c r="H34" s="5"/>
      <c r="I34" s="5"/>
      <c r="J34" s="5"/>
      <c r="K34" s="5"/>
      <c r="L34" s="5"/>
      <c r="M34" s="5"/>
      <c r="N34" s="20"/>
      <c r="P34" s="19"/>
      <c r="S34" s="49"/>
    </row>
    <row r="35" spans="2:19" s="48" customFormat="1" ht="15.75" x14ac:dyDescent="0.25">
      <c r="B35" s="110"/>
      <c r="C35" s="210" t="s">
        <v>181</v>
      </c>
      <c r="D35" s="259" t="s">
        <v>63</v>
      </c>
      <c r="E35" s="192">
        <v>2.0271000000000001E-2</v>
      </c>
      <c r="F35" s="41"/>
      <c r="G35" s="41"/>
      <c r="H35" s="41"/>
      <c r="I35" s="41"/>
      <c r="J35" s="41"/>
      <c r="K35" s="41"/>
      <c r="L35" s="41"/>
      <c r="M35" s="41"/>
      <c r="N35" s="111"/>
      <c r="P35" s="53"/>
      <c r="S35" s="112"/>
    </row>
    <row r="36" spans="2:19" s="48" customFormat="1" ht="15.75" x14ac:dyDescent="0.25">
      <c r="B36" s="110"/>
      <c r="C36" s="210" t="s">
        <v>69</v>
      </c>
      <c r="D36" s="259" t="s">
        <v>63</v>
      </c>
      <c r="E36" s="192">
        <v>3.9950000000000003E-3</v>
      </c>
      <c r="F36" s="41"/>
      <c r="G36" s="41"/>
      <c r="H36" s="41"/>
      <c r="I36" s="41"/>
      <c r="J36" s="41"/>
      <c r="K36" s="41"/>
      <c r="L36" s="41"/>
      <c r="M36" s="41"/>
      <c r="N36" s="111"/>
      <c r="P36" s="53"/>
      <c r="S36" s="112"/>
    </row>
    <row r="37" spans="2:19" ht="15.75" x14ac:dyDescent="0.25">
      <c r="B37" s="93"/>
      <c r="C37" s="108" t="s">
        <v>49</v>
      </c>
      <c r="D37" s="258"/>
      <c r="E37" s="186">
        <v>6.4939999999999998E-2</v>
      </c>
      <c r="F37" s="5"/>
      <c r="G37" s="5"/>
      <c r="H37" s="5"/>
      <c r="I37" s="5"/>
      <c r="J37" s="5"/>
      <c r="K37" s="5"/>
      <c r="L37" s="5"/>
      <c r="M37" s="5"/>
      <c r="N37" s="20"/>
      <c r="P37" s="19"/>
      <c r="S37" s="49"/>
    </row>
    <row r="38" spans="2:19" ht="15.75" x14ac:dyDescent="0.25">
      <c r="B38" s="93"/>
      <c r="C38" s="27" t="s">
        <v>242</v>
      </c>
      <c r="D38" s="33" t="s">
        <v>61</v>
      </c>
      <c r="E38" s="192">
        <v>4.0069E-2</v>
      </c>
      <c r="F38" s="5"/>
      <c r="G38" s="5"/>
      <c r="H38" s="5"/>
      <c r="I38" s="5"/>
      <c r="J38" s="5"/>
      <c r="K38" s="5"/>
      <c r="L38" s="5"/>
      <c r="M38" s="5"/>
      <c r="N38" s="20"/>
      <c r="P38" s="19"/>
      <c r="S38" s="49"/>
    </row>
    <row r="39" spans="2:19" ht="15.75" x14ac:dyDescent="0.25">
      <c r="B39" s="93"/>
      <c r="C39" s="27" t="s">
        <v>200</v>
      </c>
      <c r="D39" s="33" t="s">
        <v>61</v>
      </c>
      <c r="E39" s="192">
        <v>2.9217E-2</v>
      </c>
      <c r="F39" s="5"/>
      <c r="G39" s="5"/>
      <c r="H39" s="5"/>
      <c r="I39" s="5"/>
      <c r="J39" s="5"/>
      <c r="K39" s="5"/>
      <c r="L39" s="5"/>
      <c r="M39" s="5"/>
      <c r="N39" s="20"/>
      <c r="P39" s="19"/>
      <c r="S39" s="49"/>
    </row>
    <row r="40" spans="2:19" ht="15.75" x14ac:dyDescent="0.25">
      <c r="B40" s="93"/>
      <c r="C40" s="108" t="s">
        <v>42</v>
      </c>
      <c r="D40" s="258"/>
      <c r="E40" s="186">
        <v>6.9286E-2</v>
      </c>
      <c r="F40" s="5"/>
      <c r="G40" s="5"/>
      <c r="H40" s="5"/>
      <c r="I40" s="5"/>
      <c r="J40" s="5"/>
      <c r="K40" s="5"/>
      <c r="L40" s="5"/>
      <c r="M40" s="5"/>
      <c r="N40" s="20"/>
      <c r="P40" s="19"/>
      <c r="S40" s="49"/>
    </row>
    <row r="41" spans="2:19" ht="15.75" x14ac:dyDescent="0.25">
      <c r="B41" s="93"/>
      <c r="C41" s="27"/>
      <c r="D41" s="33"/>
      <c r="E41" s="192"/>
      <c r="F41" s="5"/>
      <c r="G41" s="5"/>
      <c r="H41" s="5"/>
      <c r="I41" s="5"/>
      <c r="J41" s="5"/>
      <c r="K41" s="5"/>
      <c r="L41" s="5"/>
      <c r="M41" s="5"/>
      <c r="N41" s="20"/>
      <c r="P41" s="19"/>
      <c r="S41" s="49"/>
    </row>
    <row r="42" spans="2:19" ht="15.75" x14ac:dyDescent="0.25">
      <c r="B42" s="93"/>
      <c r="C42" s="27" t="s">
        <v>359</v>
      </c>
      <c r="D42" s="33" t="s">
        <v>61</v>
      </c>
      <c r="E42" s="192">
        <v>2.1056999999999999E-2</v>
      </c>
      <c r="F42" s="5"/>
      <c r="G42" s="5"/>
      <c r="H42" s="5"/>
      <c r="I42" s="5"/>
      <c r="J42" s="5"/>
      <c r="K42" s="5"/>
      <c r="L42" s="5"/>
      <c r="M42" s="5"/>
      <c r="N42" s="20"/>
      <c r="P42" s="19"/>
      <c r="S42" s="49"/>
    </row>
    <row r="43" spans="2:19" ht="15.75" x14ac:dyDescent="0.25">
      <c r="B43" s="93"/>
      <c r="C43" s="108" t="s">
        <v>331</v>
      </c>
      <c r="D43" s="258"/>
      <c r="E43" s="186">
        <v>2.1056999999999999E-2</v>
      </c>
      <c r="F43" s="5"/>
      <c r="G43" s="5"/>
      <c r="H43" s="5"/>
      <c r="I43" s="5"/>
      <c r="J43" s="5"/>
      <c r="K43" s="5"/>
      <c r="L43" s="5"/>
      <c r="M43" s="5"/>
      <c r="N43" s="20"/>
      <c r="P43" s="19"/>
      <c r="S43" s="49"/>
    </row>
    <row r="44" spans="2:19" ht="15.75" x14ac:dyDescent="0.25">
      <c r="B44" s="93"/>
      <c r="C44" s="4"/>
      <c r="D44" s="260"/>
      <c r="E44" s="32"/>
      <c r="F44" s="5"/>
      <c r="G44" s="5"/>
      <c r="H44" s="5"/>
      <c r="I44" s="5"/>
      <c r="J44" s="5"/>
      <c r="K44" s="5"/>
      <c r="L44" s="5"/>
      <c r="M44" s="5"/>
      <c r="N44" s="20"/>
      <c r="P44" s="19"/>
      <c r="S44" s="49"/>
    </row>
    <row r="45" spans="2:19" ht="15.75" x14ac:dyDescent="0.25">
      <c r="B45" s="93"/>
      <c r="C45" s="108" t="s">
        <v>20</v>
      </c>
      <c r="D45" s="258"/>
      <c r="E45" s="186">
        <v>9.2163000000000037E-2</v>
      </c>
      <c r="F45" s="5"/>
      <c r="G45" s="5"/>
      <c r="H45" s="5"/>
      <c r="I45" s="5"/>
      <c r="J45" s="5"/>
      <c r="K45" s="5"/>
      <c r="L45" s="5"/>
      <c r="M45" s="5"/>
      <c r="N45" s="20"/>
      <c r="P45" s="19"/>
      <c r="S45" s="49"/>
    </row>
    <row r="46" spans="2:19" ht="15.75" x14ac:dyDescent="0.25">
      <c r="B46" s="93"/>
      <c r="C46" s="4"/>
      <c r="D46" s="260"/>
      <c r="E46" s="32"/>
      <c r="F46" s="5"/>
      <c r="G46" s="5"/>
      <c r="H46" s="5"/>
      <c r="I46" s="5"/>
      <c r="J46" s="5"/>
      <c r="K46" s="5"/>
      <c r="L46" s="5"/>
      <c r="M46" s="5"/>
      <c r="N46" s="20"/>
      <c r="P46" s="19"/>
      <c r="S46" s="49"/>
    </row>
    <row r="47" spans="2:19" ht="15.75" x14ac:dyDescent="0.25">
      <c r="B47" s="93"/>
      <c r="C47" s="115" t="s">
        <v>21</v>
      </c>
      <c r="D47" s="261"/>
      <c r="E47" s="116">
        <v>1</v>
      </c>
      <c r="F47" s="5"/>
      <c r="G47" s="5"/>
      <c r="H47" s="5"/>
      <c r="I47" s="5"/>
      <c r="J47" s="5"/>
      <c r="K47" s="5"/>
      <c r="L47" s="5"/>
      <c r="M47" s="5"/>
      <c r="N47" s="20"/>
      <c r="P47" s="19"/>
      <c r="S47" s="49"/>
    </row>
    <row r="48" spans="2:19" ht="15.75" x14ac:dyDescent="0.25">
      <c r="B48" s="93"/>
      <c r="F48" s="5"/>
      <c r="G48" s="5"/>
      <c r="H48" s="5"/>
      <c r="I48" s="5"/>
      <c r="J48" s="5"/>
      <c r="K48" s="5"/>
      <c r="L48" s="5"/>
      <c r="M48" s="5"/>
      <c r="N48" s="20"/>
      <c r="P48" s="19"/>
      <c r="S48" s="49"/>
    </row>
    <row r="49" spans="2:19" ht="11.25" customHeight="1" thickBot="1" x14ac:dyDescent="0.25">
      <c r="B49" s="96"/>
      <c r="C49" s="45"/>
      <c r="D49" s="45"/>
      <c r="E49" s="45"/>
      <c r="F49" s="45"/>
      <c r="G49" s="45"/>
      <c r="H49" s="45"/>
      <c r="I49" s="45"/>
      <c r="J49" s="45"/>
      <c r="K49" s="45"/>
      <c r="L49" s="45"/>
      <c r="M49" s="45"/>
      <c r="N49" s="118"/>
      <c r="S49" s="49"/>
    </row>
    <row r="50" spans="2:19" ht="15.75" thickBot="1" x14ac:dyDescent="0.25">
      <c r="S50" s="49"/>
    </row>
    <row r="51" spans="2:19" ht="15" customHeight="1" x14ac:dyDescent="0.2">
      <c r="B51" s="269" t="s">
        <v>182</v>
      </c>
      <c r="C51" s="270"/>
      <c r="D51" s="270"/>
      <c r="E51" s="270"/>
      <c r="F51" s="270"/>
      <c r="G51" s="270"/>
      <c r="H51" s="270"/>
      <c r="I51" s="270"/>
      <c r="J51" s="270"/>
      <c r="K51" s="270"/>
      <c r="L51" s="270"/>
      <c r="M51" s="270"/>
      <c r="N51" s="270"/>
      <c r="O51" s="270"/>
      <c r="P51" s="270"/>
      <c r="Q51" s="270"/>
      <c r="R51" s="271"/>
      <c r="S51" s="49"/>
    </row>
    <row r="52" spans="2:19" x14ac:dyDescent="0.2">
      <c r="B52" s="272"/>
      <c r="C52" s="273"/>
      <c r="D52" s="273"/>
      <c r="E52" s="273"/>
      <c r="F52" s="273"/>
      <c r="G52" s="273"/>
      <c r="H52" s="273"/>
      <c r="I52" s="273"/>
      <c r="J52" s="273"/>
      <c r="K52" s="273"/>
      <c r="L52" s="273"/>
      <c r="M52" s="273"/>
      <c r="N52" s="273"/>
      <c r="O52" s="273"/>
      <c r="P52" s="273"/>
      <c r="Q52" s="273"/>
      <c r="R52" s="274"/>
      <c r="S52" s="49"/>
    </row>
    <row r="53" spans="2:19" x14ac:dyDescent="0.2">
      <c r="B53" s="272"/>
      <c r="C53" s="273"/>
      <c r="D53" s="273"/>
      <c r="E53" s="273"/>
      <c r="F53" s="273"/>
      <c r="G53" s="273"/>
      <c r="H53" s="273"/>
      <c r="I53" s="273"/>
      <c r="J53" s="273"/>
      <c r="K53" s="273"/>
      <c r="L53" s="273"/>
      <c r="M53" s="273"/>
      <c r="N53" s="273"/>
      <c r="O53" s="273"/>
      <c r="P53" s="273"/>
      <c r="Q53" s="273"/>
      <c r="R53" s="274"/>
      <c r="S53" s="49"/>
    </row>
    <row r="54" spans="2:19" x14ac:dyDescent="0.2">
      <c r="B54" s="272"/>
      <c r="C54" s="273"/>
      <c r="D54" s="273"/>
      <c r="E54" s="273"/>
      <c r="F54" s="273"/>
      <c r="G54" s="273"/>
      <c r="H54" s="273"/>
      <c r="I54" s="273"/>
      <c r="J54" s="273"/>
      <c r="K54" s="273"/>
      <c r="L54" s="273"/>
      <c r="M54" s="273"/>
      <c r="N54" s="273"/>
      <c r="O54" s="273"/>
      <c r="P54" s="273"/>
      <c r="Q54" s="273"/>
      <c r="R54" s="274"/>
      <c r="S54" s="49"/>
    </row>
    <row r="55" spans="2:19" x14ac:dyDescent="0.2">
      <c r="B55" s="272"/>
      <c r="C55" s="273"/>
      <c r="D55" s="273"/>
      <c r="E55" s="273"/>
      <c r="F55" s="273"/>
      <c r="G55" s="273"/>
      <c r="H55" s="273"/>
      <c r="I55" s="273"/>
      <c r="J55" s="273"/>
      <c r="K55" s="273"/>
      <c r="L55" s="273"/>
      <c r="M55" s="273"/>
      <c r="N55" s="273"/>
      <c r="O55" s="273"/>
      <c r="P55" s="273"/>
      <c r="Q55" s="273"/>
      <c r="R55" s="274"/>
      <c r="S55" s="49"/>
    </row>
    <row r="56" spans="2:19" x14ac:dyDescent="0.2">
      <c r="B56" s="272"/>
      <c r="C56" s="273"/>
      <c r="D56" s="273"/>
      <c r="E56" s="273"/>
      <c r="F56" s="273"/>
      <c r="G56" s="273"/>
      <c r="H56" s="273"/>
      <c r="I56" s="273"/>
      <c r="J56" s="273"/>
      <c r="K56" s="273"/>
      <c r="L56" s="273"/>
      <c r="M56" s="273"/>
      <c r="N56" s="273"/>
      <c r="O56" s="273"/>
      <c r="P56" s="273"/>
      <c r="Q56" s="273"/>
      <c r="R56" s="274"/>
      <c r="S56" s="49"/>
    </row>
    <row r="57" spans="2:19" ht="15.75" thickBot="1" x14ac:dyDescent="0.25">
      <c r="B57" s="275"/>
      <c r="C57" s="276"/>
      <c r="D57" s="276"/>
      <c r="E57" s="276"/>
      <c r="F57" s="276"/>
      <c r="G57" s="276"/>
      <c r="H57" s="276"/>
      <c r="I57" s="276"/>
      <c r="J57" s="276"/>
      <c r="K57" s="276"/>
      <c r="L57" s="276"/>
      <c r="M57" s="276"/>
      <c r="N57" s="276"/>
      <c r="O57" s="276"/>
      <c r="P57" s="276"/>
      <c r="Q57" s="276"/>
      <c r="R57" s="277"/>
      <c r="S57" s="49"/>
    </row>
    <row r="58" spans="2:19" x14ac:dyDescent="0.2">
      <c r="S58" s="49"/>
    </row>
    <row r="59" spans="2:19" x14ac:dyDescent="0.2">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sheetData>
  <sortState ref="C33:E36">
    <sortCondition descending="1" ref="E33"/>
  </sortState>
  <mergeCells count="6">
    <mergeCell ref="B51:R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7"/>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3" t="s">
        <v>278</v>
      </c>
      <c r="D3" s="263"/>
      <c r="E3" s="263"/>
      <c r="F3" s="263"/>
      <c r="G3" s="263"/>
      <c r="H3" s="263"/>
      <c r="I3" s="263"/>
      <c r="J3" s="263"/>
      <c r="K3" s="263"/>
      <c r="L3" s="263"/>
      <c r="M3" s="263"/>
      <c r="N3" s="264"/>
    </row>
    <row r="4" spans="2:18" ht="15.75" x14ac:dyDescent="0.25">
      <c r="B4" s="93"/>
      <c r="C4" s="67" t="s">
        <v>412</v>
      </c>
      <c r="D4" s="29"/>
      <c r="E4" s="29"/>
      <c r="F4" s="5"/>
      <c r="G4" s="5"/>
      <c r="H4" s="5"/>
      <c r="I4" s="5"/>
      <c r="J4" s="5"/>
      <c r="K4" s="5"/>
      <c r="L4" s="5"/>
      <c r="M4" s="5"/>
      <c r="N4" s="20"/>
    </row>
    <row r="5" spans="2:18" ht="20.25" customHeight="1" x14ac:dyDescent="0.2">
      <c r="B5" s="93"/>
      <c r="C5" s="221" t="s">
        <v>411</v>
      </c>
      <c r="D5" s="280" t="s">
        <v>389</v>
      </c>
      <c r="E5" s="28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31" t="s">
        <v>44</v>
      </c>
      <c r="E7" s="119" t="s">
        <v>45</v>
      </c>
      <c r="F7" s="5"/>
      <c r="G7" s="265" t="s">
        <v>46</v>
      </c>
      <c r="H7" s="265"/>
      <c r="I7" s="265"/>
      <c r="J7" s="265"/>
      <c r="K7" s="265"/>
      <c r="L7" s="265"/>
      <c r="M7" s="265"/>
      <c r="N7" s="266"/>
    </row>
    <row r="8" spans="2:18" x14ac:dyDescent="0.2">
      <c r="B8" s="93"/>
      <c r="C8" s="228" t="s">
        <v>134</v>
      </c>
      <c r="D8" s="196" t="s">
        <v>112</v>
      </c>
      <c r="E8" s="203">
        <v>1.4194E-2</v>
      </c>
      <c r="F8" s="5"/>
      <c r="G8" s="245" t="s">
        <v>47</v>
      </c>
      <c r="H8" s="250">
        <f>100%-H9-H10</f>
        <v>0.89876899999999993</v>
      </c>
      <c r="I8" s="247">
        <f>H8/SUM($H$8:$H$10)</f>
        <v>0.89876899999999993</v>
      </c>
      <c r="J8" s="245"/>
      <c r="K8" s="246"/>
      <c r="L8" s="245"/>
      <c r="M8" s="5"/>
      <c r="N8" s="20"/>
      <c r="R8" s="49"/>
    </row>
    <row r="9" spans="2:18" ht="15.75" customHeight="1" x14ac:dyDescent="0.2">
      <c r="B9" s="93"/>
      <c r="C9" s="187" t="s">
        <v>136</v>
      </c>
      <c r="D9" s="196" t="s">
        <v>110</v>
      </c>
      <c r="E9" s="204">
        <v>1.0839E-2</v>
      </c>
      <c r="F9" s="5"/>
      <c r="G9" s="245" t="s">
        <v>57</v>
      </c>
      <c r="H9" s="250">
        <f>E31+E32</f>
        <v>6.7347000000000004E-2</v>
      </c>
      <c r="I9" s="247">
        <f t="shared" ref="I9:I10" si="0">H9/SUM($H$8:$H$10)</f>
        <v>6.7347000000000004E-2</v>
      </c>
      <c r="J9" s="245" t="s">
        <v>41</v>
      </c>
      <c r="K9" s="246">
        <f>E34</f>
        <v>0.19334100000000001</v>
      </c>
      <c r="L9" s="245"/>
      <c r="M9" s="5"/>
      <c r="N9" s="20"/>
      <c r="R9" s="49"/>
    </row>
    <row r="10" spans="2:18" x14ac:dyDescent="0.2">
      <c r="B10" s="93"/>
      <c r="C10" s="187" t="s">
        <v>33</v>
      </c>
      <c r="D10" s="196" t="s">
        <v>107</v>
      </c>
      <c r="E10" s="204">
        <v>8.5170000000000003E-3</v>
      </c>
      <c r="F10" s="31"/>
      <c r="G10" s="245" t="s">
        <v>48</v>
      </c>
      <c r="H10" s="250">
        <f>E30</f>
        <v>3.3883999999999997E-2</v>
      </c>
      <c r="I10" s="247">
        <f t="shared" si="0"/>
        <v>3.3883999999999997E-2</v>
      </c>
      <c r="J10" s="245" t="s">
        <v>97</v>
      </c>
      <c r="K10" s="246">
        <f>E19+E22+E24</f>
        <v>0.22380099999999997</v>
      </c>
      <c r="L10" s="245"/>
      <c r="M10" s="5"/>
      <c r="N10" s="20"/>
      <c r="R10" s="49"/>
    </row>
    <row r="11" spans="2:18" x14ac:dyDescent="0.2">
      <c r="B11" s="93"/>
      <c r="C11" s="187" t="s">
        <v>148</v>
      </c>
      <c r="D11" s="196" t="s">
        <v>107</v>
      </c>
      <c r="E11" s="204">
        <v>8.3630000000000006E-3</v>
      </c>
      <c r="F11" s="5"/>
      <c r="G11" s="245"/>
      <c r="H11" s="245"/>
      <c r="I11" s="245"/>
      <c r="J11" s="245" t="s">
        <v>20</v>
      </c>
      <c r="K11" s="246">
        <f>E43</f>
        <v>0.13866200000000001</v>
      </c>
      <c r="L11" s="245"/>
      <c r="M11" s="5"/>
      <c r="N11" s="20"/>
      <c r="R11" s="49"/>
    </row>
    <row r="12" spans="2:18" ht="15.75" customHeight="1" x14ac:dyDescent="0.2">
      <c r="B12" s="93"/>
      <c r="C12" s="187" t="s">
        <v>150</v>
      </c>
      <c r="D12" s="196" t="s">
        <v>121</v>
      </c>
      <c r="E12" s="204">
        <v>8.2260000000000007E-3</v>
      </c>
      <c r="F12" s="31"/>
      <c r="G12" s="245"/>
      <c r="H12" s="246"/>
      <c r="I12" s="245"/>
      <c r="J12" s="245" t="s">
        <v>42</v>
      </c>
      <c r="K12" s="246">
        <f>E41</f>
        <v>0.44101699999999999</v>
      </c>
      <c r="L12" s="245"/>
      <c r="M12" s="5"/>
      <c r="N12" s="20"/>
      <c r="R12" s="49"/>
    </row>
    <row r="13" spans="2:18" x14ac:dyDescent="0.2">
      <c r="B13" s="93"/>
      <c r="C13" s="187" t="s">
        <v>105</v>
      </c>
      <c r="D13" s="196" t="s">
        <v>4</v>
      </c>
      <c r="E13" s="204">
        <v>7.4679999999999998E-3</v>
      </c>
      <c r="F13" s="31"/>
      <c r="G13" s="245"/>
      <c r="H13" s="245"/>
      <c r="I13" s="245"/>
      <c r="J13" s="245"/>
      <c r="K13" s="246"/>
      <c r="L13" s="245"/>
      <c r="M13" s="5"/>
      <c r="N13" s="20"/>
      <c r="R13" s="49"/>
    </row>
    <row r="14" spans="2:18" x14ac:dyDescent="0.2">
      <c r="B14" s="93"/>
      <c r="C14" s="187" t="s">
        <v>29</v>
      </c>
      <c r="D14" s="196" t="s">
        <v>3</v>
      </c>
      <c r="E14" s="204">
        <v>7.26E-3</v>
      </c>
      <c r="F14" s="31"/>
      <c r="G14" s="245"/>
      <c r="H14" s="245"/>
      <c r="I14" s="245"/>
      <c r="J14" s="1" t="s">
        <v>201</v>
      </c>
      <c r="K14" s="251">
        <f>E27</f>
        <v>3.179E-3</v>
      </c>
      <c r="L14" s="245"/>
      <c r="M14" s="5"/>
      <c r="N14" s="20"/>
      <c r="R14" s="49"/>
    </row>
    <row r="15" spans="2:18" x14ac:dyDescent="0.2">
      <c r="B15" s="93"/>
      <c r="C15" s="187" t="s">
        <v>36</v>
      </c>
      <c r="D15" s="196" t="s">
        <v>3</v>
      </c>
      <c r="E15" s="204">
        <v>2.735E-3</v>
      </c>
      <c r="F15" s="5"/>
      <c r="G15" s="245"/>
      <c r="H15" s="245"/>
      <c r="I15" s="245"/>
      <c r="J15" s="1"/>
      <c r="K15" s="1"/>
      <c r="L15" s="245"/>
      <c r="M15" s="5"/>
      <c r="N15" s="20"/>
      <c r="R15" s="49"/>
    </row>
    <row r="16" spans="2:18" x14ac:dyDescent="0.2">
      <c r="B16" s="93"/>
      <c r="C16" s="187" t="s">
        <v>135</v>
      </c>
      <c r="D16" s="196" t="s">
        <v>3</v>
      </c>
      <c r="E16" s="204">
        <v>1.846E-3</v>
      </c>
      <c r="F16" s="5"/>
      <c r="G16" s="245"/>
      <c r="H16" s="245"/>
      <c r="I16" s="245"/>
      <c r="J16" s="245"/>
      <c r="K16" s="245"/>
      <c r="L16" s="245"/>
      <c r="M16" s="5"/>
      <c r="N16" s="20"/>
      <c r="R16" s="49"/>
    </row>
    <row r="17" spans="2:18" x14ac:dyDescent="0.2">
      <c r="B17" s="93"/>
      <c r="C17" s="187"/>
      <c r="D17" s="196"/>
      <c r="E17" s="204"/>
      <c r="F17" s="5"/>
      <c r="G17" s="5"/>
      <c r="H17" s="5"/>
      <c r="I17" s="5"/>
      <c r="J17" s="5"/>
      <c r="K17" s="5"/>
      <c r="L17" s="5"/>
      <c r="M17" s="5"/>
      <c r="N17" s="20"/>
      <c r="R17" s="49"/>
    </row>
    <row r="18" spans="2:18" x14ac:dyDescent="0.2">
      <c r="B18" s="93"/>
      <c r="C18" s="187"/>
      <c r="D18" s="196"/>
      <c r="E18" s="204"/>
      <c r="F18" s="5"/>
      <c r="G18" s="5"/>
      <c r="H18" s="5"/>
      <c r="I18" s="5"/>
      <c r="J18" s="5"/>
      <c r="K18" s="5"/>
      <c r="L18" s="5"/>
      <c r="M18" s="5"/>
      <c r="N18" s="20"/>
      <c r="R18" s="49"/>
    </row>
    <row r="19" spans="2:18" ht="15.75" x14ac:dyDescent="0.2">
      <c r="B19" s="93"/>
      <c r="C19" s="229" t="s">
        <v>56</v>
      </c>
      <c r="D19" s="117"/>
      <c r="E19" s="230">
        <v>6.9447999999999996E-2</v>
      </c>
      <c r="F19" s="5"/>
      <c r="G19" s="5"/>
      <c r="H19" s="5"/>
      <c r="I19" s="5"/>
      <c r="J19" s="5"/>
      <c r="K19" s="5"/>
      <c r="L19" s="5"/>
      <c r="M19" s="5"/>
      <c r="N19" s="20"/>
      <c r="R19" s="49"/>
    </row>
    <row r="20" spans="2:18" ht="15.75" customHeight="1" x14ac:dyDescent="0.25">
      <c r="B20" s="93"/>
      <c r="C20" s="213"/>
      <c r="D20" s="4"/>
      <c r="E20" s="46"/>
      <c r="F20" s="5"/>
      <c r="G20" s="283" t="s">
        <v>100</v>
      </c>
      <c r="H20" s="284"/>
      <c r="I20" s="284"/>
      <c r="J20" s="284"/>
      <c r="K20" s="284"/>
      <c r="L20" s="181">
        <v>12.574614194994798</v>
      </c>
      <c r="M20" s="106"/>
      <c r="N20" s="107"/>
      <c r="R20" s="49"/>
    </row>
    <row r="21" spans="2:18" x14ac:dyDescent="0.2">
      <c r="B21" s="93"/>
      <c r="C21" s="213" t="s">
        <v>173</v>
      </c>
      <c r="D21" s="4"/>
      <c r="E21" s="215">
        <v>0.15435299999999999</v>
      </c>
      <c r="F21" s="5"/>
      <c r="G21" s="5"/>
      <c r="H21" s="5"/>
      <c r="I21" s="5"/>
      <c r="J21" s="5"/>
      <c r="K21" s="5"/>
      <c r="L21" s="5"/>
      <c r="M21" s="5"/>
      <c r="N21" s="20"/>
      <c r="R21" s="49"/>
    </row>
    <row r="22" spans="2:18" ht="15.75" x14ac:dyDescent="0.2">
      <c r="B22" s="93"/>
      <c r="C22" s="128" t="s">
        <v>82</v>
      </c>
      <c r="D22" s="108"/>
      <c r="E22" s="191">
        <v>0.15435299999999999</v>
      </c>
      <c r="F22" s="5"/>
      <c r="G22" s="31"/>
      <c r="H22" s="31"/>
      <c r="I22" s="31"/>
      <c r="J22" s="5"/>
      <c r="K22" s="31"/>
      <c r="L22" s="5"/>
      <c r="M22" s="5"/>
      <c r="N22" s="20"/>
      <c r="R22" s="49"/>
    </row>
    <row r="23" spans="2:18" ht="15.75" customHeight="1" x14ac:dyDescent="0.2">
      <c r="B23" s="93"/>
      <c r="C23" s="222"/>
      <c r="D23" s="113"/>
      <c r="E23" s="243"/>
      <c r="F23" s="5"/>
      <c r="G23" s="265" t="s">
        <v>50</v>
      </c>
      <c r="H23" s="265"/>
      <c r="I23" s="265"/>
      <c r="J23" s="265"/>
      <c r="K23" s="265"/>
      <c r="L23" s="265"/>
      <c r="M23" s="265"/>
      <c r="N23" s="266"/>
      <c r="R23" s="49"/>
    </row>
    <row r="24" spans="2:18" ht="15.75" x14ac:dyDescent="0.2">
      <c r="B24" s="93"/>
      <c r="C24" s="128" t="s">
        <v>66</v>
      </c>
      <c r="D24" s="108"/>
      <c r="E24" s="216">
        <v>0</v>
      </c>
      <c r="F24" s="5"/>
      <c r="G24" s="5"/>
      <c r="H24" s="5"/>
      <c r="I24" s="5"/>
      <c r="J24" s="5"/>
      <c r="K24" s="5"/>
      <c r="L24" s="5"/>
      <c r="M24" s="5"/>
      <c r="N24" s="20"/>
      <c r="R24" s="49"/>
    </row>
    <row r="25" spans="2:18" x14ac:dyDescent="0.2">
      <c r="B25" s="93"/>
      <c r="C25" s="102"/>
      <c r="D25" s="38"/>
      <c r="E25" s="227"/>
      <c r="F25" s="5"/>
      <c r="G25" s="5"/>
      <c r="H25" s="5"/>
      <c r="I25" s="5"/>
      <c r="J25" s="5"/>
      <c r="K25" s="5"/>
      <c r="L25" s="5"/>
      <c r="M25" s="5"/>
      <c r="N25" s="20"/>
      <c r="R25" s="49"/>
    </row>
    <row r="26" spans="2:18" x14ac:dyDescent="0.2">
      <c r="B26" s="93"/>
      <c r="C26" s="102" t="s">
        <v>201</v>
      </c>
      <c r="D26" s="38"/>
      <c r="E26" s="215">
        <v>3.179E-3</v>
      </c>
      <c r="F26" s="5"/>
      <c r="G26" s="5"/>
      <c r="H26" s="5"/>
      <c r="I26" s="5"/>
      <c r="J26" s="5"/>
      <c r="K26" s="5"/>
      <c r="L26" s="5"/>
      <c r="M26" s="5"/>
      <c r="N26" s="20"/>
      <c r="R26" s="49"/>
    </row>
    <row r="27" spans="2:18" ht="15.75" x14ac:dyDescent="0.2">
      <c r="B27" s="93"/>
      <c r="C27" s="128" t="s">
        <v>201</v>
      </c>
      <c r="D27" s="108"/>
      <c r="E27" s="191">
        <v>3.179E-3</v>
      </c>
      <c r="F27" s="5"/>
      <c r="G27" s="5"/>
      <c r="H27" s="5"/>
      <c r="I27" s="5"/>
      <c r="J27" s="5"/>
      <c r="K27" s="5"/>
      <c r="L27" s="5"/>
      <c r="M27" s="5"/>
      <c r="N27" s="20"/>
      <c r="R27" s="49"/>
    </row>
    <row r="28" spans="2:18" s="48" customFormat="1" x14ac:dyDescent="0.2">
      <c r="B28" s="110"/>
      <c r="C28" s="102"/>
      <c r="D28" s="200"/>
      <c r="E28" s="215"/>
      <c r="F28" s="41"/>
      <c r="G28" s="41"/>
      <c r="H28" s="41"/>
      <c r="I28" s="41"/>
      <c r="J28" s="41"/>
      <c r="K28" s="41"/>
      <c r="L28" s="41"/>
      <c r="M28" s="41"/>
      <c r="N28" s="111"/>
      <c r="R28" s="112"/>
    </row>
    <row r="29" spans="2:18" x14ac:dyDescent="0.2">
      <c r="B29" s="93"/>
      <c r="C29" s="102" t="s">
        <v>81</v>
      </c>
      <c r="D29" s="200" t="s">
        <v>63</v>
      </c>
      <c r="E29" s="215">
        <v>8.3875000000000005E-2</v>
      </c>
      <c r="F29" s="5"/>
      <c r="G29" s="5"/>
      <c r="H29" s="5"/>
      <c r="I29" s="5"/>
      <c r="J29" s="5"/>
      <c r="K29" s="5"/>
      <c r="L29" s="5"/>
      <c r="M29" s="5"/>
      <c r="N29" s="20"/>
      <c r="R29" s="49"/>
    </row>
    <row r="30" spans="2:18" x14ac:dyDescent="0.2">
      <c r="B30" s="93"/>
      <c r="C30" s="212" t="s">
        <v>275</v>
      </c>
      <c r="D30" s="200" t="s">
        <v>290</v>
      </c>
      <c r="E30" s="215">
        <v>3.3883999999999997E-2</v>
      </c>
      <c r="F30" s="5"/>
      <c r="G30" s="5"/>
      <c r="H30" s="5"/>
      <c r="I30" s="5"/>
      <c r="J30" s="5"/>
      <c r="K30" s="5"/>
      <c r="L30" s="5"/>
      <c r="M30" s="5"/>
      <c r="N30" s="20"/>
      <c r="R30" s="49"/>
    </row>
    <row r="31" spans="2:18" x14ac:dyDescent="0.2">
      <c r="B31" s="93"/>
      <c r="C31" s="102" t="s">
        <v>279</v>
      </c>
      <c r="D31" s="200" t="s">
        <v>277</v>
      </c>
      <c r="E31" s="232">
        <v>3.3694000000000002E-2</v>
      </c>
      <c r="F31" s="5"/>
      <c r="G31" s="5"/>
      <c r="H31" s="5"/>
      <c r="I31" s="5"/>
      <c r="J31" s="5"/>
      <c r="K31" s="5"/>
      <c r="L31" s="5"/>
      <c r="M31" s="5"/>
      <c r="N31" s="20"/>
      <c r="R31" s="49"/>
    </row>
    <row r="32" spans="2:18" x14ac:dyDescent="0.2">
      <c r="B32" s="93"/>
      <c r="C32" s="102" t="s">
        <v>276</v>
      </c>
      <c r="D32" s="200" t="s">
        <v>277</v>
      </c>
      <c r="E32" s="232">
        <v>3.3653000000000002E-2</v>
      </c>
      <c r="F32" s="5"/>
      <c r="G32" s="5"/>
      <c r="H32" s="5"/>
      <c r="I32" s="5"/>
      <c r="J32" s="5"/>
      <c r="K32" s="5"/>
      <c r="L32" s="5"/>
      <c r="M32" s="5"/>
      <c r="N32" s="20"/>
      <c r="R32" s="49"/>
    </row>
    <row r="33" spans="1:18" x14ac:dyDescent="0.2">
      <c r="B33" s="93"/>
      <c r="C33" s="212" t="s">
        <v>69</v>
      </c>
      <c r="D33" s="200" t="s">
        <v>63</v>
      </c>
      <c r="E33" s="215">
        <v>8.2349999999999993E-3</v>
      </c>
      <c r="F33" s="5"/>
      <c r="G33" s="5"/>
      <c r="H33" s="5"/>
      <c r="I33" s="5"/>
      <c r="J33" s="5"/>
      <c r="K33" s="5"/>
      <c r="L33" s="5"/>
      <c r="M33" s="5"/>
      <c r="N33" s="20"/>
      <c r="R33" s="49"/>
    </row>
    <row r="34" spans="1:18" ht="15.75" x14ac:dyDescent="0.2">
      <c r="B34" s="93"/>
      <c r="C34" s="128" t="s">
        <v>49</v>
      </c>
      <c r="D34" s="108"/>
      <c r="E34" s="216">
        <v>0.19334100000000001</v>
      </c>
      <c r="F34" s="5"/>
      <c r="G34" s="5"/>
      <c r="H34" s="5"/>
      <c r="I34" s="5"/>
      <c r="J34" s="5"/>
      <c r="K34" s="5"/>
      <c r="L34" s="5"/>
      <c r="M34" s="5"/>
      <c r="N34" s="20"/>
      <c r="R34" s="49"/>
    </row>
    <row r="35" spans="1:18" x14ac:dyDescent="0.2">
      <c r="B35" s="93"/>
      <c r="C35" s="102"/>
      <c r="D35" s="38"/>
      <c r="E35" s="215"/>
      <c r="F35" s="5"/>
      <c r="G35" s="5"/>
      <c r="H35" s="5"/>
      <c r="I35" s="5"/>
      <c r="J35" s="5"/>
      <c r="K35" s="5"/>
      <c r="L35" s="5"/>
      <c r="M35" s="5"/>
      <c r="N35" s="20"/>
      <c r="R35" s="49"/>
    </row>
    <row r="36" spans="1:18" x14ac:dyDescent="0.2">
      <c r="B36" s="93"/>
      <c r="C36" s="102" t="s">
        <v>224</v>
      </c>
      <c r="D36" s="38" t="s">
        <v>61</v>
      </c>
      <c r="E36" s="215">
        <v>0.278063</v>
      </c>
      <c r="F36" s="5"/>
      <c r="G36" s="5"/>
      <c r="H36" s="5"/>
      <c r="I36" s="5"/>
      <c r="J36" s="5"/>
      <c r="K36" s="5"/>
      <c r="L36" s="5"/>
      <c r="M36" s="5"/>
      <c r="N36" s="20"/>
      <c r="R36" s="49"/>
    </row>
    <row r="37" spans="1:18" x14ac:dyDescent="0.2">
      <c r="B37" s="93"/>
      <c r="C37" s="102" t="s">
        <v>196</v>
      </c>
      <c r="D37" s="38" t="s">
        <v>61</v>
      </c>
      <c r="E37" s="215">
        <v>0.128799</v>
      </c>
      <c r="F37" s="5"/>
      <c r="G37" s="5"/>
      <c r="H37" s="5"/>
      <c r="I37" s="5"/>
      <c r="J37" s="5"/>
      <c r="K37" s="5"/>
      <c r="L37" s="5"/>
      <c r="M37" s="5"/>
      <c r="N37" s="20"/>
      <c r="R37" s="49"/>
    </row>
    <row r="38" spans="1:18" x14ac:dyDescent="0.2">
      <c r="B38" s="93"/>
      <c r="C38" s="102" t="s">
        <v>103</v>
      </c>
      <c r="D38" s="38" t="s">
        <v>61</v>
      </c>
      <c r="E38" s="215">
        <v>2.2398000000000001E-2</v>
      </c>
      <c r="F38" s="5"/>
      <c r="G38" s="5"/>
      <c r="H38" s="5"/>
      <c r="I38" s="5"/>
      <c r="J38" s="5"/>
      <c r="K38" s="5"/>
      <c r="L38" s="5"/>
      <c r="M38" s="5"/>
      <c r="N38" s="20"/>
      <c r="R38" s="49"/>
    </row>
    <row r="39" spans="1:18" x14ac:dyDescent="0.2">
      <c r="B39" s="93"/>
      <c r="C39" s="102" t="s">
        <v>140</v>
      </c>
      <c r="D39" s="38" t="s">
        <v>61</v>
      </c>
      <c r="E39" s="215">
        <v>1.0229E-2</v>
      </c>
      <c r="F39" s="5"/>
      <c r="G39" s="5"/>
      <c r="H39" s="5"/>
      <c r="I39" s="5"/>
      <c r="J39" s="5"/>
      <c r="K39" s="5"/>
      <c r="L39" s="5"/>
      <c r="M39" s="5"/>
      <c r="N39" s="20"/>
      <c r="R39" s="49"/>
    </row>
    <row r="40" spans="1:18" x14ac:dyDescent="0.2">
      <c r="B40" s="93"/>
      <c r="C40" s="102" t="s">
        <v>67</v>
      </c>
      <c r="D40" s="38" t="s">
        <v>61</v>
      </c>
      <c r="E40" s="215">
        <v>1.5280000000000001E-3</v>
      </c>
      <c r="F40" s="5"/>
      <c r="G40" s="5"/>
      <c r="H40" s="5"/>
      <c r="I40" s="5"/>
      <c r="J40" s="5"/>
      <c r="K40" s="5"/>
      <c r="L40" s="5"/>
      <c r="M40" s="5"/>
      <c r="N40" s="20"/>
      <c r="R40" s="49"/>
    </row>
    <row r="41" spans="1:18" ht="15.75" x14ac:dyDescent="0.2">
      <c r="B41" s="93"/>
      <c r="C41" s="128" t="s">
        <v>42</v>
      </c>
      <c r="D41" s="108"/>
      <c r="E41" s="191">
        <v>0.44101699999999999</v>
      </c>
      <c r="F41" s="5"/>
      <c r="G41" s="5"/>
      <c r="H41" s="5"/>
      <c r="I41" s="5"/>
      <c r="J41" s="5"/>
      <c r="K41" s="5"/>
      <c r="L41" s="5"/>
      <c r="M41" s="5"/>
      <c r="N41" s="20"/>
      <c r="R41" s="49"/>
    </row>
    <row r="42" spans="1:18" x14ac:dyDescent="0.2">
      <c r="B42" s="93"/>
      <c r="C42" s="102"/>
      <c r="D42" s="38"/>
      <c r="E42" s="217"/>
      <c r="F42" s="5"/>
      <c r="G42" s="5"/>
      <c r="H42" s="5"/>
      <c r="I42" s="5"/>
      <c r="J42" s="5"/>
      <c r="K42" s="5"/>
      <c r="L42" s="5"/>
      <c r="M42" s="5"/>
      <c r="N42" s="20"/>
      <c r="R42" s="49"/>
    </row>
    <row r="43" spans="1:18" ht="15.75" x14ac:dyDescent="0.2">
      <c r="B43" s="93"/>
      <c r="C43" s="128" t="s">
        <v>20</v>
      </c>
      <c r="D43" s="108"/>
      <c r="E43" s="216">
        <v>0.13866200000000001</v>
      </c>
      <c r="F43" s="5"/>
      <c r="G43" s="5"/>
      <c r="H43" s="5"/>
      <c r="I43" s="5"/>
      <c r="J43" s="5"/>
      <c r="K43" s="5"/>
      <c r="L43" s="5"/>
      <c r="M43" s="5"/>
      <c r="N43" s="20"/>
      <c r="R43" s="49"/>
    </row>
    <row r="44" spans="1:18" x14ac:dyDescent="0.2">
      <c r="B44" s="93"/>
      <c r="C44" s="213"/>
      <c r="D44" s="4"/>
      <c r="E44" s="218"/>
      <c r="F44" s="5"/>
      <c r="G44" s="44"/>
      <c r="H44" s="5"/>
      <c r="I44" s="5"/>
      <c r="J44" s="5"/>
      <c r="K44" s="5"/>
      <c r="L44" s="5"/>
      <c r="M44" s="5"/>
      <c r="N44" s="20"/>
      <c r="R44" s="49"/>
    </row>
    <row r="45" spans="1:18" ht="15.75" x14ac:dyDescent="0.2">
      <c r="B45" s="93"/>
      <c r="C45" s="214" t="s">
        <v>21</v>
      </c>
      <c r="D45" s="115"/>
      <c r="E45" s="219">
        <f>E43+E41+E34+E27+E24+E22+E19</f>
        <v>1</v>
      </c>
      <c r="F45" s="5"/>
      <c r="G45" s="5"/>
      <c r="H45" s="5"/>
      <c r="I45" s="5"/>
      <c r="J45" s="5"/>
      <c r="K45" s="5"/>
      <c r="L45" s="5"/>
      <c r="M45" s="5"/>
      <c r="N45" s="20"/>
      <c r="R45" s="49"/>
    </row>
    <row r="46" spans="1:18" x14ac:dyDescent="0.2">
      <c r="A46" s="5"/>
      <c r="B46" s="93"/>
      <c r="F46" s="5"/>
      <c r="J46" s="5"/>
      <c r="K46" s="5"/>
      <c r="L46" s="5"/>
      <c r="M46" s="5"/>
      <c r="N46" s="20"/>
      <c r="O46" s="5"/>
      <c r="R46" s="49"/>
    </row>
    <row r="47" spans="1:18" x14ac:dyDescent="0.2">
      <c r="A47" s="5"/>
      <c r="B47" s="93"/>
      <c r="F47" s="5"/>
      <c r="G47" s="5"/>
      <c r="H47" s="5"/>
      <c r="I47" s="5"/>
      <c r="J47" s="5"/>
      <c r="K47" s="5"/>
      <c r="L47" s="5"/>
      <c r="M47" s="5"/>
      <c r="N47" s="20"/>
      <c r="O47" s="5"/>
      <c r="R47" s="49"/>
    </row>
    <row r="48" spans="1:18" ht="15.75" thickBot="1" x14ac:dyDescent="0.25">
      <c r="A48" s="5"/>
      <c r="B48" s="96"/>
      <c r="C48" s="54"/>
      <c r="D48" s="54"/>
      <c r="E48" s="55"/>
      <c r="F48" s="45"/>
      <c r="G48" s="45"/>
      <c r="H48" s="45"/>
      <c r="I48" s="45"/>
      <c r="J48" s="45"/>
      <c r="K48" s="45"/>
      <c r="L48" s="45"/>
      <c r="M48" s="45"/>
      <c r="N48" s="118"/>
      <c r="O48" s="5"/>
      <c r="R48" s="49"/>
    </row>
    <row r="49" spans="2:18" ht="15.75" thickBot="1" x14ac:dyDescent="0.25">
      <c r="R49" s="49"/>
    </row>
    <row r="50" spans="2:18" ht="15" customHeight="1" x14ac:dyDescent="0.2">
      <c r="B50" s="269" t="s">
        <v>182</v>
      </c>
      <c r="C50" s="270"/>
      <c r="D50" s="270"/>
      <c r="E50" s="270"/>
      <c r="F50" s="270"/>
      <c r="G50" s="270"/>
      <c r="H50" s="270"/>
      <c r="I50" s="270"/>
      <c r="J50" s="270"/>
      <c r="K50" s="270"/>
      <c r="L50" s="270"/>
      <c r="M50" s="270"/>
      <c r="N50" s="270"/>
      <c r="O50" s="270"/>
      <c r="P50" s="270"/>
      <c r="Q50" s="270"/>
      <c r="R50" s="271"/>
    </row>
    <row r="51" spans="2:18" x14ac:dyDescent="0.2">
      <c r="B51" s="272"/>
      <c r="C51" s="273"/>
      <c r="D51" s="273"/>
      <c r="E51" s="273"/>
      <c r="F51" s="273"/>
      <c r="G51" s="273"/>
      <c r="H51" s="273"/>
      <c r="I51" s="273"/>
      <c r="J51" s="273"/>
      <c r="K51" s="273"/>
      <c r="L51" s="273"/>
      <c r="M51" s="273"/>
      <c r="N51" s="273"/>
      <c r="O51" s="273"/>
      <c r="P51" s="273"/>
      <c r="Q51" s="273"/>
      <c r="R51" s="274"/>
    </row>
    <row r="52" spans="2:18" x14ac:dyDescent="0.2">
      <c r="B52" s="272"/>
      <c r="C52" s="273"/>
      <c r="D52" s="273"/>
      <c r="E52" s="273"/>
      <c r="F52" s="273"/>
      <c r="G52" s="273"/>
      <c r="H52" s="273"/>
      <c r="I52" s="273"/>
      <c r="J52" s="273"/>
      <c r="K52" s="273"/>
      <c r="L52" s="273"/>
      <c r="M52" s="273"/>
      <c r="N52" s="273"/>
      <c r="O52" s="273"/>
      <c r="P52" s="273"/>
      <c r="Q52" s="273"/>
      <c r="R52" s="274"/>
    </row>
    <row r="53" spans="2:18" x14ac:dyDescent="0.2">
      <c r="B53" s="272"/>
      <c r="C53" s="273"/>
      <c r="D53" s="273"/>
      <c r="E53" s="273"/>
      <c r="F53" s="273"/>
      <c r="G53" s="273"/>
      <c r="H53" s="273"/>
      <c r="I53" s="273"/>
      <c r="J53" s="273"/>
      <c r="K53" s="273"/>
      <c r="L53" s="273"/>
      <c r="M53" s="273"/>
      <c r="N53" s="273"/>
      <c r="O53" s="273"/>
      <c r="P53" s="273"/>
      <c r="Q53" s="273"/>
      <c r="R53" s="274"/>
    </row>
    <row r="54" spans="2:18" x14ac:dyDescent="0.2">
      <c r="B54" s="272"/>
      <c r="C54" s="273"/>
      <c r="D54" s="273"/>
      <c r="E54" s="273"/>
      <c r="F54" s="273"/>
      <c r="G54" s="273"/>
      <c r="H54" s="273"/>
      <c r="I54" s="273"/>
      <c r="J54" s="273"/>
      <c r="K54" s="273"/>
      <c r="L54" s="273"/>
      <c r="M54" s="273"/>
      <c r="N54" s="273"/>
      <c r="O54" s="273"/>
      <c r="P54" s="273"/>
      <c r="Q54" s="273"/>
      <c r="R54" s="274"/>
    </row>
    <row r="55" spans="2:18" x14ac:dyDescent="0.2">
      <c r="B55" s="272"/>
      <c r="C55" s="273"/>
      <c r="D55" s="273"/>
      <c r="E55" s="273"/>
      <c r="F55" s="273"/>
      <c r="G55" s="273"/>
      <c r="H55" s="273"/>
      <c r="I55" s="273"/>
      <c r="J55" s="273"/>
      <c r="K55" s="273"/>
      <c r="L55" s="273"/>
      <c r="M55" s="273"/>
      <c r="N55" s="273"/>
      <c r="O55" s="273"/>
      <c r="P55" s="273"/>
      <c r="Q55" s="273"/>
      <c r="R55" s="274"/>
    </row>
    <row r="56" spans="2:18" ht="15.75" thickBot="1" x14ac:dyDescent="0.25">
      <c r="B56" s="275"/>
      <c r="C56" s="276"/>
      <c r="D56" s="276"/>
      <c r="E56" s="276"/>
      <c r="F56" s="276"/>
      <c r="G56" s="276"/>
      <c r="H56" s="276"/>
      <c r="I56" s="276"/>
      <c r="J56" s="276"/>
      <c r="K56" s="276"/>
      <c r="L56" s="276"/>
      <c r="M56" s="276"/>
      <c r="N56" s="276"/>
      <c r="O56" s="276"/>
      <c r="P56" s="276"/>
      <c r="Q56" s="276"/>
      <c r="R56" s="277"/>
    </row>
    <row r="57" spans="2:18" ht="15.75" thickBot="1" x14ac:dyDescent="0.25">
      <c r="R57" s="49"/>
    </row>
    <row r="58" spans="2:18" x14ac:dyDescent="0.2">
      <c r="B58" s="285" t="s">
        <v>205</v>
      </c>
      <c r="C58" s="286"/>
      <c r="D58" s="286"/>
      <c r="E58" s="286"/>
      <c r="F58" s="286"/>
      <c r="G58" s="286"/>
      <c r="H58" s="286"/>
      <c r="I58" s="286"/>
      <c r="J58" s="286"/>
      <c r="K58" s="286"/>
      <c r="L58" s="286"/>
      <c r="M58" s="286"/>
      <c r="N58" s="287"/>
      <c r="R58" s="49"/>
    </row>
    <row r="59" spans="2:18" x14ac:dyDescent="0.2">
      <c r="B59" s="288"/>
      <c r="C59" s="289"/>
      <c r="D59" s="289"/>
      <c r="E59" s="289"/>
      <c r="F59" s="289"/>
      <c r="G59" s="289"/>
      <c r="H59" s="289"/>
      <c r="I59" s="289"/>
      <c r="J59" s="289"/>
      <c r="K59" s="289"/>
      <c r="L59" s="289"/>
      <c r="M59" s="289"/>
      <c r="N59" s="290"/>
      <c r="R59" s="49"/>
    </row>
    <row r="60" spans="2:18" x14ac:dyDescent="0.2">
      <c r="B60" s="288"/>
      <c r="C60" s="289"/>
      <c r="D60" s="289"/>
      <c r="E60" s="289"/>
      <c r="F60" s="289"/>
      <c r="G60" s="289"/>
      <c r="H60" s="289"/>
      <c r="I60" s="289"/>
      <c r="J60" s="289"/>
      <c r="K60" s="289"/>
      <c r="L60" s="289"/>
      <c r="M60" s="289"/>
      <c r="N60" s="290"/>
      <c r="R60" s="49"/>
    </row>
    <row r="61" spans="2:18" ht="15.75" thickBot="1" x14ac:dyDescent="0.25">
      <c r="B61" s="291"/>
      <c r="C61" s="292"/>
      <c r="D61" s="292"/>
      <c r="E61" s="292"/>
      <c r="F61" s="292"/>
      <c r="G61" s="292"/>
      <c r="H61" s="292"/>
      <c r="I61" s="292"/>
      <c r="J61" s="292"/>
      <c r="K61" s="292"/>
      <c r="L61" s="292"/>
      <c r="M61" s="292"/>
      <c r="N61" s="293"/>
      <c r="R61" s="49"/>
    </row>
    <row r="62" spans="2:18" x14ac:dyDescent="0.2">
      <c r="R62" s="49"/>
    </row>
    <row r="63" spans="2:18" x14ac:dyDescent="0.2">
      <c r="R63" s="49"/>
    </row>
    <row r="64" spans="2: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sheetData>
  <sortState ref="C30:E33">
    <sortCondition descending="1" ref="E29"/>
  </sortState>
  <mergeCells count="7">
    <mergeCell ref="B58:N61"/>
    <mergeCell ref="B50:R56"/>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8"/>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3" t="s">
        <v>159</v>
      </c>
      <c r="D3" s="263"/>
      <c r="E3" s="263"/>
      <c r="F3" s="263"/>
      <c r="G3" s="263"/>
      <c r="H3" s="263"/>
      <c r="I3" s="263"/>
      <c r="J3" s="263"/>
      <c r="K3" s="263"/>
      <c r="L3" s="263"/>
      <c r="M3" s="263"/>
      <c r="N3" s="264"/>
    </row>
    <row r="4" spans="2:18" ht="15.75" x14ac:dyDescent="0.25">
      <c r="B4" s="93"/>
      <c r="C4" s="67" t="s">
        <v>412</v>
      </c>
      <c r="D4" s="29"/>
      <c r="E4" s="29"/>
      <c r="F4" s="5"/>
      <c r="G4" s="5"/>
      <c r="H4" s="5"/>
      <c r="I4" s="5"/>
      <c r="J4" s="5"/>
      <c r="K4" s="5"/>
      <c r="L4" s="5"/>
      <c r="M4" s="5"/>
      <c r="N4" s="20"/>
    </row>
    <row r="5" spans="2:18" ht="20.25" customHeight="1" x14ac:dyDescent="0.2">
      <c r="B5" s="93"/>
      <c r="C5" s="221" t="s">
        <v>411</v>
      </c>
      <c r="D5" s="280" t="s">
        <v>390</v>
      </c>
      <c r="E5" s="28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65" t="s">
        <v>46</v>
      </c>
      <c r="H7" s="265"/>
      <c r="I7" s="265"/>
      <c r="J7" s="265"/>
      <c r="K7" s="265"/>
      <c r="L7" s="265"/>
      <c r="M7" s="265"/>
      <c r="N7" s="266"/>
    </row>
    <row r="8" spans="2:18" x14ac:dyDescent="0.2">
      <c r="B8" s="93"/>
      <c r="C8" s="38" t="s">
        <v>32</v>
      </c>
      <c r="D8" s="58" t="s">
        <v>3</v>
      </c>
      <c r="E8" s="6">
        <v>3.7191000000000002E-2</v>
      </c>
      <c r="F8" s="5"/>
      <c r="G8" s="171" t="s">
        <v>47</v>
      </c>
      <c r="H8" s="252">
        <f>100%-H9-H10</f>
        <v>0.965225</v>
      </c>
      <c r="I8" s="253">
        <f>H8/SUM($H$8:$H$10)</f>
        <v>0.965225</v>
      </c>
      <c r="J8" s="245"/>
      <c r="K8" s="246"/>
      <c r="L8" s="5"/>
      <c r="M8" s="5"/>
      <c r="N8" s="20"/>
      <c r="R8" s="49"/>
    </row>
    <row r="9" spans="2:18" ht="15.75" customHeight="1" x14ac:dyDescent="0.2">
      <c r="B9" s="93"/>
      <c r="C9" s="38" t="s">
        <v>28</v>
      </c>
      <c r="D9" s="58" t="s">
        <v>107</v>
      </c>
      <c r="E9" s="6">
        <v>3.2791000000000001E-2</v>
      </c>
      <c r="F9" s="5"/>
      <c r="G9" s="171" t="s">
        <v>57</v>
      </c>
      <c r="H9" s="252">
        <f>E31+E32+E28</f>
        <v>2.7293000000000001E-2</v>
      </c>
      <c r="I9" s="253">
        <f>H9/SUM($H$8:$H$10)</f>
        <v>2.7293000000000001E-2</v>
      </c>
      <c r="J9" s="245" t="s">
        <v>41</v>
      </c>
      <c r="K9" s="246">
        <f>E35</f>
        <v>8.7731000000000003E-2</v>
      </c>
      <c r="L9" s="5"/>
      <c r="M9" s="5"/>
      <c r="N9" s="20"/>
      <c r="R9" s="49"/>
    </row>
    <row r="10" spans="2:18" x14ac:dyDescent="0.2">
      <c r="B10" s="93"/>
      <c r="C10" s="38" t="s">
        <v>70</v>
      </c>
      <c r="D10" s="58" t="s">
        <v>12</v>
      </c>
      <c r="E10" s="6">
        <v>3.1073E-2</v>
      </c>
      <c r="F10" s="31"/>
      <c r="G10" s="171" t="s">
        <v>48</v>
      </c>
      <c r="H10" s="252">
        <f>E30</f>
        <v>7.4819999999999999E-3</v>
      </c>
      <c r="I10" s="253">
        <f>H10/SUM($H$8:$H$10)</f>
        <v>7.4819999999999999E-3</v>
      </c>
      <c r="J10" s="245" t="s">
        <v>141</v>
      </c>
      <c r="K10" s="246">
        <f>E24+E26</f>
        <v>0.75800999999999996</v>
      </c>
      <c r="L10" s="5"/>
      <c r="M10" s="5"/>
      <c r="N10" s="20"/>
      <c r="R10" s="49"/>
    </row>
    <row r="11" spans="2:18" x14ac:dyDescent="0.2">
      <c r="B11" s="93"/>
      <c r="C11" s="38" t="s">
        <v>31</v>
      </c>
      <c r="D11" s="58" t="s">
        <v>6</v>
      </c>
      <c r="E11" s="6">
        <v>2.7730999999999999E-2</v>
      </c>
      <c r="F11" s="5"/>
      <c r="G11" s="245"/>
      <c r="H11" s="245"/>
      <c r="I11" s="245"/>
      <c r="J11" s="245"/>
      <c r="K11" s="246"/>
      <c r="L11" s="5"/>
      <c r="M11" s="5"/>
      <c r="N11" s="20"/>
      <c r="R11" s="49"/>
    </row>
    <row r="12" spans="2:18" ht="15.75" customHeight="1" x14ac:dyDescent="0.2">
      <c r="B12" s="93"/>
      <c r="C12" s="38" t="s">
        <v>197</v>
      </c>
      <c r="D12" s="58" t="s">
        <v>106</v>
      </c>
      <c r="E12" s="6">
        <v>2.5736999999999999E-2</v>
      </c>
      <c r="F12" s="31"/>
      <c r="G12" s="245"/>
      <c r="H12" s="246"/>
      <c r="I12" s="245"/>
      <c r="J12" s="245" t="s">
        <v>20</v>
      </c>
      <c r="K12" s="246">
        <f>E45</f>
        <v>4.2009999999999999E-2</v>
      </c>
      <c r="L12" s="5"/>
      <c r="M12" s="5"/>
      <c r="N12" s="20"/>
      <c r="R12" s="49"/>
    </row>
    <row r="13" spans="2:18" x14ac:dyDescent="0.2">
      <c r="B13" s="93"/>
      <c r="C13" s="38" t="s">
        <v>36</v>
      </c>
      <c r="D13" s="58" t="s">
        <v>3</v>
      </c>
      <c r="E13" s="6">
        <v>2.5557E-2</v>
      </c>
      <c r="F13" s="31"/>
      <c r="G13" s="245"/>
      <c r="H13" s="245"/>
      <c r="I13" s="245"/>
      <c r="J13" s="245" t="s">
        <v>42</v>
      </c>
      <c r="K13" s="246">
        <f>E41</f>
        <v>0.10586</v>
      </c>
      <c r="L13" s="5"/>
      <c r="M13" s="5"/>
      <c r="N13" s="20"/>
      <c r="R13" s="49"/>
    </row>
    <row r="14" spans="2:18" x14ac:dyDescent="0.2">
      <c r="B14" s="93"/>
      <c r="C14" s="38" t="s">
        <v>225</v>
      </c>
      <c r="D14" s="58" t="s">
        <v>26</v>
      </c>
      <c r="E14" s="6">
        <v>2.4995E-2</v>
      </c>
      <c r="F14" s="31"/>
      <c r="G14" s="245"/>
      <c r="H14" s="245"/>
      <c r="I14" s="245"/>
      <c r="J14" s="245" t="s">
        <v>331</v>
      </c>
      <c r="K14" s="246">
        <f>E43</f>
        <v>6.3889999999999997E-3</v>
      </c>
      <c r="L14" s="5"/>
      <c r="M14" s="5"/>
      <c r="N14" s="20"/>
      <c r="R14" s="49"/>
    </row>
    <row r="15" spans="2:18" x14ac:dyDescent="0.2">
      <c r="B15" s="93"/>
      <c r="C15" s="38" t="s">
        <v>81</v>
      </c>
      <c r="D15" s="58" t="s">
        <v>4</v>
      </c>
      <c r="E15" s="6">
        <v>2.1919000000000001E-2</v>
      </c>
      <c r="F15" s="5"/>
      <c r="G15" s="245"/>
      <c r="H15" s="245"/>
      <c r="I15" s="245"/>
      <c r="J15" s="245"/>
      <c r="K15" s="246"/>
      <c r="L15" s="5"/>
      <c r="M15" s="5"/>
      <c r="N15" s="20"/>
      <c r="R15" s="49"/>
    </row>
    <row r="16" spans="2:18" x14ac:dyDescent="0.2">
      <c r="B16" s="93"/>
      <c r="C16" s="38" t="s">
        <v>189</v>
      </c>
      <c r="D16" s="58" t="s">
        <v>107</v>
      </c>
      <c r="E16" s="6">
        <v>2.0046999999999999E-2</v>
      </c>
      <c r="F16" s="5"/>
      <c r="G16" s="245"/>
      <c r="H16" s="245"/>
      <c r="I16" s="245"/>
      <c r="J16" s="245"/>
      <c r="K16" s="245"/>
      <c r="L16" s="5"/>
      <c r="M16" s="5"/>
      <c r="N16" s="20"/>
      <c r="R16" s="49"/>
    </row>
    <row r="17" spans="2:18" x14ac:dyDescent="0.2">
      <c r="B17" s="93"/>
      <c r="C17" s="38" t="s">
        <v>194</v>
      </c>
      <c r="D17" s="58" t="s">
        <v>107</v>
      </c>
      <c r="E17" s="6">
        <v>1.8863000000000001E-2</v>
      </c>
      <c r="F17" s="5"/>
      <c r="G17" s="245"/>
      <c r="H17" s="245"/>
      <c r="I17" s="245"/>
      <c r="J17" s="245"/>
      <c r="K17" s="245"/>
      <c r="L17" s="5"/>
      <c r="M17" s="5"/>
      <c r="N17" s="20"/>
      <c r="R17" s="49"/>
    </row>
    <row r="18" spans="2:18" x14ac:dyDescent="0.2">
      <c r="B18" s="93"/>
      <c r="C18" s="38" t="s">
        <v>120</v>
      </c>
      <c r="D18" s="58" t="s">
        <v>112</v>
      </c>
      <c r="E18" s="6">
        <v>1.8689999999999998E-2</v>
      </c>
      <c r="F18" s="5"/>
      <c r="G18" s="5"/>
      <c r="H18" s="5"/>
      <c r="I18" s="5"/>
      <c r="J18" s="5"/>
      <c r="K18" s="5"/>
      <c r="L18" s="5"/>
      <c r="M18" s="5"/>
      <c r="N18" s="20"/>
      <c r="R18" s="49"/>
    </row>
    <row r="19" spans="2:18" x14ac:dyDescent="0.2">
      <c r="B19" s="93"/>
      <c r="C19" s="38" t="s">
        <v>62</v>
      </c>
      <c r="D19" s="58" t="s">
        <v>10</v>
      </c>
      <c r="E19" s="6">
        <v>1.7457E-2</v>
      </c>
      <c r="F19" s="5"/>
      <c r="G19" s="5"/>
      <c r="H19" s="5"/>
      <c r="I19" s="5"/>
      <c r="J19" s="5"/>
      <c r="K19" s="5"/>
      <c r="L19" s="5"/>
      <c r="M19" s="5"/>
      <c r="N19" s="20"/>
      <c r="R19" s="49"/>
    </row>
    <row r="20" spans="2:18" ht="33.75" customHeight="1" x14ac:dyDescent="0.25">
      <c r="B20" s="93"/>
      <c r="C20" s="38" t="s">
        <v>263</v>
      </c>
      <c r="D20" s="58" t="s">
        <v>77</v>
      </c>
      <c r="E20" s="6">
        <v>1.7128000000000001E-2</v>
      </c>
      <c r="F20" s="5"/>
      <c r="G20" s="283" t="s">
        <v>100</v>
      </c>
      <c r="H20" s="284"/>
      <c r="I20" s="284"/>
      <c r="J20" s="284"/>
      <c r="K20" s="284"/>
      <c r="L20" s="181">
        <v>11.807982113156372</v>
      </c>
      <c r="M20" s="106"/>
      <c r="N20" s="177"/>
      <c r="R20" s="49"/>
    </row>
    <row r="21" spans="2:18" ht="30" x14ac:dyDescent="0.2">
      <c r="B21" s="93"/>
      <c r="C21" s="38" t="s">
        <v>291</v>
      </c>
      <c r="D21" s="58" t="s">
        <v>184</v>
      </c>
      <c r="E21" s="6">
        <v>1.5618E-2</v>
      </c>
      <c r="F21" s="5"/>
      <c r="G21" s="5"/>
      <c r="H21" s="5"/>
      <c r="I21" s="5"/>
      <c r="J21" s="5"/>
      <c r="K21" s="5"/>
      <c r="L21" s="5"/>
      <c r="M21" s="5"/>
      <c r="N21" s="20"/>
      <c r="R21" s="49"/>
    </row>
    <row r="22" spans="2:18" x14ac:dyDescent="0.2">
      <c r="B22" s="93"/>
      <c r="C22" s="38" t="s">
        <v>69</v>
      </c>
      <c r="D22" s="58" t="s">
        <v>4</v>
      </c>
      <c r="E22" s="6">
        <v>1.5396999999999999E-2</v>
      </c>
      <c r="F22" s="5"/>
      <c r="G22" s="31"/>
      <c r="H22" s="31"/>
      <c r="I22" s="31"/>
      <c r="J22" s="5"/>
      <c r="K22" s="31"/>
      <c r="L22" s="5"/>
      <c r="M22" s="5"/>
      <c r="N22" s="20"/>
      <c r="R22" s="49"/>
    </row>
    <row r="23" spans="2:18" ht="15.75" customHeight="1" x14ac:dyDescent="0.2">
      <c r="B23" s="93"/>
      <c r="C23" s="38"/>
      <c r="D23" s="4"/>
      <c r="E23" s="6"/>
      <c r="F23" s="5"/>
      <c r="G23" s="265" t="s">
        <v>50</v>
      </c>
      <c r="H23" s="265"/>
      <c r="I23" s="265"/>
      <c r="J23" s="265"/>
      <c r="K23" s="265"/>
      <c r="L23" s="265"/>
      <c r="M23" s="265"/>
      <c r="N23" s="266"/>
      <c r="R23" s="49"/>
    </row>
    <row r="24" spans="2:18" ht="15.75" x14ac:dyDescent="0.2">
      <c r="B24" s="93"/>
      <c r="C24" s="108" t="s">
        <v>56</v>
      </c>
      <c r="D24" s="108"/>
      <c r="E24" s="109">
        <f>SUM(E8:E22)</f>
        <v>0.35019400000000001</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0.40781599999999996</v>
      </c>
      <c r="F26" s="31"/>
      <c r="G26" s="5"/>
      <c r="H26" s="5"/>
      <c r="I26" s="5"/>
      <c r="J26" s="5"/>
      <c r="K26" s="5"/>
      <c r="L26" s="5"/>
      <c r="M26" s="5"/>
      <c r="N26" s="20"/>
      <c r="R26" s="49"/>
    </row>
    <row r="27" spans="2:18" x14ac:dyDescent="0.2">
      <c r="B27" s="93"/>
      <c r="C27" s="38" t="s">
        <v>294</v>
      </c>
      <c r="D27" s="58" t="s">
        <v>358</v>
      </c>
      <c r="E27" s="6">
        <v>3.0816E-2</v>
      </c>
      <c r="F27" s="5"/>
      <c r="G27" s="5"/>
      <c r="H27" s="5"/>
      <c r="I27" s="5"/>
      <c r="J27" s="5"/>
      <c r="K27" s="5"/>
      <c r="L27" s="5"/>
      <c r="M27" s="5"/>
      <c r="N27" s="20"/>
      <c r="R27" s="49"/>
    </row>
    <row r="28" spans="2:18" s="48" customFormat="1" ht="13.5" customHeight="1" x14ac:dyDescent="0.2">
      <c r="B28" s="110"/>
      <c r="C28" s="38" t="s">
        <v>355</v>
      </c>
      <c r="D28" s="58" t="s">
        <v>357</v>
      </c>
      <c r="E28" s="6">
        <v>1.2422000000000001E-2</v>
      </c>
      <c r="F28" s="41"/>
      <c r="G28" s="41"/>
      <c r="H28" s="41"/>
      <c r="I28" s="41"/>
      <c r="J28" s="41"/>
      <c r="K28" s="41"/>
      <c r="L28" s="41"/>
      <c r="M28" s="41"/>
      <c r="N28" s="111"/>
      <c r="R28" s="112"/>
    </row>
    <row r="29" spans="2:18" x14ac:dyDescent="0.2">
      <c r="B29" s="93"/>
      <c r="C29" s="38" t="s">
        <v>69</v>
      </c>
      <c r="D29" s="58" t="s">
        <v>358</v>
      </c>
      <c r="E29" s="6">
        <v>9.8010000000000007E-3</v>
      </c>
      <c r="F29" s="5"/>
      <c r="G29" s="5"/>
      <c r="H29" s="5"/>
      <c r="I29" s="5"/>
      <c r="J29" s="5"/>
      <c r="K29" s="5"/>
      <c r="L29" s="5"/>
      <c r="M29" s="5"/>
      <c r="N29" s="20"/>
      <c r="R29" s="49"/>
    </row>
    <row r="30" spans="2:18" x14ac:dyDescent="0.2">
      <c r="B30" s="93"/>
      <c r="C30" s="38" t="s">
        <v>275</v>
      </c>
      <c r="D30" s="58" t="s">
        <v>356</v>
      </c>
      <c r="E30" s="6">
        <v>7.4819999999999999E-3</v>
      </c>
      <c r="F30" s="5"/>
      <c r="G30" s="5"/>
      <c r="H30" s="5"/>
      <c r="I30" s="5"/>
      <c r="J30" s="5"/>
      <c r="K30" s="5"/>
      <c r="L30" s="5"/>
      <c r="M30" s="5"/>
      <c r="N30" s="20"/>
      <c r="R30" s="49"/>
    </row>
    <row r="31" spans="2:18" x14ac:dyDescent="0.2">
      <c r="B31" s="93"/>
      <c r="C31" s="38" t="s">
        <v>279</v>
      </c>
      <c r="D31" s="58" t="s">
        <v>357</v>
      </c>
      <c r="E31" s="6">
        <v>7.4400000000000004E-3</v>
      </c>
      <c r="F31" s="5"/>
      <c r="G31" s="5"/>
      <c r="H31" s="5"/>
      <c r="I31" s="5"/>
      <c r="J31" s="5"/>
      <c r="K31" s="5"/>
      <c r="L31" s="5"/>
      <c r="M31" s="5"/>
      <c r="N31" s="20"/>
      <c r="R31" s="49"/>
    </row>
    <row r="32" spans="2:18" x14ac:dyDescent="0.2">
      <c r="B32" s="93"/>
      <c r="C32" s="38" t="s">
        <v>276</v>
      </c>
      <c r="D32" s="58" t="s">
        <v>357</v>
      </c>
      <c r="E32" s="6">
        <v>7.4310000000000001E-3</v>
      </c>
      <c r="F32" s="5"/>
      <c r="G32" s="5"/>
      <c r="H32" s="5"/>
      <c r="I32" s="5"/>
      <c r="J32" s="5"/>
      <c r="K32" s="5"/>
      <c r="L32" s="5"/>
      <c r="M32" s="5"/>
      <c r="N32" s="20"/>
      <c r="R32" s="49"/>
    </row>
    <row r="33" spans="1:18" x14ac:dyDescent="0.2">
      <c r="B33" s="93"/>
      <c r="C33" s="38" t="s">
        <v>81</v>
      </c>
      <c r="D33" s="58" t="s">
        <v>358</v>
      </c>
      <c r="E33" s="6">
        <v>6.1729999999999997E-3</v>
      </c>
      <c r="F33" s="5"/>
      <c r="G33" s="5"/>
      <c r="H33" s="5"/>
      <c r="I33" s="5"/>
      <c r="J33" s="5"/>
      <c r="K33" s="5"/>
      <c r="L33" s="5"/>
      <c r="M33" s="5"/>
      <c r="N33" s="20"/>
      <c r="R33" s="49"/>
    </row>
    <row r="34" spans="1:18" x14ac:dyDescent="0.2">
      <c r="B34" s="93"/>
      <c r="C34" s="38" t="s">
        <v>29</v>
      </c>
      <c r="D34" s="58" t="s">
        <v>358</v>
      </c>
      <c r="E34" s="6">
        <v>6.1659999999999996E-3</v>
      </c>
      <c r="F34" s="5"/>
      <c r="G34" s="5"/>
      <c r="H34" s="5"/>
      <c r="I34" s="5"/>
      <c r="J34" s="5"/>
      <c r="K34" s="5"/>
      <c r="L34" s="5"/>
      <c r="M34" s="5"/>
      <c r="N34" s="20"/>
      <c r="R34" s="49"/>
    </row>
    <row r="35" spans="1:18" ht="15.75" x14ac:dyDescent="0.2">
      <c r="B35" s="93"/>
      <c r="C35" s="108" t="s">
        <v>49</v>
      </c>
      <c r="D35" s="108"/>
      <c r="E35" s="109">
        <v>8.7731000000000003E-2</v>
      </c>
      <c r="F35" s="5"/>
      <c r="G35" s="5"/>
      <c r="H35" s="5"/>
      <c r="I35" s="5"/>
      <c r="J35" s="5"/>
      <c r="K35" s="5"/>
      <c r="L35" s="5"/>
      <c r="M35" s="5"/>
      <c r="N35" s="20"/>
      <c r="R35" s="49"/>
    </row>
    <row r="36" spans="1:18" x14ac:dyDescent="0.2">
      <c r="B36" s="93"/>
      <c r="C36" s="38" t="s">
        <v>224</v>
      </c>
      <c r="D36" s="4" t="s">
        <v>61</v>
      </c>
      <c r="E36" s="199">
        <v>8.9537000000000005E-2</v>
      </c>
      <c r="F36" s="5"/>
      <c r="G36" s="5"/>
      <c r="H36" s="5"/>
      <c r="I36" s="5"/>
      <c r="J36" s="5"/>
      <c r="K36" s="5"/>
      <c r="L36" s="5"/>
      <c r="M36" s="5"/>
      <c r="N36" s="20"/>
      <c r="R36" s="49"/>
    </row>
    <row r="37" spans="1:18" x14ac:dyDescent="0.2">
      <c r="B37" s="93"/>
      <c r="C37" s="38" t="s">
        <v>72</v>
      </c>
      <c r="D37" s="4" t="s">
        <v>61</v>
      </c>
      <c r="E37" s="199">
        <v>6.365E-3</v>
      </c>
      <c r="F37" s="5"/>
      <c r="G37" s="5"/>
      <c r="H37" s="5"/>
      <c r="I37" s="5"/>
      <c r="J37" s="5"/>
      <c r="K37" s="5"/>
      <c r="L37" s="5"/>
      <c r="M37" s="5"/>
      <c r="N37" s="20"/>
      <c r="R37" s="49"/>
    </row>
    <row r="38" spans="1:18" x14ac:dyDescent="0.2">
      <c r="B38" s="93"/>
      <c r="C38" s="38" t="s">
        <v>196</v>
      </c>
      <c r="D38" s="4" t="s">
        <v>61</v>
      </c>
      <c r="E38" s="199">
        <v>6.3200000000000001E-3</v>
      </c>
      <c r="F38" s="5"/>
      <c r="G38" s="5"/>
      <c r="H38" s="5"/>
      <c r="I38" s="5"/>
      <c r="J38" s="5"/>
      <c r="K38" s="5"/>
      <c r="L38" s="5"/>
      <c r="M38" s="5"/>
      <c r="N38" s="20"/>
      <c r="R38" s="49"/>
    </row>
    <row r="39" spans="1:18" s="48" customFormat="1" x14ac:dyDescent="0.2">
      <c r="B39" s="110"/>
      <c r="C39" s="38" t="s">
        <v>67</v>
      </c>
      <c r="D39" s="4" t="s">
        <v>61</v>
      </c>
      <c r="E39" s="199">
        <v>2.4989999999999999E-3</v>
      </c>
      <c r="F39" s="41"/>
      <c r="G39" s="5"/>
      <c r="H39" s="5"/>
      <c r="I39" s="5"/>
      <c r="J39" s="5"/>
      <c r="K39" s="5"/>
      <c r="L39" s="41"/>
      <c r="M39" s="41"/>
      <c r="N39" s="111"/>
      <c r="R39" s="112"/>
    </row>
    <row r="40" spans="1:18" x14ac:dyDescent="0.2">
      <c r="B40" s="93"/>
      <c r="C40" s="38" t="s">
        <v>73</v>
      </c>
      <c r="D40" s="4" t="s">
        <v>61</v>
      </c>
      <c r="E40" s="199">
        <v>1.139E-3</v>
      </c>
      <c r="F40" s="5"/>
      <c r="G40" s="5"/>
      <c r="H40" s="5"/>
      <c r="I40" s="5"/>
      <c r="J40" s="5"/>
      <c r="K40" s="5"/>
      <c r="L40" s="5"/>
      <c r="M40" s="5"/>
      <c r="N40" s="20"/>
      <c r="R40" s="49"/>
    </row>
    <row r="41" spans="1:18" ht="15.75" x14ac:dyDescent="0.2">
      <c r="A41" s="5"/>
      <c r="B41" s="93"/>
      <c r="C41" s="108" t="s">
        <v>42</v>
      </c>
      <c r="D41" s="108"/>
      <c r="E41" s="109">
        <v>0.10586</v>
      </c>
      <c r="F41" s="5"/>
      <c r="G41" s="5"/>
      <c r="H41" s="5"/>
      <c r="I41" s="5"/>
      <c r="J41" s="5"/>
      <c r="K41" s="5"/>
      <c r="L41" s="5"/>
      <c r="M41" s="5"/>
      <c r="N41" s="20"/>
      <c r="O41" s="5"/>
      <c r="R41" s="49"/>
    </row>
    <row r="42" spans="1:18" x14ac:dyDescent="0.2">
      <c r="A42" s="5"/>
      <c r="B42" s="93"/>
      <c r="C42" s="38" t="s">
        <v>359</v>
      </c>
      <c r="D42" s="4" t="s">
        <v>61</v>
      </c>
      <c r="E42" s="199">
        <v>6.3889999999999997E-3</v>
      </c>
      <c r="F42" s="5"/>
      <c r="G42" s="5"/>
      <c r="H42" s="5"/>
      <c r="I42" s="5"/>
      <c r="J42" s="5"/>
      <c r="K42" s="5"/>
      <c r="L42" s="5"/>
      <c r="M42" s="5"/>
      <c r="N42" s="20"/>
      <c r="O42" s="5"/>
      <c r="R42" s="49"/>
    </row>
    <row r="43" spans="1:18" ht="15.75" x14ac:dyDescent="0.2">
      <c r="A43" s="5"/>
      <c r="B43" s="93"/>
      <c r="C43" s="108" t="s">
        <v>331</v>
      </c>
      <c r="D43" s="108"/>
      <c r="E43" s="109">
        <v>6.3889999999999997E-3</v>
      </c>
      <c r="F43" s="5"/>
      <c r="G43" s="5"/>
      <c r="H43" s="5"/>
      <c r="I43" s="5"/>
      <c r="J43" s="5"/>
      <c r="K43" s="5"/>
      <c r="L43" s="5"/>
      <c r="M43" s="5"/>
      <c r="N43" s="20"/>
      <c r="O43" s="5"/>
      <c r="R43" s="49"/>
    </row>
    <row r="44" spans="1:18" x14ac:dyDescent="0.2">
      <c r="A44" s="5"/>
      <c r="B44" s="93"/>
      <c r="C44" s="4"/>
      <c r="D44" s="4"/>
      <c r="E44" s="32"/>
      <c r="F44" s="5"/>
      <c r="G44" s="5"/>
      <c r="H44" s="5"/>
      <c r="I44" s="5"/>
      <c r="J44" s="5"/>
      <c r="K44" s="5"/>
      <c r="L44" s="5"/>
      <c r="M44" s="5"/>
      <c r="N44" s="20"/>
      <c r="O44" s="5"/>
      <c r="R44" s="49"/>
    </row>
    <row r="45" spans="1:18" ht="15.75" x14ac:dyDescent="0.2">
      <c r="A45" s="5"/>
      <c r="B45" s="93"/>
      <c r="C45" s="108" t="s">
        <v>20</v>
      </c>
      <c r="D45" s="108"/>
      <c r="E45" s="109">
        <v>4.2009999999999999E-2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15" t="s">
        <v>21</v>
      </c>
      <c r="D47" s="115"/>
      <c r="E47" s="116">
        <f>E45+E43+E41+E35+E26+E24</f>
        <v>0.99999999999999989</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45"/>
      <c r="D49" s="45"/>
      <c r="E49" s="45"/>
      <c r="F49" s="45"/>
      <c r="G49" s="45"/>
      <c r="H49" s="45"/>
      <c r="I49" s="45"/>
      <c r="J49" s="45"/>
      <c r="K49" s="45"/>
      <c r="L49" s="45"/>
      <c r="M49" s="45"/>
      <c r="N49" s="118"/>
      <c r="O49" s="5"/>
      <c r="R49" s="49"/>
    </row>
    <row r="50" spans="1:18" ht="15.75" thickBot="1" x14ac:dyDescent="0.25">
      <c r="R50" s="49"/>
    </row>
    <row r="51" spans="1:18" ht="15" customHeight="1" x14ac:dyDescent="0.2">
      <c r="B51" s="269" t="s">
        <v>182</v>
      </c>
      <c r="C51" s="270"/>
      <c r="D51" s="270"/>
      <c r="E51" s="270"/>
      <c r="F51" s="270"/>
      <c r="G51" s="270"/>
      <c r="H51" s="270"/>
      <c r="I51" s="270"/>
      <c r="J51" s="270"/>
      <c r="K51" s="270"/>
      <c r="L51" s="270"/>
      <c r="M51" s="270"/>
      <c r="N51" s="270"/>
      <c r="O51" s="270"/>
      <c r="P51" s="270"/>
      <c r="Q51" s="270"/>
      <c r="R51" s="271"/>
    </row>
    <row r="52" spans="1:18" x14ac:dyDescent="0.2">
      <c r="B52" s="272"/>
      <c r="C52" s="273"/>
      <c r="D52" s="273"/>
      <c r="E52" s="273"/>
      <c r="F52" s="273"/>
      <c r="G52" s="273"/>
      <c r="H52" s="273"/>
      <c r="I52" s="273"/>
      <c r="J52" s="273"/>
      <c r="K52" s="273"/>
      <c r="L52" s="273"/>
      <c r="M52" s="273"/>
      <c r="N52" s="273"/>
      <c r="O52" s="273"/>
      <c r="P52" s="273"/>
      <c r="Q52" s="273"/>
      <c r="R52" s="274"/>
    </row>
    <row r="53" spans="1:18" x14ac:dyDescent="0.2">
      <c r="B53" s="272"/>
      <c r="C53" s="273"/>
      <c r="D53" s="273"/>
      <c r="E53" s="273"/>
      <c r="F53" s="273"/>
      <c r="G53" s="273"/>
      <c r="H53" s="273"/>
      <c r="I53" s="273"/>
      <c r="J53" s="273"/>
      <c r="K53" s="273"/>
      <c r="L53" s="273"/>
      <c r="M53" s="273"/>
      <c r="N53" s="273"/>
      <c r="O53" s="273"/>
      <c r="P53" s="273"/>
      <c r="Q53" s="273"/>
      <c r="R53" s="274"/>
    </row>
    <row r="54" spans="1:18" x14ac:dyDescent="0.2">
      <c r="B54" s="272"/>
      <c r="C54" s="273"/>
      <c r="D54" s="273"/>
      <c r="E54" s="273"/>
      <c r="F54" s="273"/>
      <c r="G54" s="273"/>
      <c r="H54" s="273"/>
      <c r="I54" s="273"/>
      <c r="J54" s="273"/>
      <c r="K54" s="273"/>
      <c r="L54" s="273"/>
      <c r="M54" s="273"/>
      <c r="N54" s="273"/>
      <c r="O54" s="273"/>
      <c r="P54" s="273"/>
      <c r="Q54" s="273"/>
      <c r="R54" s="274"/>
    </row>
    <row r="55" spans="1:18" x14ac:dyDescent="0.2">
      <c r="B55" s="272"/>
      <c r="C55" s="273"/>
      <c r="D55" s="273"/>
      <c r="E55" s="273"/>
      <c r="F55" s="273"/>
      <c r="G55" s="273"/>
      <c r="H55" s="273"/>
      <c r="I55" s="273"/>
      <c r="J55" s="273"/>
      <c r="K55" s="273"/>
      <c r="L55" s="273"/>
      <c r="M55" s="273"/>
      <c r="N55" s="273"/>
      <c r="O55" s="273"/>
      <c r="P55" s="273"/>
      <c r="Q55" s="273"/>
      <c r="R55" s="274"/>
    </row>
    <row r="56" spans="1:18" x14ac:dyDescent="0.2">
      <c r="B56" s="272"/>
      <c r="C56" s="273"/>
      <c r="D56" s="273"/>
      <c r="E56" s="273"/>
      <c r="F56" s="273"/>
      <c r="G56" s="273"/>
      <c r="H56" s="273"/>
      <c r="I56" s="273"/>
      <c r="J56" s="273"/>
      <c r="K56" s="273"/>
      <c r="L56" s="273"/>
      <c r="M56" s="273"/>
      <c r="N56" s="273"/>
      <c r="O56" s="273"/>
      <c r="P56" s="273"/>
      <c r="Q56" s="273"/>
      <c r="R56" s="274"/>
    </row>
    <row r="57" spans="1:18" ht="15.75" thickBot="1" x14ac:dyDescent="0.25">
      <c r="B57" s="275"/>
      <c r="C57" s="276"/>
      <c r="D57" s="276"/>
      <c r="E57" s="276"/>
      <c r="F57" s="276"/>
      <c r="G57" s="276"/>
      <c r="H57" s="276"/>
      <c r="I57" s="276"/>
      <c r="J57" s="276"/>
      <c r="K57" s="276"/>
      <c r="L57" s="276"/>
      <c r="M57" s="276"/>
      <c r="N57" s="276"/>
      <c r="O57" s="276"/>
      <c r="P57" s="276"/>
      <c r="Q57" s="276"/>
      <c r="R57" s="277"/>
    </row>
    <row r="58" spans="1:18" x14ac:dyDescent="0.2">
      <c r="R58" s="49"/>
    </row>
    <row r="59" spans="1:18" x14ac:dyDescent="0.2">
      <c r="R59" s="49"/>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6:E40">
    <sortCondition descending="1" ref="E36"/>
  </sortState>
  <mergeCells count="6">
    <mergeCell ref="B51:R57"/>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3" t="s">
        <v>202</v>
      </c>
      <c r="D3" s="263"/>
      <c r="E3" s="263"/>
      <c r="F3" s="263"/>
      <c r="G3" s="263"/>
      <c r="H3" s="263"/>
      <c r="I3" s="263"/>
      <c r="J3" s="263"/>
      <c r="K3" s="263"/>
      <c r="L3" s="263"/>
      <c r="M3" s="263"/>
      <c r="N3" s="264"/>
    </row>
    <row r="4" spans="2:19" ht="15.75" x14ac:dyDescent="0.25">
      <c r="B4" s="93"/>
      <c r="C4" s="67" t="s">
        <v>412</v>
      </c>
      <c r="D4" s="29"/>
      <c r="E4" s="29"/>
      <c r="F4" s="5"/>
      <c r="G4" s="5"/>
      <c r="H4" s="5"/>
      <c r="I4" s="5"/>
      <c r="J4" s="5"/>
      <c r="K4" s="5"/>
      <c r="L4" s="5"/>
      <c r="M4" s="5"/>
      <c r="N4" s="20"/>
    </row>
    <row r="5" spans="2:19" ht="20.25" customHeight="1" x14ac:dyDescent="0.2">
      <c r="B5" s="93"/>
      <c r="C5" s="221" t="s">
        <v>411</v>
      </c>
      <c r="D5" s="280" t="s">
        <v>391</v>
      </c>
      <c r="E5" s="28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31" t="s">
        <v>45</v>
      </c>
      <c r="F7" s="5"/>
      <c r="G7" s="5"/>
      <c r="H7" s="5"/>
      <c r="I7" s="5"/>
      <c r="J7" s="5"/>
      <c r="K7" s="5"/>
      <c r="L7" s="5"/>
      <c r="M7" s="5"/>
      <c r="N7" s="20"/>
      <c r="P7" s="236" t="s">
        <v>3</v>
      </c>
      <c r="Q7" s="239">
        <v>8.9676999999999979E-2</v>
      </c>
    </row>
    <row r="8" spans="2:19" ht="15.75" x14ac:dyDescent="0.25">
      <c r="B8" s="93"/>
      <c r="C8" s="198" t="s">
        <v>29</v>
      </c>
      <c r="D8" s="104" t="s">
        <v>3</v>
      </c>
      <c r="E8" s="199">
        <v>3.2162999999999997E-2</v>
      </c>
      <c r="F8" s="5"/>
      <c r="G8" s="5"/>
      <c r="H8" s="5"/>
      <c r="I8" s="5"/>
      <c r="J8" s="5"/>
      <c r="K8" s="5"/>
      <c r="L8" s="5"/>
      <c r="M8" s="5"/>
      <c r="N8" s="20"/>
      <c r="P8" s="236" t="s">
        <v>26</v>
      </c>
      <c r="Q8" s="239">
        <v>4.1608000000000006E-2</v>
      </c>
      <c r="R8" s="49"/>
    </row>
    <row r="9" spans="2:19" ht="15.75" customHeight="1" x14ac:dyDescent="0.25">
      <c r="B9" s="93"/>
      <c r="C9" s="122" t="s">
        <v>31</v>
      </c>
      <c r="D9" s="38" t="s">
        <v>6</v>
      </c>
      <c r="E9" s="199">
        <v>3.0262000000000001E-2</v>
      </c>
      <c r="F9" s="5"/>
      <c r="G9" s="5"/>
      <c r="H9" s="5"/>
      <c r="I9" s="5"/>
      <c r="J9" s="5"/>
      <c r="K9" s="5"/>
      <c r="L9" s="5"/>
      <c r="M9" s="5"/>
      <c r="N9" s="20"/>
      <c r="P9" s="236" t="s">
        <v>107</v>
      </c>
      <c r="Q9" s="239">
        <v>3.6403999999999999E-2</v>
      </c>
      <c r="R9" s="49"/>
    </row>
    <row r="10" spans="2:19" ht="15.75" x14ac:dyDescent="0.25">
      <c r="B10" s="93"/>
      <c r="C10" s="122" t="s">
        <v>32</v>
      </c>
      <c r="D10" s="38" t="s">
        <v>3</v>
      </c>
      <c r="E10" s="199">
        <v>2.5626999999999997E-2</v>
      </c>
      <c r="F10" s="31"/>
      <c r="G10" s="5"/>
      <c r="H10" s="5"/>
      <c r="I10" s="5"/>
      <c r="J10" s="5"/>
      <c r="K10" s="5"/>
      <c r="L10" s="5"/>
      <c r="M10" s="5"/>
      <c r="N10" s="20"/>
      <c r="P10" s="236" t="s">
        <v>4</v>
      </c>
      <c r="Q10" s="239">
        <v>3.6064999999999993E-2</v>
      </c>
      <c r="R10" s="49"/>
    </row>
    <row r="11" spans="2:19" ht="15.75" x14ac:dyDescent="0.25">
      <c r="B11" s="93"/>
      <c r="C11" s="122" t="s">
        <v>236</v>
      </c>
      <c r="D11" s="38" t="s">
        <v>26</v>
      </c>
      <c r="E11" s="199">
        <v>2.2277000000000002E-2</v>
      </c>
      <c r="F11" s="5"/>
      <c r="G11" s="5"/>
      <c r="H11" s="5"/>
      <c r="I11" s="5"/>
      <c r="J11" s="5"/>
      <c r="K11" s="5"/>
      <c r="L11" s="5"/>
      <c r="M11" s="5"/>
      <c r="N11" s="20"/>
      <c r="P11" s="236" t="s">
        <v>6</v>
      </c>
      <c r="Q11" s="239">
        <v>3.0262000000000001E-2</v>
      </c>
      <c r="R11" s="49"/>
    </row>
    <row r="12" spans="2:19" ht="15.75" customHeight="1" x14ac:dyDescent="0.25">
      <c r="B12" s="93"/>
      <c r="C12" s="122" t="s">
        <v>36</v>
      </c>
      <c r="D12" s="38" t="s">
        <v>3</v>
      </c>
      <c r="E12" s="199">
        <v>2.2186999999999998E-2</v>
      </c>
      <c r="F12" s="31"/>
      <c r="G12" s="5"/>
      <c r="H12" s="5"/>
      <c r="I12" s="5"/>
      <c r="J12" s="5"/>
      <c r="K12" s="5"/>
      <c r="L12" s="5"/>
      <c r="M12" s="5"/>
      <c r="N12" s="20"/>
      <c r="P12" s="236" t="s">
        <v>112</v>
      </c>
      <c r="Q12" s="239">
        <v>2.4502999999999997E-2</v>
      </c>
      <c r="R12" s="49"/>
    </row>
    <row r="13" spans="2:19" ht="15.75" x14ac:dyDescent="0.25">
      <c r="B13" s="93"/>
      <c r="C13" s="122" t="s">
        <v>30</v>
      </c>
      <c r="D13" s="38" t="s">
        <v>117</v>
      </c>
      <c r="E13" s="199">
        <v>2.0667000000000001E-2</v>
      </c>
      <c r="F13" s="31"/>
      <c r="G13" s="5"/>
      <c r="H13" s="5"/>
      <c r="I13" s="5"/>
      <c r="J13" s="5"/>
      <c r="K13" s="5"/>
      <c r="L13" s="5"/>
      <c r="M13" s="5"/>
      <c r="N13" s="20"/>
      <c r="P13" s="236" t="s">
        <v>11</v>
      </c>
      <c r="Q13" s="239">
        <v>2.1558000000000001E-2</v>
      </c>
      <c r="R13" s="49"/>
    </row>
    <row r="14" spans="2:19" ht="15.75" x14ac:dyDescent="0.25">
      <c r="B14" s="93"/>
      <c r="C14" s="122" t="s">
        <v>70</v>
      </c>
      <c r="D14" s="38" t="s">
        <v>12</v>
      </c>
      <c r="E14" s="199">
        <v>1.9907999999999995E-2</v>
      </c>
      <c r="F14" s="31"/>
      <c r="G14" s="5"/>
      <c r="H14" s="5"/>
      <c r="I14" s="5"/>
      <c r="J14" s="5"/>
      <c r="K14" s="5"/>
      <c r="L14" s="5"/>
      <c r="M14" s="5"/>
      <c r="N14" s="20"/>
      <c r="P14" s="236" t="s">
        <v>111</v>
      </c>
      <c r="Q14" s="239">
        <v>2.0820999999999999E-2</v>
      </c>
      <c r="R14" s="49"/>
    </row>
    <row r="15" spans="2:19" ht="15.75" x14ac:dyDescent="0.25">
      <c r="B15" s="93"/>
      <c r="C15" s="122" t="s">
        <v>28</v>
      </c>
      <c r="D15" s="38" t="s">
        <v>107</v>
      </c>
      <c r="E15" s="199">
        <v>1.9833E-2</v>
      </c>
      <c r="F15" s="5"/>
      <c r="G15" s="5"/>
      <c r="H15" s="5"/>
      <c r="I15" s="5"/>
      <c r="J15" s="5"/>
      <c r="K15" s="5"/>
      <c r="L15" s="5"/>
      <c r="M15" s="5"/>
      <c r="N15" s="20"/>
      <c r="P15" s="236" t="s">
        <v>117</v>
      </c>
      <c r="Q15" s="239">
        <v>2.0667000000000001E-2</v>
      </c>
      <c r="R15" s="49"/>
    </row>
    <row r="16" spans="2:19" ht="15.75" x14ac:dyDescent="0.25">
      <c r="B16" s="93"/>
      <c r="C16" s="122" t="s">
        <v>225</v>
      </c>
      <c r="D16" s="38" t="s">
        <v>26</v>
      </c>
      <c r="E16" s="199">
        <v>1.9331000000000001E-2</v>
      </c>
      <c r="F16" s="5"/>
      <c r="G16" s="5"/>
      <c r="H16" s="5"/>
      <c r="I16" s="5"/>
      <c r="J16" s="5"/>
      <c r="K16" s="5"/>
      <c r="L16" s="5"/>
      <c r="M16" s="5"/>
      <c r="N16" s="20"/>
      <c r="P16" s="236" t="s">
        <v>12</v>
      </c>
      <c r="Q16" s="239">
        <v>1.9907999999999995E-2</v>
      </c>
      <c r="R16" s="49"/>
    </row>
    <row r="17" spans="2:18" ht="15.75" x14ac:dyDescent="0.25">
      <c r="B17" s="93"/>
      <c r="C17" s="122" t="s">
        <v>75</v>
      </c>
      <c r="D17" s="105" t="s">
        <v>11</v>
      </c>
      <c r="E17" s="199">
        <v>1.5671000000000001E-2</v>
      </c>
      <c r="F17" s="5"/>
      <c r="G17" s="5"/>
      <c r="H17" s="5"/>
      <c r="I17" s="5"/>
      <c r="J17" s="5"/>
      <c r="K17" s="5"/>
      <c r="L17" s="5"/>
      <c r="M17" s="5"/>
      <c r="N17" s="20"/>
      <c r="P17" s="236" t="s">
        <v>119</v>
      </c>
      <c r="Q17" s="239">
        <v>1.7004999999999999E-2</v>
      </c>
      <c r="R17" s="49"/>
    </row>
    <row r="18" spans="2:18" ht="15.75" x14ac:dyDescent="0.25">
      <c r="B18" s="93"/>
      <c r="C18" s="122" t="s">
        <v>76</v>
      </c>
      <c r="D18" s="38" t="s">
        <v>4</v>
      </c>
      <c r="E18" s="199">
        <v>1.5565000000000001E-2</v>
      </c>
      <c r="F18" s="5"/>
      <c r="G18" s="5"/>
      <c r="H18" s="5"/>
      <c r="I18" s="5"/>
      <c r="J18" s="5"/>
      <c r="K18" s="5"/>
      <c r="L18" s="5"/>
      <c r="M18" s="5"/>
      <c r="N18" s="20"/>
      <c r="P18" s="236" t="s">
        <v>106</v>
      </c>
      <c r="Q18" s="239">
        <v>1.5386E-2</v>
      </c>
      <c r="R18" s="49"/>
    </row>
    <row r="19" spans="2:18" ht="15.75" x14ac:dyDescent="0.25">
      <c r="B19" s="93"/>
      <c r="C19" s="122" t="s">
        <v>34</v>
      </c>
      <c r="D19" s="38" t="s">
        <v>23</v>
      </c>
      <c r="E19" s="199">
        <v>1.414E-2</v>
      </c>
      <c r="F19" s="5"/>
      <c r="G19" s="5"/>
      <c r="H19" s="5"/>
      <c r="I19" s="5"/>
      <c r="J19" s="5"/>
      <c r="K19" s="5"/>
      <c r="L19" s="5"/>
      <c r="M19" s="5"/>
      <c r="N19" s="20"/>
      <c r="P19" s="236" t="s">
        <v>110</v>
      </c>
      <c r="Q19" s="239">
        <v>1.4933999999999999E-2</v>
      </c>
      <c r="R19" s="49"/>
    </row>
    <row r="20" spans="2:18" ht="15.75" customHeight="1" x14ac:dyDescent="0.25">
      <c r="B20" s="93"/>
      <c r="C20" s="122" t="s">
        <v>136</v>
      </c>
      <c r="D20" s="38" t="s">
        <v>110</v>
      </c>
      <c r="E20" s="199">
        <v>1.3746E-2</v>
      </c>
      <c r="F20" s="5"/>
      <c r="G20" s="5"/>
      <c r="H20" s="5"/>
      <c r="I20" s="5"/>
      <c r="J20" s="5"/>
      <c r="K20" s="5"/>
      <c r="L20" s="5"/>
      <c r="M20" s="5"/>
      <c r="N20" s="20"/>
      <c r="P20" s="236" t="s">
        <v>86</v>
      </c>
      <c r="Q20" s="239">
        <v>1.4484E-2</v>
      </c>
      <c r="R20" s="49"/>
    </row>
    <row r="21" spans="2:18" ht="15.75" x14ac:dyDescent="0.25">
      <c r="B21" s="93"/>
      <c r="C21" s="122" t="s">
        <v>145</v>
      </c>
      <c r="D21" s="38" t="s">
        <v>124</v>
      </c>
      <c r="E21" s="199">
        <v>1.3511E-2</v>
      </c>
      <c r="F21" s="5"/>
      <c r="G21" s="5"/>
      <c r="H21" s="5"/>
      <c r="I21" s="5"/>
      <c r="J21" s="5"/>
      <c r="K21" s="5"/>
      <c r="L21" s="5"/>
      <c r="M21" s="5"/>
      <c r="N21" s="20"/>
      <c r="P21" s="236" t="s">
        <v>23</v>
      </c>
      <c r="Q21" s="239">
        <v>1.414E-2</v>
      </c>
      <c r="R21" s="49"/>
    </row>
    <row r="22" spans="2:18" ht="15.75" x14ac:dyDescent="0.25">
      <c r="B22" s="93"/>
      <c r="C22" s="122" t="s">
        <v>187</v>
      </c>
      <c r="D22" s="38" t="s">
        <v>10</v>
      </c>
      <c r="E22" s="199">
        <v>1.2137999999999999E-2</v>
      </c>
      <c r="F22" s="5"/>
      <c r="G22" s="31"/>
      <c r="H22" s="31"/>
      <c r="I22" s="31"/>
      <c r="J22" s="5"/>
      <c r="K22" s="31"/>
      <c r="L22" s="5"/>
      <c r="M22" s="5"/>
      <c r="N22" s="20"/>
      <c r="P22" s="236" t="s">
        <v>124</v>
      </c>
      <c r="Q22" s="239">
        <v>1.3511E-2</v>
      </c>
      <c r="R22" s="49"/>
    </row>
    <row r="23" spans="2:18" ht="15.75" customHeight="1" x14ac:dyDescent="0.25">
      <c r="B23" s="93"/>
      <c r="C23" s="38"/>
      <c r="D23" s="4"/>
      <c r="E23" s="6"/>
      <c r="F23" s="5"/>
      <c r="G23" s="31"/>
      <c r="H23" s="31"/>
      <c r="I23" s="31"/>
      <c r="J23" s="5"/>
      <c r="K23" s="31"/>
      <c r="L23" s="5"/>
      <c r="M23" s="5"/>
      <c r="N23" s="20"/>
      <c r="P23" s="236" t="s">
        <v>116</v>
      </c>
      <c r="Q23" s="239">
        <v>1.2359E-2</v>
      </c>
      <c r="R23" s="49"/>
    </row>
    <row r="24" spans="2:18" ht="15.75" x14ac:dyDescent="0.25">
      <c r="B24" s="93"/>
      <c r="C24" s="108" t="s">
        <v>56</v>
      </c>
      <c r="D24" s="108"/>
      <c r="E24" s="109">
        <v>0.2970259999999999</v>
      </c>
      <c r="F24" s="5"/>
      <c r="G24" s="5"/>
      <c r="H24" s="5"/>
      <c r="I24" s="5"/>
      <c r="J24" s="5"/>
      <c r="K24" s="5"/>
      <c r="L24" s="5"/>
      <c r="M24" s="5"/>
      <c r="N24" s="20"/>
      <c r="P24" s="236" t="s">
        <v>10</v>
      </c>
      <c r="Q24" s="239">
        <v>1.2137999999999999E-2</v>
      </c>
      <c r="R24" s="49"/>
    </row>
    <row r="25" spans="2:18" ht="15.75" x14ac:dyDescent="0.25">
      <c r="B25" s="93"/>
      <c r="C25" s="4"/>
      <c r="D25" s="4"/>
      <c r="E25" s="6"/>
      <c r="F25" s="5"/>
      <c r="G25" s="5"/>
      <c r="H25" s="5"/>
      <c r="I25" s="5"/>
      <c r="J25" s="5"/>
      <c r="K25" s="5"/>
      <c r="L25" s="5"/>
      <c r="M25" s="5"/>
      <c r="N25" s="20"/>
      <c r="P25" s="236" t="s">
        <v>15</v>
      </c>
      <c r="Q25" s="239">
        <v>1.0668E-2</v>
      </c>
      <c r="R25" s="49"/>
    </row>
    <row r="26" spans="2:18" ht="15.75" x14ac:dyDescent="0.25">
      <c r="B26" s="93"/>
      <c r="C26" s="108" t="s">
        <v>66</v>
      </c>
      <c r="D26" s="108"/>
      <c r="E26" s="109">
        <v>0.21842600000000001</v>
      </c>
      <c r="F26" s="31"/>
      <c r="G26" s="5"/>
      <c r="H26" s="5"/>
      <c r="I26" s="5"/>
      <c r="J26" s="5"/>
      <c r="K26" s="5"/>
      <c r="L26" s="5"/>
      <c r="M26" s="5"/>
      <c r="N26" s="20"/>
      <c r="P26" s="236" t="s">
        <v>131</v>
      </c>
      <c r="Q26" s="239">
        <v>1.0357999999999999E-2</v>
      </c>
      <c r="R26" s="49"/>
    </row>
    <row r="27" spans="2:18" ht="15.75" x14ac:dyDescent="0.25">
      <c r="B27" s="93"/>
      <c r="C27" s="38"/>
      <c r="D27" s="58"/>
      <c r="E27" s="6"/>
      <c r="F27" s="5"/>
      <c r="G27" s="5"/>
      <c r="H27" s="5"/>
      <c r="I27" s="5"/>
      <c r="J27" s="5"/>
      <c r="K27" s="5"/>
      <c r="L27" s="5"/>
      <c r="M27" s="5"/>
      <c r="N27" s="20"/>
      <c r="P27" s="236" t="s">
        <v>113</v>
      </c>
      <c r="Q27" s="239">
        <v>9.1479999999999999E-3</v>
      </c>
      <c r="R27" s="49"/>
    </row>
    <row r="28" spans="2:18" s="48" customFormat="1" ht="13.5" customHeight="1" x14ac:dyDescent="0.25">
      <c r="B28" s="110"/>
      <c r="C28" s="108" t="s">
        <v>58</v>
      </c>
      <c r="D28" s="108"/>
      <c r="E28" s="186">
        <v>0.20433399999999999</v>
      </c>
      <c r="F28" s="41"/>
      <c r="G28" s="41"/>
      <c r="H28" s="41"/>
      <c r="I28" s="41"/>
      <c r="J28" s="41"/>
      <c r="K28" s="41"/>
      <c r="L28" s="41"/>
      <c r="M28" s="41"/>
      <c r="N28" s="111"/>
      <c r="P28" s="236" t="s">
        <v>16</v>
      </c>
      <c r="Q28" s="239">
        <v>7.6120000000000007E-3</v>
      </c>
      <c r="R28" s="112"/>
    </row>
    <row r="29" spans="2:18" ht="15.75" x14ac:dyDescent="0.25">
      <c r="B29" s="93"/>
      <c r="C29" s="38"/>
      <c r="D29" s="38"/>
      <c r="E29" s="38"/>
      <c r="F29" s="5"/>
      <c r="G29" s="5"/>
      <c r="H29" s="5"/>
      <c r="I29" s="5"/>
      <c r="J29" s="5"/>
      <c r="K29" s="5"/>
      <c r="L29" s="5"/>
      <c r="M29" s="5"/>
      <c r="N29" s="20"/>
      <c r="P29" s="236" t="s">
        <v>118</v>
      </c>
      <c r="Q29" s="239">
        <v>6.2189999999999997E-3</v>
      </c>
      <c r="R29" s="49"/>
    </row>
    <row r="30" spans="2:18" ht="15.75" x14ac:dyDescent="0.25">
      <c r="B30" s="93"/>
      <c r="C30" s="38" t="s">
        <v>224</v>
      </c>
      <c r="D30" s="4" t="s">
        <v>61</v>
      </c>
      <c r="E30" s="199">
        <v>0.23899200000000001</v>
      </c>
      <c r="F30" s="5"/>
      <c r="G30" s="5"/>
      <c r="H30" s="5"/>
      <c r="I30" s="5"/>
      <c r="J30" s="5"/>
      <c r="K30" s="5"/>
      <c r="L30" s="5"/>
      <c r="M30" s="5"/>
      <c r="N30" s="20"/>
      <c r="P30" s="236" t="s">
        <v>130</v>
      </c>
      <c r="Q30" s="239">
        <v>4.8050000000000002E-3</v>
      </c>
      <c r="R30" s="49"/>
    </row>
    <row r="31" spans="2:18" ht="15.75" x14ac:dyDescent="0.25">
      <c r="B31" s="93"/>
      <c r="C31" s="108" t="s">
        <v>42</v>
      </c>
      <c r="D31" s="108"/>
      <c r="E31" s="109">
        <v>0.23899200000000001</v>
      </c>
      <c r="F31" s="5"/>
      <c r="G31" s="5"/>
      <c r="H31" s="5"/>
      <c r="I31" s="5"/>
      <c r="J31" s="5"/>
      <c r="K31" s="5"/>
      <c r="L31" s="5"/>
      <c r="M31" s="5"/>
      <c r="N31" s="20"/>
      <c r="P31" s="236" t="s">
        <v>85</v>
      </c>
      <c r="Q31" s="239">
        <v>4.7289999999999997E-3</v>
      </c>
      <c r="R31" s="49"/>
    </row>
    <row r="32" spans="2:18" ht="15.75" x14ac:dyDescent="0.25">
      <c r="B32" s="93"/>
      <c r="C32" s="113"/>
      <c r="D32" s="113"/>
      <c r="E32" s="114"/>
      <c r="F32" s="5"/>
      <c r="G32" s="5"/>
      <c r="H32" s="5"/>
      <c r="I32" s="5"/>
      <c r="J32" s="5"/>
      <c r="K32" s="5"/>
      <c r="L32" s="5"/>
      <c r="M32" s="5"/>
      <c r="N32" s="20"/>
      <c r="P32" s="236" t="s">
        <v>84</v>
      </c>
      <c r="Q32" s="239">
        <v>2.882E-3</v>
      </c>
      <c r="R32" s="49"/>
    </row>
    <row r="33" spans="1:18" ht="15.75" x14ac:dyDescent="0.25">
      <c r="B33" s="93"/>
      <c r="C33" s="108" t="s">
        <v>20</v>
      </c>
      <c r="D33" s="108"/>
      <c r="E33" s="109">
        <v>4.1222000000000002E-2</v>
      </c>
      <c r="F33" s="5"/>
      <c r="G33" s="5"/>
      <c r="H33" s="5"/>
      <c r="I33" s="5"/>
      <c r="J33" s="5"/>
      <c r="K33" s="5"/>
      <c r="L33" s="5"/>
      <c r="M33" s="5"/>
      <c r="N33" s="20"/>
      <c r="P33" s="236" t="s">
        <v>95</v>
      </c>
      <c r="Q33" s="239">
        <v>1.9319999999999999E-3</v>
      </c>
      <c r="R33" s="49"/>
    </row>
    <row r="34" spans="1:18" ht="15.75" x14ac:dyDescent="0.25">
      <c r="B34" s="93"/>
      <c r="C34" s="4"/>
      <c r="D34" s="4"/>
      <c r="E34" s="32"/>
      <c r="F34" s="5"/>
      <c r="G34" s="5"/>
      <c r="H34" s="5"/>
      <c r="I34" s="5"/>
      <c r="J34" s="5"/>
      <c r="K34" s="5"/>
      <c r="L34" s="5"/>
      <c r="M34" s="5"/>
      <c r="N34" s="20"/>
      <c r="P34" s="236" t="s">
        <v>25</v>
      </c>
      <c r="Q34" s="239">
        <v>9.9599999999999992E-4</v>
      </c>
      <c r="R34" s="49"/>
    </row>
    <row r="35" spans="1:18" ht="15.75" x14ac:dyDescent="0.25">
      <c r="B35" s="93"/>
      <c r="C35" s="115" t="s">
        <v>21</v>
      </c>
      <c r="D35" s="115"/>
      <c r="E35" s="116">
        <f>E33+E31+E28+E26+E24</f>
        <v>0.99999999999999989</v>
      </c>
      <c r="F35" s="5"/>
      <c r="G35" s="5"/>
      <c r="H35" s="5"/>
      <c r="I35" s="5"/>
      <c r="J35" s="5"/>
      <c r="K35" s="5"/>
      <c r="L35" s="5"/>
      <c r="M35" s="5"/>
      <c r="N35" s="20"/>
      <c r="P35" s="236" t="s">
        <v>77</v>
      </c>
      <c r="Q35" s="239">
        <v>6.7299999999999999E-4</v>
      </c>
      <c r="R35" s="49"/>
    </row>
    <row r="36" spans="1:18" x14ac:dyDescent="0.2">
      <c r="B36" s="93"/>
      <c r="F36" s="5"/>
      <c r="G36" s="5"/>
      <c r="H36" s="5"/>
      <c r="I36" s="5"/>
      <c r="J36" s="5"/>
      <c r="K36" s="5"/>
      <c r="L36" s="5"/>
      <c r="M36" s="5"/>
      <c r="N36" s="20"/>
      <c r="R36" s="49"/>
    </row>
    <row r="37" spans="1:18" ht="15.75" thickBot="1" x14ac:dyDescent="0.25">
      <c r="A37" s="5"/>
      <c r="B37" s="96"/>
      <c r="C37" s="45"/>
      <c r="D37" s="45"/>
      <c r="E37" s="45"/>
      <c r="F37" s="45"/>
      <c r="G37" s="45"/>
      <c r="H37" s="45"/>
      <c r="I37" s="45"/>
      <c r="J37" s="45"/>
      <c r="K37" s="45"/>
      <c r="L37" s="45"/>
      <c r="M37" s="45"/>
      <c r="N37" s="118"/>
      <c r="O37" s="5"/>
      <c r="R37" s="49"/>
    </row>
    <row r="38" spans="1:18" ht="15.75" thickBot="1" x14ac:dyDescent="0.25">
      <c r="R38" s="49"/>
    </row>
    <row r="39" spans="1:18" ht="15" customHeight="1" x14ac:dyDescent="0.2">
      <c r="B39" s="269" t="s">
        <v>182</v>
      </c>
      <c r="C39" s="270"/>
      <c r="D39" s="270"/>
      <c r="E39" s="270"/>
      <c r="F39" s="270"/>
      <c r="G39" s="270"/>
      <c r="H39" s="270"/>
      <c r="I39" s="270"/>
      <c r="J39" s="270"/>
      <c r="K39" s="270"/>
      <c r="L39" s="270"/>
      <c r="M39" s="270"/>
      <c r="N39" s="270"/>
      <c r="O39" s="270"/>
      <c r="P39" s="270"/>
      <c r="Q39" s="270"/>
      <c r="R39" s="271"/>
    </row>
    <row r="40" spans="1:18" x14ac:dyDescent="0.2">
      <c r="B40" s="272"/>
      <c r="C40" s="273"/>
      <c r="D40" s="273"/>
      <c r="E40" s="273"/>
      <c r="F40" s="273"/>
      <c r="G40" s="273"/>
      <c r="H40" s="273"/>
      <c r="I40" s="273"/>
      <c r="J40" s="273"/>
      <c r="K40" s="273"/>
      <c r="L40" s="273"/>
      <c r="M40" s="273"/>
      <c r="N40" s="273"/>
      <c r="O40" s="273"/>
      <c r="P40" s="273"/>
      <c r="Q40" s="273"/>
      <c r="R40" s="274"/>
    </row>
    <row r="41" spans="1:18" x14ac:dyDescent="0.2">
      <c r="B41" s="272"/>
      <c r="C41" s="273"/>
      <c r="D41" s="273"/>
      <c r="E41" s="273"/>
      <c r="F41" s="273"/>
      <c r="G41" s="273"/>
      <c r="H41" s="273"/>
      <c r="I41" s="273"/>
      <c r="J41" s="273"/>
      <c r="K41" s="273"/>
      <c r="L41" s="273"/>
      <c r="M41" s="273"/>
      <c r="N41" s="273"/>
      <c r="O41" s="273"/>
      <c r="P41" s="273"/>
      <c r="Q41" s="273"/>
      <c r="R41" s="274"/>
    </row>
    <row r="42" spans="1:18" x14ac:dyDescent="0.2">
      <c r="B42" s="272"/>
      <c r="C42" s="273"/>
      <c r="D42" s="273"/>
      <c r="E42" s="273"/>
      <c r="F42" s="273"/>
      <c r="G42" s="273"/>
      <c r="H42" s="273"/>
      <c r="I42" s="273"/>
      <c r="J42" s="273"/>
      <c r="K42" s="273"/>
      <c r="L42" s="273"/>
      <c r="M42" s="273"/>
      <c r="N42" s="273"/>
      <c r="O42" s="273"/>
      <c r="P42" s="273"/>
      <c r="Q42" s="273"/>
      <c r="R42" s="274"/>
    </row>
    <row r="43" spans="1:18" x14ac:dyDescent="0.2">
      <c r="B43" s="272"/>
      <c r="C43" s="273"/>
      <c r="D43" s="273"/>
      <c r="E43" s="273"/>
      <c r="F43" s="273"/>
      <c r="G43" s="273"/>
      <c r="H43" s="273"/>
      <c r="I43" s="273"/>
      <c r="J43" s="273"/>
      <c r="K43" s="273"/>
      <c r="L43" s="273"/>
      <c r="M43" s="273"/>
      <c r="N43" s="273"/>
      <c r="O43" s="273"/>
      <c r="P43" s="273"/>
      <c r="Q43" s="273"/>
      <c r="R43" s="274"/>
    </row>
    <row r="44" spans="1:18" x14ac:dyDescent="0.2">
      <c r="B44" s="272"/>
      <c r="C44" s="273"/>
      <c r="D44" s="273"/>
      <c r="E44" s="273"/>
      <c r="F44" s="273"/>
      <c r="G44" s="273"/>
      <c r="H44" s="273"/>
      <c r="I44" s="273"/>
      <c r="J44" s="273"/>
      <c r="K44" s="273"/>
      <c r="L44" s="273"/>
      <c r="M44" s="273"/>
      <c r="N44" s="273"/>
      <c r="O44" s="273"/>
      <c r="P44" s="273"/>
      <c r="Q44" s="273"/>
      <c r="R44" s="274"/>
    </row>
    <row r="45" spans="1:18" ht="15.75" thickBot="1" x14ac:dyDescent="0.25">
      <c r="B45" s="275"/>
      <c r="C45" s="276"/>
      <c r="D45" s="276"/>
      <c r="E45" s="276"/>
      <c r="F45" s="276"/>
      <c r="G45" s="276"/>
      <c r="H45" s="276"/>
      <c r="I45" s="276"/>
      <c r="J45" s="276"/>
      <c r="K45" s="276"/>
      <c r="L45" s="276"/>
      <c r="M45" s="276"/>
      <c r="N45" s="276"/>
      <c r="O45" s="276"/>
      <c r="P45" s="276"/>
      <c r="Q45" s="276"/>
      <c r="R45" s="277"/>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3" t="s">
        <v>235</v>
      </c>
      <c r="D3" s="263" t="s">
        <v>235</v>
      </c>
      <c r="E3" s="263" t="s">
        <v>235</v>
      </c>
      <c r="F3" s="263" t="s">
        <v>235</v>
      </c>
      <c r="G3" s="263" t="s">
        <v>235</v>
      </c>
      <c r="H3" s="263" t="s">
        <v>235</v>
      </c>
      <c r="I3" s="263" t="s">
        <v>235</v>
      </c>
      <c r="J3" s="263" t="s">
        <v>235</v>
      </c>
      <c r="K3" s="263" t="s">
        <v>235</v>
      </c>
      <c r="L3" s="263" t="s">
        <v>235</v>
      </c>
      <c r="M3" s="263" t="s">
        <v>235</v>
      </c>
      <c r="N3" s="264" t="s">
        <v>235</v>
      </c>
    </row>
    <row r="4" spans="2:19" ht="15.75" x14ac:dyDescent="0.25">
      <c r="B4" s="93"/>
      <c r="C4" s="67" t="s">
        <v>412</v>
      </c>
      <c r="D4" s="29"/>
      <c r="E4" s="29"/>
      <c r="F4" s="5"/>
      <c r="G4" s="5"/>
      <c r="H4" s="5"/>
      <c r="I4" s="5"/>
      <c r="J4" s="5"/>
      <c r="K4" s="5"/>
      <c r="L4" s="5"/>
      <c r="M4" s="5"/>
      <c r="N4" s="20"/>
    </row>
    <row r="5" spans="2:19" ht="20.25" customHeight="1" x14ac:dyDescent="0.2">
      <c r="B5" s="93"/>
      <c r="C5" s="221" t="s">
        <v>411</v>
      </c>
      <c r="D5" s="280" t="s">
        <v>392</v>
      </c>
      <c r="E5" s="28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6" t="s">
        <v>3</v>
      </c>
      <c r="Q7" s="239">
        <v>8.4253000000000008E-2</v>
      </c>
    </row>
    <row r="8" spans="2:19" ht="15.75" x14ac:dyDescent="0.25">
      <c r="B8" s="93"/>
      <c r="C8" s="38" t="s">
        <v>29</v>
      </c>
      <c r="D8" s="38" t="s">
        <v>3</v>
      </c>
      <c r="E8" s="6">
        <v>2.3226000000000004E-2</v>
      </c>
      <c r="F8" s="5"/>
      <c r="G8" s="5"/>
      <c r="H8" s="5"/>
      <c r="I8" s="5"/>
      <c r="J8" s="5"/>
      <c r="K8" s="5"/>
      <c r="L8" s="5"/>
      <c r="M8" s="5"/>
      <c r="N8" s="20"/>
      <c r="P8" s="236" t="s">
        <v>111</v>
      </c>
      <c r="Q8" s="239">
        <v>3.5318999999999996E-2</v>
      </c>
      <c r="R8" s="49"/>
    </row>
    <row r="9" spans="2:19" ht="15.75" customHeight="1" x14ac:dyDescent="0.25">
      <c r="B9" s="93"/>
      <c r="C9" s="38" t="s">
        <v>31</v>
      </c>
      <c r="D9" s="38" t="s">
        <v>6</v>
      </c>
      <c r="E9" s="6">
        <v>2.2395999999999999E-2</v>
      </c>
      <c r="F9" s="5"/>
      <c r="G9" s="5"/>
      <c r="H9" s="5"/>
      <c r="I9" s="5"/>
      <c r="J9" s="5"/>
      <c r="K9" s="5"/>
      <c r="L9" s="5"/>
      <c r="M9" s="5"/>
      <c r="N9" s="20"/>
      <c r="P9" s="236" t="s">
        <v>4</v>
      </c>
      <c r="Q9" s="239">
        <v>3.2924000000000002E-2</v>
      </c>
      <c r="R9" s="49"/>
    </row>
    <row r="10" spans="2:19" ht="15.75" x14ac:dyDescent="0.25">
      <c r="B10" s="93"/>
      <c r="C10" s="38" t="s">
        <v>32</v>
      </c>
      <c r="D10" s="38" t="s">
        <v>3</v>
      </c>
      <c r="E10" s="6">
        <v>2.0902E-2</v>
      </c>
      <c r="F10" s="31"/>
      <c r="G10" s="5"/>
      <c r="H10" s="5"/>
      <c r="I10" s="5"/>
      <c r="J10" s="5"/>
      <c r="K10" s="5"/>
      <c r="L10" s="5"/>
      <c r="M10" s="5"/>
      <c r="N10" s="20"/>
      <c r="P10" s="236" t="s">
        <v>26</v>
      </c>
      <c r="Q10" s="239">
        <v>3.0845000000000001E-2</v>
      </c>
      <c r="R10" s="49"/>
    </row>
    <row r="11" spans="2:19" ht="15.75" x14ac:dyDescent="0.25">
      <c r="B11" s="93"/>
      <c r="C11" s="38" t="s">
        <v>28</v>
      </c>
      <c r="D11" s="38" t="s">
        <v>107</v>
      </c>
      <c r="E11" s="6">
        <v>1.4949E-2</v>
      </c>
      <c r="F11" s="5"/>
      <c r="G11" s="5"/>
      <c r="H11" s="5"/>
      <c r="I11" s="5"/>
      <c r="J11" s="5"/>
      <c r="K11" s="5"/>
      <c r="L11" s="5"/>
      <c r="M11" s="5"/>
      <c r="N11" s="20"/>
      <c r="P11" s="236" t="s">
        <v>107</v>
      </c>
      <c r="Q11" s="239">
        <v>2.9240000000000002E-2</v>
      </c>
      <c r="R11" s="49"/>
    </row>
    <row r="12" spans="2:19" ht="15.75" customHeight="1" x14ac:dyDescent="0.25">
      <c r="B12" s="93"/>
      <c r="C12" s="38" t="s">
        <v>36</v>
      </c>
      <c r="D12" s="38" t="s">
        <v>3</v>
      </c>
      <c r="E12" s="6">
        <v>1.1765999999999999E-2</v>
      </c>
      <c r="F12" s="31"/>
      <c r="G12" s="5"/>
      <c r="H12" s="5"/>
      <c r="I12" s="5"/>
      <c r="J12" s="5"/>
      <c r="K12" s="5"/>
      <c r="L12" s="5"/>
      <c r="M12" s="5"/>
      <c r="N12" s="20"/>
      <c r="P12" s="236" t="s">
        <v>6</v>
      </c>
      <c r="Q12" s="239">
        <v>2.2395999999999999E-2</v>
      </c>
      <c r="R12" s="49"/>
    </row>
    <row r="13" spans="2:19" ht="15.75" x14ac:dyDescent="0.25">
      <c r="B13" s="93"/>
      <c r="C13" s="38" t="s">
        <v>225</v>
      </c>
      <c r="D13" s="38" t="s">
        <v>26</v>
      </c>
      <c r="E13" s="6">
        <v>8.8979999999999997E-3</v>
      </c>
      <c r="F13" s="31"/>
      <c r="G13" s="5"/>
      <c r="H13" s="5"/>
      <c r="I13" s="5"/>
      <c r="J13" s="5"/>
      <c r="K13" s="5"/>
      <c r="L13" s="5"/>
      <c r="M13" s="5"/>
      <c r="N13" s="20"/>
      <c r="P13" s="236" t="s">
        <v>112</v>
      </c>
      <c r="Q13" s="239">
        <v>1.9249000000000002E-2</v>
      </c>
      <c r="R13" s="49"/>
    </row>
    <row r="14" spans="2:19" ht="15.75" x14ac:dyDescent="0.25">
      <c r="B14" s="93"/>
      <c r="C14" s="38" t="s">
        <v>37</v>
      </c>
      <c r="D14" s="38" t="s">
        <v>117</v>
      </c>
      <c r="E14" s="6">
        <v>8.2810000000000002E-3</v>
      </c>
      <c r="F14" s="31"/>
      <c r="G14" s="5"/>
      <c r="H14" s="5"/>
      <c r="I14" s="5"/>
      <c r="J14" s="5"/>
      <c r="K14" s="5"/>
      <c r="L14" s="5"/>
      <c r="M14" s="5"/>
      <c r="N14" s="20"/>
      <c r="P14" s="236" t="s">
        <v>16</v>
      </c>
      <c r="Q14" s="239">
        <v>1.9216E-2</v>
      </c>
      <c r="R14" s="49"/>
    </row>
    <row r="15" spans="2:19" ht="15.75" x14ac:dyDescent="0.25">
      <c r="B15" s="93"/>
      <c r="C15" s="38" t="s">
        <v>33</v>
      </c>
      <c r="D15" s="38" t="s">
        <v>107</v>
      </c>
      <c r="E15" s="6">
        <v>8.208E-3</v>
      </c>
      <c r="F15" s="5"/>
      <c r="G15" s="5"/>
      <c r="H15" s="5"/>
      <c r="I15" s="5"/>
      <c r="J15" s="5"/>
      <c r="K15" s="5"/>
      <c r="L15" s="5"/>
      <c r="M15" s="5"/>
      <c r="N15" s="20"/>
      <c r="P15" s="236" t="s">
        <v>24</v>
      </c>
      <c r="Q15" s="239">
        <v>1.8128000000000002E-2</v>
      </c>
      <c r="R15" s="49"/>
    </row>
    <row r="16" spans="2:19" ht="15.75" x14ac:dyDescent="0.25">
      <c r="B16" s="93"/>
      <c r="C16" s="38" t="s">
        <v>120</v>
      </c>
      <c r="D16" s="38" t="s">
        <v>112</v>
      </c>
      <c r="E16" s="6">
        <v>7.8639999999999995E-3</v>
      </c>
      <c r="F16" s="5"/>
      <c r="G16" s="5"/>
      <c r="H16" s="5"/>
      <c r="I16" s="5"/>
      <c r="J16" s="5"/>
      <c r="K16" s="5"/>
      <c r="L16" s="5"/>
      <c r="M16" s="5"/>
      <c r="N16" s="20"/>
      <c r="P16" s="236" t="s">
        <v>117</v>
      </c>
      <c r="Q16" s="239">
        <v>1.5709000000000001E-2</v>
      </c>
      <c r="R16" s="49"/>
    </row>
    <row r="17" spans="2:18" ht="15.75" x14ac:dyDescent="0.25">
      <c r="B17" s="93"/>
      <c r="C17" s="38" t="s">
        <v>243</v>
      </c>
      <c r="D17" s="38" t="s">
        <v>26</v>
      </c>
      <c r="E17" s="6">
        <v>7.6550000000000003E-3</v>
      </c>
      <c r="F17" s="5"/>
      <c r="G17" s="5"/>
      <c r="H17" s="5"/>
      <c r="I17" s="5"/>
      <c r="J17" s="5"/>
      <c r="K17" s="5"/>
      <c r="L17" s="5"/>
      <c r="M17" s="5"/>
      <c r="N17" s="20"/>
      <c r="P17" s="236" t="s">
        <v>119</v>
      </c>
      <c r="Q17" s="239">
        <v>1.4227E-2</v>
      </c>
      <c r="R17" s="49"/>
    </row>
    <row r="18" spans="2:18" ht="15.75" x14ac:dyDescent="0.25">
      <c r="B18" s="93"/>
      <c r="C18" s="38" t="s">
        <v>30</v>
      </c>
      <c r="D18" s="38" t="s">
        <v>117</v>
      </c>
      <c r="E18" s="6">
        <v>7.4280000000000006E-3</v>
      </c>
      <c r="F18" s="5"/>
      <c r="G18" s="5"/>
      <c r="H18" s="5"/>
      <c r="I18" s="5"/>
      <c r="J18" s="5"/>
      <c r="K18" s="5"/>
      <c r="L18" s="5"/>
      <c r="M18" s="5"/>
      <c r="N18" s="20"/>
      <c r="P18" s="236" t="s">
        <v>118</v>
      </c>
      <c r="Q18" s="239">
        <v>1.3892E-2</v>
      </c>
      <c r="R18" s="49"/>
    </row>
    <row r="19" spans="2:18" ht="15.75" x14ac:dyDescent="0.25">
      <c r="B19" s="93"/>
      <c r="C19" s="38" t="s">
        <v>96</v>
      </c>
      <c r="D19" s="38" t="s">
        <v>112</v>
      </c>
      <c r="E19" s="6">
        <v>6.999E-3</v>
      </c>
      <c r="F19" s="5"/>
      <c r="G19" s="5"/>
      <c r="H19" s="5"/>
      <c r="I19" s="5"/>
      <c r="J19" s="5"/>
      <c r="K19" s="5"/>
      <c r="L19" s="5"/>
      <c r="M19" s="5"/>
      <c r="N19" s="20"/>
      <c r="P19" s="236" t="s">
        <v>126</v>
      </c>
      <c r="Q19" s="239">
        <v>1.3280999999999999E-2</v>
      </c>
      <c r="R19" s="49"/>
    </row>
    <row r="20" spans="2:18" ht="15.75" customHeight="1" x14ac:dyDescent="0.25">
      <c r="B20" s="93"/>
      <c r="C20" s="38" t="s">
        <v>104</v>
      </c>
      <c r="D20" s="38" t="s">
        <v>111</v>
      </c>
      <c r="E20" s="6">
        <v>6.5409999999999999E-3</v>
      </c>
      <c r="F20" s="5"/>
      <c r="G20" s="5"/>
      <c r="H20" s="5"/>
      <c r="I20" s="5"/>
      <c r="J20" s="5"/>
      <c r="K20" s="5"/>
      <c r="L20" s="5"/>
      <c r="M20" s="5"/>
      <c r="N20" s="20"/>
      <c r="P20" s="236" t="s">
        <v>23</v>
      </c>
      <c r="Q20" s="239">
        <v>1.2334999999999999E-2</v>
      </c>
      <c r="R20" s="49"/>
    </row>
    <row r="21" spans="2:18" ht="15.75" x14ac:dyDescent="0.25">
      <c r="B21" s="93"/>
      <c r="C21" s="38" t="s">
        <v>245</v>
      </c>
      <c r="D21" s="38" t="s">
        <v>85</v>
      </c>
      <c r="E21" s="6">
        <v>6.221E-3</v>
      </c>
      <c r="F21" s="5"/>
      <c r="G21" s="5"/>
      <c r="H21" s="5"/>
      <c r="I21" s="5"/>
      <c r="J21" s="5"/>
      <c r="K21" s="5"/>
      <c r="L21" s="5"/>
      <c r="M21" s="5"/>
      <c r="N21" s="20"/>
      <c r="P21" s="236" t="s">
        <v>86</v>
      </c>
      <c r="Q21" s="239">
        <v>1.1497E-2</v>
      </c>
      <c r="R21" s="49"/>
    </row>
    <row r="22" spans="2:18" ht="15.75" x14ac:dyDescent="0.25">
      <c r="B22" s="93"/>
      <c r="C22" s="38" t="s">
        <v>62</v>
      </c>
      <c r="D22" s="38" t="s">
        <v>10</v>
      </c>
      <c r="E22" s="6">
        <v>6.2169999999999986E-3</v>
      </c>
      <c r="F22" s="5"/>
      <c r="G22" s="31"/>
      <c r="H22" s="31"/>
      <c r="I22" s="31"/>
      <c r="J22" s="5"/>
      <c r="K22" s="31"/>
      <c r="L22" s="5"/>
      <c r="M22" s="5"/>
      <c r="N22" s="20"/>
      <c r="P22" s="236" t="s">
        <v>10</v>
      </c>
      <c r="Q22" s="239">
        <v>1.0467999999999998E-2</v>
      </c>
      <c r="R22" s="49"/>
    </row>
    <row r="23" spans="2:18" ht="15.75" customHeight="1" x14ac:dyDescent="0.25">
      <c r="B23" s="93"/>
      <c r="C23" s="38"/>
      <c r="D23" s="4"/>
      <c r="E23" s="6"/>
      <c r="F23" s="5"/>
      <c r="G23" s="31"/>
      <c r="H23" s="31"/>
      <c r="I23" s="31"/>
      <c r="J23" s="5"/>
      <c r="K23" s="31"/>
      <c r="L23" s="5"/>
      <c r="M23" s="5"/>
      <c r="N23" s="20"/>
      <c r="P23" s="236" t="s">
        <v>113</v>
      </c>
      <c r="Q23" s="239">
        <v>1.0133999999999999E-2</v>
      </c>
      <c r="R23" s="49"/>
    </row>
    <row r="24" spans="2:18" ht="15.75" x14ac:dyDescent="0.25">
      <c r="B24" s="93"/>
      <c r="C24" s="108" t="s">
        <v>56</v>
      </c>
      <c r="D24" s="108"/>
      <c r="E24" s="109">
        <v>0.16755100000000001</v>
      </c>
      <c r="F24" s="5"/>
      <c r="G24" s="5"/>
      <c r="H24" s="5"/>
      <c r="I24" s="5"/>
      <c r="J24" s="5"/>
      <c r="K24" s="5"/>
      <c r="L24" s="5"/>
      <c r="M24" s="5"/>
      <c r="N24" s="20"/>
      <c r="P24" s="236" t="s">
        <v>83</v>
      </c>
      <c r="Q24" s="239">
        <v>9.1989999999999988E-3</v>
      </c>
      <c r="R24" s="49"/>
    </row>
    <row r="25" spans="2:18" ht="15.75" x14ac:dyDescent="0.25">
      <c r="B25" s="93"/>
      <c r="C25" s="4"/>
      <c r="D25" s="4"/>
      <c r="E25" s="6"/>
      <c r="F25" s="5"/>
      <c r="G25" s="5"/>
      <c r="H25" s="5"/>
      <c r="I25" s="5"/>
      <c r="J25" s="5"/>
      <c r="K25" s="5"/>
      <c r="L25" s="5"/>
      <c r="M25" s="5"/>
      <c r="N25" s="20"/>
      <c r="P25" s="236" t="s">
        <v>110</v>
      </c>
      <c r="Q25" s="239">
        <v>9.0870000000000013E-3</v>
      </c>
      <c r="R25" s="49"/>
    </row>
    <row r="26" spans="2:18" ht="15.75" x14ac:dyDescent="0.25">
      <c r="B26" s="93"/>
      <c r="C26" s="108" t="s">
        <v>66</v>
      </c>
      <c r="D26" s="108"/>
      <c r="E26" s="109">
        <v>0.33210700000000026</v>
      </c>
      <c r="F26" s="31"/>
      <c r="G26" s="5"/>
      <c r="H26" s="5"/>
      <c r="I26" s="5"/>
      <c r="J26" s="5"/>
      <c r="K26" s="5"/>
      <c r="L26" s="5"/>
      <c r="M26" s="5"/>
      <c r="N26" s="20"/>
      <c r="P26" s="236" t="s">
        <v>108</v>
      </c>
      <c r="Q26" s="239">
        <v>7.3290000000000004E-3</v>
      </c>
      <c r="R26" s="49"/>
    </row>
    <row r="27" spans="2:18" ht="15.75" x14ac:dyDescent="0.25">
      <c r="B27" s="93"/>
      <c r="C27" s="38"/>
      <c r="D27" s="58"/>
      <c r="E27" s="6"/>
      <c r="F27" s="5"/>
      <c r="G27" s="5"/>
      <c r="H27" s="5"/>
      <c r="I27" s="5"/>
      <c r="J27" s="5"/>
      <c r="K27" s="5"/>
      <c r="L27" s="5"/>
      <c r="M27" s="5"/>
      <c r="N27" s="20"/>
      <c r="P27" s="236" t="s">
        <v>84</v>
      </c>
      <c r="Q27" s="239">
        <v>7.2420000000000002E-3</v>
      </c>
      <c r="R27" s="49"/>
    </row>
    <row r="28" spans="2:18" s="48" customFormat="1" ht="13.5" customHeight="1" x14ac:dyDescent="0.25">
      <c r="B28" s="110"/>
      <c r="C28" s="108" t="s">
        <v>58</v>
      </c>
      <c r="D28" s="108"/>
      <c r="E28" s="186">
        <v>0.15681200000000001</v>
      </c>
      <c r="F28" s="41"/>
      <c r="G28" s="41"/>
      <c r="H28" s="41"/>
      <c r="I28" s="41"/>
      <c r="J28" s="41"/>
      <c r="K28" s="41"/>
      <c r="L28" s="41"/>
      <c r="M28" s="41"/>
      <c r="N28" s="111"/>
      <c r="P28" s="236" t="s">
        <v>11</v>
      </c>
      <c r="Q28" s="239">
        <v>6.9639999999999997E-3</v>
      </c>
      <c r="R28" s="112"/>
    </row>
    <row r="29" spans="2:18" ht="15.75" x14ac:dyDescent="0.25">
      <c r="B29" s="93"/>
      <c r="C29" s="38"/>
      <c r="D29" s="38"/>
      <c r="E29" s="6"/>
      <c r="F29" s="5"/>
      <c r="G29" s="5"/>
      <c r="H29" s="5"/>
      <c r="I29" s="5"/>
      <c r="J29" s="5"/>
      <c r="K29" s="5"/>
      <c r="L29" s="5"/>
      <c r="M29" s="5"/>
      <c r="N29" s="20"/>
      <c r="P29" s="236" t="s">
        <v>85</v>
      </c>
      <c r="Q29" s="239">
        <v>6.221E-3</v>
      </c>
      <c r="R29" s="49"/>
    </row>
    <row r="30" spans="2:18" ht="15.75" x14ac:dyDescent="0.25">
      <c r="B30" s="93"/>
      <c r="C30" s="38" t="s">
        <v>234</v>
      </c>
      <c r="D30" s="38" t="s">
        <v>232</v>
      </c>
      <c r="E30" s="6">
        <v>5.7902000000000002E-2</v>
      </c>
      <c r="F30" s="5"/>
      <c r="G30" s="5"/>
      <c r="H30" s="5"/>
      <c r="I30" s="5"/>
      <c r="J30" s="5"/>
      <c r="K30" s="5"/>
      <c r="L30" s="5"/>
      <c r="M30" s="5"/>
      <c r="N30" s="20"/>
      <c r="P30" s="236" t="s">
        <v>12</v>
      </c>
      <c r="Q30" s="239">
        <v>6.1910000000000003E-3</v>
      </c>
      <c r="R30" s="49"/>
    </row>
    <row r="31" spans="2:18" ht="15.75" x14ac:dyDescent="0.25">
      <c r="B31" s="93"/>
      <c r="C31" s="38" t="s">
        <v>233</v>
      </c>
      <c r="D31" s="38" t="s">
        <v>232</v>
      </c>
      <c r="E31" s="6">
        <v>5.6863999999999998E-2</v>
      </c>
      <c r="F31" s="5"/>
      <c r="G31" s="5"/>
      <c r="H31" s="5"/>
      <c r="I31" s="5"/>
      <c r="J31" s="5"/>
      <c r="K31" s="5"/>
      <c r="L31" s="5"/>
      <c r="M31" s="5"/>
      <c r="N31" s="20"/>
      <c r="P31" s="236" t="s">
        <v>77</v>
      </c>
      <c r="Q31" s="239">
        <v>5.6870000000000002E-3</v>
      </c>
      <c r="R31" s="49"/>
    </row>
    <row r="32" spans="2:18" ht="15.75" x14ac:dyDescent="0.25">
      <c r="B32" s="93"/>
      <c r="C32" s="108" t="s">
        <v>231</v>
      </c>
      <c r="D32" s="108"/>
      <c r="E32" s="186">
        <v>0.11476600000000001</v>
      </c>
      <c r="F32" s="5"/>
      <c r="G32" s="5"/>
      <c r="H32" s="5"/>
      <c r="I32" s="5"/>
      <c r="J32" s="5"/>
      <c r="K32" s="5"/>
      <c r="L32" s="5"/>
      <c r="M32" s="5"/>
      <c r="N32" s="20"/>
      <c r="P32" s="236" t="s">
        <v>146</v>
      </c>
      <c r="Q32" s="239">
        <v>5.3449999999999999E-3</v>
      </c>
      <c r="R32" s="49"/>
    </row>
    <row r="33" spans="1:18" ht="15.75" x14ac:dyDescent="0.25">
      <c r="B33" s="93"/>
      <c r="C33" s="38"/>
      <c r="D33" s="4"/>
      <c r="E33" s="199"/>
      <c r="F33" s="5"/>
      <c r="G33" s="5"/>
      <c r="H33" s="5"/>
      <c r="I33" s="5"/>
      <c r="J33" s="5"/>
      <c r="K33" s="5"/>
      <c r="L33" s="5"/>
      <c r="M33" s="5"/>
      <c r="N33" s="20"/>
      <c r="P33" s="236" t="s">
        <v>127</v>
      </c>
      <c r="Q33" s="239">
        <v>5.1349999999999998E-3</v>
      </c>
      <c r="R33" s="49"/>
    </row>
    <row r="34" spans="1:18" ht="15.75" x14ac:dyDescent="0.25">
      <c r="B34" s="93"/>
      <c r="C34" s="38" t="s">
        <v>224</v>
      </c>
      <c r="D34" s="4" t="s">
        <v>61</v>
      </c>
      <c r="E34" s="199">
        <v>7.8488000000000002E-2</v>
      </c>
      <c r="F34" s="5"/>
      <c r="G34" s="5"/>
      <c r="H34" s="5"/>
      <c r="I34" s="5"/>
      <c r="J34" s="5"/>
      <c r="K34" s="5"/>
      <c r="L34" s="5"/>
      <c r="M34" s="5"/>
      <c r="N34" s="20"/>
      <c r="P34" s="236" t="s">
        <v>218</v>
      </c>
      <c r="Q34" s="239">
        <v>5.0879999999999996E-3</v>
      </c>
      <c r="R34" s="49"/>
    </row>
    <row r="35" spans="1:18" ht="15.75" x14ac:dyDescent="0.25">
      <c r="B35" s="93"/>
      <c r="C35" s="108" t="s">
        <v>42</v>
      </c>
      <c r="D35" s="108"/>
      <c r="E35" s="109">
        <v>7.8488000000000002E-2</v>
      </c>
      <c r="F35" s="5"/>
      <c r="G35" s="5"/>
      <c r="H35" s="5"/>
      <c r="I35" s="5"/>
      <c r="J35" s="5"/>
      <c r="K35" s="5"/>
      <c r="L35" s="5"/>
      <c r="M35" s="5"/>
      <c r="N35" s="20"/>
      <c r="P35" s="236" t="s">
        <v>121</v>
      </c>
      <c r="Q35" s="239">
        <v>4.3740000000000003E-3</v>
      </c>
      <c r="R35" s="49"/>
    </row>
    <row r="36" spans="1:18" ht="15.75" x14ac:dyDescent="0.25">
      <c r="B36" s="93"/>
      <c r="C36" s="113"/>
      <c r="D36" s="113"/>
      <c r="E36" s="114"/>
      <c r="F36" s="5"/>
      <c r="G36" s="5"/>
      <c r="H36" s="5"/>
      <c r="I36" s="5"/>
      <c r="J36" s="5"/>
      <c r="K36" s="5"/>
      <c r="L36" s="5"/>
      <c r="M36" s="5"/>
      <c r="N36" s="20"/>
      <c r="P36" s="236" t="s">
        <v>122</v>
      </c>
      <c r="Q36" s="239">
        <v>3.859E-3</v>
      </c>
      <c r="R36" s="49"/>
    </row>
    <row r="37" spans="1:18" ht="15.75" x14ac:dyDescent="0.25">
      <c r="B37" s="93"/>
      <c r="C37" s="38" t="s">
        <v>230</v>
      </c>
      <c r="D37" s="38" t="s">
        <v>232</v>
      </c>
      <c r="E37" s="199">
        <v>9.7004000000000007E-2</v>
      </c>
      <c r="F37" s="5"/>
      <c r="G37" s="5"/>
      <c r="H37" s="5"/>
      <c r="I37" s="5"/>
      <c r="J37" s="5"/>
      <c r="K37" s="5"/>
      <c r="L37" s="5"/>
      <c r="M37" s="5"/>
      <c r="N37" s="20"/>
      <c r="P37" s="236" t="s">
        <v>124</v>
      </c>
      <c r="Q37" s="239">
        <v>3.6020000000000002E-3</v>
      </c>
      <c r="R37" s="49"/>
    </row>
    <row r="38" spans="1:18" ht="15.75" x14ac:dyDescent="0.25">
      <c r="B38" s="93"/>
      <c r="C38" s="108" t="s">
        <v>229</v>
      </c>
      <c r="D38" s="108"/>
      <c r="E38" s="109">
        <v>9.7004000000000007E-2</v>
      </c>
      <c r="F38" s="5"/>
      <c r="G38" s="5"/>
      <c r="H38" s="5"/>
      <c r="I38" s="5"/>
      <c r="J38" s="5"/>
      <c r="K38" s="5"/>
      <c r="L38" s="5"/>
      <c r="M38" s="5"/>
      <c r="N38" s="20"/>
      <c r="P38" s="236" t="s">
        <v>131</v>
      </c>
      <c r="Q38" s="239">
        <v>3.4550000000000002E-3</v>
      </c>
      <c r="R38" s="49"/>
    </row>
    <row r="39" spans="1:18" ht="15.75" x14ac:dyDescent="0.25">
      <c r="B39" s="93"/>
      <c r="C39" s="113"/>
      <c r="D39" s="113"/>
      <c r="E39" s="114"/>
      <c r="F39" s="5"/>
      <c r="G39" s="5"/>
      <c r="H39" s="5"/>
      <c r="I39" s="5"/>
      <c r="J39" s="5"/>
      <c r="K39" s="5"/>
      <c r="L39" s="5"/>
      <c r="M39" s="5"/>
      <c r="N39" s="20"/>
      <c r="P39" s="236" t="s">
        <v>15</v>
      </c>
      <c r="Q39" s="239">
        <v>2.7180000000000004E-3</v>
      </c>
      <c r="R39" s="49"/>
    </row>
    <row r="40" spans="1:18" ht="15.75" x14ac:dyDescent="0.25">
      <c r="B40" s="93"/>
      <c r="C40" s="108" t="s">
        <v>20</v>
      </c>
      <c r="D40" s="108"/>
      <c r="E40" s="109">
        <v>5.3271999999999993E-2</v>
      </c>
      <c r="F40" s="5"/>
      <c r="G40" s="5"/>
      <c r="H40" s="5"/>
      <c r="I40" s="5"/>
      <c r="J40" s="5"/>
      <c r="K40" s="5"/>
      <c r="L40" s="5"/>
      <c r="M40" s="5"/>
      <c r="N40" s="20"/>
      <c r="P40" s="236" t="s">
        <v>114</v>
      </c>
      <c r="Q40" s="239">
        <v>2.5219999999999999E-3</v>
      </c>
      <c r="R40" s="49"/>
    </row>
    <row r="41" spans="1:18" ht="15.75" x14ac:dyDescent="0.25">
      <c r="B41" s="93"/>
      <c r="C41" s="4"/>
      <c r="D41" s="4"/>
      <c r="E41" s="32"/>
      <c r="F41" s="5"/>
      <c r="G41" s="5"/>
      <c r="H41" s="5"/>
      <c r="I41" s="5"/>
      <c r="J41" s="5"/>
      <c r="K41" s="5"/>
      <c r="L41" s="5"/>
      <c r="M41" s="5"/>
      <c r="N41" s="20"/>
      <c r="P41" s="236" t="s">
        <v>133</v>
      </c>
      <c r="Q41" s="239">
        <v>2.5079999999999998E-3</v>
      </c>
      <c r="R41" s="49"/>
    </row>
    <row r="42" spans="1:18" s="48" customFormat="1" ht="15.75" x14ac:dyDescent="0.25">
      <c r="B42" s="110"/>
      <c r="C42" s="115" t="s">
        <v>21</v>
      </c>
      <c r="D42" s="115"/>
      <c r="E42" s="116">
        <f>E40+E38+E35+E32+E28+E26+E24</f>
        <v>1.0000000000000004</v>
      </c>
      <c r="F42" s="41"/>
      <c r="G42" s="5"/>
      <c r="H42" s="5"/>
      <c r="I42" s="5"/>
      <c r="J42" s="5"/>
      <c r="K42" s="5"/>
      <c r="L42" s="41"/>
      <c r="M42" s="41"/>
      <c r="N42" s="111"/>
      <c r="P42" s="236" t="s">
        <v>123</v>
      </c>
      <c r="Q42" s="239">
        <v>2.1419999999999998E-3</v>
      </c>
      <c r="R42" s="112"/>
    </row>
    <row r="43" spans="1:18" ht="15.75" x14ac:dyDescent="0.25">
      <c r="B43" s="93"/>
      <c r="F43" s="5"/>
      <c r="G43" s="5"/>
      <c r="H43" s="5"/>
      <c r="I43" s="5"/>
      <c r="J43" s="5"/>
      <c r="K43" s="5"/>
      <c r="L43" s="5"/>
      <c r="M43" s="5"/>
      <c r="N43" s="20"/>
      <c r="P43" s="236" t="s">
        <v>13</v>
      </c>
      <c r="Q43" s="239">
        <v>2.1299999999999999E-3</v>
      </c>
      <c r="R43" s="49"/>
    </row>
    <row r="44" spans="1:18" ht="15.75" x14ac:dyDescent="0.25">
      <c r="A44" s="5"/>
      <c r="B44" s="93"/>
      <c r="F44" s="5"/>
      <c r="G44" s="5"/>
      <c r="H44" s="5"/>
      <c r="I44" s="5"/>
      <c r="J44" s="5"/>
      <c r="K44" s="5"/>
      <c r="L44" s="5"/>
      <c r="M44" s="5"/>
      <c r="N44" s="20"/>
      <c r="O44" s="5"/>
      <c r="P44" s="236" t="s">
        <v>25</v>
      </c>
      <c r="Q44" s="239">
        <v>1.763E-3</v>
      </c>
      <c r="R44" s="49"/>
    </row>
    <row r="45" spans="1:18" ht="16.5" thickBot="1" x14ac:dyDescent="0.3">
      <c r="A45" s="5"/>
      <c r="B45" s="96"/>
      <c r="C45" s="45"/>
      <c r="D45" s="45"/>
      <c r="E45" s="45"/>
      <c r="F45" s="45"/>
      <c r="G45" s="45"/>
      <c r="H45" s="45"/>
      <c r="I45" s="45"/>
      <c r="J45" s="45"/>
      <c r="K45" s="45"/>
      <c r="L45" s="45"/>
      <c r="M45" s="45"/>
      <c r="N45" s="118"/>
      <c r="O45" s="5"/>
      <c r="P45" s="236" t="s">
        <v>137</v>
      </c>
      <c r="Q45" s="239">
        <v>1.5809999999999999E-3</v>
      </c>
      <c r="R45" s="49"/>
    </row>
    <row r="46" spans="1:18" ht="15.75" x14ac:dyDescent="0.25">
      <c r="P46" s="236" t="s">
        <v>115</v>
      </c>
      <c r="Q46" s="239">
        <v>1.4270000000000001E-3</v>
      </c>
      <c r="R46" s="49"/>
    </row>
    <row r="47" spans="1:18" ht="15" customHeight="1" thickBot="1" x14ac:dyDescent="0.3">
      <c r="P47" s="236" t="s">
        <v>238</v>
      </c>
      <c r="Q47" s="239">
        <v>9.7599999999999998E-4</v>
      </c>
    </row>
    <row r="48" spans="1:18" ht="103.5" customHeight="1" thickBot="1" x14ac:dyDescent="0.25">
      <c r="B48" s="294" t="s">
        <v>182</v>
      </c>
      <c r="C48" s="295"/>
      <c r="D48" s="295"/>
      <c r="E48" s="295"/>
      <c r="F48" s="295"/>
      <c r="G48" s="295"/>
      <c r="H48" s="295"/>
      <c r="I48" s="295"/>
      <c r="J48" s="295"/>
      <c r="K48" s="295"/>
      <c r="L48" s="295"/>
      <c r="M48" s="295"/>
      <c r="N48" s="295"/>
      <c r="O48" s="295"/>
      <c r="P48" s="295"/>
      <c r="Q48" s="295"/>
      <c r="R48" s="296"/>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63" t="s">
        <v>158</v>
      </c>
      <c r="D3" s="263"/>
      <c r="E3" s="263"/>
      <c r="F3" s="263"/>
      <c r="G3" s="263"/>
      <c r="H3" s="263"/>
      <c r="I3" s="263"/>
      <c r="J3" s="263"/>
      <c r="K3" s="263"/>
      <c r="L3" s="263"/>
      <c r="M3" s="264"/>
    </row>
    <row r="4" spans="2:16" ht="15.75" x14ac:dyDescent="0.25">
      <c r="B4" s="93"/>
      <c r="C4" s="67" t="s">
        <v>412</v>
      </c>
      <c r="D4" s="29"/>
      <c r="E4" s="29"/>
      <c r="F4" s="5"/>
      <c r="G4" s="5"/>
      <c r="H4" s="5"/>
      <c r="I4" s="5"/>
      <c r="J4" s="5"/>
      <c r="K4" s="5"/>
      <c r="L4" s="5"/>
      <c r="M4" s="20"/>
    </row>
    <row r="5" spans="2:16" ht="20.25" customHeight="1" x14ac:dyDescent="0.25">
      <c r="B5" s="93"/>
      <c r="C5" s="221" t="s">
        <v>411</v>
      </c>
      <c r="D5" s="94" t="s">
        <v>393</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65" t="s">
        <v>50</v>
      </c>
      <c r="G7" s="265"/>
      <c r="H7" s="265"/>
      <c r="I7" s="265"/>
      <c r="J7" s="265"/>
      <c r="K7" s="265"/>
      <c r="L7" s="265"/>
      <c r="M7" s="266"/>
    </row>
    <row r="8" spans="2:16" ht="15.75" x14ac:dyDescent="0.25">
      <c r="B8" s="93"/>
      <c r="C8" s="38" t="s">
        <v>179</v>
      </c>
      <c r="D8" s="200">
        <v>9.6585000000000004E-2</v>
      </c>
      <c r="E8" s="29"/>
      <c r="F8" s="5"/>
      <c r="G8" s="31"/>
      <c r="H8" s="5"/>
      <c r="I8" s="5"/>
      <c r="J8" s="47"/>
      <c r="K8" s="5"/>
      <c r="L8" s="5"/>
      <c r="M8" s="20"/>
      <c r="P8" s="49"/>
    </row>
    <row r="9" spans="2:16" x14ac:dyDescent="0.2">
      <c r="B9" s="93"/>
      <c r="C9" s="102" t="s">
        <v>175</v>
      </c>
      <c r="D9" s="182">
        <v>9.2704999999999996E-2</v>
      </c>
      <c r="E9" s="5"/>
      <c r="F9" s="5"/>
      <c r="G9" s="5"/>
      <c r="H9" s="5"/>
      <c r="I9" s="5" t="s">
        <v>51</v>
      </c>
      <c r="J9" s="47">
        <f>D11</f>
        <v>0.27889900000000001</v>
      </c>
      <c r="K9" s="5"/>
      <c r="L9" s="5"/>
      <c r="M9" s="20"/>
      <c r="P9" s="49"/>
    </row>
    <row r="10" spans="2:16" x14ac:dyDescent="0.2">
      <c r="B10" s="93"/>
      <c r="C10" s="102" t="s">
        <v>176</v>
      </c>
      <c r="D10" s="182">
        <v>8.9608999999999994E-2</v>
      </c>
      <c r="E10" s="5"/>
      <c r="F10" s="5"/>
      <c r="G10" s="5"/>
      <c r="H10" s="5"/>
      <c r="I10" s="5" t="s">
        <v>53</v>
      </c>
      <c r="J10" s="47">
        <f>D16</f>
        <v>0.66788800000000004</v>
      </c>
      <c r="K10" s="5"/>
      <c r="L10" s="5"/>
      <c r="M10" s="20"/>
      <c r="P10" s="49"/>
    </row>
    <row r="11" spans="2:16" ht="15.75" x14ac:dyDescent="0.25">
      <c r="B11" s="93"/>
      <c r="C11" s="7" t="s">
        <v>52</v>
      </c>
      <c r="D11" s="8">
        <f>SUM(D8:D10)</f>
        <v>0.27889900000000001</v>
      </c>
      <c r="E11" s="5"/>
      <c r="F11" s="5"/>
      <c r="G11" s="5"/>
      <c r="H11" s="5"/>
      <c r="I11" s="5" t="s">
        <v>20</v>
      </c>
      <c r="J11" s="47">
        <f>D18</f>
        <v>5.3213000000000003E-2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178</v>
      </c>
      <c r="D13" s="182">
        <v>0.59082400000000002</v>
      </c>
      <c r="E13" s="5"/>
      <c r="F13" s="5"/>
      <c r="G13" s="5"/>
      <c r="H13" s="5"/>
      <c r="I13" s="5"/>
      <c r="J13" s="47"/>
      <c r="K13" s="5"/>
      <c r="L13" s="5"/>
      <c r="M13" s="20"/>
      <c r="P13" s="49"/>
    </row>
    <row r="14" spans="2:16" ht="15.75" customHeight="1" x14ac:dyDescent="0.2">
      <c r="B14" s="93"/>
      <c r="C14" s="4" t="s">
        <v>177</v>
      </c>
      <c r="D14" s="182">
        <v>6.3486000000000001E-2</v>
      </c>
      <c r="E14" s="5"/>
      <c r="F14" s="5"/>
      <c r="G14" s="5"/>
      <c r="H14" s="5"/>
      <c r="I14" s="5"/>
      <c r="J14" s="47"/>
      <c r="K14" s="5"/>
      <c r="L14" s="5"/>
      <c r="M14" s="20"/>
      <c r="P14" s="49"/>
    </row>
    <row r="15" spans="2:16" x14ac:dyDescent="0.2">
      <c r="B15" s="93"/>
      <c r="C15" s="4" t="s">
        <v>209</v>
      </c>
      <c r="D15" s="182">
        <v>1.3578E-2</v>
      </c>
      <c r="E15" s="5"/>
      <c r="F15" s="5"/>
      <c r="G15" s="5"/>
      <c r="H15" s="5"/>
      <c r="I15" s="5"/>
      <c r="J15" s="103"/>
      <c r="K15" s="5"/>
      <c r="L15" s="5"/>
      <c r="M15" s="20"/>
      <c r="P15" s="49"/>
    </row>
    <row r="16" spans="2:16" ht="15.75" x14ac:dyDescent="0.25">
      <c r="B16" s="93"/>
      <c r="C16" s="7" t="s">
        <v>19</v>
      </c>
      <c r="D16" s="8">
        <f>SUM(D13:D15)</f>
        <v>0.66788800000000004</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09">
        <v>5.3213000000000003E-2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297"/>
      <c r="D23" s="297"/>
      <c r="E23" s="297"/>
      <c r="F23" s="297"/>
      <c r="G23" s="297"/>
      <c r="H23" s="5"/>
      <c r="I23" s="5"/>
      <c r="J23" s="5"/>
      <c r="K23" s="5"/>
      <c r="L23" s="5"/>
      <c r="M23" s="11"/>
      <c r="P23" s="49"/>
    </row>
    <row r="24" spans="2:18" ht="16.5" thickBot="1" x14ac:dyDescent="0.3">
      <c r="B24" s="96"/>
      <c r="C24" s="267"/>
      <c r="D24" s="267"/>
      <c r="E24" s="267"/>
      <c r="F24" s="267"/>
      <c r="G24" s="267"/>
      <c r="H24" s="267"/>
      <c r="I24" s="267"/>
      <c r="J24" s="267"/>
      <c r="K24" s="267"/>
      <c r="L24" s="267"/>
      <c r="M24" s="268"/>
      <c r="P24" s="49"/>
    </row>
    <row r="25" spans="2:18" ht="15.75" thickBot="1" x14ac:dyDescent="0.25">
      <c r="P25" s="49"/>
    </row>
    <row r="26" spans="2:18" ht="15" customHeight="1" x14ac:dyDescent="0.2">
      <c r="B26" s="269" t="s">
        <v>182</v>
      </c>
      <c r="C26" s="270"/>
      <c r="D26" s="270"/>
      <c r="E26" s="270"/>
      <c r="F26" s="270"/>
      <c r="G26" s="270"/>
      <c r="H26" s="270"/>
      <c r="I26" s="270"/>
      <c r="J26" s="270"/>
      <c r="K26" s="270"/>
      <c r="L26" s="270"/>
      <c r="M26" s="270"/>
      <c r="N26" s="270"/>
      <c r="O26" s="270"/>
      <c r="P26" s="270"/>
      <c r="Q26" s="270"/>
      <c r="R26" s="271"/>
    </row>
    <row r="27" spans="2:18" x14ac:dyDescent="0.2">
      <c r="B27" s="272"/>
      <c r="C27" s="273"/>
      <c r="D27" s="273"/>
      <c r="E27" s="273"/>
      <c r="F27" s="273"/>
      <c r="G27" s="273"/>
      <c r="H27" s="273"/>
      <c r="I27" s="273"/>
      <c r="J27" s="273"/>
      <c r="K27" s="273"/>
      <c r="L27" s="273"/>
      <c r="M27" s="273"/>
      <c r="N27" s="273"/>
      <c r="O27" s="273"/>
      <c r="P27" s="273"/>
      <c r="Q27" s="273"/>
      <c r="R27" s="274"/>
    </row>
    <row r="28" spans="2:18" x14ac:dyDescent="0.2">
      <c r="B28" s="272"/>
      <c r="C28" s="273"/>
      <c r="D28" s="273"/>
      <c r="E28" s="273"/>
      <c r="F28" s="273"/>
      <c r="G28" s="273"/>
      <c r="H28" s="273"/>
      <c r="I28" s="273"/>
      <c r="J28" s="273"/>
      <c r="K28" s="273"/>
      <c r="L28" s="273"/>
      <c r="M28" s="273"/>
      <c r="N28" s="273"/>
      <c r="O28" s="273"/>
      <c r="P28" s="273"/>
      <c r="Q28" s="273"/>
      <c r="R28" s="274"/>
    </row>
    <row r="29" spans="2:18" x14ac:dyDescent="0.2">
      <c r="B29" s="272"/>
      <c r="C29" s="273"/>
      <c r="D29" s="273"/>
      <c r="E29" s="273"/>
      <c r="F29" s="273"/>
      <c r="G29" s="273"/>
      <c r="H29" s="273"/>
      <c r="I29" s="273"/>
      <c r="J29" s="273"/>
      <c r="K29" s="273"/>
      <c r="L29" s="273"/>
      <c r="M29" s="273"/>
      <c r="N29" s="273"/>
      <c r="O29" s="273"/>
      <c r="P29" s="273"/>
      <c r="Q29" s="273"/>
      <c r="R29" s="274"/>
    </row>
    <row r="30" spans="2:18" x14ac:dyDescent="0.2">
      <c r="B30" s="272"/>
      <c r="C30" s="273"/>
      <c r="D30" s="273"/>
      <c r="E30" s="273"/>
      <c r="F30" s="273"/>
      <c r="G30" s="273"/>
      <c r="H30" s="273"/>
      <c r="I30" s="273"/>
      <c r="J30" s="273"/>
      <c r="K30" s="273"/>
      <c r="L30" s="273"/>
      <c r="M30" s="273"/>
      <c r="N30" s="273"/>
      <c r="O30" s="273"/>
      <c r="P30" s="273"/>
      <c r="Q30" s="273"/>
      <c r="R30" s="274"/>
    </row>
    <row r="31" spans="2:18" x14ac:dyDescent="0.2">
      <c r="B31" s="272"/>
      <c r="C31" s="273"/>
      <c r="D31" s="273"/>
      <c r="E31" s="273"/>
      <c r="F31" s="273"/>
      <c r="G31" s="273"/>
      <c r="H31" s="273"/>
      <c r="I31" s="273"/>
      <c r="J31" s="273"/>
      <c r="K31" s="273"/>
      <c r="L31" s="273"/>
      <c r="M31" s="273"/>
      <c r="N31" s="273"/>
      <c r="O31" s="273"/>
      <c r="P31" s="273"/>
      <c r="Q31" s="273"/>
      <c r="R31" s="274"/>
    </row>
    <row r="32" spans="2:18" ht="15.75" thickBot="1" x14ac:dyDescent="0.25">
      <c r="B32" s="275"/>
      <c r="C32" s="276"/>
      <c r="D32" s="276"/>
      <c r="E32" s="276"/>
      <c r="F32" s="276"/>
      <c r="G32" s="276"/>
      <c r="H32" s="276"/>
      <c r="I32" s="276"/>
      <c r="J32" s="276"/>
      <c r="K32" s="276"/>
      <c r="L32" s="276"/>
      <c r="M32" s="276"/>
      <c r="N32" s="276"/>
      <c r="O32" s="276"/>
      <c r="P32" s="276"/>
      <c r="Q32" s="276"/>
      <c r="R32" s="277"/>
    </row>
    <row r="33" spans="3:16" x14ac:dyDescent="0.2">
      <c r="P33" s="49"/>
    </row>
    <row r="34" spans="3:16" x14ac:dyDescent="0.2">
      <c r="C34" s="175"/>
      <c r="D34" s="176"/>
      <c r="P34" s="49"/>
    </row>
    <row r="35" spans="3:16" x14ac:dyDescent="0.2">
      <c r="C35" s="238"/>
      <c r="D35" s="237"/>
      <c r="P35" s="49"/>
    </row>
    <row r="36" spans="3:16" x14ac:dyDescent="0.2">
      <c r="C36" s="238"/>
      <c r="D36" s="237"/>
      <c r="P36" s="49"/>
    </row>
    <row r="37" spans="3:16" x14ac:dyDescent="0.2">
      <c r="C37" s="238"/>
      <c r="D37" s="237"/>
      <c r="P37" s="49"/>
    </row>
    <row r="38" spans="3:16" x14ac:dyDescent="0.2">
      <c r="C38" s="238"/>
      <c r="D38" s="237"/>
      <c r="P38" s="49"/>
    </row>
    <row r="39" spans="3:16" x14ac:dyDescent="0.2">
      <c r="C39" s="238"/>
      <c r="D39" s="237"/>
      <c r="P39" s="49"/>
    </row>
    <row r="40" spans="3:16" x14ac:dyDescent="0.2">
      <c r="C40" s="238"/>
      <c r="D40" s="237"/>
      <c r="P40" s="49"/>
    </row>
    <row r="41" spans="3:16" x14ac:dyDescent="0.2">
      <c r="C41" s="238"/>
      <c r="D41" s="237"/>
      <c r="P41" s="49"/>
    </row>
    <row r="42" spans="3:16" x14ac:dyDescent="0.2">
      <c r="C42" s="175"/>
      <c r="D42" s="254"/>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13:D15">
    <sortCondition descending="1" ref="D13"/>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3" t="s">
        <v>157</v>
      </c>
      <c r="D3" s="263"/>
      <c r="E3" s="263"/>
      <c r="F3" s="263"/>
      <c r="G3" s="263"/>
      <c r="H3" s="263"/>
      <c r="I3" s="263"/>
      <c r="J3" s="263"/>
      <c r="K3" s="263"/>
      <c r="L3" s="263"/>
      <c r="M3" s="264"/>
    </row>
    <row r="4" spans="2:19" ht="15.75" x14ac:dyDescent="0.25">
      <c r="B4" s="93"/>
      <c r="C4" s="67" t="s">
        <v>412</v>
      </c>
      <c r="D4" s="29"/>
      <c r="E4" s="29"/>
      <c r="F4" s="5"/>
      <c r="G4" s="5"/>
      <c r="H4" s="5"/>
      <c r="I4" s="5"/>
      <c r="J4" s="5"/>
      <c r="K4" s="5"/>
      <c r="L4" s="5"/>
      <c r="M4" s="20"/>
    </row>
    <row r="5" spans="2:19" ht="20.25" customHeight="1" x14ac:dyDescent="0.25">
      <c r="B5" s="93"/>
      <c r="C5" s="221" t="s">
        <v>411</v>
      </c>
      <c r="D5" s="94" t="s">
        <v>394</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65" t="s">
        <v>50</v>
      </c>
      <c r="G7" s="265"/>
      <c r="H7" s="265"/>
      <c r="I7" s="265"/>
      <c r="J7" s="265"/>
      <c r="K7" s="265"/>
      <c r="L7" s="265"/>
      <c r="M7" s="266"/>
    </row>
    <row r="8" spans="2:19" x14ac:dyDescent="0.2">
      <c r="B8" s="93"/>
      <c r="C8" s="38" t="s">
        <v>176</v>
      </c>
      <c r="D8" s="200">
        <v>0.25669999999999998</v>
      </c>
      <c r="E8" s="5"/>
      <c r="F8" s="5"/>
      <c r="G8" s="31"/>
      <c r="H8" s="5"/>
      <c r="I8" s="97" t="s">
        <v>51</v>
      </c>
      <c r="J8" s="98">
        <f>D11</f>
        <v>0.48083999999999999</v>
      </c>
      <c r="K8" s="5"/>
      <c r="L8" s="5"/>
      <c r="M8" s="20"/>
      <c r="S8" s="49"/>
    </row>
    <row r="9" spans="2:19" ht="15.75" customHeight="1" x14ac:dyDescent="0.2">
      <c r="B9" s="93"/>
      <c r="C9" s="4" t="s">
        <v>175</v>
      </c>
      <c r="D9" s="182">
        <v>0.124624</v>
      </c>
      <c r="E9" s="5"/>
      <c r="F9" s="5"/>
      <c r="G9" s="5"/>
      <c r="H9" s="5"/>
      <c r="I9" s="97" t="s">
        <v>53</v>
      </c>
      <c r="J9" s="99">
        <f>D17</f>
        <v>0.50049399999999999</v>
      </c>
      <c r="K9" s="5"/>
      <c r="L9" s="5"/>
      <c r="M9" s="20"/>
      <c r="S9" s="49"/>
    </row>
    <row r="10" spans="2:19" x14ac:dyDescent="0.2">
      <c r="B10" s="93"/>
      <c r="C10" s="4" t="s">
        <v>179</v>
      </c>
      <c r="D10" s="182">
        <v>9.9515999999999993E-2</v>
      </c>
      <c r="E10" s="5"/>
      <c r="F10" s="5"/>
      <c r="G10" s="5"/>
      <c r="H10" s="5"/>
      <c r="I10" s="97" t="s">
        <v>20</v>
      </c>
      <c r="J10" s="99">
        <f>D19</f>
        <v>1.8665999999999999E-2</v>
      </c>
      <c r="K10" s="5"/>
      <c r="L10" s="5"/>
      <c r="M10" s="20"/>
      <c r="S10" s="49"/>
    </row>
    <row r="11" spans="2:19" ht="15.75" customHeight="1" x14ac:dyDescent="0.25">
      <c r="B11" s="93"/>
      <c r="C11" s="7" t="s">
        <v>52</v>
      </c>
      <c r="D11" s="8">
        <f>SUM(D8:D10)</f>
        <v>0.48083999999999999</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177</v>
      </c>
      <c r="D13" s="182">
        <v>0.117545</v>
      </c>
      <c r="E13" s="5"/>
      <c r="F13" s="5"/>
      <c r="G13" s="5"/>
      <c r="H13" s="5"/>
      <c r="I13" s="97"/>
      <c r="J13" s="97"/>
      <c r="K13" s="5"/>
      <c r="L13" s="5"/>
      <c r="M13" s="20"/>
      <c r="S13" s="49"/>
    </row>
    <row r="14" spans="2:19" x14ac:dyDescent="0.2">
      <c r="B14" s="93"/>
      <c r="C14" s="4" t="s">
        <v>178</v>
      </c>
      <c r="D14" s="182">
        <v>0.382855</v>
      </c>
      <c r="E14" s="5"/>
      <c r="F14" s="5"/>
      <c r="G14" s="5"/>
      <c r="H14" s="5"/>
      <c r="I14" s="5"/>
      <c r="J14" s="5"/>
      <c r="K14" s="5"/>
      <c r="L14" s="5"/>
      <c r="M14" s="20"/>
      <c r="S14" s="49"/>
    </row>
    <row r="15" spans="2:19" x14ac:dyDescent="0.2">
      <c r="B15" s="93"/>
      <c r="C15" s="4" t="s">
        <v>209</v>
      </c>
      <c r="D15" s="182">
        <v>9.3999999999999994E-5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0.50049399999999999</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09">
        <v>1.8665999999999999E-2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69" t="s">
        <v>182</v>
      </c>
      <c r="C28" s="270"/>
      <c r="D28" s="270"/>
      <c r="E28" s="270"/>
      <c r="F28" s="270"/>
      <c r="G28" s="270"/>
      <c r="H28" s="270"/>
      <c r="I28" s="270"/>
      <c r="J28" s="270"/>
      <c r="K28" s="270"/>
      <c r="L28" s="270"/>
      <c r="M28" s="270"/>
      <c r="N28" s="270"/>
      <c r="O28" s="270"/>
      <c r="P28" s="270"/>
      <c r="Q28" s="270"/>
      <c r="R28" s="271"/>
      <c r="S28" s="49"/>
    </row>
    <row r="29" spans="2:19" x14ac:dyDescent="0.2">
      <c r="B29" s="272"/>
      <c r="C29" s="273"/>
      <c r="D29" s="273"/>
      <c r="E29" s="273"/>
      <c r="F29" s="273"/>
      <c r="G29" s="273"/>
      <c r="H29" s="273"/>
      <c r="I29" s="273"/>
      <c r="J29" s="273"/>
      <c r="K29" s="273"/>
      <c r="L29" s="273"/>
      <c r="M29" s="273"/>
      <c r="N29" s="273"/>
      <c r="O29" s="273"/>
      <c r="P29" s="273"/>
      <c r="Q29" s="273"/>
      <c r="R29" s="274"/>
      <c r="S29" s="49"/>
    </row>
    <row r="30" spans="2:19" x14ac:dyDescent="0.2">
      <c r="B30" s="272"/>
      <c r="C30" s="273"/>
      <c r="D30" s="273"/>
      <c r="E30" s="273"/>
      <c r="F30" s="273"/>
      <c r="G30" s="273"/>
      <c r="H30" s="273"/>
      <c r="I30" s="273"/>
      <c r="J30" s="273"/>
      <c r="K30" s="273"/>
      <c r="L30" s="273"/>
      <c r="M30" s="273"/>
      <c r="N30" s="273"/>
      <c r="O30" s="273"/>
      <c r="P30" s="273"/>
      <c r="Q30" s="273"/>
      <c r="R30" s="274"/>
      <c r="S30" s="49"/>
    </row>
    <row r="31" spans="2:19" x14ac:dyDescent="0.2">
      <c r="B31" s="272"/>
      <c r="C31" s="273"/>
      <c r="D31" s="273"/>
      <c r="E31" s="273"/>
      <c r="F31" s="273"/>
      <c r="G31" s="273"/>
      <c r="H31" s="273"/>
      <c r="I31" s="273"/>
      <c r="J31" s="273"/>
      <c r="K31" s="273"/>
      <c r="L31" s="273"/>
      <c r="M31" s="273"/>
      <c r="N31" s="273"/>
      <c r="O31" s="273"/>
      <c r="P31" s="273"/>
      <c r="Q31" s="273"/>
      <c r="R31" s="274"/>
      <c r="S31" s="49"/>
    </row>
    <row r="32" spans="2:19" x14ac:dyDescent="0.2">
      <c r="B32" s="272"/>
      <c r="C32" s="273"/>
      <c r="D32" s="273"/>
      <c r="E32" s="273"/>
      <c r="F32" s="273"/>
      <c r="G32" s="273"/>
      <c r="H32" s="273"/>
      <c r="I32" s="273"/>
      <c r="J32" s="273"/>
      <c r="K32" s="273"/>
      <c r="L32" s="273"/>
      <c r="M32" s="273"/>
      <c r="N32" s="273"/>
      <c r="O32" s="273"/>
      <c r="P32" s="273"/>
      <c r="Q32" s="273"/>
      <c r="R32" s="274"/>
      <c r="S32" s="49"/>
    </row>
    <row r="33" spans="2:19" x14ac:dyDescent="0.2">
      <c r="B33" s="272"/>
      <c r="C33" s="273"/>
      <c r="D33" s="273"/>
      <c r="E33" s="273"/>
      <c r="F33" s="273"/>
      <c r="G33" s="273"/>
      <c r="H33" s="273"/>
      <c r="I33" s="273"/>
      <c r="J33" s="273"/>
      <c r="K33" s="273"/>
      <c r="L33" s="273"/>
      <c r="M33" s="273"/>
      <c r="N33" s="273"/>
      <c r="O33" s="273"/>
      <c r="P33" s="273"/>
      <c r="Q33" s="273"/>
      <c r="R33" s="274"/>
      <c r="S33" s="49"/>
    </row>
    <row r="34" spans="2:19" ht="15.75" thickBot="1" x14ac:dyDescent="0.25">
      <c r="B34" s="275"/>
      <c r="C34" s="276"/>
      <c r="D34" s="276"/>
      <c r="E34" s="276"/>
      <c r="F34" s="276"/>
      <c r="G34" s="276"/>
      <c r="H34" s="276"/>
      <c r="I34" s="276"/>
      <c r="J34" s="276"/>
      <c r="K34" s="276"/>
      <c r="L34" s="276"/>
      <c r="M34" s="276"/>
      <c r="N34" s="276"/>
      <c r="O34" s="276"/>
      <c r="P34" s="276"/>
      <c r="Q34" s="276"/>
      <c r="R34" s="277"/>
      <c r="S34" s="49"/>
    </row>
    <row r="35" spans="2:19" x14ac:dyDescent="0.2">
      <c r="S35" s="49"/>
    </row>
    <row r="36" spans="2:19" x14ac:dyDescent="0.2">
      <c r="C36" s="238"/>
      <c r="D36" s="237"/>
      <c r="S36" s="49"/>
    </row>
    <row r="37" spans="2:19" x14ac:dyDescent="0.2">
      <c r="C37" s="238"/>
      <c r="D37" s="237"/>
      <c r="S37" s="49"/>
    </row>
    <row r="38" spans="2:19" x14ac:dyDescent="0.2">
      <c r="C38" s="238"/>
      <c r="D38" s="237"/>
      <c r="S38" s="49"/>
    </row>
    <row r="39" spans="2:19" x14ac:dyDescent="0.2">
      <c r="C39" s="238"/>
      <c r="D39" s="237"/>
      <c r="S39" s="49"/>
    </row>
    <row r="40" spans="2:19" x14ac:dyDescent="0.2">
      <c r="C40" s="238"/>
      <c r="D40" s="237"/>
      <c r="S40" s="49"/>
    </row>
    <row r="41" spans="2:19" x14ac:dyDescent="0.2">
      <c r="C41" s="238"/>
      <c r="D41" s="237"/>
      <c r="S41" s="49"/>
    </row>
    <row r="42" spans="2:19" x14ac:dyDescent="0.2">
      <c r="C42" s="238"/>
      <c r="D42" s="237"/>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8:D10">
    <sortCondition descending="1" ref="D8"/>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3" t="s">
        <v>174</v>
      </c>
      <c r="D3" s="263"/>
      <c r="E3" s="263"/>
      <c r="F3" s="263"/>
      <c r="G3" s="263"/>
      <c r="H3" s="263"/>
      <c r="I3" s="263"/>
      <c r="J3" s="263"/>
      <c r="K3" s="263"/>
      <c r="L3" s="263"/>
      <c r="M3" s="264"/>
    </row>
    <row r="4" spans="2:19" ht="15.75" x14ac:dyDescent="0.25">
      <c r="B4" s="93"/>
      <c r="C4" s="67" t="s">
        <v>412</v>
      </c>
      <c r="D4" s="29"/>
      <c r="E4" s="29"/>
      <c r="F4" s="5"/>
      <c r="G4" s="5"/>
      <c r="H4" s="5"/>
      <c r="I4" s="5"/>
      <c r="J4" s="5"/>
      <c r="K4" s="5"/>
      <c r="L4" s="5"/>
      <c r="M4" s="20"/>
    </row>
    <row r="5" spans="2:19" ht="20.25" customHeight="1" x14ac:dyDescent="0.25">
      <c r="B5" s="93"/>
      <c r="C5" s="221" t="s">
        <v>411</v>
      </c>
      <c r="D5" s="94" t="s">
        <v>395</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65" t="s">
        <v>50</v>
      </c>
      <c r="G7" s="265"/>
      <c r="H7" s="265"/>
      <c r="I7" s="265"/>
      <c r="J7" s="265"/>
      <c r="K7" s="265"/>
      <c r="L7" s="265"/>
      <c r="M7" s="266"/>
    </row>
    <row r="8" spans="2:19" x14ac:dyDescent="0.2">
      <c r="B8" s="93"/>
      <c r="C8" s="38" t="s">
        <v>176</v>
      </c>
      <c r="D8" s="199">
        <v>0.33851300000000001</v>
      </c>
      <c r="E8" s="5"/>
      <c r="F8" s="5"/>
      <c r="G8" s="31"/>
      <c r="H8" s="5"/>
      <c r="I8" s="5" t="s">
        <v>51</v>
      </c>
      <c r="J8" s="47">
        <f>D11</f>
        <v>0.72602900000000004</v>
      </c>
      <c r="K8" s="5"/>
      <c r="L8" s="5"/>
      <c r="M8" s="20"/>
      <c r="S8" s="49"/>
    </row>
    <row r="9" spans="2:19" ht="15.75" customHeight="1" x14ac:dyDescent="0.2">
      <c r="B9" s="93"/>
      <c r="C9" s="4" t="s">
        <v>175</v>
      </c>
      <c r="D9" s="182">
        <v>0.30928299999999997</v>
      </c>
      <c r="E9" s="5"/>
      <c r="F9" s="5"/>
      <c r="G9" s="5"/>
      <c r="H9" s="5"/>
      <c r="I9" s="5" t="s">
        <v>53</v>
      </c>
      <c r="J9" s="47">
        <f>D14</f>
        <v>0.24812000000000001</v>
      </c>
      <c r="K9" s="5"/>
      <c r="L9" s="5"/>
      <c r="M9" s="20"/>
      <c r="S9" s="49"/>
    </row>
    <row r="10" spans="2:19" x14ac:dyDescent="0.2">
      <c r="B10" s="93"/>
      <c r="C10" s="4" t="s">
        <v>179</v>
      </c>
      <c r="D10" s="182">
        <v>7.8232999999999997E-2</v>
      </c>
      <c r="E10" s="5"/>
      <c r="F10" s="5"/>
      <c r="G10" s="5"/>
      <c r="H10" s="5"/>
      <c r="I10" s="5" t="s">
        <v>20</v>
      </c>
      <c r="J10" s="47">
        <f>D16</f>
        <v>2.5851000000000002E-2</v>
      </c>
      <c r="K10" s="5"/>
      <c r="L10" s="5"/>
      <c r="M10" s="20"/>
      <c r="S10" s="49"/>
    </row>
    <row r="11" spans="2:19" ht="15.75" x14ac:dyDescent="0.25">
      <c r="B11" s="93"/>
      <c r="C11" s="7" t="s">
        <v>52</v>
      </c>
      <c r="D11" s="8">
        <f>SUM(D8:D10)</f>
        <v>0.72602900000000004</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178</v>
      </c>
      <c r="D13" s="182">
        <v>0.24812000000000001</v>
      </c>
      <c r="E13" s="5"/>
      <c r="F13" s="5"/>
      <c r="G13" s="5"/>
      <c r="H13" s="5"/>
      <c r="I13" s="5"/>
      <c r="J13" s="5"/>
      <c r="K13" s="5"/>
      <c r="L13" s="5"/>
      <c r="M13" s="20"/>
      <c r="S13" s="49"/>
    </row>
    <row r="14" spans="2:19" ht="15.75" x14ac:dyDescent="0.25">
      <c r="B14" s="93"/>
      <c r="C14" s="7" t="s">
        <v>19</v>
      </c>
      <c r="D14" s="8">
        <f>SUM(D13)</f>
        <v>0.24812000000000001</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09">
        <v>2.5851000000000002E-2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67"/>
      <c r="D22" s="267"/>
      <c r="E22" s="267"/>
      <c r="F22" s="267"/>
      <c r="G22" s="267"/>
      <c r="H22" s="267"/>
      <c r="I22" s="267"/>
      <c r="J22" s="267"/>
      <c r="K22" s="267"/>
      <c r="L22" s="267"/>
      <c r="M22" s="268"/>
      <c r="S22" s="49"/>
    </row>
    <row r="23" spans="2:19" ht="15.75" thickBot="1" x14ac:dyDescent="0.25">
      <c r="S23" s="49"/>
    </row>
    <row r="24" spans="2:19" ht="15" customHeight="1" x14ac:dyDescent="0.2">
      <c r="B24" s="269" t="s">
        <v>182</v>
      </c>
      <c r="C24" s="270"/>
      <c r="D24" s="270"/>
      <c r="E24" s="270"/>
      <c r="F24" s="270"/>
      <c r="G24" s="270"/>
      <c r="H24" s="270"/>
      <c r="I24" s="270"/>
      <c r="J24" s="270"/>
      <c r="K24" s="270"/>
      <c r="L24" s="270"/>
      <c r="M24" s="270"/>
      <c r="N24" s="270"/>
      <c r="O24" s="270"/>
      <c r="P24" s="270"/>
      <c r="Q24" s="270"/>
      <c r="R24" s="271"/>
      <c r="S24" s="49"/>
    </row>
    <row r="25" spans="2:19" x14ac:dyDescent="0.2">
      <c r="B25" s="272"/>
      <c r="C25" s="273"/>
      <c r="D25" s="273"/>
      <c r="E25" s="273"/>
      <c r="F25" s="273"/>
      <c r="G25" s="273"/>
      <c r="H25" s="273"/>
      <c r="I25" s="273"/>
      <c r="J25" s="273"/>
      <c r="K25" s="273"/>
      <c r="L25" s="273"/>
      <c r="M25" s="273"/>
      <c r="N25" s="273"/>
      <c r="O25" s="273"/>
      <c r="P25" s="273"/>
      <c r="Q25" s="273"/>
      <c r="R25" s="274"/>
      <c r="S25" s="49"/>
    </row>
    <row r="26" spans="2:19" x14ac:dyDescent="0.2">
      <c r="B26" s="272"/>
      <c r="C26" s="273"/>
      <c r="D26" s="273"/>
      <c r="E26" s="273"/>
      <c r="F26" s="273"/>
      <c r="G26" s="273"/>
      <c r="H26" s="273"/>
      <c r="I26" s="273"/>
      <c r="J26" s="273"/>
      <c r="K26" s="273"/>
      <c r="L26" s="273"/>
      <c r="M26" s="273"/>
      <c r="N26" s="273"/>
      <c r="O26" s="273"/>
      <c r="P26" s="273"/>
      <c r="Q26" s="273"/>
      <c r="R26" s="274"/>
      <c r="S26" s="49"/>
    </row>
    <row r="27" spans="2:19" x14ac:dyDescent="0.2">
      <c r="B27" s="272"/>
      <c r="C27" s="273"/>
      <c r="D27" s="273"/>
      <c r="E27" s="273"/>
      <c r="F27" s="273"/>
      <c r="G27" s="273"/>
      <c r="H27" s="273"/>
      <c r="I27" s="273"/>
      <c r="J27" s="273"/>
      <c r="K27" s="273"/>
      <c r="L27" s="273"/>
      <c r="M27" s="273"/>
      <c r="N27" s="273"/>
      <c r="O27" s="273"/>
      <c r="P27" s="273"/>
      <c r="Q27" s="273"/>
      <c r="R27" s="274"/>
      <c r="S27" s="49"/>
    </row>
    <row r="28" spans="2:19" x14ac:dyDescent="0.2">
      <c r="B28" s="272"/>
      <c r="C28" s="273"/>
      <c r="D28" s="273"/>
      <c r="E28" s="273"/>
      <c r="F28" s="273"/>
      <c r="G28" s="273"/>
      <c r="H28" s="273"/>
      <c r="I28" s="273"/>
      <c r="J28" s="273"/>
      <c r="K28" s="273"/>
      <c r="L28" s="273"/>
      <c r="M28" s="273"/>
      <c r="N28" s="273"/>
      <c r="O28" s="273"/>
      <c r="P28" s="273"/>
      <c r="Q28" s="273"/>
      <c r="R28" s="274"/>
      <c r="S28" s="49"/>
    </row>
    <row r="29" spans="2:19" x14ac:dyDescent="0.2">
      <c r="B29" s="272"/>
      <c r="C29" s="273"/>
      <c r="D29" s="273"/>
      <c r="E29" s="273"/>
      <c r="F29" s="273"/>
      <c r="G29" s="273"/>
      <c r="H29" s="273"/>
      <c r="I29" s="273"/>
      <c r="J29" s="273"/>
      <c r="K29" s="273"/>
      <c r="L29" s="273"/>
      <c r="M29" s="273"/>
      <c r="N29" s="273"/>
      <c r="O29" s="273"/>
      <c r="P29" s="273"/>
      <c r="Q29" s="273"/>
      <c r="R29" s="274"/>
      <c r="S29" s="49"/>
    </row>
    <row r="30" spans="2:19" ht="15.75" thickBot="1" x14ac:dyDescent="0.25">
      <c r="B30" s="275"/>
      <c r="C30" s="276"/>
      <c r="D30" s="276"/>
      <c r="E30" s="276"/>
      <c r="F30" s="276"/>
      <c r="G30" s="276"/>
      <c r="H30" s="276"/>
      <c r="I30" s="276"/>
      <c r="J30" s="276"/>
      <c r="K30" s="276"/>
      <c r="L30" s="276"/>
      <c r="M30" s="276"/>
      <c r="N30" s="276"/>
      <c r="O30" s="276"/>
      <c r="P30" s="276"/>
      <c r="Q30" s="276"/>
      <c r="R30" s="277"/>
      <c r="S30" s="49"/>
    </row>
    <row r="31" spans="2:19" x14ac:dyDescent="0.2">
      <c r="S31" s="49"/>
    </row>
    <row r="32" spans="2:19" x14ac:dyDescent="0.2">
      <c r="C32" s="238"/>
      <c r="D32" s="237"/>
      <c r="S32" s="49"/>
    </row>
    <row r="33" spans="3:19" x14ac:dyDescent="0.2">
      <c r="C33" s="238"/>
      <c r="D33" s="237"/>
      <c r="S33" s="49"/>
    </row>
    <row r="34" spans="3:19" x14ac:dyDescent="0.2">
      <c r="C34" s="238"/>
      <c r="D34" s="237"/>
      <c r="S34" s="49"/>
    </row>
    <row r="35" spans="3:19" x14ac:dyDescent="0.2">
      <c r="C35" s="238"/>
      <c r="D35" s="237"/>
      <c r="S35" s="49"/>
    </row>
    <row r="36" spans="3:19" x14ac:dyDescent="0.2">
      <c r="C36" s="238"/>
      <c r="D36" s="237"/>
      <c r="S36" s="49"/>
    </row>
    <row r="37" spans="3:19" x14ac:dyDescent="0.2">
      <c r="D37" s="254"/>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156</v>
      </c>
      <c r="D3" s="278"/>
      <c r="E3" s="278"/>
      <c r="F3" s="278"/>
      <c r="G3" s="278"/>
      <c r="H3" s="278"/>
      <c r="I3" s="278"/>
      <c r="J3" s="278"/>
      <c r="K3" s="278"/>
      <c r="L3" s="278"/>
      <c r="M3" s="278"/>
      <c r="N3" s="278"/>
      <c r="O3" s="278"/>
      <c r="P3" s="278"/>
      <c r="Q3" s="278"/>
      <c r="R3" s="278"/>
      <c r="S3" s="278"/>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0" t="s">
        <v>396</v>
      </c>
      <c r="E5" s="280"/>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0.125837</v>
      </c>
      <c r="F8" s="29"/>
      <c r="G8" s="29"/>
      <c r="H8" s="29"/>
      <c r="I8" s="29"/>
      <c r="J8" s="29"/>
      <c r="K8" s="29"/>
      <c r="L8" s="29"/>
      <c r="M8" s="29"/>
      <c r="N8" s="29"/>
      <c r="O8" s="29"/>
      <c r="P8" s="29"/>
      <c r="Q8" s="29"/>
      <c r="R8" s="29"/>
      <c r="S8" s="29"/>
      <c r="T8" s="22"/>
      <c r="W8" s="173" t="s">
        <v>3</v>
      </c>
      <c r="X8" s="174">
        <v>0.30018</v>
      </c>
    </row>
    <row r="9" spans="1:24" ht="15.75" customHeight="1" x14ac:dyDescent="0.25">
      <c r="B9" s="79"/>
      <c r="C9" s="188" t="s">
        <v>32</v>
      </c>
      <c r="D9" s="196" t="s">
        <v>3</v>
      </c>
      <c r="E9" s="197">
        <v>8.4599999999999995E-2</v>
      </c>
      <c r="F9" s="29"/>
      <c r="G9" s="29"/>
      <c r="H9" s="29"/>
      <c r="I9" s="29"/>
      <c r="J9" s="29"/>
      <c r="K9" s="29"/>
      <c r="L9" s="29"/>
      <c r="M9" s="29"/>
      <c r="N9" s="29"/>
      <c r="O9" s="29"/>
      <c r="P9" s="29"/>
      <c r="Q9" s="29"/>
      <c r="R9" s="29"/>
      <c r="S9" s="29"/>
      <c r="T9" s="22"/>
      <c r="W9" s="173" t="s">
        <v>107</v>
      </c>
      <c r="X9" s="174">
        <v>0.13768799999999998</v>
      </c>
    </row>
    <row r="10" spans="1:24" ht="15.75" x14ac:dyDescent="0.25">
      <c r="B10" s="79"/>
      <c r="C10" s="188" t="s">
        <v>31</v>
      </c>
      <c r="D10" s="196" t="s">
        <v>6</v>
      </c>
      <c r="E10" s="197">
        <v>8.0944000000000002E-2</v>
      </c>
      <c r="F10" s="29"/>
      <c r="G10" s="29"/>
      <c r="H10" s="29"/>
      <c r="I10" s="29"/>
      <c r="J10" s="29"/>
      <c r="K10" s="29"/>
      <c r="L10" s="29"/>
      <c r="M10" s="29"/>
      <c r="N10" s="29"/>
      <c r="O10" s="29"/>
      <c r="P10" s="29"/>
      <c r="Q10" s="29"/>
      <c r="R10" s="29"/>
      <c r="S10" s="29"/>
      <c r="T10" s="22"/>
      <c r="W10" s="173" t="s">
        <v>6</v>
      </c>
      <c r="X10" s="174">
        <v>8.6166000000000006E-2</v>
      </c>
    </row>
    <row r="11" spans="1:24" ht="15.75" customHeight="1" x14ac:dyDescent="0.25">
      <c r="B11" s="79"/>
      <c r="C11" s="188" t="s">
        <v>28</v>
      </c>
      <c r="D11" s="196" t="s">
        <v>107</v>
      </c>
      <c r="E11" s="197">
        <v>6.1759000000000001E-2</v>
      </c>
      <c r="F11" s="29"/>
      <c r="G11" s="29"/>
      <c r="H11" s="29"/>
      <c r="I11" s="29"/>
      <c r="J11" s="29"/>
      <c r="K11" s="29"/>
      <c r="L11" s="29"/>
      <c r="M11" s="29"/>
      <c r="N11" s="29"/>
      <c r="O11" s="29"/>
      <c r="P11" s="29"/>
      <c r="Q11" s="29"/>
      <c r="R11" s="29"/>
      <c r="S11" s="29"/>
      <c r="T11" s="22"/>
      <c r="W11" s="173" t="s">
        <v>112</v>
      </c>
      <c r="X11" s="174">
        <v>7.4384000000000006E-2</v>
      </c>
    </row>
    <row r="12" spans="1:24" ht="15" customHeight="1" x14ac:dyDescent="0.25">
      <c r="B12" s="79"/>
      <c r="C12" s="188" t="s">
        <v>30</v>
      </c>
      <c r="D12" s="196" t="s">
        <v>117</v>
      </c>
      <c r="E12" s="197">
        <v>4.0961999999999998E-2</v>
      </c>
      <c r="F12" s="29"/>
      <c r="G12" s="29"/>
      <c r="H12" s="29"/>
      <c r="I12" s="29"/>
      <c r="J12" s="29"/>
      <c r="K12" s="29"/>
      <c r="L12" s="29"/>
      <c r="M12" s="29"/>
      <c r="N12" s="29"/>
      <c r="O12" s="29"/>
      <c r="P12" s="29"/>
      <c r="Q12" s="29"/>
      <c r="R12" s="29"/>
      <c r="S12" s="29"/>
      <c r="T12" s="22"/>
      <c r="W12" s="173" t="s">
        <v>117</v>
      </c>
      <c r="X12" s="174">
        <v>6.1490999999999997E-2</v>
      </c>
    </row>
    <row r="13" spans="1:24" ht="15" customHeight="1" x14ac:dyDescent="0.25">
      <c r="B13" s="79"/>
      <c r="C13" s="188" t="s">
        <v>34</v>
      </c>
      <c r="D13" s="196" t="s">
        <v>23</v>
      </c>
      <c r="E13" s="197">
        <v>4.0500000000000001E-2</v>
      </c>
      <c r="F13" s="29"/>
      <c r="G13" s="29"/>
      <c r="H13" s="29"/>
      <c r="I13" s="29"/>
      <c r="J13" s="29"/>
      <c r="K13" s="29"/>
      <c r="L13" s="29"/>
      <c r="M13" s="29"/>
      <c r="N13" s="29"/>
      <c r="O13" s="29"/>
      <c r="P13" s="29"/>
      <c r="Q13" s="29"/>
      <c r="R13" s="29"/>
      <c r="S13" s="29"/>
      <c r="T13" s="22"/>
      <c r="W13" s="173" t="s">
        <v>23</v>
      </c>
      <c r="X13" s="174">
        <v>4.0500000000000001E-2</v>
      </c>
    </row>
    <row r="14" spans="1:24" ht="15" customHeight="1" x14ac:dyDescent="0.25">
      <c r="B14" s="79"/>
      <c r="C14" s="188" t="s">
        <v>33</v>
      </c>
      <c r="D14" s="196" t="s">
        <v>107</v>
      </c>
      <c r="E14" s="197">
        <v>4.0319000000000001E-2</v>
      </c>
      <c r="F14" s="29"/>
      <c r="G14" s="29"/>
      <c r="H14" s="29"/>
      <c r="I14" s="29"/>
      <c r="J14" s="29"/>
      <c r="K14" s="29"/>
      <c r="L14" s="29"/>
      <c r="M14" s="29"/>
      <c r="N14" s="29"/>
      <c r="O14" s="29"/>
      <c r="P14" s="29"/>
      <c r="Q14" s="29"/>
      <c r="R14" s="29"/>
      <c r="S14" s="29"/>
      <c r="T14" s="22"/>
      <c r="W14" s="173" t="s">
        <v>12</v>
      </c>
      <c r="X14" s="174">
        <v>4.0281999999999998E-2</v>
      </c>
    </row>
    <row r="15" spans="1:24" ht="15" customHeight="1" x14ac:dyDescent="0.25">
      <c r="B15" s="79"/>
      <c r="C15" s="188" t="s">
        <v>70</v>
      </c>
      <c r="D15" s="196" t="s">
        <v>12</v>
      </c>
      <c r="E15" s="197">
        <v>4.0281999999999998E-2</v>
      </c>
      <c r="F15" s="29"/>
      <c r="G15" s="29"/>
      <c r="H15" s="29"/>
      <c r="I15" s="29"/>
      <c r="J15" s="29"/>
      <c r="K15" s="29"/>
      <c r="L15" s="29"/>
      <c r="M15" s="29"/>
      <c r="N15" s="29"/>
      <c r="O15" s="29"/>
      <c r="P15" s="29"/>
      <c r="Q15" s="29"/>
      <c r="R15" s="29"/>
      <c r="S15" s="29"/>
      <c r="T15" s="22"/>
      <c r="W15" s="173" t="s">
        <v>4</v>
      </c>
      <c r="X15" s="174">
        <v>3.2755999999999993E-2</v>
      </c>
    </row>
    <row r="16" spans="1:24" ht="15" customHeight="1" x14ac:dyDescent="0.25">
      <c r="B16" s="79"/>
      <c r="C16" s="188" t="s">
        <v>36</v>
      </c>
      <c r="D16" s="196" t="s">
        <v>3</v>
      </c>
      <c r="E16" s="197">
        <v>2.9912999999999999E-2</v>
      </c>
      <c r="F16" s="29"/>
      <c r="G16" s="29"/>
      <c r="H16" s="29"/>
      <c r="I16" s="29"/>
      <c r="J16" s="29"/>
      <c r="K16" s="29"/>
      <c r="L16" s="29"/>
      <c r="M16" s="29"/>
      <c r="N16" s="29"/>
      <c r="O16" s="29"/>
      <c r="P16" s="29"/>
      <c r="Q16" s="29"/>
      <c r="R16" s="29"/>
      <c r="S16" s="29"/>
      <c r="T16" s="22"/>
      <c r="W16" s="173" t="s">
        <v>111</v>
      </c>
      <c r="X16" s="174">
        <v>3.2312999999999995E-2</v>
      </c>
    </row>
    <row r="17" spans="2:24" ht="15" customHeight="1" x14ac:dyDescent="0.25">
      <c r="B17" s="79"/>
      <c r="C17" s="188" t="s">
        <v>79</v>
      </c>
      <c r="D17" s="196" t="s">
        <v>3</v>
      </c>
      <c r="E17" s="197">
        <v>2.9812999999999999E-2</v>
      </c>
      <c r="F17" s="29"/>
      <c r="G17" s="29"/>
      <c r="H17" s="29"/>
      <c r="I17" s="29"/>
      <c r="J17" s="29"/>
      <c r="K17" s="29"/>
      <c r="L17" s="29"/>
      <c r="M17" s="29"/>
      <c r="N17" s="29"/>
      <c r="O17" s="29"/>
      <c r="P17" s="29"/>
      <c r="Q17" s="29"/>
      <c r="R17" s="29"/>
      <c r="S17" s="29"/>
      <c r="T17" s="22"/>
      <c r="W17" s="173" t="s">
        <v>10</v>
      </c>
      <c r="X17" s="174">
        <v>2.9689E-2</v>
      </c>
    </row>
    <row r="18" spans="2:24" ht="15" customHeight="1" x14ac:dyDescent="0.25">
      <c r="B18" s="79"/>
      <c r="C18" s="188" t="s">
        <v>120</v>
      </c>
      <c r="D18" s="196" t="s">
        <v>112</v>
      </c>
      <c r="E18" s="197">
        <v>2.4410000000000001E-2</v>
      </c>
      <c r="F18" s="29"/>
      <c r="G18" s="29"/>
      <c r="H18" s="29"/>
      <c r="I18" s="29"/>
      <c r="J18" s="29"/>
      <c r="K18" s="29"/>
      <c r="L18" s="29"/>
      <c r="M18" s="29"/>
      <c r="N18" s="29"/>
      <c r="O18" s="29"/>
      <c r="P18" s="29"/>
      <c r="Q18" s="29"/>
      <c r="R18" s="29"/>
      <c r="S18" s="29"/>
      <c r="T18" s="22"/>
      <c r="W18" s="173" t="s">
        <v>16</v>
      </c>
      <c r="X18" s="174">
        <v>2.2776999999999999E-2</v>
      </c>
    </row>
    <row r="19" spans="2:24" ht="15" customHeight="1" x14ac:dyDescent="0.25">
      <c r="B19" s="79"/>
      <c r="C19" s="188" t="s">
        <v>35</v>
      </c>
      <c r="D19" s="196" t="s">
        <v>3</v>
      </c>
      <c r="E19" s="197">
        <v>2.3941E-2</v>
      </c>
      <c r="F19" s="29"/>
      <c r="G19" s="29"/>
      <c r="H19" s="29"/>
      <c r="I19" s="29"/>
      <c r="J19" s="29"/>
      <c r="K19" s="29"/>
      <c r="L19" s="29"/>
      <c r="M19" s="29"/>
      <c r="N19" s="29"/>
      <c r="O19" s="29"/>
      <c r="P19" s="29"/>
      <c r="Q19" s="29"/>
      <c r="R19" s="29"/>
      <c r="S19" s="29"/>
      <c r="T19" s="22"/>
      <c r="W19" s="173" t="s">
        <v>83</v>
      </c>
      <c r="X19" s="174">
        <v>2.0764999999999999E-2</v>
      </c>
    </row>
    <row r="20" spans="2:24" ht="15" customHeight="1" x14ac:dyDescent="0.25">
      <c r="B20" s="79"/>
      <c r="C20" s="188" t="s">
        <v>37</v>
      </c>
      <c r="D20" s="196" t="s">
        <v>117</v>
      </c>
      <c r="E20" s="197">
        <v>2.0528999999999999E-2</v>
      </c>
      <c r="F20" s="29"/>
      <c r="G20" s="29"/>
      <c r="H20" s="29"/>
      <c r="I20" s="29"/>
      <c r="J20" s="29"/>
      <c r="K20" s="29"/>
      <c r="L20" s="29"/>
      <c r="M20" s="29"/>
      <c r="N20" s="29"/>
      <c r="O20" s="29"/>
      <c r="P20" s="29"/>
      <c r="Q20" s="29"/>
      <c r="R20" s="29"/>
      <c r="S20" s="29"/>
      <c r="T20" s="22"/>
      <c r="W20" s="173" t="s">
        <v>11</v>
      </c>
      <c r="X20" s="174">
        <v>1.9621E-2</v>
      </c>
    </row>
    <row r="21" spans="2:24" ht="15" customHeight="1" x14ac:dyDescent="0.25">
      <c r="B21" s="79"/>
      <c r="C21" s="188" t="s">
        <v>193</v>
      </c>
      <c r="D21" s="196" t="s">
        <v>107</v>
      </c>
      <c r="E21" s="197">
        <v>1.8027999999999999E-2</v>
      </c>
      <c r="F21" s="29"/>
      <c r="G21" s="29"/>
      <c r="H21" s="29"/>
      <c r="I21" s="29"/>
      <c r="J21" s="29"/>
      <c r="K21" s="29"/>
      <c r="L21" s="29"/>
      <c r="M21" s="29"/>
      <c r="N21" s="29"/>
      <c r="O21" s="29"/>
      <c r="P21" s="29"/>
      <c r="Q21" s="29"/>
      <c r="R21" s="29"/>
      <c r="S21" s="29"/>
      <c r="T21" s="22"/>
      <c r="W21" s="173" t="s">
        <v>26</v>
      </c>
      <c r="X21" s="174">
        <v>1.3944E-2</v>
      </c>
    </row>
    <row r="22" spans="2:24" ht="15" customHeight="1" x14ac:dyDescent="0.25">
      <c r="B22" s="79"/>
      <c r="C22" s="188" t="s">
        <v>265</v>
      </c>
      <c r="D22" s="196" t="s">
        <v>111</v>
      </c>
      <c r="E22" s="197">
        <v>1.7756999999999998E-2</v>
      </c>
      <c r="F22" s="29"/>
      <c r="G22" s="29"/>
      <c r="H22" s="29"/>
      <c r="I22" s="29"/>
      <c r="J22" s="29"/>
      <c r="K22" s="29"/>
      <c r="L22" s="29"/>
      <c r="M22" s="29"/>
      <c r="N22" s="29"/>
      <c r="O22" s="29"/>
      <c r="P22" s="29"/>
      <c r="Q22" s="29"/>
      <c r="R22" s="29"/>
      <c r="S22" s="29"/>
      <c r="T22" s="22"/>
      <c r="W22" s="173" t="s">
        <v>108</v>
      </c>
      <c r="X22" s="174">
        <v>1.2773E-2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86</v>
      </c>
      <c r="X23" s="174">
        <v>1.2424000000000001E-2</v>
      </c>
    </row>
    <row r="24" spans="2:24" ht="15" customHeight="1" x14ac:dyDescent="0.25">
      <c r="B24" s="79"/>
      <c r="C24" s="73" t="s">
        <v>55</v>
      </c>
      <c r="D24" s="74"/>
      <c r="E24" s="84">
        <f>SUM(E8:E22)</f>
        <v>0.67959400000000003</v>
      </c>
      <c r="F24" s="29"/>
      <c r="G24" s="29"/>
      <c r="H24" s="29"/>
      <c r="I24" s="29"/>
      <c r="J24" s="29"/>
      <c r="K24" s="29"/>
      <c r="L24" s="29"/>
      <c r="M24" s="29"/>
      <c r="N24" s="29"/>
      <c r="O24" s="29"/>
      <c r="P24" s="29"/>
      <c r="Q24" s="29"/>
      <c r="R24" s="29"/>
      <c r="S24" s="29"/>
      <c r="T24" s="22"/>
      <c r="W24" s="173" t="s">
        <v>87</v>
      </c>
      <c r="X24" s="174">
        <v>1.0175E-2</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13</v>
      </c>
      <c r="X25" s="174">
        <v>9.1979999999999996E-3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15</v>
      </c>
      <c r="X26" s="174">
        <v>8.8190000000000004E-3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131</v>
      </c>
      <c r="X27" s="174">
        <v>8.7240000000000009E-3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130</v>
      </c>
      <c r="X28" s="174">
        <v>8.1019999999999998E-3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77</v>
      </c>
      <c r="X29" s="174">
        <v>6.3860000000000002E-3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115</v>
      </c>
      <c r="X30" s="62">
        <v>5.7600000000000004E-3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132</v>
      </c>
      <c r="X31" s="62">
        <v>5.3540000000000003E-3</v>
      </c>
    </row>
    <row r="32" spans="2:24" ht="15" customHeight="1" thickBot="1" x14ac:dyDescent="0.3"/>
    <row r="33" spans="2:18" ht="15" customHeight="1" x14ac:dyDescent="0.25">
      <c r="B33" s="269" t="s">
        <v>182</v>
      </c>
      <c r="C33" s="270"/>
      <c r="D33" s="270"/>
      <c r="E33" s="270"/>
      <c r="F33" s="270"/>
      <c r="G33" s="270"/>
      <c r="H33" s="270"/>
      <c r="I33" s="270"/>
      <c r="J33" s="270"/>
      <c r="K33" s="270"/>
      <c r="L33" s="270"/>
      <c r="M33" s="270"/>
      <c r="N33" s="270"/>
      <c r="O33" s="270"/>
      <c r="P33" s="270"/>
      <c r="Q33" s="270"/>
      <c r="R33" s="271"/>
    </row>
    <row r="34" spans="2:18" ht="15" customHeight="1" x14ac:dyDescent="0.25">
      <c r="B34" s="272"/>
      <c r="C34" s="273"/>
      <c r="D34" s="273"/>
      <c r="E34" s="273"/>
      <c r="F34" s="273"/>
      <c r="G34" s="273"/>
      <c r="H34" s="273"/>
      <c r="I34" s="273"/>
      <c r="J34" s="273"/>
      <c r="K34" s="273"/>
      <c r="L34" s="273"/>
      <c r="M34" s="273"/>
      <c r="N34" s="273"/>
      <c r="O34" s="273"/>
      <c r="P34" s="273"/>
      <c r="Q34" s="273"/>
      <c r="R34" s="274"/>
    </row>
    <row r="35" spans="2:18" ht="15" customHeight="1" x14ac:dyDescent="0.25">
      <c r="B35" s="272"/>
      <c r="C35" s="273"/>
      <c r="D35" s="273"/>
      <c r="E35" s="273"/>
      <c r="F35" s="273"/>
      <c r="G35" s="273"/>
      <c r="H35" s="273"/>
      <c r="I35" s="273"/>
      <c r="J35" s="273"/>
      <c r="K35" s="273"/>
      <c r="L35" s="273"/>
      <c r="M35" s="273"/>
      <c r="N35" s="273"/>
      <c r="O35" s="273"/>
      <c r="P35" s="273"/>
      <c r="Q35" s="273"/>
      <c r="R35" s="274"/>
    </row>
    <row r="36" spans="2:18" ht="15" customHeight="1" x14ac:dyDescent="0.25">
      <c r="B36" s="272"/>
      <c r="C36" s="273"/>
      <c r="D36" s="273"/>
      <c r="E36" s="273"/>
      <c r="F36" s="273"/>
      <c r="G36" s="273"/>
      <c r="H36" s="273"/>
      <c r="I36" s="273"/>
      <c r="J36" s="273"/>
      <c r="K36" s="273"/>
      <c r="L36" s="273"/>
      <c r="M36" s="273"/>
      <c r="N36" s="273"/>
      <c r="O36" s="273"/>
      <c r="P36" s="273"/>
      <c r="Q36" s="273"/>
      <c r="R36" s="274"/>
    </row>
    <row r="37" spans="2:18" ht="15" customHeight="1" x14ac:dyDescent="0.25">
      <c r="B37" s="272"/>
      <c r="C37" s="273"/>
      <c r="D37" s="273"/>
      <c r="E37" s="273"/>
      <c r="F37" s="273"/>
      <c r="G37" s="273"/>
      <c r="H37" s="273"/>
      <c r="I37" s="273"/>
      <c r="J37" s="273"/>
      <c r="K37" s="273"/>
      <c r="L37" s="273"/>
      <c r="M37" s="273"/>
      <c r="N37" s="273"/>
      <c r="O37" s="273"/>
      <c r="P37" s="273"/>
      <c r="Q37" s="273"/>
      <c r="R37" s="274"/>
    </row>
    <row r="38" spans="2:18" ht="15" customHeight="1" x14ac:dyDescent="0.25">
      <c r="B38" s="272"/>
      <c r="C38" s="273"/>
      <c r="D38" s="273"/>
      <c r="E38" s="273"/>
      <c r="F38" s="273"/>
      <c r="G38" s="273"/>
      <c r="H38" s="273"/>
      <c r="I38" s="273"/>
      <c r="J38" s="273"/>
      <c r="K38" s="273"/>
      <c r="L38" s="273"/>
      <c r="M38" s="273"/>
      <c r="N38" s="273"/>
      <c r="O38" s="273"/>
      <c r="P38" s="273"/>
      <c r="Q38" s="273"/>
      <c r="R38" s="274"/>
    </row>
    <row r="39" spans="2:18" ht="15" customHeight="1" thickBot="1" x14ac:dyDescent="0.3">
      <c r="B39" s="275"/>
      <c r="C39" s="276"/>
      <c r="D39" s="276"/>
      <c r="E39" s="276"/>
      <c r="F39" s="276"/>
      <c r="G39" s="276"/>
      <c r="H39" s="276"/>
      <c r="I39" s="276"/>
      <c r="J39" s="276"/>
      <c r="K39" s="276"/>
      <c r="L39" s="276"/>
      <c r="M39" s="276"/>
      <c r="N39" s="276"/>
      <c r="O39" s="276"/>
      <c r="P39" s="276"/>
      <c r="Q39" s="276"/>
      <c r="R39" s="277"/>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340</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2" t="s">
        <v>397</v>
      </c>
      <c r="E5" s="28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0.14679</v>
      </c>
      <c r="F8" s="29"/>
      <c r="G8" s="29"/>
      <c r="H8" s="29"/>
      <c r="I8" s="29"/>
      <c r="J8" s="29"/>
      <c r="K8" s="29"/>
      <c r="L8" s="29"/>
      <c r="M8" s="29"/>
      <c r="N8" s="29"/>
      <c r="O8" s="29"/>
      <c r="P8" s="29"/>
      <c r="Q8" s="29"/>
      <c r="R8" s="29"/>
      <c r="S8" s="29"/>
      <c r="T8" s="22"/>
      <c r="W8" s="56" t="s">
        <v>3</v>
      </c>
      <c r="X8" s="57">
        <v>0.35101999999999994</v>
      </c>
    </row>
    <row r="9" spans="1:24" ht="15.75" customHeight="1" x14ac:dyDescent="0.25">
      <c r="B9" s="79"/>
      <c r="C9" s="188" t="s">
        <v>32</v>
      </c>
      <c r="D9" s="196" t="s">
        <v>3</v>
      </c>
      <c r="E9" s="197">
        <v>9.9197999999999995E-2</v>
      </c>
      <c r="F9" s="29"/>
      <c r="G9" s="29"/>
      <c r="H9" s="29"/>
      <c r="I9" s="29"/>
      <c r="J9" s="29"/>
      <c r="K9" s="29"/>
      <c r="L9" s="29"/>
      <c r="M9" s="29"/>
      <c r="N9" s="29"/>
      <c r="O9" s="29"/>
      <c r="P9" s="29"/>
      <c r="Q9" s="29"/>
      <c r="R9" s="29"/>
      <c r="S9" s="29"/>
      <c r="T9" s="22"/>
      <c r="W9" s="56" t="s">
        <v>107</v>
      </c>
      <c r="X9" s="57">
        <v>0.15241300000000002</v>
      </c>
    </row>
    <row r="10" spans="1:24" ht="15.75" x14ac:dyDescent="0.25">
      <c r="B10" s="79"/>
      <c r="C10" s="188" t="s">
        <v>31</v>
      </c>
      <c r="D10" s="196" t="s">
        <v>6</v>
      </c>
      <c r="E10" s="197">
        <v>9.4715999999999995E-2</v>
      </c>
      <c r="F10" s="29"/>
      <c r="G10" s="29"/>
      <c r="H10" s="29"/>
      <c r="I10" s="29"/>
      <c r="J10" s="29"/>
      <c r="K10" s="29"/>
      <c r="L10" s="29"/>
      <c r="M10" s="29"/>
      <c r="N10" s="29"/>
      <c r="O10" s="29"/>
      <c r="P10" s="29"/>
      <c r="Q10" s="29"/>
      <c r="R10" s="29"/>
      <c r="S10" s="29"/>
      <c r="T10" s="22"/>
      <c r="W10" s="56" t="s">
        <v>6</v>
      </c>
      <c r="X10" s="57">
        <v>9.4715999999999995E-2</v>
      </c>
    </row>
    <row r="11" spans="1:24" ht="15.75" customHeight="1" x14ac:dyDescent="0.25">
      <c r="B11" s="79"/>
      <c r="C11" s="188" t="s">
        <v>28</v>
      </c>
      <c r="D11" s="196" t="s">
        <v>107</v>
      </c>
      <c r="E11" s="197">
        <v>7.2719000000000006E-2</v>
      </c>
      <c r="F11" s="29"/>
      <c r="G11" s="29"/>
      <c r="H11" s="29"/>
      <c r="I11" s="29"/>
      <c r="J11" s="29"/>
      <c r="K11" s="29"/>
      <c r="L11" s="29"/>
      <c r="M11" s="29"/>
      <c r="N11" s="29"/>
      <c r="O11" s="29"/>
      <c r="P11" s="29"/>
      <c r="Q11" s="29"/>
      <c r="R11" s="29"/>
      <c r="S11" s="29"/>
      <c r="T11" s="22"/>
      <c r="W11" s="56" t="s">
        <v>117</v>
      </c>
      <c r="X11" s="57">
        <v>7.1985000000000007E-2</v>
      </c>
    </row>
    <row r="12" spans="1:24" ht="15" customHeight="1" x14ac:dyDescent="0.25">
      <c r="B12" s="79"/>
      <c r="C12" s="188" t="s">
        <v>30</v>
      </c>
      <c r="D12" s="196" t="s">
        <v>117</v>
      </c>
      <c r="E12" s="197">
        <v>4.7773000000000003E-2</v>
      </c>
      <c r="F12" s="29"/>
      <c r="G12" s="29"/>
      <c r="H12" s="29"/>
      <c r="I12" s="29"/>
      <c r="J12" s="29"/>
      <c r="K12" s="29"/>
      <c r="L12" s="29"/>
      <c r="M12" s="29"/>
      <c r="N12" s="29"/>
      <c r="O12" s="29"/>
      <c r="P12" s="29"/>
      <c r="Q12" s="29"/>
      <c r="R12" s="29"/>
      <c r="S12" s="29"/>
      <c r="T12" s="22"/>
      <c r="W12" s="56" t="s">
        <v>112</v>
      </c>
      <c r="X12" s="57">
        <v>6.4489000000000005E-2</v>
      </c>
    </row>
    <row r="13" spans="1:24" ht="15" customHeight="1" x14ac:dyDescent="0.25">
      <c r="B13" s="79"/>
      <c r="C13" s="188" t="s">
        <v>34</v>
      </c>
      <c r="D13" s="196" t="s">
        <v>23</v>
      </c>
      <c r="E13" s="197">
        <v>4.7258000000000001E-2</v>
      </c>
      <c r="F13" s="29"/>
      <c r="G13" s="29"/>
      <c r="H13" s="29"/>
      <c r="I13" s="29"/>
      <c r="J13" s="29"/>
      <c r="K13" s="29"/>
      <c r="L13" s="29"/>
      <c r="M13" s="29"/>
      <c r="N13" s="29"/>
      <c r="O13" s="29"/>
      <c r="P13" s="29"/>
      <c r="Q13" s="29"/>
      <c r="R13" s="29"/>
      <c r="S13" s="29"/>
      <c r="T13" s="22"/>
      <c r="W13" s="56" t="s">
        <v>23</v>
      </c>
      <c r="X13" s="57">
        <v>4.7258000000000001E-2</v>
      </c>
    </row>
    <row r="14" spans="1:24" ht="15" customHeight="1" x14ac:dyDescent="0.25">
      <c r="B14" s="79"/>
      <c r="C14" s="188" t="s">
        <v>70</v>
      </c>
      <c r="D14" s="196" t="s">
        <v>12</v>
      </c>
      <c r="E14" s="197">
        <v>4.7086000000000003E-2</v>
      </c>
      <c r="F14" s="29"/>
      <c r="G14" s="29"/>
      <c r="H14" s="29"/>
      <c r="I14" s="29"/>
      <c r="J14" s="29"/>
      <c r="K14" s="29"/>
      <c r="L14" s="29"/>
      <c r="M14" s="29"/>
      <c r="N14" s="29"/>
      <c r="O14" s="29"/>
      <c r="P14" s="29"/>
      <c r="Q14" s="29"/>
      <c r="R14" s="29"/>
      <c r="S14" s="29"/>
      <c r="T14" s="22"/>
      <c r="W14" s="56" t="s">
        <v>12</v>
      </c>
      <c r="X14" s="57">
        <v>4.7086000000000003E-2</v>
      </c>
    </row>
    <row r="15" spans="1:24" ht="15" customHeight="1" x14ac:dyDescent="0.25">
      <c r="B15" s="79"/>
      <c r="C15" s="188" t="s">
        <v>33</v>
      </c>
      <c r="D15" s="196" t="s">
        <v>107</v>
      </c>
      <c r="E15" s="197">
        <v>4.6765000000000001E-2</v>
      </c>
      <c r="F15" s="29"/>
      <c r="G15" s="29"/>
      <c r="H15" s="29"/>
      <c r="I15" s="29"/>
      <c r="J15" s="29"/>
      <c r="K15" s="29"/>
      <c r="L15" s="29"/>
      <c r="M15" s="29"/>
      <c r="N15" s="29"/>
      <c r="O15" s="29"/>
      <c r="P15" s="29"/>
      <c r="Q15" s="29"/>
      <c r="R15" s="29"/>
      <c r="S15" s="29"/>
      <c r="T15" s="22"/>
      <c r="W15" s="56" t="s">
        <v>10</v>
      </c>
      <c r="X15" s="57">
        <v>3.4959000000000004E-2</v>
      </c>
    </row>
    <row r="16" spans="1:24" ht="15" customHeight="1" x14ac:dyDescent="0.25">
      <c r="B16" s="79"/>
      <c r="C16" s="188" t="s">
        <v>36</v>
      </c>
      <c r="D16" s="196" t="s">
        <v>3</v>
      </c>
      <c r="E16" s="197">
        <v>3.4959999999999998E-2</v>
      </c>
      <c r="F16" s="29"/>
      <c r="G16" s="29"/>
      <c r="H16" s="29"/>
      <c r="I16" s="29"/>
      <c r="J16" s="29"/>
      <c r="K16" s="29"/>
      <c r="L16" s="29"/>
      <c r="M16" s="29"/>
      <c r="N16" s="29"/>
      <c r="O16" s="29"/>
      <c r="P16" s="29"/>
      <c r="Q16" s="29"/>
      <c r="R16" s="29"/>
      <c r="S16" s="29"/>
      <c r="T16" s="22"/>
      <c r="W16" s="56" t="s">
        <v>4</v>
      </c>
      <c r="X16" s="57">
        <v>2.8930000000000001E-2</v>
      </c>
    </row>
    <row r="17" spans="2:24" ht="15" customHeight="1" x14ac:dyDescent="0.25">
      <c r="B17" s="79"/>
      <c r="C17" s="188" t="s">
        <v>79</v>
      </c>
      <c r="D17" s="196" t="s">
        <v>3</v>
      </c>
      <c r="E17" s="197">
        <v>3.4846000000000002E-2</v>
      </c>
      <c r="F17" s="29"/>
      <c r="G17" s="29"/>
      <c r="H17" s="29"/>
      <c r="I17" s="29"/>
      <c r="J17" s="29"/>
      <c r="K17" s="29"/>
      <c r="L17" s="29"/>
      <c r="M17" s="29"/>
      <c r="N17" s="29"/>
      <c r="O17" s="29"/>
      <c r="P17" s="29"/>
      <c r="Q17" s="29"/>
      <c r="R17" s="29"/>
      <c r="S17" s="29"/>
      <c r="T17" s="22"/>
      <c r="W17" s="56" t="s">
        <v>16</v>
      </c>
      <c r="X17" s="57">
        <v>2.6676999999999999E-2</v>
      </c>
    </row>
    <row r="18" spans="2:24" ht="15" customHeight="1" x14ac:dyDescent="0.25">
      <c r="B18" s="79"/>
      <c r="C18" s="188" t="s">
        <v>120</v>
      </c>
      <c r="D18" s="196" t="s">
        <v>112</v>
      </c>
      <c r="E18" s="197">
        <v>3.1012000000000001E-2</v>
      </c>
      <c r="F18" s="29"/>
      <c r="G18" s="29"/>
      <c r="H18" s="29"/>
      <c r="I18" s="29"/>
      <c r="J18" s="29"/>
      <c r="K18" s="29"/>
      <c r="L18" s="29"/>
      <c r="M18" s="29"/>
      <c r="N18" s="29"/>
      <c r="O18" s="29"/>
      <c r="P18" s="29"/>
      <c r="Q18" s="29"/>
      <c r="R18" s="29"/>
      <c r="S18" s="29"/>
      <c r="T18" s="22"/>
      <c r="W18" s="56" t="s">
        <v>11</v>
      </c>
      <c r="X18" s="57">
        <v>2.2905999999999999E-2</v>
      </c>
    </row>
    <row r="19" spans="2:24" ht="15" customHeight="1" x14ac:dyDescent="0.25">
      <c r="B19" s="79"/>
      <c r="C19" s="188" t="s">
        <v>35</v>
      </c>
      <c r="D19" s="196" t="s">
        <v>3</v>
      </c>
      <c r="E19" s="197">
        <v>2.8122000000000001E-2</v>
      </c>
      <c r="F19" s="29"/>
      <c r="G19" s="29"/>
      <c r="H19" s="29"/>
      <c r="I19" s="29"/>
      <c r="J19" s="29"/>
      <c r="K19" s="29"/>
      <c r="L19" s="29"/>
      <c r="M19" s="29"/>
      <c r="N19" s="29"/>
      <c r="O19" s="29"/>
      <c r="P19" s="29"/>
      <c r="Q19" s="29"/>
      <c r="R19" s="29"/>
      <c r="S19" s="29"/>
      <c r="T19" s="22"/>
      <c r="W19" s="56" t="s">
        <v>111</v>
      </c>
      <c r="X19" s="57">
        <v>2.0826000000000001E-2</v>
      </c>
    </row>
    <row r="20" spans="2:24" ht="15" customHeight="1" x14ac:dyDescent="0.25">
      <c r="B20" s="79"/>
      <c r="C20" s="188" t="s">
        <v>37</v>
      </c>
      <c r="D20" s="196" t="s">
        <v>117</v>
      </c>
      <c r="E20" s="197">
        <v>2.4212000000000001E-2</v>
      </c>
      <c r="F20" s="29"/>
      <c r="G20" s="29"/>
      <c r="H20" s="29"/>
      <c r="I20" s="29"/>
      <c r="J20" s="29"/>
      <c r="K20" s="29"/>
      <c r="L20" s="29"/>
      <c r="M20" s="29"/>
      <c r="N20" s="29"/>
      <c r="O20" s="29"/>
      <c r="P20" s="29"/>
      <c r="Q20" s="29"/>
      <c r="R20" s="29"/>
      <c r="S20" s="29"/>
      <c r="T20" s="22"/>
      <c r="W20" s="56" t="s">
        <v>83</v>
      </c>
      <c r="X20" s="57">
        <v>1.3927E-2</v>
      </c>
    </row>
    <row r="21" spans="2:24" ht="15" customHeight="1" x14ac:dyDescent="0.25">
      <c r="B21" s="79"/>
      <c r="C21" s="188" t="s">
        <v>193</v>
      </c>
      <c r="D21" s="196" t="s">
        <v>107</v>
      </c>
      <c r="E21" s="197">
        <v>2.1152000000000001E-2</v>
      </c>
      <c r="F21" s="29"/>
      <c r="G21" s="29"/>
      <c r="H21" s="29"/>
      <c r="I21" s="29"/>
      <c r="J21" s="29"/>
      <c r="K21" s="29"/>
      <c r="L21" s="29"/>
      <c r="M21" s="29"/>
      <c r="N21" s="29"/>
      <c r="O21" s="29"/>
      <c r="P21" s="29"/>
      <c r="Q21" s="29"/>
      <c r="R21" s="29"/>
      <c r="S21" s="29"/>
      <c r="T21" s="22"/>
      <c r="W21" s="56" t="s">
        <v>130</v>
      </c>
      <c r="X21" s="57">
        <v>9.4680000000000007E-3</v>
      </c>
    </row>
    <row r="22" spans="2:24" ht="15" customHeight="1" x14ac:dyDescent="0.25">
      <c r="B22" s="79"/>
      <c r="C22" s="188" t="s">
        <v>265</v>
      </c>
      <c r="D22" s="196" t="s">
        <v>111</v>
      </c>
      <c r="E22" s="197">
        <v>2.0826000000000001E-2</v>
      </c>
      <c r="F22" s="29"/>
      <c r="G22" s="29"/>
      <c r="H22" s="29"/>
      <c r="I22" s="29"/>
      <c r="J22" s="29"/>
      <c r="K22" s="29"/>
      <c r="L22" s="29"/>
      <c r="M22" s="29"/>
      <c r="N22" s="29"/>
      <c r="O22" s="29"/>
      <c r="P22" s="29"/>
      <c r="Q22" s="29"/>
      <c r="R22" s="29"/>
      <c r="S22" s="29"/>
      <c r="T22" s="22"/>
      <c r="W22" s="19" t="s">
        <v>108</v>
      </c>
      <c r="X22" s="57">
        <v>8.7069999999999995E-3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c r="X23" s="57"/>
    </row>
    <row r="24" spans="2:24" ht="15" customHeight="1" x14ac:dyDescent="0.25">
      <c r="B24" s="79"/>
      <c r="C24" s="73" t="s">
        <v>55</v>
      </c>
      <c r="D24" s="74"/>
      <c r="E24" s="75">
        <f>SUM(E8:E22)</f>
        <v>0.79743499999999989</v>
      </c>
      <c r="F24" s="29"/>
      <c r="G24" s="29"/>
      <c r="H24" s="29"/>
      <c r="I24" s="29"/>
      <c r="J24" s="29"/>
      <c r="K24" s="29"/>
      <c r="L24" s="29"/>
      <c r="M24" s="29"/>
      <c r="N24" s="29"/>
      <c r="O24" s="29"/>
      <c r="P24" s="29"/>
      <c r="Q24" s="29"/>
      <c r="R24" s="29"/>
      <c r="S24" s="29"/>
      <c r="T24" s="22"/>
      <c r="W24" s="56"/>
      <c r="X24" s="57"/>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9" t="s">
        <v>182</v>
      </c>
      <c r="C39" s="270"/>
      <c r="D39" s="270"/>
      <c r="E39" s="270"/>
      <c r="F39" s="270"/>
      <c r="G39" s="270"/>
      <c r="H39" s="270"/>
      <c r="I39" s="270"/>
      <c r="J39" s="270"/>
      <c r="K39" s="270"/>
      <c r="L39" s="270"/>
      <c r="M39" s="270"/>
      <c r="N39" s="270"/>
      <c r="O39" s="270"/>
      <c r="P39" s="270"/>
      <c r="Q39" s="270"/>
      <c r="R39" s="271"/>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6.2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155</v>
      </c>
      <c r="D3" s="279"/>
      <c r="E3" s="279"/>
      <c r="F3" s="279"/>
      <c r="G3" s="279"/>
      <c r="H3" s="279"/>
      <c r="I3" s="279"/>
      <c r="J3" s="279"/>
      <c r="K3" s="279"/>
      <c r="L3" s="279"/>
      <c r="M3" s="279"/>
      <c r="N3" s="279"/>
      <c r="O3" s="279"/>
      <c r="P3" s="279"/>
      <c r="Q3" s="279"/>
      <c r="R3" s="279"/>
      <c r="S3" s="279"/>
      <c r="T3" s="22"/>
    </row>
    <row r="4" spans="1:24" ht="15.75" customHeight="1" x14ac:dyDescent="0.25">
      <c r="B4" s="79"/>
      <c r="C4" s="67" t="s">
        <v>412</v>
      </c>
      <c r="D4" s="29"/>
      <c r="E4" s="29"/>
      <c r="F4" s="29"/>
      <c r="G4" s="29"/>
      <c r="H4" s="29"/>
      <c r="I4" s="29"/>
      <c r="J4" s="29"/>
      <c r="K4" s="29"/>
      <c r="L4" s="29"/>
      <c r="M4" s="29"/>
      <c r="N4" s="29"/>
      <c r="O4" s="29"/>
      <c r="P4" s="29"/>
      <c r="Q4" s="29"/>
      <c r="R4" s="29"/>
      <c r="S4" s="29"/>
      <c r="T4" s="22"/>
    </row>
    <row r="5" spans="1:24" ht="18" customHeight="1" x14ac:dyDescent="0.25">
      <c r="B5" s="79"/>
      <c r="C5" s="221" t="s">
        <v>411</v>
      </c>
      <c r="D5" s="282" t="s">
        <v>398</v>
      </c>
      <c r="E5" s="28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0.125442</v>
      </c>
      <c r="F8" s="29"/>
      <c r="G8" s="29"/>
      <c r="H8" s="29"/>
      <c r="I8" s="29"/>
      <c r="J8" s="29"/>
      <c r="K8" s="29"/>
      <c r="L8" s="29"/>
      <c r="M8" s="29"/>
      <c r="N8" s="29"/>
      <c r="O8" s="29"/>
      <c r="P8" s="29"/>
      <c r="Q8" s="29"/>
      <c r="R8" s="29"/>
      <c r="S8" s="29"/>
      <c r="T8" s="22"/>
      <c r="W8" t="s">
        <v>3</v>
      </c>
      <c r="X8" s="179">
        <v>0.299238</v>
      </c>
    </row>
    <row r="9" spans="1:24" ht="15.75" customHeight="1" x14ac:dyDescent="0.25">
      <c r="B9" s="79"/>
      <c r="C9" s="188" t="s">
        <v>32</v>
      </c>
      <c r="D9" s="196" t="s">
        <v>3</v>
      </c>
      <c r="E9" s="197">
        <v>8.4332000000000004E-2</v>
      </c>
      <c r="F9" s="29"/>
      <c r="G9" s="29"/>
      <c r="H9" s="29"/>
      <c r="I9" s="29"/>
      <c r="J9" s="29"/>
      <c r="K9" s="29"/>
      <c r="L9" s="29"/>
      <c r="M9" s="29"/>
      <c r="N9" s="29"/>
      <c r="O9" s="29"/>
      <c r="P9" s="29"/>
      <c r="Q9" s="29"/>
      <c r="R9" s="29"/>
      <c r="S9" s="29"/>
      <c r="T9" s="22"/>
      <c r="W9" t="s">
        <v>107</v>
      </c>
      <c r="X9" s="179">
        <v>0.13728299999999999</v>
      </c>
    </row>
    <row r="10" spans="1:24" ht="15.75" x14ac:dyDescent="0.25">
      <c r="B10" s="79"/>
      <c r="C10" s="188" t="s">
        <v>31</v>
      </c>
      <c r="D10" s="196" t="s">
        <v>6</v>
      </c>
      <c r="E10" s="197">
        <v>8.0695000000000003E-2</v>
      </c>
      <c r="F10" s="29"/>
      <c r="G10" s="29"/>
      <c r="H10" s="29"/>
      <c r="I10" s="29"/>
      <c r="J10" s="29"/>
      <c r="K10" s="29"/>
      <c r="L10" s="29"/>
      <c r="M10" s="29"/>
      <c r="N10" s="29"/>
      <c r="O10" s="29"/>
      <c r="P10" s="29"/>
      <c r="Q10" s="29"/>
      <c r="R10" s="29"/>
      <c r="S10" s="29"/>
      <c r="T10" s="22"/>
      <c r="W10" t="s">
        <v>6</v>
      </c>
      <c r="X10" s="179">
        <v>8.5907999999999998E-2</v>
      </c>
    </row>
    <row r="11" spans="1:24" ht="15.75" customHeight="1" x14ac:dyDescent="0.25">
      <c r="B11" s="79"/>
      <c r="C11" s="188" t="s">
        <v>28</v>
      </c>
      <c r="D11" s="196" t="s">
        <v>107</v>
      </c>
      <c r="E11" s="197">
        <v>6.1578000000000001E-2</v>
      </c>
      <c r="F11" s="29"/>
      <c r="G11" s="29"/>
      <c r="H11" s="29"/>
      <c r="I11" s="29"/>
      <c r="J11" s="29"/>
      <c r="K11" s="29"/>
      <c r="L11" s="29"/>
      <c r="M11" s="29"/>
      <c r="N11" s="29"/>
      <c r="O11" s="29"/>
      <c r="P11" s="29"/>
      <c r="Q11" s="29"/>
      <c r="R11" s="29"/>
      <c r="S11" s="29"/>
      <c r="T11" s="22"/>
      <c r="W11" t="s">
        <v>112</v>
      </c>
      <c r="X11" s="179">
        <v>7.4161999999999992E-2</v>
      </c>
    </row>
    <row r="12" spans="1:24" ht="15" customHeight="1" x14ac:dyDescent="0.25">
      <c r="B12" s="79"/>
      <c r="C12" s="188" t="s">
        <v>30</v>
      </c>
      <c r="D12" s="196" t="s">
        <v>117</v>
      </c>
      <c r="E12" s="197">
        <v>4.0835000000000003E-2</v>
      </c>
      <c r="F12" s="29"/>
      <c r="G12" s="29"/>
      <c r="H12" s="29"/>
      <c r="I12" s="29"/>
      <c r="J12" s="29"/>
      <c r="K12" s="29"/>
      <c r="L12" s="29"/>
      <c r="M12" s="29"/>
      <c r="N12" s="29"/>
      <c r="O12" s="29"/>
      <c r="P12" s="29"/>
      <c r="Q12" s="29"/>
      <c r="R12" s="29"/>
      <c r="S12" s="29"/>
      <c r="T12" s="22"/>
      <c r="W12" t="s">
        <v>117</v>
      </c>
      <c r="X12" s="179">
        <v>6.1302000000000002E-2</v>
      </c>
    </row>
    <row r="13" spans="1:24" ht="15" customHeight="1" x14ac:dyDescent="0.25">
      <c r="B13" s="79"/>
      <c r="C13" s="188" t="s">
        <v>34</v>
      </c>
      <c r="D13" s="196" t="s">
        <v>23</v>
      </c>
      <c r="E13" s="197">
        <v>4.0377999999999997E-2</v>
      </c>
      <c r="F13" s="29"/>
      <c r="G13" s="29"/>
      <c r="H13" s="29"/>
      <c r="I13" s="29"/>
      <c r="J13" s="29"/>
      <c r="K13" s="29"/>
      <c r="L13" s="29"/>
      <c r="M13" s="29"/>
      <c r="N13" s="29"/>
      <c r="O13" s="29"/>
      <c r="P13" s="29"/>
      <c r="Q13" s="29"/>
      <c r="R13" s="29"/>
      <c r="S13" s="29"/>
      <c r="T13" s="22"/>
      <c r="W13" t="s">
        <v>23</v>
      </c>
      <c r="X13" s="179">
        <v>4.0377999999999997E-2</v>
      </c>
    </row>
    <row r="14" spans="1:24" ht="15" customHeight="1" x14ac:dyDescent="0.25">
      <c r="B14" s="79"/>
      <c r="C14" s="188" t="s">
        <v>33</v>
      </c>
      <c r="D14" s="196" t="s">
        <v>107</v>
      </c>
      <c r="E14" s="197">
        <v>4.0197999999999998E-2</v>
      </c>
      <c r="F14" s="29"/>
      <c r="G14" s="29"/>
      <c r="H14" s="29"/>
      <c r="I14" s="29"/>
      <c r="J14" s="29"/>
      <c r="K14" s="29"/>
      <c r="L14" s="29"/>
      <c r="M14" s="29"/>
      <c r="N14" s="29"/>
      <c r="O14" s="29"/>
      <c r="P14" s="29"/>
      <c r="Q14" s="29"/>
      <c r="R14" s="29"/>
      <c r="S14" s="29"/>
      <c r="T14" s="22"/>
      <c r="W14" t="s">
        <v>12</v>
      </c>
      <c r="X14" s="179">
        <v>4.0150999999999999E-2</v>
      </c>
    </row>
    <row r="15" spans="1:24" ht="15" customHeight="1" x14ac:dyDescent="0.25">
      <c r="B15" s="79"/>
      <c r="C15" s="188" t="s">
        <v>70</v>
      </c>
      <c r="D15" s="196" t="s">
        <v>12</v>
      </c>
      <c r="E15" s="197">
        <v>4.0150999999999999E-2</v>
      </c>
      <c r="F15" s="29"/>
      <c r="G15" s="29"/>
      <c r="H15" s="29"/>
      <c r="I15" s="29"/>
      <c r="J15" s="29"/>
      <c r="K15" s="29"/>
      <c r="L15" s="29"/>
      <c r="M15" s="29"/>
      <c r="N15" s="29"/>
      <c r="O15" s="29"/>
      <c r="P15" s="29"/>
      <c r="Q15" s="29"/>
      <c r="R15" s="29"/>
      <c r="S15" s="29"/>
      <c r="T15" s="22"/>
      <c r="W15" t="s">
        <v>4</v>
      </c>
      <c r="X15" s="179">
        <v>3.2642999999999998E-2</v>
      </c>
    </row>
    <row r="16" spans="1:24" ht="15" customHeight="1" x14ac:dyDescent="0.25">
      <c r="B16" s="79"/>
      <c r="C16" s="188" t="s">
        <v>36</v>
      </c>
      <c r="D16" s="196" t="s">
        <v>3</v>
      </c>
      <c r="E16" s="197">
        <v>2.9818999999999998E-2</v>
      </c>
      <c r="F16" s="29"/>
      <c r="G16" s="29"/>
      <c r="H16" s="29"/>
      <c r="I16" s="29"/>
      <c r="J16" s="29"/>
      <c r="K16" s="29"/>
      <c r="L16" s="29"/>
      <c r="M16" s="29"/>
      <c r="N16" s="29"/>
      <c r="O16" s="29"/>
      <c r="P16" s="29"/>
      <c r="Q16" s="29"/>
      <c r="R16" s="29"/>
      <c r="S16" s="29"/>
      <c r="T16" s="22"/>
      <c r="W16" t="s">
        <v>111</v>
      </c>
      <c r="X16" s="179">
        <v>3.2218000000000004E-2</v>
      </c>
    </row>
    <row r="17" spans="2:24" ht="15" customHeight="1" x14ac:dyDescent="0.25">
      <c r="B17" s="79"/>
      <c r="C17" s="188" t="s">
        <v>79</v>
      </c>
      <c r="D17" s="196" t="s">
        <v>3</v>
      </c>
      <c r="E17" s="197">
        <v>2.9721999999999998E-2</v>
      </c>
      <c r="F17" s="29"/>
      <c r="G17" s="29"/>
      <c r="H17" s="29"/>
      <c r="I17" s="29"/>
      <c r="J17" s="29"/>
      <c r="K17" s="29"/>
      <c r="L17" s="29"/>
      <c r="M17" s="29"/>
      <c r="N17" s="29"/>
      <c r="O17" s="29"/>
      <c r="P17" s="29"/>
      <c r="Q17" s="29"/>
      <c r="R17" s="29"/>
      <c r="S17" s="29"/>
      <c r="T17" s="22"/>
      <c r="W17" t="s">
        <v>10</v>
      </c>
      <c r="X17" s="179">
        <v>2.9592E-2</v>
      </c>
    </row>
    <row r="18" spans="2:24" ht="15" customHeight="1" x14ac:dyDescent="0.25">
      <c r="B18" s="79"/>
      <c r="C18" s="188" t="s">
        <v>120</v>
      </c>
      <c r="D18" s="196" t="s">
        <v>112</v>
      </c>
      <c r="E18" s="197">
        <v>2.4344000000000001E-2</v>
      </c>
      <c r="F18" s="29"/>
      <c r="G18" s="29"/>
      <c r="H18" s="29"/>
      <c r="I18" s="29"/>
      <c r="J18" s="29"/>
      <c r="K18" s="29"/>
      <c r="L18" s="29"/>
      <c r="M18" s="29"/>
      <c r="N18" s="29"/>
      <c r="O18" s="29"/>
      <c r="P18" s="29"/>
      <c r="Q18" s="29"/>
      <c r="R18" s="29"/>
      <c r="S18" s="29"/>
      <c r="T18" s="22"/>
      <c r="W18" t="s">
        <v>16</v>
      </c>
      <c r="X18" s="179">
        <v>2.2710000000000001E-2</v>
      </c>
    </row>
    <row r="19" spans="2:24" ht="15" customHeight="1" x14ac:dyDescent="0.25">
      <c r="B19" s="79"/>
      <c r="C19" s="188" t="s">
        <v>35</v>
      </c>
      <c r="D19" s="196" t="s">
        <v>3</v>
      </c>
      <c r="E19" s="197">
        <v>2.3865999999999998E-2</v>
      </c>
      <c r="F19" s="29"/>
      <c r="G19" s="29"/>
      <c r="H19" s="29"/>
      <c r="I19" s="29"/>
      <c r="J19" s="29"/>
      <c r="K19" s="29"/>
      <c r="L19" s="29"/>
      <c r="M19" s="29"/>
      <c r="N19" s="29"/>
      <c r="O19" s="29"/>
      <c r="P19" s="29"/>
      <c r="Q19" s="29"/>
      <c r="R19" s="29"/>
      <c r="S19" s="29"/>
      <c r="T19" s="22"/>
      <c r="W19" t="s">
        <v>83</v>
      </c>
      <c r="X19" s="179">
        <v>2.0701999999999998E-2</v>
      </c>
    </row>
    <row r="20" spans="2:24" ht="15" customHeight="1" x14ac:dyDescent="0.25">
      <c r="B20" s="79"/>
      <c r="C20" s="188" t="s">
        <v>37</v>
      </c>
      <c r="D20" s="196" t="s">
        <v>117</v>
      </c>
      <c r="E20" s="197">
        <v>2.0466999999999999E-2</v>
      </c>
      <c r="F20" s="29"/>
      <c r="G20" s="29"/>
      <c r="H20" s="29"/>
      <c r="I20" s="29"/>
      <c r="J20" s="29"/>
      <c r="K20" s="29"/>
      <c r="L20" s="29"/>
      <c r="M20" s="29"/>
      <c r="N20" s="29"/>
      <c r="O20" s="29"/>
      <c r="P20" s="29"/>
      <c r="Q20" s="29"/>
      <c r="R20" s="29"/>
      <c r="S20" s="29"/>
      <c r="T20" s="22"/>
      <c r="W20" t="s">
        <v>11</v>
      </c>
      <c r="X20" s="179">
        <v>1.9560000000000001E-2</v>
      </c>
    </row>
    <row r="21" spans="2:24" ht="15" customHeight="1" x14ac:dyDescent="0.25">
      <c r="B21" s="79"/>
      <c r="C21" s="188" t="s">
        <v>193</v>
      </c>
      <c r="D21" s="196" t="s">
        <v>107</v>
      </c>
      <c r="E21" s="197">
        <v>1.7978000000000001E-2</v>
      </c>
      <c r="F21" s="29"/>
      <c r="G21" s="29"/>
      <c r="H21" s="29"/>
      <c r="I21" s="29"/>
      <c r="J21" s="29"/>
      <c r="K21" s="29"/>
      <c r="L21" s="29"/>
      <c r="M21" s="29"/>
      <c r="N21" s="29"/>
      <c r="O21" s="29"/>
      <c r="P21" s="29"/>
      <c r="Q21" s="29"/>
      <c r="R21" s="29"/>
      <c r="S21" s="29"/>
      <c r="T21" s="22"/>
      <c r="W21" t="s">
        <v>26</v>
      </c>
      <c r="X21" s="179">
        <v>1.3865000000000001E-2</v>
      </c>
    </row>
    <row r="22" spans="2:24" ht="15" customHeight="1" x14ac:dyDescent="0.25">
      <c r="B22" s="79"/>
      <c r="C22" s="188" t="s">
        <v>265</v>
      </c>
      <c r="D22" s="196" t="s">
        <v>111</v>
      </c>
      <c r="E22" s="197">
        <v>1.7708000000000002E-2</v>
      </c>
      <c r="F22" s="29"/>
      <c r="G22" s="29"/>
      <c r="H22" s="29"/>
      <c r="I22" s="29"/>
      <c r="J22" s="29"/>
      <c r="K22" s="29"/>
      <c r="L22" s="29"/>
      <c r="M22" s="29"/>
      <c r="N22" s="29"/>
      <c r="O22" s="29"/>
      <c r="P22" s="29"/>
      <c r="Q22" s="29"/>
      <c r="R22" s="29"/>
      <c r="S22" s="29"/>
      <c r="T22" s="22"/>
      <c r="W22" t="s">
        <v>108</v>
      </c>
      <c r="X22" s="179">
        <v>1.2736000000000001E-2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86</v>
      </c>
      <c r="X23" s="179">
        <v>1.2386000000000001E-2</v>
      </c>
    </row>
    <row r="24" spans="2:24" ht="15" customHeight="1" x14ac:dyDescent="0.25">
      <c r="B24" s="79"/>
      <c r="C24" s="73" t="s">
        <v>55</v>
      </c>
      <c r="D24" s="74"/>
      <c r="E24" s="75">
        <f>SUM(E8:E22)</f>
        <v>0.67751300000000025</v>
      </c>
      <c r="F24" s="29"/>
      <c r="G24" s="29"/>
      <c r="H24" s="29"/>
      <c r="I24" s="29"/>
      <c r="J24" s="29"/>
      <c r="K24" s="29"/>
      <c r="L24" s="29"/>
      <c r="M24" s="29"/>
      <c r="N24" s="29"/>
      <c r="O24" s="29"/>
      <c r="P24" s="29"/>
      <c r="Q24" s="29"/>
      <c r="R24" s="29"/>
      <c r="S24" s="29"/>
      <c r="T24" s="22"/>
      <c r="W24" t="s">
        <v>87</v>
      </c>
      <c r="X24" s="179">
        <v>1.0146000000000001E-2</v>
      </c>
    </row>
    <row r="25" spans="2:24" ht="15" customHeight="1" x14ac:dyDescent="0.25">
      <c r="B25" s="79"/>
      <c r="F25" s="29"/>
      <c r="G25" s="29"/>
      <c r="H25" s="29"/>
      <c r="I25" s="29"/>
      <c r="J25" s="29"/>
      <c r="K25" s="29"/>
      <c r="L25" s="29"/>
      <c r="M25" s="29"/>
      <c r="N25" s="29"/>
      <c r="O25" s="29"/>
      <c r="P25" s="29"/>
      <c r="Q25" s="29"/>
      <c r="R25" s="29"/>
      <c r="S25" s="29"/>
      <c r="T25" s="22"/>
      <c r="W25" t="s">
        <v>13</v>
      </c>
      <c r="X25" s="179">
        <v>9.1680000000000008E-3</v>
      </c>
    </row>
    <row r="26" spans="2:24" ht="15" customHeight="1" x14ac:dyDescent="0.25">
      <c r="B26" s="79"/>
      <c r="F26" s="29"/>
      <c r="G26" s="29"/>
      <c r="H26" s="29"/>
      <c r="I26" s="29"/>
      <c r="J26" s="29"/>
      <c r="K26" s="29"/>
      <c r="L26" s="29"/>
      <c r="M26" s="29"/>
      <c r="N26" s="29"/>
      <c r="O26" s="29"/>
      <c r="P26" s="29"/>
      <c r="Q26" s="29"/>
      <c r="R26" s="29"/>
      <c r="S26" s="29"/>
      <c r="T26" s="22"/>
      <c r="W26" t="s">
        <v>15</v>
      </c>
      <c r="X26" s="179">
        <v>8.7930000000000005E-3</v>
      </c>
    </row>
    <row r="27" spans="2:24" ht="15" customHeight="1" x14ac:dyDescent="0.25">
      <c r="B27" s="79"/>
      <c r="F27" s="29"/>
      <c r="G27" s="29"/>
      <c r="H27" s="29"/>
      <c r="I27" s="29"/>
      <c r="J27" s="29"/>
      <c r="K27" s="29"/>
      <c r="L27" s="29"/>
      <c r="M27" s="29"/>
      <c r="N27" s="29"/>
      <c r="O27" s="29"/>
      <c r="P27" s="29"/>
      <c r="Q27" s="29"/>
      <c r="R27" s="29"/>
      <c r="S27" s="29"/>
      <c r="T27" s="22"/>
      <c r="W27" t="s">
        <v>131</v>
      </c>
      <c r="X27" s="179">
        <v>8.6990000000000001E-3</v>
      </c>
    </row>
    <row r="28" spans="2:24" ht="15" customHeight="1" x14ac:dyDescent="0.25">
      <c r="B28" s="79"/>
      <c r="F28" s="29"/>
      <c r="G28" s="29"/>
      <c r="H28" s="29"/>
      <c r="I28" s="29"/>
      <c r="J28" s="29"/>
      <c r="K28" s="29"/>
      <c r="L28" s="29"/>
      <c r="M28" s="29"/>
      <c r="N28" s="29"/>
      <c r="O28" s="29"/>
      <c r="P28" s="29"/>
      <c r="Q28" s="29"/>
      <c r="R28" s="29"/>
      <c r="S28" s="29"/>
      <c r="T28" s="22"/>
      <c r="W28" t="s">
        <v>130</v>
      </c>
      <c r="X28" s="179">
        <v>8.0770000000000008E-3</v>
      </c>
    </row>
    <row r="29" spans="2:24" ht="15" customHeight="1" x14ac:dyDescent="0.25">
      <c r="B29" s="79"/>
      <c r="F29" s="29"/>
      <c r="G29" s="29"/>
      <c r="H29" s="29"/>
      <c r="I29" s="29"/>
      <c r="J29" s="29"/>
      <c r="K29" s="29"/>
      <c r="L29" s="29"/>
      <c r="M29" s="29"/>
      <c r="N29" s="29"/>
      <c r="O29" s="29"/>
      <c r="P29" s="29"/>
      <c r="Q29" s="29"/>
      <c r="R29" s="29"/>
      <c r="S29" s="29"/>
      <c r="T29" s="22"/>
      <c r="W29" t="s">
        <v>77</v>
      </c>
      <c r="X29" s="179">
        <v>6.3619999999999996E-3</v>
      </c>
    </row>
    <row r="30" spans="2:24" ht="15" customHeight="1" x14ac:dyDescent="0.25">
      <c r="B30" s="79"/>
      <c r="F30" s="29"/>
      <c r="G30" s="29"/>
      <c r="H30" s="29"/>
      <c r="I30" s="29"/>
      <c r="J30" s="29"/>
      <c r="K30" s="29"/>
      <c r="L30" s="29"/>
      <c r="M30" s="29"/>
      <c r="N30" s="29"/>
      <c r="O30" s="29"/>
      <c r="P30" s="29"/>
      <c r="Q30" s="29"/>
      <c r="R30" s="29"/>
      <c r="S30" s="29"/>
      <c r="T30" s="22"/>
      <c r="W30" s="56" t="s">
        <v>115</v>
      </c>
      <c r="X30" s="57">
        <v>5.7419999999999997E-3</v>
      </c>
    </row>
    <row r="31" spans="2:24" ht="15" customHeight="1" x14ac:dyDescent="0.25">
      <c r="B31" s="79"/>
      <c r="F31" s="29"/>
      <c r="G31" s="29"/>
      <c r="H31" s="29"/>
      <c r="I31" s="29"/>
      <c r="J31" s="29"/>
      <c r="K31" s="29"/>
      <c r="L31" s="29"/>
      <c r="M31" s="29"/>
      <c r="N31" s="29"/>
      <c r="O31" s="29"/>
      <c r="P31" s="29"/>
      <c r="Q31" s="29"/>
      <c r="R31" s="29"/>
      <c r="S31" s="29"/>
      <c r="T31" s="22"/>
      <c r="W31" s="56" t="s">
        <v>132</v>
      </c>
      <c r="X31" s="57">
        <v>5.3480000000000003E-3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9" t="s">
        <v>182</v>
      </c>
      <c r="C39" s="270"/>
      <c r="D39" s="270"/>
      <c r="E39" s="270"/>
      <c r="F39" s="270"/>
      <c r="G39" s="270"/>
      <c r="H39" s="270"/>
      <c r="I39" s="270"/>
      <c r="J39" s="270"/>
      <c r="K39" s="270"/>
      <c r="L39" s="270"/>
      <c r="M39" s="270"/>
      <c r="N39" s="270"/>
      <c r="O39" s="270"/>
      <c r="P39" s="270"/>
      <c r="Q39" s="270"/>
      <c r="R39" s="271"/>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154</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412</v>
      </c>
      <c r="D4" s="29"/>
      <c r="E4" s="29"/>
      <c r="F4" s="29"/>
      <c r="G4" s="29"/>
      <c r="H4" s="29"/>
      <c r="I4" s="29"/>
      <c r="J4" s="29"/>
      <c r="K4" s="29"/>
      <c r="L4" s="29"/>
      <c r="M4" s="29"/>
      <c r="N4" s="29"/>
      <c r="O4" s="29"/>
      <c r="P4" s="29"/>
      <c r="Q4" s="29"/>
      <c r="R4" s="29"/>
      <c r="S4" s="29"/>
      <c r="T4" s="29"/>
      <c r="U4" s="25"/>
    </row>
    <row r="5" spans="1:24" ht="18" customHeight="1" x14ac:dyDescent="0.25">
      <c r="B5" s="64"/>
      <c r="C5" s="221" t="s">
        <v>411</v>
      </c>
      <c r="D5" s="282" t="s">
        <v>399</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5" t="s">
        <v>29</v>
      </c>
      <c r="D8" s="206" t="s">
        <v>3</v>
      </c>
      <c r="E8" s="195">
        <v>0.10247299999999999</v>
      </c>
      <c r="F8" s="29"/>
      <c r="G8" s="29"/>
      <c r="H8" s="29"/>
      <c r="I8" s="29"/>
      <c r="J8" s="29"/>
      <c r="K8" s="29"/>
      <c r="L8" s="29"/>
      <c r="M8" s="29"/>
      <c r="N8" s="29"/>
      <c r="O8" s="29"/>
      <c r="P8" s="29"/>
      <c r="Q8" s="29"/>
      <c r="R8" s="29"/>
      <c r="S8" s="29"/>
      <c r="T8" s="29"/>
      <c r="U8" s="25"/>
      <c r="W8" s="178" t="s">
        <v>3</v>
      </c>
      <c r="X8" s="179">
        <v>0.254583</v>
      </c>
    </row>
    <row r="9" spans="1:24" ht="15.75" customHeight="1" x14ac:dyDescent="0.25">
      <c r="B9" s="64"/>
      <c r="C9" s="207" t="s">
        <v>32</v>
      </c>
      <c r="D9" s="208" t="s">
        <v>3</v>
      </c>
      <c r="E9" s="197">
        <v>6.8892999999999996E-2</v>
      </c>
      <c r="F9" s="29"/>
      <c r="G9" s="29"/>
      <c r="H9" s="29"/>
      <c r="I9" s="29"/>
      <c r="J9" s="29"/>
      <c r="K9" s="29"/>
      <c r="L9" s="29"/>
      <c r="M9" s="29"/>
      <c r="N9" s="29"/>
      <c r="O9" s="29"/>
      <c r="P9" s="29"/>
      <c r="Q9" s="29"/>
      <c r="R9" s="29"/>
      <c r="S9" s="29"/>
      <c r="T9" s="29"/>
      <c r="U9" s="25"/>
      <c r="W9" s="178" t="s">
        <v>107</v>
      </c>
      <c r="X9" s="179">
        <v>0.116413</v>
      </c>
    </row>
    <row r="10" spans="1:24" ht="15.75" x14ac:dyDescent="0.25">
      <c r="B10" s="64"/>
      <c r="C10" s="207" t="s">
        <v>31</v>
      </c>
      <c r="D10" s="208" t="s">
        <v>6</v>
      </c>
      <c r="E10" s="197">
        <v>6.5915000000000001E-2</v>
      </c>
      <c r="F10" s="29"/>
      <c r="G10" s="29"/>
      <c r="H10" s="29"/>
      <c r="I10" s="29"/>
      <c r="J10" s="29"/>
      <c r="K10" s="29"/>
      <c r="L10" s="29"/>
      <c r="M10" s="29"/>
      <c r="N10" s="29"/>
      <c r="O10" s="29"/>
      <c r="P10" s="29"/>
      <c r="Q10" s="29"/>
      <c r="R10" s="29"/>
      <c r="S10" s="29"/>
      <c r="T10" s="29"/>
      <c r="U10" s="25"/>
      <c r="W10" s="178" t="s">
        <v>6</v>
      </c>
      <c r="X10" s="179">
        <v>7.4074000000000001E-2</v>
      </c>
    </row>
    <row r="11" spans="1:24" ht="15.75" customHeight="1" x14ac:dyDescent="0.25">
      <c r="B11" s="64"/>
      <c r="C11" s="207" t="s">
        <v>28</v>
      </c>
      <c r="D11" s="208" t="s">
        <v>107</v>
      </c>
      <c r="E11" s="197">
        <v>5.0292000000000003E-2</v>
      </c>
      <c r="F11" s="29"/>
      <c r="G11" s="29"/>
      <c r="H11" s="29"/>
      <c r="I11" s="29"/>
      <c r="J11" s="29"/>
      <c r="K11" s="29"/>
      <c r="L11" s="29"/>
      <c r="M11" s="29"/>
      <c r="N11" s="29"/>
      <c r="O11" s="29"/>
      <c r="P11" s="29"/>
      <c r="Q11" s="29"/>
      <c r="R11" s="29"/>
      <c r="S11" s="29"/>
      <c r="T11" s="29"/>
      <c r="U11" s="25"/>
      <c r="W11" s="178" t="s">
        <v>112</v>
      </c>
      <c r="X11" s="179">
        <v>6.4870999999999998E-2</v>
      </c>
    </row>
    <row r="12" spans="1:24" ht="15" customHeight="1" x14ac:dyDescent="0.25">
      <c r="B12" s="64"/>
      <c r="C12" s="207" t="s">
        <v>30</v>
      </c>
      <c r="D12" s="208" t="s">
        <v>117</v>
      </c>
      <c r="E12" s="197">
        <v>3.3355999999999997E-2</v>
      </c>
      <c r="F12" s="29"/>
      <c r="G12" s="29"/>
      <c r="H12" s="29"/>
      <c r="I12" s="29"/>
      <c r="J12" s="29"/>
      <c r="K12" s="29"/>
      <c r="L12" s="29"/>
      <c r="M12" s="29"/>
      <c r="N12" s="29"/>
      <c r="O12" s="29"/>
      <c r="P12" s="29"/>
      <c r="Q12" s="29"/>
      <c r="R12" s="29"/>
      <c r="S12" s="29"/>
      <c r="T12" s="29"/>
      <c r="U12" s="25"/>
      <c r="W12" s="178" t="s">
        <v>4</v>
      </c>
      <c r="X12" s="179">
        <v>5.4469999999999998E-2</v>
      </c>
    </row>
    <row r="13" spans="1:24" ht="15" customHeight="1" x14ac:dyDescent="0.25">
      <c r="B13" s="64"/>
      <c r="C13" s="207" t="s">
        <v>34</v>
      </c>
      <c r="D13" s="208" t="s">
        <v>23</v>
      </c>
      <c r="E13" s="197">
        <v>3.2981000000000003E-2</v>
      </c>
      <c r="F13" s="29"/>
      <c r="G13" s="29"/>
      <c r="H13" s="29"/>
      <c r="I13" s="29"/>
      <c r="J13" s="29"/>
      <c r="K13" s="29"/>
      <c r="L13" s="29"/>
      <c r="M13" s="29"/>
      <c r="N13" s="29"/>
      <c r="O13" s="29"/>
      <c r="P13" s="29"/>
      <c r="Q13" s="29"/>
      <c r="R13" s="29"/>
      <c r="S13" s="29"/>
      <c r="T13" s="29"/>
      <c r="U13" s="25"/>
      <c r="W13" s="178" t="s">
        <v>117</v>
      </c>
      <c r="X13" s="179">
        <v>5.0072999999999993E-2</v>
      </c>
    </row>
    <row r="14" spans="1:24" ht="15" customHeight="1" x14ac:dyDescent="0.25">
      <c r="B14" s="64"/>
      <c r="C14" s="207" t="s">
        <v>33</v>
      </c>
      <c r="D14" s="208" t="s">
        <v>107</v>
      </c>
      <c r="E14" s="197">
        <v>3.2832E-2</v>
      </c>
      <c r="F14" s="29"/>
      <c r="G14" s="29"/>
      <c r="H14" s="29"/>
      <c r="I14" s="29"/>
      <c r="J14" s="29"/>
      <c r="K14" s="29"/>
      <c r="L14" s="29"/>
      <c r="M14" s="29"/>
      <c r="N14" s="29"/>
      <c r="O14" s="29"/>
      <c r="P14" s="29"/>
      <c r="Q14" s="29"/>
      <c r="R14" s="29"/>
      <c r="S14" s="29"/>
      <c r="T14" s="29"/>
      <c r="U14" s="25"/>
      <c r="W14" s="178" t="s">
        <v>10</v>
      </c>
      <c r="X14" s="179">
        <v>4.3529999999999999E-2</v>
      </c>
    </row>
    <row r="15" spans="1:24" ht="15" customHeight="1" x14ac:dyDescent="0.25">
      <c r="B15" s="64"/>
      <c r="C15" s="207" t="s">
        <v>70</v>
      </c>
      <c r="D15" s="208" t="s">
        <v>12</v>
      </c>
      <c r="E15" s="197">
        <v>3.2802999999999999E-2</v>
      </c>
      <c r="F15" s="29"/>
      <c r="G15" s="29"/>
      <c r="H15" s="29"/>
      <c r="I15" s="29"/>
      <c r="J15" s="29"/>
      <c r="K15" s="29"/>
      <c r="L15" s="29"/>
      <c r="M15" s="29"/>
      <c r="N15" s="29"/>
      <c r="O15" s="29"/>
      <c r="P15" s="29"/>
      <c r="Q15" s="29"/>
      <c r="R15" s="29"/>
      <c r="S15" s="29"/>
      <c r="T15" s="29"/>
      <c r="U15" s="25"/>
      <c r="W15" s="178" t="s">
        <v>111</v>
      </c>
      <c r="X15" s="179">
        <v>3.6334999999999999E-2</v>
      </c>
    </row>
    <row r="16" spans="1:24" ht="15" customHeight="1" x14ac:dyDescent="0.25">
      <c r="B16" s="64"/>
      <c r="C16" s="207" t="s">
        <v>36</v>
      </c>
      <c r="D16" s="208" t="s">
        <v>3</v>
      </c>
      <c r="E16" s="197">
        <v>2.4358999999999999E-2</v>
      </c>
      <c r="F16" s="29"/>
      <c r="G16" s="29"/>
      <c r="H16" s="29"/>
      <c r="I16" s="29"/>
      <c r="J16" s="29"/>
      <c r="K16" s="29"/>
      <c r="L16" s="29"/>
      <c r="M16" s="29"/>
      <c r="N16" s="29"/>
      <c r="O16" s="29"/>
      <c r="P16" s="29"/>
      <c r="Q16" s="29"/>
      <c r="R16" s="29"/>
      <c r="S16" s="29"/>
      <c r="T16" s="29"/>
      <c r="U16" s="25"/>
      <c r="W16" s="178" t="s">
        <v>26</v>
      </c>
      <c r="X16" s="179">
        <v>3.3431000000000002E-2</v>
      </c>
    </row>
    <row r="17" spans="2:24" ht="15" customHeight="1" x14ac:dyDescent="0.25">
      <c r="B17" s="64"/>
      <c r="C17" s="207" t="s">
        <v>79</v>
      </c>
      <c r="D17" s="208" t="s">
        <v>3</v>
      </c>
      <c r="E17" s="197">
        <v>2.4277E-2</v>
      </c>
      <c r="F17" s="29"/>
      <c r="G17" s="29"/>
      <c r="H17" s="29"/>
      <c r="I17" s="29"/>
      <c r="J17" s="29"/>
      <c r="K17" s="29"/>
      <c r="L17" s="29"/>
      <c r="M17" s="29"/>
      <c r="N17" s="29"/>
      <c r="O17" s="29"/>
      <c r="P17" s="29"/>
      <c r="Q17" s="29"/>
      <c r="R17" s="29"/>
      <c r="S17" s="29"/>
      <c r="T17" s="29"/>
      <c r="U17" s="25"/>
      <c r="W17" s="178" t="s">
        <v>23</v>
      </c>
      <c r="X17" s="179">
        <v>3.2981000000000003E-2</v>
      </c>
    </row>
    <row r="18" spans="2:24" ht="15" customHeight="1" x14ac:dyDescent="0.25">
      <c r="B18" s="64"/>
      <c r="C18" s="207" t="s">
        <v>120</v>
      </c>
      <c r="D18" s="208" t="s">
        <v>112</v>
      </c>
      <c r="E18" s="197">
        <v>1.9878E-2</v>
      </c>
      <c r="F18" s="29"/>
      <c r="G18" s="29"/>
      <c r="H18" s="29"/>
      <c r="I18" s="29"/>
      <c r="J18" s="29"/>
      <c r="K18" s="29"/>
      <c r="L18" s="29"/>
      <c r="M18" s="29"/>
      <c r="N18" s="29"/>
      <c r="O18" s="29"/>
      <c r="P18" s="29"/>
      <c r="Q18" s="29"/>
      <c r="R18" s="29"/>
      <c r="S18" s="29"/>
      <c r="T18" s="29"/>
      <c r="U18" s="25"/>
      <c r="W18" s="178" t="s">
        <v>12</v>
      </c>
      <c r="X18" s="179">
        <v>3.2802999999999999E-2</v>
      </c>
    </row>
    <row r="19" spans="2:24" ht="15" customHeight="1" x14ac:dyDescent="0.25">
      <c r="B19" s="64"/>
      <c r="C19" s="207" t="s">
        <v>35</v>
      </c>
      <c r="D19" s="208" t="s">
        <v>3</v>
      </c>
      <c r="E19" s="197">
        <v>1.9495999999999999E-2</v>
      </c>
      <c r="F19" s="29"/>
      <c r="G19" s="29"/>
      <c r="H19" s="29"/>
      <c r="I19" s="29"/>
      <c r="J19" s="29"/>
      <c r="K19" s="29"/>
      <c r="L19" s="29"/>
      <c r="M19" s="29"/>
      <c r="N19" s="29"/>
      <c r="O19" s="29"/>
      <c r="P19" s="29"/>
      <c r="Q19" s="29"/>
      <c r="R19" s="29"/>
      <c r="S19" s="29"/>
      <c r="T19" s="29"/>
      <c r="U19" s="25"/>
      <c r="W19" s="178" t="s">
        <v>83</v>
      </c>
      <c r="X19" s="179">
        <v>2.1946E-2</v>
      </c>
    </row>
    <row r="20" spans="2:24" ht="15" customHeight="1" x14ac:dyDescent="0.25">
      <c r="B20" s="64"/>
      <c r="C20" s="207" t="s">
        <v>37</v>
      </c>
      <c r="D20" s="208" t="s">
        <v>117</v>
      </c>
      <c r="E20" s="197">
        <v>1.6716999999999999E-2</v>
      </c>
      <c r="F20" s="29"/>
      <c r="G20" s="29"/>
      <c r="H20" s="29"/>
      <c r="I20" s="29"/>
      <c r="J20" s="29"/>
      <c r="K20" s="29"/>
      <c r="L20" s="29"/>
      <c r="M20" s="29"/>
      <c r="N20" s="29"/>
      <c r="O20" s="29"/>
      <c r="P20" s="29"/>
      <c r="Q20" s="29"/>
      <c r="R20" s="29"/>
      <c r="S20" s="29"/>
      <c r="T20" s="29"/>
      <c r="U20" s="25"/>
      <c r="W20" s="178" t="s">
        <v>16</v>
      </c>
      <c r="X20" s="179">
        <v>2.1815000000000001E-2</v>
      </c>
    </row>
    <row r="21" spans="2:24" ht="15" customHeight="1" x14ac:dyDescent="0.25">
      <c r="B21" s="64"/>
      <c r="C21" s="207" t="s">
        <v>193</v>
      </c>
      <c r="D21" s="208" t="s">
        <v>107</v>
      </c>
      <c r="E21" s="197">
        <v>1.4681E-2</v>
      </c>
      <c r="F21" s="29"/>
      <c r="G21" s="29"/>
      <c r="H21" s="29"/>
      <c r="I21" s="29"/>
      <c r="J21" s="29"/>
      <c r="K21" s="29"/>
      <c r="L21" s="29"/>
      <c r="M21" s="29"/>
      <c r="N21" s="29"/>
      <c r="O21" s="29"/>
      <c r="P21" s="29"/>
      <c r="Q21" s="29"/>
      <c r="R21" s="29"/>
      <c r="S21" s="29"/>
      <c r="T21" s="29"/>
      <c r="U21" s="25"/>
      <c r="W21" s="178" t="s">
        <v>11</v>
      </c>
      <c r="X21" s="179">
        <v>1.8563E-2</v>
      </c>
    </row>
    <row r="22" spans="2:24" ht="15" customHeight="1" x14ac:dyDescent="0.25">
      <c r="B22" s="64"/>
      <c r="C22" s="207" t="s">
        <v>265</v>
      </c>
      <c r="D22" s="208" t="s">
        <v>111</v>
      </c>
      <c r="E22" s="197">
        <v>1.4460000000000001E-2</v>
      </c>
      <c r="F22" s="29"/>
      <c r="G22" s="29"/>
      <c r="H22" s="29"/>
      <c r="I22" s="29"/>
      <c r="J22" s="29"/>
      <c r="K22" s="29"/>
      <c r="L22" s="29"/>
      <c r="M22" s="29"/>
      <c r="N22" s="29"/>
      <c r="O22" s="29"/>
      <c r="P22" s="29"/>
      <c r="Q22" s="29"/>
      <c r="R22" s="29"/>
      <c r="S22" s="29"/>
      <c r="T22" s="29"/>
      <c r="U22" s="25"/>
      <c r="W22" s="178" t="s">
        <v>86</v>
      </c>
      <c r="X22" s="179">
        <v>1.7132000000000001E-2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87</v>
      </c>
      <c r="X23" s="179">
        <v>1.468E-2</v>
      </c>
    </row>
    <row r="24" spans="2:24" ht="15" customHeight="1" x14ac:dyDescent="0.25">
      <c r="B24" s="64"/>
      <c r="C24" s="73" t="s">
        <v>55</v>
      </c>
      <c r="D24" s="74"/>
      <c r="E24" s="75">
        <f>SUM(E8:E22)</f>
        <v>0.55341300000000004</v>
      </c>
      <c r="F24" s="29"/>
      <c r="G24" s="29"/>
      <c r="H24" s="29"/>
      <c r="I24" s="29"/>
      <c r="J24" s="29"/>
      <c r="K24" s="29"/>
      <c r="L24" s="29"/>
      <c r="M24" s="29"/>
      <c r="N24" s="29"/>
      <c r="O24" s="29"/>
      <c r="P24" s="29"/>
      <c r="Q24" s="29"/>
      <c r="R24" s="29"/>
      <c r="S24" s="29"/>
      <c r="T24" s="29"/>
      <c r="U24" s="25"/>
      <c r="W24" s="178" t="s">
        <v>108</v>
      </c>
      <c r="X24" s="179">
        <v>1.04E-2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119</v>
      </c>
      <c r="X25" s="179">
        <v>1.0371E-2</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106</v>
      </c>
      <c r="X26" s="179">
        <v>9.0289999999999988E-3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13</v>
      </c>
      <c r="X27" s="179">
        <v>7.4900000000000001E-3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15</v>
      </c>
      <c r="X28" s="179">
        <v>7.182E-3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131</v>
      </c>
      <c r="X29" s="179">
        <v>7.1040000000000001E-3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130</v>
      </c>
      <c r="X30" s="179">
        <v>6.5979999999999997E-3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113</v>
      </c>
      <c r="X31" s="179">
        <v>6.5839999999999996E-3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121</v>
      </c>
      <c r="X32" s="179">
        <v>5.862E-3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133</v>
      </c>
      <c r="X33" s="179">
        <v>5.7819999999999998E-3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25</v>
      </c>
      <c r="X34" s="179">
        <v>5.744E-3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110</v>
      </c>
      <c r="X35" s="179">
        <v>5.6989999999999992E-3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124</v>
      </c>
      <c r="X36" s="179">
        <v>5.6950000000000004E-3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77</v>
      </c>
      <c r="X37" s="179">
        <v>5.1989999999999996E-3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115</v>
      </c>
      <c r="X38" s="179">
        <v>4.6899999999999997E-3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132</v>
      </c>
      <c r="X39" s="179">
        <v>4.3600000000000002E-3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116</v>
      </c>
      <c r="X40" s="179">
        <v>3.5279999999999999E-3</v>
      </c>
    </row>
    <row r="41" spans="2:24" ht="15" customHeight="1" thickBot="1" x14ac:dyDescent="0.3">
      <c r="W41" s="178" t="s">
        <v>84</v>
      </c>
      <c r="X41" s="179">
        <v>1.8489999999999999E-3</v>
      </c>
    </row>
    <row r="42" spans="2:24" ht="15" customHeight="1" x14ac:dyDescent="0.25">
      <c r="B42" s="269" t="s">
        <v>182</v>
      </c>
      <c r="C42" s="270"/>
      <c r="D42" s="270"/>
      <c r="E42" s="270"/>
      <c r="F42" s="270"/>
      <c r="G42" s="270"/>
      <c r="H42" s="270"/>
      <c r="I42" s="270"/>
      <c r="J42" s="270"/>
      <c r="K42" s="270"/>
      <c r="L42" s="270"/>
      <c r="M42" s="270"/>
      <c r="N42" s="270"/>
      <c r="O42" s="270"/>
      <c r="P42" s="270"/>
      <c r="Q42" s="270"/>
      <c r="R42" s="271"/>
      <c r="W42" s="178"/>
      <c r="X42" s="179"/>
    </row>
    <row r="43" spans="2:24" ht="15" customHeight="1" x14ac:dyDescent="0.25">
      <c r="B43" s="272"/>
      <c r="C43" s="273"/>
      <c r="D43" s="273"/>
      <c r="E43" s="273"/>
      <c r="F43" s="273"/>
      <c r="G43" s="273"/>
      <c r="H43" s="273"/>
      <c r="I43" s="273"/>
      <c r="J43" s="273"/>
      <c r="K43" s="273"/>
      <c r="L43" s="273"/>
      <c r="M43" s="273"/>
      <c r="N43" s="273"/>
      <c r="O43" s="273"/>
      <c r="P43" s="273"/>
      <c r="Q43" s="273"/>
      <c r="R43" s="274"/>
      <c r="W43" s="178"/>
      <c r="X43" s="179"/>
    </row>
    <row r="44" spans="2:24" ht="15" customHeight="1" x14ac:dyDescent="0.25">
      <c r="B44" s="272"/>
      <c r="C44" s="273"/>
      <c r="D44" s="273"/>
      <c r="E44" s="273"/>
      <c r="F44" s="273"/>
      <c r="G44" s="273"/>
      <c r="H44" s="273"/>
      <c r="I44" s="273"/>
      <c r="J44" s="273"/>
      <c r="K44" s="273"/>
      <c r="L44" s="273"/>
      <c r="M44" s="273"/>
      <c r="N44" s="273"/>
      <c r="O44" s="273"/>
      <c r="P44" s="273"/>
      <c r="Q44" s="273"/>
      <c r="R44" s="274"/>
      <c r="W44" s="178"/>
      <c r="X44" s="179"/>
    </row>
    <row r="45" spans="2:24" ht="15" customHeight="1" x14ac:dyDescent="0.25">
      <c r="B45" s="272"/>
      <c r="C45" s="273"/>
      <c r="D45" s="273"/>
      <c r="E45" s="273"/>
      <c r="F45" s="273"/>
      <c r="G45" s="273"/>
      <c r="H45" s="273"/>
      <c r="I45" s="273"/>
      <c r="J45" s="273"/>
      <c r="K45" s="273"/>
      <c r="L45" s="273"/>
      <c r="M45" s="273"/>
      <c r="N45" s="273"/>
      <c r="O45" s="273"/>
      <c r="P45" s="273"/>
      <c r="Q45" s="273"/>
      <c r="R45" s="274"/>
    </row>
    <row r="46" spans="2:24" ht="15" customHeight="1" x14ac:dyDescent="0.25">
      <c r="B46" s="272"/>
      <c r="C46" s="273"/>
      <c r="D46" s="273"/>
      <c r="E46" s="273"/>
      <c r="F46" s="273"/>
      <c r="G46" s="273"/>
      <c r="H46" s="273"/>
      <c r="I46" s="273"/>
      <c r="J46" s="273"/>
      <c r="K46" s="273"/>
      <c r="L46" s="273"/>
      <c r="M46" s="273"/>
      <c r="N46" s="273"/>
      <c r="O46" s="273"/>
      <c r="P46" s="273"/>
      <c r="Q46" s="273"/>
      <c r="R46" s="274"/>
    </row>
    <row r="47" spans="2:24" ht="15" customHeight="1" x14ac:dyDescent="0.25">
      <c r="B47" s="272"/>
      <c r="C47" s="273"/>
      <c r="D47" s="273"/>
      <c r="E47" s="273"/>
      <c r="F47" s="273"/>
      <c r="G47" s="273"/>
      <c r="H47" s="273"/>
      <c r="I47" s="273"/>
      <c r="J47" s="273"/>
      <c r="K47" s="273"/>
      <c r="L47" s="273"/>
      <c r="M47" s="273"/>
      <c r="N47" s="273"/>
      <c r="O47" s="273"/>
      <c r="P47" s="273"/>
      <c r="Q47" s="273"/>
      <c r="R47" s="274"/>
    </row>
    <row r="48" spans="2:24" ht="15" customHeight="1" thickBot="1" x14ac:dyDescent="0.3">
      <c r="B48" s="275"/>
      <c r="C48" s="276"/>
      <c r="D48" s="276"/>
      <c r="E48" s="276"/>
      <c r="F48" s="276"/>
      <c r="G48" s="276"/>
      <c r="H48" s="276"/>
      <c r="I48" s="276"/>
      <c r="J48" s="276"/>
      <c r="K48" s="276"/>
      <c r="L48" s="276"/>
      <c r="M48" s="276"/>
      <c r="N48" s="276"/>
      <c r="O48" s="276"/>
      <c r="P48" s="276"/>
      <c r="Q48" s="276"/>
      <c r="R48" s="27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153</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400</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138</v>
      </c>
      <c r="D8" s="194" t="s">
        <v>26</v>
      </c>
      <c r="E8" s="195">
        <v>6.5157999999999994E-2</v>
      </c>
      <c r="F8" s="29"/>
      <c r="G8" s="29"/>
      <c r="H8" s="29"/>
      <c r="I8" s="29"/>
      <c r="J8" s="29"/>
      <c r="K8" s="29"/>
      <c r="L8" s="29"/>
      <c r="M8" s="29"/>
      <c r="N8" s="29"/>
      <c r="O8" s="29"/>
      <c r="P8" s="29"/>
      <c r="Q8" s="29"/>
      <c r="R8" s="29"/>
      <c r="S8" s="29"/>
      <c r="T8" s="29"/>
      <c r="U8" s="25"/>
      <c r="W8" s="61" t="s">
        <v>112</v>
      </c>
      <c r="X8" s="62">
        <v>0.168737</v>
      </c>
    </row>
    <row r="9" spans="1:24" ht="15.75" x14ac:dyDescent="0.25">
      <c r="B9" s="64"/>
      <c r="C9" s="188" t="s">
        <v>70</v>
      </c>
      <c r="D9" s="196" t="s">
        <v>12</v>
      </c>
      <c r="E9" s="197">
        <v>5.8868999999999998E-2</v>
      </c>
      <c r="F9" s="29"/>
      <c r="G9" s="29"/>
      <c r="H9" s="29"/>
      <c r="I9" s="29"/>
      <c r="J9" s="29"/>
      <c r="K9" s="29"/>
      <c r="L9" s="29"/>
      <c r="M9" s="29"/>
      <c r="N9" s="29"/>
      <c r="O9" s="29"/>
      <c r="P9" s="29"/>
      <c r="Q9" s="29"/>
      <c r="R9" s="29"/>
      <c r="S9" s="29"/>
      <c r="T9" s="29"/>
      <c r="U9" s="25"/>
      <c r="W9" s="61" t="s">
        <v>119</v>
      </c>
      <c r="X9" s="62">
        <v>9.5704999999999998E-2</v>
      </c>
    </row>
    <row r="10" spans="1:24" ht="15.75" x14ac:dyDescent="0.25">
      <c r="B10" s="64"/>
      <c r="C10" s="188" t="s">
        <v>120</v>
      </c>
      <c r="D10" s="196" t="s">
        <v>112</v>
      </c>
      <c r="E10" s="197">
        <v>5.219E-2</v>
      </c>
      <c r="F10" s="29"/>
      <c r="G10" s="29"/>
      <c r="H10" s="29"/>
      <c r="I10" s="29"/>
      <c r="J10" s="29"/>
      <c r="K10" s="29"/>
      <c r="L10" s="29"/>
      <c r="M10" s="29"/>
      <c r="N10" s="29"/>
      <c r="O10" s="29"/>
      <c r="P10" s="29"/>
      <c r="Q10" s="29"/>
      <c r="R10" s="29"/>
      <c r="S10" s="29"/>
      <c r="T10" s="29"/>
      <c r="U10" s="25"/>
      <c r="W10" s="61" t="s">
        <v>87</v>
      </c>
      <c r="X10" s="62">
        <v>9.3574999999999992E-2</v>
      </c>
    </row>
    <row r="11" spans="1:24" ht="15.75" x14ac:dyDescent="0.25">
      <c r="B11" s="64"/>
      <c r="C11" s="188" t="s">
        <v>62</v>
      </c>
      <c r="D11" s="196" t="s">
        <v>10</v>
      </c>
      <c r="E11" s="197">
        <v>5.1589000000000003E-2</v>
      </c>
      <c r="F11" s="29"/>
      <c r="G11" s="29"/>
      <c r="H11" s="29"/>
      <c r="I11" s="29"/>
      <c r="J11" s="29"/>
      <c r="K11" s="29"/>
      <c r="L11" s="29"/>
      <c r="M11" s="29"/>
      <c r="N11" s="29"/>
      <c r="O11" s="29"/>
      <c r="P11" s="29"/>
      <c r="Q11" s="29"/>
      <c r="R11" s="29"/>
      <c r="S11" s="29"/>
      <c r="T11" s="29"/>
      <c r="U11" s="25"/>
      <c r="W11" s="61" t="s">
        <v>10</v>
      </c>
      <c r="X11" s="62">
        <v>8.8133000000000003E-2</v>
      </c>
    </row>
    <row r="12" spans="1:24" ht="15.75" x14ac:dyDescent="0.25">
      <c r="B12" s="64"/>
      <c r="C12" s="188" t="s">
        <v>129</v>
      </c>
      <c r="D12" s="196" t="s">
        <v>87</v>
      </c>
      <c r="E12" s="197">
        <v>5.0909999999999997E-2</v>
      </c>
      <c r="F12" s="29"/>
      <c r="G12" s="29"/>
      <c r="H12" s="29"/>
      <c r="I12" s="29"/>
      <c r="J12" s="29"/>
      <c r="K12" s="29"/>
      <c r="L12" s="29"/>
      <c r="M12" s="29"/>
      <c r="N12" s="29"/>
      <c r="O12" s="29"/>
      <c r="P12" s="29"/>
      <c r="Q12" s="29"/>
      <c r="R12" s="29"/>
      <c r="S12" s="29"/>
      <c r="T12" s="29"/>
      <c r="U12" s="25"/>
      <c r="W12" s="61" t="s">
        <v>4</v>
      </c>
      <c r="X12" s="62">
        <v>8.351900000000001E-2</v>
      </c>
    </row>
    <row r="13" spans="1:24" ht="15.75" x14ac:dyDescent="0.25">
      <c r="B13" s="64"/>
      <c r="C13" s="188" t="s">
        <v>244</v>
      </c>
      <c r="D13" s="196" t="s">
        <v>119</v>
      </c>
      <c r="E13" s="197">
        <v>5.0696999999999999E-2</v>
      </c>
      <c r="F13" s="29"/>
      <c r="G13" s="29"/>
      <c r="H13" s="29"/>
      <c r="I13" s="29"/>
      <c r="J13" s="29"/>
      <c r="K13" s="29"/>
      <c r="L13" s="29"/>
      <c r="M13" s="29"/>
      <c r="N13" s="29"/>
      <c r="O13" s="29"/>
      <c r="P13" s="29"/>
      <c r="Q13" s="29"/>
      <c r="R13" s="29"/>
      <c r="S13" s="29"/>
      <c r="T13" s="29"/>
      <c r="U13" s="25"/>
      <c r="W13" s="61" t="s">
        <v>12</v>
      </c>
      <c r="X13" s="62">
        <v>7.5292999999999999E-2</v>
      </c>
    </row>
    <row r="14" spans="1:24" ht="15.75" x14ac:dyDescent="0.25">
      <c r="B14" s="64"/>
      <c r="C14" s="188" t="s">
        <v>143</v>
      </c>
      <c r="D14" s="196" t="s">
        <v>112</v>
      </c>
      <c r="E14" s="197">
        <v>4.7870999999999997E-2</v>
      </c>
      <c r="F14" s="29"/>
      <c r="G14" s="29"/>
      <c r="H14" s="29"/>
      <c r="I14" s="29"/>
      <c r="J14" s="29"/>
      <c r="K14" s="29"/>
      <c r="L14" s="29"/>
      <c r="M14" s="29"/>
      <c r="N14" s="29"/>
      <c r="O14" s="29"/>
      <c r="P14" s="29"/>
      <c r="Q14" s="29"/>
      <c r="R14" s="29"/>
      <c r="S14" s="29"/>
      <c r="T14" s="29"/>
      <c r="U14" s="25"/>
      <c r="W14" s="61" t="s">
        <v>26</v>
      </c>
      <c r="X14" s="62">
        <v>6.5157999999999994E-2</v>
      </c>
    </row>
    <row r="15" spans="1:24" ht="15.75" x14ac:dyDescent="0.25">
      <c r="B15" s="64"/>
      <c r="C15" s="188" t="s">
        <v>149</v>
      </c>
      <c r="D15" s="196" t="s">
        <v>87</v>
      </c>
      <c r="E15" s="197">
        <v>4.2665000000000002E-2</v>
      </c>
      <c r="F15" s="29"/>
      <c r="G15" s="29"/>
      <c r="H15" s="29"/>
      <c r="I15" s="29"/>
      <c r="J15" s="29"/>
      <c r="K15" s="29"/>
      <c r="L15" s="29"/>
      <c r="M15" s="29"/>
      <c r="N15" s="29"/>
      <c r="O15" s="29"/>
      <c r="P15" s="29"/>
      <c r="Q15" s="29"/>
      <c r="R15" s="29"/>
      <c r="S15" s="29"/>
      <c r="T15" s="29"/>
      <c r="U15" s="25"/>
      <c r="W15" s="61" t="s">
        <v>110</v>
      </c>
      <c r="X15" s="62">
        <v>5.2883999999999994E-2</v>
      </c>
    </row>
    <row r="16" spans="1:24" ht="15.75" x14ac:dyDescent="0.25">
      <c r="B16" s="64"/>
      <c r="C16" s="188" t="s">
        <v>69</v>
      </c>
      <c r="D16" s="196" t="s">
        <v>4</v>
      </c>
      <c r="E16" s="197">
        <v>4.2455E-2</v>
      </c>
      <c r="F16" s="29"/>
      <c r="G16" s="29"/>
      <c r="H16" s="29"/>
      <c r="I16" s="29"/>
      <c r="J16" s="29"/>
      <c r="K16" s="29"/>
      <c r="L16" s="29"/>
      <c r="M16" s="29"/>
      <c r="N16" s="29"/>
      <c r="O16" s="29"/>
      <c r="P16" s="29"/>
      <c r="Q16" s="29"/>
      <c r="R16" s="29"/>
      <c r="S16" s="29"/>
      <c r="T16" s="29"/>
      <c r="U16" s="25"/>
      <c r="W16" s="61" t="s">
        <v>131</v>
      </c>
      <c r="X16" s="62">
        <v>4.1880000000000001E-2</v>
      </c>
    </row>
    <row r="17" spans="2:24" ht="15.75" x14ac:dyDescent="0.25">
      <c r="B17" s="64"/>
      <c r="C17" s="188" t="s">
        <v>80</v>
      </c>
      <c r="D17" s="196" t="s">
        <v>112</v>
      </c>
      <c r="E17" s="197">
        <v>4.2157E-2</v>
      </c>
      <c r="F17" s="29"/>
      <c r="G17" s="29"/>
      <c r="H17" s="29"/>
      <c r="I17" s="29"/>
      <c r="J17" s="29"/>
      <c r="K17" s="29"/>
      <c r="L17" s="29"/>
      <c r="M17" s="29"/>
      <c r="N17" s="29"/>
      <c r="O17" s="29"/>
      <c r="P17" s="29"/>
      <c r="Q17" s="29"/>
      <c r="R17" s="29"/>
      <c r="S17" s="29"/>
      <c r="T17" s="29"/>
      <c r="U17" s="25"/>
      <c r="W17" s="61" t="s">
        <v>130</v>
      </c>
      <c r="X17" s="62">
        <v>4.1836999999999999E-2</v>
      </c>
    </row>
    <row r="18" spans="2:24" ht="15.75" x14ac:dyDescent="0.25">
      <c r="B18" s="64"/>
      <c r="C18" s="188" t="s">
        <v>203</v>
      </c>
      <c r="D18" s="196" t="s">
        <v>131</v>
      </c>
      <c r="E18" s="197">
        <v>4.1880000000000001E-2</v>
      </c>
      <c r="F18" s="29"/>
      <c r="G18" s="29"/>
      <c r="H18" s="29"/>
      <c r="I18" s="29"/>
      <c r="J18" s="29"/>
      <c r="K18" s="29"/>
      <c r="L18" s="29"/>
      <c r="M18" s="29"/>
      <c r="N18" s="29"/>
      <c r="O18" s="29"/>
      <c r="P18" s="29"/>
      <c r="Q18" s="29"/>
      <c r="R18" s="29"/>
      <c r="S18" s="29"/>
      <c r="T18" s="29"/>
      <c r="U18" s="25"/>
      <c r="W18" s="61" t="s">
        <v>16</v>
      </c>
      <c r="X18" s="62">
        <v>3.7652999999999999E-2</v>
      </c>
    </row>
    <row r="19" spans="2:24" ht="15.75" x14ac:dyDescent="0.25">
      <c r="B19" s="64"/>
      <c r="C19" s="188" t="s">
        <v>256</v>
      </c>
      <c r="D19" s="196" t="s">
        <v>130</v>
      </c>
      <c r="E19" s="197">
        <v>4.1836999999999999E-2</v>
      </c>
      <c r="F19" s="29"/>
      <c r="G19" s="29"/>
      <c r="H19" s="29"/>
      <c r="I19" s="29"/>
      <c r="J19" s="29"/>
      <c r="K19" s="29"/>
      <c r="L19" s="29"/>
      <c r="M19" s="29"/>
      <c r="N19" s="29"/>
      <c r="O19" s="29"/>
      <c r="P19" s="29"/>
      <c r="Q19" s="29"/>
      <c r="R19" s="29"/>
      <c r="S19" s="29"/>
      <c r="T19" s="29"/>
      <c r="U19" s="25"/>
      <c r="W19" s="61" t="s">
        <v>111</v>
      </c>
      <c r="X19" s="62">
        <v>3.5771999999999998E-2</v>
      </c>
    </row>
    <row r="20" spans="2:24" ht="15.75" x14ac:dyDescent="0.25">
      <c r="B20" s="64"/>
      <c r="C20" s="188" t="s">
        <v>76</v>
      </c>
      <c r="D20" s="196" t="s">
        <v>4</v>
      </c>
      <c r="E20" s="197">
        <v>4.1064000000000003E-2</v>
      </c>
      <c r="F20" s="29"/>
      <c r="G20" s="29"/>
      <c r="H20" s="29"/>
      <c r="I20" s="29"/>
      <c r="J20" s="29"/>
      <c r="K20" s="29"/>
      <c r="L20" s="29"/>
      <c r="M20" s="29"/>
      <c r="N20" s="29"/>
      <c r="O20" s="29"/>
      <c r="P20" s="29"/>
      <c r="Q20" s="29"/>
      <c r="R20" s="29"/>
      <c r="S20" s="29"/>
      <c r="T20" s="29"/>
      <c r="U20" s="25"/>
      <c r="W20" s="61" t="s">
        <v>24</v>
      </c>
      <c r="X20" s="62">
        <v>3.4174000000000003E-2</v>
      </c>
    </row>
    <row r="21" spans="2:24" ht="15.75" x14ac:dyDescent="0.25">
      <c r="B21" s="64"/>
      <c r="C21" s="188" t="s">
        <v>241</v>
      </c>
      <c r="D21" s="196" t="s">
        <v>16</v>
      </c>
      <c r="E21" s="197">
        <v>3.7652999999999999E-2</v>
      </c>
      <c r="F21" s="29"/>
      <c r="G21" s="29"/>
      <c r="H21" s="29"/>
      <c r="I21" s="29"/>
      <c r="J21" s="29"/>
      <c r="K21" s="29"/>
      <c r="L21" s="29"/>
      <c r="M21" s="29"/>
      <c r="N21" s="29"/>
      <c r="O21" s="29"/>
      <c r="P21" s="29"/>
      <c r="Q21" s="29"/>
      <c r="R21" s="29"/>
      <c r="S21" s="29"/>
      <c r="T21" s="29"/>
      <c r="U21" s="25"/>
      <c r="W21" s="61" t="s">
        <v>133</v>
      </c>
      <c r="X21" s="62">
        <v>3.2532999999999999E-2</v>
      </c>
    </row>
    <row r="22" spans="2:24" ht="15.75" x14ac:dyDescent="0.25">
      <c r="B22" s="64"/>
      <c r="C22" s="188" t="s">
        <v>273</v>
      </c>
      <c r="D22" s="196" t="s">
        <v>10</v>
      </c>
      <c r="E22" s="197">
        <v>3.6544E-2</v>
      </c>
      <c r="F22" s="29"/>
      <c r="G22" s="29"/>
      <c r="H22" s="29"/>
      <c r="I22" s="29"/>
      <c r="J22" s="29"/>
      <c r="K22" s="29"/>
      <c r="L22" s="29"/>
      <c r="M22" s="29"/>
      <c r="N22" s="29"/>
      <c r="O22" s="29"/>
      <c r="P22" s="29"/>
      <c r="Q22" s="29"/>
      <c r="R22" s="29"/>
      <c r="S22" s="29"/>
      <c r="T22" s="29"/>
      <c r="U22" s="25"/>
      <c r="W22" s="61" t="s">
        <v>3</v>
      </c>
      <c r="X22" s="62">
        <v>1.7926000000000001E-2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107</v>
      </c>
      <c r="X23" s="62">
        <v>1.3344999999999999E-2</v>
      </c>
    </row>
    <row r="24" spans="2:24" ht="15.75" x14ac:dyDescent="0.25">
      <c r="B24" s="64"/>
      <c r="C24" s="73" t="s">
        <v>55</v>
      </c>
      <c r="D24" s="74"/>
      <c r="E24" s="75">
        <f>SUM(E8:E22)</f>
        <v>0.70353900000000014</v>
      </c>
      <c r="F24" s="29"/>
      <c r="G24" s="29"/>
      <c r="H24" s="29"/>
      <c r="I24" s="29"/>
      <c r="J24" s="29"/>
      <c r="K24" s="29"/>
      <c r="L24" s="29"/>
      <c r="M24" s="29"/>
      <c r="N24" s="29"/>
      <c r="O24" s="29"/>
      <c r="P24" s="29"/>
      <c r="Q24" s="29"/>
      <c r="R24" s="29"/>
      <c r="S24" s="29"/>
      <c r="T24" s="29"/>
      <c r="U24" s="25"/>
      <c r="W24" s="61" t="s">
        <v>146</v>
      </c>
      <c r="X24" s="62">
        <v>1.2283000000000001E-2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61" t="s">
        <v>113</v>
      </c>
      <c r="X25" s="62">
        <v>8.7299999999999999E-3</v>
      </c>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152</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401</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30" x14ac:dyDescent="0.25">
      <c r="B8" s="64"/>
      <c r="C8" s="193" t="s">
        <v>265</v>
      </c>
      <c r="D8" s="194" t="s">
        <v>111</v>
      </c>
      <c r="E8" s="195">
        <v>4.0940999999999998E-2</v>
      </c>
      <c r="F8" s="29"/>
      <c r="G8" s="29"/>
      <c r="H8" s="29"/>
      <c r="I8" s="29"/>
      <c r="J8" s="29"/>
      <c r="K8" s="29"/>
      <c r="L8" s="29"/>
      <c r="M8" s="29"/>
      <c r="N8" s="29"/>
      <c r="O8" s="29"/>
      <c r="P8" s="29"/>
      <c r="Q8" s="29"/>
      <c r="R8" s="29"/>
      <c r="S8" s="29"/>
      <c r="T8" s="29"/>
      <c r="U8" s="25"/>
      <c r="W8" s="180" t="s">
        <v>107</v>
      </c>
      <c r="X8" s="179">
        <v>0.14253100000000002</v>
      </c>
    </row>
    <row r="9" spans="1:24" ht="15.75" x14ac:dyDescent="0.25">
      <c r="B9" s="64"/>
      <c r="C9" s="188" t="s">
        <v>32</v>
      </c>
      <c r="D9" s="196" t="s">
        <v>3</v>
      </c>
      <c r="E9" s="197">
        <v>3.9851999999999999E-2</v>
      </c>
      <c r="F9" s="29"/>
      <c r="G9" s="29"/>
      <c r="H9" s="29"/>
      <c r="I9" s="29"/>
      <c r="J9" s="29"/>
      <c r="K9" s="29"/>
      <c r="L9" s="29"/>
      <c r="M9" s="29"/>
      <c r="N9" s="29"/>
      <c r="O9" s="29"/>
      <c r="P9" s="29"/>
      <c r="Q9" s="29"/>
      <c r="R9" s="29"/>
      <c r="S9" s="29"/>
      <c r="T9" s="29"/>
      <c r="U9" s="25"/>
      <c r="W9" s="180" t="s">
        <v>111</v>
      </c>
      <c r="X9" s="179">
        <v>0.13905500000000001</v>
      </c>
    </row>
    <row r="10" spans="1:24" ht="15.75" x14ac:dyDescent="0.25">
      <c r="B10" s="64"/>
      <c r="C10" s="188" t="s">
        <v>30</v>
      </c>
      <c r="D10" s="196" t="s">
        <v>117</v>
      </c>
      <c r="E10" s="197">
        <v>3.9310999999999999E-2</v>
      </c>
      <c r="F10" s="29"/>
      <c r="G10" s="29"/>
      <c r="H10" s="29"/>
      <c r="I10" s="29"/>
      <c r="J10" s="29"/>
      <c r="K10" s="29"/>
      <c r="L10" s="29"/>
      <c r="M10" s="29"/>
      <c r="N10" s="29"/>
      <c r="O10" s="29"/>
      <c r="P10" s="29"/>
      <c r="Q10" s="29"/>
      <c r="R10" s="29"/>
      <c r="S10" s="29"/>
      <c r="T10" s="29"/>
      <c r="U10" s="25"/>
      <c r="W10" s="180" t="s">
        <v>3</v>
      </c>
      <c r="X10" s="179">
        <v>0.10960799999999998</v>
      </c>
    </row>
    <row r="11" spans="1:24" ht="15.75" x14ac:dyDescent="0.25">
      <c r="B11" s="64"/>
      <c r="C11" s="188" t="s">
        <v>33</v>
      </c>
      <c r="D11" s="196" t="s">
        <v>107</v>
      </c>
      <c r="E11" s="197">
        <v>3.9052999999999997E-2</v>
      </c>
      <c r="F11" s="29"/>
      <c r="G11" s="29"/>
      <c r="H11" s="29"/>
      <c r="I11" s="29"/>
      <c r="J11" s="29"/>
      <c r="K11" s="29"/>
      <c r="L11" s="29"/>
      <c r="M11" s="29"/>
      <c r="N11" s="29"/>
      <c r="O11" s="29"/>
      <c r="P11" s="29"/>
      <c r="Q11" s="29"/>
      <c r="R11" s="29"/>
      <c r="S11" s="29"/>
      <c r="T11" s="29"/>
      <c r="U11" s="25"/>
      <c r="W11" s="180" t="s">
        <v>112</v>
      </c>
      <c r="X11" s="179">
        <v>8.1420999999999993E-2</v>
      </c>
    </row>
    <row r="12" spans="1:24" ht="15.75" x14ac:dyDescent="0.25">
      <c r="B12" s="64"/>
      <c r="C12" s="188" t="s">
        <v>37</v>
      </c>
      <c r="D12" s="196" t="s">
        <v>117</v>
      </c>
      <c r="E12" s="197">
        <v>3.8651999999999999E-2</v>
      </c>
      <c r="F12" s="29"/>
      <c r="G12" s="29"/>
      <c r="H12" s="29"/>
      <c r="I12" s="29"/>
      <c r="J12" s="29"/>
      <c r="K12" s="29"/>
      <c r="L12" s="29"/>
      <c r="M12" s="29"/>
      <c r="N12" s="29"/>
      <c r="O12" s="29"/>
      <c r="P12" s="29"/>
      <c r="Q12" s="29"/>
      <c r="R12" s="29"/>
      <c r="S12" s="29"/>
      <c r="T12" s="29"/>
      <c r="U12" s="25"/>
      <c r="W12" s="180" t="s">
        <v>117</v>
      </c>
      <c r="X12" s="179">
        <v>7.7963000000000005E-2</v>
      </c>
    </row>
    <row r="13" spans="1:24" ht="15.75" x14ac:dyDescent="0.25">
      <c r="B13" s="64"/>
      <c r="C13" s="188" t="s">
        <v>29</v>
      </c>
      <c r="D13" s="196" t="s">
        <v>3</v>
      </c>
      <c r="E13" s="197">
        <v>3.6956999999999997E-2</v>
      </c>
      <c r="F13" s="29"/>
      <c r="G13" s="29"/>
      <c r="H13" s="29"/>
      <c r="I13" s="29"/>
      <c r="J13" s="29"/>
      <c r="K13" s="29"/>
      <c r="L13" s="29"/>
      <c r="M13" s="29"/>
      <c r="N13" s="29"/>
      <c r="O13" s="29"/>
      <c r="P13" s="29"/>
      <c r="Q13" s="29"/>
      <c r="R13" s="29"/>
      <c r="S13" s="29"/>
      <c r="T13" s="29"/>
      <c r="U13" s="25"/>
      <c r="W13" s="180" t="s">
        <v>108</v>
      </c>
      <c r="X13" s="179">
        <v>6.9068000000000004E-2</v>
      </c>
    </row>
    <row r="14" spans="1:24" ht="15.75" x14ac:dyDescent="0.25">
      <c r="B14" s="64"/>
      <c r="C14" s="188" t="s">
        <v>193</v>
      </c>
      <c r="D14" s="196" t="s">
        <v>107</v>
      </c>
      <c r="E14" s="197">
        <v>3.6658000000000003E-2</v>
      </c>
      <c r="F14" s="29"/>
      <c r="G14" s="29"/>
      <c r="H14" s="29"/>
      <c r="I14" s="29"/>
      <c r="J14" s="29"/>
      <c r="K14" s="29"/>
      <c r="L14" s="29"/>
      <c r="M14" s="29"/>
      <c r="N14" s="29"/>
      <c r="O14" s="29"/>
      <c r="P14" s="29"/>
      <c r="Q14" s="29"/>
      <c r="R14" s="29"/>
      <c r="S14" s="29"/>
      <c r="T14" s="29"/>
      <c r="U14" s="25"/>
      <c r="W14" s="180" t="s">
        <v>16</v>
      </c>
      <c r="X14" s="179">
        <v>6.4581E-2</v>
      </c>
    </row>
    <row r="15" spans="1:24" ht="15.75" x14ac:dyDescent="0.25">
      <c r="B15" s="64"/>
      <c r="C15" s="188" t="s">
        <v>28</v>
      </c>
      <c r="D15" s="196" t="s">
        <v>107</v>
      </c>
      <c r="E15" s="197">
        <v>3.5539000000000001E-2</v>
      </c>
      <c r="F15" s="29"/>
      <c r="G15" s="29"/>
      <c r="H15" s="29"/>
      <c r="I15" s="29"/>
      <c r="J15" s="29"/>
      <c r="K15" s="29"/>
      <c r="L15" s="29"/>
      <c r="M15" s="29"/>
      <c r="N15" s="29"/>
      <c r="O15" s="29"/>
      <c r="P15" s="29"/>
      <c r="Q15" s="29"/>
      <c r="R15" s="29"/>
      <c r="S15" s="29"/>
      <c r="T15" s="29"/>
      <c r="U15" s="25"/>
      <c r="W15" s="180" t="s">
        <v>77</v>
      </c>
      <c r="X15" s="179">
        <v>3.4465999999999997E-2</v>
      </c>
    </row>
    <row r="16" spans="1:24" ht="30" x14ac:dyDescent="0.25">
      <c r="B16" s="64"/>
      <c r="C16" s="188" t="s">
        <v>142</v>
      </c>
      <c r="D16" s="196" t="s">
        <v>111</v>
      </c>
      <c r="E16" s="197">
        <v>3.5238999999999999E-2</v>
      </c>
      <c r="F16" s="29"/>
      <c r="G16" s="29"/>
      <c r="H16" s="29"/>
      <c r="I16" s="29"/>
      <c r="J16" s="29"/>
      <c r="K16" s="29"/>
      <c r="L16" s="29"/>
      <c r="M16" s="29"/>
      <c r="N16" s="29"/>
      <c r="O16" s="29"/>
      <c r="P16" s="29"/>
      <c r="Q16" s="29"/>
      <c r="R16" s="29"/>
      <c r="S16" s="29"/>
      <c r="T16" s="29"/>
      <c r="U16" s="25"/>
      <c r="W16" s="180" t="s">
        <v>12</v>
      </c>
      <c r="X16" s="179">
        <v>3.4306999999999997E-2</v>
      </c>
    </row>
    <row r="17" spans="2:24" ht="15.75" x14ac:dyDescent="0.25">
      <c r="B17" s="64"/>
      <c r="C17" s="188" t="s">
        <v>88</v>
      </c>
      <c r="D17" s="196" t="s">
        <v>108</v>
      </c>
      <c r="E17" s="197">
        <v>3.4909000000000003E-2</v>
      </c>
      <c r="F17" s="29"/>
      <c r="G17" s="29"/>
      <c r="H17" s="29"/>
      <c r="I17" s="29"/>
      <c r="J17" s="29"/>
      <c r="K17" s="29"/>
      <c r="L17" s="29"/>
      <c r="M17" s="29"/>
      <c r="N17" s="29"/>
      <c r="O17" s="29"/>
      <c r="P17" s="29"/>
      <c r="Q17" s="29"/>
      <c r="R17" s="29"/>
      <c r="S17" s="29"/>
      <c r="T17" s="29"/>
      <c r="U17" s="25"/>
      <c r="W17" s="180" t="s">
        <v>6</v>
      </c>
      <c r="X17" s="179">
        <v>3.2890000000000003E-2</v>
      </c>
    </row>
    <row r="18" spans="2:24" ht="15.75" x14ac:dyDescent="0.25">
      <c r="B18" s="64"/>
      <c r="C18" s="188" t="s">
        <v>316</v>
      </c>
      <c r="D18" s="196" t="s">
        <v>77</v>
      </c>
      <c r="E18" s="197">
        <v>3.4465999999999997E-2</v>
      </c>
      <c r="F18" s="29"/>
      <c r="G18" s="29"/>
      <c r="H18" s="29"/>
      <c r="I18" s="29"/>
      <c r="J18" s="29"/>
      <c r="K18" s="29"/>
      <c r="L18" s="29"/>
      <c r="M18" s="29"/>
      <c r="N18" s="29"/>
      <c r="O18" s="29"/>
      <c r="P18" s="29"/>
      <c r="Q18" s="29"/>
      <c r="R18" s="29"/>
      <c r="S18" s="29"/>
      <c r="T18" s="29"/>
      <c r="U18" s="25"/>
      <c r="W18" s="180" t="s">
        <v>83</v>
      </c>
      <c r="X18" s="179">
        <v>3.2856000000000003E-2</v>
      </c>
    </row>
    <row r="19" spans="2:24" ht="15.75" x14ac:dyDescent="0.25">
      <c r="B19" s="64"/>
      <c r="C19" s="188" t="s">
        <v>70</v>
      </c>
      <c r="D19" s="196" t="s">
        <v>12</v>
      </c>
      <c r="E19" s="197">
        <v>3.4306999999999997E-2</v>
      </c>
      <c r="F19" s="29"/>
      <c r="G19" s="29"/>
      <c r="H19" s="29"/>
      <c r="I19" s="29"/>
      <c r="J19" s="29"/>
      <c r="K19" s="29"/>
      <c r="L19" s="29"/>
      <c r="M19" s="29"/>
      <c r="N19" s="29"/>
      <c r="O19" s="29"/>
      <c r="P19" s="29"/>
      <c r="Q19" s="29"/>
      <c r="R19" s="29"/>
      <c r="S19" s="29"/>
      <c r="T19" s="29"/>
      <c r="U19" s="25"/>
      <c r="W19" s="180" t="s">
        <v>121</v>
      </c>
      <c r="X19" s="179">
        <v>3.2830999999999999E-2</v>
      </c>
    </row>
    <row r="20" spans="2:24" ht="15.75" x14ac:dyDescent="0.25">
      <c r="B20" s="64"/>
      <c r="C20" s="188" t="s">
        <v>308</v>
      </c>
      <c r="D20" s="196" t="s">
        <v>108</v>
      </c>
      <c r="E20" s="197">
        <v>3.4159000000000002E-2</v>
      </c>
      <c r="F20" s="29"/>
      <c r="G20" s="29"/>
      <c r="H20" s="29"/>
      <c r="I20" s="29"/>
      <c r="J20" s="29"/>
      <c r="K20" s="29"/>
      <c r="L20" s="29"/>
      <c r="M20" s="29"/>
      <c r="N20" s="29"/>
      <c r="O20" s="29"/>
      <c r="P20" s="29"/>
      <c r="Q20" s="29"/>
      <c r="R20" s="29"/>
      <c r="S20" s="29"/>
      <c r="T20" s="29"/>
      <c r="U20" s="25"/>
      <c r="W20" s="180" t="s">
        <v>110</v>
      </c>
      <c r="X20" s="179">
        <v>3.1440999999999997E-2</v>
      </c>
    </row>
    <row r="21" spans="2:24" ht="15.75" x14ac:dyDescent="0.25">
      <c r="B21" s="64"/>
      <c r="C21" s="188" t="s">
        <v>246</v>
      </c>
      <c r="D21" s="196" t="s">
        <v>16</v>
      </c>
      <c r="E21" s="197">
        <v>3.3579999999999999E-2</v>
      </c>
      <c r="F21" s="29"/>
      <c r="G21" s="29"/>
      <c r="H21" s="29"/>
      <c r="I21" s="29"/>
      <c r="J21" s="29"/>
      <c r="K21" s="29"/>
      <c r="L21" s="29"/>
      <c r="M21" s="29"/>
      <c r="N21" s="29"/>
      <c r="O21" s="29"/>
      <c r="P21" s="29"/>
      <c r="Q21" s="29"/>
      <c r="R21" s="29"/>
      <c r="S21" s="29"/>
      <c r="T21" s="29"/>
      <c r="U21" s="25"/>
      <c r="W21" s="180" t="s">
        <v>116</v>
      </c>
      <c r="X21" s="179">
        <v>3.1289999999999998E-2</v>
      </c>
    </row>
    <row r="22" spans="2:24" ht="15.75" x14ac:dyDescent="0.25">
      <c r="B22" s="64"/>
      <c r="C22" s="188" t="s">
        <v>31</v>
      </c>
      <c r="D22" s="196" t="s">
        <v>6</v>
      </c>
      <c r="E22" s="197">
        <v>3.2890000000000003E-2</v>
      </c>
      <c r="F22" s="29"/>
      <c r="G22" s="29"/>
      <c r="H22" s="29"/>
      <c r="I22" s="29"/>
      <c r="J22" s="29"/>
      <c r="K22" s="29"/>
      <c r="L22" s="29"/>
      <c r="M22" s="29"/>
      <c r="N22" s="29"/>
      <c r="O22" s="29"/>
      <c r="P22" s="29"/>
      <c r="Q22" s="29"/>
      <c r="R22" s="29"/>
      <c r="S22" s="29"/>
      <c r="T22" s="29"/>
      <c r="U22" s="25"/>
      <c r="W22" s="61" t="s">
        <v>4</v>
      </c>
      <c r="X22" s="62">
        <v>3.0373000000000001E-2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23</v>
      </c>
      <c r="X23" s="62">
        <v>2.8811E-2</v>
      </c>
    </row>
    <row r="24" spans="2:24" ht="15.75" x14ac:dyDescent="0.25">
      <c r="B24" s="64"/>
      <c r="C24" s="73" t="s">
        <v>55</v>
      </c>
      <c r="D24" s="74"/>
      <c r="E24" s="75">
        <f>SUM(E8:E22)</f>
        <v>0.54651299999999992</v>
      </c>
      <c r="F24" s="29"/>
      <c r="G24" s="29"/>
      <c r="H24" s="29"/>
      <c r="I24" s="29"/>
      <c r="J24" s="29"/>
      <c r="K24" s="29"/>
      <c r="L24" s="29"/>
      <c r="M24" s="29"/>
      <c r="N24" s="29"/>
      <c r="O24" s="29"/>
      <c r="P24" s="29"/>
      <c r="Q24" s="29"/>
      <c r="R24" s="29"/>
      <c r="S24" s="29"/>
      <c r="T24" s="29"/>
      <c r="U24" s="25"/>
      <c r="W24" s="61" t="s">
        <v>86</v>
      </c>
      <c r="X24" s="62">
        <v>2.6553E-2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195</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402</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28</v>
      </c>
      <c r="D8" s="194" t="s">
        <v>107</v>
      </c>
      <c r="E8" s="195">
        <v>0.26189099999999998</v>
      </c>
      <c r="F8" s="29"/>
      <c r="G8" s="29"/>
      <c r="H8" s="29"/>
      <c r="I8" s="29"/>
      <c r="J8" s="29"/>
      <c r="K8" s="29"/>
      <c r="L8" s="29"/>
      <c r="M8" s="29"/>
      <c r="N8" s="29"/>
      <c r="O8" s="29"/>
      <c r="P8" s="29"/>
      <c r="Q8" s="29"/>
      <c r="R8" s="29"/>
      <c r="S8" s="29"/>
      <c r="T8" s="29"/>
      <c r="U8" s="25"/>
      <c r="W8" t="s">
        <v>107</v>
      </c>
      <c r="X8" s="179">
        <v>0.98590699999999987</v>
      </c>
    </row>
    <row r="9" spans="1:24" ht="15.75" x14ac:dyDescent="0.25">
      <c r="B9" s="64"/>
      <c r="C9" s="188" t="s">
        <v>33</v>
      </c>
      <c r="D9" s="196" t="s">
        <v>107</v>
      </c>
      <c r="E9" s="197">
        <v>0.23435500000000001</v>
      </c>
      <c r="F9" s="29"/>
      <c r="G9" s="29"/>
      <c r="H9" s="29"/>
      <c r="I9" s="29"/>
      <c r="J9" s="29"/>
      <c r="K9" s="29"/>
      <c r="L9" s="29"/>
      <c r="M9" s="29"/>
      <c r="N9" s="29"/>
      <c r="O9" s="29"/>
      <c r="P9" s="29"/>
      <c r="Q9" s="29"/>
      <c r="R9" s="29"/>
      <c r="S9" s="29"/>
      <c r="T9" s="29"/>
      <c r="U9" s="25"/>
      <c r="W9" t="s">
        <v>114</v>
      </c>
      <c r="X9" s="179">
        <v>1.3893000000000001E-2</v>
      </c>
    </row>
    <row r="10" spans="1:24" ht="15.75" x14ac:dyDescent="0.25">
      <c r="B10" s="64"/>
      <c r="C10" s="188" t="s">
        <v>193</v>
      </c>
      <c r="D10" s="196" t="s">
        <v>107</v>
      </c>
      <c r="E10" s="197">
        <v>0.10478800000000001</v>
      </c>
      <c r="F10" s="29"/>
      <c r="G10" s="29"/>
      <c r="H10" s="29"/>
      <c r="I10" s="29"/>
      <c r="J10" s="29"/>
      <c r="K10" s="29"/>
      <c r="L10" s="29"/>
      <c r="M10" s="29"/>
      <c r="N10" s="29"/>
      <c r="O10" s="29"/>
      <c r="P10" s="29"/>
      <c r="Q10" s="29"/>
      <c r="R10" s="29"/>
      <c r="S10" s="29"/>
      <c r="T10" s="29"/>
      <c r="U10" s="25"/>
      <c r="W10" s="180"/>
      <c r="X10" s="179"/>
    </row>
    <row r="11" spans="1:24" ht="15.75" x14ac:dyDescent="0.25">
      <c r="B11" s="64"/>
      <c r="C11" s="188" t="s">
        <v>192</v>
      </c>
      <c r="D11" s="196" t="s">
        <v>107</v>
      </c>
      <c r="E11" s="197">
        <v>0.104223</v>
      </c>
      <c r="F11" s="29"/>
      <c r="G11" s="29"/>
      <c r="H11" s="29"/>
      <c r="I11" s="29"/>
      <c r="J11" s="29"/>
      <c r="K11" s="29"/>
      <c r="L11" s="29"/>
      <c r="M11" s="29"/>
      <c r="N11" s="29"/>
      <c r="O11" s="29"/>
      <c r="P11" s="29"/>
      <c r="Q11" s="29"/>
      <c r="R11" s="29"/>
      <c r="S11" s="29"/>
      <c r="T11" s="29"/>
      <c r="U11" s="25"/>
      <c r="W11" s="180"/>
      <c r="X11" s="179"/>
    </row>
    <row r="12" spans="1:24" ht="15.75" x14ac:dyDescent="0.25">
      <c r="B12" s="64"/>
      <c r="C12" s="188" t="s">
        <v>191</v>
      </c>
      <c r="D12" s="196" t="s">
        <v>107</v>
      </c>
      <c r="E12" s="197">
        <v>7.8363000000000002E-2</v>
      </c>
      <c r="F12" s="29"/>
      <c r="G12" s="29"/>
      <c r="H12" s="29"/>
      <c r="I12" s="29"/>
      <c r="J12" s="29"/>
      <c r="K12" s="29"/>
      <c r="L12" s="29"/>
      <c r="M12" s="29"/>
      <c r="N12" s="29"/>
      <c r="O12" s="29"/>
      <c r="P12" s="29"/>
      <c r="Q12" s="29"/>
      <c r="R12" s="29"/>
      <c r="S12" s="29"/>
      <c r="T12" s="29"/>
      <c r="U12" s="25"/>
      <c r="W12" s="180"/>
      <c r="X12" s="179"/>
    </row>
    <row r="13" spans="1:24" ht="15.75" x14ac:dyDescent="0.25">
      <c r="B13" s="64"/>
      <c r="C13" s="188" t="s">
        <v>189</v>
      </c>
      <c r="D13" s="196" t="s">
        <v>107</v>
      </c>
      <c r="E13" s="197">
        <v>6.0129000000000002E-2</v>
      </c>
      <c r="F13" s="29"/>
      <c r="G13" s="29"/>
      <c r="H13" s="29"/>
      <c r="I13" s="29"/>
      <c r="J13" s="29"/>
      <c r="K13" s="29"/>
      <c r="L13" s="29"/>
      <c r="M13" s="29"/>
      <c r="N13" s="29"/>
      <c r="O13" s="29"/>
      <c r="P13" s="29"/>
      <c r="Q13" s="29"/>
      <c r="R13" s="29"/>
      <c r="S13" s="29"/>
      <c r="T13" s="29"/>
      <c r="U13" s="25"/>
      <c r="W13" s="180"/>
      <c r="X13" s="179"/>
    </row>
    <row r="14" spans="1:24" ht="15.75" x14ac:dyDescent="0.25">
      <c r="B14" s="64"/>
      <c r="C14" s="188" t="s">
        <v>194</v>
      </c>
      <c r="D14" s="196" t="s">
        <v>107</v>
      </c>
      <c r="E14" s="197">
        <v>5.5280000000000003E-2</v>
      </c>
      <c r="F14" s="29"/>
      <c r="G14" s="29"/>
      <c r="H14" s="29"/>
      <c r="I14" s="29"/>
      <c r="J14" s="29"/>
      <c r="K14" s="29"/>
      <c r="L14" s="29"/>
      <c r="M14" s="29"/>
      <c r="N14" s="29"/>
      <c r="O14" s="29"/>
      <c r="P14" s="29"/>
      <c r="Q14" s="29"/>
      <c r="R14" s="29"/>
      <c r="S14" s="29"/>
      <c r="T14" s="29"/>
      <c r="U14" s="25"/>
      <c r="W14" s="180"/>
      <c r="X14" s="179"/>
    </row>
    <row r="15" spans="1:24" ht="15.75" x14ac:dyDescent="0.25">
      <c r="B15" s="64"/>
      <c r="C15" s="188" t="s">
        <v>148</v>
      </c>
      <c r="D15" s="196" t="s">
        <v>107</v>
      </c>
      <c r="E15" s="197">
        <v>5.4709000000000001E-2</v>
      </c>
      <c r="F15" s="29"/>
      <c r="G15" s="29"/>
      <c r="H15" s="29"/>
      <c r="I15" s="29"/>
      <c r="J15" s="29"/>
      <c r="K15" s="29"/>
      <c r="L15" s="29"/>
      <c r="M15" s="29"/>
      <c r="N15" s="29"/>
      <c r="O15" s="29"/>
      <c r="P15" s="29"/>
      <c r="Q15" s="29"/>
      <c r="R15" s="29"/>
      <c r="S15" s="29"/>
      <c r="T15" s="29"/>
      <c r="U15" s="25"/>
      <c r="W15" s="180"/>
      <c r="X15" s="179"/>
    </row>
    <row r="16" spans="1:24" ht="15.75" x14ac:dyDescent="0.25">
      <c r="B16" s="64"/>
      <c r="C16" s="188" t="s">
        <v>286</v>
      </c>
      <c r="D16" s="196" t="s">
        <v>107</v>
      </c>
      <c r="E16" s="197">
        <v>3.2169000000000003E-2</v>
      </c>
      <c r="F16" s="29"/>
      <c r="G16" s="29"/>
      <c r="H16" s="29"/>
      <c r="I16" s="29"/>
      <c r="J16" s="29"/>
      <c r="K16" s="29"/>
      <c r="L16" s="29"/>
      <c r="M16" s="29"/>
      <c r="N16" s="29"/>
      <c r="O16" s="29"/>
      <c r="P16" s="29"/>
      <c r="Q16" s="29"/>
      <c r="R16" s="29"/>
      <c r="S16" s="29"/>
      <c r="T16" s="29"/>
      <c r="U16" s="25"/>
      <c r="W16" s="180"/>
      <c r="X16" s="179"/>
    </row>
    <row r="17" spans="2:24" ht="15.75" x14ac:dyDescent="0.25">
      <c r="B17" s="64"/>
      <c r="C17" s="188" t="s">
        <v>188</v>
      </c>
      <c r="D17" s="196" t="s">
        <v>114</v>
      </c>
      <c r="E17" s="197">
        <v>1.3893000000000001E-2</v>
      </c>
      <c r="F17" s="29"/>
      <c r="G17" s="29"/>
      <c r="H17" s="29"/>
      <c r="I17" s="29"/>
      <c r="J17" s="29"/>
      <c r="K17" s="29"/>
      <c r="L17" s="29"/>
      <c r="M17" s="29"/>
      <c r="N17" s="29"/>
      <c r="O17" s="29"/>
      <c r="P17" s="29"/>
      <c r="Q17" s="29"/>
      <c r="R17" s="29"/>
      <c r="S17" s="29"/>
      <c r="T17" s="29"/>
      <c r="U17" s="25"/>
      <c r="W17" s="180"/>
      <c r="X17" s="179"/>
    </row>
    <row r="18" spans="2:24" ht="15.75" x14ac:dyDescent="0.25">
      <c r="B18" s="64"/>
      <c r="C18" s="188"/>
      <c r="D18" s="196"/>
      <c r="E18" s="197"/>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0.99979999999999991</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207</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403</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317</v>
      </c>
      <c r="D8" s="194" t="s">
        <v>137</v>
      </c>
      <c r="E8" s="195">
        <v>3.6207000000000003E-2</v>
      </c>
      <c r="F8" s="29"/>
      <c r="G8" s="29"/>
      <c r="H8" s="29"/>
      <c r="I8" s="29"/>
      <c r="J8" s="29"/>
      <c r="K8" s="29"/>
      <c r="L8" s="29"/>
      <c r="M8" s="29"/>
      <c r="N8" s="29"/>
      <c r="O8" s="29"/>
      <c r="P8" s="29"/>
      <c r="Q8" s="29"/>
      <c r="R8" s="29"/>
      <c r="S8" s="29"/>
      <c r="T8" s="29"/>
      <c r="U8" s="25"/>
      <c r="W8" s="180" t="s">
        <v>119</v>
      </c>
      <c r="X8" s="179">
        <v>0.11628000000000001</v>
      </c>
    </row>
    <row r="9" spans="1:24" ht="15.75" x14ac:dyDescent="0.25">
      <c r="B9" s="64"/>
      <c r="C9" s="188" t="s">
        <v>251</v>
      </c>
      <c r="D9" s="196" t="s">
        <v>23</v>
      </c>
      <c r="E9" s="197">
        <v>3.4969E-2</v>
      </c>
      <c r="F9" s="29"/>
      <c r="G9" s="29"/>
      <c r="H9" s="29"/>
      <c r="I9" s="29"/>
      <c r="J9" s="29"/>
      <c r="K9" s="29"/>
      <c r="L9" s="29"/>
      <c r="M9" s="29"/>
      <c r="N9" s="29"/>
      <c r="O9" s="29"/>
      <c r="P9" s="29"/>
      <c r="Q9" s="29"/>
      <c r="R9" s="29"/>
      <c r="S9" s="29"/>
      <c r="T9" s="29"/>
      <c r="U9" s="25"/>
      <c r="W9" s="180" t="s">
        <v>85</v>
      </c>
      <c r="X9" s="179">
        <v>8.9983999999999995E-2</v>
      </c>
    </row>
    <row r="10" spans="1:24" ht="15.75" x14ac:dyDescent="0.25">
      <c r="B10" s="64"/>
      <c r="C10" s="188" t="s">
        <v>138</v>
      </c>
      <c r="D10" s="196" t="s">
        <v>26</v>
      </c>
      <c r="E10" s="197">
        <v>3.4466999999999998E-2</v>
      </c>
      <c r="F10" s="29"/>
      <c r="G10" s="29"/>
      <c r="H10" s="29"/>
      <c r="I10" s="29"/>
      <c r="J10" s="29"/>
      <c r="K10" s="29"/>
      <c r="L10" s="29"/>
      <c r="M10" s="29"/>
      <c r="N10" s="29"/>
      <c r="O10" s="29"/>
      <c r="P10" s="29"/>
      <c r="Q10" s="29"/>
      <c r="R10" s="29"/>
      <c r="S10" s="29"/>
      <c r="T10" s="29"/>
      <c r="U10" s="25"/>
      <c r="W10" s="180" t="s">
        <v>4</v>
      </c>
      <c r="X10" s="179">
        <v>8.7008000000000002E-2</v>
      </c>
    </row>
    <row r="11" spans="1:24" ht="15.75" x14ac:dyDescent="0.25">
      <c r="B11" s="64"/>
      <c r="C11" s="188" t="s">
        <v>295</v>
      </c>
      <c r="D11" s="196" t="s">
        <v>13</v>
      </c>
      <c r="E11" s="197">
        <v>3.3902000000000002E-2</v>
      </c>
      <c r="F11" s="29"/>
      <c r="G11" s="29"/>
      <c r="H11" s="29"/>
      <c r="I11" s="29"/>
      <c r="J11" s="29"/>
      <c r="K11" s="29"/>
      <c r="L11" s="29"/>
      <c r="M11" s="29"/>
      <c r="N11" s="29"/>
      <c r="O11" s="29"/>
      <c r="P11" s="29"/>
      <c r="Q11" s="29"/>
      <c r="R11" s="29"/>
      <c r="S11" s="29"/>
      <c r="T11" s="29"/>
      <c r="U11" s="25"/>
      <c r="W11" s="180" t="s">
        <v>111</v>
      </c>
      <c r="X11" s="179">
        <v>6.6806000000000004E-2</v>
      </c>
    </row>
    <row r="12" spans="1:24" ht="15.75" x14ac:dyDescent="0.25">
      <c r="B12" s="64"/>
      <c r="C12" s="188" t="s">
        <v>249</v>
      </c>
      <c r="D12" s="196" t="s">
        <v>85</v>
      </c>
      <c r="E12" s="197">
        <v>3.3849999999999998E-2</v>
      </c>
      <c r="F12" s="29"/>
      <c r="G12" s="29"/>
      <c r="H12" s="29"/>
      <c r="I12" s="29"/>
      <c r="J12" s="29"/>
      <c r="K12" s="29"/>
      <c r="L12" s="29"/>
      <c r="M12" s="29"/>
      <c r="N12" s="29"/>
      <c r="O12" s="29"/>
      <c r="P12" s="29"/>
      <c r="Q12" s="29"/>
      <c r="R12" s="29"/>
      <c r="S12" s="29"/>
      <c r="T12" s="29"/>
      <c r="U12" s="25"/>
      <c r="W12" s="180" t="s">
        <v>23</v>
      </c>
      <c r="X12" s="179">
        <v>6.2448000000000004E-2</v>
      </c>
    </row>
    <row r="13" spans="1:24" ht="15.75" x14ac:dyDescent="0.25">
      <c r="B13" s="64"/>
      <c r="C13" s="188" t="s">
        <v>283</v>
      </c>
      <c r="D13" s="196" t="s">
        <v>119</v>
      </c>
      <c r="E13" s="197">
        <v>3.1902E-2</v>
      </c>
      <c r="F13" s="29"/>
      <c r="G13" s="29"/>
      <c r="H13" s="29"/>
      <c r="I13" s="29"/>
      <c r="J13" s="29"/>
      <c r="K13" s="29"/>
      <c r="L13" s="29"/>
      <c r="M13" s="29"/>
      <c r="N13" s="29"/>
      <c r="O13" s="29"/>
      <c r="P13" s="29"/>
      <c r="Q13" s="29"/>
      <c r="R13" s="29"/>
      <c r="S13" s="29"/>
      <c r="T13" s="29"/>
      <c r="U13" s="25"/>
      <c r="W13" s="180" t="s">
        <v>26</v>
      </c>
      <c r="X13" s="179">
        <v>6.0961000000000001E-2</v>
      </c>
    </row>
    <row r="14" spans="1:24" ht="15.75" x14ac:dyDescent="0.25">
      <c r="B14" s="64"/>
      <c r="C14" s="188" t="s">
        <v>274</v>
      </c>
      <c r="D14" s="196" t="s">
        <v>4</v>
      </c>
      <c r="E14" s="197">
        <v>3.0182E-2</v>
      </c>
      <c r="F14" s="29"/>
      <c r="G14" s="29"/>
      <c r="H14" s="29"/>
      <c r="I14" s="29"/>
      <c r="J14" s="29"/>
      <c r="K14" s="29"/>
      <c r="L14" s="29"/>
      <c r="M14" s="29"/>
      <c r="N14" s="29"/>
      <c r="O14" s="29"/>
      <c r="P14" s="29"/>
      <c r="Q14" s="29"/>
      <c r="R14" s="29"/>
      <c r="S14" s="29"/>
      <c r="T14" s="29"/>
      <c r="U14" s="25"/>
      <c r="W14" s="180" t="s">
        <v>16</v>
      </c>
      <c r="X14" s="179">
        <v>5.2660999999999999E-2</v>
      </c>
    </row>
    <row r="15" spans="1:24" ht="15.75" x14ac:dyDescent="0.25">
      <c r="B15" s="64"/>
      <c r="C15" s="188" t="s">
        <v>215</v>
      </c>
      <c r="D15" s="196" t="s">
        <v>85</v>
      </c>
      <c r="E15" s="197">
        <v>3.0074E-2</v>
      </c>
      <c r="F15" s="29"/>
      <c r="G15" s="29"/>
      <c r="H15" s="29"/>
      <c r="I15" s="29"/>
      <c r="J15" s="29"/>
      <c r="K15" s="29"/>
      <c r="L15" s="29"/>
      <c r="M15" s="29"/>
      <c r="N15" s="29"/>
      <c r="O15" s="29"/>
      <c r="P15" s="29"/>
      <c r="Q15" s="29"/>
      <c r="R15" s="29"/>
      <c r="S15" s="29"/>
      <c r="T15" s="29"/>
      <c r="U15" s="25"/>
      <c r="W15" s="180" t="s">
        <v>87</v>
      </c>
      <c r="X15" s="179">
        <v>5.2612000000000006E-2</v>
      </c>
    </row>
    <row r="16" spans="1:24" ht="15.75" x14ac:dyDescent="0.25">
      <c r="B16" s="64"/>
      <c r="C16" s="188" t="s">
        <v>208</v>
      </c>
      <c r="D16" s="196" t="s">
        <v>4</v>
      </c>
      <c r="E16" s="197">
        <v>2.8476999999999999E-2</v>
      </c>
      <c r="F16" s="29"/>
      <c r="G16" s="29"/>
      <c r="H16" s="29"/>
      <c r="I16" s="29"/>
      <c r="J16" s="29"/>
      <c r="K16" s="29"/>
      <c r="L16" s="29"/>
      <c r="M16" s="29"/>
      <c r="N16" s="29"/>
      <c r="O16" s="29"/>
      <c r="P16" s="29"/>
      <c r="Q16" s="29"/>
      <c r="R16" s="29"/>
      <c r="S16" s="29"/>
      <c r="T16" s="29"/>
      <c r="U16" s="25"/>
      <c r="W16" s="180" t="s">
        <v>113</v>
      </c>
      <c r="X16" s="179">
        <v>5.0534999999999997E-2</v>
      </c>
    </row>
    <row r="17" spans="2:24" ht="15.75" x14ac:dyDescent="0.25">
      <c r="B17" s="64"/>
      <c r="C17" s="188" t="s">
        <v>318</v>
      </c>
      <c r="D17" s="196" t="s">
        <v>107</v>
      </c>
      <c r="E17" s="197">
        <v>2.7857E-2</v>
      </c>
      <c r="F17" s="29"/>
      <c r="G17" s="29"/>
      <c r="H17" s="29"/>
      <c r="I17" s="29"/>
      <c r="J17" s="29"/>
      <c r="K17" s="29"/>
      <c r="L17" s="29"/>
      <c r="M17" s="29"/>
      <c r="N17" s="29"/>
      <c r="O17" s="29"/>
      <c r="P17" s="29"/>
      <c r="Q17" s="29"/>
      <c r="R17" s="29"/>
      <c r="S17" s="29"/>
      <c r="T17" s="29"/>
      <c r="U17" s="25"/>
      <c r="W17" s="180" t="s">
        <v>10</v>
      </c>
      <c r="X17" s="179">
        <v>4.4511999999999996E-2</v>
      </c>
    </row>
    <row r="18" spans="2:24" ht="15.75" x14ac:dyDescent="0.25">
      <c r="B18" s="64"/>
      <c r="C18" s="188" t="s">
        <v>287</v>
      </c>
      <c r="D18" s="196" t="s">
        <v>23</v>
      </c>
      <c r="E18" s="197">
        <v>2.7479E-2</v>
      </c>
      <c r="F18" s="29"/>
      <c r="G18" s="29"/>
      <c r="H18" s="29"/>
      <c r="I18" s="29"/>
      <c r="J18" s="29"/>
      <c r="K18" s="29"/>
      <c r="L18" s="29"/>
      <c r="M18" s="29"/>
      <c r="N18" s="29"/>
      <c r="O18" s="29"/>
      <c r="P18" s="29"/>
      <c r="Q18" s="29"/>
      <c r="R18" s="29"/>
      <c r="S18" s="29"/>
      <c r="T18" s="29"/>
      <c r="U18" s="25"/>
      <c r="W18" s="180" t="s">
        <v>137</v>
      </c>
      <c r="X18" s="179">
        <v>3.6207000000000003E-2</v>
      </c>
    </row>
    <row r="19" spans="2:24" ht="15.75" x14ac:dyDescent="0.25">
      <c r="B19" s="64"/>
      <c r="C19" s="188" t="s">
        <v>241</v>
      </c>
      <c r="D19" s="196" t="s">
        <v>16</v>
      </c>
      <c r="E19" s="197">
        <v>2.6634000000000001E-2</v>
      </c>
      <c r="F19" s="29"/>
      <c r="G19" s="29"/>
      <c r="H19" s="29"/>
      <c r="I19" s="29"/>
      <c r="J19" s="29"/>
      <c r="K19" s="29"/>
      <c r="L19" s="29"/>
      <c r="M19" s="29"/>
      <c r="N19" s="29"/>
      <c r="O19" s="29"/>
      <c r="P19" s="29"/>
      <c r="Q19" s="29"/>
      <c r="R19" s="29"/>
      <c r="S19" s="29"/>
      <c r="T19" s="29"/>
      <c r="U19" s="25"/>
      <c r="W19" s="180" t="s">
        <v>112</v>
      </c>
      <c r="X19" s="179">
        <v>3.4241999999999995E-2</v>
      </c>
    </row>
    <row r="20" spans="2:24" ht="15.75" x14ac:dyDescent="0.25">
      <c r="B20" s="64"/>
      <c r="C20" s="188" t="s">
        <v>225</v>
      </c>
      <c r="D20" s="196" t="s">
        <v>26</v>
      </c>
      <c r="E20" s="197">
        <v>2.6494E-2</v>
      </c>
      <c r="F20" s="29"/>
      <c r="G20" s="29"/>
      <c r="H20" s="29"/>
      <c r="I20" s="29"/>
      <c r="J20" s="29"/>
      <c r="K20" s="29"/>
      <c r="L20" s="29"/>
      <c r="M20" s="29"/>
      <c r="N20" s="29"/>
      <c r="O20" s="29"/>
      <c r="P20" s="29"/>
      <c r="Q20" s="29"/>
      <c r="R20" s="29"/>
      <c r="S20" s="29"/>
      <c r="T20" s="29"/>
      <c r="U20" s="25"/>
      <c r="W20" s="180" t="s">
        <v>13</v>
      </c>
      <c r="X20" s="179">
        <v>3.3902000000000002E-2</v>
      </c>
    </row>
    <row r="21" spans="2:24" ht="15.75" x14ac:dyDescent="0.25">
      <c r="B21" s="64"/>
      <c r="C21" s="188" t="s">
        <v>220</v>
      </c>
      <c r="D21" s="196" t="s">
        <v>85</v>
      </c>
      <c r="E21" s="197">
        <v>2.606E-2</v>
      </c>
      <c r="F21" s="29"/>
      <c r="G21" s="29"/>
      <c r="H21" s="29"/>
      <c r="I21" s="29"/>
      <c r="J21" s="29"/>
      <c r="K21" s="29"/>
      <c r="L21" s="29"/>
      <c r="M21" s="29"/>
      <c r="N21" s="29"/>
      <c r="O21" s="29"/>
      <c r="P21" s="29"/>
      <c r="Q21" s="29"/>
      <c r="R21" s="29"/>
      <c r="S21" s="29"/>
      <c r="T21" s="29"/>
      <c r="U21" s="25"/>
      <c r="W21" s="180" t="s">
        <v>107</v>
      </c>
      <c r="X21" s="179">
        <v>2.7857E-2</v>
      </c>
    </row>
    <row r="22" spans="2:24" ht="15.75" x14ac:dyDescent="0.25">
      <c r="B22" s="64"/>
      <c r="C22" s="188" t="s">
        <v>366</v>
      </c>
      <c r="D22" s="196" t="s">
        <v>16</v>
      </c>
      <c r="E22" s="197">
        <v>2.6027000000000002E-2</v>
      </c>
      <c r="F22" s="29"/>
      <c r="G22" s="29"/>
      <c r="H22" s="29"/>
      <c r="I22" s="29"/>
      <c r="J22" s="29"/>
      <c r="K22" s="29"/>
      <c r="L22" s="29"/>
      <c r="M22" s="29"/>
      <c r="N22" s="29"/>
      <c r="O22" s="29"/>
      <c r="P22" s="29"/>
      <c r="Q22" s="29"/>
      <c r="R22" s="29"/>
      <c r="S22" s="29"/>
      <c r="T22" s="29"/>
      <c r="U22" s="25"/>
      <c r="W22" s="180" t="s">
        <v>24</v>
      </c>
      <c r="X22" s="179">
        <v>2.7437E-2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184</v>
      </c>
      <c r="X23" s="179">
        <v>2.4625999999999999E-2</v>
      </c>
    </row>
    <row r="24" spans="2:24" ht="15.75" x14ac:dyDescent="0.25">
      <c r="B24" s="64"/>
      <c r="C24" s="73" t="s">
        <v>55</v>
      </c>
      <c r="D24" s="74"/>
      <c r="E24" s="75">
        <f>SUM(E8:E22)</f>
        <v>0.45458100000000001</v>
      </c>
      <c r="F24" s="29"/>
      <c r="G24" s="29"/>
      <c r="H24" s="29"/>
      <c r="I24" s="29"/>
      <c r="J24" s="29"/>
      <c r="K24" s="29"/>
      <c r="L24" s="29"/>
      <c r="M24" s="29"/>
      <c r="N24" s="29"/>
      <c r="O24" s="29"/>
      <c r="P24" s="29"/>
      <c r="Q24" s="29"/>
      <c r="R24" s="29"/>
      <c r="S24" s="29"/>
      <c r="T24" s="29"/>
      <c r="U24" s="25"/>
      <c r="W24" s="180" t="s">
        <v>125</v>
      </c>
      <c r="X24" s="179">
        <v>1.8994E-2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116</v>
      </c>
      <c r="X25" s="179">
        <v>1.8107999999999999E-2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110</v>
      </c>
      <c r="X26" s="179">
        <v>1.8095E-2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12</v>
      </c>
      <c r="X27" s="62">
        <v>1.8079000000000001E-2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6</v>
      </c>
      <c r="X28" s="62">
        <v>1.78E-2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121</v>
      </c>
      <c r="X29" s="62">
        <v>1.4758E-2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106</v>
      </c>
      <c r="X30" s="62">
        <v>1.1426E-2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v>
      </c>
      <c r="X31" s="62">
        <v>8.6569999999999998E-3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15</v>
      </c>
      <c r="X32" s="62">
        <v>5.9189999999999998E-3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217</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404</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215</v>
      </c>
      <c r="D8" s="194" t="s">
        <v>85</v>
      </c>
      <c r="E8" s="195">
        <v>1.6413000000000001E-2</v>
      </c>
      <c r="F8" s="29"/>
      <c r="G8" s="29"/>
      <c r="H8" s="29"/>
      <c r="I8" s="29"/>
      <c r="J8" s="29"/>
      <c r="K8" s="29"/>
      <c r="L8" s="29"/>
      <c r="M8" s="29"/>
      <c r="N8" s="29"/>
      <c r="O8" s="29"/>
      <c r="P8" s="29"/>
      <c r="Q8" s="29"/>
      <c r="R8" s="29"/>
      <c r="S8" s="29"/>
      <c r="T8" s="29"/>
      <c r="U8" s="25"/>
      <c r="W8" s="180" t="s">
        <v>85</v>
      </c>
      <c r="X8" s="239">
        <v>0.101398</v>
      </c>
    </row>
    <row r="9" spans="1:24" ht="15.75" x14ac:dyDescent="0.25">
      <c r="B9" s="64"/>
      <c r="C9" s="188" t="s">
        <v>220</v>
      </c>
      <c r="D9" s="196" t="s">
        <v>85</v>
      </c>
      <c r="E9" s="197">
        <v>1.5185000000000001E-2</v>
      </c>
      <c r="F9" s="29"/>
      <c r="G9" s="29"/>
      <c r="H9" s="29"/>
      <c r="I9" s="29"/>
      <c r="J9" s="29"/>
      <c r="K9" s="29"/>
      <c r="L9" s="29"/>
      <c r="M9" s="29"/>
      <c r="N9" s="29"/>
      <c r="O9" s="29"/>
      <c r="P9" s="29"/>
      <c r="Q9" s="29"/>
      <c r="R9" s="29"/>
      <c r="S9" s="29"/>
      <c r="T9" s="29"/>
      <c r="U9" s="25"/>
      <c r="W9" s="180" t="s">
        <v>111</v>
      </c>
      <c r="X9" s="239">
        <v>8.7625999999999996E-2</v>
      </c>
    </row>
    <row r="10" spans="1:24" ht="15.75" x14ac:dyDescent="0.25">
      <c r="B10" s="64"/>
      <c r="C10" s="188" t="s">
        <v>248</v>
      </c>
      <c r="D10" s="196" t="s">
        <v>16</v>
      </c>
      <c r="E10" s="197">
        <v>1.3712999999999999E-2</v>
      </c>
      <c r="F10" s="29"/>
      <c r="G10" s="29"/>
      <c r="H10" s="29"/>
      <c r="I10" s="29"/>
      <c r="J10" s="29"/>
      <c r="K10" s="29"/>
      <c r="L10" s="29"/>
      <c r="M10" s="29"/>
      <c r="N10" s="29"/>
      <c r="O10" s="29"/>
      <c r="P10" s="29"/>
      <c r="Q10" s="29"/>
      <c r="R10" s="29"/>
      <c r="S10" s="29"/>
      <c r="T10" s="29"/>
      <c r="U10" s="25"/>
      <c r="W10" s="180" t="s">
        <v>4</v>
      </c>
      <c r="X10" s="239">
        <v>6.7976999999999996E-2</v>
      </c>
    </row>
    <row r="11" spans="1:24" ht="15.75" x14ac:dyDescent="0.25">
      <c r="B11" s="64"/>
      <c r="C11" s="188" t="s">
        <v>228</v>
      </c>
      <c r="D11" s="196" t="s">
        <v>16</v>
      </c>
      <c r="E11" s="197">
        <v>1.2496999999999999E-2</v>
      </c>
      <c r="F11" s="29"/>
      <c r="G11" s="29"/>
      <c r="H11" s="29"/>
      <c r="I11" s="29"/>
      <c r="J11" s="29"/>
      <c r="K11" s="29"/>
      <c r="L11" s="29"/>
      <c r="M11" s="29"/>
      <c r="N11" s="29"/>
      <c r="O11" s="29"/>
      <c r="P11" s="29"/>
      <c r="Q11" s="29"/>
      <c r="R11" s="29"/>
      <c r="S11" s="29"/>
      <c r="T11" s="29"/>
      <c r="U11" s="25"/>
      <c r="W11" s="180" t="s">
        <v>16</v>
      </c>
      <c r="X11" s="239">
        <v>6.5910999999999997E-2</v>
      </c>
    </row>
    <row r="12" spans="1:24" ht="15.75" x14ac:dyDescent="0.25">
      <c r="B12" s="64"/>
      <c r="C12" s="188" t="s">
        <v>213</v>
      </c>
      <c r="D12" s="196" t="s">
        <v>85</v>
      </c>
      <c r="E12" s="197">
        <v>1.2252000000000001E-2</v>
      </c>
      <c r="F12" s="29"/>
      <c r="G12" s="29"/>
      <c r="H12" s="29"/>
      <c r="I12" s="29"/>
      <c r="J12" s="29"/>
      <c r="K12" s="29"/>
      <c r="L12" s="29"/>
      <c r="M12" s="29"/>
      <c r="N12" s="29"/>
      <c r="O12" s="29"/>
      <c r="P12" s="29"/>
      <c r="Q12" s="29"/>
      <c r="R12" s="29"/>
      <c r="S12" s="29"/>
      <c r="T12" s="29"/>
      <c r="U12" s="25"/>
      <c r="W12" s="180" t="s">
        <v>24</v>
      </c>
      <c r="X12" s="239">
        <v>6.1824999999999984E-2</v>
      </c>
    </row>
    <row r="13" spans="1:24" ht="30" x14ac:dyDescent="0.25">
      <c r="B13" s="64"/>
      <c r="C13" s="188" t="s">
        <v>247</v>
      </c>
      <c r="D13" s="196" t="s">
        <v>111</v>
      </c>
      <c r="E13" s="197">
        <v>1.1976000000000001E-2</v>
      </c>
      <c r="F13" s="29"/>
      <c r="G13" s="29"/>
      <c r="H13" s="29"/>
      <c r="I13" s="29"/>
      <c r="J13" s="29"/>
      <c r="K13" s="29"/>
      <c r="L13" s="29"/>
      <c r="M13" s="29"/>
      <c r="N13" s="29"/>
      <c r="O13" s="29"/>
      <c r="P13" s="29"/>
      <c r="Q13" s="29"/>
      <c r="R13" s="29"/>
      <c r="S13" s="29"/>
      <c r="T13" s="29"/>
      <c r="U13" s="25"/>
      <c r="W13" s="180" t="s">
        <v>116</v>
      </c>
      <c r="X13" s="239">
        <v>5.4373999999999992E-2</v>
      </c>
    </row>
    <row r="14" spans="1:24" ht="30" x14ac:dyDescent="0.25">
      <c r="B14" s="64"/>
      <c r="C14" s="188" t="s">
        <v>341</v>
      </c>
      <c r="D14" s="196" t="s">
        <v>111</v>
      </c>
      <c r="E14" s="197">
        <v>1.1609E-2</v>
      </c>
      <c r="F14" s="29"/>
      <c r="G14" s="29"/>
      <c r="H14" s="29"/>
      <c r="I14" s="29"/>
      <c r="J14" s="29"/>
      <c r="K14" s="29"/>
      <c r="L14" s="29"/>
      <c r="M14" s="29"/>
      <c r="N14" s="29"/>
      <c r="O14" s="29"/>
      <c r="P14" s="29"/>
      <c r="Q14" s="29"/>
      <c r="R14" s="29"/>
      <c r="S14" s="29"/>
      <c r="T14" s="29"/>
      <c r="U14" s="25"/>
      <c r="W14" s="180" t="s">
        <v>23</v>
      </c>
      <c r="X14" s="239">
        <v>4.7406999999999991E-2</v>
      </c>
    </row>
    <row r="15" spans="1:24" ht="15.75" x14ac:dyDescent="0.25">
      <c r="B15" s="64"/>
      <c r="C15" s="188" t="s">
        <v>367</v>
      </c>
      <c r="D15" s="196" t="s">
        <v>85</v>
      </c>
      <c r="E15" s="197">
        <v>1.1313E-2</v>
      </c>
      <c r="F15" s="29"/>
      <c r="G15" s="29"/>
      <c r="H15" s="29"/>
      <c r="I15" s="29"/>
      <c r="J15" s="29"/>
      <c r="K15" s="29"/>
      <c r="L15" s="29"/>
      <c r="M15" s="29"/>
      <c r="N15" s="29"/>
      <c r="O15" s="29"/>
      <c r="P15" s="29"/>
      <c r="Q15" s="29"/>
      <c r="R15" s="29"/>
      <c r="S15" s="29"/>
      <c r="T15" s="29"/>
      <c r="U15" s="25"/>
      <c r="W15" s="180" t="s">
        <v>110</v>
      </c>
      <c r="X15" s="239">
        <v>3.8101999999999997E-2</v>
      </c>
    </row>
    <row r="16" spans="1:24" ht="15.75" x14ac:dyDescent="0.25">
      <c r="B16" s="64"/>
      <c r="C16" s="188" t="s">
        <v>240</v>
      </c>
      <c r="D16" s="196" t="s">
        <v>15</v>
      </c>
      <c r="E16" s="197">
        <v>1.1289E-2</v>
      </c>
      <c r="F16" s="29"/>
      <c r="G16" s="29"/>
      <c r="H16" s="29"/>
      <c r="I16" s="29"/>
      <c r="J16" s="29"/>
      <c r="K16" s="29"/>
      <c r="L16" s="29"/>
      <c r="M16" s="29"/>
      <c r="N16" s="29"/>
      <c r="O16" s="29"/>
      <c r="P16" s="29"/>
      <c r="Q16" s="29"/>
      <c r="R16" s="29"/>
      <c r="S16" s="29"/>
      <c r="T16" s="29"/>
      <c r="U16" s="25"/>
      <c r="W16" s="180" t="s">
        <v>77</v>
      </c>
      <c r="X16" s="239">
        <v>3.4630000000000008E-2</v>
      </c>
    </row>
    <row r="17" spans="2:24" ht="15.75" x14ac:dyDescent="0.25">
      <c r="B17" s="64"/>
      <c r="C17" s="188" t="s">
        <v>319</v>
      </c>
      <c r="D17" s="196" t="s">
        <v>106</v>
      </c>
      <c r="E17" s="197">
        <v>9.9889999999999996E-3</v>
      </c>
      <c r="F17" s="29"/>
      <c r="G17" s="29"/>
      <c r="H17" s="29"/>
      <c r="I17" s="29"/>
      <c r="J17" s="29"/>
      <c r="K17" s="29"/>
      <c r="L17" s="29"/>
      <c r="M17" s="29"/>
      <c r="N17" s="29"/>
      <c r="O17" s="29"/>
      <c r="P17" s="29"/>
      <c r="Q17" s="29"/>
      <c r="R17" s="29"/>
      <c r="S17" s="29"/>
      <c r="T17" s="29"/>
      <c r="U17" s="25"/>
      <c r="W17" s="180" t="s">
        <v>107</v>
      </c>
      <c r="X17" s="239">
        <v>3.4140000000000004E-2</v>
      </c>
    </row>
    <row r="18" spans="2:24" ht="15.75" x14ac:dyDescent="0.25">
      <c r="B18" s="64"/>
      <c r="C18" s="188" t="s">
        <v>221</v>
      </c>
      <c r="D18" s="196" t="s">
        <v>3</v>
      </c>
      <c r="E18" s="197">
        <v>9.6629999999999997E-3</v>
      </c>
      <c r="F18" s="29"/>
      <c r="G18" s="29"/>
      <c r="H18" s="29"/>
      <c r="I18" s="29"/>
      <c r="J18" s="29"/>
      <c r="K18" s="29"/>
      <c r="L18" s="29"/>
      <c r="M18" s="29"/>
      <c r="N18" s="29"/>
      <c r="O18" s="29"/>
      <c r="P18" s="29"/>
      <c r="Q18" s="29"/>
      <c r="R18" s="29"/>
      <c r="S18" s="29"/>
      <c r="T18" s="29"/>
      <c r="U18" s="25"/>
      <c r="W18" s="180" t="s">
        <v>3</v>
      </c>
      <c r="X18" s="239">
        <v>3.3551000000000004E-2</v>
      </c>
    </row>
    <row r="19" spans="2:24" ht="15.75" x14ac:dyDescent="0.25">
      <c r="B19" s="64"/>
      <c r="C19" s="188" t="s">
        <v>368</v>
      </c>
      <c r="D19" s="196" t="s">
        <v>113</v>
      </c>
      <c r="E19" s="197">
        <v>8.9110000000000005E-3</v>
      </c>
      <c r="F19" s="29"/>
      <c r="G19" s="29"/>
      <c r="H19" s="29"/>
      <c r="I19" s="29"/>
      <c r="J19" s="29"/>
      <c r="K19" s="29"/>
      <c r="L19" s="29"/>
      <c r="M19" s="29"/>
      <c r="N19" s="29"/>
      <c r="O19" s="29"/>
      <c r="P19" s="29"/>
      <c r="Q19" s="29"/>
      <c r="R19" s="29"/>
      <c r="S19" s="29"/>
      <c r="T19" s="29"/>
      <c r="U19" s="25"/>
      <c r="W19" s="180" t="s">
        <v>137</v>
      </c>
      <c r="X19" s="239">
        <v>2.8591999999999996E-2</v>
      </c>
    </row>
    <row r="20" spans="2:24" ht="15.75" x14ac:dyDescent="0.25">
      <c r="B20" s="64"/>
      <c r="C20" s="188" t="s">
        <v>198</v>
      </c>
      <c r="D20" s="196" t="s">
        <v>119</v>
      </c>
      <c r="E20" s="197">
        <v>8.8830000000000003E-3</v>
      </c>
      <c r="F20" s="29"/>
      <c r="G20" s="29"/>
      <c r="H20" s="29"/>
      <c r="I20" s="29"/>
      <c r="J20" s="29"/>
      <c r="K20" s="29"/>
      <c r="L20" s="29"/>
      <c r="M20" s="29"/>
      <c r="N20" s="29"/>
      <c r="O20" s="29"/>
      <c r="P20" s="29"/>
      <c r="Q20" s="29"/>
      <c r="R20" s="29"/>
      <c r="S20" s="29"/>
      <c r="T20" s="29"/>
      <c r="U20" s="25"/>
      <c r="W20" s="180" t="s">
        <v>119</v>
      </c>
      <c r="X20" s="239">
        <v>2.8021999999999998E-2</v>
      </c>
    </row>
    <row r="21" spans="2:24" ht="15.75" x14ac:dyDescent="0.25">
      <c r="B21" s="64"/>
      <c r="C21" s="188" t="s">
        <v>297</v>
      </c>
      <c r="D21" s="196" t="s">
        <v>85</v>
      </c>
      <c r="E21" s="197">
        <v>8.7150000000000005E-3</v>
      </c>
      <c r="F21" s="29"/>
      <c r="G21" s="29"/>
      <c r="H21" s="29"/>
      <c r="I21" s="29"/>
      <c r="J21" s="29"/>
      <c r="K21" s="29"/>
      <c r="L21" s="29"/>
      <c r="M21" s="29"/>
      <c r="N21" s="29"/>
      <c r="O21" s="29"/>
      <c r="P21" s="29"/>
      <c r="Q21" s="29"/>
      <c r="R21" s="29"/>
      <c r="S21" s="29"/>
      <c r="T21" s="29"/>
      <c r="U21" s="25"/>
      <c r="W21" s="180" t="s">
        <v>113</v>
      </c>
      <c r="X21" s="239">
        <v>2.6005E-2</v>
      </c>
    </row>
    <row r="22" spans="2:24" ht="30" x14ac:dyDescent="0.25">
      <c r="B22" s="64"/>
      <c r="C22" s="188" t="s">
        <v>342</v>
      </c>
      <c r="D22" s="196" t="s">
        <v>111</v>
      </c>
      <c r="E22" s="197">
        <v>8.6239999999999997E-3</v>
      </c>
      <c r="F22" s="29"/>
      <c r="G22" s="29"/>
      <c r="H22" s="29"/>
      <c r="I22" s="29"/>
      <c r="J22" s="29"/>
      <c r="K22" s="29"/>
      <c r="L22" s="29"/>
      <c r="M22" s="29"/>
      <c r="N22" s="29"/>
      <c r="O22" s="29"/>
      <c r="P22" s="29"/>
      <c r="Q22" s="29"/>
      <c r="R22" s="29"/>
      <c r="S22" s="29"/>
      <c r="T22" s="29"/>
      <c r="U22" s="25"/>
      <c r="W22" s="180" t="s">
        <v>84</v>
      </c>
      <c r="X22" s="239">
        <v>2.5254000000000006E-2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126</v>
      </c>
      <c r="X23" s="239">
        <v>1.8945E-2</v>
      </c>
    </row>
    <row r="24" spans="2:24" ht="15.75" x14ac:dyDescent="0.25">
      <c r="B24" s="64"/>
      <c r="C24" s="73" t="s">
        <v>55</v>
      </c>
      <c r="D24" s="74"/>
      <c r="E24" s="75">
        <f>SUM(E8:E22)</f>
        <v>0.17103200000000002</v>
      </c>
      <c r="F24" s="29"/>
      <c r="G24" s="29"/>
      <c r="H24" s="29"/>
      <c r="I24" s="29"/>
      <c r="J24" s="29"/>
      <c r="K24" s="29"/>
      <c r="L24" s="29"/>
      <c r="M24" s="29"/>
      <c r="N24" s="29"/>
      <c r="O24" s="29"/>
      <c r="P24" s="29"/>
      <c r="Q24" s="29"/>
      <c r="R24" s="29"/>
      <c r="S24" s="29"/>
      <c r="T24" s="29"/>
      <c r="U24" s="25"/>
      <c r="W24" s="180" t="s">
        <v>95</v>
      </c>
      <c r="X24" s="239">
        <v>1.6586E-2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15</v>
      </c>
      <c r="X25" s="239">
        <v>1.5998999999999999E-2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118</v>
      </c>
      <c r="X26" s="239">
        <v>1.5989E-2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114</v>
      </c>
      <c r="X27" s="239">
        <v>1.5467E-2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83</v>
      </c>
      <c r="X28" s="239">
        <v>1.5273999999999999E-2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25</v>
      </c>
      <c r="X29" s="239">
        <v>1.4763E-2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124</v>
      </c>
      <c r="X30" s="239">
        <v>1.133E-2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115</v>
      </c>
      <c r="X31" s="239">
        <v>1.0879E-2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12</v>
      </c>
      <c r="X32" s="239">
        <v>1.0742E-2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26</v>
      </c>
      <c r="X33" s="239">
        <v>1.0711999999999999E-2</v>
      </c>
    </row>
    <row r="34" spans="2:24" x14ac:dyDescent="0.25">
      <c r="B34" s="64"/>
      <c r="C34" s="29"/>
      <c r="D34" s="29"/>
      <c r="E34" s="29"/>
      <c r="F34" s="29"/>
      <c r="G34" s="29"/>
      <c r="H34" s="29"/>
      <c r="I34" s="29"/>
      <c r="J34" s="29"/>
      <c r="K34" s="29"/>
      <c r="L34" s="29"/>
      <c r="M34" s="29"/>
      <c r="N34" s="29"/>
      <c r="O34" s="29"/>
      <c r="P34" s="29"/>
      <c r="Q34" s="29"/>
      <c r="R34" s="29"/>
      <c r="S34" s="29"/>
      <c r="T34" s="29"/>
      <c r="U34" s="25"/>
      <c r="W34" s="180" t="s">
        <v>10</v>
      </c>
      <c r="X34" s="239">
        <v>1.0281E-2</v>
      </c>
    </row>
    <row r="35" spans="2:24" x14ac:dyDescent="0.25">
      <c r="B35" s="64"/>
      <c r="C35" s="29"/>
      <c r="D35" s="29"/>
      <c r="E35" s="29"/>
      <c r="F35" s="29"/>
      <c r="G35" s="29"/>
      <c r="H35" s="29"/>
      <c r="I35" s="29"/>
      <c r="J35" s="29"/>
      <c r="K35" s="29"/>
      <c r="L35" s="29"/>
      <c r="M35" s="29"/>
      <c r="N35" s="29"/>
      <c r="O35" s="29"/>
      <c r="P35" s="29"/>
      <c r="Q35" s="29"/>
      <c r="R35" s="29"/>
      <c r="S35" s="29"/>
      <c r="T35" s="29"/>
      <c r="U35" s="25"/>
      <c r="W35" s="180" t="s">
        <v>106</v>
      </c>
      <c r="X35" s="239">
        <v>9.9889999999999996E-3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122</v>
      </c>
      <c r="X36" s="239">
        <v>8.1989999999999997E-3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125</v>
      </c>
      <c r="X37" s="239">
        <v>7.4840000000000002E-3</v>
      </c>
    </row>
    <row r="38" spans="2:24" ht="15.75" thickBot="1" x14ac:dyDescent="0.3">
      <c r="W38" s="180" t="s">
        <v>108</v>
      </c>
      <c r="X38" s="239">
        <v>7.254E-3</v>
      </c>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180" t="s">
        <v>127</v>
      </c>
      <c r="X39" s="239">
        <v>7.0159999999999997E-3</v>
      </c>
    </row>
    <row r="40" spans="2:24" x14ac:dyDescent="0.25">
      <c r="B40" s="272"/>
      <c r="C40" s="273"/>
      <c r="D40" s="273"/>
      <c r="E40" s="273"/>
      <c r="F40" s="273"/>
      <c r="G40" s="273"/>
      <c r="H40" s="273"/>
      <c r="I40" s="273"/>
      <c r="J40" s="273"/>
      <c r="K40" s="273"/>
      <c r="L40" s="273"/>
      <c r="M40" s="273"/>
      <c r="N40" s="273"/>
      <c r="O40" s="273"/>
      <c r="P40" s="273"/>
      <c r="Q40" s="273"/>
      <c r="R40" s="274"/>
      <c r="W40" s="180" t="s">
        <v>218</v>
      </c>
      <c r="X40" s="239">
        <v>6.6769999999999998E-3</v>
      </c>
    </row>
    <row r="41" spans="2:24" x14ac:dyDescent="0.25">
      <c r="B41" s="272"/>
      <c r="C41" s="273"/>
      <c r="D41" s="273"/>
      <c r="E41" s="273"/>
      <c r="F41" s="273"/>
      <c r="G41" s="273"/>
      <c r="H41" s="273"/>
      <c r="I41" s="273"/>
      <c r="J41" s="273"/>
      <c r="K41" s="273"/>
      <c r="L41" s="273"/>
      <c r="M41" s="273"/>
      <c r="N41" s="273"/>
      <c r="O41" s="273"/>
      <c r="P41" s="273"/>
      <c r="Q41" s="273"/>
      <c r="R41" s="274"/>
      <c r="W41" s="180" t="s">
        <v>6</v>
      </c>
      <c r="X41" s="239">
        <v>6.62E-3</v>
      </c>
    </row>
    <row r="42" spans="2:24" x14ac:dyDescent="0.25">
      <c r="B42" s="272"/>
      <c r="C42" s="273"/>
      <c r="D42" s="273"/>
      <c r="E42" s="273"/>
      <c r="F42" s="273"/>
      <c r="G42" s="273"/>
      <c r="H42" s="273"/>
      <c r="I42" s="273"/>
      <c r="J42" s="273"/>
      <c r="K42" s="273"/>
      <c r="L42" s="273"/>
      <c r="M42" s="273"/>
      <c r="N42" s="273"/>
      <c r="O42" s="273"/>
      <c r="P42" s="273"/>
      <c r="Q42" s="273"/>
      <c r="R42" s="274"/>
      <c r="W42" s="180" t="s">
        <v>87</v>
      </c>
      <c r="X42" s="239">
        <v>6.4120000000000002E-3</v>
      </c>
    </row>
    <row r="43" spans="2:24" x14ac:dyDescent="0.25">
      <c r="B43" s="272"/>
      <c r="C43" s="273"/>
      <c r="D43" s="273"/>
      <c r="E43" s="273"/>
      <c r="F43" s="273"/>
      <c r="G43" s="273"/>
      <c r="H43" s="273"/>
      <c r="I43" s="273"/>
      <c r="J43" s="273"/>
      <c r="K43" s="273"/>
      <c r="L43" s="273"/>
      <c r="M43" s="273"/>
      <c r="N43" s="273"/>
      <c r="O43" s="273"/>
      <c r="P43" s="273"/>
      <c r="Q43" s="273"/>
      <c r="R43" s="274"/>
      <c r="W43" s="180" t="s">
        <v>121</v>
      </c>
      <c r="X43" s="239">
        <v>5.7219999999999997E-3</v>
      </c>
    </row>
    <row r="44" spans="2:24" x14ac:dyDescent="0.25">
      <c r="B44" s="272"/>
      <c r="C44" s="273"/>
      <c r="D44" s="273"/>
      <c r="E44" s="273"/>
      <c r="F44" s="273"/>
      <c r="G44" s="273"/>
      <c r="H44" s="273"/>
      <c r="I44" s="273"/>
      <c r="J44" s="273"/>
      <c r="K44" s="273"/>
      <c r="L44" s="273"/>
      <c r="M44" s="273"/>
      <c r="N44" s="273"/>
      <c r="O44" s="273"/>
      <c r="P44" s="273"/>
      <c r="Q44" s="273"/>
      <c r="R44" s="274"/>
      <c r="W44" s="180" t="s">
        <v>219</v>
      </c>
      <c r="X44" s="239">
        <v>5.4999999999999997E-3</v>
      </c>
    </row>
    <row r="45" spans="2:24" ht="15.75" thickBot="1" x14ac:dyDescent="0.3">
      <c r="B45" s="275"/>
      <c r="C45" s="276"/>
      <c r="D45" s="276"/>
      <c r="E45" s="276"/>
      <c r="F45" s="276"/>
      <c r="G45" s="276"/>
      <c r="H45" s="276"/>
      <c r="I45" s="276"/>
      <c r="J45" s="276"/>
      <c r="K45" s="276"/>
      <c r="L45" s="276"/>
      <c r="M45" s="276"/>
      <c r="N45" s="276"/>
      <c r="O45" s="276"/>
      <c r="P45" s="276"/>
      <c r="Q45" s="276"/>
      <c r="R45" s="277"/>
      <c r="W45" s="180" t="s">
        <v>185</v>
      </c>
      <c r="X45" s="239">
        <v>5.3480000000000003E-3</v>
      </c>
    </row>
    <row r="46" spans="2:24" x14ac:dyDescent="0.25">
      <c r="W46" s="180" t="s">
        <v>123</v>
      </c>
      <c r="X46" s="239">
        <v>4.385E-3</v>
      </c>
    </row>
    <row r="47" spans="2:24" x14ac:dyDescent="0.25">
      <c r="W47" s="180" t="s">
        <v>128</v>
      </c>
      <c r="X47" s="239">
        <v>4.0140000000000002E-3</v>
      </c>
    </row>
    <row r="48" spans="2:24" x14ac:dyDescent="0.25">
      <c r="W48" s="180" t="s">
        <v>112</v>
      </c>
      <c r="X48" s="239">
        <v>3.395E-3</v>
      </c>
    </row>
    <row r="49" spans="23:24" x14ac:dyDescent="0.25">
      <c r="W49" s="180" t="s">
        <v>86</v>
      </c>
      <c r="X49" s="239">
        <v>3.215E-3</v>
      </c>
    </row>
    <row r="50" spans="23:24" x14ac:dyDescent="0.25">
      <c r="W50" s="180" t="s">
        <v>11</v>
      </c>
      <c r="X50" s="239">
        <v>2.7539999999999999E-3</v>
      </c>
    </row>
    <row r="51" spans="23:24" x14ac:dyDescent="0.25">
      <c r="W51" s="180" t="s">
        <v>130</v>
      </c>
      <c r="X51" s="239">
        <v>2.6459999999999999E-3</v>
      </c>
    </row>
    <row r="52" spans="23:24" x14ac:dyDescent="0.25">
      <c r="W52" s="180" t="s">
        <v>146</v>
      </c>
      <c r="X52" s="239">
        <v>1.485E-3</v>
      </c>
    </row>
    <row r="53" spans="23:24" x14ac:dyDescent="0.25">
      <c r="W53" s="180" t="s">
        <v>146</v>
      </c>
      <c r="X53" s="239">
        <v>1.603E-3</v>
      </c>
    </row>
    <row r="54" spans="23:24" x14ac:dyDescent="0.25">
      <c r="W54" s="180"/>
      <c r="X54" s="239"/>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280</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405</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7.0419999999999996E-2</v>
      </c>
      <c r="F8" s="29"/>
      <c r="G8" s="29"/>
      <c r="H8" s="29"/>
      <c r="I8" s="29"/>
      <c r="J8" s="29"/>
      <c r="K8" s="29"/>
      <c r="L8" s="29"/>
      <c r="M8" s="29"/>
      <c r="N8" s="29"/>
      <c r="O8" s="29"/>
      <c r="P8" s="29"/>
      <c r="Q8" s="29"/>
      <c r="R8" s="29"/>
      <c r="S8" s="29"/>
      <c r="T8" s="29"/>
      <c r="U8" s="25"/>
      <c r="W8" s="180" t="s">
        <v>3</v>
      </c>
      <c r="X8" s="239">
        <v>0.19130799999999992</v>
      </c>
    </row>
    <row r="9" spans="1:24" ht="15.75" x14ac:dyDescent="0.25">
      <c r="B9" s="64"/>
      <c r="C9" s="188" t="s">
        <v>32</v>
      </c>
      <c r="D9" s="196" t="s">
        <v>3</v>
      </c>
      <c r="E9" s="197">
        <v>4.7343000000000003E-2</v>
      </c>
      <c r="F9" s="29"/>
      <c r="G9" s="29"/>
      <c r="H9" s="29"/>
      <c r="I9" s="29"/>
      <c r="J9" s="29"/>
      <c r="K9" s="29"/>
      <c r="L9" s="29"/>
      <c r="M9" s="29"/>
      <c r="N9" s="29"/>
      <c r="O9" s="29"/>
      <c r="P9" s="29"/>
      <c r="Q9" s="29"/>
      <c r="R9" s="29"/>
      <c r="S9" s="29"/>
      <c r="T9" s="29"/>
      <c r="U9" s="25"/>
      <c r="W9" s="180" t="s">
        <v>107</v>
      </c>
      <c r="X9" s="239">
        <v>9.5340999999999981E-2</v>
      </c>
    </row>
    <row r="10" spans="1:24" ht="15.75" x14ac:dyDescent="0.25">
      <c r="B10" s="64"/>
      <c r="C10" s="188" t="s">
        <v>31</v>
      </c>
      <c r="D10" s="196" t="s">
        <v>6</v>
      </c>
      <c r="E10" s="197">
        <v>4.5298999999999999E-2</v>
      </c>
      <c r="F10" s="29"/>
      <c r="G10" s="29"/>
      <c r="H10" s="29"/>
      <c r="I10" s="29"/>
      <c r="J10" s="29"/>
      <c r="K10" s="29"/>
      <c r="L10" s="29"/>
      <c r="M10" s="29"/>
      <c r="N10" s="29"/>
      <c r="O10" s="29"/>
      <c r="P10" s="29"/>
      <c r="Q10" s="29"/>
      <c r="R10" s="29"/>
      <c r="S10" s="29"/>
      <c r="T10" s="29"/>
      <c r="U10" s="25"/>
      <c r="W10" s="180" t="s">
        <v>4</v>
      </c>
      <c r="X10" s="239">
        <v>5.5377000000000003E-2</v>
      </c>
    </row>
    <row r="11" spans="1:24" ht="15.75" x14ac:dyDescent="0.25">
      <c r="B11" s="64"/>
      <c r="C11" s="188" t="s">
        <v>28</v>
      </c>
      <c r="D11" s="196" t="s">
        <v>107</v>
      </c>
      <c r="E11" s="197">
        <v>3.456E-2</v>
      </c>
      <c r="F11" s="29"/>
      <c r="G11" s="29"/>
      <c r="H11" s="29"/>
      <c r="I11" s="29"/>
      <c r="J11" s="29"/>
      <c r="K11" s="29"/>
      <c r="L11" s="29"/>
      <c r="M11" s="29"/>
      <c r="N11" s="29"/>
      <c r="O11" s="29"/>
      <c r="P11" s="29"/>
      <c r="Q11" s="29"/>
      <c r="R11" s="29"/>
      <c r="S11" s="29"/>
      <c r="T11" s="29"/>
      <c r="U11" s="25"/>
      <c r="W11" s="180" t="s">
        <v>6</v>
      </c>
      <c r="X11" s="239">
        <v>5.3741999999999998E-2</v>
      </c>
    </row>
    <row r="12" spans="1:24" ht="15.75" x14ac:dyDescent="0.25">
      <c r="B12" s="64"/>
      <c r="C12" s="188" t="s">
        <v>30</v>
      </c>
      <c r="D12" s="196" t="s">
        <v>117</v>
      </c>
      <c r="E12" s="197">
        <v>2.2922999999999999E-2</v>
      </c>
      <c r="F12" s="29"/>
      <c r="G12" s="29"/>
      <c r="H12" s="29"/>
      <c r="I12" s="29"/>
      <c r="J12" s="29"/>
      <c r="K12" s="29"/>
      <c r="L12" s="29"/>
      <c r="M12" s="29"/>
      <c r="N12" s="29"/>
      <c r="O12" s="29"/>
      <c r="P12" s="29"/>
      <c r="Q12" s="29"/>
      <c r="R12" s="29"/>
      <c r="S12" s="29"/>
      <c r="T12" s="29"/>
      <c r="U12" s="25"/>
      <c r="W12" s="180" t="s">
        <v>111</v>
      </c>
      <c r="X12" s="239">
        <v>4.9645000000000002E-2</v>
      </c>
    </row>
    <row r="13" spans="1:24" ht="15.75" x14ac:dyDescent="0.25">
      <c r="B13" s="64"/>
      <c r="C13" s="188" t="s">
        <v>34</v>
      </c>
      <c r="D13" s="196" t="s">
        <v>23</v>
      </c>
      <c r="E13" s="197">
        <v>2.266E-2</v>
      </c>
      <c r="F13" s="29"/>
      <c r="G13" s="29"/>
      <c r="H13" s="29"/>
      <c r="I13" s="29"/>
      <c r="J13" s="29"/>
      <c r="K13" s="29"/>
      <c r="L13" s="29"/>
      <c r="M13" s="29"/>
      <c r="N13" s="29"/>
      <c r="O13" s="29"/>
      <c r="P13" s="29"/>
      <c r="Q13" s="29"/>
      <c r="R13" s="29"/>
      <c r="S13" s="29"/>
      <c r="T13" s="29"/>
      <c r="U13" s="25"/>
      <c r="W13" s="180" t="s">
        <v>112</v>
      </c>
      <c r="X13" s="239">
        <v>4.5155000000000001E-2</v>
      </c>
    </row>
    <row r="14" spans="1:24" ht="15.75" x14ac:dyDescent="0.25">
      <c r="B14" s="64"/>
      <c r="C14" s="188" t="s">
        <v>33</v>
      </c>
      <c r="D14" s="196" t="s">
        <v>107</v>
      </c>
      <c r="E14" s="197">
        <v>2.2561000000000001E-2</v>
      </c>
      <c r="F14" s="29"/>
      <c r="G14" s="29"/>
      <c r="H14" s="29"/>
      <c r="I14" s="29"/>
      <c r="J14" s="29"/>
      <c r="K14" s="29"/>
      <c r="L14" s="29"/>
      <c r="M14" s="29"/>
      <c r="N14" s="29"/>
      <c r="O14" s="29"/>
      <c r="P14" s="29"/>
      <c r="Q14" s="29"/>
      <c r="R14" s="29"/>
      <c r="S14" s="29"/>
      <c r="T14" s="29"/>
      <c r="U14" s="25"/>
      <c r="W14" s="180" t="s">
        <v>117</v>
      </c>
      <c r="X14" s="239">
        <v>3.4511E-2</v>
      </c>
    </row>
    <row r="15" spans="1:24" ht="15.75" x14ac:dyDescent="0.25">
      <c r="B15" s="64"/>
      <c r="C15" s="188" t="s">
        <v>70</v>
      </c>
      <c r="D15" s="196" t="s">
        <v>12</v>
      </c>
      <c r="E15" s="197">
        <v>2.2544999999999999E-2</v>
      </c>
      <c r="F15" s="29"/>
      <c r="G15" s="29"/>
      <c r="H15" s="29"/>
      <c r="I15" s="29"/>
      <c r="J15" s="29"/>
      <c r="K15" s="29"/>
      <c r="L15" s="29"/>
      <c r="M15" s="29"/>
      <c r="N15" s="29"/>
      <c r="O15" s="29"/>
      <c r="P15" s="29"/>
      <c r="Q15" s="29"/>
      <c r="R15" s="29"/>
      <c r="S15" s="29"/>
      <c r="T15" s="29"/>
      <c r="U15" s="25"/>
      <c r="W15" s="180" t="s">
        <v>10</v>
      </c>
      <c r="X15" s="239">
        <v>3.4112999999999997E-2</v>
      </c>
    </row>
    <row r="16" spans="1:24" ht="15.75" x14ac:dyDescent="0.25">
      <c r="B16" s="64"/>
      <c r="C16" s="188" t="s">
        <v>36</v>
      </c>
      <c r="D16" s="196" t="s">
        <v>3</v>
      </c>
      <c r="E16" s="197">
        <v>1.6740000000000001E-2</v>
      </c>
      <c r="F16" s="29"/>
      <c r="G16" s="29"/>
      <c r="H16" s="29"/>
      <c r="I16" s="29"/>
      <c r="J16" s="29"/>
      <c r="K16" s="29"/>
      <c r="L16" s="29"/>
      <c r="M16" s="29"/>
      <c r="N16" s="29"/>
      <c r="O16" s="29"/>
      <c r="P16" s="29"/>
      <c r="Q16" s="29"/>
      <c r="R16" s="29"/>
      <c r="S16" s="29"/>
      <c r="T16" s="29"/>
      <c r="U16" s="25"/>
      <c r="W16" s="180" t="s">
        <v>23</v>
      </c>
      <c r="X16" s="239">
        <v>3.1339999999999993E-2</v>
      </c>
    </row>
    <row r="17" spans="2:24" ht="15.75" x14ac:dyDescent="0.25">
      <c r="B17" s="64"/>
      <c r="C17" s="188" t="s">
        <v>79</v>
      </c>
      <c r="D17" s="196" t="s">
        <v>3</v>
      </c>
      <c r="E17" s="197">
        <v>1.6683E-2</v>
      </c>
      <c r="F17" s="29"/>
      <c r="G17" s="29"/>
      <c r="H17" s="29"/>
      <c r="I17" s="29"/>
      <c r="J17" s="29"/>
      <c r="K17" s="29"/>
      <c r="L17" s="29"/>
      <c r="M17" s="29"/>
      <c r="N17" s="29"/>
      <c r="O17" s="29"/>
      <c r="P17" s="29"/>
      <c r="Q17" s="29"/>
      <c r="R17" s="29"/>
      <c r="S17" s="29"/>
      <c r="T17" s="29"/>
      <c r="U17" s="25"/>
      <c r="W17" s="180" t="s">
        <v>16</v>
      </c>
      <c r="X17" s="239">
        <v>3.1259999999999996E-2</v>
      </c>
    </row>
    <row r="18" spans="2:24" ht="15.75" x14ac:dyDescent="0.25">
      <c r="B18" s="64"/>
      <c r="C18" s="188" t="s">
        <v>120</v>
      </c>
      <c r="D18" s="196" t="s">
        <v>112</v>
      </c>
      <c r="E18" s="197">
        <v>1.3657000000000001E-2</v>
      </c>
      <c r="F18" s="29"/>
      <c r="G18" s="29"/>
      <c r="H18" s="29"/>
      <c r="I18" s="29"/>
      <c r="J18" s="29"/>
      <c r="K18" s="29"/>
      <c r="L18" s="29"/>
      <c r="M18" s="29"/>
      <c r="N18" s="29"/>
      <c r="O18" s="29"/>
      <c r="P18" s="29"/>
      <c r="Q18" s="29"/>
      <c r="R18" s="29"/>
      <c r="S18" s="29"/>
      <c r="T18" s="29"/>
      <c r="U18" s="25"/>
      <c r="W18" s="180" t="s">
        <v>12</v>
      </c>
      <c r="X18" s="239">
        <v>2.8349000000000003E-2</v>
      </c>
    </row>
    <row r="19" spans="2:24" ht="15.75" x14ac:dyDescent="0.25">
      <c r="B19" s="64"/>
      <c r="C19" s="188" t="s">
        <v>35</v>
      </c>
      <c r="D19" s="196" t="s">
        <v>3</v>
      </c>
      <c r="E19" s="197">
        <v>1.3398999999999999E-2</v>
      </c>
      <c r="F19" s="29"/>
      <c r="G19" s="29"/>
      <c r="H19" s="29"/>
      <c r="I19" s="29"/>
      <c r="J19" s="29"/>
      <c r="K19" s="29"/>
      <c r="L19" s="29"/>
      <c r="M19" s="29"/>
      <c r="N19" s="29"/>
      <c r="O19" s="29"/>
      <c r="P19" s="29"/>
      <c r="Q19" s="29"/>
      <c r="R19" s="29"/>
      <c r="S19" s="29"/>
      <c r="T19" s="29"/>
      <c r="U19" s="25"/>
      <c r="W19" s="180" t="s">
        <v>26</v>
      </c>
      <c r="X19" s="239">
        <v>2.7140999999999998E-2</v>
      </c>
    </row>
    <row r="20" spans="2:24" ht="15.75" x14ac:dyDescent="0.25">
      <c r="B20" s="64"/>
      <c r="C20" s="188" t="s">
        <v>37</v>
      </c>
      <c r="D20" s="196" t="s">
        <v>117</v>
      </c>
      <c r="E20" s="197">
        <v>1.1487000000000001E-2</v>
      </c>
      <c r="F20" s="29"/>
      <c r="G20" s="29"/>
      <c r="H20" s="29"/>
      <c r="I20" s="29"/>
      <c r="J20" s="29"/>
      <c r="K20" s="29"/>
      <c r="L20" s="29"/>
      <c r="M20" s="29"/>
      <c r="N20" s="29"/>
      <c r="O20" s="29"/>
      <c r="P20" s="29"/>
      <c r="Q20" s="29"/>
      <c r="R20" s="29"/>
      <c r="S20" s="29"/>
      <c r="T20" s="29"/>
      <c r="U20" s="25"/>
      <c r="W20" s="180" t="s">
        <v>110</v>
      </c>
      <c r="X20" s="239">
        <v>2.3060999999999998E-2</v>
      </c>
    </row>
    <row r="21" spans="2:24" ht="15.75" x14ac:dyDescent="0.25">
      <c r="B21" s="64"/>
      <c r="C21" s="188" t="s">
        <v>193</v>
      </c>
      <c r="D21" s="196" t="s">
        <v>107</v>
      </c>
      <c r="E21" s="197">
        <v>1.0087E-2</v>
      </c>
      <c r="F21" s="29"/>
      <c r="G21" s="29"/>
      <c r="H21" s="29"/>
      <c r="I21" s="29"/>
      <c r="J21" s="29"/>
      <c r="K21" s="29"/>
      <c r="L21" s="29"/>
      <c r="M21" s="29"/>
      <c r="N21" s="29"/>
      <c r="O21" s="29"/>
      <c r="P21" s="29"/>
      <c r="Q21" s="29"/>
      <c r="R21" s="29"/>
      <c r="S21" s="29"/>
      <c r="T21" s="29"/>
      <c r="U21" s="25"/>
      <c r="W21" s="180" t="s">
        <v>24</v>
      </c>
      <c r="X21" s="239">
        <v>2.2121000000000005E-2</v>
      </c>
    </row>
    <row r="22" spans="2:24" ht="30" x14ac:dyDescent="0.25">
      <c r="B22" s="64"/>
      <c r="C22" s="188" t="s">
        <v>265</v>
      </c>
      <c r="D22" s="196" t="s">
        <v>111</v>
      </c>
      <c r="E22" s="197">
        <v>9.9399999999999992E-3</v>
      </c>
      <c r="F22" s="29"/>
      <c r="G22" s="29"/>
      <c r="H22" s="29"/>
      <c r="I22" s="29"/>
      <c r="J22" s="29"/>
      <c r="K22" s="29"/>
      <c r="L22" s="29"/>
      <c r="M22" s="29"/>
      <c r="N22" s="29"/>
      <c r="O22" s="29"/>
      <c r="P22" s="29"/>
      <c r="Q22" s="29"/>
      <c r="R22" s="29"/>
      <c r="S22" s="29"/>
      <c r="T22" s="29"/>
      <c r="U22" s="25"/>
      <c r="W22" s="180" t="s">
        <v>83</v>
      </c>
      <c r="X22" s="239">
        <v>1.9629999999999998E-2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119</v>
      </c>
      <c r="X23" s="239">
        <v>1.8762999999999998E-2</v>
      </c>
    </row>
    <row r="24" spans="2:24" ht="15.75" x14ac:dyDescent="0.25">
      <c r="B24" s="64"/>
      <c r="C24" s="73" t="s">
        <v>55</v>
      </c>
      <c r="D24" s="74"/>
      <c r="E24" s="75">
        <f>SUM(E8:E22)</f>
        <v>0.38030399999999998</v>
      </c>
      <c r="F24" s="29"/>
      <c r="G24" s="29"/>
      <c r="H24" s="29"/>
      <c r="I24" s="29"/>
      <c r="J24" s="29"/>
      <c r="K24" s="29"/>
      <c r="L24" s="29"/>
      <c r="M24" s="29"/>
      <c r="N24" s="29"/>
      <c r="O24" s="29"/>
      <c r="P24" s="29"/>
      <c r="Q24" s="29"/>
      <c r="R24" s="29"/>
      <c r="S24" s="29"/>
      <c r="T24" s="29"/>
      <c r="U24" s="25"/>
      <c r="W24" s="180" t="s">
        <v>85</v>
      </c>
      <c r="X24" s="239">
        <v>1.6690000000000003E-2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v>
      </c>
      <c r="X25" s="239">
        <v>1.6419999999999997E-2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116</v>
      </c>
      <c r="X26" s="239">
        <v>1.6359000000000002E-2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86</v>
      </c>
      <c r="X27" s="62">
        <v>1.4943E-2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77</v>
      </c>
      <c r="X28" s="62">
        <v>1.4362999999999999E-2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113</v>
      </c>
      <c r="X29" s="62">
        <v>1.3911999999999999E-2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87</v>
      </c>
      <c r="X30" s="62">
        <v>1.2540000000000001E-2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84</v>
      </c>
      <c r="X31" s="62">
        <v>9.6869999999999994E-3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108</v>
      </c>
      <c r="X32" s="62">
        <v>8.634000000000001E-3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106</v>
      </c>
      <c r="X33" s="62">
        <v>8.3099999999999997E-3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121</v>
      </c>
      <c r="X34" s="62">
        <v>8.1579999999999986E-3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115</v>
      </c>
      <c r="X35" s="62">
        <v>7.9039999999999996E-3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25</v>
      </c>
      <c r="X36" s="62">
        <v>7.7629999999999999E-3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124</v>
      </c>
      <c r="X37" s="62">
        <v>7.3670000000000003E-3</v>
      </c>
    </row>
    <row r="38" spans="2:24" ht="15.75" thickBot="1" x14ac:dyDescent="0.3">
      <c r="W38" s="61" t="s">
        <v>15</v>
      </c>
      <c r="X38" s="62">
        <v>7.3010000000000002E-3</v>
      </c>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t="s">
        <v>118</v>
      </c>
      <c r="X39" s="62">
        <v>7.123E-3</v>
      </c>
    </row>
    <row r="40" spans="2:24" x14ac:dyDescent="0.25">
      <c r="B40" s="272"/>
      <c r="C40" s="273"/>
      <c r="D40" s="273"/>
      <c r="E40" s="273"/>
      <c r="F40" s="273"/>
      <c r="G40" s="273"/>
      <c r="H40" s="273"/>
      <c r="I40" s="273"/>
      <c r="J40" s="273"/>
      <c r="K40" s="273"/>
      <c r="L40" s="273"/>
      <c r="M40" s="273"/>
      <c r="N40" s="273"/>
      <c r="O40" s="273"/>
      <c r="P40" s="273"/>
      <c r="Q40" s="273"/>
      <c r="R40" s="274"/>
      <c r="W40" s="61" t="s">
        <v>130</v>
      </c>
      <c r="X40" s="62">
        <v>6.801999999999999E-3</v>
      </c>
    </row>
    <row r="41" spans="2:24" x14ac:dyDescent="0.25">
      <c r="B41" s="272"/>
      <c r="C41" s="273"/>
      <c r="D41" s="273"/>
      <c r="E41" s="273"/>
      <c r="F41" s="273"/>
      <c r="G41" s="273"/>
      <c r="H41" s="273"/>
      <c r="I41" s="273"/>
      <c r="J41" s="273"/>
      <c r="K41" s="273"/>
      <c r="L41" s="273"/>
      <c r="M41" s="273"/>
      <c r="N41" s="273"/>
      <c r="O41" s="273"/>
      <c r="P41" s="273"/>
      <c r="Q41" s="273"/>
      <c r="R41" s="274"/>
      <c r="W41" s="61" t="s">
        <v>13</v>
      </c>
      <c r="X41" s="62">
        <v>6.6270000000000001E-3</v>
      </c>
    </row>
    <row r="42" spans="2:24" x14ac:dyDescent="0.25">
      <c r="B42" s="272"/>
      <c r="C42" s="273"/>
      <c r="D42" s="273"/>
      <c r="E42" s="273"/>
      <c r="F42" s="273"/>
      <c r="G42" s="273"/>
      <c r="H42" s="273"/>
      <c r="I42" s="273"/>
      <c r="J42" s="273"/>
      <c r="K42" s="273"/>
      <c r="L42" s="273"/>
      <c r="M42" s="273"/>
      <c r="N42" s="273"/>
      <c r="O42" s="273"/>
      <c r="P42" s="273"/>
      <c r="Q42" s="273"/>
      <c r="R42" s="274"/>
      <c r="W42" s="61" t="s">
        <v>137</v>
      </c>
      <c r="X42" s="62">
        <v>6.1719999999999995E-3</v>
      </c>
    </row>
    <row r="43" spans="2:24" x14ac:dyDescent="0.25">
      <c r="B43" s="272"/>
      <c r="C43" s="273"/>
      <c r="D43" s="273"/>
      <c r="E43" s="273"/>
      <c r="F43" s="273"/>
      <c r="G43" s="273"/>
      <c r="H43" s="273"/>
      <c r="I43" s="273"/>
      <c r="J43" s="273"/>
      <c r="K43" s="273"/>
      <c r="L43" s="273"/>
      <c r="M43" s="273"/>
      <c r="N43" s="273"/>
      <c r="O43" s="273"/>
      <c r="P43" s="273"/>
      <c r="Q43" s="273"/>
      <c r="R43" s="274"/>
      <c r="W43" s="61" t="s">
        <v>131</v>
      </c>
      <c r="X43" s="62">
        <v>4.9909999999999998E-3</v>
      </c>
    </row>
    <row r="44" spans="2:24" x14ac:dyDescent="0.25">
      <c r="B44" s="272"/>
      <c r="C44" s="273"/>
      <c r="D44" s="273"/>
      <c r="E44" s="273"/>
      <c r="F44" s="273"/>
      <c r="G44" s="273"/>
      <c r="H44" s="273"/>
      <c r="I44" s="273"/>
      <c r="J44" s="273"/>
      <c r="K44" s="273"/>
      <c r="L44" s="273"/>
      <c r="M44" s="273"/>
      <c r="N44" s="273"/>
      <c r="O44" s="273"/>
      <c r="P44" s="273"/>
      <c r="Q44" s="273"/>
      <c r="R44" s="274"/>
      <c r="W44" s="61" t="s">
        <v>184</v>
      </c>
      <c r="X44" s="62">
        <v>4.8920000000000005E-3</v>
      </c>
    </row>
    <row r="45" spans="2:24" ht="15.75" thickBot="1" x14ac:dyDescent="0.3">
      <c r="B45" s="275"/>
      <c r="C45" s="276"/>
      <c r="D45" s="276"/>
      <c r="E45" s="276"/>
      <c r="F45" s="276"/>
      <c r="G45" s="276"/>
      <c r="H45" s="276"/>
      <c r="I45" s="276"/>
      <c r="J45" s="276"/>
      <c r="K45" s="276"/>
      <c r="L45" s="276"/>
      <c r="M45" s="276"/>
      <c r="N45" s="276"/>
      <c r="O45" s="276"/>
      <c r="P45" s="276"/>
      <c r="Q45" s="276"/>
      <c r="R45" s="277"/>
      <c r="W45" s="61" t="s">
        <v>133</v>
      </c>
      <c r="X45" s="62">
        <v>3.9740000000000001E-3</v>
      </c>
    </row>
    <row r="46" spans="2:24" x14ac:dyDescent="0.25">
      <c r="W46" s="61" t="s">
        <v>122</v>
      </c>
      <c r="X46" s="62">
        <v>3.6020000000000006E-3</v>
      </c>
    </row>
    <row r="47" spans="2:24" x14ac:dyDescent="0.25">
      <c r="W47" s="61" t="s">
        <v>114</v>
      </c>
      <c r="X47" s="62">
        <v>3.1839999999999998E-3</v>
      </c>
    </row>
    <row r="48" spans="2:24" x14ac:dyDescent="0.25">
      <c r="W48" s="61" t="s">
        <v>127</v>
      </c>
      <c r="X48" s="62">
        <v>3.0999999999999999E-3</v>
      </c>
    </row>
    <row r="49" spans="23:24" x14ac:dyDescent="0.25">
      <c r="W49" s="61" t="s">
        <v>132</v>
      </c>
      <c r="X49" s="62">
        <v>2.9970000000000001E-3</v>
      </c>
    </row>
    <row r="50" spans="23:24" x14ac:dyDescent="0.25">
      <c r="W50" s="61" t="s">
        <v>126</v>
      </c>
      <c r="X50" s="62">
        <v>2.7339999999999999E-3</v>
      </c>
    </row>
    <row r="51" spans="23:24" x14ac:dyDescent="0.25">
      <c r="W51" s="61" t="s">
        <v>95</v>
      </c>
      <c r="X51" s="62">
        <v>2.5339999999999998E-3</v>
      </c>
    </row>
    <row r="52" spans="23:24" x14ac:dyDescent="0.25">
      <c r="W52" s="61" t="s">
        <v>146</v>
      </c>
      <c r="X52" s="62">
        <v>2.036E-3</v>
      </c>
    </row>
    <row r="53" spans="23:24" x14ac:dyDescent="0.25">
      <c r="W53" s="61" t="s">
        <v>123</v>
      </c>
      <c r="X53" s="62">
        <v>1.6640000000000001E-3</v>
      </c>
    </row>
    <row r="54" spans="23:24" x14ac:dyDescent="0.25">
      <c r="W54" s="61" t="s">
        <v>125</v>
      </c>
      <c r="X54" s="62">
        <v>9.9700000000000006E-4</v>
      </c>
    </row>
    <row r="55" spans="23:24" x14ac:dyDescent="0.25">
      <c r="W55" s="61" t="s">
        <v>218</v>
      </c>
      <c r="X55" s="62">
        <v>9.0100000000000011E-4</v>
      </c>
    </row>
    <row r="56" spans="23:24" x14ac:dyDescent="0.25">
      <c r="W56" s="61" t="s">
        <v>288</v>
      </c>
      <c r="X56" s="62">
        <v>8.5000000000000006E-4</v>
      </c>
    </row>
    <row r="57" spans="23:24" x14ac:dyDescent="0.25">
      <c r="W57" s="61" t="s">
        <v>185</v>
      </c>
      <c r="X57" s="62">
        <v>6.0899999999999995E-4</v>
      </c>
    </row>
    <row r="58" spans="23:24" x14ac:dyDescent="0.25">
      <c r="W58" s="61" t="s">
        <v>219</v>
      </c>
      <c r="X58" s="62">
        <v>5.44E-4</v>
      </c>
    </row>
    <row r="59" spans="23:24" x14ac:dyDescent="0.25">
      <c r="W59" s="61" t="s">
        <v>128</v>
      </c>
      <c r="X59" s="62">
        <v>4.8299999999999998E-4</v>
      </c>
    </row>
    <row r="60" spans="23:24" x14ac:dyDescent="0.25">
      <c r="W60" s="61" t="s">
        <v>289</v>
      </c>
      <c r="X60" s="62">
        <v>2.03E-4</v>
      </c>
    </row>
    <row r="61" spans="23:24" x14ac:dyDescent="0.25">
      <c r="W61" s="61" t="s">
        <v>369</v>
      </c>
      <c r="X61" s="62">
        <v>9.0000000000000002E-6</v>
      </c>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303</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406</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0.29391899999999999</v>
      </c>
      <c r="F8" s="29"/>
      <c r="G8" s="29"/>
      <c r="H8" s="29"/>
      <c r="I8" s="29"/>
      <c r="J8" s="29"/>
      <c r="K8" s="29"/>
      <c r="L8" s="29"/>
      <c r="M8" s="29"/>
      <c r="N8" s="29"/>
      <c r="O8" s="29"/>
      <c r="P8" s="29"/>
      <c r="Q8" s="29"/>
      <c r="R8" s="29"/>
      <c r="S8" s="29"/>
      <c r="T8" s="29"/>
      <c r="U8" s="25"/>
      <c r="W8" s="180" t="s">
        <v>3</v>
      </c>
      <c r="X8" s="239">
        <v>1.0004139999999999</v>
      </c>
    </row>
    <row r="9" spans="1:24" ht="15.75" x14ac:dyDescent="0.25">
      <c r="B9" s="64"/>
      <c r="C9" s="188" t="s">
        <v>32</v>
      </c>
      <c r="D9" s="196" t="s">
        <v>3</v>
      </c>
      <c r="E9" s="197">
        <v>0.245336</v>
      </c>
      <c r="F9" s="29"/>
      <c r="G9" s="29"/>
      <c r="H9" s="29"/>
      <c r="I9" s="29"/>
      <c r="J9" s="29"/>
      <c r="K9" s="29"/>
      <c r="L9" s="29"/>
      <c r="M9" s="29"/>
      <c r="N9" s="29"/>
      <c r="O9" s="29"/>
      <c r="P9" s="29"/>
      <c r="Q9" s="29"/>
      <c r="R9" s="29"/>
      <c r="S9" s="29"/>
      <c r="T9" s="29"/>
      <c r="U9" s="25"/>
      <c r="W9" s="180"/>
      <c r="X9" s="239"/>
    </row>
    <row r="10" spans="1:24" ht="15.75" x14ac:dyDescent="0.25">
      <c r="B10" s="64"/>
      <c r="C10" s="188" t="s">
        <v>79</v>
      </c>
      <c r="D10" s="196" t="s">
        <v>3</v>
      </c>
      <c r="E10" s="197">
        <v>0.102408</v>
      </c>
      <c r="F10" s="29"/>
      <c r="G10" s="29"/>
      <c r="H10" s="29"/>
      <c r="I10" s="29"/>
      <c r="J10" s="29"/>
      <c r="K10" s="29"/>
      <c r="L10" s="29"/>
      <c r="M10" s="29"/>
      <c r="N10" s="29"/>
      <c r="O10" s="29"/>
      <c r="P10" s="29"/>
      <c r="Q10" s="29"/>
      <c r="R10" s="29"/>
      <c r="S10" s="29"/>
      <c r="T10" s="29"/>
      <c r="U10" s="25"/>
      <c r="W10" s="180"/>
      <c r="X10" s="239"/>
    </row>
    <row r="11" spans="1:24" ht="15.75" x14ac:dyDescent="0.25">
      <c r="B11" s="64"/>
      <c r="C11" s="188" t="s">
        <v>35</v>
      </c>
      <c r="D11" s="196" t="s">
        <v>3</v>
      </c>
      <c r="E11" s="197">
        <v>9.0032000000000001E-2</v>
      </c>
      <c r="F11" s="29"/>
      <c r="G11" s="29"/>
      <c r="H11" s="29"/>
      <c r="I11" s="29"/>
      <c r="J11" s="29"/>
      <c r="K11" s="29"/>
      <c r="L11" s="29"/>
      <c r="M11" s="29"/>
      <c r="N11" s="29"/>
      <c r="O11" s="29"/>
      <c r="P11" s="29"/>
      <c r="Q11" s="29"/>
      <c r="R11" s="29"/>
      <c r="S11" s="29"/>
      <c r="T11" s="29"/>
      <c r="U11" s="25"/>
      <c r="W11" s="180"/>
      <c r="X11" s="239"/>
    </row>
    <row r="12" spans="1:24" ht="15.75" x14ac:dyDescent="0.25">
      <c r="B12" s="64"/>
      <c r="C12" s="188" t="s">
        <v>36</v>
      </c>
      <c r="D12" s="196" t="s">
        <v>3</v>
      </c>
      <c r="E12" s="197">
        <v>8.6744000000000002E-2</v>
      </c>
      <c r="F12" s="29"/>
      <c r="G12" s="29"/>
      <c r="H12" s="29"/>
      <c r="I12" s="29"/>
      <c r="J12" s="29"/>
      <c r="K12" s="29"/>
      <c r="L12" s="29"/>
      <c r="M12" s="29"/>
      <c r="N12" s="29"/>
      <c r="O12" s="29"/>
      <c r="P12" s="29"/>
      <c r="Q12" s="29"/>
      <c r="R12" s="29"/>
      <c r="S12" s="29"/>
      <c r="T12" s="29"/>
      <c r="U12" s="25"/>
      <c r="W12" s="180"/>
      <c r="X12" s="239"/>
    </row>
    <row r="13" spans="1:24" ht="15.75" x14ac:dyDescent="0.25">
      <c r="B13" s="64"/>
      <c r="C13" s="188" t="s">
        <v>135</v>
      </c>
      <c r="D13" s="196" t="s">
        <v>3</v>
      </c>
      <c r="E13" s="197">
        <v>3.9447999999999997E-2</v>
      </c>
      <c r="F13" s="29"/>
      <c r="G13" s="29"/>
      <c r="H13" s="29"/>
      <c r="I13" s="29"/>
      <c r="J13" s="29"/>
      <c r="K13" s="29"/>
      <c r="L13" s="29"/>
      <c r="M13" s="29"/>
      <c r="N13" s="29"/>
      <c r="O13" s="29"/>
      <c r="P13" s="29"/>
      <c r="Q13" s="29"/>
      <c r="R13" s="29"/>
      <c r="S13" s="29"/>
      <c r="T13" s="29"/>
      <c r="U13" s="25"/>
      <c r="W13" s="180"/>
      <c r="X13" s="239"/>
    </row>
    <row r="14" spans="1:24" ht="15.75" x14ac:dyDescent="0.25">
      <c r="B14" s="64"/>
      <c r="C14" s="188" t="s">
        <v>281</v>
      </c>
      <c r="D14" s="196" t="s">
        <v>3</v>
      </c>
      <c r="E14" s="197">
        <v>3.0913E-2</v>
      </c>
      <c r="F14" s="29"/>
      <c r="G14" s="29"/>
      <c r="H14" s="29"/>
      <c r="I14" s="29"/>
      <c r="J14" s="29"/>
      <c r="K14" s="29"/>
      <c r="L14" s="29"/>
      <c r="M14" s="29"/>
      <c r="N14" s="29"/>
      <c r="O14" s="29"/>
      <c r="P14" s="29"/>
      <c r="Q14" s="29"/>
      <c r="R14" s="29"/>
      <c r="S14" s="29"/>
      <c r="T14" s="29"/>
      <c r="U14" s="25"/>
      <c r="W14" s="180"/>
      <c r="X14" s="239"/>
    </row>
    <row r="15" spans="1:24" ht="15.75" x14ac:dyDescent="0.25">
      <c r="B15" s="64"/>
      <c r="C15" s="188" t="s">
        <v>301</v>
      </c>
      <c r="D15" s="196" t="s">
        <v>3</v>
      </c>
      <c r="E15" s="197">
        <v>2.7528E-2</v>
      </c>
      <c r="F15" s="29"/>
      <c r="G15" s="29"/>
      <c r="H15" s="29"/>
      <c r="I15" s="29"/>
      <c r="J15" s="29"/>
      <c r="K15" s="29"/>
      <c r="L15" s="29"/>
      <c r="M15" s="29"/>
      <c r="N15" s="29"/>
      <c r="O15" s="29"/>
      <c r="P15" s="29"/>
      <c r="Q15" s="29"/>
      <c r="R15" s="29"/>
      <c r="S15" s="29"/>
      <c r="T15" s="29"/>
      <c r="U15" s="25"/>
      <c r="W15" s="180"/>
      <c r="X15" s="239"/>
    </row>
    <row r="16" spans="1:24" ht="15.75" x14ac:dyDescent="0.25">
      <c r="B16" s="64"/>
      <c r="C16" s="188" t="s">
        <v>302</v>
      </c>
      <c r="D16" s="196" t="s">
        <v>3</v>
      </c>
      <c r="E16" s="197">
        <v>2.5284000000000001E-2</v>
      </c>
      <c r="F16" s="29"/>
      <c r="G16" s="29"/>
      <c r="H16" s="29"/>
      <c r="I16" s="29"/>
      <c r="J16" s="29"/>
      <c r="K16" s="29"/>
      <c r="L16" s="29"/>
      <c r="M16" s="29"/>
      <c r="N16" s="29"/>
      <c r="O16" s="29"/>
      <c r="P16" s="29"/>
      <c r="Q16" s="29"/>
      <c r="R16" s="29"/>
      <c r="S16" s="29"/>
      <c r="T16" s="29"/>
      <c r="U16" s="25"/>
      <c r="W16" s="180"/>
      <c r="X16" s="239"/>
    </row>
    <row r="17" spans="2:24" ht="15.75" x14ac:dyDescent="0.25">
      <c r="B17" s="64"/>
      <c r="C17" s="188" t="s">
        <v>320</v>
      </c>
      <c r="D17" s="196" t="s">
        <v>3</v>
      </c>
      <c r="E17" s="197">
        <v>2.0597000000000001E-2</v>
      </c>
      <c r="F17" s="29"/>
      <c r="G17" s="29"/>
      <c r="H17" s="29"/>
      <c r="I17" s="29"/>
      <c r="J17" s="29"/>
      <c r="K17" s="29"/>
      <c r="L17" s="29"/>
      <c r="M17" s="29"/>
      <c r="N17" s="29"/>
      <c r="O17" s="29"/>
      <c r="P17" s="29"/>
      <c r="Q17" s="29"/>
      <c r="R17" s="29"/>
      <c r="S17" s="29"/>
      <c r="T17" s="29"/>
      <c r="U17" s="25"/>
      <c r="W17" s="180"/>
      <c r="X17" s="239"/>
    </row>
    <row r="18" spans="2:24" ht="15.75" x14ac:dyDescent="0.25">
      <c r="B18" s="64"/>
      <c r="C18" s="188" t="s">
        <v>275</v>
      </c>
      <c r="D18" s="196" t="s">
        <v>3</v>
      </c>
      <c r="E18" s="197">
        <v>1.9578999999999999E-2</v>
      </c>
      <c r="F18" s="29"/>
      <c r="G18" s="29"/>
      <c r="H18" s="29"/>
      <c r="I18" s="29"/>
      <c r="J18" s="29"/>
      <c r="K18" s="29"/>
      <c r="L18" s="29"/>
      <c r="M18" s="29"/>
      <c r="N18" s="29"/>
      <c r="O18" s="29"/>
      <c r="P18" s="29"/>
      <c r="Q18" s="29"/>
      <c r="R18" s="29"/>
      <c r="S18" s="29"/>
      <c r="T18" s="29"/>
      <c r="U18" s="25"/>
      <c r="W18" s="180"/>
      <c r="X18" s="239"/>
    </row>
    <row r="19" spans="2:24" ht="15.75" x14ac:dyDescent="0.25">
      <c r="B19" s="64"/>
      <c r="C19" s="188" t="s">
        <v>292</v>
      </c>
      <c r="D19" s="196" t="s">
        <v>3</v>
      </c>
      <c r="E19" s="197">
        <v>1.8626E-2</v>
      </c>
      <c r="F19" s="29"/>
      <c r="G19" s="29"/>
      <c r="H19" s="29"/>
      <c r="I19" s="29"/>
      <c r="J19" s="29"/>
      <c r="K19" s="29"/>
      <c r="L19" s="29"/>
      <c r="M19" s="29"/>
      <c r="N19" s="29"/>
      <c r="O19" s="29"/>
      <c r="P19" s="29"/>
      <c r="Q19" s="29"/>
      <c r="R19" s="29"/>
      <c r="S19" s="29"/>
      <c r="T19" s="29"/>
      <c r="U19" s="25"/>
      <c r="W19" s="180"/>
      <c r="X19" s="239"/>
    </row>
    <row r="20" spans="2:24" ht="15.75" x14ac:dyDescent="0.25">
      <c r="B20" s="64"/>
      <c r="C20" s="73" t="s">
        <v>55</v>
      </c>
      <c r="D20" s="74"/>
      <c r="E20" s="75">
        <f>SUM(E8:E19)</f>
        <v>1.0004140000000001</v>
      </c>
      <c r="F20" s="29"/>
      <c r="G20" s="29"/>
      <c r="H20" s="29"/>
      <c r="I20" s="29"/>
      <c r="J20" s="29"/>
      <c r="K20" s="29"/>
      <c r="L20" s="29"/>
      <c r="M20" s="29"/>
      <c r="N20" s="29"/>
      <c r="O20" s="29"/>
      <c r="P20" s="29"/>
      <c r="Q20" s="29"/>
      <c r="R20" s="29"/>
      <c r="S20" s="29"/>
      <c r="T20" s="29"/>
      <c r="U20" s="25"/>
      <c r="W20" s="180"/>
      <c r="X20" s="23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39"/>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39"/>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39"/>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39"/>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9"/>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43.28515625" style="19"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321</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407</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265</v>
      </c>
      <c r="D8" s="194" t="s">
        <v>111</v>
      </c>
      <c r="E8" s="195">
        <v>0.14953900000000001</v>
      </c>
      <c r="F8" s="29"/>
      <c r="G8" s="29"/>
      <c r="H8" s="29"/>
      <c r="I8" s="29"/>
      <c r="J8" s="29"/>
      <c r="K8" s="29"/>
      <c r="L8" s="29"/>
      <c r="M8" s="29"/>
      <c r="N8" s="29"/>
      <c r="O8" s="29"/>
      <c r="P8" s="29"/>
      <c r="Q8" s="29"/>
      <c r="R8" s="29"/>
      <c r="S8" s="29"/>
      <c r="T8" s="29"/>
      <c r="U8" s="25"/>
      <c r="W8" s="180" t="s">
        <v>111</v>
      </c>
      <c r="X8" s="239">
        <v>0.76918000000000009</v>
      </c>
    </row>
    <row r="9" spans="1:24" ht="15.75" x14ac:dyDescent="0.25">
      <c r="B9" s="64"/>
      <c r="C9" s="188" t="s">
        <v>104</v>
      </c>
      <c r="D9" s="196" t="s">
        <v>111</v>
      </c>
      <c r="E9" s="197">
        <v>6.6465999999999997E-2</v>
      </c>
      <c r="F9" s="29"/>
      <c r="G9" s="29"/>
      <c r="H9" s="29"/>
      <c r="I9" s="29"/>
      <c r="J9" s="29"/>
      <c r="K9" s="29"/>
      <c r="L9" s="29"/>
      <c r="M9" s="29"/>
      <c r="N9" s="29"/>
      <c r="O9" s="29"/>
      <c r="P9" s="29"/>
      <c r="Q9" s="29"/>
      <c r="R9" s="29"/>
      <c r="S9" s="29"/>
      <c r="T9" s="29"/>
      <c r="U9" s="25"/>
      <c r="W9" s="180" t="s">
        <v>77</v>
      </c>
      <c r="X9" s="239">
        <v>0.22529899999999997</v>
      </c>
    </row>
    <row r="10" spans="1:24" ht="15.75" x14ac:dyDescent="0.25">
      <c r="B10" s="64"/>
      <c r="C10" s="188" t="s">
        <v>323</v>
      </c>
      <c r="D10" s="196" t="s">
        <v>111</v>
      </c>
      <c r="E10" s="197">
        <v>6.1135000000000002E-2</v>
      </c>
      <c r="F10" s="29"/>
      <c r="G10" s="29"/>
      <c r="H10" s="29"/>
      <c r="I10" s="29"/>
      <c r="J10" s="29"/>
      <c r="K10" s="29"/>
      <c r="L10" s="29"/>
      <c r="M10" s="29"/>
      <c r="N10" s="29"/>
      <c r="O10" s="29"/>
      <c r="P10" s="29"/>
      <c r="Q10" s="29"/>
      <c r="R10" s="29"/>
      <c r="S10" s="29"/>
      <c r="T10" s="29"/>
      <c r="U10" s="25"/>
      <c r="W10" s="180" t="s">
        <v>219</v>
      </c>
      <c r="X10" s="239">
        <v>7.9709999999999989E-3</v>
      </c>
    </row>
    <row r="11" spans="1:24" ht="15.75" x14ac:dyDescent="0.25">
      <c r="B11" s="64"/>
      <c r="C11" s="188" t="s">
        <v>142</v>
      </c>
      <c r="D11" s="196" t="s">
        <v>111</v>
      </c>
      <c r="E11" s="197">
        <v>5.6919999999999998E-2</v>
      </c>
      <c r="F11" s="29"/>
      <c r="G11" s="29"/>
      <c r="H11" s="29"/>
      <c r="I11" s="29"/>
      <c r="J11" s="29"/>
      <c r="K11" s="29"/>
      <c r="L11" s="29"/>
      <c r="M11" s="29"/>
      <c r="N11" s="29"/>
      <c r="O11" s="29"/>
      <c r="P11" s="29"/>
      <c r="Q11" s="29"/>
      <c r="R11" s="29"/>
      <c r="S11" s="29"/>
      <c r="T11" s="29"/>
      <c r="U11" s="25"/>
      <c r="W11" s="180"/>
      <c r="X11" s="239"/>
    </row>
    <row r="12" spans="1:24" ht="15.75" x14ac:dyDescent="0.25">
      <c r="B12" s="64"/>
      <c r="C12" s="188" t="s">
        <v>322</v>
      </c>
      <c r="D12" s="196" t="s">
        <v>77</v>
      </c>
      <c r="E12" s="197">
        <v>5.6233999999999999E-2</v>
      </c>
      <c r="F12" s="29"/>
      <c r="G12" s="29"/>
      <c r="H12" s="29"/>
      <c r="I12" s="29"/>
      <c r="J12" s="29"/>
      <c r="K12" s="29"/>
      <c r="L12" s="29"/>
      <c r="M12" s="29"/>
      <c r="N12" s="29"/>
      <c r="O12" s="29"/>
      <c r="P12" s="29"/>
      <c r="Q12" s="29"/>
      <c r="R12" s="29"/>
      <c r="S12" s="29"/>
      <c r="T12" s="29"/>
      <c r="U12" s="25"/>
      <c r="W12" s="180"/>
      <c r="X12" s="239"/>
    </row>
    <row r="13" spans="1:24" ht="15.75" x14ac:dyDescent="0.25">
      <c r="B13" s="64"/>
      <c r="C13" s="188" t="s">
        <v>316</v>
      </c>
      <c r="D13" s="196" t="s">
        <v>77</v>
      </c>
      <c r="E13" s="197">
        <v>5.3456999999999998E-2</v>
      </c>
      <c r="F13" s="29"/>
      <c r="G13" s="29"/>
      <c r="H13" s="29"/>
      <c r="I13" s="29"/>
      <c r="J13" s="29"/>
      <c r="K13" s="29"/>
      <c r="L13" s="29"/>
      <c r="M13" s="29"/>
      <c r="N13" s="29"/>
      <c r="O13" s="29"/>
      <c r="P13" s="29"/>
      <c r="Q13" s="29"/>
      <c r="R13" s="29"/>
      <c r="S13" s="29"/>
      <c r="T13" s="29"/>
      <c r="U13" s="25"/>
      <c r="W13" s="180"/>
      <c r="X13" s="239"/>
    </row>
    <row r="14" spans="1:24" ht="15.75" x14ac:dyDescent="0.25">
      <c r="B14" s="64"/>
      <c r="C14" s="188" t="s">
        <v>324</v>
      </c>
      <c r="D14" s="196" t="s">
        <v>111</v>
      </c>
      <c r="E14" s="197">
        <v>3.8526999999999999E-2</v>
      </c>
      <c r="F14" s="29"/>
      <c r="G14" s="29"/>
      <c r="H14" s="29"/>
      <c r="I14" s="29"/>
      <c r="J14" s="29"/>
      <c r="K14" s="29"/>
      <c r="L14" s="29"/>
      <c r="M14" s="29"/>
      <c r="N14" s="29"/>
      <c r="O14" s="29"/>
      <c r="P14" s="29"/>
      <c r="Q14" s="29"/>
      <c r="R14" s="29"/>
      <c r="S14" s="29"/>
      <c r="T14" s="29"/>
      <c r="U14" s="25"/>
      <c r="W14" s="180"/>
      <c r="X14" s="239"/>
    </row>
    <row r="15" spans="1:24" ht="15.75" x14ac:dyDescent="0.25">
      <c r="B15" s="64"/>
      <c r="C15" s="188" t="s">
        <v>298</v>
      </c>
      <c r="D15" s="196" t="s">
        <v>111</v>
      </c>
      <c r="E15" s="197">
        <v>2.7602000000000002E-2</v>
      </c>
      <c r="F15" s="29"/>
      <c r="G15" s="29"/>
      <c r="H15" s="29"/>
      <c r="I15" s="29"/>
      <c r="J15" s="29"/>
      <c r="K15" s="29"/>
      <c r="L15" s="29"/>
      <c r="M15" s="29"/>
      <c r="N15" s="29"/>
      <c r="O15" s="29"/>
      <c r="P15" s="29"/>
      <c r="Q15" s="29"/>
      <c r="R15" s="29"/>
      <c r="S15" s="29"/>
      <c r="T15" s="29"/>
      <c r="U15" s="25"/>
      <c r="W15" s="180"/>
      <c r="X15" s="239"/>
    </row>
    <row r="16" spans="1:24" ht="15.75" x14ac:dyDescent="0.25">
      <c r="B16" s="64"/>
      <c r="C16" s="188" t="s">
        <v>325</v>
      </c>
      <c r="D16" s="196" t="s">
        <v>77</v>
      </c>
      <c r="E16" s="197">
        <v>2.6726E-2</v>
      </c>
      <c r="F16" s="29"/>
      <c r="G16" s="29"/>
      <c r="H16" s="29"/>
      <c r="I16" s="29"/>
      <c r="J16" s="29"/>
      <c r="K16" s="29"/>
      <c r="L16" s="29"/>
      <c r="M16" s="29"/>
      <c r="N16" s="29"/>
      <c r="O16" s="29"/>
      <c r="P16" s="29"/>
      <c r="Q16" s="29"/>
      <c r="R16" s="29"/>
      <c r="S16" s="29"/>
      <c r="T16" s="29"/>
      <c r="U16" s="25"/>
      <c r="W16" s="180"/>
      <c r="X16" s="239"/>
    </row>
    <row r="17" spans="2:24" ht="15.75" x14ac:dyDescent="0.25">
      <c r="B17" s="64"/>
      <c r="C17" s="188" t="s">
        <v>293</v>
      </c>
      <c r="D17" s="196" t="s">
        <v>111</v>
      </c>
      <c r="E17" s="197">
        <v>2.6265E-2</v>
      </c>
      <c r="F17" s="29"/>
      <c r="G17" s="29"/>
      <c r="H17" s="29"/>
      <c r="I17" s="29"/>
      <c r="J17" s="29"/>
      <c r="K17" s="29"/>
      <c r="L17" s="29"/>
      <c r="M17" s="29"/>
      <c r="N17" s="29"/>
      <c r="O17" s="29"/>
      <c r="P17" s="29"/>
      <c r="Q17" s="29"/>
      <c r="R17" s="29"/>
      <c r="S17" s="29"/>
      <c r="T17" s="29"/>
      <c r="U17" s="25"/>
      <c r="W17" s="180"/>
      <c r="X17" s="239"/>
    </row>
    <row r="18" spans="2:24" ht="15.75" x14ac:dyDescent="0.25">
      <c r="B18" s="64"/>
      <c r="C18" s="188" t="s">
        <v>272</v>
      </c>
      <c r="D18" s="196" t="s">
        <v>111</v>
      </c>
      <c r="E18" s="197">
        <v>2.3081999999999998E-2</v>
      </c>
      <c r="F18" s="29"/>
      <c r="G18" s="29"/>
      <c r="H18" s="29"/>
      <c r="I18" s="29"/>
      <c r="J18" s="29"/>
      <c r="K18" s="29"/>
      <c r="L18" s="29"/>
      <c r="M18" s="29"/>
      <c r="N18" s="29"/>
      <c r="O18" s="29"/>
      <c r="P18" s="29"/>
      <c r="Q18" s="29"/>
      <c r="R18" s="29"/>
      <c r="S18" s="29"/>
      <c r="T18" s="29"/>
      <c r="U18" s="25"/>
      <c r="W18" s="180"/>
      <c r="X18" s="239"/>
    </row>
    <row r="19" spans="2:24" ht="15.75" x14ac:dyDescent="0.25">
      <c r="B19" s="64"/>
      <c r="C19" s="188" t="s">
        <v>212</v>
      </c>
      <c r="D19" s="196" t="s">
        <v>111</v>
      </c>
      <c r="E19" s="197">
        <v>1.9952999999999999E-2</v>
      </c>
      <c r="F19" s="29"/>
      <c r="G19" s="29"/>
      <c r="H19" s="29"/>
      <c r="I19" s="29"/>
      <c r="J19" s="29"/>
      <c r="K19" s="29"/>
      <c r="L19" s="29"/>
      <c r="M19" s="29"/>
      <c r="N19" s="29"/>
      <c r="O19" s="29"/>
      <c r="P19" s="29"/>
      <c r="Q19" s="29"/>
      <c r="R19" s="29"/>
      <c r="S19" s="29"/>
      <c r="T19" s="29"/>
      <c r="U19" s="25"/>
      <c r="W19" s="180"/>
      <c r="X19" s="239"/>
    </row>
    <row r="20" spans="2:24" ht="15.75" x14ac:dyDescent="0.25">
      <c r="B20" s="64"/>
      <c r="C20" s="188" t="s">
        <v>326</v>
      </c>
      <c r="D20" s="196" t="s">
        <v>111</v>
      </c>
      <c r="E20" s="197">
        <v>1.8891999999999999E-2</v>
      </c>
      <c r="F20" s="29"/>
      <c r="G20" s="29"/>
      <c r="H20" s="29"/>
      <c r="I20" s="29"/>
      <c r="J20" s="29"/>
      <c r="K20" s="29"/>
      <c r="L20" s="29"/>
      <c r="M20" s="29"/>
      <c r="N20" s="29"/>
      <c r="O20" s="29"/>
      <c r="P20" s="29"/>
      <c r="Q20" s="29"/>
      <c r="R20" s="29"/>
      <c r="S20" s="29"/>
      <c r="T20" s="29"/>
      <c r="U20" s="25"/>
      <c r="W20" s="180"/>
      <c r="X20" s="239"/>
    </row>
    <row r="21" spans="2:24" ht="15.75" x14ac:dyDescent="0.25">
      <c r="B21" s="64"/>
      <c r="C21" s="188" t="s">
        <v>247</v>
      </c>
      <c r="D21" s="196" t="s">
        <v>111</v>
      </c>
      <c r="E21" s="197">
        <v>1.7763000000000001E-2</v>
      </c>
      <c r="F21" s="29"/>
      <c r="G21" s="29"/>
      <c r="H21" s="29"/>
      <c r="I21" s="29"/>
      <c r="J21" s="29"/>
      <c r="K21" s="29"/>
      <c r="L21" s="29"/>
      <c r="M21" s="29"/>
      <c r="N21" s="29"/>
      <c r="O21" s="29"/>
      <c r="P21" s="29"/>
      <c r="Q21" s="29"/>
      <c r="R21" s="29"/>
      <c r="S21" s="29"/>
      <c r="T21" s="29"/>
      <c r="U21" s="25"/>
      <c r="W21" s="180"/>
      <c r="X21" s="239"/>
    </row>
    <row r="22" spans="2:24" ht="15.75" x14ac:dyDescent="0.25">
      <c r="B22" s="64"/>
      <c r="C22" s="188" t="s">
        <v>341</v>
      </c>
      <c r="D22" s="196" t="s">
        <v>111</v>
      </c>
      <c r="E22" s="197">
        <v>1.7339E-2</v>
      </c>
      <c r="F22" s="29"/>
      <c r="G22" s="29"/>
      <c r="H22" s="29"/>
      <c r="I22" s="29"/>
      <c r="J22" s="29"/>
      <c r="K22" s="29"/>
      <c r="L22" s="29"/>
      <c r="M22" s="29"/>
      <c r="N22" s="29"/>
      <c r="O22" s="29"/>
      <c r="P22" s="29"/>
      <c r="Q22" s="29"/>
      <c r="R22" s="29"/>
      <c r="S22" s="29"/>
      <c r="T22" s="29"/>
      <c r="U22" s="25"/>
      <c r="W22" s="180"/>
      <c r="X22" s="239"/>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39"/>
    </row>
    <row r="24" spans="2:24" ht="15.75" x14ac:dyDescent="0.25">
      <c r="B24" s="64"/>
      <c r="C24" s="73" t="s">
        <v>55</v>
      </c>
      <c r="D24" s="74"/>
      <c r="E24" s="75">
        <f>SUM(E8:E22)</f>
        <v>0.65990000000000004</v>
      </c>
      <c r="F24" s="29"/>
      <c r="G24" s="29"/>
      <c r="H24" s="29"/>
      <c r="I24" s="29"/>
      <c r="J24" s="29"/>
      <c r="K24" s="29"/>
      <c r="L24" s="29"/>
      <c r="M24" s="29"/>
      <c r="N24" s="29"/>
      <c r="O24" s="29"/>
      <c r="P24" s="29"/>
      <c r="Q24" s="29"/>
      <c r="R24" s="29"/>
      <c r="S24" s="29"/>
      <c r="T24" s="29"/>
      <c r="U24" s="25"/>
      <c r="W24" s="180"/>
      <c r="X24" s="239"/>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9"/>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327</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408</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250</v>
      </c>
      <c r="D8" s="194" t="s">
        <v>119</v>
      </c>
      <c r="E8" s="195">
        <v>2.2239999999999999E-2</v>
      </c>
      <c r="F8" s="29"/>
      <c r="G8" s="29"/>
      <c r="H8" s="29"/>
      <c r="I8" s="29"/>
      <c r="J8" s="29"/>
      <c r="K8" s="29"/>
      <c r="L8" s="29"/>
      <c r="M8" s="29"/>
      <c r="N8" s="29"/>
      <c r="O8" s="29"/>
      <c r="P8" s="29"/>
      <c r="Q8" s="29"/>
      <c r="R8" s="29"/>
      <c r="S8" s="29"/>
      <c r="T8" s="29"/>
      <c r="U8" s="25"/>
      <c r="W8" s="180" t="s">
        <v>110</v>
      </c>
      <c r="X8" s="239">
        <v>7.7227999999999991E-2</v>
      </c>
    </row>
    <row r="9" spans="1:24" ht="15.75" x14ac:dyDescent="0.25">
      <c r="B9" s="64"/>
      <c r="C9" s="188" t="s">
        <v>322</v>
      </c>
      <c r="D9" s="196" t="s">
        <v>77</v>
      </c>
      <c r="E9" s="197">
        <v>2.1679E-2</v>
      </c>
      <c r="F9" s="29"/>
      <c r="G9" s="29"/>
      <c r="H9" s="29"/>
      <c r="I9" s="29"/>
      <c r="J9" s="29"/>
      <c r="K9" s="29"/>
      <c r="L9" s="29"/>
      <c r="M9" s="29"/>
      <c r="N9" s="29"/>
      <c r="O9" s="29"/>
      <c r="P9" s="29"/>
      <c r="Q9" s="29"/>
      <c r="R9" s="29"/>
      <c r="S9" s="29"/>
      <c r="T9" s="29"/>
      <c r="U9" s="25"/>
      <c r="W9" s="180" t="s">
        <v>24</v>
      </c>
      <c r="X9" s="239">
        <v>7.4173000000000003E-2</v>
      </c>
    </row>
    <row r="10" spans="1:24" ht="15.75" x14ac:dyDescent="0.25">
      <c r="B10" s="64"/>
      <c r="C10" s="188" t="s">
        <v>94</v>
      </c>
      <c r="D10" s="196" t="s">
        <v>84</v>
      </c>
      <c r="E10" s="197">
        <v>2.0722000000000001E-2</v>
      </c>
      <c r="F10" s="29"/>
      <c r="G10" s="29"/>
      <c r="H10" s="29"/>
      <c r="I10" s="29"/>
      <c r="J10" s="29"/>
      <c r="K10" s="29"/>
      <c r="L10" s="29"/>
      <c r="M10" s="29"/>
      <c r="N10" s="29"/>
      <c r="O10" s="29"/>
      <c r="P10" s="29"/>
      <c r="Q10" s="29"/>
      <c r="R10" s="29"/>
      <c r="S10" s="29"/>
      <c r="T10" s="29"/>
      <c r="U10" s="25"/>
      <c r="W10" s="180" t="s">
        <v>3</v>
      </c>
      <c r="X10" s="239">
        <v>6.8220000000000003E-2</v>
      </c>
    </row>
    <row r="11" spans="1:24" ht="15.75" x14ac:dyDescent="0.25">
      <c r="B11" s="64"/>
      <c r="C11" s="188" t="s">
        <v>249</v>
      </c>
      <c r="D11" s="196" t="s">
        <v>85</v>
      </c>
      <c r="E11" s="197">
        <v>1.8874999999999999E-2</v>
      </c>
      <c r="F11" s="29"/>
      <c r="G11" s="29"/>
      <c r="H11" s="29"/>
      <c r="I11" s="29"/>
      <c r="J11" s="29"/>
      <c r="K11" s="29"/>
      <c r="L11" s="29"/>
      <c r="M11" s="29"/>
      <c r="N11" s="29"/>
      <c r="O11" s="29"/>
      <c r="P11" s="29"/>
      <c r="Q11" s="29"/>
      <c r="R11" s="29"/>
      <c r="S11" s="29"/>
      <c r="T11" s="29"/>
      <c r="U11" s="25"/>
      <c r="W11" s="180" t="s">
        <v>111</v>
      </c>
      <c r="X11" s="239">
        <v>6.765199999999999E-2</v>
      </c>
    </row>
    <row r="12" spans="1:24" ht="15.75" x14ac:dyDescent="0.25">
      <c r="B12" s="64"/>
      <c r="C12" s="188" t="s">
        <v>189</v>
      </c>
      <c r="D12" s="196" t="s">
        <v>107</v>
      </c>
      <c r="E12" s="197">
        <v>1.8696999999999998E-2</v>
      </c>
      <c r="F12" s="29"/>
      <c r="G12" s="29"/>
      <c r="H12" s="29"/>
      <c r="I12" s="29"/>
      <c r="J12" s="29"/>
      <c r="K12" s="29"/>
      <c r="L12" s="29"/>
      <c r="M12" s="29"/>
      <c r="N12" s="29"/>
      <c r="O12" s="29"/>
      <c r="P12" s="29"/>
      <c r="Q12" s="29"/>
      <c r="R12" s="29"/>
      <c r="S12" s="29"/>
      <c r="T12" s="29"/>
      <c r="U12" s="25"/>
      <c r="W12" s="180" t="s">
        <v>107</v>
      </c>
      <c r="X12" s="239">
        <v>6.7616999999999997E-2</v>
      </c>
    </row>
    <row r="13" spans="1:24" ht="15.75" x14ac:dyDescent="0.25">
      <c r="B13" s="64"/>
      <c r="C13" s="188" t="s">
        <v>227</v>
      </c>
      <c r="D13" s="196" t="s">
        <v>184</v>
      </c>
      <c r="E13" s="197">
        <v>1.7876E-2</v>
      </c>
      <c r="F13" s="29"/>
      <c r="G13" s="29"/>
      <c r="H13" s="29"/>
      <c r="I13" s="29"/>
      <c r="J13" s="29"/>
      <c r="K13" s="29"/>
      <c r="L13" s="29"/>
      <c r="M13" s="29"/>
      <c r="N13" s="29"/>
      <c r="O13" s="29"/>
      <c r="P13" s="29"/>
      <c r="Q13" s="29"/>
      <c r="R13" s="29"/>
      <c r="S13" s="29"/>
      <c r="T13" s="29"/>
      <c r="U13" s="25"/>
      <c r="W13" s="180" t="s">
        <v>4</v>
      </c>
      <c r="X13" s="239">
        <v>5.5718999999999991E-2</v>
      </c>
    </row>
    <row r="14" spans="1:24" ht="15.75" x14ac:dyDescent="0.25">
      <c r="B14" s="64"/>
      <c r="C14" s="188" t="s">
        <v>241</v>
      </c>
      <c r="D14" s="196" t="s">
        <v>16</v>
      </c>
      <c r="E14" s="197">
        <v>1.7795999999999999E-2</v>
      </c>
      <c r="F14" s="29"/>
      <c r="G14" s="29"/>
      <c r="H14" s="29"/>
      <c r="I14" s="29"/>
      <c r="J14" s="29"/>
      <c r="K14" s="29"/>
      <c r="L14" s="29"/>
      <c r="M14" s="29"/>
      <c r="N14" s="29"/>
      <c r="O14" s="29"/>
      <c r="P14" s="29"/>
      <c r="Q14" s="29"/>
      <c r="R14" s="29"/>
      <c r="S14" s="29"/>
      <c r="T14" s="29"/>
      <c r="U14" s="25"/>
      <c r="W14" s="180" t="s">
        <v>119</v>
      </c>
      <c r="X14" s="239">
        <v>4.5249999999999999E-2</v>
      </c>
    </row>
    <row r="15" spans="1:24" ht="15.75" x14ac:dyDescent="0.25">
      <c r="B15" s="64"/>
      <c r="C15" s="188" t="s">
        <v>194</v>
      </c>
      <c r="D15" s="196" t="s">
        <v>107</v>
      </c>
      <c r="E15" s="197">
        <v>1.7166000000000001E-2</v>
      </c>
      <c r="F15" s="29"/>
      <c r="G15" s="29"/>
      <c r="H15" s="29"/>
      <c r="I15" s="29"/>
      <c r="J15" s="29"/>
      <c r="K15" s="29"/>
      <c r="L15" s="29"/>
      <c r="M15" s="29"/>
      <c r="N15" s="29"/>
      <c r="O15" s="29"/>
      <c r="P15" s="29"/>
      <c r="Q15" s="29"/>
      <c r="R15" s="29"/>
      <c r="S15" s="29"/>
      <c r="T15" s="29"/>
      <c r="U15" s="25"/>
      <c r="W15" s="180" t="s">
        <v>16</v>
      </c>
      <c r="X15" s="239">
        <v>4.1134000000000004E-2</v>
      </c>
    </row>
    <row r="16" spans="1:24" ht="15.75" x14ac:dyDescent="0.25">
      <c r="B16" s="64"/>
      <c r="C16" s="188" t="s">
        <v>281</v>
      </c>
      <c r="D16" s="196" t="s">
        <v>3</v>
      </c>
      <c r="E16" s="197">
        <v>1.5365999999999999E-2</v>
      </c>
      <c r="F16" s="29"/>
      <c r="G16" s="29"/>
      <c r="H16" s="29"/>
      <c r="I16" s="29"/>
      <c r="J16" s="29"/>
      <c r="K16" s="29"/>
      <c r="L16" s="29"/>
      <c r="M16" s="29"/>
      <c r="N16" s="29"/>
      <c r="O16" s="29"/>
      <c r="P16" s="29"/>
      <c r="Q16" s="29"/>
      <c r="R16" s="29"/>
      <c r="S16" s="29"/>
      <c r="T16" s="29"/>
      <c r="U16" s="25"/>
      <c r="W16" s="180" t="s">
        <v>77</v>
      </c>
      <c r="X16" s="239">
        <v>3.9616999999999999E-2</v>
      </c>
    </row>
    <row r="17" spans="2:24" ht="15.75" x14ac:dyDescent="0.25">
      <c r="B17" s="64"/>
      <c r="C17" s="188" t="s">
        <v>324</v>
      </c>
      <c r="D17" s="196" t="s">
        <v>111</v>
      </c>
      <c r="E17" s="197">
        <v>1.4729000000000001E-2</v>
      </c>
      <c r="F17" s="29"/>
      <c r="G17" s="29"/>
      <c r="H17" s="29"/>
      <c r="I17" s="29"/>
      <c r="J17" s="29"/>
      <c r="K17" s="29"/>
      <c r="L17" s="29"/>
      <c r="M17" s="29"/>
      <c r="N17" s="29"/>
      <c r="O17" s="29"/>
      <c r="P17" s="29"/>
      <c r="Q17" s="29"/>
      <c r="R17" s="29"/>
      <c r="S17" s="29"/>
      <c r="T17" s="29"/>
      <c r="U17" s="25"/>
      <c r="W17" s="180" t="s">
        <v>116</v>
      </c>
      <c r="X17" s="239">
        <v>3.7405000000000001E-2</v>
      </c>
    </row>
    <row r="18" spans="2:24" ht="15.75" x14ac:dyDescent="0.25">
      <c r="B18" s="64"/>
      <c r="C18" s="188" t="s">
        <v>139</v>
      </c>
      <c r="D18" s="196" t="s">
        <v>24</v>
      </c>
      <c r="E18" s="197">
        <v>1.4061000000000001E-2</v>
      </c>
      <c r="F18" s="29"/>
      <c r="G18" s="29"/>
      <c r="H18" s="29"/>
      <c r="I18" s="29"/>
      <c r="J18" s="29"/>
      <c r="K18" s="29"/>
      <c r="L18" s="29"/>
      <c r="M18" s="29"/>
      <c r="N18" s="29"/>
      <c r="O18" s="29"/>
      <c r="P18" s="29"/>
      <c r="Q18" s="29"/>
      <c r="R18" s="29"/>
      <c r="S18" s="29"/>
      <c r="T18" s="29"/>
      <c r="U18" s="25"/>
      <c r="W18" s="180" t="s">
        <v>85</v>
      </c>
      <c r="X18" s="239">
        <v>3.5077000000000004E-2</v>
      </c>
    </row>
    <row r="19" spans="2:24" ht="15.75" x14ac:dyDescent="0.25">
      <c r="B19" s="64"/>
      <c r="C19" s="188" t="s">
        <v>98</v>
      </c>
      <c r="D19" s="196" t="s">
        <v>119</v>
      </c>
      <c r="E19" s="197">
        <v>1.3938000000000001E-2</v>
      </c>
      <c r="F19" s="29"/>
      <c r="G19" s="29"/>
      <c r="H19" s="29"/>
      <c r="I19" s="29"/>
      <c r="J19" s="29"/>
      <c r="K19" s="29"/>
      <c r="L19" s="29"/>
      <c r="M19" s="29"/>
      <c r="N19" s="29"/>
      <c r="O19" s="29"/>
      <c r="P19" s="29"/>
      <c r="Q19" s="29"/>
      <c r="R19" s="29"/>
      <c r="S19" s="29"/>
      <c r="T19" s="29"/>
      <c r="U19" s="25"/>
      <c r="W19" s="180" t="s">
        <v>113</v>
      </c>
      <c r="X19" s="239">
        <v>3.4081E-2</v>
      </c>
    </row>
    <row r="20" spans="2:24" ht="15.75" x14ac:dyDescent="0.25">
      <c r="B20" s="64"/>
      <c r="C20" s="188" t="s">
        <v>370</v>
      </c>
      <c r="D20" s="196" t="s">
        <v>12</v>
      </c>
      <c r="E20" s="197">
        <v>1.2925000000000001E-2</v>
      </c>
      <c r="F20" s="29"/>
      <c r="G20" s="29"/>
      <c r="H20" s="29"/>
      <c r="I20" s="29"/>
      <c r="J20" s="29"/>
      <c r="K20" s="29"/>
      <c r="L20" s="29"/>
      <c r="M20" s="29"/>
      <c r="N20" s="29"/>
      <c r="O20" s="29"/>
      <c r="P20" s="29"/>
      <c r="Q20" s="29"/>
      <c r="R20" s="29"/>
      <c r="S20" s="29"/>
      <c r="T20" s="29"/>
      <c r="U20" s="25"/>
      <c r="W20" s="180" t="s">
        <v>118</v>
      </c>
      <c r="X20" s="239">
        <v>2.8632999999999999E-2</v>
      </c>
    </row>
    <row r="21" spans="2:24" ht="15.75" x14ac:dyDescent="0.25">
      <c r="B21" s="64"/>
      <c r="C21" s="188" t="s">
        <v>343</v>
      </c>
      <c r="D21" s="196" t="s">
        <v>85</v>
      </c>
      <c r="E21" s="197">
        <v>1.2670000000000001E-2</v>
      </c>
      <c r="F21" s="29"/>
      <c r="G21" s="29"/>
      <c r="H21" s="29"/>
      <c r="I21" s="29"/>
      <c r="J21" s="29"/>
      <c r="K21" s="29"/>
      <c r="L21" s="29"/>
      <c r="M21" s="29"/>
      <c r="N21" s="29"/>
      <c r="O21" s="29"/>
      <c r="P21" s="29"/>
      <c r="Q21" s="29"/>
      <c r="R21" s="29"/>
      <c r="S21" s="29"/>
      <c r="T21" s="29"/>
      <c r="U21" s="25"/>
      <c r="W21" s="180" t="s">
        <v>84</v>
      </c>
      <c r="X21" s="239">
        <v>2.8048E-2</v>
      </c>
    </row>
    <row r="22" spans="2:24" ht="15.75" x14ac:dyDescent="0.25">
      <c r="B22" s="64"/>
      <c r="C22" s="188" t="s">
        <v>302</v>
      </c>
      <c r="D22" s="196" t="s">
        <v>3</v>
      </c>
      <c r="E22" s="197">
        <v>1.2567E-2</v>
      </c>
      <c r="F22" s="29"/>
      <c r="G22" s="29"/>
      <c r="H22" s="29"/>
      <c r="I22" s="29"/>
      <c r="J22" s="29"/>
      <c r="K22" s="29"/>
      <c r="L22" s="29"/>
      <c r="M22" s="29"/>
      <c r="N22" s="29"/>
      <c r="O22" s="29"/>
      <c r="P22" s="29"/>
      <c r="Q22" s="29"/>
      <c r="R22" s="29"/>
      <c r="S22" s="29"/>
      <c r="T22" s="29"/>
      <c r="U22" s="25"/>
      <c r="W22" s="180" t="s">
        <v>12</v>
      </c>
      <c r="X22" s="239">
        <v>2.7320999999999998E-2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184</v>
      </c>
      <c r="X23" s="239">
        <v>2.6942000000000001E-2</v>
      </c>
    </row>
    <row r="24" spans="2:24" ht="15.75" x14ac:dyDescent="0.25">
      <c r="B24" s="64"/>
      <c r="C24" s="73" t="s">
        <v>55</v>
      </c>
      <c r="D24" s="74"/>
      <c r="E24" s="75">
        <f>SUM(E8:E22)</f>
        <v>0.25130699999999995</v>
      </c>
      <c r="F24" s="29"/>
      <c r="G24" s="29"/>
      <c r="H24" s="29"/>
      <c r="I24" s="29"/>
      <c r="J24" s="29"/>
      <c r="K24" s="29"/>
      <c r="L24" s="29"/>
      <c r="M24" s="29"/>
      <c r="N24" s="29"/>
      <c r="O24" s="29"/>
      <c r="P24" s="29"/>
      <c r="Q24" s="29"/>
      <c r="R24" s="29"/>
      <c r="S24" s="29"/>
      <c r="T24" s="29"/>
      <c r="U24" s="25"/>
      <c r="W24" s="180" t="s">
        <v>121</v>
      </c>
      <c r="X24" s="239">
        <v>1.9875999999999998E-2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115</v>
      </c>
      <c r="X25" s="239">
        <v>1.6899999999999998E-2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86</v>
      </c>
      <c r="X26" s="239">
        <v>1.6407999999999999E-2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1.5709000000000001E-2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83</v>
      </c>
      <c r="X28" s="62">
        <v>1.4154E-2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127</v>
      </c>
      <c r="X29" s="62">
        <v>1.3464E-2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25</v>
      </c>
      <c r="X30" s="62">
        <v>1.3310000000000001E-2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v>
      </c>
      <c r="X31" s="62">
        <v>1.2475E-2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6</v>
      </c>
      <c r="X32" s="62">
        <v>1.1797999999999999E-2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124</v>
      </c>
      <c r="X33" s="62">
        <v>1.1428000000000001E-2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130</v>
      </c>
      <c r="X34" s="62">
        <v>1.1346999999999999E-2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122</v>
      </c>
      <c r="X35" s="62">
        <v>1.0739E-2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26</v>
      </c>
      <c r="X36" s="62">
        <v>1.0707999999999999E-2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23</v>
      </c>
      <c r="X37" s="62">
        <v>1.0521000000000001E-2</v>
      </c>
    </row>
    <row r="38" spans="2:24" ht="15.75" thickBot="1" x14ac:dyDescent="0.3">
      <c r="W38" s="61" t="s">
        <v>137</v>
      </c>
      <c r="X38" s="62">
        <v>1.0168999999999999E-2</v>
      </c>
    </row>
    <row r="39" spans="2:24" x14ac:dyDescent="0.25">
      <c r="B39" s="269" t="s">
        <v>182</v>
      </c>
      <c r="C39" s="270"/>
      <c r="D39" s="270"/>
      <c r="E39" s="270"/>
      <c r="F39" s="270"/>
      <c r="G39" s="270"/>
      <c r="H39" s="270"/>
      <c r="I39" s="270"/>
      <c r="J39" s="270"/>
      <c r="K39" s="270"/>
      <c r="L39" s="270"/>
      <c r="M39" s="270"/>
      <c r="N39" s="270"/>
      <c r="O39" s="270"/>
      <c r="P39" s="270"/>
      <c r="Q39" s="270"/>
      <c r="R39" s="271"/>
      <c r="W39" s="61" t="s">
        <v>13</v>
      </c>
      <c r="X39" s="62">
        <v>7.9640000000000006E-3</v>
      </c>
    </row>
    <row r="40" spans="2:24" x14ac:dyDescent="0.25">
      <c r="B40" s="272"/>
      <c r="C40" s="273"/>
      <c r="D40" s="273"/>
      <c r="E40" s="273"/>
      <c r="F40" s="273"/>
      <c r="G40" s="273"/>
      <c r="H40" s="273"/>
      <c r="I40" s="273"/>
      <c r="J40" s="273"/>
      <c r="K40" s="273"/>
      <c r="L40" s="273"/>
      <c r="M40" s="273"/>
      <c r="N40" s="273"/>
      <c r="O40" s="273"/>
      <c r="P40" s="273"/>
      <c r="Q40" s="273"/>
      <c r="R40" s="274"/>
      <c r="W40" s="61" t="s">
        <v>146</v>
      </c>
      <c r="X40" s="62">
        <v>7.8899999999999994E-3</v>
      </c>
    </row>
    <row r="41" spans="2:24" x14ac:dyDescent="0.25">
      <c r="B41" s="272"/>
      <c r="C41" s="273"/>
      <c r="D41" s="273"/>
      <c r="E41" s="273"/>
      <c r="F41" s="273"/>
      <c r="G41" s="273"/>
      <c r="H41" s="273"/>
      <c r="I41" s="273"/>
      <c r="J41" s="273"/>
      <c r="K41" s="273"/>
      <c r="L41" s="273"/>
      <c r="M41" s="273"/>
      <c r="N41" s="273"/>
      <c r="O41" s="273"/>
      <c r="P41" s="273"/>
      <c r="Q41" s="273"/>
      <c r="R41" s="274"/>
      <c r="W41" s="61" t="s">
        <v>114</v>
      </c>
      <c r="X41" s="62">
        <v>7.7549999999999997E-3</v>
      </c>
    </row>
    <row r="42" spans="2:24" x14ac:dyDescent="0.25">
      <c r="B42" s="272"/>
      <c r="C42" s="273"/>
      <c r="D42" s="273"/>
      <c r="E42" s="273"/>
      <c r="F42" s="273"/>
      <c r="G42" s="273"/>
      <c r="H42" s="273"/>
      <c r="I42" s="273"/>
      <c r="J42" s="273"/>
      <c r="K42" s="273"/>
      <c r="L42" s="273"/>
      <c r="M42" s="273"/>
      <c r="N42" s="273"/>
      <c r="O42" s="273"/>
      <c r="P42" s="273"/>
      <c r="Q42" s="273"/>
      <c r="R42" s="274"/>
      <c r="W42" s="61" t="s">
        <v>123</v>
      </c>
      <c r="X42" s="62">
        <v>4.7949999999999998E-3</v>
      </c>
    </row>
    <row r="43" spans="2:24" x14ac:dyDescent="0.25">
      <c r="B43" s="272"/>
      <c r="C43" s="273"/>
      <c r="D43" s="273"/>
      <c r="E43" s="273"/>
      <c r="F43" s="273"/>
      <c r="G43" s="273"/>
      <c r="H43" s="273"/>
      <c r="I43" s="273"/>
      <c r="J43" s="273"/>
      <c r="K43" s="273"/>
      <c r="L43" s="273"/>
      <c r="M43" s="273"/>
      <c r="N43" s="273"/>
      <c r="O43" s="273"/>
      <c r="P43" s="273"/>
      <c r="Q43" s="273"/>
      <c r="R43" s="274"/>
      <c r="W43" s="61" t="s">
        <v>15</v>
      </c>
      <c r="X43" s="62">
        <v>4.4799999999999996E-3</v>
      </c>
    </row>
    <row r="44" spans="2:24" x14ac:dyDescent="0.25">
      <c r="B44" s="272"/>
      <c r="C44" s="273"/>
      <c r="D44" s="273"/>
      <c r="E44" s="273"/>
      <c r="F44" s="273"/>
      <c r="G44" s="273"/>
      <c r="H44" s="273"/>
      <c r="I44" s="273"/>
      <c r="J44" s="273"/>
      <c r="K44" s="273"/>
      <c r="L44" s="273"/>
      <c r="M44" s="273"/>
      <c r="N44" s="273"/>
      <c r="O44" s="273"/>
      <c r="P44" s="273"/>
      <c r="Q44" s="273"/>
      <c r="R44" s="274"/>
      <c r="W44" s="61" t="s">
        <v>106</v>
      </c>
      <c r="X44" s="62">
        <v>4.3730000000000002E-3</v>
      </c>
    </row>
    <row r="45" spans="2:24" ht="15.75" thickBot="1" x14ac:dyDescent="0.3">
      <c r="B45" s="275"/>
      <c r="C45" s="276"/>
      <c r="D45" s="276"/>
      <c r="E45" s="276"/>
      <c r="F45" s="276"/>
      <c r="G45" s="276"/>
      <c r="H45" s="276"/>
      <c r="I45" s="276"/>
      <c r="J45" s="276"/>
      <c r="K45" s="276"/>
      <c r="L45" s="276"/>
      <c r="M45" s="276"/>
      <c r="N45" s="276"/>
      <c r="O45" s="276"/>
      <c r="P45" s="276"/>
      <c r="Q45" s="276"/>
      <c r="R45" s="277"/>
      <c r="W45" s="61" t="s">
        <v>87</v>
      </c>
      <c r="X45" s="62">
        <v>3.1549999999999998E-3</v>
      </c>
    </row>
    <row r="46" spans="2:24" x14ac:dyDescent="0.25">
      <c r="W46" s="61" t="s">
        <v>95</v>
      </c>
      <c r="X46" s="62">
        <v>1.92E-3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333</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409</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79</v>
      </c>
      <c r="D8" s="194" t="s">
        <v>3</v>
      </c>
      <c r="E8" s="195">
        <v>5.5312E-2</v>
      </c>
      <c r="F8" s="29"/>
      <c r="G8" s="29"/>
      <c r="H8" s="29"/>
      <c r="I8" s="29"/>
      <c r="J8" s="29"/>
      <c r="K8" s="29"/>
      <c r="L8" s="29"/>
      <c r="M8" s="29"/>
      <c r="N8" s="29"/>
      <c r="O8" s="29"/>
      <c r="P8" s="29"/>
      <c r="Q8" s="29"/>
      <c r="R8" s="29"/>
      <c r="S8" s="29"/>
      <c r="T8" s="29"/>
      <c r="U8" s="25"/>
      <c r="W8" s="180" t="s">
        <v>3</v>
      </c>
      <c r="X8" s="239">
        <v>0.17685499999999998</v>
      </c>
    </row>
    <row r="9" spans="1:24" ht="15.75" x14ac:dyDescent="0.25">
      <c r="B9" s="64"/>
      <c r="C9" s="188" t="s">
        <v>344</v>
      </c>
      <c r="D9" s="196" t="s">
        <v>10</v>
      </c>
      <c r="E9" s="197">
        <v>5.0878E-2</v>
      </c>
      <c r="F9" s="29"/>
      <c r="G9" s="29"/>
      <c r="H9" s="29"/>
      <c r="I9" s="29"/>
      <c r="J9" s="29"/>
      <c r="K9" s="29"/>
      <c r="L9" s="29"/>
      <c r="M9" s="29"/>
      <c r="N9" s="29"/>
      <c r="O9" s="29"/>
      <c r="P9" s="29"/>
      <c r="Q9" s="29"/>
      <c r="R9" s="29"/>
      <c r="S9" s="29"/>
      <c r="T9" s="29"/>
      <c r="U9" s="25"/>
      <c r="W9" s="180" t="s">
        <v>10</v>
      </c>
      <c r="X9" s="239">
        <v>0.10391700000000001</v>
      </c>
    </row>
    <row r="10" spans="1:24" ht="15.75" x14ac:dyDescent="0.25">
      <c r="B10" s="64"/>
      <c r="C10" s="188" t="s">
        <v>260</v>
      </c>
      <c r="D10" s="196" t="s">
        <v>83</v>
      </c>
      <c r="E10" s="197">
        <v>4.8661000000000003E-2</v>
      </c>
      <c r="F10" s="29"/>
      <c r="G10" s="29"/>
      <c r="H10" s="29"/>
      <c r="I10" s="29"/>
      <c r="J10" s="29"/>
      <c r="K10" s="29"/>
      <c r="L10" s="29"/>
      <c r="M10" s="29"/>
      <c r="N10" s="29"/>
      <c r="O10" s="29"/>
      <c r="P10" s="29"/>
      <c r="Q10" s="29"/>
      <c r="R10" s="29"/>
      <c r="S10" s="29"/>
      <c r="T10" s="29"/>
      <c r="U10" s="25"/>
      <c r="W10" s="180" t="s">
        <v>4</v>
      </c>
      <c r="X10" s="239">
        <v>9.4474000000000002E-2</v>
      </c>
    </row>
    <row r="11" spans="1:24" ht="15.75" x14ac:dyDescent="0.25">
      <c r="B11" s="64"/>
      <c r="C11" s="188" t="s">
        <v>304</v>
      </c>
      <c r="D11" s="196" t="s">
        <v>133</v>
      </c>
      <c r="E11" s="197">
        <v>4.6050000000000001E-2</v>
      </c>
      <c r="F11" s="29"/>
      <c r="G11" s="29"/>
      <c r="H11" s="29"/>
      <c r="I11" s="29"/>
      <c r="J11" s="29"/>
      <c r="K11" s="29"/>
      <c r="L11" s="29"/>
      <c r="M11" s="29"/>
      <c r="N11" s="29"/>
      <c r="O11" s="29"/>
      <c r="P11" s="29"/>
      <c r="Q11" s="29"/>
      <c r="R11" s="29"/>
      <c r="S11" s="29"/>
      <c r="T11" s="29"/>
      <c r="U11" s="25"/>
      <c r="W11" s="180" t="s">
        <v>6</v>
      </c>
      <c r="X11" s="239">
        <v>8.8259000000000004E-2</v>
      </c>
    </row>
    <row r="12" spans="1:24" ht="15.75" x14ac:dyDescent="0.25">
      <c r="B12" s="64"/>
      <c r="C12" s="188" t="s">
        <v>345</v>
      </c>
      <c r="D12" s="196" t="s">
        <v>15</v>
      </c>
      <c r="E12" s="197">
        <v>4.5581000000000003E-2</v>
      </c>
      <c r="F12" s="29"/>
      <c r="G12" s="29"/>
      <c r="H12" s="29"/>
      <c r="I12" s="29"/>
      <c r="J12" s="29"/>
      <c r="K12" s="29"/>
      <c r="L12" s="29"/>
      <c r="M12" s="29"/>
      <c r="N12" s="29"/>
      <c r="O12" s="29"/>
      <c r="P12" s="29"/>
      <c r="Q12" s="29"/>
      <c r="R12" s="29"/>
      <c r="S12" s="29"/>
      <c r="T12" s="29"/>
      <c r="U12" s="25"/>
      <c r="W12" s="180" t="s">
        <v>15</v>
      </c>
      <c r="X12" s="239">
        <v>7.9321000000000003E-2</v>
      </c>
    </row>
    <row r="13" spans="1:24" ht="15.75" x14ac:dyDescent="0.25">
      <c r="B13" s="64"/>
      <c r="C13" s="188" t="s">
        <v>346</v>
      </c>
      <c r="D13" s="196" t="s">
        <v>13</v>
      </c>
      <c r="E13" s="197">
        <v>4.5060000000000003E-2</v>
      </c>
      <c r="F13" s="29"/>
      <c r="G13" s="29"/>
      <c r="H13" s="29"/>
      <c r="I13" s="29"/>
      <c r="J13" s="29"/>
      <c r="K13" s="29"/>
      <c r="L13" s="29"/>
      <c r="M13" s="29"/>
      <c r="N13" s="29"/>
      <c r="O13" s="29"/>
      <c r="P13" s="29"/>
      <c r="Q13" s="29"/>
      <c r="R13" s="29"/>
      <c r="S13" s="29"/>
      <c r="T13" s="29"/>
      <c r="U13" s="25"/>
      <c r="W13" s="180" t="s">
        <v>11</v>
      </c>
      <c r="X13" s="239">
        <v>6.3721E-2</v>
      </c>
    </row>
    <row r="14" spans="1:24" ht="15.75" x14ac:dyDescent="0.25">
      <c r="B14" s="64"/>
      <c r="C14" s="188" t="s">
        <v>347</v>
      </c>
      <c r="D14" s="196" t="s">
        <v>11</v>
      </c>
      <c r="E14" s="197">
        <v>4.4677000000000001E-2</v>
      </c>
      <c r="F14" s="29"/>
      <c r="G14" s="29"/>
      <c r="H14" s="29"/>
      <c r="I14" s="29"/>
      <c r="J14" s="29"/>
      <c r="K14" s="29"/>
      <c r="L14" s="29"/>
      <c r="M14" s="29"/>
      <c r="N14" s="29"/>
      <c r="O14" s="29"/>
      <c r="P14" s="29"/>
      <c r="Q14" s="29"/>
      <c r="R14" s="29"/>
      <c r="S14" s="29"/>
      <c r="T14" s="29"/>
      <c r="U14" s="25"/>
      <c r="W14" s="180" t="s">
        <v>118</v>
      </c>
      <c r="X14" s="239">
        <v>5.7327999999999997E-2</v>
      </c>
    </row>
    <row r="15" spans="1:24" ht="15.75" x14ac:dyDescent="0.25">
      <c r="B15" s="64"/>
      <c r="C15" s="188" t="s">
        <v>62</v>
      </c>
      <c r="D15" s="196" t="s">
        <v>10</v>
      </c>
      <c r="E15" s="197">
        <v>4.4472999999999999E-2</v>
      </c>
      <c r="F15" s="29"/>
      <c r="G15" s="29"/>
      <c r="H15" s="29"/>
      <c r="I15" s="29"/>
      <c r="J15" s="29"/>
      <c r="K15" s="29"/>
      <c r="L15" s="29"/>
      <c r="M15" s="29"/>
      <c r="N15" s="29"/>
      <c r="O15" s="29"/>
      <c r="P15" s="29"/>
      <c r="Q15" s="29"/>
      <c r="R15" s="29"/>
      <c r="S15" s="29"/>
      <c r="T15" s="29"/>
      <c r="U15" s="25"/>
      <c r="W15" s="180" t="s">
        <v>13</v>
      </c>
      <c r="X15" s="239">
        <v>5.6999000000000001E-2</v>
      </c>
    </row>
    <row r="16" spans="1:24" ht="15.75" x14ac:dyDescent="0.25">
      <c r="B16" s="64"/>
      <c r="C16" s="188" t="s">
        <v>203</v>
      </c>
      <c r="D16" s="196" t="s">
        <v>131</v>
      </c>
      <c r="E16" s="197">
        <v>4.4032000000000002E-2</v>
      </c>
      <c r="F16" s="29"/>
      <c r="G16" s="29"/>
      <c r="H16" s="29"/>
      <c r="I16" s="29"/>
      <c r="J16" s="29"/>
      <c r="K16" s="29"/>
      <c r="L16" s="29"/>
      <c r="M16" s="29"/>
      <c r="N16" s="29"/>
      <c r="O16" s="29"/>
      <c r="P16" s="29"/>
      <c r="Q16" s="29"/>
      <c r="R16" s="29"/>
      <c r="S16" s="29"/>
      <c r="T16" s="29"/>
      <c r="U16" s="25"/>
      <c r="W16" s="180" t="s">
        <v>83</v>
      </c>
      <c r="X16" s="239">
        <v>4.8661000000000003E-2</v>
      </c>
    </row>
    <row r="17" spans="2:24" ht="15.75" x14ac:dyDescent="0.25">
      <c r="B17" s="64"/>
      <c r="C17" s="188" t="s">
        <v>348</v>
      </c>
      <c r="D17" s="196" t="s">
        <v>6</v>
      </c>
      <c r="E17" s="197">
        <v>3.5499999999999997E-2</v>
      </c>
      <c r="F17" s="29"/>
      <c r="G17" s="29"/>
      <c r="H17" s="29"/>
      <c r="I17" s="29"/>
      <c r="J17" s="29"/>
      <c r="K17" s="29"/>
      <c r="L17" s="29"/>
      <c r="M17" s="29"/>
      <c r="N17" s="29"/>
      <c r="O17" s="29"/>
      <c r="P17" s="29"/>
      <c r="Q17" s="29"/>
      <c r="R17" s="29"/>
      <c r="S17" s="29"/>
      <c r="T17" s="29"/>
      <c r="U17" s="25"/>
      <c r="W17" s="180" t="s">
        <v>133</v>
      </c>
      <c r="X17" s="239">
        <v>4.6050000000000001E-2</v>
      </c>
    </row>
    <row r="18" spans="2:24" ht="15.75" x14ac:dyDescent="0.25">
      <c r="B18" s="64"/>
      <c r="C18" s="188" t="s">
        <v>76</v>
      </c>
      <c r="D18" s="196" t="s">
        <v>4</v>
      </c>
      <c r="E18" s="197">
        <v>3.5208000000000003E-2</v>
      </c>
      <c r="F18" s="29"/>
      <c r="G18" s="29"/>
      <c r="H18" s="29"/>
      <c r="I18" s="29"/>
      <c r="J18" s="29"/>
      <c r="K18" s="29"/>
      <c r="L18" s="29"/>
      <c r="M18" s="29"/>
      <c r="N18" s="29"/>
      <c r="O18" s="29"/>
      <c r="P18" s="29"/>
      <c r="Q18" s="29"/>
      <c r="R18" s="29"/>
      <c r="S18" s="29"/>
      <c r="T18" s="29"/>
      <c r="U18" s="25"/>
      <c r="W18" s="180" t="s">
        <v>131</v>
      </c>
      <c r="X18" s="239">
        <v>4.4032000000000002E-2</v>
      </c>
    </row>
    <row r="19" spans="2:24" ht="15.75" x14ac:dyDescent="0.25">
      <c r="B19" s="64"/>
      <c r="C19" s="188" t="s">
        <v>350</v>
      </c>
      <c r="D19" s="196" t="s">
        <v>118</v>
      </c>
      <c r="E19" s="197">
        <v>3.3202999999999996E-2</v>
      </c>
      <c r="F19" s="29"/>
      <c r="G19" s="29"/>
      <c r="H19" s="29"/>
      <c r="I19" s="29"/>
      <c r="J19" s="29"/>
      <c r="K19" s="29"/>
      <c r="L19" s="29"/>
      <c r="M19" s="29"/>
      <c r="N19" s="29"/>
      <c r="O19" s="29"/>
      <c r="P19" s="29"/>
      <c r="Q19" s="29"/>
      <c r="R19" s="29"/>
      <c r="S19" s="29"/>
      <c r="T19" s="29"/>
      <c r="U19" s="25"/>
      <c r="W19" s="180" t="s">
        <v>25</v>
      </c>
      <c r="X19" s="239">
        <v>3.5991999999999996E-2</v>
      </c>
    </row>
    <row r="20" spans="2:24" ht="15.75" x14ac:dyDescent="0.25">
      <c r="B20" s="64"/>
      <c r="C20" s="188" t="s">
        <v>349</v>
      </c>
      <c r="D20" s="196" t="s">
        <v>6</v>
      </c>
      <c r="E20" s="197">
        <v>3.0383E-2</v>
      </c>
      <c r="F20" s="29"/>
      <c r="G20" s="29"/>
      <c r="H20" s="29"/>
      <c r="I20" s="29"/>
      <c r="J20" s="29"/>
      <c r="K20" s="29"/>
      <c r="L20" s="29"/>
      <c r="M20" s="29"/>
      <c r="N20" s="29"/>
      <c r="O20" s="29"/>
      <c r="P20" s="29"/>
      <c r="Q20" s="29"/>
      <c r="R20" s="29"/>
      <c r="S20" s="29"/>
      <c r="T20" s="29"/>
      <c r="U20" s="25"/>
      <c r="W20" s="180" t="s">
        <v>116</v>
      </c>
      <c r="X20" s="239">
        <v>2.2020999999999999E-2</v>
      </c>
    </row>
    <row r="21" spans="2:24" ht="15.75" x14ac:dyDescent="0.25">
      <c r="B21" s="64"/>
      <c r="C21" s="188" t="s">
        <v>301</v>
      </c>
      <c r="D21" s="196" t="s">
        <v>3</v>
      </c>
      <c r="E21" s="197">
        <v>2.5045999999999999E-2</v>
      </c>
      <c r="F21" s="29"/>
      <c r="G21" s="29"/>
      <c r="H21" s="29"/>
      <c r="I21" s="29"/>
      <c r="J21" s="29"/>
      <c r="K21" s="29"/>
      <c r="L21" s="29"/>
      <c r="M21" s="29"/>
      <c r="N21" s="29"/>
      <c r="O21" s="29"/>
      <c r="P21" s="29"/>
      <c r="Q21" s="29"/>
      <c r="R21" s="29"/>
      <c r="S21" s="29"/>
      <c r="T21" s="29"/>
      <c r="U21" s="25"/>
      <c r="W21" s="180" t="s">
        <v>146</v>
      </c>
      <c r="X21" s="239">
        <v>1.6701000000000001E-2</v>
      </c>
    </row>
    <row r="22" spans="2:24" ht="15.75" x14ac:dyDescent="0.25">
      <c r="B22" s="64"/>
      <c r="C22" s="188" t="s">
        <v>69</v>
      </c>
      <c r="D22" s="196" t="s">
        <v>4</v>
      </c>
      <c r="E22" s="197">
        <v>2.3595000000000001E-2</v>
      </c>
      <c r="F22" s="29"/>
      <c r="G22" s="29"/>
      <c r="H22" s="29"/>
      <c r="I22" s="29"/>
      <c r="J22" s="29"/>
      <c r="K22" s="29"/>
      <c r="L22" s="29"/>
      <c r="M22" s="29"/>
      <c r="N22" s="29"/>
      <c r="O22" s="29"/>
      <c r="P22" s="29"/>
      <c r="Q22" s="29"/>
      <c r="R22" s="29"/>
      <c r="S22" s="29"/>
      <c r="T22" s="29"/>
      <c r="U22" s="25"/>
      <c r="W22" s="180" t="s">
        <v>126</v>
      </c>
      <c r="X22" s="239">
        <v>1.5966999999999999E-2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124</v>
      </c>
      <c r="X23" s="239">
        <v>1.1609E-2</v>
      </c>
    </row>
    <row r="24" spans="2:24" ht="15.75" x14ac:dyDescent="0.25">
      <c r="B24" s="64"/>
      <c r="C24" s="73" t="s">
        <v>55</v>
      </c>
      <c r="D24" s="74"/>
      <c r="E24" s="75">
        <f>SUM(E8:E22)</f>
        <v>0.60765900000000017</v>
      </c>
      <c r="F24" s="29"/>
      <c r="G24" s="29"/>
      <c r="H24" s="29"/>
      <c r="I24" s="29"/>
      <c r="J24" s="29"/>
      <c r="K24" s="29"/>
      <c r="L24" s="29"/>
      <c r="M24" s="29"/>
      <c r="N24" s="29"/>
      <c r="O24" s="29"/>
      <c r="P24" s="29"/>
      <c r="Q24" s="29"/>
      <c r="R24" s="29"/>
      <c r="S24" s="29"/>
      <c r="T24" s="29"/>
      <c r="U24" s="25"/>
      <c r="W24" s="180" t="s">
        <v>95</v>
      </c>
      <c r="X24" s="239">
        <v>9.9959999999999997E-3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23</v>
      </c>
      <c r="X25" s="239">
        <v>9.4330000000000004E-3</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334</v>
      </c>
      <c r="D3" s="279"/>
      <c r="E3" s="279"/>
      <c r="F3" s="279"/>
      <c r="G3" s="279"/>
      <c r="H3" s="279"/>
      <c r="I3" s="279"/>
      <c r="J3" s="279"/>
      <c r="K3" s="279"/>
      <c r="L3" s="279"/>
      <c r="M3" s="279"/>
      <c r="N3" s="279"/>
      <c r="O3" s="279"/>
      <c r="P3" s="279"/>
      <c r="Q3" s="279"/>
      <c r="R3" s="279"/>
      <c r="S3" s="279"/>
      <c r="T3" s="65"/>
      <c r="U3" s="66"/>
    </row>
    <row r="4" spans="1:24" ht="15.75" x14ac:dyDescent="0.25">
      <c r="B4" s="64"/>
      <c r="C4" s="67" t="s">
        <v>412</v>
      </c>
      <c r="D4" s="29"/>
      <c r="E4" s="29"/>
      <c r="F4" s="29"/>
      <c r="G4" s="29"/>
      <c r="H4" s="29"/>
      <c r="I4" s="29"/>
      <c r="J4" s="29"/>
      <c r="K4" s="29"/>
      <c r="L4" s="29"/>
      <c r="M4" s="29"/>
      <c r="N4" s="29"/>
      <c r="O4" s="29"/>
      <c r="P4" s="29"/>
      <c r="Q4" s="29"/>
      <c r="R4" s="29"/>
      <c r="S4" s="29"/>
      <c r="T4" s="29"/>
      <c r="U4" s="25"/>
    </row>
    <row r="5" spans="1:24" ht="20.25" x14ac:dyDescent="0.25">
      <c r="B5" s="64"/>
      <c r="C5" s="221" t="s">
        <v>411</v>
      </c>
      <c r="D5" s="282" t="s">
        <v>410</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138</v>
      </c>
      <c r="D8" s="194" t="s">
        <v>26</v>
      </c>
      <c r="E8" s="195">
        <v>6.5013000000000001E-2</v>
      </c>
      <c r="F8" s="29"/>
      <c r="G8" s="29"/>
      <c r="H8" s="29"/>
      <c r="I8" s="29"/>
      <c r="J8" s="29"/>
      <c r="K8" s="29"/>
      <c r="L8" s="29"/>
      <c r="M8" s="29"/>
      <c r="N8" s="29"/>
      <c r="O8" s="29"/>
      <c r="P8" s="29"/>
      <c r="Q8" s="29"/>
      <c r="R8" s="29"/>
      <c r="S8" s="29"/>
      <c r="T8" s="29"/>
      <c r="U8" s="25"/>
      <c r="W8" s="180" t="s">
        <v>119</v>
      </c>
      <c r="X8" s="239">
        <v>0.15254700000000002</v>
      </c>
    </row>
    <row r="9" spans="1:24" ht="15.75" x14ac:dyDescent="0.25">
      <c r="B9" s="64"/>
      <c r="C9" s="188" t="s">
        <v>120</v>
      </c>
      <c r="D9" s="196" t="s">
        <v>112</v>
      </c>
      <c r="E9" s="197">
        <v>5.2035999999999999E-2</v>
      </c>
      <c r="F9" s="29"/>
      <c r="G9" s="29"/>
      <c r="H9" s="29"/>
      <c r="I9" s="29"/>
      <c r="J9" s="29"/>
      <c r="K9" s="29"/>
      <c r="L9" s="29"/>
      <c r="M9" s="29"/>
      <c r="N9" s="29"/>
      <c r="O9" s="29"/>
      <c r="P9" s="29"/>
      <c r="Q9" s="29"/>
      <c r="R9" s="29"/>
      <c r="S9" s="29"/>
      <c r="T9" s="29"/>
      <c r="U9" s="25"/>
      <c r="W9" s="180" t="s">
        <v>4</v>
      </c>
      <c r="X9" s="239">
        <v>0.11143800000000001</v>
      </c>
    </row>
    <row r="10" spans="1:24" ht="15.75" x14ac:dyDescent="0.25">
      <c r="B10" s="64"/>
      <c r="C10" s="188" t="s">
        <v>129</v>
      </c>
      <c r="D10" s="196" t="s">
        <v>87</v>
      </c>
      <c r="E10" s="197">
        <v>5.0779999999999999E-2</v>
      </c>
      <c r="F10" s="29"/>
      <c r="G10" s="29"/>
      <c r="H10" s="29"/>
      <c r="I10" s="29"/>
      <c r="J10" s="29"/>
      <c r="K10" s="29"/>
      <c r="L10" s="29"/>
      <c r="M10" s="29"/>
      <c r="N10" s="29"/>
      <c r="O10" s="29"/>
      <c r="P10" s="29"/>
      <c r="Q10" s="29"/>
      <c r="R10" s="29"/>
      <c r="S10" s="29"/>
      <c r="T10" s="29"/>
      <c r="U10" s="25"/>
      <c r="W10" s="180" t="s">
        <v>87</v>
      </c>
      <c r="X10" s="239">
        <v>0.101462</v>
      </c>
    </row>
    <row r="11" spans="1:24" ht="15.75" x14ac:dyDescent="0.25">
      <c r="B11" s="64"/>
      <c r="C11" s="188" t="s">
        <v>244</v>
      </c>
      <c r="D11" s="196" t="s">
        <v>119</v>
      </c>
      <c r="E11" s="197">
        <v>4.9793999999999998E-2</v>
      </c>
      <c r="F11" s="29"/>
      <c r="G11" s="29"/>
      <c r="H11" s="29"/>
      <c r="I11" s="29"/>
      <c r="J11" s="29"/>
      <c r="K11" s="29"/>
      <c r="L11" s="29"/>
      <c r="M11" s="29"/>
      <c r="N11" s="29"/>
      <c r="O11" s="29"/>
      <c r="P11" s="29"/>
      <c r="Q11" s="29"/>
      <c r="R11" s="29"/>
      <c r="S11" s="29"/>
      <c r="T11" s="29"/>
      <c r="U11" s="25"/>
      <c r="W11" s="180" t="s">
        <v>112</v>
      </c>
      <c r="X11" s="239">
        <v>9.9780000000000008E-2</v>
      </c>
    </row>
    <row r="12" spans="1:24" ht="15.75" x14ac:dyDescent="0.25">
      <c r="B12" s="64"/>
      <c r="C12" s="188" t="s">
        <v>143</v>
      </c>
      <c r="D12" s="196" t="s">
        <v>112</v>
      </c>
      <c r="E12" s="197">
        <v>4.7744000000000002E-2</v>
      </c>
      <c r="F12" s="29"/>
      <c r="G12" s="29"/>
      <c r="H12" s="29"/>
      <c r="I12" s="29"/>
      <c r="J12" s="29"/>
      <c r="K12" s="29"/>
      <c r="L12" s="29"/>
      <c r="M12" s="29"/>
      <c r="N12" s="29"/>
      <c r="O12" s="29"/>
      <c r="P12" s="29"/>
      <c r="Q12" s="29"/>
      <c r="R12" s="29"/>
      <c r="S12" s="29"/>
      <c r="T12" s="29"/>
      <c r="U12" s="25"/>
      <c r="W12" s="180" t="s">
        <v>10</v>
      </c>
      <c r="X12" s="239">
        <v>9.3260999999999997E-2</v>
      </c>
    </row>
    <row r="13" spans="1:24" ht="15.75" x14ac:dyDescent="0.25">
      <c r="B13" s="64"/>
      <c r="C13" s="188" t="s">
        <v>149</v>
      </c>
      <c r="D13" s="196" t="s">
        <v>87</v>
      </c>
      <c r="E13" s="197">
        <v>4.2552E-2</v>
      </c>
      <c r="F13" s="29"/>
      <c r="G13" s="29"/>
      <c r="H13" s="29"/>
      <c r="I13" s="29"/>
      <c r="J13" s="29"/>
      <c r="K13" s="29"/>
      <c r="L13" s="29"/>
      <c r="M13" s="29"/>
      <c r="N13" s="29"/>
      <c r="O13" s="29"/>
      <c r="P13" s="29"/>
      <c r="Q13" s="29"/>
      <c r="R13" s="29"/>
      <c r="S13" s="29"/>
      <c r="T13" s="29"/>
      <c r="U13" s="25"/>
      <c r="W13" s="180" t="s">
        <v>26</v>
      </c>
      <c r="X13" s="239">
        <v>6.5013000000000001E-2</v>
      </c>
    </row>
    <row r="14" spans="1:24" ht="15.75" x14ac:dyDescent="0.25">
      <c r="B14" s="64"/>
      <c r="C14" s="188" t="s">
        <v>256</v>
      </c>
      <c r="D14" s="196" t="s">
        <v>130</v>
      </c>
      <c r="E14" s="197">
        <v>4.1722000000000002E-2</v>
      </c>
      <c r="F14" s="29"/>
      <c r="G14" s="29"/>
      <c r="H14" s="29"/>
      <c r="I14" s="29"/>
      <c r="J14" s="29"/>
      <c r="K14" s="29"/>
      <c r="L14" s="29"/>
      <c r="M14" s="29"/>
      <c r="N14" s="29"/>
      <c r="O14" s="29"/>
      <c r="P14" s="29"/>
      <c r="Q14" s="29"/>
      <c r="R14" s="29"/>
      <c r="S14" s="29"/>
      <c r="T14" s="29"/>
      <c r="U14" s="25"/>
      <c r="W14" s="180" t="s">
        <v>85</v>
      </c>
      <c r="X14" s="239">
        <v>4.9769000000000001E-2</v>
      </c>
    </row>
    <row r="15" spans="1:24" ht="15.75" x14ac:dyDescent="0.25">
      <c r="B15" s="64"/>
      <c r="C15" s="188" t="s">
        <v>69</v>
      </c>
      <c r="D15" s="196" t="s">
        <v>4</v>
      </c>
      <c r="E15" s="197">
        <v>3.9578000000000002E-2</v>
      </c>
      <c r="F15" s="29"/>
      <c r="G15" s="29"/>
      <c r="H15" s="29"/>
      <c r="I15" s="29"/>
      <c r="J15" s="29"/>
      <c r="K15" s="29"/>
      <c r="L15" s="29"/>
      <c r="M15" s="29"/>
      <c r="N15" s="29"/>
      <c r="O15" s="29"/>
      <c r="P15" s="29"/>
      <c r="Q15" s="29"/>
      <c r="R15" s="29"/>
      <c r="S15" s="29"/>
      <c r="T15" s="29"/>
      <c r="U15" s="25"/>
      <c r="W15" s="180" t="s">
        <v>16</v>
      </c>
      <c r="X15" s="239">
        <v>4.6889E-2</v>
      </c>
    </row>
    <row r="16" spans="1:24" ht="15.75" x14ac:dyDescent="0.25">
      <c r="B16" s="64"/>
      <c r="C16" s="188" t="s">
        <v>76</v>
      </c>
      <c r="D16" s="196" t="s">
        <v>4</v>
      </c>
      <c r="E16" s="197">
        <v>3.8436999999999999E-2</v>
      </c>
      <c r="F16" s="29"/>
      <c r="G16" s="29"/>
      <c r="H16" s="29"/>
      <c r="I16" s="29"/>
      <c r="J16" s="29"/>
      <c r="K16" s="29"/>
      <c r="L16" s="29"/>
      <c r="M16" s="29"/>
      <c r="N16" s="29"/>
      <c r="O16" s="29"/>
      <c r="P16" s="29"/>
      <c r="Q16" s="29"/>
      <c r="R16" s="29"/>
      <c r="S16" s="29"/>
      <c r="T16" s="29"/>
      <c r="U16" s="25"/>
      <c r="W16" s="180" t="s">
        <v>130</v>
      </c>
      <c r="X16" s="239">
        <v>4.1722000000000002E-2</v>
      </c>
    </row>
    <row r="17" spans="2:24" ht="15.75" x14ac:dyDescent="0.25">
      <c r="B17" s="64"/>
      <c r="C17" s="188" t="s">
        <v>241</v>
      </c>
      <c r="D17" s="196" t="s">
        <v>16</v>
      </c>
      <c r="E17" s="197">
        <v>3.6304999999999997E-2</v>
      </c>
      <c r="F17" s="29"/>
      <c r="G17" s="29"/>
      <c r="H17" s="29"/>
      <c r="I17" s="29"/>
      <c r="J17" s="29"/>
      <c r="K17" s="29"/>
      <c r="L17" s="29"/>
      <c r="M17" s="29"/>
      <c r="N17" s="29"/>
      <c r="O17" s="29"/>
      <c r="P17" s="29"/>
      <c r="Q17" s="29"/>
      <c r="R17" s="29"/>
      <c r="S17" s="29"/>
      <c r="T17" s="29"/>
      <c r="U17" s="25"/>
      <c r="W17" s="180" t="s">
        <v>110</v>
      </c>
      <c r="X17" s="239">
        <v>3.9261999999999998E-2</v>
      </c>
    </row>
    <row r="18" spans="2:24" ht="15.75" x14ac:dyDescent="0.25">
      <c r="B18" s="64"/>
      <c r="C18" s="188" t="s">
        <v>273</v>
      </c>
      <c r="D18" s="196" t="s">
        <v>10</v>
      </c>
      <c r="E18" s="197">
        <v>3.5645999999999997E-2</v>
      </c>
      <c r="F18" s="29"/>
      <c r="G18" s="29"/>
      <c r="H18" s="29"/>
      <c r="I18" s="29"/>
      <c r="J18" s="29"/>
      <c r="K18" s="29"/>
      <c r="L18" s="29"/>
      <c r="M18" s="29"/>
      <c r="N18" s="29"/>
      <c r="O18" s="29"/>
      <c r="P18" s="29"/>
      <c r="Q18" s="29"/>
      <c r="R18" s="29"/>
      <c r="S18" s="29"/>
      <c r="T18" s="29"/>
      <c r="U18" s="25"/>
      <c r="W18" s="180" t="s">
        <v>24</v>
      </c>
      <c r="X18" s="239">
        <v>3.5832999999999997E-2</v>
      </c>
    </row>
    <row r="19" spans="2:24" ht="15.75" x14ac:dyDescent="0.25">
      <c r="B19" s="64"/>
      <c r="C19" s="188" t="s">
        <v>249</v>
      </c>
      <c r="D19" s="196" t="s">
        <v>85</v>
      </c>
      <c r="E19" s="197">
        <v>3.4573E-2</v>
      </c>
      <c r="F19" s="29"/>
      <c r="G19" s="29"/>
      <c r="H19" s="29"/>
      <c r="I19" s="29"/>
      <c r="J19" s="29"/>
      <c r="K19" s="29"/>
      <c r="L19" s="29"/>
      <c r="M19" s="29"/>
      <c r="N19" s="29"/>
      <c r="O19" s="29"/>
      <c r="P19" s="29"/>
      <c r="Q19" s="29"/>
      <c r="R19" s="29"/>
      <c r="S19" s="29"/>
      <c r="T19" s="29"/>
      <c r="U19" s="25"/>
      <c r="W19" s="180" t="s">
        <v>137</v>
      </c>
      <c r="X19" s="239">
        <v>2.9516000000000001E-2</v>
      </c>
    </row>
    <row r="20" spans="2:24" ht="15.75" x14ac:dyDescent="0.25">
      <c r="B20" s="64"/>
      <c r="C20" s="188" t="s">
        <v>139</v>
      </c>
      <c r="D20" s="196" t="s">
        <v>24</v>
      </c>
      <c r="E20" s="197">
        <v>3.3473999999999997E-2</v>
      </c>
      <c r="F20" s="29"/>
      <c r="G20" s="29"/>
      <c r="H20" s="29"/>
      <c r="I20" s="29"/>
      <c r="J20" s="29"/>
      <c r="K20" s="29"/>
      <c r="L20" s="29"/>
      <c r="M20" s="29"/>
      <c r="N20" s="29"/>
      <c r="O20" s="29"/>
      <c r="P20" s="29"/>
      <c r="Q20" s="29"/>
      <c r="R20" s="29"/>
      <c r="S20" s="29"/>
      <c r="T20" s="29"/>
      <c r="U20" s="25"/>
      <c r="W20" s="180" t="s">
        <v>23</v>
      </c>
      <c r="X20" s="239">
        <v>2.5960999999999998E-2</v>
      </c>
    </row>
    <row r="21" spans="2:24" ht="15.75" x14ac:dyDescent="0.25">
      <c r="B21" s="64"/>
      <c r="C21" s="188" t="s">
        <v>250</v>
      </c>
      <c r="D21" s="196" t="s">
        <v>119</v>
      </c>
      <c r="E21" s="197">
        <v>3.005E-2</v>
      </c>
      <c r="F21" s="29"/>
      <c r="G21" s="29"/>
      <c r="H21" s="29"/>
      <c r="I21" s="29"/>
      <c r="J21" s="29"/>
      <c r="K21" s="29"/>
      <c r="L21" s="29"/>
      <c r="M21" s="29"/>
      <c r="N21" s="29"/>
      <c r="O21" s="29"/>
      <c r="P21" s="29"/>
      <c r="Q21" s="29"/>
      <c r="R21" s="29"/>
      <c r="S21" s="29"/>
      <c r="T21" s="29"/>
      <c r="U21" s="25"/>
      <c r="W21" s="180" t="s">
        <v>13</v>
      </c>
      <c r="X21" s="239">
        <v>1.7611000000000002E-2</v>
      </c>
    </row>
    <row r="22" spans="2:24" ht="15.75" x14ac:dyDescent="0.25">
      <c r="B22" s="64"/>
      <c r="C22" s="188" t="s">
        <v>351</v>
      </c>
      <c r="D22" s="196" t="s">
        <v>10</v>
      </c>
      <c r="E22" s="197">
        <v>2.7824999999999999E-2</v>
      </c>
      <c r="F22" s="29"/>
      <c r="G22" s="29"/>
      <c r="H22" s="29"/>
      <c r="I22" s="29"/>
      <c r="J22" s="29"/>
      <c r="K22" s="29"/>
      <c r="L22" s="29"/>
      <c r="M22" s="29"/>
      <c r="N22" s="29"/>
      <c r="O22" s="29"/>
      <c r="P22" s="29"/>
      <c r="Q22" s="29"/>
      <c r="R22" s="29"/>
      <c r="S22" s="29"/>
      <c r="T22" s="29"/>
      <c r="U22" s="25"/>
      <c r="W22" s="180" t="s">
        <v>15</v>
      </c>
      <c r="X22" s="239">
        <v>1.7424000000000002E-2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3</v>
      </c>
      <c r="X23" s="239">
        <v>1.7246999999999998E-2</v>
      </c>
    </row>
    <row r="24" spans="2:24" ht="15.75" x14ac:dyDescent="0.25">
      <c r="B24" s="64"/>
      <c r="C24" s="73" t="s">
        <v>55</v>
      </c>
      <c r="D24" s="74"/>
      <c r="E24" s="75">
        <f>SUM(E8:E22)</f>
        <v>0.625529</v>
      </c>
      <c r="F24" s="29"/>
      <c r="G24" s="29"/>
      <c r="H24" s="29"/>
      <c r="I24" s="29"/>
      <c r="J24" s="29"/>
      <c r="K24" s="29"/>
      <c r="L24" s="29"/>
      <c r="M24" s="29"/>
      <c r="N24" s="29"/>
      <c r="O24" s="29"/>
      <c r="P24" s="29"/>
      <c r="Q24" s="29"/>
      <c r="R24" s="29"/>
      <c r="S24" s="29"/>
      <c r="T24" s="29"/>
      <c r="U24" s="25"/>
      <c r="W24" s="180" t="s">
        <v>113</v>
      </c>
      <c r="X24" s="239">
        <v>1.6245000000000002E-2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111</v>
      </c>
      <c r="X25" s="239">
        <v>1.3872000000000001E-2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116</v>
      </c>
      <c r="X26" s="239">
        <v>1.1749000000000001E-2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1.1017000000000001E-2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6</v>
      </c>
      <c r="X28" s="62">
        <v>1.16E-3</v>
      </c>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vt:i4>
      </vt:variant>
    </vt:vector>
  </HeadingPairs>
  <TitlesOfParts>
    <vt:vector size="41"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2024-12-03T08:35:29Z</dcterms:modified>
</cp:coreProperties>
</file>