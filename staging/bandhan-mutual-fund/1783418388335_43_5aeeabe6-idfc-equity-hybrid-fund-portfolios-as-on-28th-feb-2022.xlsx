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codeName="ThisWorkbook" defaultThemeVersion="124226"/>
  <mc:AlternateContent xmlns:mc="http://schemas.openxmlformats.org/markup-compatibility/2006">
    <mc:Choice Requires="x15">
      <x15ac:absPath xmlns:x15ac="http://schemas.microsoft.com/office/spreadsheetml/2010/11/ac" url="D:\old desktop d drive\Documents\2022\March\03-March\Latest Portfolio\"/>
    </mc:Choice>
  </mc:AlternateContent>
  <xr:revisionPtr revIDLastSave="0" documentId="13_ncr:1_{45EE3955-D410-49A2-90AB-C13391FB9CBB}"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CF" sheetId="30" r:id="rId6"/>
    <sheet name="IDFC FCF" sheetId="11" r:id="rId7"/>
    <sheet name="IDFC EBF" sheetId="28" r:id="rId8"/>
    <sheet name="IDFC IF" sheetId="8" r:id="rId9"/>
    <sheet name="IDFC-TAF" sheetId="13" r:id="rId10"/>
    <sheet name="IDFC-AF" sheetId="27" r:id="rId11"/>
    <sheet name="IDFC BAF" sheetId="5" r:id="rId12"/>
    <sheet name="IDFC-ESF" sheetId="25" r:id="rId13"/>
    <sheet name="IDFC-RSF" sheetId="18" r:id="rId14"/>
    <sheet name="IDFC-HEF" sheetId="26" r:id="rId15"/>
    <sheet name="IDFCAAF-AP" sheetId="19" r:id="rId16"/>
    <sheet name="IDFCAAF-MP" sheetId="20" r:id="rId17"/>
    <sheet name="IDFCAAF-CP" sheetId="21" r:id="rId18"/>
    <sheet name="IDFC-NIFTY" sheetId="10" r:id="rId19"/>
    <sheet name="IDFC-Sensex ETF" sheetId="16" r:id="rId20"/>
    <sheet name="IDFC- Nifty ETF" sheetId="17" r:id="rId21"/>
    <sheet name="IDFC-Nifty 100 Index" sheetId="31" r:id="rId22"/>
  </sheets>
  <definedNames>
    <definedName name="_xlnm._FilterDatabase" localSheetId="11" hidden="1">'IDFC BAF'!$I$34:$J$48</definedName>
    <definedName name="_xlnm._FilterDatabase" localSheetId="15" hidden="1">'IDFCAAF-AP'!$C$12:$D$15</definedName>
    <definedName name="_xlnm.Print_Area" localSheetId="11">'IDFC BAF'!$A$1:$V$67</definedName>
    <definedName name="_xlnm.Print_Area" localSheetId="1">'IDFC CEF'!$A$1:$V$53</definedName>
    <definedName name="_xlnm.Print_Area" localSheetId="7">'IDFC EBF'!$A$1:$V$46</definedName>
    <definedName name="_xlnm.Print_Area" localSheetId="6">'IDFC FCF'!$A$1:$V$46</definedName>
    <definedName name="_xlnm.Print_Area" localSheetId="3">'IDFC FEF'!$A$1:$V$46</definedName>
    <definedName name="_xlnm.Print_Area" localSheetId="8">'IDFC IF'!$A$1:$V$45</definedName>
    <definedName name="_xlnm.Print_Area" localSheetId="2">'IDFC LCF'!$A$1:$V$57</definedName>
    <definedName name="_xlnm.Print_Area" localSheetId="5">'IDFC MCF'!$A$1:$V$46</definedName>
    <definedName name="_xlnm.Print_Area" localSheetId="20">'IDFC- Nifty ETF'!$A$1:$V$48</definedName>
    <definedName name="_xlnm.Print_Area" localSheetId="4">'IDFC SVF'!$A$1:$V$41</definedName>
    <definedName name="_xlnm.Print_Area" localSheetId="15">'IDFCAAF-AP'!$A$1:$P$38</definedName>
    <definedName name="_xlnm.Print_Area" localSheetId="17">'IDFCAAF-CP'!$A$1:$P$38</definedName>
    <definedName name="_xlnm.Print_Area" localSheetId="16">'IDFCAAF-MP'!$A$1:$O$47</definedName>
    <definedName name="_xlnm.Print_Area" localSheetId="10">'IDFC-AF'!$A$1:$S$42</definedName>
    <definedName name="_xlnm.Print_Area" localSheetId="14">'IDFC-HEF'!$A$1:$P$76</definedName>
    <definedName name="_xlnm.Print_Area" localSheetId="18">'IDFC-NIFTY'!$A$1:$V$44</definedName>
    <definedName name="_xlnm.Print_Area" localSheetId="21">'IDFC-Nifty 100 Index'!$A$1:$V$48</definedName>
    <definedName name="_xlnm.Print_Area" localSheetId="13">'IDFC-RSF'!$A$1:$P$65</definedName>
    <definedName name="_xlnm.Print_Area" localSheetId="19">'IDFC-Sensex ETF'!$A$1:$V$45</definedName>
    <definedName name="_xlnm.Print_Area" localSheetId="9">'IDFC-TAF'!$A$1:$V$49</definedName>
    <definedName name="_xlnm.Print_Area" localSheetId="0">'IDFC-USFOF'!$A$1:$P$40</definedName>
  </definedNames>
  <calcPr calcId="191029"/>
</workbook>
</file>

<file path=xl/calcChain.xml><?xml version="1.0" encoding="utf-8"?>
<calcChain xmlns="http://schemas.openxmlformats.org/spreadsheetml/2006/main">
  <c r="E24" i="31" l="1"/>
  <c r="D11" i="21" l="1"/>
  <c r="D15" i="21"/>
  <c r="K9" i="18"/>
  <c r="D19" i="21" l="1"/>
  <c r="E24" i="30"/>
  <c r="D16" i="19" l="1"/>
  <c r="J10" i="29"/>
  <c r="J9" i="29"/>
  <c r="K13" i="18" l="1"/>
  <c r="E24" i="12" l="1"/>
  <c r="E23" i="25" l="1"/>
  <c r="K9" i="25" l="1"/>
  <c r="E40" i="25"/>
  <c r="S8" i="27"/>
  <c r="S9" i="27" s="1"/>
  <c r="E24" i="8"/>
  <c r="J8" i="29" l="1"/>
  <c r="I9" i="18" l="1"/>
  <c r="I10" i="18"/>
  <c r="K14" i="18" l="1"/>
  <c r="K12" i="18"/>
  <c r="K11" i="18"/>
  <c r="E23" i="5" l="1"/>
  <c r="E55" i="5" s="1"/>
  <c r="K10" i="26" l="1"/>
  <c r="E24" i="28" l="1"/>
  <c r="E27" i="27" l="1"/>
  <c r="K13" i="26" l="1"/>
  <c r="D11" i="19" l="1"/>
  <c r="E24" i="18" l="1"/>
  <c r="E55" i="18" s="1"/>
  <c r="K10" i="18" l="1"/>
  <c r="E24" i="26"/>
  <c r="K11" i="26"/>
  <c r="I10" i="26"/>
  <c r="I9" i="26"/>
  <c r="I8" i="26"/>
  <c r="K9" i="26" l="1"/>
  <c r="J10" i="21"/>
  <c r="J9" i="21"/>
  <c r="J10" i="20"/>
  <c r="D17" i="20"/>
  <c r="J9" i="20" s="1"/>
  <c r="D11" i="20"/>
  <c r="J8" i="20" s="1"/>
  <c r="D21" i="20" l="1"/>
  <c r="J8" i="21"/>
  <c r="K13" i="25"/>
  <c r="K11" i="25" l="1"/>
  <c r="K10" i="25"/>
  <c r="K12" i="25" l="1"/>
  <c r="I10" i="25"/>
  <c r="I9" i="25"/>
  <c r="I8" i="25"/>
  <c r="I8" i="18" l="1"/>
  <c r="E24" i="10" l="1"/>
  <c r="E24" i="7"/>
  <c r="E24" i="6"/>
  <c r="E24" i="4"/>
  <c r="E24" i="13"/>
  <c r="E24" i="17"/>
  <c r="E24" i="16"/>
  <c r="E24" i="11"/>
  <c r="J11" i="19"/>
  <c r="J10" i="19" l="1"/>
  <c r="D20" i="19"/>
  <c r="J9" i="19"/>
  <c r="K12" i="26" l="1"/>
  <c r="E47" i="26"/>
</calcChain>
</file>

<file path=xl/sharedStrings.xml><?xml version="1.0" encoding="utf-8"?>
<sst xmlns="http://schemas.openxmlformats.org/spreadsheetml/2006/main" count="1319" uniqueCount="260">
  <si>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</si>
  <si>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</si>
  <si>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</si>
  <si>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</si>
  <si>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</si>
  <si>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</si>
  <si>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</si>
  <si>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</si>
  <si>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</si>
  <si>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</si>
  <si>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</si>
  <si>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</si>
  <si>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</si>
  <si>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</si>
  <si>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</si>
  <si>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</si>
  <si>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</si>
  <si>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</si>
  <si>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Textile Products</t>
  </si>
  <si>
    <t>Non - Ferrous Metals</t>
  </si>
  <si>
    <t>Minerals/Mining</t>
  </si>
  <si>
    <t>Consumer Durables</t>
  </si>
  <si>
    <t>Chemicals</t>
  </si>
  <si>
    <t>Industrial Capital Goods</t>
  </si>
  <si>
    <t>Equity Total</t>
  </si>
  <si>
    <t>Net Current Asset</t>
  </si>
  <si>
    <t>Grand Total</t>
  </si>
  <si>
    <t>SECTOR</t>
  </si>
  <si>
    <t>Construction</t>
  </si>
  <si>
    <t>Industrial Products</t>
  </si>
  <si>
    <t>Gas</t>
  </si>
  <si>
    <t>IDFC INFRASTRUCTURE FUND</t>
  </si>
  <si>
    <t>Transportation</t>
  </si>
  <si>
    <t>Textiles - Cotton</t>
  </si>
  <si>
    <t>IDFC NIFTY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</si>
  <si>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</si>
  <si>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</si>
  <si>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</si>
  <si>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</si>
  <si>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</si>
  <si>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</si>
  <si>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</si>
  <si>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</si>
  <si>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</si>
  <si>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</si>
  <si>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</si>
  <si>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</si>
  <si>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</si>
  <si>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</si>
  <si>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Voltas Limited</t>
  </si>
  <si>
    <t>KEC International Limited</t>
  </si>
  <si>
    <t>IDFC ARBITRAGE FUND</t>
  </si>
  <si>
    <t>Date</t>
  </si>
  <si>
    <t>IDFC-AF</t>
  </si>
  <si>
    <t>Total Hedged Equity</t>
  </si>
  <si>
    <t>Total Debt</t>
  </si>
  <si>
    <t>Corporate Bond</t>
  </si>
  <si>
    <t>Government Bond</t>
  </si>
  <si>
    <t>IDFC Nifty Exchange Traded Fund</t>
  </si>
  <si>
    <t>IDFC Sensex Exchange Traded Fund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</si>
  <si>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</si>
  <si>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</si>
  <si>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</si>
  <si>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</si>
  <si>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</si>
  <si>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</si>
  <si>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</si>
  <si>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</si>
  <si>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</si>
  <si>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</si>
  <si>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</si>
  <si>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</si>
  <si>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</si>
  <si>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</si>
  <si>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</si>
  <si>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</si>
  <si>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</si>
  <si>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</si>
  <si>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</si>
  <si>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</si>
  <si>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</si>
  <si>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</si>
  <si>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</si>
  <si>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</si>
  <si>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</si>
  <si>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</si>
  <si>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</si>
  <si>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Commercial Services</t>
  </si>
  <si>
    <t>NTPC Limited</t>
  </si>
  <si>
    <t>Pesticides</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</si>
  <si>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</si>
  <si>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</si>
  <si>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</si>
  <si>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</si>
  <si>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</si>
  <si>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</si>
  <si>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</si>
  <si>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</si>
  <si>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</si>
  <si>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</si>
  <si>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</si>
  <si>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</si>
  <si>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</si>
  <si>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</si>
  <si>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</si>
  <si>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</si>
  <si>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</si>
  <si>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</si>
  <si>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</si>
  <si>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</si>
  <si>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</si>
  <si>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Gujarat State Petronet Limited</t>
  </si>
  <si>
    <t>Gujarat Gas Limited</t>
  </si>
  <si>
    <t>Bharti Airtel Limited</t>
  </si>
  <si>
    <t>LIC Housing Finance Limited</t>
  </si>
  <si>
    <t>Torrent Power Limited</t>
  </si>
  <si>
    <t>8.24% GOI (MD 15/02/2027)</t>
  </si>
  <si>
    <t>Atul Limited</t>
  </si>
  <si>
    <t>PTC</t>
  </si>
  <si>
    <t>HCL Technologies Limited</t>
  </si>
  <si>
    <t>Commercial Paper</t>
  </si>
  <si>
    <t>Divi's Laboratories Limited</t>
  </si>
  <si>
    <t>Sun Pharmaceutical Industries Limited</t>
  </si>
  <si>
    <t>6.79% GOI (MD 15/05/2027)</t>
  </si>
  <si>
    <t>National Bank For Agriculture and Rural Development</t>
  </si>
  <si>
    <t>Laurus Labs Limited</t>
  </si>
  <si>
    <t>Jindal Steel &amp; Power Limited</t>
  </si>
  <si>
    <t>Power Finance Corporation Limited</t>
  </si>
  <si>
    <t>IDFC EMERGING BUSINESSES FUND</t>
  </si>
  <si>
    <t>Radico Khaitan Limited</t>
  </si>
  <si>
    <t>NOCIL Limited</t>
  </si>
  <si>
    <t>Kajaria Ceramics Limited</t>
  </si>
  <si>
    <t>TeamLease Services Limited</t>
  </si>
  <si>
    <t>Healthcare Services</t>
  </si>
  <si>
    <t>7.32% GOI (MD 28/01/2024)</t>
  </si>
  <si>
    <t>Birlasoft Limited</t>
  </si>
  <si>
    <t>Shaily Engineering Plastics Limited</t>
  </si>
  <si>
    <t>9.13% Gujarat SDL(MD 09/05/2022)</t>
  </si>
  <si>
    <t>Treasury Bill</t>
  </si>
  <si>
    <t>5.22% GOI (MD 15/06/2025)</t>
  </si>
  <si>
    <t>State Bank of India</t>
  </si>
  <si>
    <t>Tata Motors Limited</t>
  </si>
  <si>
    <t>Bajaj Finance Limited</t>
  </si>
  <si>
    <t>Minda Industries Limited</t>
  </si>
  <si>
    <t>IDFC Nifty ETF</t>
  </si>
  <si>
    <t>Exchange Traded Fund</t>
  </si>
  <si>
    <t>Cyient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</si>
  <si>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</si>
  <si>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</si>
  <si>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</si>
  <si>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</si>
  <si>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</si>
  <si>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</si>
  <si>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</si>
  <si>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Tech Mahindra Limited</t>
  </si>
  <si>
    <t>IDFC BALANCED ADVANTAGE FUND</t>
  </si>
  <si>
    <t>H.G. Infra Engineering Limited</t>
  </si>
  <si>
    <t>Sagar Cements Limited</t>
  </si>
  <si>
    <t>Bharat Forge Limited</t>
  </si>
  <si>
    <t>Britannia Industries Limited</t>
  </si>
  <si>
    <t>Avenue Supermarts Limited</t>
  </si>
  <si>
    <t>5.63% GOI (MD 12/04/2026)</t>
  </si>
  <si>
    <t>Top 15 Net Equity Holdings</t>
  </si>
  <si>
    <t>Other Net Equity Holdings</t>
  </si>
  <si>
    <t>Aditya Birla Fashion and Retail Limited</t>
  </si>
  <si>
    <t>Zensar Technologies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</si>
  <si>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</si>
  <si>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</si>
  <si>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</si>
  <si>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</si>
  <si>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</si>
  <si>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</si>
  <si>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Mahindra &amp; Mahindra Limited</t>
  </si>
  <si>
    <t>Entertainment</t>
  </si>
  <si>
    <t>Maruti Suzuki India Limited</t>
  </si>
  <si>
    <t>Greenpanel Industries Limited</t>
  </si>
  <si>
    <t>United Spirits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</si>
  <si>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</si>
  <si>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</si>
  <si>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</si>
  <si>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</si>
  <si>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</si>
  <si>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</si>
  <si>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</si>
  <si>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Coforge Limited</t>
  </si>
  <si>
    <t>Larsen &amp; Toubro Infotech Limited</t>
  </si>
  <si>
    <t>Cholamandalam Investment and Finance Company Limited</t>
  </si>
  <si>
    <t>Equity + Nifty ETF</t>
  </si>
  <si>
    <t>CG Power and Industrial Solutions Limited</t>
  </si>
  <si>
    <t>MphasiS Limited</t>
  </si>
  <si>
    <t>Wheels India Limited</t>
  </si>
  <si>
    <t>ABB India Limited</t>
  </si>
  <si>
    <t>Muthoot Finance Limited</t>
  </si>
  <si>
    <t>Sundaram Finance Limited</t>
  </si>
  <si>
    <t>Thermax Limited</t>
  </si>
  <si>
    <t xml:space="preserve">Net Equity </t>
  </si>
  <si>
    <t>Average Maturity Years</t>
  </si>
  <si>
    <t>Clearing Corporation of India Ltd</t>
  </si>
  <si>
    <t>TRI Party Repo Total</t>
  </si>
  <si>
    <t>Prataap Snacks Limited</t>
  </si>
  <si>
    <t>Navin Fluorine International Limited</t>
  </si>
  <si>
    <t>Narayana Hrudayalaya Limited</t>
  </si>
  <si>
    <t>Bharat Electronics Limited</t>
  </si>
  <si>
    <t>A1+</t>
  </si>
  <si>
    <t>8.07% Gujrat SDL (MD 11/02/2025)</t>
  </si>
  <si>
    <t>8.28% GOI (M/D 21/09/2027)</t>
  </si>
  <si>
    <t>8.33% GOI 2026 (M/D 09/07/2026)</t>
  </si>
  <si>
    <t>Average Maturity in Days</t>
  </si>
  <si>
    <t>Anupam Rasayan India Limited</t>
  </si>
  <si>
    <t>Gland Pharma Limited</t>
  </si>
  <si>
    <t>K.P.R. Mill Limited</t>
  </si>
  <si>
    <t>Paper</t>
  </si>
  <si>
    <t>Balrampur Chini Mills Limited</t>
  </si>
  <si>
    <t>Bank of Baroda</t>
  </si>
  <si>
    <t>Financial Technology (FINTECH)</t>
  </si>
  <si>
    <t>8.35% GOI (MD 14/05/2022)</t>
  </si>
  <si>
    <t>364 Days Tbill (MD 03/03/2022)</t>
  </si>
  <si>
    <t>PVR Limited</t>
  </si>
  <si>
    <t>Avanti Feeds Limited</t>
  </si>
  <si>
    <t>IPCA Laboratories Limited</t>
  </si>
  <si>
    <t>IDFC MULTI CAP FUND</t>
  </si>
  <si>
    <t>Poonawalla Fincorp Limited</t>
  </si>
  <si>
    <t>The Ramco Cements Limited</t>
  </si>
  <si>
    <t>Metro Brands Limited</t>
  </si>
  <si>
    <t>Nifty 50 Index</t>
  </si>
  <si>
    <t>Index</t>
  </si>
  <si>
    <t>364 Days Tbill (MD 21/04/2022)</t>
  </si>
  <si>
    <t>Sunteck Realty Limited</t>
  </si>
  <si>
    <t>Apollo Hospitals Enterprise Limited</t>
  </si>
  <si>
    <t>Bosch Limited</t>
  </si>
  <si>
    <t>JK Lakshmi Cement Limited</t>
  </si>
  <si>
    <t>United Breweries Limited</t>
  </si>
  <si>
    <t>Titan Company Limited</t>
  </si>
  <si>
    <t>Polycab India Limited</t>
  </si>
  <si>
    <t>Nestle India Limited</t>
  </si>
  <si>
    <t xml:space="preserve"> IDFC NIFTY 100 INDEX FUND</t>
  </si>
  <si>
    <t>Net Assets as on 28th February 2022</t>
  </si>
  <si>
    <t>Portfolio as on - (28th February 2022)</t>
  </si>
  <si>
    <t>345.18 crs</t>
  </si>
  <si>
    <t>976.15 crs</t>
  </si>
  <si>
    <t>1337.18 crs</t>
  </si>
  <si>
    <t>4268.03 crs</t>
  </si>
  <si>
    <t>1311.01 crs</t>
  </si>
  <si>
    <t>629.21 crs</t>
  </si>
  <si>
    <t>3427.64 crs</t>
  </si>
  <si>
    <t>5412.73 crs</t>
  </si>
  <si>
    <t>2966.49 crs</t>
  </si>
  <si>
    <t>93.62 crs</t>
  </si>
  <si>
    <t>182.26 crs</t>
  </si>
  <si>
    <t>558.30 crs</t>
  </si>
  <si>
    <t>16.88 crs</t>
  </si>
  <si>
    <t>18.26 crs</t>
  </si>
  <si>
    <t>8.18 crs</t>
  </si>
  <si>
    <t>365.09 crs</t>
  </si>
  <si>
    <t>1.42 crs</t>
  </si>
  <si>
    <t>15.78 crs</t>
  </si>
  <si>
    <t>23.32 crs</t>
  </si>
  <si>
    <t>2334.23 crs</t>
  </si>
  <si>
    <t>827.63 crs</t>
  </si>
  <si>
    <t>5715.11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</si>
</sst>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s>
  <fonts count="2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b/>
      <sz val="12"/>
      <color theme="0"/>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6">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25">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7" fillId="0" borderId="16" xfId="0" applyNumberFormat="1" applyFont="1" applyFill="1" applyBorder="1" applyAlignment="1" applyProtection="1">
      <alignment horizontal="left" wrapText="1"/>
    </xf>
    <xf numFmtId="0" fontId="17" fillId="0" borderId="9" xfId="0" applyNumberFormat="1" applyFont="1" applyFill="1" applyBorder="1" applyAlignment="1" applyProtection="1">
      <alignment horizontal="left" wrapText="1"/>
    </xf>
    <xf numFmtId="0" fontId="17" fillId="0" borderId="16" xfId="0" applyNumberFormat="1" applyFont="1" applyFill="1" applyBorder="1" applyAlignment="1" applyProtection="1">
      <alignment horizontal="left" vertical="top" wrapText="1"/>
    </xf>
    <xf numFmtId="0" fontId="17" fillId="0" borderId="9" xfId="0" applyNumberFormat="1" applyFont="1" applyFill="1" applyBorder="1" applyAlignment="1" applyProtection="1">
      <alignment horizontal="left" vertical="top" wrapText="1"/>
    </xf>
    <xf numFmtId="167" fontId="18"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7" fillId="0" borderId="16" xfId="0" applyNumberFormat="1" applyFont="1" applyFill="1" applyBorder="1" applyAlignment="1" applyProtection="1">
      <alignment horizontal="right" wrapText="1"/>
    </xf>
    <xf numFmtId="167" fontId="17" fillId="0" borderId="9" xfId="0" applyNumberFormat="1" applyFont="1" applyFill="1" applyBorder="1" applyAlignment="1" applyProtection="1">
      <alignment horizontal="right" wrapText="1"/>
    </xf>
    <xf numFmtId="0" fontId="1" fillId="0" borderId="16" xfId="0" applyFont="1" applyBorder="1"/>
    <xf numFmtId="0" fontId="1" fillId="0" borderId="9" xfId="0" applyFont="1" applyBorder="1" applyAlignment="1">
      <alignment wrapText="1"/>
    </xf>
    <xf numFmtId="0" fontId="19" fillId="0" borderId="0" xfId="0" applyFont="1"/>
    <xf numFmtId="0" fontId="10" fillId="0" borderId="15" xfId="0" applyFont="1" applyBorder="1"/>
    <xf numFmtId="0" fontId="0" fillId="0" borderId="0" xfId="0" applyFill="1" applyBorder="1"/>
    <xf numFmtId="0" fontId="5" fillId="0" borderId="0" xfId="0" applyFont="1" applyFill="1" applyBorder="1"/>
    <xf numFmtId="0" fontId="20" fillId="0" borderId="0" xfId="0" applyFont="1" applyFill="1" applyBorder="1"/>
    <xf numFmtId="0" fontId="3" fillId="4" borderId="0" xfId="0" applyFont="1" applyFill="1" applyBorder="1" applyAlignment="1">
      <alignment vertical="center"/>
    </xf>
    <xf numFmtId="164" fontId="1" fillId="0" borderId="16" xfId="2" applyFont="1" applyFill="1" applyBorder="1"/>
    <xf numFmtId="164" fontId="1" fillId="0" borderId="9" xfId="2" applyFont="1" applyFill="1" applyBorder="1"/>
    <xf numFmtId="164" fontId="1" fillId="0" borderId="9" xfId="2" applyFont="1" applyFill="1" applyBorder="1" applyAlignment="1">
      <alignment vertical="center"/>
    </xf>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9" fillId="0" borderId="2" xfId="0" applyFont="1" applyBorder="1"/>
    <xf numFmtId="0" fontId="19" fillId="0" borderId="3" xfId="0" applyFont="1" applyBorder="1"/>
    <xf numFmtId="0" fontId="19" fillId="0" borderId="8" xfId="0" applyFont="1" applyBorder="1"/>
    <xf numFmtId="0" fontId="19" fillId="0" borderId="13" xfId="0" applyFont="1" applyBorder="1"/>
    <xf numFmtId="0" fontId="19" fillId="0" borderId="15" xfId="0" applyFont="1" applyBorder="1"/>
    <xf numFmtId="0" fontId="19"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16" fillId="0" borderId="9" xfId="0" applyFont="1" applyFill="1" applyBorder="1" applyAlignment="1">
      <alignment vertical="center" wrapText="1"/>
    </xf>
    <xf numFmtId="0" fontId="0" fillId="0" borderId="0" xfId="0" applyFill="1"/>
    <xf numFmtId="0" fontId="19" fillId="0" borderId="12" xfId="0" applyFont="1" applyBorder="1"/>
    <xf numFmtId="0" fontId="19" fillId="0" borderId="0" xfId="0" applyFont="1" applyBorder="1"/>
    <xf numFmtId="0" fontId="19"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1"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10" fontId="16" fillId="0" borderId="9" xfId="0" applyNumberFormat="1" applyFont="1" applyFill="1" applyBorder="1" applyAlignment="1">
      <alignment vertical="center" wrapText="1"/>
    </xf>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9" fillId="3" borderId="0" xfId="0" applyFont="1" applyFill="1"/>
    <xf numFmtId="0" fontId="22" fillId="0" borderId="0" xfId="0" applyFont="1"/>
    <xf numFmtId="0" fontId="23" fillId="0" borderId="0" xfId="0" applyFont="1"/>
    <xf numFmtId="0" fontId="23"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4"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1" fillId="0" borderId="0" xfId="0" applyFont="1" applyFill="1"/>
    <xf numFmtId="0" fontId="21" fillId="0" borderId="0" xfId="0" applyFont="1"/>
    <xf numFmtId="0" fontId="21" fillId="0" borderId="0" xfId="0" applyFont="1" applyAlignment="1">
      <alignment horizontal="left"/>
    </xf>
    <xf numFmtId="10" fontId="21"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1"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5" borderId="0" xfId="0" applyFill="1" applyAlignment="1"/>
    <xf numFmtId="0" fontId="0" fillId="0" borderId="0" xfId="0" applyAlignment="1"/>
    <xf numFmtId="10" fontId="0" fillId="0" borderId="0" xfId="0" applyNumberFormat="1" applyAlignment="1"/>
    <xf numFmtId="10" fontId="0" fillId="5" borderId="0" xfId="1" applyNumberFormat="1" applyFont="1" applyFill="1" applyAlignment="1"/>
    <xf numFmtId="0" fontId="0" fillId="0" borderId="0" xfId="0" applyFill="1" applyAlignment="1"/>
    <xf numFmtId="10" fontId="0" fillId="0" borderId="0" xfId="1" applyNumberFormat="1" applyFont="1" applyFill="1" applyAlignment="1"/>
    <xf numFmtId="10" fontId="0" fillId="0" borderId="0" xfId="0" applyNumberFormat="1" applyFill="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9" fillId="0" borderId="0" xfId="0" applyFont="1" applyFill="1" applyBorder="1"/>
    <xf numFmtId="0" fontId="19" fillId="0" borderId="15" xfId="0" applyFont="1" applyFill="1" applyBorder="1"/>
    <xf numFmtId="0" fontId="5" fillId="0" borderId="0" xfId="0" applyFont="1" applyFill="1"/>
    <xf numFmtId="0" fontId="19"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9" fillId="0" borderId="0" xfId="0" applyFont="1" applyAlignment="1">
      <alignment horizontal="left"/>
    </xf>
    <xf numFmtId="10" fontId="19"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7"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xf numFmtId="0" fontId="1" fillId="0" borderId="16" xfId="0" applyNumberFormat="1" applyFont="1" applyFill="1" applyBorder="1" applyAlignment="1" applyProtection="1">
      <alignment horizontal="left" wrapText="1"/>
    </xf>
    <xf numFmtId="0" fontId="1" fillId="0" borderId="16" xfId="0" applyNumberFormat="1" applyFont="1" applyFill="1" applyBorder="1" applyAlignment="1" applyProtection="1">
      <alignment horizontal="left" vertical="top" wrapText="1"/>
    </xf>
    <xf numFmtId="167" fontId="1" fillId="0" borderId="17" xfId="0" applyNumberFormat="1" applyFont="1" applyFill="1" applyBorder="1" applyAlignment="1" applyProtection="1">
      <alignment horizontal="right" wrapText="1"/>
    </xf>
    <xf numFmtId="0" fontId="1" fillId="0" borderId="9" xfId="0" applyNumberFormat="1" applyFont="1" applyFill="1" applyBorder="1" applyAlignment="1" applyProtection="1">
      <alignment horizontal="left" wrapText="1"/>
    </xf>
    <xf numFmtId="0" fontId="1" fillId="0" borderId="9" xfId="0" applyNumberFormat="1" applyFont="1" applyFill="1" applyBorder="1" applyAlignment="1" applyProtection="1">
      <alignment horizontal="left" vertical="top" wrapText="1"/>
    </xf>
    <xf numFmtId="167" fontId="1" fillId="0" borderId="10" xfId="0" applyNumberFormat="1" applyFont="1" applyFill="1" applyBorder="1" applyAlignment="1" applyProtection="1">
      <alignment horizontal="right" wrapText="1"/>
    </xf>
    <xf numFmtId="167" fontId="1" fillId="0" borderId="16" xfId="0" applyNumberFormat="1" applyFont="1" applyFill="1" applyBorder="1" applyAlignment="1" applyProtection="1">
      <alignment horizontal="right" wrapText="1"/>
    </xf>
    <xf numFmtId="167" fontId="1" fillId="0" borderId="9" xfId="0" applyNumberFormat="1" applyFont="1" applyFill="1" applyBorder="1" applyAlignment="1" applyProtection="1">
      <alignment horizontal="right" wrapText="1"/>
    </xf>
    <xf numFmtId="0" fontId="1" fillId="0" borderId="18" xfId="0" applyFont="1" applyBorder="1" applyAlignment="1">
      <alignment horizontal="left"/>
    </xf>
    <xf numFmtId="10" fontId="1" fillId="0" borderId="18" xfId="1" applyNumberFormat="1" applyFont="1" applyBorder="1" applyAlignment="1">
      <alignment horizontal="right"/>
    </xf>
    <xf numFmtId="0" fontId="1" fillId="0" borderId="9" xfId="0" applyFont="1" applyBorder="1" applyAlignment="1">
      <alignment horizontal="left"/>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0.97312100000000001</c:v>
                </c:pt>
                <c:pt idx="1">
                  <c:v>-2.7780000000000001E-3</c:v>
                </c:pt>
                <c:pt idx="2">
                  <c:v>2.9656999999999999E-2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CEF'!$W$8:$W$30</c:f>
              <c:strCache>
                <c:ptCount val="23"/>
                <c:pt idx="0">
                  <c:v>Banks</c:v>
                </c:pt>
                <c:pt idx="1">
                  <c:v>Software</c:v>
                </c:pt>
                <c:pt idx="2">
                  <c:v>Pharmaceuticals</c:v>
                </c:pt>
                <c:pt idx="3">
                  <c:v>Auto</c:v>
                </c:pt>
                <c:pt idx="4">
                  <c:v>Industrial Products</c:v>
                </c:pt>
                <c:pt idx="5">
                  <c:v>Cement &amp; Cement Products</c:v>
                </c:pt>
                <c:pt idx="6">
                  <c:v>Auto Ancillaries</c:v>
                </c:pt>
                <c:pt idx="7">
                  <c:v>Petroleum Products</c:v>
                </c:pt>
                <c:pt idx="8">
                  <c:v>Telecom - Services</c:v>
                </c:pt>
                <c:pt idx="9">
                  <c:v>Power</c:v>
                </c:pt>
                <c:pt idx="10">
                  <c:v>Construction Project</c:v>
                </c:pt>
                <c:pt idx="11">
                  <c:v>Leisure Services</c:v>
                </c:pt>
                <c:pt idx="12">
                  <c:v>Consumer Non Durables</c:v>
                </c:pt>
                <c:pt idx="13">
                  <c:v>Retailing</c:v>
                </c:pt>
                <c:pt idx="14">
                  <c:v>Ferrous Metals</c:v>
                </c:pt>
                <c:pt idx="15">
                  <c:v>Chemicals</c:v>
                </c:pt>
                <c:pt idx="16">
                  <c:v>Insurance</c:v>
                </c:pt>
                <c:pt idx="17">
                  <c:v>Consumer Durables</c:v>
                </c:pt>
                <c:pt idx="18">
                  <c:v>Entertainment</c:v>
                </c:pt>
                <c:pt idx="19">
                  <c:v>Industrial Capital Goods</c:v>
                </c:pt>
                <c:pt idx="20">
                  <c:v>Gas</c:v>
                </c:pt>
                <c:pt idx="21">
                  <c:v>Capital Markets</c:v>
                </c:pt>
                <c:pt idx="22">
                  <c:v>Finance</c:v>
                </c:pt>
              </c:strCache>
            </c:strRef>
          </c:cat>
          <c:val>
            <c:numRef>
              <c:f>'IDFC CEF'!$X$8:$X$30</c:f>
              <c:numCache>
                <c:formatCode>0.00%</c:formatCode>
                <c:ptCount val="23"/>
                <c:pt idx="0">
                  <c:v>0.23754999999999998</c:v>
                </c:pt>
                <c:pt idx="1">
                  <c:v>0.14295800000000003</c:v>
                </c:pt>
                <c:pt idx="2">
                  <c:v>6.9114000000000009E-2</c:v>
                </c:pt>
                <c:pt idx="3">
                  <c:v>5.7423000000000002E-2</c:v>
                </c:pt>
                <c:pt idx="4">
                  <c:v>5.6207E-2</c:v>
                </c:pt>
                <c:pt idx="5">
                  <c:v>5.5863999999999997E-2</c:v>
                </c:pt>
                <c:pt idx="6">
                  <c:v>5.0031999999999993E-2</c:v>
                </c:pt>
                <c:pt idx="7">
                  <c:v>3.5002999999999999E-2</c:v>
                </c:pt>
                <c:pt idx="8">
                  <c:v>3.0216E-2</c:v>
                </c:pt>
                <c:pt idx="9">
                  <c:v>2.9198999999999999E-2</c:v>
                </c:pt>
                <c:pt idx="10">
                  <c:v>2.6356000000000001E-2</c:v>
                </c:pt>
                <c:pt idx="11">
                  <c:v>2.5904E-2</c:v>
                </c:pt>
                <c:pt idx="12">
                  <c:v>2.5441999999999999E-2</c:v>
                </c:pt>
                <c:pt idx="13">
                  <c:v>2.3281E-2</c:v>
                </c:pt>
                <c:pt idx="14">
                  <c:v>2.3262000000000001E-2</c:v>
                </c:pt>
                <c:pt idx="15">
                  <c:v>1.6218E-2</c:v>
                </c:pt>
                <c:pt idx="16">
                  <c:v>1.5710000000000002E-2</c:v>
                </c:pt>
                <c:pt idx="17">
                  <c:v>1.5479E-2</c:v>
                </c:pt>
                <c:pt idx="18">
                  <c:v>1.3626000000000001E-2</c:v>
                </c:pt>
                <c:pt idx="19">
                  <c:v>1.124E-2</c:v>
                </c:pt>
                <c:pt idx="20">
                  <c:v>9.0410000000000004E-3</c:v>
                </c:pt>
                <c:pt idx="21">
                  <c:v>8.8360000000000001E-3</c:v>
                </c:pt>
                <c:pt idx="22">
                  <c:v>4.4470000000000004E-3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LCF'!$W$8:$W$27</c:f>
              <c:strCache>
                <c:ptCount val="20"/>
                <c:pt idx="0">
                  <c:v>Banks</c:v>
                </c:pt>
                <c:pt idx="1">
                  <c:v>Software</c:v>
                </c:pt>
                <c:pt idx="2">
                  <c:v>Finance</c:v>
                </c:pt>
                <c:pt idx="3">
                  <c:v>Consumer Non Durables</c:v>
                </c:pt>
                <c:pt idx="4">
                  <c:v>Auto</c:v>
                </c:pt>
                <c:pt idx="5">
                  <c:v>Petroleum Products</c:v>
                </c:pt>
                <c:pt idx="6">
                  <c:v>Construction</c:v>
                </c:pt>
                <c:pt idx="7">
                  <c:v>Chemicals</c:v>
                </c:pt>
                <c:pt idx="8">
                  <c:v>Pharmaceuticals</c:v>
                </c:pt>
                <c:pt idx="9">
                  <c:v>Construction Project</c:v>
                </c:pt>
                <c:pt idx="10">
                  <c:v>Consumer Durables</c:v>
                </c:pt>
                <c:pt idx="11">
                  <c:v>Healthcare Services</c:v>
                </c:pt>
                <c:pt idx="12">
                  <c:v>Cement &amp; Cement Products</c:v>
                </c:pt>
                <c:pt idx="13">
                  <c:v>Industrial Products</c:v>
                </c:pt>
                <c:pt idx="14">
                  <c:v>Non - Ferrous Metals</c:v>
                </c:pt>
                <c:pt idx="15">
                  <c:v>Retailing</c:v>
                </c:pt>
                <c:pt idx="16">
                  <c:v>Insurance</c:v>
                </c:pt>
                <c:pt idx="17">
                  <c:v>Leisure Services</c:v>
                </c:pt>
                <c:pt idx="18">
                  <c:v>Textile Products</c:v>
                </c:pt>
                <c:pt idx="19">
                  <c:v>Telecom - Services</c:v>
                </c:pt>
              </c:strCache>
            </c:strRef>
          </c:cat>
          <c:val>
            <c:numRef>
              <c:f>'IDFC LCF'!$X$8:$X$27</c:f>
              <c:numCache>
                <c:formatCode>0.00%</c:formatCode>
                <c:ptCount val="20"/>
                <c:pt idx="0">
                  <c:v>0.25542800000000004</c:v>
                </c:pt>
                <c:pt idx="1">
                  <c:v>0.19873100000000005</c:v>
                </c:pt>
                <c:pt idx="2">
                  <c:v>8.4028999999999993E-2</c:v>
                </c:pt>
                <c:pt idx="3">
                  <c:v>6.1135000000000002E-2</c:v>
                </c:pt>
                <c:pt idx="4">
                  <c:v>5.0548999999999997E-2</c:v>
                </c:pt>
                <c:pt idx="5">
                  <c:v>4.9822999999999999E-2</c:v>
                </c:pt>
                <c:pt idx="6">
                  <c:v>3.7613000000000001E-2</c:v>
                </c:pt>
                <c:pt idx="7">
                  <c:v>3.3167000000000002E-2</c:v>
                </c:pt>
                <c:pt idx="8">
                  <c:v>3.0185E-2</c:v>
                </c:pt>
                <c:pt idx="9">
                  <c:v>2.3709999999999998E-2</c:v>
                </c:pt>
                <c:pt idx="10">
                  <c:v>2.0854999999999999E-2</c:v>
                </c:pt>
                <c:pt idx="11">
                  <c:v>1.9897000000000001E-2</c:v>
                </c:pt>
                <c:pt idx="12">
                  <c:v>1.8356000000000001E-2</c:v>
                </c:pt>
                <c:pt idx="13">
                  <c:v>1.7158E-2</c:v>
                </c:pt>
                <c:pt idx="14">
                  <c:v>1.7041000000000001E-2</c:v>
                </c:pt>
                <c:pt idx="15">
                  <c:v>1.5391E-2</c:v>
                </c:pt>
                <c:pt idx="16">
                  <c:v>1.4714E-2</c:v>
                </c:pt>
                <c:pt idx="17">
                  <c:v>1.1488E-2</c:v>
                </c:pt>
                <c:pt idx="18">
                  <c:v>1.0173E-2</c:v>
                </c:pt>
                <c:pt idx="19">
                  <c:v>9.5940000000000001E-3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FEF'!$W$8:$W$21</c:f>
              <c:strCache>
                <c:ptCount val="14"/>
                <c:pt idx="0">
                  <c:v>Banks</c:v>
                </c:pt>
                <c:pt idx="1">
                  <c:v>Software</c:v>
                </c:pt>
                <c:pt idx="2">
                  <c:v>Auto</c:v>
                </c:pt>
                <c:pt idx="3">
                  <c:v>Finance</c:v>
                </c:pt>
                <c:pt idx="4">
                  <c:v>Pharmaceuticals</c:v>
                </c:pt>
                <c:pt idx="5">
                  <c:v>Petroleum Products</c:v>
                </c:pt>
                <c:pt idx="6">
                  <c:v>Consumer Non Durables</c:v>
                </c:pt>
                <c:pt idx="7">
                  <c:v>Consumer Durables</c:v>
                </c:pt>
                <c:pt idx="8">
                  <c:v>Chemicals</c:v>
                </c:pt>
                <c:pt idx="9">
                  <c:v>Construction</c:v>
                </c:pt>
                <c:pt idx="10">
                  <c:v>Cement &amp; Cement Products</c:v>
                </c:pt>
                <c:pt idx="11">
                  <c:v>Industrial Products</c:v>
                </c:pt>
                <c:pt idx="12">
                  <c:v>Healthcare Services</c:v>
                </c:pt>
                <c:pt idx="13">
                  <c:v>Non - Ferrous Metals</c:v>
                </c:pt>
              </c:strCache>
            </c:strRef>
          </c:cat>
          <c:val>
            <c:numRef>
              <c:f>'IDFC FEF'!$X$8:$X$21</c:f>
              <c:numCache>
                <c:formatCode>0.00%</c:formatCode>
                <c:ptCount val="14"/>
                <c:pt idx="0">
                  <c:v>0.26280499999999996</c:v>
                </c:pt>
                <c:pt idx="1">
                  <c:v>0.20099799999999998</c:v>
                </c:pt>
                <c:pt idx="2">
                  <c:v>5.6155999999999998E-2</c:v>
                </c:pt>
                <c:pt idx="3">
                  <c:v>5.5530000000000003E-2</c:v>
                </c:pt>
                <c:pt idx="4">
                  <c:v>5.4925000000000002E-2</c:v>
                </c:pt>
                <c:pt idx="5">
                  <c:v>4.9785000000000003E-2</c:v>
                </c:pt>
                <c:pt idx="6">
                  <c:v>4.6819E-2</c:v>
                </c:pt>
                <c:pt idx="7">
                  <c:v>4.0221E-2</c:v>
                </c:pt>
                <c:pt idx="8">
                  <c:v>3.4951999999999997E-2</c:v>
                </c:pt>
                <c:pt idx="9">
                  <c:v>2.9309000000000002E-2</c:v>
                </c:pt>
                <c:pt idx="10">
                  <c:v>2.8683E-2</c:v>
                </c:pt>
                <c:pt idx="11">
                  <c:v>2.7077E-2</c:v>
                </c:pt>
                <c:pt idx="12">
                  <c:v>2.4843E-2</c:v>
                </c:pt>
                <c:pt idx="13">
                  <c:v>1.984E-2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SVF'!$W$8:$W$29</c:f>
              <c:strCache>
                <c:ptCount val="22"/>
                <c:pt idx="0">
                  <c:v>Banks</c:v>
                </c:pt>
                <c:pt idx="1">
                  <c:v>Consumer Non Durables</c:v>
                </c:pt>
                <c:pt idx="2">
                  <c:v>Software</c:v>
                </c:pt>
                <c:pt idx="3">
                  <c:v>Consumer Durables</c:v>
                </c:pt>
                <c:pt idx="4">
                  <c:v>Pharmaceuticals</c:v>
                </c:pt>
                <c:pt idx="5">
                  <c:v>Auto Ancillaries</c:v>
                </c:pt>
                <c:pt idx="6">
                  <c:v>Industrial Products</c:v>
                </c:pt>
                <c:pt idx="7">
                  <c:v>Cement &amp; Cement Products</c:v>
                </c:pt>
                <c:pt idx="8">
                  <c:v>Ferrous Metals</c:v>
                </c:pt>
                <c:pt idx="9">
                  <c:v>Leisure Services</c:v>
                </c:pt>
                <c:pt idx="10">
                  <c:v>Finance</c:v>
                </c:pt>
                <c:pt idx="11">
                  <c:v>Chemicals</c:v>
                </c:pt>
                <c:pt idx="12">
                  <c:v>Gas</c:v>
                </c:pt>
                <c:pt idx="13">
                  <c:v>Industrial Capital Goods</c:v>
                </c:pt>
                <c:pt idx="14">
                  <c:v>Power</c:v>
                </c:pt>
                <c:pt idx="15">
                  <c:v>Textile Products</c:v>
                </c:pt>
                <c:pt idx="16">
                  <c:v>Transportation</c:v>
                </c:pt>
                <c:pt idx="17">
                  <c:v>Insurance</c:v>
                </c:pt>
                <c:pt idx="18">
                  <c:v>Auto</c:v>
                </c:pt>
                <c:pt idx="19">
                  <c:v>Petroleum Products</c:v>
                </c:pt>
                <c:pt idx="20">
                  <c:v>Construction Project</c:v>
                </c:pt>
                <c:pt idx="21">
                  <c:v>Retailing</c:v>
                </c:pt>
              </c:strCache>
            </c:strRef>
          </c:cat>
          <c:val>
            <c:numRef>
              <c:f>'IDFC SVF'!$X$8:$X$29</c:f>
              <c:numCache>
                <c:formatCode>0.00%</c:formatCode>
                <c:ptCount val="22"/>
                <c:pt idx="0">
                  <c:v>0.12165399999999998</c:v>
                </c:pt>
                <c:pt idx="1">
                  <c:v>9.2863000000000001E-2</c:v>
                </c:pt>
                <c:pt idx="2">
                  <c:v>7.6951000000000006E-2</c:v>
                </c:pt>
                <c:pt idx="3">
                  <c:v>7.2733999999999993E-2</c:v>
                </c:pt>
                <c:pt idx="4">
                  <c:v>6.8972000000000006E-2</c:v>
                </c:pt>
                <c:pt idx="5">
                  <c:v>6.5291000000000002E-2</c:v>
                </c:pt>
                <c:pt idx="6">
                  <c:v>5.0375000000000003E-2</c:v>
                </c:pt>
                <c:pt idx="7">
                  <c:v>4.8938000000000002E-2</c:v>
                </c:pt>
                <c:pt idx="8">
                  <c:v>4.1833999999999996E-2</c:v>
                </c:pt>
                <c:pt idx="9">
                  <c:v>3.5410999999999998E-2</c:v>
                </c:pt>
                <c:pt idx="10">
                  <c:v>3.2423E-2</c:v>
                </c:pt>
                <c:pt idx="11">
                  <c:v>2.5291999999999999E-2</c:v>
                </c:pt>
                <c:pt idx="12">
                  <c:v>2.4611000000000001E-2</c:v>
                </c:pt>
                <c:pt idx="13">
                  <c:v>2.4074000000000002E-2</c:v>
                </c:pt>
                <c:pt idx="14">
                  <c:v>2.402E-2</c:v>
                </c:pt>
                <c:pt idx="15">
                  <c:v>2.2808999999999999E-2</c:v>
                </c:pt>
                <c:pt idx="16">
                  <c:v>2.2717999999999999E-2</c:v>
                </c:pt>
                <c:pt idx="17">
                  <c:v>2.0805999999999998E-2</c:v>
                </c:pt>
                <c:pt idx="18">
                  <c:v>1.8085E-2</c:v>
                </c:pt>
                <c:pt idx="19">
                  <c:v>1.6584999999999999E-2</c:v>
                </c:pt>
                <c:pt idx="20">
                  <c:v>1.5473000000000001E-2</c:v>
                </c:pt>
                <c:pt idx="21">
                  <c:v>1.3122999999999999E-2</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MCF'!$W$8:$W$21</c:f>
              <c:strCache>
                <c:ptCount val="14"/>
                <c:pt idx="0">
                  <c:v>Banks</c:v>
                </c:pt>
                <c:pt idx="1">
                  <c:v>Software</c:v>
                </c:pt>
                <c:pt idx="2">
                  <c:v>Pharmaceuticals</c:v>
                </c:pt>
                <c:pt idx="3">
                  <c:v>Consumer Non Durables</c:v>
                </c:pt>
                <c:pt idx="4">
                  <c:v>Cement &amp; Cement Products</c:v>
                </c:pt>
                <c:pt idx="5">
                  <c:v>Finance</c:v>
                </c:pt>
                <c:pt idx="6">
                  <c:v>Auto Ancillaries</c:v>
                </c:pt>
                <c:pt idx="7">
                  <c:v>Industrial Products</c:v>
                </c:pt>
                <c:pt idx="8">
                  <c:v>Consumer Durables</c:v>
                </c:pt>
                <c:pt idx="9">
                  <c:v>Auto</c:v>
                </c:pt>
                <c:pt idx="10">
                  <c:v>Entertainment</c:v>
                </c:pt>
                <c:pt idx="11">
                  <c:v>Petroleum Products</c:v>
                </c:pt>
                <c:pt idx="12">
                  <c:v>Ferrous Metals</c:v>
                </c:pt>
                <c:pt idx="13">
                  <c:v>Leisure Services</c:v>
                </c:pt>
              </c:strCache>
            </c:strRef>
          </c:cat>
          <c:val>
            <c:numRef>
              <c:f>'IDFC MCF'!$X$8:$X$21</c:f>
              <c:numCache>
                <c:formatCode>0.00%</c:formatCode>
                <c:ptCount val="14"/>
                <c:pt idx="0">
                  <c:v>0.12185700000000001</c:v>
                </c:pt>
                <c:pt idx="1">
                  <c:v>0.101797</c:v>
                </c:pt>
                <c:pt idx="2">
                  <c:v>9.2341999999999994E-2</c:v>
                </c:pt>
                <c:pt idx="3">
                  <c:v>6.9089000000000012E-2</c:v>
                </c:pt>
                <c:pt idx="4">
                  <c:v>5.5259000000000003E-2</c:v>
                </c:pt>
                <c:pt idx="5">
                  <c:v>5.0739000000000006E-2</c:v>
                </c:pt>
                <c:pt idx="6">
                  <c:v>4.7471999999999993E-2</c:v>
                </c:pt>
                <c:pt idx="7">
                  <c:v>3.4965999999999997E-2</c:v>
                </c:pt>
                <c:pt idx="8">
                  <c:v>3.1504999999999998E-2</c:v>
                </c:pt>
                <c:pt idx="9">
                  <c:v>2.7937000000000003E-2</c:v>
                </c:pt>
                <c:pt idx="10">
                  <c:v>2.767E-2</c:v>
                </c:pt>
                <c:pt idx="11">
                  <c:v>2.5659000000000001E-2</c:v>
                </c:pt>
                <c:pt idx="12">
                  <c:v>2.0532999999999999E-2</c:v>
                </c:pt>
                <c:pt idx="13">
                  <c:v>1.882E-2</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FCF'!$W$8:$W$28</c:f>
              <c:strCache>
                <c:ptCount val="21"/>
                <c:pt idx="0">
                  <c:v>Banks</c:v>
                </c:pt>
                <c:pt idx="1">
                  <c:v>Software</c:v>
                </c:pt>
                <c:pt idx="2">
                  <c:v>Consumer Durables</c:v>
                </c:pt>
                <c:pt idx="3">
                  <c:v>Consumer Non Durables</c:v>
                </c:pt>
                <c:pt idx="4">
                  <c:v>Chemicals</c:v>
                </c:pt>
                <c:pt idx="5">
                  <c:v>Industrial Products</c:v>
                </c:pt>
                <c:pt idx="6">
                  <c:v>Cement &amp; Cement Products</c:v>
                </c:pt>
                <c:pt idx="7">
                  <c:v>Auto</c:v>
                </c:pt>
                <c:pt idx="8">
                  <c:v>Finance</c:v>
                </c:pt>
                <c:pt idx="9">
                  <c:v>Auto Ancillaries</c:v>
                </c:pt>
                <c:pt idx="10">
                  <c:v>Retailing</c:v>
                </c:pt>
                <c:pt idx="11">
                  <c:v>Pharmaceuticals</c:v>
                </c:pt>
                <c:pt idx="12">
                  <c:v>Construction Project</c:v>
                </c:pt>
                <c:pt idx="13">
                  <c:v>Telecom - Services</c:v>
                </c:pt>
                <c:pt idx="14">
                  <c:v>Ferrous Metals</c:v>
                </c:pt>
                <c:pt idx="15">
                  <c:v>Textiles - Cotton</c:v>
                </c:pt>
                <c:pt idx="16">
                  <c:v>Non - Ferrous Metals</c:v>
                </c:pt>
                <c:pt idx="17">
                  <c:v>Leisure Services</c:v>
                </c:pt>
                <c:pt idx="18">
                  <c:v>Capital Markets</c:v>
                </c:pt>
                <c:pt idx="19">
                  <c:v>Paper</c:v>
                </c:pt>
                <c:pt idx="20">
                  <c:v>Construction</c:v>
                </c:pt>
              </c:strCache>
            </c:strRef>
          </c:cat>
          <c:val>
            <c:numRef>
              <c:f>'IDFC FCF'!$X$8:$X$28</c:f>
              <c:numCache>
                <c:formatCode>0.00%</c:formatCode>
                <c:ptCount val="21"/>
                <c:pt idx="0">
                  <c:v>0.235564</c:v>
                </c:pt>
                <c:pt idx="1">
                  <c:v>0.154168</c:v>
                </c:pt>
                <c:pt idx="2">
                  <c:v>7.6090000000000005E-2</c:v>
                </c:pt>
                <c:pt idx="3">
                  <c:v>7.2215000000000001E-2</c:v>
                </c:pt>
                <c:pt idx="4">
                  <c:v>5.5705000000000005E-2</c:v>
                </c:pt>
                <c:pt idx="5">
                  <c:v>4.3803999999999996E-2</c:v>
                </c:pt>
                <c:pt idx="6">
                  <c:v>4.3164000000000001E-2</c:v>
                </c:pt>
                <c:pt idx="7">
                  <c:v>3.9720999999999999E-2</c:v>
                </c:pt>
                <c:pt idx="8">
                  <c:v>3.3921E-2</c:v>
                </c:pt>
                <c:pt idx="9">
                  <c:v>3.2486000000000001E-2</c:v>
                </c:pt>
                <c:pt idx="10">
                  <c:v>3.1310000000000004E-2</c:v>
                </c:pt>
                <c:pt idx="11">
                  <c:v>2.8250000000000001E-2</c:v>
                </c:pt>
                <c:pt idx="12">
                  <c:v>2.4494999999999999E-2</c:v>
                </c:pt>
                <c:pt idx="13">
                  <c:v>1.9904000000000002E-2</c:v>
                </c:pt>
                <c:pt idx="14">
                  <c:v>1.8149999999999999E-2</c:v>
                </c:pt>
                <c:pt idx="15">
                  <c:v>1.5789999999999998E-2</c:v>
                </c:pt>
                <c:pt idx="16">
                  <c:v>1.5046E-2</c:v>
                </c:pt>
                <c:pt idx="17">
                  <c:v>1.4047E-2</c:v>
                </c:pt>
                <c:pt idx="18">
                  <c:v>1.1332E-2</c:v>
                </c:pt>
                <c:pt idx="19">
                  <c:v>5.8560000000000001E-3</c:v>
                </c:pt>
                <c:pt idx="20">
                  <c:v>1.5900000000000001E-3</c:v>
                </c:pt>
              </c:numCache>
            </c:numRef>
          </c:val>
          <c:extLst>
            <c:ext xmlns:c16="http://schemas.microsoft.com/office/drawing/2014/chart" uri="{C3380CC4-5D6E-409C-BE32-E72D297353CC}">
              <c16:uniqueId val="{00000017-A4C6-47B0-A7D9-9F74CCA544B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EBF'!$W$8:$W$27</c:f>
              <c:strCache>
                <c:ptCount val="20"/>
                <c:pt idx="0">
                  <c:v>Consumer Non Durables</c:v>
                </c:pt>
                <c:pt idx="1">
                  <c:v>Software</c:v>
                </c:pt>
                <c:pt idx="2">
                  <c:v>Industrial Products</c:v>
                </c:pt>
                <c:pt idx="3">
                  <c:v>Auto Ancillaries</c:v>
                </c:pt>
                <c:pt idx="4">
                  <c:v>Consumer Durables</c:v>
                </c:pt>
                <c:pt idx="5">
                  <c:v>Chemicals</c:v>
                </c:pt>
                <c:pt idx="6">
                  <c:v>Auto</c:v>
                </c:pt>
                <c:pt idx="7">
                  <c:v>Healthcare Services</c:v>
                </c:pt>
                <c:pt idx="8">
                  <c:v>Leisure Services</c:v>
                </c:pt>
                <c:pt idx="9">
                  <c:v>Pharmaceuticals</c:v>
                </c:pt>
                <c:pt idx="10">
                  <c:v>Capital Markets</c:v>
                </c:pt>
                <c:pt idx="11">
                  <c:v>Cement &amp; Cement Products</c:v>
                </c:pt>
                <c:pt idx="12">
                  <c:v>Retailing</c:v>
                </c:pt>
                <c:pt idx="13">
                  <c:v>Commercial Services</c:v>
                </c:pt>
                <c:pt idx="14">
                  <c:v>Banks</c:v>
                </c:pt>
                <c:pt idx="15">
                  <c:v>Power</c:v>
                </c:pt>
                <c:pt idx="16">
                  <c:v>Finance</c:v>
                </c:pt>
                <c:pt idx="17">
                  <c:v>Petroleum Products</c:v>
                </c:pt>
                <c:pt idx="18">
                  <c:v>Pesticides</c:v>
                </c:pt>
                <c:pt idx="19">
                  <c:v>Textiles - Cotton</c:v>
                </c:pt>
              </c:strCache>
            </c:strRef>
          </c:cat>
          <c:val>
            <c:numRef>
              <c:f>'IDFC EBF'!$X$8:$X$27</c:f>
              <c:numCache>
                <c:formatCode>0.00%</c:formatCode>
                <c:ptCount val="20"/>
                <c:pt idx="0">
                  <c:v>0.12331700000000002</c:v>
                </c:pt>
                <c:pt idx="1">
                  <c:v>0.108057</c:v>
                </c:pt>
                <c:pt idx="2">
                  <c:v>0.107206</c:v>
                </c:pt>
                <c:pt idx="3">
                  <c:v>8.8438000000000003E-2</c:v>
                </c:pt>
                <c:pt idx="4">
                  <c:v>7.8010999999999997E-2</c:v>
                </c:pt>
                <c:pt idx="5">
                  <c:v>6.534899999999999E-2</c:v>
                </c:pt>
                <c:pt idx="6">
                  <c:v>5.2087999999999995E-2</c:v>
                </c:pt>
                <c:pt idx="7">
                  <c:v>4.6451999999999993E-2</c:v>
                </c:pt>
                <c:pt idx="8">
                  <c:v>3.9247000000000004E-2</c:v>
                </c:pt>
                <c:pt idx="9">
                  <c:v>3.5902000000000003E-2</c:v>
                </c:pt>
                <c:pt idx="10">
                  <c:v>3.3770999999999995E-2</c:v>
                </c:pt>
                <c:pt idx="11">
                  <c:v>2.8812999999999998E-2</c:v>
                </c:pt>
                <c:pt idx="12">
                  <c:v>2.7383000000000001E-2</c:v>
                </c:pt>
                <c:pt idx="13">
                  <c:v>2.0726000000000001E-2</c:v>
                </c:pt>
                <c:pt idx="14">
                  <c:v>2.0258000000000002E-2</c:v>
                </c:pt>
                <c:pt idx="15">
                  <c:v>1.8187999999999999E-2</c:v>
                </c:pt>
                <c:pt idx="16">
                  <c:v>1.4645999999999999E-2</c:v>
                </c:pt>
                <c:pt idx="17">
                  <c:v>1.3269E-2</c:v>
                </c:pt>
                <c:pt idx="18">
                  <c:v>1.2685999999999999E-2</c:v>
                </c:pt>
                <c:pt idx="19">
                  <c:v>8.9289999999999994E-3</c:v>
                </c:pt>
              </c:numCache>
            </c:numRef>
          </c:val>
          <c:extLst>
            <c:ext xmlns:c16="http://schemas.microsoft.com/office/drawing/2014/chart" uri="{C3380CC4-5D6E-409C-BE32-E72D297353CC}">
              <c16:uniqueId val="{0000000B-3453-415C-BEC6-E3D158FE4279}"/>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IF'!$W$8:$W$20</c:f>
              <c:strCache>
                <c:ptCount val="13"/>
                <c:pt idx="0">
                  <c:v>Cement &amp; Cement Products</c:v>
                </c:pt>
                <c:pt idx="1">
                  <c:v>Construction Project</c:v>
                </c:pt>
                <c:pt idx="2">
                  <c:v>Transportation</c:v>
                </c:pt>
                <c:pt idx="3">
                  <c:v>Construction</c:v>
                </c:pt>
                <c:pt idx="4">
                  <c:v>Industrial Capital Goods</c:v>
                </c:pt>
                <c:pt idx="5">
                  <c:v>Gas</c:v>
                </c:pt>
                <c:pt idx="6">
                  <c:v>Ferrous Metals</c:v>
                </c:pt>
                <c:pt idx="7">
                  <c:v>Telecom - Services</c:v>
                </c:pt>
                <c:pt idx="8">
                  <c:v>Industrial Products</c:v>
                </c:pt>
                <c:pt idx="9">
                  <c:v>Power</c:v>
                </c:pt>
                <c:pt idx="10">
                  <c:v>Aerospace &amp; Defense</c:v>
                </c:pt>
                <c:pt idx="11">
                  <c:v>Petroleum Products</c:v>
                </c:pt>
                <c:pt idx="12">
                  <c:v>Paper</c:v>
                </c:pt>
              </c:strCache>
            </c:strRef>
          </c:cat>
          <c:val>
            <c:numRef>
              <c:f>'IDFC IF'!$X$8:$X$20</c:f>
              <c:numCache>
                <c:formatCode>0.00%</c:formatCode>
                <c:ptCount val="13"/>
                <c:pt idx="0">
                  <c:v>0.186446</c:v>
                </c:pt>
                <c:pt idx="1">
                  <c:v>0.17266399999999998</c:v>
                </c:pt>
                <c:pt idx="2">
                  <c:v>0.13845400000000002</c:v>
                </c:pt>
                <c:pt idx="3">
                  <c:v>8.965999999999999E-2</c:v>
                </c:pt>
                <c:pt idx="4">
                  <c:v>7.7700999999999992E-2</c:v>
                </c:pt>
                <c:pt idx="5">
                  <c:v>5.8795E-2</c:v>
                </c:pt>
                <c:pt idx="6">
                  <c:v>4.9704999999999999E-2</c:v>
                </c:pt>
                <c:pt idx="7">
                  <c:v>4.6207999999999999E-2</c:v>
                </c:pt>
                <c:pt idx="8">
                  <c:v>4.3452999999999999E-2</c:v>
                </c:pt>
                <c:pt idx="9">
                  <c:v>4.2655999999999999E-2</c:v>
                </c:pt>
                <c:pt idx="10">
                  <c:v>2.9707999999999998E-2</c:v>
                </c:pt>
                <c:pt idx="11">
                  <c:v>1.0857E-2</c:v>
                </c:pt>
                <c:pt idx="12">
                  <c:v>4.8609999999999999E-3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Software</c:v>
                </c:pt>
                <c:pt idx="2">
                  <c:v>Auto</c:v>
                </c:pt>
                <c:pt idx="3">
                  <c:v>Consumer Durables</c:v>
                </c:pt>
                <c:pt idx="4">
                  <c:v>Pharmaceuticals</c:v>
                </c:pt>
                <c:pt idx="5">
                  <c:v>Cement &amp; Cement Products</c:v>
                </c:pt>
                <c:pt idx="6">
                  <c:v>Chemicals</c:v>
                </c:pt>
                <c:pt idx="7">
                  <c:v>Industrial Products</c:v>
                </c:pt>
                <c:pt idx="8">
                  <c:v>Ferrous Metals</c:v>
                </c:pt>
                <c:pt idx="9">
                  <c:v>Auto Ancillaries</c:v>
                </c:pt>
                <c:pt idx="10">
                  <c:v>Petroleum Products</c:v>
                </c:pt>
                <c:pt idx="11">
                  <c:v>Consumer Non Durables</c:v>
                </c:pt>
                <c:pt idx="12">
                  <c:v>Leisure Services</c:v>
                </c:pt>
                <c:pt idx="13">
                  <c:v>Telecom - Services</c:v>
                </c:pt>
                <c:pt idx="14">
                  <c:v>Finance</c:v>
                </c:pt>
                <c:pt idx="15">
                  <c:v>Power</c:v>
                </c:pt>
                <c:pt idx="16">
                  <c:v>Transportation</c:v>
                </c:pt>
                <c:pt idx="17">
                  <c:v>Construction Project</c:v>
                </c:pt>
                <c:pt idx="18">
                  <c:v>Industrial Capital Goods</c:v>
                </c:pt>
                <c:pt idx="19">
                  <c:v>Construction</c:v>
                </c:pt>
              </c:strCache>
            </c:strRef>
          </c:cat>
          <c:val>
            <c:numRef>
              <c:f>'IDFC-TAF'!$X$8:$X$27</c:f>
              <c:numCache>
                <c:formatCode>0.00%</c:formatCode>
                <c:ptCount val="20"/>
                <c:pt idx="0">
                  <c:v>0.20368199999999997</c:v>
                </c:pt>
                <c:pt idx="1">
                  <c:v>0.1406</c:v>
                </c:pt>
                <c:pt idx="2">
                  <c:v>5.7855999999999998E-2</c:v>
                </c:pt>
                <c:pt idx="3">
                  <c:v>5.0199000000000001E-2</c:v>
                </c:pt>
                <c:pt idx="4">
                  <c:v>5.0182999999999998E-2</c:v>
                </c:pt>
                <c:pt idx="5">
                  <c:v>4.4232E-2</c:v>
                </c:pt>
                <c:pt idx="6">
                  <c:v>4.4067999999999996E-2</c:v>
                </c:pt>
                <c:pt idx="7">
                  <c:v>4.3455999999999995E-2</c:v>
                </c:pt>
                <c:pt idx="8">
                  <c:v>4.1203000000000004E-2</c:v>
                </c:pt>
                <c:pt idx="9">
                  <c:v>3.9406999999999998E-2</c:v>
                </c:pt>
                <c:pt idx="10">
                  <c:v>3.7860999999999999E-2</c:v>
                </c:pt>
                <c:pt idx="11">
                  <c:v>3.6625000000000005E-2</c:v>
                </c:pt>
                <c:pt idx="12">
                  <c:v>2.9458999999999999E-2</c:v>
                </c:pt>
                <c:pt idx="13">
                  <c:v>2.8039999999999999E-2</c:v>
                </c:pt>
                <c:pt idx="14">
                  <c:v>2.3587E-2</c:v>
                </c:pt>
                <c:pt idx="15">
                  <c:v>2.1753000000000002E-2</c:v>
                </c:pt>
                <c:pt idx="16">
                  <c:v>2.0711E-2</c:v>
                </c:pt>
                <c:pt idx="17">
                  <c:v>1.6358000000000001E-2</c:v>
                </c:pt>
                <c:pt idx="18">
                  <c:v>1.5488E-2</c:v>
                </c:pt>
                <c:pt idx="19">
                  <c:v>1.0498E-2</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0.55327700000000002</c:v>
                </c:pt>
                <c:pt idx="1">
                  <c:v>0.44672299999999998</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strCache>
            </c:strRef>
          </c:cat>
          <c:val>
            <c:numRef>
              <c:f>'IDFC BAF'!$X$8:$X$23</c:f>
              <c:numCache>
                <c:formatCode>0.00%</c:formatCode>
                <c:ptCount val="16"/>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pt idx="16">
                  <c:v>Petroleum Products</c:v>
                </c:pt>
              </c:strCache>
            </c:strRef>
          </c:cat>
          <c:val>
            <c:numRef>
              <c:f>'IDFC BAF'!$X$8:$X$24</c:f>
              <c:numCache>
                <c:formatCode>0.00%</c:formatCode>
                <c:ptCount val="17"/>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pt idx="16">
                  <c:v>4.719999999999995E-3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BAF'!$W$8:$W$28</c:f>
              <c:strCache>
                <c:ptCount val="21"/>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pt idx="16">
                  <c:v>Petroleum Products</c:v>
                </c:pt>
                <c:pt idx="17">
                  <c:v>Paper</c:v>
                </c:pt>
                <c:pt idx="18">
                  <c:v>Construction</c:v>
                </c:pt>
                <c:pt idx="19">
                  <c:v>Pesticides</c:v>
                </c:pt>
                <c:pt idx="20">
                  <c:v>Financial Technology (FINTECH)</c:v>
                </c:pt>
              </c:strCache>
            </c:strRef>
          </c:cat>
          <c:val>
            <c:numRef>
              <c:f>'IDFC BAF'!$X$8:$X$28</c:f>
              <c:numCache>
                <c:formatCode>0.00%</c:formatCode>
                <c:ptCount val="21"/>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pt idx="16">
                  <c:v>4.719999999999995E-3</c:v>
                </c:pt>
                <c:pt idx="17">
                  <c:v>4.6769999999999997E-3</c:v>
                </c:pt>
                <c:pt idx="18">
                  <c:v>3.4849999999999998E-3</c:v>
                </c:pt>
                <c:pt idx="19">
                  <c:v>3.1749999999999999E-3</c:v>
                </c:pt>
                <c:pt idx="20">
                  <c:v>3.1489999999999999E-3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4.3616876993402562E-4"/>
                  <c:y val="-0.2712150399506980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0910507082807758"/>
                  <c:y val="-0.1053164935086554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'IDFC-ESF'!$J$9:$J$14</c:f>
              <c:strCache>
                <c:ptCount val="6"/>
                <c:pt idx="0">
                  <c:v>Net Equity </c:v>
                </c:pt>
                <c:pt idx="1">
                  <c:v>Net Current Asset</c:v>
                </c:pt>
                <c:pt idx="2">
                  <c:v>Treasury Bill</c:v>
                </c:pt>
                <c:pt idx="3">
                  <c:v>Arbitrage</c:v>
                </c:pt>
                <c:pt idx="4">
                  <c:v>Corporate Bond</c:v>
                </c:pt>
                <c:pt idx="5">
                  <c:v>Mutual Fund Units: IDFC Cash Fund</c:v>
                </c:pt>
              </c:strCache>
            </c:strRef>
          </c:cat>
          <c:val>
            <c:numRef>
              <c:f>'IDFC-ESF'!$K$9:$K$14</c:f>
              <c:numCache>
                <c:formatCode>0.00%</c:formatCode>
                <c:ptCount val="6"/>
                <c:pt idx="0">
                  <c:v>0.19616600000000001</c:v>
                </c:pt>
                <c:pt idx="1">
                  <c:v>0.21117899999999995</c:v>
                </c:pt>
                <c:pt idx="2">
                  <c:v>5.3398000000000001E-2</c:v>
                </c:pt>
                <c:pt idx="3">
                  <c:v>0.472609</c:v>
                </c:pt>
                <c:pt idx="4">
                  <c:v>3.4411999999999998E-2</c:v>
                </c:pt>
                <c:pt idx="5">
                  <c:v>3.4023999999999999E-2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2.8283035237353205E-2"/>
                  <c:y val="0.136050151446023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4.3034276557181519E-2"/>
                  <c:y val="3.80337260380303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0.16024099999999999</c:v>
                </c:pt>
                <c:pt idx="1">
                  <c:v>0.21947</c:v>
                </c:pt>
                <c:pt idx="2">
                  <c:v>1.3009E-2</c:v>
                </c:pt>
                <c:pt idx="3">
                  <c:v>0.19198200000000001</c:v>
                </c:pt>
                <c:pt idx="4">
                  <c:v>0.35686200000000001</c:v>
                </c:pt>
                <c:pt idx="5">
                  <c:v>5.8436000000000002E-2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5"/>
                <c:pt idx="0">
                  <c:v>Equity</c:v>
                </c:pt>
                <c:pt idx="1">
                  <c:v>Government Bond</c:v>
                </c:pt>
                <c:pt idx="2">
                  <c:v>Net Current Asset</c:v>
                </c:pt>
                <c:pt idx="3">
                  <c:v>Corporate bond</c:v>
                </c:pt>
                <c:pt idx="4">
                  <c:v>Certificate of Deposit</c:v>
                </c:pt>
              </c:strCache>
            </c:strRef>
          </c:cat>
          <c:val>
            <c:numRef>
              <c:f>'IDFC-HEF'!$K$9:$K$13</c:f>
              <c:numCache>
                <c:formatCode>0.00%</c:formatCode>
                <c:ptCount val="5"/>
                <c:pt idx="0">
                  <c:v>0.74526199999999998</c:v>
                </c:pt>
                <c:pt idx="1">
                  <c:v>8.0442E-2</c:v>
                </c:pt>
                <c:pt idx="2">
                  <c:v>0.13450400000000001</c:v>
                </c:pt>
                <c:pt idx="3">
                  <c:v>3.9792000000000001E-2</c:v>
                </c:pt>
                <c:pt idx="4">
                  <c:v>0</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0.33110400000000001</c:v>
                </c:pt>
                <c:pt idx="1">
                  <c:v>0.65911200000000003</c:v>
                </c:pt>
                <c:pt idx="2">
                  <c:v>9.784000000000001E-3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0.50684899999999999</c:v>
                </c:pt>
                <c:pt idx="1">
                  <c:v>0.47397</c:v>
                </c:pt>
                <c:pt idx="2">
                  <c:v>1.9181E-2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0.70429900000000001</c:v>
                </c:pt>
                <c:pt idx="1">
                  <c:v>0.28017300000000001</c:v>
                </c:pt>
                <c:pt idx="2">
                  <c:v>1.5528E-2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'IDFC-NIFTY'!$W$8:$W$26</c:f>
              <c:strCache>
                <c:ptCount val="19"/>
                <c:pt idx="0">
                  <c:v>Banks</c:v>
                </c:pt>
                <c:pt idx="1">
                  <c:v>Software</c:v>
                </c:pt>
                <c:pt idx="2">
                  <c:v>Petroleum Products</c:v>
                </c:pt>
                <c:pt idx="3">
                  <c:v>Consumer Non Durables</c:v>
                </c:pt>
                <c:pt idx="4">
                  <c:v>Finance</c:v>
                </c:pt>
                <c:pt idx="5">
                  <c:v>Auto</c:v>
                </c:pt>
                <c:pt idx="6">
                  <c:v>Pharmaceuticals</c:v>
                </c:pt>
                <c:pt idx="7">
                  <c:v>Construction Project</c:v>
                </c:pt>
                <c:pt idx="8">
                  <c:v>Insurance</c:v>
                </c:pt>
                <c:pt idx="9">
                  <c:v>Cement &amp; Cement Products</c:v>
                </c:pt>
                <c:pt idx="10">
                  <c:v>Telecom - Services</c:v>
                </c:pt>
                <c:pt idx="11">
                  <c:v>Ferrous Metals</c:v>
                </c:pt>
                <c:pt idx="12">
                  <c:v>Power</c:v>
                </c:pt>
                <c:pt idx="13">
                  <c:v>Consumer Durables</c:v>
                </c:pt>
                <c:pt idx="14">
                  <c:v>Non - Ferrous Metals</c:v>
                </c:pt>
                <c:pt idx="15">
                  <c:v>Oil</c:v>
                </c:pt>
                <c:pt idx="16">
                  <c:v>Transportation</c:v>
                </c:pt>
                <c:pt idx="17">
                  <c:v>Pesticides</c:v>
                </c:pt>
                <c:pt idx="18">
                  <c:v>Minerals/Mining</c:v>
                </c:pt>
              </c:strCache>
            </c:strRef>
          </c:cat>
          <c:val>
            <c:numRef>
              <c:f>'IDFC-NIFTY'!$X$8:$X$26</c:f>
              <c:numCache>
                <c:formatCode>0.00%</c:formatCode>
                <c:ptCount val="19"/>
                <c:pt idx="0">
                  <c:v>0.24958400000000003</c:v>
                </c:pt>
                <c:pt idx="1">
                  <c:v>0.17504700000000001</c:v>
                </c:pt>
                <c:pt idx="2">
                  <c:v>0.11842499999999999</c:v>
                </c:pt>
                <c:pt idx="3">
                  <c:v>9.0851999999999988E-2</c:v>
                </c:pt>
                <c:pt idx="4">
                  <c:v>8.2860000000000003E-2</c:v>
                </c:pt>
                <c:pt idx="5">
                  <c:v>5.1706999999999996E-2</c:v>
                </c:pt>
                <c:pt idx="6">
                  <c:v>3.2765000000000002E-2</c:v>
                </c:pt>
                <c:pt idx="7">
                  <c:v>2.9659000000000001E-2</c:v>
                </c:pt>
                <c:pt idx="8">
                  <c:v>2.5956E-2</c:v>
                </c:pt>
                <c:pt idx="9">
                  <c:v>2.2756999999999999E-2</c:v>
                </c:pt>
                <c:pt idx="10">
                  <c:v>2.1909000000000001E-2</c:v>
                </c:pt>
                <c:pt idx="11">
                  <c:v>2.1500999999999999E-2</c:v>
                </c:pt>
                <c:pt idx="12">
                  <c:v>1.8232999999999999E-2</c:v>
                </c:pt>
                <c:pt idx="13">
                  <c:v>1.4361000000000001E-2</c:v>
                </c:pt>
                <c:pt idx="14">
                  <c:v>1.133E-2</c:v>
                </c:pt>
                <c:pt idx="15">
                  <c:v>7.9220000000000002E-3</c:v>
                </c:pt>
                <c:pt idx="16">
                  <c:v>7.0200000000000002E-3</c:v>
                </c:pt>
                <c:pt idx="17">
                  <c:v>4.9480000000000001E-3</c:v>
                </c:pt>
                <c:pt idx="18">
                  <c:v>4.8019999999999998E-3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'IDFC-Sensex ETF'!$W$8:$W$21</c:f>
              <c:strCache>
                <c:ptCount val="14"/>
                <c:pt idx="0">
                  <c:v>Banks</c:v>
                </c:pt>
                <c:pt idx="1">
                  <c:v>Software</c:v>
                </c:pt>
                <c:pt idx="2">
                  <c:v>Petroleum Products</c:v>
                </c:pt>
                <c:pt idx="3">
                  <c:v>Finance</c:v>
                </c:pt>
                <c:pt idx="4">
                  <c:v>Consumer Non Durables</c:v>
                </c:pt>
                <c:pt idx="5">
                  <c:v>Construction Project</c:v>
                </c:pt>
                <c:pt idx="6">
                  <c:v>Auto</c:v>
                </c:pt>
                <c:pt idx="7">
                  <c:v>Telecom - Services</c:v>
                </c:pt>
                <c:pt idx="8">
                  <c:v>Power</c:v>
                </c:pt>
                <c:pt idx="9">
                  <c:v>Pharmaceuticals</c:v>
                </c:pt>
                <c:pt idx="10">
                  <c:v>Cement &amp; Cement Products</c:v>
                </c:pt>
                <c:pt idx="11">
                  <c:v>Consumer Durables</c:v>
                </c:pt>
                <c:pt idx="12">
                  <c:v>Insurance</c:v>
                </c:pt>
                <c:pt idx="13">
                  <c:v>Ferrous Metals</c:v>
                </c:pt>
              </c:strCache>
            </c:strRef>
          </c:cat>
          <c:val>
            <c:numRef>
              <c:f>'IDFC-Sensex ETF'!$X$8:$X$21</c:f>
              <c:numCache>
                <c:formatCode>0.00%</c:formatCode>
                <c:ptCount val="14"/>
                <c:pt idx="0">
                  <c:v>0.287991</c:v>
                </c:pt>
                <c:pt idx="1">
                  <c:v>0.19716500000000001</c:v>
                </c:pt>
                <c:pt idx="2">
                  <c:v>0.126494</c:v>
                </c:pt>
                <c:pt idx="3">
                  <c:v>9.5781000000000005E-2</c:v>
                </c:pt>
                <c:pt idx="4">
                  <c:v>9.1958999999999999E-2</c:v>
                </c:pt>
                <c:pt idx="5">
                  <c:v>3.5589000000000003E-2</c:v>
                </c:pt>
                <c:pt idx="6">
                  <c:v>2.8576999999999998E-2</c:v>
                </c:pt>
                <c:pt idx="7">
                  <c:v>2.6207000000000001E-2</c:v>
                </c:pt>
                <c:pt idx="8">
                  <c:v>2.1391E-2</c:v>
                </c:pt>
                <c:pt idx="9">
                  <c:v>2.1228999999999998E-2</c:v>
                </c:pt>
                <c:pt idx="10">
                  <c:v>1.6201E-2</c:v>
                </c:pt>
                <c:pt idx="11">
                  <c:v>1.5061E-2</c:v>
                </c:pt>
                <c:pt idx="12">
                  <c:v>1.4662E-2</c:v>
                </c:pt>
                <c:pt idx="13">
                  <c:v>1.4279999999999999E-2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ETF'!$W$8:$W$26</c:f>
              <c:strCache>
                <c:ptCount val="19"/>
                <c:pt idx="0">
                  <c:v>Banks</c:v>
                </c:pt>
                <c:pt idx="1">
                  <c:v>Software</c:v>
                </c:pt>
                <c:pt idx="2">
                  <c:v>Petroleum Products</c:v>
                </c:pt>
                <c:pt idx="3">
                  <c:v>Consumer Non Durables</c:v>
                </c:pt>
                <c:pt idx="4">
                  <c:v>Finance</c:v>
                </c:pt>
                <c:pt idx="5">
                  <c:v>Auto</c:v>
                </c:pt>
                <c:pt idx="6">
                  <c:v>Pharmaceuticals</c:v>
                </c:pt>
                <c:pt idx="7">
                  <c:v>Construction Project</c:v>
                </c:pt>
                <c:pt idx="8">
                  <c:v>Insurance</c:v>
                </c:pt>
                <c:pt idx="9">
                  <c:v>Cement &amp; Cement Products</c:v>
                </c:pt>
                <c:pt idx="10">
                  <c:v>Telecom - Services</c:v>
                </c:pt>
                <c:pt idx="11">
                  <c:v>Ferrous Metals</c:v>
                </c:pt>
                <c:pt idx="12">
                  <c:v>Power</c:v>
                </c:pt>
                <c:pt idx="13">
                  <c:v>Consumer Durables</c:v>
                </c:pt>
                <c:pt idx="14">
                  <c:v>Non - Ferrous Metals</c:v>
                </c:pt>
                <c:pt idx="15">
                  <c:v>Oil</c:v>
                </c:pt>
                <c:pt idx="16">
                  <c:v>Transportation</c:v>
                </c:pt>
                <c:pt idx="17">
                  <c:v>Pesticides</c:v>
                </c:pt>
                <c:pt idx="18">
                  <c:v>Minerals/Mining</c:v>
                </c:pt>
              </c:strCache>
            </c:strRef>
          </c:cat>
          <c:val>
            <c:numRef>
              <c:f>'IDFC- Nifty ETF'!$X$8:$X$26</c:f>
              <c:numCache>
                <c:formatCode>0.00%</c:formatCode>
                <c:ptCount val="19"/>
                <c:pt idx="0">
                  <c:v>0.24915000000000001</c:v>
                </c:pt>
                <c:pt idx="1">
                  <c:v>0.17485299999999998</c:v>
                </c:pt>
                <c:pt idx="2">
                  <c:v>0.118204</c:v>
                </c:pt>
                <c:pt idx="3">
                  <c:v>9.0691000000000008E-2</c:v>
                </c:pt>
                <c:pt idx="4">
                  <c:v>8.2741999999999996E-2</c:v>
                </c:pt>
                <c:pt idx="5">
                  <c:v>5.1602000000000009E-2</c:v>
                </c:pt>
                <c:pt idx="6">
                  <c:v>3.2724000000000003E-2</c:v>
                </c:pt>
                <c:pt idx="7">
                  <c:v>2.9604999999999999E-2</c:v>
                </c:pt>
                <c:pt idx="8">
                  <c:v>2.5954000000000001E-2</c:v>
                </c:pt>
                <c:pt idx="9">
                  <c:v>2.266E-2</c:v>
                </c:pt>
                <c:pt idx="10">
                  <c:v>2.1864999999999999E-2</c:v>
                </c:pt>
                <c:pt idx="11">
                  <c:v>2.1467E-2</c:v>
                </c:pt>
                <c:pt idx="12">
                  <c:v>1.8196999999999998E-2</c:v>
                </c:pt>
                <c:pt idx="13">
                  <c:v>1.4326999999999999E-2</c:v>
                </c:pt>
                <c:pt idx="14">
                  <c:v>1.1305000000000001E-2</c:v>
                </c:pt>
                <c:pt idx="15">
                  <c:v>7.9059999999999998E-3</c:v>
                </c:pt>
                <c:pt idx="16">
                  <c:v>7.0150000000000004E-3</c:v>
                </c:pt>
                <c:pt idx="17">
                  <c:v>4.9370000000000004E-3</c:v>
                </c:pt>
                <c:pt idx="18">
                  <c:v>4.7920000000000003E-3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Index'!$W$8:$W$35</c:f>
              <c:strCache>
                <c:ptCount val="28"/>
                <c:pt idx="0">
                  <c:v>Banks</c:v>
                </c:pt>
                <c:pt idx="1">
                  <c:v>Software</c:v>
                </c:pt>
                <c:pt idx="2">
                  <c:v>Petroleum Products</c:v>
                </c:pt>
                <c:pt idx="3">
                  <c:v>Consumer Non Durables</c:v>
                </c:pt>
                <c:pt idx="4">
                  <c:v>Finance</c:v>
                </c:pt>
                <c:pt idx="5">
                  <c:v>Auto</c:v>
                </c:pt>
                <c:pt idx="6">
                  <c:v>Pharmaceuticals</c:v>
                </c:pt>
                <c:pt idx="7">
                  <c:v>Power</c:v>
                </c:pt>
                <c:pt idx="8">
                  <c:v>Insurance</c:v>
                </c:pt>
                <c:pt idx="9">
                  <c:v>Construction Project</c:v>
                </c:pt>
                <c:pt idx="10">
                  <c:v>Cement &amp; Cement Products</c:v>
                </c:pt>
                <c:pt idx="11">
                  <c:v>Ferrous Metals</c:v>
                </c:pt>
                <c:pt idx="12">
                  <c:v>Telecom - Services</c:v>
                </c:pt>
                <c:pt idx="13">
                  <c:v>Consumer Durables</c:v>
                </c:pt>
                <c:pt idx="14">
                  <c:v>Non - Ferrous Metals</c:v>
                </c:pt>
                <c:pt idx="15">
                  <c:v>Retailing</c:v>
                </c:pt>
                <c:pt idx="16">
                  <c:v>Minerals/Mining</c:v>
                </c:pt>
                <c:pt idx="17">
                  <c:v>Transportation</c:v>
                </c:pt>
                <c:pt idx="18">
                  <c:v>Oil</c:v>
                </c:pt>
                <c:pt idx="19">
                  <c:v>Pesticides</c:v>
                </c:pt>
                <c:pt idx="20">
                  <c:v>Healthcare Services</c:v>
                </c:pt>
                <c:pt idx="21">
                  <c:v>Gas</c:v>
                </c:pt>
                <c:pt idx="22">
                  <c:v>Chemicals</c:v>
                </c:pt>
                <c:pt idx="23">
                  <c:v>Leisure Services</c:v>
                </c:pt>
                <c:pt idx="24">
                  <c:v>Construction</c:v>
                </c:pt>
                <c:pt idx="25">
                  <c:v>Industrial Capital Goods</c:v>
                </c:pt>
                <c:pt idx="26">
                  <c:v>Capital Markets</c:v>
                </c:pt>
                <c:pt idx="27">
                  <c:v>Auto Ancillaries</c:v>
                </c:pt>
              </c:strCache>
            </c:strRef>
          </c:cat>
          <c:val>
            <c:numRef>
              <c:f>'IDFC-Nifty 100 Index'!$X$8:$X$35</c:f>
              <c:numCache>
                <c:formatCode>0.00%</c:formatCode>
                <c:ptCount val="28"/>
                <c:pt idx="0">
                  <c:v>0.220357</c:v>
                </c:pt>
                <c:pt idx="1">
                  <c:v>0.15220900000000001</c:v>
                </c:pt>
                <c:pt idx="2">
                  <c:v>0.102842</c:v>
                </c:pt>
                <c:pt idx="3">
                  <c:v>9.6416999999999989E-2</c:v>
                </c:pt>
                <c:pt idx="4">
                  <c:v>8.3994999999999986E-2</c:v>
                </c:pt>
                <c:pt idx="5">
                  <c:v>4.4041999999999998E-2</c:v>
                </c:pt>
                <c:pt idx="6">
                  <c:v>3.8405000000000002E-2</c:v>
                </c:pt>
                <c:pt idx="7">
                  <c:v>2.9899999999999999E-2</c:v>
                </c:pt>
                <c:pt idx="8">
                  <c:v>2.7955999999999998E-2</c:v>
                </c:pt>
                <c:pt idx="9">
                  <c:v>2.5253999999999999E-2</c:v>
                </c:pt>
                <c:pt idx="10">
                  <c:v>2.4091000000000001E-2</c:v>
                </c:pt>
                <c:pt idx="11">
                  <c:v>2.1912000000000001E-2</c:v>
                </c:pt>
                <c:pt idx="12">
                  <c:v>2.0656999999999998E-2</c:v>
                </c:pt>
                <c:pt idx="13">
                  <c:v>1.5639E-2</c:v>
                </c:pt>
                <c:pt idx="14">
                  <c:v>1.5337E-2</c:v>
                </c:pt>
                <c:pt idx="15">
                  <c:v>1.1401999999999999E-2</c:v>
                </c:pt>
                <c:pt idx="16">
                  <c:v>1.1168999999999998E-2</c:v>
                </c:pt>
                <c:pt idx="17">
                  <c:v>8.0560000000000007E-3</c:v>
                </c:pt>
                <c:pt idx="18">
                  <c:v>6.744E-3</c:v>
                </c:pt>
                <c:pt idx="19">
                  <c:v>6.4970000000000002E-3</c:v>
                </c:pt>
                <c:pt idx="20">
                  <c:v>5.5620000000000001E-3</c:v>
                </c:pt>
                <c:pt idx="21">
                  <c:v>4.431E-3</c:v>
                </c:pt>
                <c:pt idx="22">
                  <c:v>4.215E-3</c:v>
                </c:pt>
                <c:pt idx="23">
                  <c:v>2.5720000000000001E-3</c:v>
                </c:pt>
                <c:pt idx="24">
                  <c:v>2.4970000000000001E-3</c:v>
                </c:pt>
                <c:pt idx="25">
                  <c:v>2.4060000000000002E-3</c:v>
                </c:pt>
                <c:pt idx="26">
                  <c:v>1.5839999999999999E-3</c:v>
                </c:pt>
                <c:pt idx="27">
                  <c:v>1.554E-3</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602833</xdr:colOff>
      <xdr:row>6</xdr:row>
      <xdr:rowOff>399628</xdr:rowOff>
    </xdr:from>
    <xdr:to>
      <xdr:col>13</xdr:col>
      <xdr:colOff>684589</xdr:colOff>
      <xdr:row>17</xdr:row>
      <xdr:rowOff>130967</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6997</xdr:colOff>
      <xdr:row>6</xdr:row>
      <xdr:rowOff>387997</xdr:rowOff>
    </xdr:from>
    <xdr:to>
      <xdr:col>13</xdr:col>
      <xdr:colOff>694592</xdr:colOff>
      <xdr:row>18</xdr:row>
      <xdr:rowOff>25071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470065</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view="pageBreakPreview" topLeftCell="A10"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88" t="s">
        <v>167</v>
      </c>
      <c r="D3" s="288"/>
      <c r="E3" s="288"/>
      <c r="F3" s="288"/>
      <c r="G3" s="288"/>
      <c r="H3" s="288"/>
      <c r="I3" s="288"/>
      <c r="J3" s="288"/>
      <c r="K3" s="288"/>
      <c r="L3" s="288"/>
      <c r="M3" s="289"/>
    </row>
    <row r="4" spans="2:24" ht="15.75" x14ac:dyDescent="0.25">
      <c r="B4" s="17"/>
      <c r="C4" s="280" t="s">
        <v>237</v>
      </c>
      <c r="D4" s="1"/>
      <c r="E4" s="1"/>
      <c r="F4" s="19"/>
      <c r="G4" s="19"/>
      <c r="H4" s="19"/>
      <c r="I4" s="44"/>
      <c r="J4" s="44"/>
      <c r="K4" s="19"/>
      <c r="L4" s="19"/>
      <c r="M4" s="35"/>
    </row>
    <row r="5" spans="2:24" ht="20.25" customHeight="1" x14ac:dyDescent="0.25">
      <c r="B5" s="17"/>
      <c r="C5" s="2" t="s">
        <v>236</v>
      </c>
      <c r="D5" s="110" t="s">
        <v>238</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74" t="s">
        <v>60</v>
      </c>
      <c r="D7" s="21" t="s">
        <v>62</v>
      </c>
      <c r="E7" s="19"/>
      <c r="F7" s="290" t="s">
        <v>69</v>
      </c>
      <c r="G7" s="290"/>
      <c r="H7" s="290"/>
      <c r="I7" s="290"/>
      <c r="J7" s="290"/>
      <c r="K7" s="290"/>
      <c r="L7" s="290"/>
      <c r="M7" s="291"/>
    </row>
    <row r="8" spans="2:24" ht="30" x14ac:dyDescent="0.2">
      <c r="B8" s="17"/>
      <c r="C8" s="283" t="s">
        <v>168</v>
      </c>
      <c r="D8" s="50">
        <v>0.97312100000000001</v>
      </c>
      <c r="E8" s="19"/>
      <c r="F8" s="19"/>
      <c r="G8" s="151"/>
      <c r="H8" s="26"/>
      <c r="I8" s="44" t="s">
        <v>169</v>
      </c>
      <c r="J8" s="195">
        <f>D9</f>
        <v>0.97312100000000001</v>
      </c>
      <c r="K8" s="19"/>
      <c r="L8" s="44"/>
      <c r="M8" s="35"/>
      <c r="S8" s="80"/>
      <c r="W8" s="11" t="s">
        <v>3</v>
      </c>
      <c r="X8" s="11">
        <v>0.25058799999999998</v>
      </c>
    </row>
    <row r="9" spans="2:24" ht="15.75" x14ac:dyDescent="0.25">
      <c r="B9" s="17"/>
      <c r="C9" s="284" t="s">
        <v>169</v>
      </c>
      <c r="D9" s="53">
        <v>0.97312100000000001</v>
      </c>
      <c r="E9" s="19"/>
      <c r="F9" s="19"/>
      <c r="G9" s="44"/>
      <c r="H9" s="26"/>
      <c r="I9" s="44" t="s">
        <v>25</v>
      </c>
      <c r="J9" s="195">
        <f>D13</f>
        <v>-2.7780000000000001E-3</v>
      </c>
      <c r="K9" s="19"/>
      <c r="L9" s="44"/>
      <c r="M9" s="35"/>
      <c r="S9" s="80"/>
      <c r="W9" s="11" t="s">
        <v>11</v>
      </c>
      <c r="X9" s="11">
        <v>6.1296999999999997E-2</v>
      </c>
    </row>
    <row r="10" spans="2:24" x14ac:dyDescent="0.2">
      <c r="B10" s="17"/>
      <c r="C10" s="275" t="s">
        <v>197</v>
      </c>
      <c r="D10" s="89">
        <v>2.9656999999999999E-2</v>
      </c>
      <c r="E10" s="19"/>
      <c r="F10" s="19"/>
      <c r="G10" s="44"/>
      <c r="I10" s="11" t="s">
        <v>198</v>
      </c>
      <c r="J10" s="195">
        <f>D11</f>
        <v>2.9656999999999999E-2</v>
      </c>
      <c r="K10" s="44"/>
      <c r="L10" s="19"/>
      <c r="M10" s="35"/>
      <c r="S10" s="80"/>
      <c r="W10" s="11" t="s">
        <v>12</v>
      </c>
      <c r="X10" s="11">
        <v>3.0130999999999998E-2</v>
      </c>
    </row>
    <row r="11" spans="2:24" ht="15.75" x14ac:dyDescent="0.2">
      <c r="B11" s="17"/>
      <c r="C11" s="276" t="s">
        <v>198</v>
      </c>
      <c r="D11" s="285">
        <v>2.9656999999999999E-2</v>
      </c>
      <c r="E11" s="19"/>
      <c r="F11" s="19"/>
      <c r="G11" s="44"/>
      <c r="I11" s="11"/>
      <c r="J11" s="44"/>
      <c r="K11" s="44"/>
      <c r="L11" s="19"/>
      <c r="M11" s="35"/>
      <c r="S11" s="80"/>
      <c r="W11" s="11" t="s">
        <v>7</v>
      </c>
      <c r="X11" s="11">
        <v>2.7299E-2</v>
      </c>
    </row>
    <row r="12" spans="2:24" x14ac:dyDescent="0.2">
      <c r="B12" s="17"/>
      <c r="C12" s="275"/>
      <c r="D12" s="89"/>
      <c r="E12" s="19"/>
      <c r="F12" s="19"/>
      <c r="G12" s="44"/>
      <c r="I12" s="11"/>
      <c r="J12" s="44"/>
      <c r="K12" s="44"/>
      <c r="L12" s="19"/>
      <c r="M12" s="35"/>
      <c r="S12" s="80"/>
      <c r="W12" s="11" t="s">
        <v>35</v>
      </c>
      <c r="X12" s="11">
        <v>2.5925E-2</v>
      </c>
    </row>
    <row r="13" spans="2:24" ht="15.75" x14ac:dyDescent="0.2">
      <c r="B13" s="17"/>
      <c r="C13" s="276" t="s">
        <v>25</v>
      </c>
      <c r="D13" s="285">
        <v>-2.7780000000000001E-3</v>
      </c>
      <c r="E13" s="19"/>
      <c r="F13" s="19"/>
      <c r="G13" s="19"/>
      <c r="I13" s="11"/>
      <c r="J13" s="44"/>
      <c r="K13" s="19"/>
      <c r="L13" s="19"/>
      <c r="M13" s="35"/>
      <c r="S13" s="80"/>
      <c r="W13" s="11" t="s">
        <v>9</v>
      </c>
      <c r="X13" s="11">
        <v>2.3822000000000003E-2</v>
      </c>
    </row>
    <row r="14" spans="2:24" x14ac:dyDescent="0.2">
      <c r="B14" s="17"/>
      <c r="C14" s="275"/>
      <c r="D14" s="89"/>
      <c r="E14" s="19"/>
      <c r="F14" s="19"/>
      <c r="G14" s="19"/>
      <c r="H14" s="19"/>
      <c r="I14" s="44"/>
      <c r="J14" s="44"/>
      <c r="K14" s="19"/>
      <c r="L14" s="19"/>
      <c r="M14" s="35"/>
      <c r="S14" s="80"/>
      <c r="W14" s="11" t="s">
        <v>30</v>
      </c>
      <c r="X14" s="11">
        <v>2.3753E-2</v>
      </c>
    </row>
    <row r="15" spans="2:24" ht="15.75" x14ac:dyDescent="0.2">
      <c r="B15" s="17"/>
      <c r="C15" s="277" t="s">
        <v>26</v>
      </c>
      <c r="D15" s="127">
        <v>1</v>
      </c>
      <c r="E15" s="19"/>
      <c r="F15" s="19"/>
      <c r="G15" s="19"/>
      <c r="H15" s="19"/>
      <c r="I15" s="44"/>
      <c r="J15" s="44"/>
      <c r="K15" s="19"/>
      <c r="L15" s="19"/>
      <c r="M15" s="35"/>
      <c r="S15" s="80"/>
      <c r="W15" s="11" t="s">
        <v>22</v>
      </c>
      <c r="X15" s="11">
        <v>1.8620999999999999E-2</v>
      </c>
    </row>
    <row r="16" spans="2:24" x14ac:dyDescent="0.2">
      <c r="B16" s="17"/>
      <c r="E16" s="19"/>
      <c r="F16" s="19"/>
      <c r="G16" s="19"/>
      <c r="H16" s="19"/>
      <c r="I16" s="44"/>
      <c r="J16" s="44"/>
      <c r="K16" s="19"/>
      <c r="L16" s="19"/>
      <c r="M16" s="35"/>
      <c r="S16" s="80"/>
      <c r="W16" s="11" t="s">
        <v>36</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23</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2"/>
      <c r="D24" s="292"/>
      <c r="E24" s="292"/>
      <c r="F24" s="292"/>
      <c r="G24" s="292"/>
      <c r="H24" s="292"/>
      <c r="I24" s="292"/>
      <c r="J24" s="292"/>
      <c r="K24" s="292"/>
      <c r="L24" s="292"/>
      <c r="M24" s="293"/>
      <c r="S24" s="80"/>
    </row>
    <row r="25" spans="1:26" ht="15.75" thickBot="1" x14ac:dyDescent="0.25">
      <c r="S25" s="80"/>
    </row>
    <row r="26" spans="1:26" x14ac:dyDescent="0.2">
      <c r="B26" s="294" t="s">
        <v>147</v>
      </c>
      <c r="C26" s="295"/>
      <c r="D26" s="295"/>
      <c r="E26" s="295"/>
      <c r="F26" s="295"/>
      <c r="G26" s="295"/>
      <c r="H26" s="295"/>
      <c r="I26" s="295"/>
      <c r="J26" s="295"/>
      <c r="K26" s="295"/>
      <c r="L26" s="295"/>
      <c r="M26" s="295"/>
      <c r="N26" s="296"/>
      <c r="S26" s="80"/>
    </row>
    <row r="27" spans="1:26" s="13" customFormat="1" x14ac:dyDescent="0.2">
      <c r="A27" s="11"/>
      <c r="B27" s="297"/>
      <c r="C27" s="298"/>
      <c r="D27" s="298"/>
      <c r="E27" s="298"/>
      <c r="F27" s="298"/>
      <c r="G27" s="298"/>
      <c r="H27" s="298"/>
      <c r="I27" s="298"/>
      <c r="J27" s="298"/>
      <c r="K27" s="298"/>
      <c r="L27" s="298"/>
      <c r="M27" s="298"/>
      <c r="N27" s="299"/>
      <c r="O27" s="11"/>
      <c r="P27" s="11"/>
      <c r="Q27" s="12"/>
      <c r="S27" s="80"/>
      <c r="W27" s="11"/>
      <c r="X27" s="11"/>
      <c r="Y27" s="11"/>
      <c r="Z27" s="11"/>
    </row>
    <row r="28" spans="1:26" s="13" customFormat="1" x14ac:dyDescent="0.2">
      <c r="A28" s="11"/>
      <c r="B28" s="297"/>
      <c r="C28" s="298"/>
      <c r="D28" s="298"/>
      <c r="E28" s="298"/>
      <c r="F28" s="298"/>
      <c r="G28" s="298"/>
      <c r="H28" s="298"/>
      <c r="I28" s="298"/>
      <c r="J28" s="298"/>
      <c r="K28" s="298"/>
      <c r="L28" s="298"/>
      <c r="M28" s="298"/>
      <c r="N28" s="299"/>
      <c r="O28" s="11"/>
      <c r="P28" s="11"/>
      <c r="Q28" s="12"/>
      <c r="S28" s="80"/>
      <c r="W28" s="11"/>
      <c r="X28" s="11"/>
      <c r="Y28" s="11"/>
      <c r="Z28" s="11"/>
    </row>
    <row r="29" spans="1:26" s="13" customFormat="1" x14ac:dyDescent="0.2">
      <c r="A29" s="11"/>
      <c r="B29" s="297"/>
      <c r="C29" s="298"/>
      <c r="D29" s="298"/>
      <c r="E29" s="298"/>
      <c r="F29" s="298"/>
      <c r="G29" s="298"/>
      <c r="H29" s="298"/>
      <c r="I29" s="298"/>
      <c r="J29" s="298"/>
      <c r="K29" s="298"/>
      <c r="L29" s="298"/>
      <c r="M29" s="298"/>
      <c r="N29" s="299"/>
      <c r="O29" s="11"/>
      <c r="P29" s="11"/>
      <c r="Q29" s="12"/>
      <c r="S29" s="80"/>
      <c r="W29" s="11"/>
      <c r="X29" s="11"/>
      <c r="Y29" s="11"/>
      <c r="Z29" s="11"/>
    </row>
    <row r="30" spans="1:26" s="13" customFormat="1" x14ac:dyDescent="0.2">
      <c r="A30" s="11"/>
      <c r="B30" s="297"/>
      <c r="C30" s="298"/>
      <c r="D30" s="298"/>
      <c r="E30" s="298"/>
      <c r="F30" s="298"/>
      <c r="G30" s="298"/>
      <c r="H30" s="298"/>
      <c r="I30" s="298"/>
      <c r="J30" s="298"/>
      <c r="K30" s="298"/>
      <c r="L30" s="298"/>
      <c r="M30" s="298"/>
      <c r="N30" s="299"/>
      <c r="O30" s="11"/>
      <c r="P30" s="11"/>
      <c r="Q30" s="12"/>
      <c r="S30" s="80"/>
      <c r="W30" s="11"/>
      <c r="X30" s="11"/>
      <c r="Y30" s="11"/>
      <c r="Z30" s="11"/>
    </row>
    <row r="31" spans="1:26" s="13" customFormat="1" x14ac:dyDescent="0.2">
      <c r="A31" s="11"/>
      <c r="B31" s="297"/>
      <c r="C31" s="298"/>
      <c r="D31" s="298"/>
      <c r="E31" s="298"/>
      <c r="F31" s="298"/>
      <c r="G31" s="298"/>
      <c r="H31" s="298"/>
      <c r="I31" s="298"/>
      <c r="J31" s="298"/>
      <c r="K31" s="298"/>
      <c r="L31" s="298"/>
      <c r="M31" s="298"/>
      <c r="N31" s="299"/>
      <c r="O31" s="11"/>
      <c r="P31" s="11"/>
      <c r="Q31" s="12"/>
      <c r="S31" s="80"/>
      <c r="W31" s="11"/>
      <c r="X31" s="11"/>
      <c r="Y31" s="11"/>
      <c r="Z31" s="11"/>
    </row>
    <row r="32" spans="1:26" s="13" customFormat="1" ht="37.5" customHeight="1" thickBot="1" x14ac:dyDescent="0.25">
      <c r="A32" s="11"/>
      <c r="B32" s="300"/>
      <c r="C32" s="301"/>
      <c r="D32" s="301"/>
      <c r="E32" s="301"/>
      <c r="F32" s="301"/>
      <c r="G32" s="301"/>
      <c r="H32" s="301"/>
      <c r="I32" s="301"/>
      <c r="J32" s="301"/>
      <c r="K32" s="301"/>
      <c r="L32" s="301"/>
      <c r="M32" s="301"/>
      <c r="N32" s="302"/>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294" t="s">
        <v>170</v>
      </c>
      <c r="C34" s="295"/>
      <c r="D34" s="295"/>
      <c r="E34" s="295"/>
      <c r="F34" s="295"/>
      <c r="G34" s="295"/>
      <c r="H34" s="295"/>
      <c r="I34" s="295"/>
      <c r="J34" s="295"/>
      <c r="K34" s="295"/>
      <c r="L34" s="295"/>
      <c r="M34" s="295"/>
      <c r="N34" s="296"/>
      <c r="O34" s="11"/>
      <c r="P34" s="11"/>
      <c r="Q34" s="11"/>
      <c r="S34" s="80"/>
      <c r="W34" s="11"/>
      <c r="X34" s="11"/>
      <c r="Y34" s="11"/>
      <c r="Z34" s="11"/>
    </row>
    <row r="35" spans="1:26" s="13" customFormat="1" x14ac:dyDescent="0.2">
      <c r="A35" s="11"/>
      <c r="B35" s="297"/>
      <c r="C35" s="298"/>
      <c r="D35" s="298"/>
      <c r="E35" s="298"/>
      <c r="F35" s="298"/>
      <c r="G35" s="298"/>
      <c r="H35" s="298"/>
      <c r="I35" s="298"/>
      <c r="J35" s="298"/>
      <c r="K35" s="298"/>
      <c r="L35" s="298"/>
      <c r="M35" s="298"/>
      <c r="N35" s="299"/>
      <c r="O35" s="11"/>
      <c r="P35" s="11"/>
      <c r="Q35" s="11"/>
      <c r="S35" s="80"/>
      <c r="W35" s="11"/>
      <c r="X35" s="11"/>
      <c r="Y35" s="11"/>
      <c r="Z35" s="11"/>
    </row>
    <row r="36" spans="1:26" s="13" customFormat="1" x14ac:dyDescent="0.2">
      <c r="A36" s="11"/>
      <c r="B36" s="297"/>
      <c r="C36" s="298"/>
      <c r="D36" s="298"/>
      <c r="E36" s="298"/>
      <c r="F36" s="298"/>
      <c r="G36" s="298"/>
      <c r="H36" s="298"/>
      <c r="I36" s="298"/>
      <c r="J36" s="298"/>
      <c r="K36" s="298"/>
      <c r="L36" s="298"/>
      <c r="M36" s="298"/>
      <c r="N36" s="299"/>
      <c r="O36" s="11"/>
      <c r="P36" s="11"/>
      <c r="Q36" s="11"/>
      <c r="S36" s="80"/>
      <c r="W36" s="11"/>
      <c r="X36" s="11"/>
      <c r="Y36" s="11"/>
      <c r="Z36" s="11"/>
    </row>
    <row r="37" spans="1:26" s="13" customFormat="1" x14ac:dyDescent="0.2">
      <c r="A37" s="11"/>
      <c r="B37" s="297"/>
      <c r="C37" s="298"/>
      <c r="D37" s="298"/>
      <c r="E37" s="298"/>
      <c r="F37" s="298"/>
      <c r="G37" s="298"/>
      <c r="H37" s="298"/>
      <c r="I37" s="298"/>
      <c r="J37" s="298"/>
      <c r="K37" s="298"/>
      <c r="L37" s="298"/>
      <c r="M37" s="298"/>
      <c r="N37" s="299"/>
      <c r="O37" s="11"/>
      <c r="P37" s="11"/>
      <c r="Q37" s="11"/>
      <c r="S37" s="80"/>
      <c r="W37" s="11"/>
      <c r="X37" s="11"/>
      <c r="Y37" s="11"/>
      <c r="Z37" s="11"/>
    </row>
    <row r="38" spans="1:26" s="13" customFormat="1" x14ac:dyDescent="0.2">
      <c r="A38" s="11"/>
      <c r="B38" s="297"/>
      <c r="C38" s="298"/>
      <c r="D38" s="298"/>
      <c r="E38" s="298"/>
      <c r="F38" s="298"/>
      <c r="G38" s="298"/>
      <c r="H38" s="298"/>
      <c r="I38" s="298"/>
      <c r="J38" s="298"/>
      <c r="K38" s="298"/>
      <c r="L38" s="298"/>
      <c r="M38" s="298"/>
      <c r="N38" s="299"/>
      <c r="O38" s="11"/>
      <c r="P38" s="11"/>
      <c r="Q38" s="11"/>
      <c r="S38" s="80"/>
      <c r="W38" s="11"/>
      <c r="X38" s="11"/>
      <c r="Y38" s="11"/>
      <c r="Z38" s="11"/>
    </row>
    <row r="39" spans="1:26" s="13" customFormat="1" x14ac:dyDescent="0.2">
      <c r="A39" s="11"/>
      <c r="B39" s="297"/>
      <c r="C39" s="298"/>
      <c r="D39" s="298"/>
      <c r="E39" s="298"/>
      <c r="F39" s="298"/>
      <c r="G39" s="298"/>
      <c r="H39" s="298"/>
      <c r="I39" s="298"/>
      <c r="J39" s="298"/>
      <c r="K39" s="298"/>
      <c r="L39" s="298"/>
      <c r="M39" s="298"/>
      <c r="N39" s="299"/>
      <c r="O39" s="11"/>
      <c r="P39" s="11"/>
      <c r="Q39" s="11"/>
      <c r="S39" s="80"/>
      <c r="W39" s="11"/>
      <c r="X39" s="11"/>
      <c r="Y39" s="11"/>
      <c r="Z39" s="11"/>
    </row>
    <row r="40" spans="1:26" s="13" customFormat="1" ht="15.75" thickBot="1" x14ac:dyDescent="0.25">
      <c r="A40" s="11"/>
      <c r="B40" s="300"/>
      <c r="C40" s="301"/>
      <c r="D40" s="301"/>
      <c r="E40" s="301"/>
      <c r="F40" s="301"/>
      <c r="G40" s="301"/>
      <c r="H40" s="301"/>
      <c r="I40" s="301"/>
      <c r="J40" s="301"/>
      <c r="K40" s="301"/>
      <c r="L40" s="301"/>
      <c r="M40" s="301"/>
      <c r="N40" s="302"/>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6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A88"/>
  <sheetViews>
    <sheetView showGridLines="0" view="pageBreakPreview" topLeftCell="E28" zoomScale="60" zoomScaleNormal="75" workbookViewId="0">
      <selection activeCell="AH1" sqref="AH1"/>
    </sheetView>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9"/>
    </row>
    <row r="2" spans="1:24" ht="15" customHeight="1" x14ac:dyDescent="0.25">
      <c r="B2" s="131"/>
      <c r="C2" s="132"/>
      <c r="D2" s="132"/>
      <c r="E2" s="132"/>
      <c r="F2" s="132"/>
      <c r="G2" s="132"/>
      <c r="H2" s="132"/>
      <c r="I2" s="132"/>
      <c r="J2" s="132"/>
      <c r="K2" s="132"/>
      <c r="L2" s="132"/>
      <c r="M2" s="132"/>
      <c r="N2" s="132"/>
      <c r="O2" s="132"/>
      <c r="P2" s="132"/>
      <c r="Q2" s="132"/>
      <c r="R2" s="132"/>
      <c r="S2" s="233"/>
      <c r="T2" s="234"/>
    </row>
    <row r="3" spans="1:24" ht="20.25" customHeight="1" x14ac:dyDescent="0.25">
      <c r="B3" s="133"/>
      <c r="C3" s="303" t="s">
        <v>98</v>
      </c>
      <c r="D3" s="304"/>
      <c r="E3" s="304"/>
      <c r="F3" s="304"/>
      <c r="G3" s="304"/>
      <c r="H3" s="304"/>
      <c r="I3" s="304"/>
      <c r="J3" s="304"/>
      <c r="K3" s="304"/>
      <c r="L3" s="304"/>
      <c r="M3" s="304"/>
      <c r="N3" s="304"/>
      <c r="O3" s="304"/>
      <c r="P3" s="304"/>
      <c r="Q3" s="304"/>
      <c r="R3" s="304"/>
      <c r="S3" s="305"/>
      <c r="T3" s="235"/>
    </row>
    <row r="4" spans="1:24" ht="15.75" customHeight="1" x14ac:dyDescent="0.25">
      <c r="B4" s="133"/>
      <c r="C4" s="280" t="s">
        <v>237</v>
      </c>
      <c r="D4" s="1"/>
      <c r="E4" s="154"/>
      <c r="F4" s="154"/>
      <c r="G4" s="154"/>
      <c r="H4" s="154"/>
      <c r="I4" s="154"/>
      <c r="J4" s="154"/>
      <c r="K4" s="1"/>
      <c r="L4" s="1"/>
      <c r="M4" s="1"/>
      <c r="N4" s="1"/>
      <c r="O4" s="1"/>
      <c r="P4" s="1"/>
      <c r="Q4" s="1"/>
      <c r="R4" s="1"/>
      <c r="S4" s="76"/>
      <c r="T4" s="235"/>
    </row>
    <row r="5" spans="1:24" ht="18" customHeight="1" x14ac:dyDescent="0.25">
      <c r="B5" s="133"/>
      <c r="C5" s="2" t="s">
        <v>236</v>
      </c>
      <c r="D5" s="306" t="s">
        <v>257</v>
      </c>
      <c r="E5" s="306"/>
      <c r="F5" s="1"/>
      <c r="G5" s="1"/>
      <c r="H5" s="107"/>
      <c r="I5" s="107"/>
      <c r="J5" s="107"/>
      <c r="K5" s="107"/>
      <c r="L5" s="107"/>
      <c r="M5" s="107"/>
      <c r="N5" s="107"/>
      <c r="O5" s="107"/>
      <c r="P5" s="107"/>
      <c r="Q5" s="107"/>
      <c r="R5" s="107"/>
      <c r="S5" s="108"/>
      <c r="T5" s="236"/>
    </row>
    <row r="6" spans="1:24" ht="15" customHeight="1" x14ac:dyDescent="0.25">
      <c r="B6" s="133"/>
      <c r="C6" s="1"/>
      <c r="D6" s="1"/>
      <c r="E6" s="1"/>
      <c r="F6" s="1"/>
      <c r="G6" s="1"/>
      <c r="H6" s="107"/>
      <c r="I6" s="107"/>
      <c r="J6" s="107"/>
      <c r="K6" s="107"/>
      <c r="L6" s="107"/>
      <c r="M6" s="107"/>
      <c r="N6" s="107"/>
      <c r="O6" s="107"/>
      <c r="P6" s="107"/>
      <c r="Q6" s="107"/>
      <c r="R6" s="107"/>
      <c r="S6" s="108"/>
      <c r="T6" s="236"/>
      <c r="V6" s="180"/>
    </row>
    <row r="7" spans="1:24" ht="32.25" customHeight="1" x14ac:dyDescent="0.25">
      <c r="B7" s="133"/>
      <c r="C7" s="99" t="s">
        <v>0</v>
      </c>
      <c r="D7" s="100" t="s">
        <v>1</v>
      </c>
      <c r="E7" s="99" t="s">
        <v>2</v>
      </c>
      <c r="F7" s="1"/>
      <c r="G7" s="1"/>
      <c r="H7" s="1"/>
      <c r="I7" s="1"/>
      <c r="J7" s="1"/>
      <c r="K7" s="1"/>
      <c r="L7" s="1"/>
      <c r="M7" s="1"/>
      <c r="N7" s="1"/>
      <c r="O7" s="1"/>
      <c r="P7" s="1"/>
      <c r="Q7" s="1"/>
      <c r="R7" s="1"/>
      <c r="S7" s="76"/>
      <c r="T7" s="235"/>
      <c r="V7" s="180"/>
      <c r="W7" s="166" t="s">
        <v>27</v>
      </c>
      <c r="X7" s="166" t="s">
        <v>2</v>
      </c>
    </row>
    <row r="8" spans="1:24" ht="15" customHeight="1" x14ac:dyDescent="0.25">
      <c r="B8" s="133"/>
      <c r="C8" s="92" t="s">
        <v>42</v>
      </c>
      <c r="D8" s="94" t="s">
        <v>3</v>
      </c>
      <c r="E8" s="96">
        <v>7.1872000000000005E-2</v>
      </c>
      <c r="F8" s="182"/>
      <c r="G8" s="1"/>
      <c r="H8" s="1"/>
      <c r="I8" s="1"/>
      <c r="J8" s="1"/>
      <c r="K8" s="1"/>
      <c r="L8" s="1"/>
      <c r="M8" s="1"/>
      <c r="N8" s="1"/>
      <c r="O8" s="1"/>
      <c r="P8" s="1"/>
      <c r="Q8" s="1"/>
      <c r="R8" s="1"/>
      <c r="S8" s="76"/>
      <c r="T8" s="235"/>
      <c r="V8" s="180"/>
      <c r="W8" s="217" t="s">
        <v>3</v>
      </c>
      <c r="X8" s="218">
        <v>0.23754999999999998</v>
      </c>
    </row>
    <row r="9" spans="1:24" ht="15.75" customHeight="1" x14ac:dyDescent="0.25">
      <c r="B9" s="133"/>
      <c r="C9" s="93" t="s">
        <v>37</v>
      </c>
      <c r="D9" s="95" t="s">
        <v>11</v>
      </c>
      <c r="E9" s="97">
        <v>6.8998000000000004E-2</v>
      </c>
      <c r="F9" s="182"/>
      <c r="G9" s="1"/>
      <c r="H9" s="1"/>
      <c r="I9" s="1"/>
      <c r="J9" s="1"/>
      <c r="K9" s="1"/>
      <c r="L9" s="1"/>
      <c r="M9" s="1"/>
      <c r="N9" s="1"/>
      <c r="O9" s="1"/>
      <c r="P9" s="1"/>
      <c r="Q9" s="1"/>
      <c r="R9" s="1"/>
      <c r="S9" s="76"/>
      <c r="T9" s="235"/>
      <c r="V9" s="180"/>
      <c r="W9" s="217" t="s">
        <v>11</v>
      </c>
      <c r="X9" s="218">
        <v>0.14295800000000003</v>
      </c>
    </row>
    <row r="10" spans="1:24" ht="15" customHeight="1" x14ac:dyDescent="0.25">
      <c r="B10" s="133"/>
      <c r="C10" s="93" t="s">
        <v>38</v>
      </c>
      <c r="D10" s="95" t="s">
        <v>3</v>
      </c>
      <c r="E10" s="97">
        <v>5.5390000000000002E-2</v>
      </c>
      <c r="F10" s="182"/>
      <c r="G10" s="1"/>
      <c r="H10" s="1"/>
      <c r="I10" s="1"/>
      <c r="J10" s="1"/>
      <c r="K10" s="1"/>
      <c r="L10" s="1"/>
      <c r="M10" s="1"/>
      <c r="N10" s="1"/>
      <c r="O10" s="1"/>
      <c r="P10" s="1"/>
      <c r="Q10" s="1"/>
      <c r="R10" s="1"/>
      <c r="S10" s="76"/>
      <c r="T10" s="235"/>
      <c r="V10" s="180"/>
      <c r="W10" s="217" t="s">
        <v>8</v>
      </c>
      <c r="X10" s="218">
        <v>6.9114000000000009E-2</v>
      </c>
    </row>
    <row r="11" spans="1:24" ht="15" customHeight="1" x14ac:dyDescent="0.25">
      <c r="B11" s="133"/>
      <c r="C11" s="93" t="s">
        <v>140</v>
      </c>
      <c r="D11" s="95" t="s">
        <v>3</v>
      </c>
      <c r="E11" s="97">
        <v>4.8336999999999998E-2</v>
      </c>
      <c r="F11" s="182"/>
      <c r="G11" s="1"/>
      <c r="H11" s="1"/>
      <c r="I11" s="1"/>
      <c r="J11" s="1"/>
      <c r="K11" s="1"/>
      <c r="L11" s="1"/>
      <c r="M11" s="1"/>
      <c r="N11" s="1"/>
      <c r="O11" s="1"/>
      <c r="P11" s="1"/>
      <c r="Q11" s="1"/>
      <c r="R11" s="1"/>
      <c r="S11" s="76"/>
      <c r="T11" s="235"/>
      <c r="V11" s="180"/>
      <c r="W11" s="217" t="s">
        <v>17</v>
      </c>
      <c r="X11" s="218">
        <v>5.7423000000000002E-2</v>
      </c>
    </row>
    <row r="12" spans="1:24" ht="15" customHeight="1" x14ac:dyDescent="0.25">
      <c r="B12" s="133"/>
      <c r="C12" s="93" t="s">
        <v>41</v>
      </c>
      <c r="D12" s="95" t="s">
        <v>6</v>
      </c>
      <c r="E12" s="97">
        <v>3.1525999999999998E-2</v>
      </c>
      <c r="F12" s="182"/>
      <c r="G12" s="1"/>
      <c r="H12" s="1"/>
      <c r="I12" s="1"/>
      <c r="J12" s="1"/>
      <c r="K12" s="1"/>
      <c r="L12" s="1"/>
      <c r="M12" s="1"/>
      <c r="N12" s="1"/>
      <c r="O12" s="1"/>
      <c r="P12" s="1"/>
      <c r="Q12" s="1"/>
      <c r="R12" s="1"/>
      <c r="S12" s="76"/>
      <c r="T12" s="235"/>
      <c r="V12" s="180"/>
      <c r="W12" s="217" t="s">
        <v>29</v>
      </c>
      <c r="X12" s="218">
        <v>5.6207E-2</v>
      </c>
    </row>
    <row r="13" spans="1:24" ht="15" customHeight="1" x14ac:dyDescent="0.25">
      <c r="B13" s="133"/>
      <c r="C13" s="93" t="s">
        <v>113</v>
      </c>
      <c r="D13" s="95" t="s">
        <v>14</v>
      </c>
      <c r="E13" s="97">
        <v>3.0216E-2</v>
      </c>
      <c r="F13" s="182"/>
      <c r="G13" s="1"/>
      <c r="H13" s="1"/>
      <c r="I13" s="1"/>
      <c r="J13" s="1"/>
      <c r="K13" s="1"/>
      <c r="L13" s="1"/>
      <c r="M13" s="1"/>
      <c r="N13" s="1"/>
      <c r="O13" s="1"/>
      <c r="P13" s="1"/>
      <c r="Q13" s="1"/>
      <c r="R13" s="1"/>
      <c r="S13" s="76"/>
      <c r="T13" s="235"/>
      <c r="V13" s="180"/>
      <c r="W13" s="217" t="s">
        <v>149</v>
      </c>
      <c r="X13" s="218">
        <v>5.5863999999999997E-2</v>
      </c>
    </row>
    <row r="14" spans="1:24" ht="15" customHeight="1" x14ac:dyDescent="0.25">
      <c r="B14" s="133"/>
      <c r="C14" s="93" t="s">
        <v>44</v>
      </c>
      <c r="D14" s="95" t="s">
        <v>9</v>
      </c>
      <c r="E14" s="97">
        <v>2.6356000000000001E-2</v>
      </c>
      <c r="F14" s="182"/>
      <c r="G14" s="1"/>
      <c r="H14" s="1"/>
      <c r="I14" s="1"/>
      <c r="J14" s="1"/>
      <c r="K14" s="1"/>
      <c r="L14" s="1"/>
      <c r="M14" s="1"/>
      <c r="N14" s="1"/>
      <c r="O14" s="1"/>
      <c r="P14" s="1"/>
      <c r="Q14" s="1"/>
      <c r="R14" s="1"/>
      <c r="S14" s="76"/>
      <c r="T14" s="235"/>
      <c r="V14" s="180"/>
      <c r="W14" s="217" t="s">
        <v>16</v>
      </c>
      <c r="X14" s="218">
        <v>5.0031999999999993E-2</v>
      </c>
    </row>
    <row r="15" spans="1:24" ht="15.75" x14ac:dyDescent="0.25">
      <c r="B15" s="133"/>
      <c r="C15" s="93" t="s">
        <v>171</v>
      </c>
      <c r="D15" s="95" t="s">
        <v>150</v>
      </c>
      <c r="E15" s="97">
        <v>2.5904E-2</v>
      </c>
      <c r="F15" s="182"/>
      <c r="G15" s="1"/>
      <c r="H15" s="1"/>
      <c r="I15" s="1"/>
      <c r="J15" s="1"/>
      <c r="K15" s="1"/>
      <c r="L15" s="1"/>
      <c r="M15" s="1"/>
      <c r="N15" s="1"/>
      <c r="O15" s="1"/>
      <c r="P15" s="1"/>
      <c r="Q15" s="1"/>
      <c r="R15" s="1"/>
      <c r="S15" s="76"/>
      <c r="T15" s="235"/>
      <c r="V15" s="180"/>
      <c r="W15" s="217" t="s">
        <v>6</v>
      </c>
      <c r="X15" s="218">
        <v>3.5002999999999999E-2</v>
      </c>
    </row>
    <row r="16" spans="1:24" ht="15" customHeight="1" x14ac:dyDescent="0.25">
      <c r="B16" s="133"/>
      <c r="C16" s="93" t="s">
        <v>141</v>
      </c>
      <c r="D16" s="95" t="s">
        <v>17</v>
      </c>
      <c r="E16" s="97">
        <v>2.4105000000000001E-2</v>
      </c>
      <c r="F16" s="182"/>
      <c r="G16" s="1"/>
      <c r="H16" s="1"/>
      <c r="I16" s="1"/>
      <c r="J16" s="1"/>
      <c r="K16" s="1"/>
      <c r="L16" s="1"/>
      <c r="M16" s="1"/>
      <c r="N16" s="1"/>
      <c r="O16" s="1"/>
      <c r="P16" s="1"/>
      <c r="Q16" s="1"/>
      <c r="R16" s="1"/>
      <c r="S16" s="76"/>
      <c r="T16" s="235"/>
      <c r="V16" s="180"/>
      <c r="W16" s="217" t="s">
        <v>14</v>
      </c>
      <c r="X16" s="218">
        <v>3.0216E-2</v>
      </c>
    </row>
    <row r="17" spans="2:24" ht="15.75" x14ac:dyDescent="0.25">
      <c r="B17" s="133"/>
      <c r="C17" s="93" t="s">
        <v>172</v>
      </c>
      <c r="D17" s="95" t="s">
        <v>17</v>
      </c>
      <c r="E17" s="97">
        <v>2.3865999999999998E-2</v>
      </c>
      <c r="F17" s="182"/>
      <c r="G17" s="1"/>
      <c r="H17" s="1"/>
      <c r="I17" s="1"/>
      <c r="J17" s="1"/>
      <c r="K17" s="1"/>
      <c r="L17" s="1"/>
      <c r="M17" s="1"/>
      <c r="N17" s="1"/>
      <c r="O17" s="1"/>
      <c r="P17" s="1"/>
      <c r="Q17" s="1"/>
      <c r="R17" s="1"/>
      <c r="S17" s="76"/>
      <c r="T17" s="235"/>
      <c r="V17" s="180"/>
      <c r="W17" s="217" t="s">
        <v>12</v>
      </c>
      <c r="X17" s="218">
        <v>2.9198999999999999E-2</v>
      </c>
    </row>
    <row r="18" spans="2:24" ht="15.75" x14ac:dyDescent="0.25">
      <c r="B18" s="133"/>
      <c r="C18" s="93" t="s">
        <v>46</v>
      </c>
      <c r="D18" s="95" t="s">
        <v>3</v>
      </c>
      <c r="E18" s="97">
        <v>2.3647999999999999E-2</v>
      </c>
      <c r="F18" s="182"/>
      <c r="G18" s="1"/>
      <c r="H18" s="1"/>
      <c r="I18" s="1"/>
      <c r="J18" s="1"/>
      <c r="K18" s="1"/>
      <c r="L18" s="1"/>
      <c r="M18" s="1"/>
      <c r="N18" s="1"/>
      <c r="O18" s="1"/>
      <c r="P18" s="1"/>
      <c r="Q18" s="1"/>
      <c r="R18" s="1"/>
      <c r="S18" s="76"/>
      <c r="T18" s="235"/>
      <c r="V18" s="180"/>
      <c r="W18" s="217" t="s">
        <v>9</v>
      </c>
      <c r="X18" s="218">
        <v>2.6356000000000001E-2</v>
      </c>
    </row>
    <row r="19" spans="2:24" ht="15.75" x14ac:dyDescent="0.25">
      <c r="B19" s="133"/>
      <c r="C19" s="93" t="s">
        <v>119</v>
      </c>
      <c r="D19" s="95" t="s">
        <v>11</v>
      </c>
      <c r="E19" s="97">
        <v>2.3334000000000001E-2</v>
      </c>
      <c r="F19" s="182"/>
      <c r="G19" s="1"/>
      <c r="H19" s="1"/>
      <c r="I19" s="1"/>
      <c r="J19" s="1"/>
      <c r="K19" s="1"/>
      <c r="L19" s="1"/>
      <c r="M19" s="1"/>
      <c r="N19" s="1"/>
      <c r="O19" s="1"/>
      <c r="P19" s="1"/>
      <c r="Q19" s="1"/>
      <c r="R19" s="1"/>
      <c r="S19" s="76"/>
      <c r="T19" s="235"/>
      <c r="V19" s="180"/>
      <c r="W19" s="217" t="s">
        <v>150</v>
      </c>
      <c r="X19" s="218">
        <v>2.5904E-2</v>
      </c>
    </row>
    <row r="20" spans="2:24" ht="15" customHeight="1" x14ac:dyDescent="0.25">
      <c r="B20" s="133"/>
      <c r="C20" s="93" t="s">
        <v>164</v>
      </c>
      <c r="D20" s="95" t="s">
        <v>35</v>
      </c>
      <c r="E20" s="97">
        <v>2.3281E-2</v>
      </c>
      <c r="F20" s="182"/>
      <c r="G20" s="1"/>
      <c r="H20" s="1"/>
      <c r="I20" s="1"/>
      <c r="J20" s="1"/>
      <c r="K20" s="1"/>
      <c r="L20" s="1"/>
      <c r="M20" s="1"/>
      <c r="N20" s="1"/>
      <c r="O20" s="1"/>
      <c r="P20" s="1"/>
      <c r="Q20" s="1"/>
      <c r="R20" s="1"/>
      <c r="S20" s="76"/>
      <c r="T20" s="235"/>
      <c r="V20" s="180"/>
      <c r="W20" s="217" t="s">
        <v>7</v>
      </c>
      <c r="X20" s="218">
        <v>2.5441999999999999E-2</v>
      </c>
    </row>
    <row r="21" spans="2:24" ht="17.25" customHeight="1" x14ac:dyDescent="0.25">
      <c r="B21" s="133"/>
      <c r="C21" s="93" t="s">
        <v>126</v>
      </c>
      <c r="D21" s="95" t="s">
        <v>13</v>
      </c>
      <c r="E21" s="97">
        <v>2.3262000000000001E-2</v>
      </c>
      <c r="F21" s="182"/>
      <c r="G21" s="1"/>
      <c r="H21" s="1"/>
      <c r="I21" s="1"/>
      <c r="J21" s="1"/>
      <c r="K21" s="1"/>
      <c r="L21" s="1"/>
      <c r="M21" s="1"/>
      <c r="N21" s="1"/>
      <c r="O21" s="1"/>
      <c r="P21" s="1"/>
      <c r="Q21" s="1"/>
      <c r="R21" s="1"/>
      <c r="S21" s="76"/>
      <c r="T21" s="235"/>
      <c r="V21" s="180"/>
      <c r="W21" s="217" t="s">
        <v>35</v>
      </c>
      <c r="X21" s="218">
        <v>2.3281E-2</v>
      </c>
    </row>
    <row r="22" spans="2:24" ht="15" customHeight="1" x14ac:dyDescent="0.25">
      <c r="B22" s="133"/>
      <c r="C22" s="93" t="s">
        <v>43</v>
      </c>
      <c r="D22" s="95" t="s">
        <v>11</v>
      </c>
      <c r="E22" s="97">
        <v>2.2835999999999999E-2</v>
      </c>
      <c r="F22" s="182"/>
      <c r="G22" s="1"/>
      <c r="H22" s="1"/>
      <c r="I22" s="1"/>
      <c r="J22" s="1"/>
      <c r="K22" s="1"/>
      <c r="L22" s="1"/>
      <c r="M22" s="1"/>
      <c r="N22" s="1"/>
      <c r="O22" s="1"/>
      <c r="P22" s="1"/>
      <c r="Q22" s="1"/>
      <c r="R22" s="1"/>
      <c r="S22" s="76"/>
      <c r="T22" s="235"/>
      <c r="V22" s="180"/>
      <c r="W22" s="217" t="s">
        <v>13</v>
      </c>
      <c r="X22" s="218">
        <v>2.3262000000000001E-2</v>
      </c>
    </row>
    <row r="23" spans="2:24" ht="15" customHeight="1" x14ac:dyDescent="0.25">
      <c r="B23" s="133"/>
      <c r="C23" s="67"/>
      <c r="D23" s="67"/>
      <c r="E23" s="89"/>
      <c r="F23" s="182"/>
      <c r="G23" s="1"/>
      <c r="H23" s="1"/>
      <c r="I23" s="1"/>
      <c r="J23" s="1"/>
      <c r="K23" s="1"/>
      <c r="L23" s="1"/>
      <c r="M23" s="1"/>
      <c r="N23" s="1"/>
      <c r="O23" s="1"/>
      <c r="P23" s="1"/>
      <c r="Q23" s="1"/>
      <c r="R23" s="1"/>
      <c r="S23" s="76"/>
      <c r="T23" s="235"/>
      <c r="V23" s="180"/>
      <c r="W23" s="217" t="s">
        <v>22</v>
      </c>
      <c r="X23" s="218">
        <v>1.6218E-2</v>
      </c>
    </row>
    <row r="24" spans="2:24" ht="15" customHeight="1" x14ac:dyDescent="0.25">
      <c r="B24" s="133"/>
      <c r="C24" s="239" t="s">
        <v>77</v>
      </c>
      <c r="D24" s="240"/>
      <c r="E24" s="241">
        <f>SUM(E8:E22)</f>
        <v>0.52293099999999992</v>
      </c>
      <c r="F24" s="1"/>
      <c r="G24" s="1"/>
      <c r="H24" s="1"/>
      <c r="I24" s="1"/>
      <c r="J24" s="1"/>
      <c r="K24" s="1"/>
      <c r="L24" s="1"/>
      <c r="M24" s="1"/>
      <c r="N24" s="1"/>
      <c r="O24" s="1"/>
      <c r="P24" s="1"/>
      <c r="Q24" s="1"/>
      <c r="R24" s="1"/>
      <c r="S24" s="76"/>
      <c r="T24" s="235"/>
      <c r="V24" s="180"/>
      <c r="W24" s="217" t="s">
        <v>152</v>
      </c>
      <c r="X24" s="218">
        <v>1.5710000000000002E-2</v>
      </c>
    </row>
    <row r="25" spans="2:24" ht="15" customHeight="1" x14ac:dyDescent="0.25">
      <c r="B25" s="133"/>
      <c r="C25" s="1"/>
      <c r="D25" s="1"/>
      <c r="E25" s="1"/>
      <c r="F25" s="1"/>
      <c r="G25" s="1"/>
      <c r="H25" s="1"/>
      <c r="I25" s="1"/>
      <c r="J25" s="1"/>
      <c r="K25" s="1"/>
      <c r="L25" s="1"/>
      <c r="M25" s="1"/>
      <c r="N25" s="1"/>
      <c r="O25" s="1"/>
      <c r="P25" s="1"/>
      <c r="Q25" s="1"/>
      <c r="R25" s="1"/>
      <c r="S25" s="76"/>
      <c r="T25" s="235"/>
      <c r="V25" s="180"/>
      <c r="W25" s="217" t="s">
        <v>21</v>
      </c>
      <c r="X25" s="218">
        <v>1.5479E-2</v>
      </c>
    </row>
    <row r="26" spans="2:24" ht="15" customHeight="1" x14ac:dyDescent="0.25">
      <c r="B26" s="133"/>
      <c r="C26" s="1"/>
      <c r="D26" s="1"/>
      <c r="E26" s="1"/>
      <c r="F26" s="1"/>
      <c r="G26" s="1"/>
      <c r="H26" s="1"/>
      <c r="I26" s="1"/>
      <c r="J26" s="1"/>
      <c r="K26" s="1"/>
      <c r="L26" s="1"/>
      <c r="M26" s="1"/>
      <c r="N26" s="1"/>
      <c r="O26" s="1"/>
      <c r="P26" s="1"/>
      <c r="Q26" s="1"/>
      <c r="R26" s="1"/>
      <c r="S26" s="76"/>
      <c r="T26" s="235"/>
      <c r="V26" s="180"/>
      <c r="W26" s="217" t="s">
        <v>173</v>
      </c>
      <c r="X26" s="218">
        <v>1.3626000000000001E-2</v>
      </c>
    </row>
    <row r="27" spans="2:24" ht="15" customHeight="1" x14ac:dyDescent="0.25">
      <c r="B27" s="133"/>
      <c r="C27" s="1"/>
      <c r="D27" s="1"/>
      <c r="E27" s="1"/>
      <c r="F27" s="1"/>
      <c r="G27" s="1"/>
      <c r="H27" s="1"/>
      <c r="I27" s="1"/>
      <c r="J27" s="1"/>
      <c r="K27" s="1"/>
      <c r="L27" s="1"/>
      <c r="M27" s="1"/>
      <c r="N27" s="1"/>
      <c r="O27" s="1"/>
      <c r="P27" s="1"/>
      <c r="Q27" s="1"/>
      <c r="R27" s="1"/>
      <c r="S27" s="76"/>
      <c r="T27" s="235"/>
      <c r="V27" s="180"/>
      <c r="W27" s="217" t="s">
        <v>23</v>
      </c>
      <c r="X27" s="218">
        <v>1.124E-2</v>
      </c>
    </row>
    <row r="28" spans="2:24" ht="15" customHeight="1" x14ac:dyDescent="0.25">
      <c r="B28" s="133"/>
      <c r="C28" s="1"/>
      <c r="D28" s="1"/>
      <c r="E28" s="1"/>
      <c r="F28" s="1"/>
      <c r="G28" s="1"/>
      <c r="H28" s="1"/>
      <c r="I28" s="1"/>
      <c r="J28" s="1"/>
      <c r="K28" s="1"/>
      <c r="L28" s="1"/>
      <c r="M28" s="1"/>
      <c r="N28" s="1"/>
      <c r="O28" s="1"/>
      <c r="P28" s="1"/>
      <c r="Q28" s="1"/>
      <c r="R28" s="1"/>
      <c r="S28" s="76"/>
      <c r="T28" s="235"/>
      <c r="V28" s="180"/>
      <c r="W28" s="200" t="s">
        <v>30</v>
      </c>
      <c r="X28" s="201">
        <v>9.0410000000000004E-3</v>
      </c>
    </row>
    <row r="29" spans="2:24" ht="15" customHeight="1" x14ac:dyDescent="0.25">
      <c r="B29" s="133"/>
      <c r="C29" s="1"/>
      <c r="D29" s="1"/>
      <c r="E29" s="1"/>
      <c r="F29" s="1"/>
      <c r="G29" s="1"/>
      <c r="H29" s="1"/>
      <c r="I29" s="1"/>
      <c r="J29" s="1"/>
      <c r="K29" s="1"/>
      <c r="L29" s="1"/>
      <c r="M29" s="1"/>
      <c r="N29" s="1"/>
      <c r="O29" s="1"/>
      <c r="P29" s="1"/>
      <c r="Q29" s="1"/>
      <c r="R29" s="1"/>
      <c r="S29" s="76"/>
      <c r="T29" s="235"/>
      <c r="V29" s="180"/>
      <c r="W29" s="200" t="s">
        <v>151</v>
      </c>
      <c r="X29" s="201">
        <v>8.8360000000000001E-3</v>
      </c>
    </row>
    <row r="30" spans="2:24" ht="15" customHeight="1" x14ac:dyDescent="0.25">
      <c r="B30" s="133"/>
      <c r="C30" s="1"/>
      <c r="D30" s="1"/>
      <c r="E30" s="1"/>
      <c r="F30" s="1"/>
      <c r="G30" s="1"/>
      <c r="H30" s="1"/>
      <c r="I30" s="1"/>
      <c r="J30" s="1"/>
      <c r="K30" s="1"/>
      <c r="L30" s="1"/>
      <c r="M30" s="1"/>
      <c r="N30" s="1"/>
      <c r="O30" s="1"/>
      <c r="P30" s="1"/>
      <c r="Q30" s="1"/>
      <c r="R30" s="1"/>
      <c r="S30" s="76"/>
      <c r="T30" s="235"/>
      <c r="V30" s="180"/>
      <c r="W30" s="200" t="s">
        <v>4</v>
      </c>
      <c r="X30" s="201">
        <v>4.4470000000000004E-3</v>
      </c>
    </row>
    <row r="31" spans="2:24" ht="15" customHeight="1" x14ac:dyDescent="0.25">
      <c r="B31" s="133"/>
      <c r="C31" s="1"/>
      <c r="D31" s="1"/>
      <c r="E31" s="1"/>
      <c r="F31" s="1"/>
      <c r="G31" s="1"/>
      <c r="H31" s="1"/>
      <c r="I31" s="1"/>
      <c r="J31" s="1"/>
      <c r="K31" s="1"/>
      <c r="L31" s="1"/>
      <c r="M31" s="1"/>
      <c r="N31" s="1"/>
      <c r="O31" s="1"/>
      <c r="P31" s="1"/>
      <c r="Q31" s="1"/>
      <c r="R31" s="1"/>
      <c r="S31" s="76"/>
      <c r="T31" s="235"/>
      <c r="W31" s="200"/>
      <c r="X31" s="201"/>
    </row>
    <row r="32" spans="2:24" ht="15" customHeight="1" x14ac:dyDescent="0.25">
      <c r="B32" s="133"/>
      <c r="C32" s="1"/>
      <c r="D32" s="1"/>
      <c r="E32" s="1"/>
      <c r="F32" s="1"/>
      <c r="G32" s="1"/>
      <c r="H32" s="1"/>
      <c r="I32" s="1"/>
      <c r="J32" s="1"/>
      <c r="K32" s="1"/>
      <c r="L32" s="1"/>
      <c r="M32" s="1"/>
      <c r="N32" s="1"/>
      <c r="O32" s="1"/>
      <c r="P32" s="1"/>
      <c r="Q32" s="1"/>
      <c r="R32" s="1"/>
      <c r="S32" s="76"/>
      <c r="T32" s="235"/>
      <c r="W32" s="200"/>
      <c r="X32" s="201"/>
    </row>
    <row r="33" spans="2:24" ht="15" customHeight="1" x14ac:dyDescent="0.25">
      <c r="B33" s="133"/>
      <c r="C33" s="1"/>
      <c r="D33" s="1"/>
      <c r="E33" s="1"/>
      <c r="F33" s="1"/>
      <c r="G33" s="1"/>
      <c r="H33" s="1"/>
      <c r="I33" s="1"/>
      <c r="J33" s="1"/>
      <c r="K33" s="1"/>
      <c r="L33" s="1"/>
      <c r="M33" s="1"/>
      <c r="N33" s="1"/>
      <c r="O33" s="1"/>
      <c r="P33" s="1"/>
      <c r="Q33" s="1"/>
      <c r="R33" s="1"/>
      <c r="S33" s="76"/>
      <c r="T33" s="235"/>
      <c r="W33" s="200"/>
      <c r="X33" s="201"/>
    </row>
    <row r="34" spans="2:24" ht="15" customHeight="1" x14ac:dyDescent="0.25">
      <c r="B34" s="133"/>
      <c r="C34" s="1"/>
      <c r="D34" s="1"/>
      <c r="E34" s="1"/>
      <c r="F34" s="1"/>
      <c r="G34" s="1"/>
      <c r="H34" s="1"/>
      <c r="I34" s="1"/>
      <c r="J34" s="1"/>
      <c r="K34" s="1"/>
      <c r="L34" s="1"/>
      <c r="M34" s="1"/>
      <c r="N34" s="1"/>
      <c r="O34" s="1"/>
      <c r="P34" s="1"/>
      <c r="Q34" s="1"/>
      <c r="R34" s="1"/>
      <c r="S34" s="76"/>
      <c r="T34" s="235"/>
      <c r="W34" s="200"/>
      <c r="X34" s="201"/>
    </row>
    <row r="35" spans="2:24" ht="15" customHeight="1" x14ac:dyDescent="0.25">
      <c r="B35" s="133"/>
      <c r="C35" s="1"/>
      <c r="D35" s="1"/>
      <c r="E35" s="1"/>
      <c r="F35" s="1"/>
      <c r="G35" s="1"/>
      <c r="H35" s="1"/>
      <c r="I35" s="1"/>
      <c r="J35" s="1"/>
      <c r="K35" s="1"/>
      <c r="L35" s="1"/>
      <c r="M35" s="1"/>
      <c r="N35" s="1"/>
      <c r="O35" s="1"/>
      <c r="P35" s="1"/>
      <c r="Q35" s="1"/>
      <c r="R35" s="1"/>
      <c r="S35" s="76"/>
      <c r="T35" s="235"/>
      <c r="W35" s="200"/>
      <c r="X35" s="202"/>
    </row>
    <row r="36" spans="2:24" ht="15" customHeight="1" x14ac:dyDescent="0.25">
      <c r="B36" s="133"/>
      <c r="C36" s="1"/>
      <c r="D36" s="1"/>
      <c r="E36" s="1"/>
      <c r="F36" s="1"/>
      <c r="G36" s="1"/>
      <c r="H36" s="1"/>
      <c r="I36" s="1"/>
      <c r="J36" s="1"/>
      <c r="K36" s="1"/>
      <c r="L36" s="1"/>
      <c r="M36" s="1"/>
      <c r="N36" s="1"/>
      <c r="O36" s="1"/>
      <c r="P36" s="1"/>
      <c r="Q36" s="1"/>
      <c r="R36" s="1"/>
      <c r="S36" s="76"/>
      <c r="T36" s="235"/>
    </row>
    <row r="37" spans="2:24" ht="15" customHeight="1" x14ac:dyDescent="0.25">
      <c r="B37" s="133"/>
      <c r="C37" s="1"/>
      <c r="D37" s="1"/>
      <c r="E37" s="1"/>
      <c r="F37" s="1"/>
      <c r="G37" s="1"/>
      <c r="H37" s="1"/>
      <c r="I37" s="1"/>
      <c r="J37" s="1"/>
      <c r="K37" s="1"/>
      <c r="L37" s="1"/>
      <c r="M37" s="1"/>
      <c r="N37" s="1"/>
      <c r="O37" s="1"/>
      <c r="P37" s="1"/>
      <c r="Q37" s="1"/>
      <c r="R37" s="1"/>
      <c r="S37" s="76"/>
      <c r="T37" s="235"/>
    </row>
    <row r="38" spans="2:24" ht="15" customHeight="1" x14ac:dyDescent="0.25">
      <c r="B38" s="133"/>
      <c r="C38" s="1"/>
      <c r="D38" s="1"/>
      <c r="E38" s="1"/>
      <c r="F38" s="1"/>
      <c r="G38" s="1"/>
      <c r="H38" s="1"/>
      <c r="I38" s="1"/>
      <c r="J38" s="1"/>
      <c r="K38" s="1"/>
      <c r="L38" s="1"/>
      <c r="M38" s="1"/>
      <c r="N38" s="1"/>
      <c r="O38" s="1"/>
      <c r="P38" s="1"/>
      <c r="Q38" s="1"/>
      <c r="R38" s="1"/>
      <c r="S38" s="76"/>
      <c r="T38" s="235"/>
    </row>
    <row r="39" spans="2:24" ht="15" customHeight="1" x14ac:dyDescent="0.25">
      <c r="B39" s="133"/>
      <c r="C39" s="1"/>
      <c r="D39" s="1"/>
      <c r="E39" s="1"/>
      <c r="F39" s="1"/>
      <c r="G39" s="1"/>
      <c r="H39" s="1"/>
      <c r="I39" s="1"/>
      <c r="J39" s="1"/>
      <c r="K39" s="1"/>
      <c r="L39" s="1"/>
      <c r="M39" s="1"/>
      <c r="N39" s="1"/>
      <c r="O39" s="1"/>
      <c r="P39" s="1"/>
      <c r="Q39" s="1"/>
      <c r="R39" s="1"/>
      <c r="S39" s="76"/>
      <c r="T39" s="235"/>
    </row>
    <row r="40" spans="2:24" ht="15" customHeight="1" x14ac:dyDescent="0.25">
      <c r="B40" s="133"/>
      <c r="C40" s="1"/>
      <c r="D40" s="1"/>
      <c r="E40" s="1"/>
      <c r="F40" s="1"/>
      <c r="G40" s="1"/>
      <c r="H40" s="1"/>
      <c r="I40" s="1"/>
      <c r="J40" s="1"/>
      <c r="K40" s="1"/>
      <c r="L40" s="1"/>
      <c r="M40" s="1"/>
      <c r="N40" s="1"/>
      <c r="O40" s="1"/>
      <c r="P40" s="1"/>
      <c r="Q40" s="1"/>
      <c r="R40" s="1"/>
      <c r="S40" s="76"/>
      <c r="T40" s="235"/>
    </row>
    <row r="41" spans="2:24" ht="15" customHeight="1" x14ac:dyDescent="0.25">
      <c r="B41" s="133"/>
      <c r="C41" s="1"/>
      <c r="D41" s="1"/>
      <c r="E41" s="1"/>
      <c r="F41" s="1"/>
      <c r="G41" s="1"/>
      <c r="H41" s="1"/>
      <c r="I41" s="1"/>
      <c r="J41" s="1"/>
      <c r="K41" s="1"/>
      <c r="L41" s="1"/>
      <c r="M41" s="1"/>
      <c r="N41" s="1"/>
      <c r="O41" s="1"/>
      <c r="P41" s="1"/>
      <c r="Q41" s="1"/>
      <c r="R41" s="1"/>
      <c r="S41" s="76"/>
      <c r="T41" s="235"/>
    </row>
    <row r="42" spans="2:24" ht="15" customHeight="1" x14ac:dyDescent="0.25">
      <c r="B42" s="133"/>
      <c r="C42" s="1"/>
      <c r="D42" s="1"/>
      <c r="E42" s="1"/>
      <c r="F42" s="1"/>
      <c r="G42" s="1"/>
      <c r="H42" s="1"/>
      <c r="I42" s="1"/>
      <c r="J42" s="1"/>
      <c r="K42" s="1"/>
      <c r="L42" s="1"/>
      <c r="M42" s="1"/>
      <c r="N42" s="1"/>
      <c r="O42" s="1"/>
      <c r="P42" s="1"/>
      <c r="Q42" s="1"/>
      <c r="R42" s="1"/>
      <c r="S42" s="76"/>
      <c r="T42" s="235"/>
    </row>
    <row r="43" spans="2:24" ht="15" customHeight="1" thickBot="1" x14ac:dyDescent="0.3">
      <c r="B43" s="134"/>
      <c r="C43" s="135"/>
      <c r="D43" s="135"/>
      <c r="E43" s="135"/>
      <c r="F43" s="135"/>
      <c r="G43" s="135"/>
      <c r="H43" s="135"/>
      <c r="I43" s="135"/>
      <c r="J43" s="135"/>
      <c r="K43" s="135"/>
      <c r="L43" s="135"/>
      <c r="M43" s="135"/>
      <c r="N43" s="135"/>
      <c r="O43" s="135"/>
      <c r="P43" s="135"/>
      <c r="Q43" s="135"/>
      <c r="R43" s="135"/>
      <c r="S43" s="237"/>
      <c r="T43" s="238"/>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294" t="s">
        <v>147</v>
      </c>
      <c r="C47" s="295"/>
      <c r="D47" s="295"/>
      <c r="E47" s="295"/>
      <c r="F47" s="295"/>
      <c r="G47" s="295"/>
      <c r="H47" s="295"/>
      <c r="I47" s="295"/>
      <c r="J47" s="295"/>
      <c r="K47" s="295"/>
      <c r="L47" s="295"/>
      <c r="M47" s="295"/>
      <c r="N47" s="295"/>
      <c r="O47" s="295"/>
      <c r="P47" s="295"/>
      <c r="Q47" s="295"/>
      <c r="R47" s="296"/>
      <c r="T47" s="76"/>
    </row>
    <row r="48" spans="2:24" ht="15" customHeight="1" x14ac:dyDescent="0.25">
      <c r="B48" s="297"/>
      <c r="C48" s="298"/>
      <c r="D48" s="298"/>
      <c r="E48" s="298"/>
      <c r="F48" s="298"/>
      <c r="G48" s="298"/>
      <c r="H48" s="298"/>
      <c r="I48" s="298"/>
      <c r="J48" s="298"/>
      <c r="K48" s="298"/>
      <c r="L48" s="298"/>
      <c r="M48" s="298"/>
      <c r="N48" s="298"/>
      <c r="O48" s="298"/>
      <c r="P48" s="298"/>
      <c r="Q48" s="298"/>
      <c r="R48" s="299"/>
      <c r="T48" s="76"/>
    </row>
    <row r="49" spans="2:20" ht="15" customHeight="1" x14ac:dyDescent="0.25">
      <c r="B49" s="297"/>
      <c r="C49" s="298"/>
      <c r="D49" s="298"/>
      <c r="E49" s="298"/>
      <c r="F49" s="298"/>
      <c r="G49" s="298"/>
      <c r="H49" s="298"/>
      <c r="I49" s="298"/>
      <c r="J49" s="298"/>
      <c r="K49" s="298"/>
      <c r="L49" s="298"/>
      <c r="M49" s="298"/>
      <c r="N49" s="298"/>
      <c r="O49" s="298"/>
      <c r="P49" s="298"/>
      <c r="Q49" s="298"/>
      <c r="R49" s="299"/>
      <c r="T49" s="76"/>
    </row>
    <row r="50" spans="2:20" ht="15" customHeight="1" x14ac:dyDescent="0.25">
      <c r="B50" s="297"/>
      <c r="C50" s="298"/>
      <c r="D50" s="298"/>
      <c r="E50" s="298"/>
      <c r="F50" s="298"/>
      <c r="G50" s="298"/>
      <c r="H50" s="298"/>
      <c r="I50" s="298"/>
      <c r="J50" s="298"/>
      <c r="K50" s="298"/>
      <c r="L50" s="298"/>
      <c r="M50" s="298"/>
      <c r="N50" s="298"/>
      <c r="O50" s="298"/>
      <c r="P50" s="298"/>
      <c r="Q50" s="298"/>
      <c r="R50" s="299"/>
      <c r="T50" s="76"/>
    </row>
    <row r="51" spans="2:20" ht="15" customHeight="1" x14ac:dyDescent="0.25">
      <c r="B51" s="297"/>
      <c r="C51" s="298"/>
      <c r="D51" s="298"/>
      <c r="E51" s="298"/>
      <c r="F51" s="298"/>
      <c r="G51" s="298"/>
      <c r="H51" s="298"/>
      <c r="I51" s="298"/>
      <c r="J51" s="298"/>
      <c r="K51" s="298"/>
      <c r="L51" s="298"/>
      <c r="M51" s="298"/>
      <c r="N51" s="298"/>
      <c r="O51" s="298"/>
      <c r="P51" s="298"/>
      <c r="Q51" s="298"/>
      <c r="R51" s="299"/>
      <c r="T51" s="76"/>
    </row>
    <row r="52" spans="2:20" ht="15" customHeight="1" x14ac:dyDescent="0.25">
      <c r="B52" s="297"/>
      <c r="C52" s="298"/>
      <c r="D52" s="298"/>
      <c r="E52" s="298"/>
      <c r="F52" s="298"/>
      <c r="G52" s="298"/>
      <c r="H52" s="298"/>
      <c r="I52" s="298"/>
      <c r="J52" s="298"/>
      <c r="K52" s="298"/>
      <c r="L52" s="298"/>
      <c r="M52" s="298"/>
      <c r="N52" s="298"/>
      <c r="O52" s="298"/>
      <c r="P52" s="298"/>
      <c r="Q52" s="298"/>
      <c r="R52" s="299"/>
      <c r="T52" s="76"/>
    </row>
    <row r="53" spans="2:20" ht="15" customHeight="1" thickBot="1" x14ac:dyDescent="0.3">
      <c r="B53" s="300"/>
      <c r="C53" s="301"/>
      <c r="D53" s="301"/>
      <c r="E53" s="301"/>
      <c r="F53" s="301"/>
      <c r="G53" s="301"/>
      <c r="H53" s="301"/>
      <c r="I53" s="301"/>
      <c r="J53" s="301"/>
      <c r="K53" s="301"/>
      <c r="L53" s="301"/>
      <c r="M53" s="301"/>
      <c r="N53" s="301"/>
      <c r="O53" s="301"/>
      <c r="P53" s="301"/>
      <c r="Q53" s="301"/>
      <c r="R53" s="302"/>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scale="46" orientation="landscape" r:id="rId1"/>
  <colBreaks count="1" manualBreakCount="1">
    <brk id="2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AG76"/>
  <sheetViews>
    <sheetView showGridLines="0" view="pageBreakPreview" topLeftCell="D1" zoomScale="60" zoomScaleNormal="75" workbookViewId="0">
      <selection activeCell="AB1" sqref="AB1"/>
    </sheetView>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5"/>
    <col min="30" max="33" width="9.140625" style="9"/>
    <col min="34" max="16384" width="9.140625" style="105"/>
  </cols>
  <sheetData>
    <row r="1" spans="1:24" ht="15.75" customHeight="1" thickBot="1" x14ac:dyDescent="0.3">
      <c r="A1" s="9"/>
    </row>
    <row r="2" spans="1:24" ht="15" customHeight="1" x14ac:dyDescent="0.25">
      <c r="B2" s="131"/>
      <c r="C2" s="132"/>
      <c r="D2" s="132"/>
      <c r="E2" s="132"/>
      <c r="F2" s="132"/>
      <c r="G2" s="132"/>
      <c r="H2" s="132"/>
      <c r="I2" s="132"/>
      <c r="J2" s="132"/>
      <c r="K2" s="132"/>
      <c r="L2" s="132"/>
      <c r="M2" s="132"/>
      <c r="N2" s="132"/>
      <c r="O2" s="132"/>
      <c r="P2" s="132"/>
      <c r="Q2" s="132"/>
      <c r="R2" s="132"/>
      <c r="S2" s="233"/>
      <c r="T2" s="234"/>
    </row>
    <row r="3" spans="1:24" ht="20.25" customHeight="1" x14ac:dyDescent="0.25">
      <c r="B3" s="133"/>
      <c r="C3" s="303" t="s">
        <v>97</v>
      </c>
      <c r="D3" s="304"/>
      <c r="E3" s="304"/>
      <c r="F3" s="304"/>
      <c r="G3" s="304"/>
      <c r="H3" s="304"/>
      <c r="I3" s="304"/>
      <c r="J3" s="304"/>
      <c r="K3" s="304"/>
      <c r="L3" s="304"/>
      <c r="M3" s="304"/>
      <c r="N3" s="304"/>
      <c r="O3" s="304"/>
      <c r="P3" s="304"/>
      <c r="Q3" s="304"/>
      <c r="R3" s="304"/>
      <c r="S3" s="305"/>
      <c r="T3" s="235"/>
    </row>
    <row r="4" spans="1:24" ht="15.75" customHeight="1" x14ac:dyDescent="0.25">
      <c r="B4" s="133"/>
      <c r="C4" s="280" t="s">
        <v>237</v>
      </c>
      <c r="D4" s="1"/>
      <c r="E4" s="1"/>
      <c r="F4" s="1"/>
      <c r="G4" s="1"/>
      <c r="H4" s="1"/>
      <c r="I4" s="1"/>
      <c r="J4" s="1"/>
      <c r="K4" s="1"/>
      <c r="L4" s="1"/>
      <c r="M4" s="1"/>
      <c r="N4" s="1"/>
      <c r="O4" s="1"/>
      <c r="P4" s="1"/>
      <c r="Q4" s="1"/>
      <c r="R4" s="1"/>
      <c r="S4" s="76"/>
      <c r="T4" s="235"/>
    </row>
    <row r="5" spans="1:24" ht="18" customHeight="1" x14ac:dyDescent="0.25">
      <c r="B5" s="133"/>
      <c r="C5" s="2" t="s">
        <v>236</v>
      </c>
      <c r="D5" s="306" t="s">
        <v>239</v>
      </c>
      <c r="E5" s="306"/>
      <c r="F5" s="1"/>
      <c r="G5" s="107"/>
      <c r="H5" s="107"/>
      <c r="I5" s="107"/>
      <c r="J5" s="107"/>
      <c r="K5" s="107"/>
      <c r="L5" s="107"/>
      <c r="M5" s="107"/>
      <c r="N5" s="107"/>
      <c r="O5" s="107"/>
      <c r="P5" s="107"/>
      <c r="Q5" s="107"/>
      <c r="R5" s="107"/>
      <c r="S5" s="108"/>
      <c r="T5" s="235"/>
    </row>
    <row r="6" spans="1:24" ht="15" customHeight="1" x14ac:dyDescent="0.25">
      <c r="B6" s="133"/>
      <c r="C6" s="1"/>
      <c r="D6" s="1"/>
      <c r="E6" s="1"/>
      <c r="F6" s="1"/>
      <c r="G6" s="107"/>
      <c r="H6" s="107"/>
      <c r="I6" s="107"/>
      <c r="J6" s="107"/>
      <c r="K6" s="107"/>
      <c r="L6" s="107"/>
      <c r="M6" s="107"/>
      <c r="N6" s="107"/>
      <c r="O6" s="107"/>
      <c r="P6" s="107"/>
      <c r="Q6" s="107"/>
      <c r="R6" s="107"/>
      <c r="S6" s="108"/>
      <c r="T6" s="235"/>
    </row>
    <row r="7" spans="1:24" ht="32.25" customHeight="1" x14ac:dyDescent="0.25">
      <c r="B7" s="133"/>
      <c r="C7" s="66" t="s">
        <v>0</v>
      </c>
      <c r="D7" s="70" t="s">
        <v>1</v>
      </c>
      <c r="E7" s="63" t="s">
        <v>2</v>
      </c>
      <c r="F7" s="1"/>
      <c r="G7" s="1"/>
      <c r="H7" s="1"/>
      <c r="I7" s="1"/>
      <c r="J7" s="1"/>
      <c r="K7" s="1"/>
      <c r="L7" s="1"/>
      <c r="M7" s="1"/>
      <c r="N7" s="1"/>
      <c r="O7" s="1"/>
      <c r="P7" s="1"/>
      <c r="Q7" s="1"/>
      <c r="R7" s="1"/>
      <c r="S7" s="76"/>
      <c r="T7" s="235"/>
      <c r="W7" s="166" t="s">
        <v>27</v>
      </c>
      <c r="X7" s="166" t="s">
        <v>2</v>
      </c>
    </row>
    <row r="8" spans="1:24" ht="15" customHeight="1" x14ac:dyDescent="0.25">
      <c r="B8" s="133"/>
      <c r="C8" s="224" t="s">
        <v>38</v>
      </c>
      <c r="D8" s="94" t="s">
        <v>3</v>
      </c>
      <c r="E8" s="96">
        <v>7.8339000000000006E-2</v>
      </c>
      <c r="F8" s="1"/>
      <c r="G8" s="1"/>
      <c r="H8" s="1"/>
      <c r="I8" s="1"/>
      <c r="J8" s="1"/>
      <c r="K8" s="1"/>
      <c r="L8" s="1"/>
      <c r="M8" s="1"/>
      <c r="N8" s="1"/>
      <c r="O8" s="1"/>
      <c r="P8" s="1"/>
      <c r="Q8" s="1"/>
      <c r="R8" s="1"/>
      <c r="S8" s="76"/>
      <c r="T8" s="235"/>
      <c r="W8" s="216" t="s">
        <v>3</v>
      </c>
      <c r="X8" s="219">
        <v>0.25542800000000004</v>
      </c>
    </row>
    <row r="9" spans="1:24" ht="15.75" customHeight="1" x14ac:dyDescent="0.25">
      <c r="B9" s="133"/>
      <c r="C9" s="225" t="s">
        <v>42</v>
      </c>
      <c r="D9" s="95" t="s">
        <v>3</v>
      </c>
      <c r="E9" s="97">
        <v>7.7298000000000006E-2</v>
      </c>
      <c r="F9" s="1"/>
      <c r="G9" s="1"/>
      <c r="H9" s="1"/>
      <c r="I9" s="1"/>
      <c r="J9" s="1"/>
      <c r="K9" s="1"/>
      <c r="L9" s="1"/>
      <c r="M9" s="1"/>
      <c r="N9" s="1"/>
      <c r="O9" s="1"/>
      <c r="P9" s="1"/>
      <c r="Q9" s="1"/>
      <c r="R9" s="1"/>
      <c r="S9" s="76"/>
      <c r="T9" s="235"/>
      <c r="W9" s="216" t="s">
        <v>11</v>
      </c>
      <c r="X9" s="219">
        <v>0.19873100000000005</v>
      </c>
    </row>
    <row r="10" spans="1:24" ht="15" customHeight="1" x14ac:dyDescent="0.25">
      <c r="B10" s="133"/>
      <c r="C10" s="225" t="s">
        <v>140</v>
      </c>
      <c r="D10" s="95" t="s">
        <v>3</v>
      </c>
      <c r="E10" s="97">
        <v>6.8203E-2</v>
      </c>
      <c r="F10" s="1"/>
      <c r="G10" s="1"/>
      <c r="H10" s="1"/>
      <c r="I10" s="1"/>
      <c r="J10" s="1"/>
      <c r="K10" s="1"/>
      <c r="L10" s="1"/>
      <c r="M10" s="1"/>
      <c r="N10" s="1"/>
      <c r="O10" s="1"/>
      <c r="P10" s="1"/>
      <c r="Q10" s="1"/>
      <c r="R10" s="1"/>
      <c r="S10" s="76"/>
      <c r="T10" s="235"/>
      <c r="W10" s="216" t="s">
        <v>4</v>
      </c>
      <c r="X10" s="219">
        <v>8.4028999999999993E-2</v>
      </c>
    </row>
    <row r="11" spans="1:24" ht="15" customHeight="1" x14ac:dyDescent="0.25">
      <c r="B11" s="133"/>
      <c r="C11" s="225" t="s">
        <v>37</v>
      </c>
      <c r="D11" s="95" t="s">
        <v>11</v>
      </c>
      <c r="E11" s="97">
        <v>6.7811999999999997E-2</v>
      </c>
      <c r="F11" s="1"/>
      <c r="G11" s="1"/>
      <c r="H11" s="1"/>
      <c r="I11" s="1"/>
      <c r="J11" s="1"/>
      <c r="K11" s="1"/>
      <c r="L11" s="1"/>
      <c r="M11" s="1"/>
      <c r="N11" s="1"/>
      <c r="O11" s="1"/>
      <c r="P11" s="1"/>
      <c r="Q11" s="1"/>
      <c r="R11" s="1"/>
      <c r="S11" s="76"/>
      <c r="T11" s="235"/>
      <c r="W11" s="216" t="s">
        <v>7</v>
      </c>
      <c r="X11" s="219">
        <v>6.1135000000000002E-2</v>
      </c>
    </row>
    <row r="12" spans="1:24" ht="15" customHeight="1" x14ac:dyDescent="0.25">
      <c r="B12" s="133"/>
      <c r="C12" s="225" t="s">
        <v>41</v>
      </c>
      <c r="D12" s="95" t="s">
        <v>6</v>
      </c>
      <c r="E12" s="97">
        <v>4.9822999999999999E-2</v>
      </c>
      <c r="F12" s="1"/>
      <c r="G12" s="1"/>
      <c r="H12" s="1"/>
      <c r="I12" s="1"/>
      <c r="J12" s="1"/>
      <c r="K12" s="1"/>
      <c r="L12" s="1"/>
      <c r="M12" s="1"/>
      <c r="N12" s="1"/>
      <c r="O12" s="1"/>
      <c r="P12" s="1"/>
      <c r="Q12" s="1"/>
      <c r="R12" s="1"/>
      <c r="S12" s="76"/>
      <c r="T12" s="235"/>
      <c r="W12" s="216" t="s">
        <v>17</v>
      </c>
      <c r="X12" s="219">
        <v>5.0548999999999997E-2</v>
      </c>
    </row>
    <row r="13" spans="1:24" ht="15" customHeight="1" x14ac:dyDescent="0.25">
      <c r="B13" s="133"/>
      <c r="C13" s="225" t="s">
        <v>39</v>
      </c>
      <c r="D13" s="95" t="s">
        <v>4</v>
      </c>
      <c r="E13" s="97">
        <v>4.3402999999999997E-2</v>
      </c>
      <c r="F13" s="1"/>
      <c r="G13" s="1"/>
      <c r="H13" s="1"/>
      <c r="I13" s="1"/>
      <c r="J13" s="1"/>
      <c r="K13" s="1"/>
      <c r="L13" s="1"/>
      <c r="M13" s="1"/>
      <c r="N13" s="1"/>
      <c r="O13" s="1"/>
      <c r="P13" s="1"/>
      <c r="Q13" s="1"/>
      <c r="R13" s="1"/>
      <c r="S13" s="76"/>
      <c r="T13" s="235"/>
      <c r="W13" s="216" t="s">
        <v>6</v>
      </c>
      <c r="X13" s="219">
        <v>4.9822999999999999E-2</v>
      </c>
    </row>
    <row r="14" spans="1:24" ht="15" customHeight="1" x14ac:dyDescent="0.25">
      <c r="B14" s="133"/>
      <c r="C14" s="225" t="s">
        <v>142</v>
      </c>
      <c r="D14" s="95" t="s">
        <v>4</v>
      </c>
      <c r="E14" s="97">
        <v>4.0626000000000002E-2</v>
      </c>
      <c r="F14" s="1"/>
      <c r="G14" s="1"/>
      <c r="H14" s="1"/>
      <c r="I14" s="1"/>
      <c r="J14" s="1"/>
      <c r="K14" s="1"/>
      <c r="L14" s="1"/>
      <c r="M14" s="1"/>
      <c r="N14" s="1"/>
      <c r="O14" s="1"/>
      <c r="P14" s="1"/>
      <c r="Q14" s="1"/>
      <c r="R14" s="1"/>
      <c r="S14" s="76"/>
      <c r="T14" s="235"/>
      <c r="W14" s="216" t="s">
        <v>28</v>
      </c>
      <c r="X14" s="219">
        <v>3.7613000000000001E-2</v>
      </c>
    </row>
    <row r="15" spans="1:24" ht="15" customHeight="1" x14ac:dyDescent="0.25">
      <c r="B15" s="133"/>
      <c r="C15" s="225" t="s">
        <v>43</v>
      </c>
      <c r="D15" s="95" t="s">
        <v>11</v>
      </c>
      <c r="E15" s="97">
        <v>3.7504000000000003E-2</v>
      </c>
      <c r="F15" s="1"/>
      <c r="G15" s="1"/>
      <c r="H15" s="1"/>
      <c r="I15" s="1"/>
      <c r="J15" s="1"/>
      <c r="K15" s="1"/>
      <c r="L15" s="1"/>
      <c r="M15" s="1"/>
      <c r="N15" s="1"/>
      <c r="O15" s="1"/>
      <c r="P15" s="1"/>
      <c r="Q15" s="1"/>
      <c r="R15" s="1"/>
      <c r="S15" s="76"/>
      <c r="T15" s="235"/>
      <c r="W15" s="216" t="s">
        <v>22</v>
      </c>
      <c r="X15" s="219">
        <v>3.3167000000000002E-2</v>
      </c>
    </row>
    <row r="16" spans="1:24" ht="15" customHeight="1" x14ac:dyDescent="0.25">
      <c r="B16" s="133"/>
      <c r="C16" s="225" t="s">
        <v>45</v>
      </c>
      <c r="D16" s="95" t="s">
        <v>3</v>
      </c>
      <c r="E16" s="97">
        <v>3.1587999999999998E-2</v>
      </c>
      <c r="F16" s="1"/>
      <c r="G16" s="1"/>
      <c r="H16" s="1"/>
      <c r="I16" s="1"/>
      <c r="J16" s="1"/>
      <c r="K16" s="1"/>
      <c r="L16" s="1"/>
      <c r="M16" s="1"/>
      <c r="N16" s="1"/>
      <c r="O16" s="1"/>
      <c r="P16" s="1"/>
      <c r="Q16" s="1"/>
      <c r="R16" s="1"/>
      <c r="S16" s="76"/>
      <c r="T16" s="235"/>
      <c r="W16" s="216" t="s">
        <v>8</v>
      </c>
      <c r="X16" s="219">
        <v>3.0185E-2</v>
      </c>
    </row>
    <row r="17" spans="2:24" ht="15" customHeight="1" x14ac:dyDescent="0.25">
      <c r="B17" s="133"/>
      <c r="C17" s="225" t="s">
        <v>47</v>
      </c>
      <c r="D17" s="95" t="s">
        <v>7</v>
      </c>
      <c r="E17" s="97">
        <v>2.6478000000000002E-2</v>
      </c>
      <c r="F17" s="1"/>
      <c r="G17" s="1"/>
      <c r="H17" s="1"/>
      <c r="I17" s="1"/>
      <c r="J17" s="1"/>
      <c r="K17" s="1"/>
      <c r="L17" s="1"/>
      <c r="M17" s="1"/>
      <c r="N17" s="1"/>
      <c r="O17" s="1"/>
      <c r="P17" s="1"/>
      <c r="Q17" s="1"/>
      <c r="R17" s="1"/>
      <c r="S17" s="76"/>
      <c r="T17" s="235"/>
      <c r="W17" s="216" t="s">
        <v>9</v>
      </c>
      <c r="X17" s="219">
        <v>2.3709999999999998E-2</v>
      </c>
    </row>
    <row r="18" spans="2:24" ht="15" customHeight="1" x14ac:dyDescent="0.25">
      <c r="B18" s="133"/>
      <c r="C18" s="225" t="s">
        <v>174</v>
      </c>
      <c r="D18" s="95" t="s">
        <v>17</v>
      </c>
      <c r="E18" s="97">
        <v>2.3862999999999999E-2</v>
      </c>
      <c r="F18" s="1"/>
      <c r="G18" s="1"/>
      <c r="H18" s="1"/>
      <c r="I18" s="1"/>
      <c r="J18" s="1"/>
      <c r="K18" s="1"/>
      <c r="L18" s="1"/>
      <c r="M18" s="1"/>
      <c r="N18" s="1"/>
      <c r="O18" s="1"/>
      <c r="P18" s="1"/>
      <c r="Q18" s="1"/>
      <c r="R18" s="1"/>
      <c r="S18" s="76"/>
      <c r="T18" s="235"/>
      <c r="W18" s="216" t="s">
        <v>21</v>
      </c>
      <c r="X18" s="219">
        <v>2.0854999999999999E-2</v>
      </c>
    </row>
    <row r="19" spans="2:24" ht="15" customHeight="1" x14ac:dyDescent="0.25">
      <c r="B19" s="133"/>
      <c r="C19" s="225" t="s">
        <v>44</v>
      </c>
      <c r="D19" s="95" t="s">
        <v>9</v>
      </c>
      <c r="E19" s="97">
        <v>2.3709999999999998E-2</v>
      </c>
      <c r="F19" s="1"/>
      <c r="G19" s="1"/>
      <c r="H19" s="1"/>
      <c r="I19" s="1"/>
      <c r="J19" s="1"/>
      <c r="K19" s="1"/>
      <c r="L19" s="1"/>
      <c r="M19" s="1"/>
      <c r="N19" s="1"/>
      <c r="O19" s="1"/>
      <c r="P19" s="1"/>
      <c r="Q19" s="1"/>
      <c r="R19" s="1"/>
      <c r="S19" s="76"/>
      <c r="T19" s="235"/>
      <c r="W19" s="216" t="s">
        <v>133</v>
      </c>
      <c r="X19" s="219">
        <v>1.9897000000000001E-2</v>
      </c>
    </row>
    <row r="20" spans="2:24" ht="15" customHeight="1" x14ac:dyDescent="0.25">
      <c r="B20" s="133"/>
      <c r="C20" s="225" t="s">
        <v>227</v>
      </c>
      <c r="D20" s="95" t="s">
        <v>28</v>
      </c>
      <c r="E20" s="97">
        <v>2.2116E-2</v>
      </c>
      <c r="F20" s="1"/>
      <c r="G20" s="1"/>
      <c r="H20" s="1"/>
      <c r="I20" s="1"/>
      <c r="J20" s="1"/>
      <c r="K20" s="1"/>
      <c r="L20" s="1"/>
      <c r="M20" s="1"/>
      <c r="N20" s="1"/>
      <c r="O20" s="1"/>
      <c r="P20" s="1"/>
      <c r="Q20" s="1"/>
      <c r="R20" s="1"/>
      <c r="S20" s="76"/>
      <c r="T20" s="235"/>
      <c r="W20" s="216" t="s">
        <v>149</v>
      </c>
      <c r="X20" s="219">
        <v>1.8356000000000001E-2</v>
      </c>
    </row>
    <row r="21" spans="2:24" ht="15" customHeight="1" x14ac:dyDescent="0.25">
      <c r="B21" s="133"/>
      <c r="C21" s="225" t="s">
        <v>185</v>
      </c>
      <c r="D21" s="95" t="s">
        <v>11</v>
      </c>
      <c r="E21" s="97">
        <v>2.1027000000000001E-2</v>
      </c>
      <c r="F21" s="1"/>
      <c r="G21" s="1"/>
      <c r="H21" s="1"/>
      <c r="I21" s="1"/>
      <c r="J21" s="1"/>
      <c r="K21" s="1"/>
      <c r="L21" s="1"/>
      <c r="M21" s="1"/>
      <c r="N21" s="1"/>
      <c r="O21" s="1"/>
      <c r="P21" s="1"/>
      <c r="Q21" s="1"/>
      <c r="R21" s="1"/>
      <c r="S21" s="76"/>
      <c r="T21" s="235"/>
      <c r="W21" s="200" t="s">
        <v>29</v>
      </c>
      <c r="X21" s="201">
        <v>1.7158E-2</v>
      </c>
    </row>
    <row r="22" spans="2:24" ht="15" customHeight="1" x14ac:dyDescent="0.25">
      <c r="B22" s="133"/>
      <c r="C22" s="225" t="s">
        <v>228</v>
      </c>
      <c r="D22" s="95" t="s">
        <v>133</v>
      </c>
      <c r="E22" s="97">
        <v>1.9897000000000001E-2</v>
      </c>
      <c r="F22" s="1"/>
      <c r="G22" s="1"/>
      <c r="H22" s="1"/>
      <c r="I22" s="1"/>
      <c r="J22" s="1"/>
      <c r="K22" s="1"/>
      <c r="L22" s="1"/>
      <c r="M22" s="1"/>
      <c r="N22" s="1"/>
      <c r="O22" s="1"/>
      <c r="P22" s="1"/>
      <c r="Q22" s="1"/>
      <c r="R22" s="1"/>
      <c r="S22" s="76"/>
      <c r="T22" s="235"/>
      <c r="W22" s="200" t="s">
        <v>19</v>
      </c>
      <c r="X22" s="201">
        <v>1.7041000000000001E-2</v>
      </c>
    </row>
    <row r="23" spans="2:24" ht="15" customHeight="1" x14ac:dyDescent="0.25">
      <c r="B23" s="133"/>
      <c r="C23" s="68"/>
      <c r="D23" s="68"/>
      <c r="E23" s="90"/>
      <c r="F23" s="1"/>
      <c r="G23" s="1"/>
      <c r="H23" s="1"/>
      <c r="I23" s="1"/>
      <c r="J23" s="1"/>
      <c r="K23" s="1"/>
      <c r="L23" s="1"/>
      <c r="M23" s="1"/>
      <c r="N23" s="1"/>
      <c r="O23" s="1"/>
      <c r="P23" s="1"/>
      <c r="Q23" s="1"/>
      <c r="R23" s="1"/>
      <c r="S23" s="76"/>
      <c r="T23" s="235"/>
      <c r="W23" s="200" t="s">
        <v>35</v>
      </c>
      <c r="X23" s="201">
        <v>1.5391E-2</v>
      </c>
    </row>
    <row r="24" spans="2:24" ht="15" customHeight="1" x14ac:dyDescent="0.25">
      <c r="B24" s="133"/>
      <c r="C24" s="69" t="s">
        <v>77</v>
      </c>
      <c r="D24" s="71"/>
      <c r="E24" s="64">
        <f>SUM(E8:E23)</f>
        <v>0.63168700000000011</v>
      </c>
      <c r="F24" s="1"/>
      <c r="G24" s="1"/>
      <c r="H24" s="1"/>
      <c r="I24" s="1"/>
      <c r="J24" s="1"/>
      <c r="K24" s="1"/>
      <c r="L24" s="1"/>
      <c r="M24" s="1"/>
      <c r="N24" s="1"/>
      <c r="O24" s="1"/>
      <c r="P24" s="1"/>
      <c r="Q24" s="1"/>
      <c r="R24" s="1"/>
      <c r="S24" s="76"/>
      <c r="T24" s="235"/>
      <c r="W24" s="200" t="s">
        <v>152</v>
      </c>
      <c r="X24" s="201">
        <v>1.4714E-2</v>
      </c>
    </row>
    <row r="25" spans="2:24" ht="15" customHeight="1" x14ac:dyDescent="0.25">
      <c r="B25" s="133"/>
      <c r="C25" s="1"/>
      <c r="D25" s="1"/>
      <c r="E25" s="1"/>
      <c r="F25" s="1"/>
      <c r="G25" s="1"/>
      <c r="H25" s="1"/>
      <c r="I25" s="1"/>
      <c r="J25" s="1"/>
      <c r="K25" s="1"/>
      <c r="L25" s="1"/>
      <c r="M25" s="1"/>
      <c r="N25" s="1"/>
      <c r="O25" s="1"/>
      <c r="P25" s="1"/>
      <c r="Q25" s="1"/>
      <c r="R25" s="1"/>
      <c r="S25" s="76"/>
      <c r="T25" s="235"/>
      <c r="W25" s="200" t="s">
        <v>150</v>
      </c>
      <c r="X25" s="201">
        <v>1.1488E-2</v>
      </c>
    </row>
    <row r="26" spans="2:24" ht="15" customHeight="1" x14ac:dyDescent="0.25">
      <c r="B26" s="133"/>
      <c r="C26" s="1"/>
      <c r="D26" s="1"/>
      <c r="E26" s="1"/>
      <c r="F26" s="1"/>
      <c r="G26" s="1"/>
      <c r="H26" s="1"/>
      <c r="I26" s="1"/>
      <c r="J26" s="1"/>
      <c r="K26" s="1"/>
      <c r="L26" s="1"/>
      <c r="M26" s="1"/>
      <c r="N26" s="1"/>
      <c r="O26" s="1"/>
      <c r="P26" s="1"/>
      <c r="Q26" s="1"/>
      <c r="R26" s="1"/>
      <c r="S26" s="76"/>
      <c r="T26" s="235"/>
      <c r="W26" s="200" t="s">
        <v>18</v>
      </c>
      <c r="X26" s="201">
        <v>1.0173E-2</v>
      </c>
    </row>
    <row r="27" spans="2:24" ht="15" customHeight="1" x14ac:dyDescent="0.25">
      <c r="B27" s="133"/>
      <c r="C27" s="1"/>
      <c r="D27" s="1"/>
      <c r="E27" s="1"/>
      <c r="F27" s="1"/>
      <c r="G27" s="1"/>
      <c r="H27" s="1"/>
      <c r="I27" s="1"/>
      <c r="J27" s="1"/>
      <c r="K27" s="1"/>
      <c r="L27" s="1"/>
      <c r="M27" s="1"/>
      <c r="N27" s="1"/>
      <c r="O27" s="1"/>
      <c r="P27" s="1"/>
      <c r="Q27" s="1"/>
      <c r="R27" s="1"/>
      <c r="S27" s="76"/>
      <c r="T27" s="235"/>
      <c r="W27" s="200" t="s">
        <v>14</v>
      </c>
      <c r="X27" s="201">
        <v>9.5940000000000001E-3</v>
      </c>
    </row>
    <row r="28" spans="2:24" ht="15" customHeight="1" x14ac:dyDescent="0.25">
      <c r="B28" s="133"/>
      <c r="C28" s="1"/>
      <c r="D28" s="1"/>
      <c r="E28" s="1"/>
      <c r="F28" s="1"/>
      <c r="G28" s="1"/>
      <c r="H28" s="1"/>
      <c r="I28" s="1"/>
      <c r="J28" s="1"/>
      <c r="K28" s="1"/>
      <c r="L28" s="1"/>
      <c r="M28" s="1"/>
      <c r="N28" s="1"/>
      <c r="O28" s="1"/>
      <c r="P28" s="1"/>
      <c r="Q28" s="1"/>
      <c r="R28" s="1"/>
      <c r="S28" s="76"/>
      <c r="T28" s="235"/>
      <c r="W28" s="200"/>
      <c r="X28" s="201"/>
    </row>
    <row r="29" spans="2:24" ht="15" customHeight="1" x14ac:dyDescent="0.25">
      <c r="B29" s="133"/>
      <c r="C29" s="1"/>
      <c r="D29" s="1"/>
      <c r="E29" s="1"/>
      <c r="F29" s="1"/>
      <c r="G29" s="1"/>
      <c r="H29" s="1"/>
      <c r="I29" s="1"/>
      <c r="J29" s="1"/>
      <c r="K29" s="1"/>
      <c r="L29" s="1"/>
      <c r="M29" s="1"/>
      <c r="N29" s="1"/>
      <c r="O29" s="1"/>
      <c r="P29" s="1"/>
      <c r="Q29" s="1"/>
      <c r="R29" s="1"/>
      <c r="S29" s="76"/>
      <c r="T29" s="235"/>
      <c r="W29" s="200"/>
      <c r="X29" s="201"/>
    </row>
    <row r="30" spans="2:24" ht="15" customHeight="1" x14ac:dyDescent="0.25">
      <c r="B30" s="133"/>
      <c r="C30" s="1"/>
      <c r="D30" s="1"/>
      <c r="E30" s="1"/>
      <c r="F30" s="1"/>
      <c r="G30" s="1"/>
      <c r="H30" s="1"/>
      <c r="I30" s="1"/>
      <c r="J30" s="1"/>
      <c r="K30" s="1"/>
      <c r="L30" s="1"/>
      <c r="M30" s="1"/>
      <c r="N30" s="1"/>
      <c r="O30" s="1"/>
      <c r="P30" s="1"/>
      <c r="Q30" s="1"/>
      <c r="R30" s="1"/>
      <c r="S30" s="76"/>
      <c r="T30" s="235"/>
      <c r="W30" s="200"/>
      <c r="X30" s="201"/>
    </row>
    <row r="31" spans="2:24" ht="15" customHeight="1" x14ac:dyDescent="0.25">
      <c r="B31" s="133"/>
      <c r="C31" s="1"/>
      <c r="D31" s="1"/>
      <c r="E31" s="1"/>
      <c r="F31" s="1"/>
      <c r="G31" s="1"/>
      <c r="H31" s="1"/>
      <c r="I31" s="1"/>
      <c r="J31" s="1"/>
      <c r="K31" s="1"/>
      <c r="L31" s="1"/>
      <c r="M31" s="1"/>
      <c r="N31" s="1"/>
      <c r="O31" s="1"/>
      <c r="P31" s="1"/>
      <c r="Q31" s="1"/>
      <c r="R31" s="1"/>
      <c r="S31" s="76"/>
      <c r="T31" s="235"/>
      <c r="W31" s="200"/>
      <c r="X31" s="201"/>
    </row>
    <row r="32" spans="2:24" ht="15" customHeight="1" x14ac:dyDescent="0.25">
      <c r="B32" s="133"/>
      <c r="C32" s="1"/>
      <c r="D32" s="1"/>
      <c r="E32" s="1"/>
      <c r="F32" s="1"/>
      <c r="G32" s="1"/>
      <c r="H32" s="1"/>
      <c r="I32" s="1"/>
      <c r="J32" s="1"/>
      <c r="K32" s="1"/>
      <c r="L32" s="1"/>
      <c r="M32" s="1"/>
      <c r="N32" s="1"/>
      <c r="O32" s="1"/>
      <c r="P32" s="1"/>
      <c r="Q32" s="1"/>
      <c r="R32" s="1"/>
      <c r="S32" s="76"/>
      <c r="T32" s="235"/>
      <c r="W32" s="200"/>
      <c r="X32" s="201"/>
    </row>
    <row r="33" spans="2:24" ht="15" customHeight="1" x14ac:dyDescent="0.25">
      <c r="B33" s="133"/>
      <c r="C33" s="1"/>
      <c r="D33" s="1"/>
      <c r="E33" s="1"/>
      <c r="F33" s="1"/>
      <c r="G33" s="1"/>
      <c r="H33" s="1"/>
      <c r="I33" s="1"/>
      <c r="J33" s="1"/>
      <c r="K33" s="1"/>
      <c r="L33" s="1"/>
      <c r="M33" s="1"/>
      <c r="N33" s="1"/>
      <c r="O33" s="1"/>
      <c r="P33" s="1"/>
      <c r="Q33" s="1"/>
      <c r="R33" s="1"/>
      <c r="S33" s="76"/>
      <c r="T33" s="235"/>
      <c r="W33" s="166"/>
      <c r="X33" s="166"/>
    </row>
    <row r="34" spans="2:24" ht="15" customHeight="1" x14ac:dyDescent="0.25">
      <c r="B34" s="133"/>
      <c r="C34" s="1"/>
      <c r="D34" s="1"/>
      <c r="E34" s="1"/>
      <c r="F34" s="1"/>
      <c r="G34" s="1"/>
      <c r="H34" s="1"/>
      <c r="I34" s="1"/>
      <c r="J34" s="1"/>
      <c r="K34" s="1"/>
      <c r="L34" s="1"/>
      <c r="M34" s="1"/>
      <c r="N34" s="1"/>
      <c r="O34" s="1"/>
      <c r="P34" s="1"/>
      <c r="Q34" s="1"/>
      <c r="R34" s="1"/>
      <c r="S34" s="76"/>
      <c r="T34" s="235"/>
      <c r="W34" s="166"/>
      <c r="X34" s="166"/>
    </row>
    <row r="35" spans="2:24" ht="15" customHeight="1" x14ac:dyDescent="0.25">
      <c r="B35" s="133"/>
      <c r="C35" s="1"/>
      <c r="D35" s="1"/>
      <c r="E35" s="1"/>
      <c r="F35" s="1"/>
      <c r="G35" s="1"/>
      <c r="H35" s="1"/>
      <c r="I35" s="1"/>
      <c r="J35" s="1"/>
      <c r="K35" s="1"/>
      <c r="L35" s="1"/>
      <c r="M35" s="1"/>
      <c r="N35" s="1"/>
      <c r="O35" s="1"/>
      <c r="P35" s="1"/>
      <c r="Q35" s="1"/>
      <c r="R35" s="1"/>
      <c r="S35" s="76"/>
      <c r="T35" s="235"/>
      <c r="W35" s="166"/>
      <c r="X35" s="166"/>
    </row>
    <row r="36" spans="2:24" ht="15" customHeight="1" x14ac:dyDescent="0.25">
      <c r="B36" s="133"/>
      <c r="C36" s="1"/>
      <c r="D36" s="1"/>
      <c r="E36" s="1"/>
      <c r="F36" s="1"/>
      <c r="G36" s="1"/>
      <c r="H36" s="1"/>
      <c r="I36" s="1"/>
      <c r="J36" s="1"/>
      <c r="K36" s="1"/>
      <c r="L36" s="1"/>
      <c r="M36" s="1"/>
      <c r="N36" s="1"/>
      <c r="O36" s="1"/>
      <c r="P36" s="1"/>
      <c r="Q36" s="1"/>
      <c r="R36" s="1"/>
      <c r="S36" s="76"/>
      <c r="T36" s="235"/>
      <c r="W36" s="166"/>
      <c r="X36" s="166"/>
    </row>
    <row r="37" spans="2:24" ht="15" customHeight="1" x14ac:dyDescent="0.25">
      <c r="B37" s="133"/>
      <c r="C37" s="1"/>
      <c r="D37" s="1"/>
      <c r="E37" s="1"/>
      <c r="F37" s="1"/>
      <c r="G37" s="1"/>
      <c r="H37" s="1"/>
      <c r="I37" s="1"/>
      <c r="J37" s="1"/>
      <c r="K37" s="1"/>
      <c r="L37" s="1"/>
      <c r="M37" s="1"/>
      <c r="N37" s="1"/>
      <c r="O37" s="1"/>
      <c r="P37" s="1"/>
      <c r="Q37" s="1"/>
      <c r="R37" s="1"/>
      <c r="S37" s="76"/>
      <c r="T37" s="235"/>
      <c r="W37" s="166"/>
      <c r="X37" s="166"/>
    </row>
    <row r="38" spans="2:24" ht="15" customHeight="1" x14ac:dyDescent="0.25">
      <c r="B38" s="133"/>
      <c r="C38" s="1"/>
      <c r="D38" s="1"/>
      <c r="E38" s="1"/>
      <c r="F38" s="1"/>
      <c r="G38" s="1"/>
      <c r="H38" s="1"/>
      <c r="I38" s="1"/>
      <c r="J38" s="1"/>
      <c r="K38" s="1"/>
      <c r="L38" s="1"/>
      <c r="M38" s="1"/>
      <c r="N38" s="1"/>
      <c r="O38" s="1"/>
      <c r="P38" s="1"/>
      <c r="Q38" s="1"/>
      <c r="R38" s="1"/>
      <c r="S38" s="76"/>
      <c r="T38" s="235"/>
      <c r="W38" s="166"/>
      <c r="X38" s="166"/>
    </row>
    <row r="39" spans="2:24" ht="15.75" customHeight="1" x14ac:dyDescent="0.25">
      <c r="B39" s="133"/>
      <c r="C39" s="1"/>
      <c r="D39" s="1"/>
      <c r="E39" s="1"/>
      <c r="F39" s="1"/>
      <c r="G39" s="1"/>
      <c r="H39" s="1"/>
      <c r="I39" s="1"/>
      <c r="J39" s="1"/>
      <c r="K39" s="1"/>
      <c r="L39" s="1"/>
      <c r="M39" s="1"/>
      <c r="N39" s="1"/>
      <c r="O39" s="1"/>
      <c r="P39" s="1"/>
      <c r="Q39" s="1"/>
      <c r="R39" s="1"/>
      <c r="S39" s="76"/>
      <c r="T39" s="235"/>
    </row>
    <row r="40" spans="2:24" ht="15" hidden="1" customHeight="1" x14ac:dyDescent="0.25">
      <c r="B40" s="133"/>
      <c r="C40" s="1"/>
      <c r="D40" s="1"/>
      <c r="E40" s="1"/>
      <c r="F40" s="1"/>
      <c r="G40" s="1"/>
      <c r="H40" s="1"/>
      <c r="I40" s="1"/>
      <c r="J40" s="1"/>
      <c r="K40" s="1"/>
      <c r="L40" s="1"/>
      <c r="M40" s="1"/>
      <c r="N40" s="1"/>
      <c r="O40" s="1"/>
      <c r="P40" s="1"/>
      <c r="Q40" s="1"/>
      <c r="R40" s="1"/>
      <c r="S40" s="76"/>
      <c r="T40" s="235"/>
    </row>
    <row r="41" spans="2:24" ht="15" hidden="1" customHeight="1" x14ac:dyDescent="0.25">
      <c r="B41" s="133"/>
      <c r="C41" s="1"/>
      <c r="D41" s="1"/>
      <c r="E41" s="1"/>
      <c r="F41" s="1"/>
      <c r="G41" s="1"/>
      <c r="H41" s="1"/>
      <c r="I41" s="1"/>
      <c r="J41" s="1"/>
      <c r="K41" s="1"/>
      <c r="L41" s="1"/>
      <c r="M41" s="1"/>
      <c r="N41" s="1"/>
      <c r="O41" s="1"/>
      <c r="P41" s="1"/>
      <c r="Q41" s="1"/>
      <c r="R41" s="1"/>
      <c r="S41" s="76"/>
      <c r="T41" s="235"/>
    </row>
    <row r="42" spans="2:24" ht="15" hidden="1" customHeight="1" x14ac:dyDescent="0.25">
      <c r="B42" s="133"/>
      <c r="C42" s="1"/>
      <c r="D42" s="1"/>
      <c r="E42" s="1"/>
      <c r="F42" s="1"/>
      <c r="G42" s="1"/>
      <c r="H42" s="1"/>
      <c r="I42" s="1"/>
      <c r="J42" s="1"/>
      <c r="K42" s="1"/>
      <c r="L42" s="1"/>
      <c r="M42" s="1"/>
      <c r="N42" s="1"/>
      <c r="O42" s="1"/>
      <c r="P42" s="1"/>
      <c r="Q42" s="1"/>
      <c r="R42" s="1"/>
      <c r="S42" s="76"/>
      <c r="T42" s="235"/>
    </row>
    <row r="43" spans="2:24" ht="15" hidden="1" customHeight="1" x14ac:dyDescent="0.25">
      <c r="B43" s="133"/>
      <c r="C43" s="1"/>
      <c r="D43" s="1"/>
      <c r="E43" s="1"/>
      <c r="F43" s="1"/>
      <c r="G43" s="1"/>
      <c r="H43" s="1"/>
      <c r="I43" s="1"/>
      <c r="J43" s="1"/>
      <c r="K43" s="1"/>
      <c r="L43" s="1"/>
      <c r="M43" s="1"/>
      <c r="N43" s="1"/>
      <c r="O43" s="1"/>
      <c r="P43" s="1"/>
      <c r="Q43" s="1"/>
      <c r="R43" s="1"/>
      <c r="S43" s="76"/>
      <c r="T43" s="235"/>
    </row>
    <row r="44" spans="2:24" ht="15" hidden="1" customHeight="1" x14ac:dyDescent="0.25">
      <c r="B44" s="133"/>
      <c r="C44" s="1"/>
      <c r="D44" s="1"/>
      <c r="E44" s="1"/>
      <c r="F44" s="1"/>
      <c r="G44" s="1"/>
      <c r="H44" s="1"/>
      <c r="I44" s="1"/>
      <c r="J44" s="1"/>
      <c r="K44" s="1"/>
      <c r="L44" s="1"/>
      <c r="M44" s="1"/>
      <c r="N44" s="1"/>
      <c r="O44" s="1"/>
      <c r="P44" s="1"/>
      <c r="Q44" s="1"/>
      <c r="R44" s="1"/>
      <c r="S44" s="76"/>
      <c r="T44" s="235"/>
    </row>
    <row r="45" spans="2:24" ht="15" hidden="1" customHeight="1" x14ac:dyDescent="0.25">
      <c r="B45" s="133"/>
      <c r="C45" s="1"/>
      <c r="D45" s="1"/>
      <c r="E45" s="1"/>
      <c r="F45" s="1"/>
      <c r="G45" s="1"/>
      <c r="H45" s="1"/>
      <c r="I45" s="1"/>
      <c r="J45" s="1"/>
      <c r="K45" s="1"/>
      <c r="L45" s="1"/>
      <c r="M45" s="1"/>
      <c r="N45" s="1"/>
      <c r="O45" s="1"/>
      <c r="P45" s="1"/>
      <c r="Q45" s="1"/>
      <c r="R45" s="1"/>
      <c r="S45" s="76"/>
      <c r="T45" s="235"/>
    </row>
    <row r="46" spans="2:24" ht="15" hidden="1" customHeight="1" x14ac:dyDescent="0.25">
      <c r="B46" s="133"/>
      <c r="C46" s="1"/>
      <c r="D46" s="1"/>
      <c r="E46" s="1"/>
      <c r="F46" s="1"/>
      <c r="G46" s="1"/>
      <c r="H46" s="1"/>
      <c r="I46" s="1"/>
      <c r="J46" s="1"/>
      <c r="K46" s="1"/>
      <c r="L46" s="1"/>
      <c r="M46" s="1"/>
      <c r="N46" s="1"/>
      <c r="O46" s="1"/>
      <c r="P46" s="1"/>
      <c r="Q46" s="1"/>
      <c r="R46" s="1"/>
      <c r="S46" s="76"/>
      <c r="T46" s="235"/>
    </row>
    <row r="47" spans="2:24" ht="15" hidden="1" customHeight="1" x14ac:dyDescent="0.25">
      <c r="B47" s="133"/>
      <c r="C47" s="1"/>
      <c r="D47" s="1"/>
      <c r="E47" s="1"/>
      <c r="F47" s="1"/>
      <c r="G47" s="1"/>
      <c r="H47" s="1"/>
      <c r="I47" s="1"/>
      <c r="J47" s="1"/>
      <c r="K47" s="1"/>
      <c r="L47" s="1"/>
      <c r="M47" s="1"/>
      <c r="N47" s="1"/>
      <c r="O47" s="1"/>
      <c r="P47" s="1"/>
      <c r="Q47" s="1"/>
      <c r="R47" s="1"/>
      <c r="S47" s="76"/>
      <c r="T47" s="235"/>
    </row>
    <row r="48" spans="2:24" ht="15" hidden="1" customHeight="1" x14ac:dyDescent="0.25">
      <c r="B48" s="133"/>
      <c r="C48" s="1"/>
      <c r="D48" s="1"/>
      <c r="E48" s="1"/>
      <c r="F48" s="1"/>
      <c r="G48" s="1"/>
      <c r="H48" s="1"/>
      <c r="I48" s="1"/>
      <c r="J48" s="1"/>
      <c r="K48" s="1"/>
      <c r="L48" s="1"/>
      <c r="M48" s="1"/>
      <c r="N48" s="1"/>
      <c r="O48" s="1"/>
      <c r="P48" s="1"/>
      <c r="Q48" s="1"/>
      <c r="R48" s="1"/>
      <c r="S48" s="76"/>
      <c r="T48" s="235"/>
    </row>
    <row r="49" spans="2:20" ht="15" customHeight="1" thickBot="1" x14ac:dyDescent="0.3">
      <c r="B49" s="134"/>
      <c r="C49" s="135"/>
      <c r="D49" s="135"/>
      <c r="E49" s="135"/>
      <c r="F49" s="135"/>
      <c r="G49" s="135"/>
      <c r="H49" s="135"/>
      <c r="I49" s="135"/>
      <c r="J49" s="135"/>
      <c r="K49" s="135"/>
      <c r="L49" s="135"/>
      <c r="M49" s="135"/>
      <c r="N49" s="135"/>
      <c r="O49" s="135"/>
      <c r="P49" s="135"/>
      <c r="Q49" s="135"/>
      <c r="R49" s="135"/>
      <c r="S49" s="237"/>
      <c r="T49" s="238"/>
    </row>
    <row r="50" spans="2:20" ht="15" customHeight="1" thickBot="1" x14ac:dyDescent="0.3"/>
    <row r="51" spans="2:20" ht="15" customHeight="1" x14ac:dyDescent="0.25">
      <c r="B51" s="294" t="s">
        <v>147</v>
      </c>
      <c r="C51" s="295"/>
      <c r="D51" s="295"/>
      <c r="E51" s="295"/>
      <c r="F51" s="295"/>
      <c r="G51" s="295"/>
      <c r="H51" s="295"/>
      <c r="I51" s="295"/>
      <c r="J51" s="295"/>
      <c r="K51" s="295"/>
      <c r="L51" s="295"/>
      <c r="M51" s="295"/>
      <c r="N51" s="295"/>
      <c r="O51" s="295"/>
      <c r="P51" s="295"/>
      <c r="Q51" s="295"/>
      <c r="R51" s="296"/>
    </row>
    <row r="52" spans="2:20" ht="15" customHeight="1" x14ac:dyDescent="0.25">
      <c r="B52" s="297"/>
      <c r="C52" s="298"/>
      <c r="D52" s="298"/>
      <c r="E52" s="298"/>
      <c r="F52" s="298"/>
      <c r="G52" s="298"/>
      <c r="H52" s="298"/>
      <c r="I52" s="298"/>
      <c r="J52" s="298"/>
      <c r="K52" s="298"/>
      <c r="L52" s="298"/>
      <c r="M52" s="298"/>
      <c r="N52" s="298"/>
      <c r="O52" s="298"/>
      <c r="P52" s="298"/>
      <c r="Q52" s="298"/>
      <c r="R52" s="299"/>
    </row>
    <row r="53" spans="2:20" ht="15" customHeight="1" x14ac:dyDescent="0.25">
      <c r="B53" s="297"/>
      <c r="C53" s="298"/>
      <c r="D53" s="298"/>
      <c r="E53" s="298"/>
      <c r="F53" s="298"/>
      <c r="G53" s="298"/>
      <c r="H53" s="298"/>
      <c r="I53" s="298"/>
      <c r="J53" s="298"/>
      <c r="K53" s="298"/>
      <c r="L53" s="298"/>
      <c r="M53" s="298"/>
      <c r="N53" s="298"/>
      <c r="O53" s="298"/>
      <c r="P53" s="298"/>
      <c r="Q53" s="298"/>
      <c r="R53" s="299"/>
    </row>
    <row r="54" spans="2:20" ht="15" customHeight="1" x14ac:dyDescent="0.25">
      <c r="B54" s="297"/>
      <c r="C54" s="298"/>
      <c r="D54" s="298"/>
      <c r="E54" s="298"/>
      <c r="F54" s="298"/>
      <c r="G54" s="298"/>
      <c r="H54" s="298"/>
      <c r="I54" s="298"/>
      <c r="J54" s="298"/>
      <c r="K54" s="298"/>
      <c r="L54" s="298"/>
      <c r="M54" s="298"/>
      <c r="N54" s="298"/>
      <c r="O54" s="298"/>
      <c r="P54" s="298"/>
      <c r="Q54" s="298"/>
      <c r="R54" s="299"/>
    </row>
    <row r="55" spans="2:20" ht="15" customHeight="1" x14ac:dyDescent="0.25">
      <c r="B55" s="297"/>
      <c r="C55" s="298"/>
      <c r="D55" s="298"/>
      <c r="E55" s="298"/>
      <c r="F55" s="298"/>
      <c r="G55" s="298"/>
      <c r="H55" s="298"/>
      <c r="I55" s="298"/>
      <c r="J55" s="298"/>
      <c r="K55" s="298"/>
      <c r="L55" s="298"/>
      <c r="M55" s="298"/>
      <c r="N55" s="298"/>
      <c r="O55" s="298"/>
      <c r="P55" s="298"/>
      <c r="Q55" s="298"/>
      <c r="R55" s="299"/>
    </row>
    <row r="56" spans="2:20" ht="15" customHeight="1" x14ac:dyDescent="0.25">
      <c r="B56" s="297"/>
      <c r="C56" s="298"/>
      <c r="D56" s="298"/>
      <c r="E56" s="298"/>
      <c r="F56" s="298"/>
      <c r="G56" s="298"/>
      <c r="H56" s="298"/>
      <c r="I56" s="298"/>
      <c r="J56" s="298"/>
      <c r="K56" s="298"/>
      <c r="L56" s="298"/>
      <c r="M56" s="298"/>
      <c r="N56" s="298"/>
      <c r="O56" s="298"/>
      <c r="P56" s="298"/>
      <c r="Q56" s="298"/>
      <c r="R56" s="299"/>
    </row>
    <row r="57" spans="2:20" ht="15" customHeight="1" thickBot="1" x14ac:dyDescent="0.3">
      <c r="B57" s="300"/>
      <c r="C57" s="301"/>
      <c r="D57" s="301"/>
      <c r="E57" s="301"/>
      <c r="F57" s="301"/>
      <c r="G57" s="301"/>
      <c r="H57" s="301"/>
      <c r="I57" s="301"/>
      <c r="J57" s="301"/>
      <c r="K57" s="301"/>
      <c r="L57" s="301"/>
      <c r="M57" s="301"/>
      <c r="N57" s="301"/>
      <c r="O57" s="301"/>
      <c r="P57" s="301"/>
      <c r="Q57" s="301"/>
      <c r="R57" s="302"/>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25" right="0.25" top="0.75" bottom="0.75" header="0.3" footer="0.3"/>
  <pageSetup scale="50" orientation="landscape" horizontalDpi="1200" verticalDpi="1200" r:id="rId1"/>
  <colBreaks count="1" manualBreakCount="1">
    <brk id="2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AF68"/>
  <sheetViews>
    <sheetView showGridLines="0" view="pageBreakPreview" zoomScale="60" zoomScaleNormal="75" workbookViewId="0">
      <selection activeCell="A32" sqref="A32"/>
    </sheetView>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5"/>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3" t="s">
        <v>86</v>
      </c>
      <c r="D3" s="304"/>
      <c r="E3" s="304"/>
      <c r="F3" s="304"/>
      <c r="G3" s="304"/>
      <c r="H3" s="304"/>
      <c r="I3" s="304"/>
      <c r="J3" s="304"/>
      <c r="K3" s="304"/>
      <c r="L3" s="304"/>
      <c r="M3" s="304"/>
      <c r="N3" s="304"/>
      <c r="O3" s="304"/>
      <c r="P3" s="304"/>
      <c r="Q3" s="304"/>
      <c r="R3" s="304"/>
      <c r="S3" s="305"/>
      <c r="T3" s="75"/>
    </row>
    <row r="4" spans="1:24" ht="15.75" customHeight="1" x14ac:dyDescent="0.25">
      <c r="B4" s="5"/>
      <c r="C4" s="280" t="s">
        <v>237</v>
      </c>
      <c r="D4" s="1"/>
      <c r="E4" s="1"/>
      <c r="F4" s="1"/>
      <c r="G4" s="1"/>
      <c r="H4" s="1"/>
      <c r="I4" s="1"/>
      <c r="J4" s="1"/>
      <c r="K4" s="1"/>
      <c r="L4" s="1"/>
      <c r="M4" s="1"/>
      <c r="N4" s="1"/>
      <c r="O4" s="1"/>
      <c r="P4" s="1"/>
      <c r="Q4" s="1"/>
      <c r="R4" s="1"/>
      <c r="S4" s="76"/>
      <c r="T4" s="75"/>
    </row>
    <row r="5" spans="1:24" ht="18" customHeight="1" x14ac:dyDescent="0.25">
      <c r="B5" s="5"/>
      <c r="C5" s="2" t="s">
        <v>236</v>
      </c>
      <c r="D5" s="306" t="s">
        <v>240</v>
      </c>
      <c r="E5" s="306"/>
      <c r="F5" s="1"/>
      <c r="G5" s="109"/>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27</v>
      </c>
      <c r="X7" s="204" t="s">
        <v>2</v>
      </c>
    </row>
    <row r="8" spans="1:24" ht="15" customHeight="1" x14ac:dyDescent="0.25">
      <c r="B8" s="5"/>
      <c r="C8" s="92" t="s">
        <v>42</v>
      </c>
      <c r="D8" s="94" t="s">
        <v>3</v>
      </c>
      <c r="E8" s="96">
        <v>9.8857E-2</v>
      </c>
      <c r="F8" s="1"/>
      <c r="G8" s="1"/>
      <c r="H8" s="1"/>
      <c r="I8" s="1"/>
      <c r="J8" s="1"/>
      <c r="K8" s="1"/>
      <c r="L8" s="1"/>
      <c r="M8" s="1"/>
      <c r="N8" s="1"/>
      <c r="O8" s="1"/>
      <c r="P8" s="1"/>
      <c r="Q8" s="1"/>
      <c r="R8" s="1"/>
      <c r="S8" s="76"/>
      <c r="T8" s="75"/>
      <c r="W8" s="200" t="s">
        <v>3</v>
      </c>
      <c r="X8" s="201">
        <v>0.26280499999999996</v>
      </c>
    </row>
    <row r="9" spans="1:24" ht="15.75" customHeight="1" x14ac:dyDescent="0.25">
      <c r="B9" s="5"/>
      <c r="C9" s="93" t="s">
        <v>140</v>
      </c>
      <c r="D9" s="95" t="s">
        <v>3</v>
      </c>
      <c r="E9" s="97">
        <v>8.745E-2</v>
      </c>
      <c r="F9" s="1"/>
      <c r="G9" s="1"/>
      <c r="H9" s="1"/>
      <c r="I9" s="1"/>
      <c r="J9" s="1"/>
      <c r="K9" s="1"/>
      <c r="L9" s="1"/>
      <c r="M9" s="1"/>
      <c r="N9" s="1"/>
      <c r="O9" s="1"/>
      <c r="P9" s="1"/>
      <c r="Q9" s="1"/>
      <c r="R9" s="1"/>
      <c r="S9" s="76"/>
      <c r="T9" s="75"/>
      <c r="W9" s="200" t="s">
        <v>11</v>
      </c>
      <c r="X9" s="201">
        <v>0.20099799999999998</v>
      </c>
    </row>
    <row r="10" spans="1:24" ht="15" customHeight="1" x14ac:dyDescent="0.25">
      <c r="B10" s="5"/>
      <c r="C10" s="93" t="s">
        <v>38</v>
      </c>
      <c r="D10" s="95" t="s">
        <v>3</v>
      </c>
      <c r="E10" s="97">
        <v>7.6497999999999997E-2</v>
      </c>
      <c r="F10" s="1"/>
      <c r="G10" s="1"/>
      <c r="H10" s="1"/>
      <c r="I10" s="1"/>
      <c r="J10" s="1"/>
      <c r="K10" s="1"/>
      <c r="L10" s="1"/>
      <c r="M10" s="1"/>
      <c r="N10" s="1"/>
      <c r="O10" s="1"/>
      <c r="P10" s="1"/>
      <c r="Q10" s="1"/>
      <c r="R10" s="1"/>
      <c r="S10" s="76"/>
      <c r="T10" s="75"/>
      <c r="W10" s="200" t="s">
        <v>17</v>
      </c>
      <c r="X10" s="201">
        <v>5.6155999999999998E-2</v>
      </c>
    </row>
    <row r="11" spans="1:24" ht="15" customHeight="1" x14ac:dyDescent="0.25">
      <c r="B11" s="5"/>
      <c r="C11" s="93" t="s">
        <v>37</v>
      </c>
      <c r="D11" s="95" t="s">
        <v>11</v>
      </c>
      <c r="E11" s="97">
        <v>6.9692000000000004E-2</v>
      </c>
      <c r="F11" s="1"/>
      <c r="G11" s="1"/>
      <c r="H11" s="1"/>
      <c r="I11" s="1"/>
      <c r="J11" s="1"/>
      <c r="K11" s="1"/>
      <c r="L11" s="1"/>
      <c r="M11" s="1"/>
      <c r="N11" s="1"/>
      <c r="O11" s="1"/>
      <c r="P11" s="1"/>
      <c r="Q11" s="1"/>
      <c r="R11" s="1"/>
      <c r="S11" s="76"/>
      <c r="T11" s="75"/>
      <c r="W11" s="200" t="s">
        <v>4</v>
      </c>
      <c r="X11" s="201">
        <v>5.5530000000000003E-2</v>
      </c>
    </row>
    <row r="12" spans="1:24" ht="15" customHeight="1" x14ac:dyDescent="0.25">
      <c r="B12" s="5"/>
      <c r="C12" s="93" t="s">
        <v>142</v>
      </c>
      <c r="D12" s="95" t="s">
        <v>4</v>
      </c>
      <c r="E12" s="97">
        <v>5.5530000000000003E-2</v>
      </c>
      <c r="F12" s="1"/>
      <c r="G12" s="1"/>
      <c r="H12" s="1"/>
      <c r="I12" s="1"/>
      <c r="J12" s="1"/>
      <c r="K12" s="1"/>
      <c r="L12" s="1"/>
      <c r="M12" s="1"/>
      <c r="N12" s="1"/>
      <c r="O12" s="1"/>
      <c r="P12" s="1"/>
      <c r="Q12" s="1"/>
      <c r="R12" s="1"/>
      <c r="S12" s="76"/>
      <c r="T12" s="75"/>
      <c r="W12" s="200" t="s">
        <v>8</v>
      </c>
      <c r="X12" s="201">
        <v>5.4925000000000002E-2</v>
      </c>
    </row>
    <row r="13" spans="1:24" ht="15" customHeight="1" x14ac:dyDescent="0.25">
      <c r="B13" s="5"/>
      <c r="C13" s="93" t="s">
        <v>41</v>
      </c>
      <c r="D13" s="95" t="s">
        <v>6</v>
      </c>
      <c r="E13" s="97">
        <v>4.9785000000000003E-2</v>
      </c>
      <c r="F13" s="1"/>
      <c r="G13" s="1"/>
      <c r="H13" s="1"/>
      <c r="I13" s="1"/>
      <c r="J13" s="1"/>
      <c r="K13" s="1"/>
      <c r="L13" s="1"/>
      <c r="M13" s="1"/>
      <c r="N13" s="1"/>
      <c r="O13" s="1"/>
      <c r="P13" s="1"/>
      <c r="Q13" s="1"/>
      <c r="R13" s="1"/>
      <c r="S13" s="76"/>
      <c r="T13" s="75"/>
      <c r="W13" s="200" t="s">
        <v>6</v>
      </c>
      <c r="X13" s="201">
        <v>4.9785000000000003E-2</v>
      </c>
    </row>
    <row r="14" spans="1:24" ht="15" customHeight="1" x14ac:dyDescent="0.25">
      <c r="B14" s="5"/>
      <c r="C14" s="93" t="s">
        <v>208</v>
      </c>
      <c r="D14" s="95" t="s">
        <v>22</v>
      </c>
      <c r="E14" s="97">
        <v>3.4951999999999997E-2</v>
      </c>
      <c r="F14" s="1"/>
      <c r="G14" s="1"/>
      <c r="H14" s="1"/>
      <c r="I14" s="1"/>
      <c r="J14" s="1"/>
      <c r="K14" s="1"/>
      <c r="L14" s="1"/>
      <c r="M14" s="1"/>
      <c r="N14" s="1"/>
      <c r="O14" s="1"/>
      <c r="P14" s="1"/>
      <c r="Q14" s="1"/>
      <c r="R14" s="1"/>
      <c r="S14" s="76"/>
      <c r="T14" s="75"/>
      <c r="W14" s="200" t="s">
        <v>7</v>
      </c>
      <c r="X14" s="201">
        <v>4.6819E-2</v>
      </c>
    </row>
    <row r="15" spans="1:24" ht="15" customHeight="1" x14ac:dyDescent="0.25">
      <c r="B15" s="5"/>
      <c r="C15" s="93" t="s">
        <v>174</v>
      </c>
      <c r="D15" s="95" t="s">
        <v>17</v>
      </c>
      <c r="E15" s="97">
        <v>3.4792999999999998E-2</v>
      </c>
      <c r="F15" s="1"/>
      <c r="G15" s="1"/>
      <c r="H15" s="1"/>
      <c r="I15" s="1"/>
      <c r="J15" s="1"/>
      <c r="K15" s="1"/>
      <c r="L15" s="1"/>
      <c r="M15" s="1"/>
      <c r="N15" s="1"/>
      <c r="O15" s="1"/>
      <c r="P15" s="1"/>
      <c r="Q15" s="1"/>
      <c r="R15" s="1"/>
      <c r="S15" s="76"/>
      <c r="T15" s="75"/>
      <c r="W15" s="200" t="s">
        <v>21</v>
      </c>
      <c r="X15" s="201">
        <v>4.0221E-2</v>
      </c>
    </row>
    <row r="16" spans="1:24" ht="15" customHeight="1" x14ac:dyDescent="0.25">
      <c r="B16" s="5"/>
      <c r="C16" s="93" t="s">
        <v>43</v>
      </c>
      <c r="D16" s="95" t="s">
        <v>11</v>
      </c>
      <c r="E16" s="97">
        <v>3.0057E-2</v>
      </c>
      <c r="F16" s="1"/>
      <c r="G16" s="1"/>
      <c r="H16" s="1"/>
      <c r="I16" s="1"/>
      <c r="J16" s="1"/>
      <c r="K16" s="1"/>
      <c r="L16" s="1"/>
      <c r="M16" s="1"/>
      <c r="N16" s="1"/>
      <c r="O16" s="1"/>
      <c r="P16" s="1"/>
      <c r="Q16" s="1"/>
      <c r="R16" s="1"/>
      <c r="S16" s="76"/>
      <c r="T16" s="75"/>
      <c r="W16" s="200" t="s">
        <v>22</v>
      </c>
      <c r="X16" s="201">
        <v>3.4951999999999997E-2</v>
      </c>
    </row>
    <row r="17" spans="2:24" ht="15" customHeight="1" x14ac:dyDescent="0.25">
      <c r="B17" s="5"/>
      <c r="C17" s="93" t="s">
        <v>227</v>
      </c>
      <c r="D17" s="95" t="s">
        <v>28</v>
      </c>
      <c r="E17" s="97">
        <v>2.9309000000000002E-2</v>
      </c>
      <c r="F17" s="1"/>
      <c r="G17" s="1"/>
      <c r="H17" s="1"/>
      <c r="I17" s="1"/>
      <c r="J17" s="1"/>
      <c r="K17" s="1"/>
      <c r="L17" s="1"/>
      <c r="M17" s="1"/>
      <c r="N17" s="1"/>
      <c r="O17" s="1"/>
      <c r="P17" s="1"/>
      <c r="Q17" s="1"/>
      <c r="R17" s="1"/>
      <c r="S17" s="76"/>
      <c r="T17" s="75"/>
      <c r="W17" s="200" t="s">
        <v>28</v>
      </c>
      <c r="X17" s="201">
        <v>2.9309000000000002E-2</v>
      </c>
    </row>
    <row r="18" spans="2:24" ht="15" customHeight="1" x14ac:dyDescent="0.25">
      <c r="B18" s="5"/>
      <c r="C18" s="93" t="s">
        <v>121</v>
      </c>
      <c r="D18" s="95" t="s">
        <v>8</v>
      </c>
      <c r="E18" s="97">
        <v>2.8801E-2</v>
      </c>
      <c r="F18" s="1"/>
      <c r="G18" s="1"/>
      <c r="H18" s="1"/>
      <c r="I18" s="1"/>
      <c r="J18" s="1"/>
      <c r="K18" s="1"/>
      <c r="L18" s="1"/>
      <c r="M18" s="1"/>
      <c r="N18" s="1"/>
      <c r="O18" s="1"/>
      <c r="P18" s="1"/>
      <c r="Q18" s="1"/>
      <c r="R18" s="1"/>
      <c r="S18" s="76"/>
      <c r="T18" s="75"/>
      <c r="W18" s="200" t="s">
        <v>149</v>
      </c>
      <c r="X18" s="201">
        <v>2.8683E-2</v>
      </c>
    </row>
    <row r="19" spans="2:24" ht="15" customHeight="1" x14ac:dyDescent="0.25">
      <c r="B19" s="5"/>
      <c r="C19" s="93" t="s">
        <v>95</v>
      </c>
      <c r="D19" s="95" t="s">
        <v>149</v>
      </c>
      <c r="E19" s="97">
        <v>2.8683E-2</v>
      </c>
      <c r="F19" s="1"/>
      <c r="G19" s="1"/>
      <c r="H19" s="1"/>
      <c r="I19" s="1"/>
      <c r="J19" s="1"/>
      <c r="K19" s="1"/>
      <c r="L19" s="1"/>
      <c r="M19" s="1"/>
      <c r="N19" s="1"/>
      <c r="O19" s="1"/>
      <c r="P19" s="1"/>
      <c r="Q19" s="1"/>
      <c r="R19" s="1"/>
      <c r="S19" s="76"/>
      <c r="T19" s="75"/>
      <c r="W19" s="200" t="s">
        <v>29</v>
      </c>
      <c r="X19" s="201">
        <v>2.7077E-2</v>
      </c>
    </row>
    <row r="20" spans="2:24" ht="15" customHeight="1" x14ac:dyDescent="0.25">
      <c r="B20" s="5"/>
      <c r="C20" s="93" t="s">
        <v>199</v>
      </c>
      <c r="D20" s="95" t="s">
        <v>7</v>
      </c>
      <c r="E20" s="97">
        <v>2.7099999999999999E-2</v>
      </c>
      <c r="F20" s="1"/>
      <c r="G20" s="1"/>
      <c r="H20" s="1"/>
      <c r="I20" s="1"/>
      <c r="J20" s="1"/>
      <c r="K20" s="1"/>
      <c r="L20" s="1"/>
      <c r="M20" s="1"/>
      <c r="N20" s="1"/>
      <c r="O20" s="1"/>
      <c r="P20" s="1"/>
      <c r="Q20" s="1"/>
      <c r="R20" s="1"/>
      <c r="S20" s="76"/>
      <c r="T20" s="75"/>
      <c r="W20" s="200" t="s">
        <v>133</v>
      </c>
      <c r="X20" s="201">
        <v>2.4843E-2</v>
      </c>
    </row>
    <row r="21" spans="2:24" ht="15" customHeight="1" x14ac:dyDescent="0.25">
      <c r="B21" s="5"/>
      <c r="C21" s="93" t="s">
        <v>158</v>
      </c>
      <c r="D21" s="95" t="s">
        <v>29</v>
      </c>
      <c r="E21" s="97">
        <v>2.7077E-2</v>
      </c>
      <c r="F21" s="1"/>
      <c r="G21" s="1"/>
      <c r="H21" s="1"/>
      <c r="I21" s="1"/>
      <c r="J21" s="1"/>
      <c r="K21" s="1"/>
      <c r="L21" s="1"/>
      <c r="M21" s="1"/>
      <c r="N21" s="1"/>
      <c r="O21" s="1"/>
      <c r="P21" s="1"/>
      <c r="Q21" s="1"/>
      <c r="R21" s="1"/>
      <c r="S21" s="76"/>
      <c r="T21" s="75"/>
      <c r="W21" s="200" t="s">
        <v>19</v>
      </c>
      <c r="X21" s="201">
        <v>1.984E-2</v>
      </c>
    </row>
    <row r="22" spans="2:24" ht="15" customHeight="1" x14ac:dyDescent="0.25">
      <c r="B22" s="5"/>
      <c r="C22" s="93" t="s">
        <v>209</v>
      </c>
      <c r="D22" s="95" t="s">
        <v>8</v>
      </c>
      <c r="E22" s="97">
        <v>2.6124000000000001E-2</v>
      </c>
      <c r="F22" s="1"/>
      <c r="G22" s="1"/>
      <c r="H22" s="1"/>
      <c r="I22" s="1"/>
      <c r="J22" s="1"/>
      <c r="K22" s="1"/>
      <c r="L22" s="1"/>
      <c r="M22" s="1"/>
      <c r="N22" s="1"/>
      <c r="O22" s="1"/>
      <c r="P22" s="1"/>
      <c r="Q22" s="1"/>
      <c r="R22" s="1"/>
      <c r="S22" s="76"/>
      <c r="T22" s="75"/>
      <c r="W22" s="200" t="s">
        <v>9</v>
      </c>
      <c r="X22" s="201">
        <v>1.9632E-2</v>
      </c>
    </row>
    <row r="23" spans="2:24" ht="15" customHeight="1" x14ac:dyDescent="0.25">
      <c r="B23" s="5"/>
      <c r="C23" s="68"/>
      <c r="D23" s="91"/>
      <c r="E23" s="90"/>
      <c r="F23" s="1"/>
      <c r="G23" s="1"/>
      <c r="H23" s="1"/>
      <c r="I23" s="1"/>
      <c r="J23" s="1"/>
      <c r="K23" s="1"/>
      <c r="L23" s="1"/>
      <c r="M23" s="1"/>
      <c r="N23" s="1"/>
      <c r="O23" s="1"/>
      <c r="P23" s="1"/>
      <c r="Q23" s="1"/>
      <c r="R23" s="1"/>
      <c r="S23" s="76"/>
      <c r="T23" s="75"/>
      <c r="W23" s="200"/>
      <c r="X23" s="201"/>
    </row>
    <row r="24" spans="2:24" ht="15" customHeight="1" x14ac:dyDescent="0.25">
      <c r="B24" s="5"/>
      <c r="C24" s="69" t="s">
        <v>77</v>
      </c>
      <c r="D24" s="71"/>
      <c r="E24" s="64">
        <f>SUM(E8:E22)</f>
        <v>0.70470800000000011</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4" t="s">
        <v>147</v>
      </c>
      <c r="C40" s="295"/>
      <c r="D40" s="295"/>
      <c r="E40" s="295"/>
      <c r="F40" s="295"/>
      <c r="G40" s="295"/>
      <c r="H40" s="295"/>
      <c r="I40" s="295"/>
      <c r="J40" s="295"/>
      <c r="K40" s="295"/>
      <c r="L40" s="295"/>
      <c r="M40" s="295"/>
      <c r="N40" s="295"/>
      <c r="O40" s="295"/>
      <c r="P40" s="295"/>
      <c r="Q40" s="295"/>
      <c r="R40" s="296"/>
    </row>
    <row r="41" spans="2:20" ht="15" customHeight="1" x14ac:dyDescent="0.25">
      <c r="B41" s="297"/>
      <c r="C41" s="298"/>
      <c r="D41" s="298"/>
      <c r="E41" s="298"/>
      <c r="F41" s="298"/>
      <c r="G41" s="298"/>
      <c r="H41" s="298"/>
      <c r="I41" s="298"/>
      <c r="J41" s="298"/>
      <c r="K41" s="298"/>
      <c r="L41" s="298"/>
      <c r="M41" s="298"/>
      <c r="N41" s="298"/>
      <c r="O41" s="298"/>
      <c r="P41" s="298"/>
      <c r="Q41" s="298"/>
      <c r="R41" s="299"/>
    </row>
    <row r="42" spans="2:20" ht="15" customHeight="1" x14ac:dyDescent="0.25">
      <c r="B42" s="297"/>
      <c r="C42" s="298"/>
      <c r="D42" s="298"/>
      <c r="E42" s="298"/>
      <c r="F42" s="298"/>
      <c r="G42" s="298"/>
      <c r="H42" s="298"/>
      <c r="I42" s="298"/>
      <c r="J42" s="298"/>
      <c r="K42" s="298"/>
      <c r="L42" s="298"/>
      <c r="M42" s="298"/>
      <c r="N42" s="298"/>
      <c r="O42" s="298"/>
      <c r="P42" s="298"/>
      <c r="Q42" s="298"/>
      <c r="R42" s="299"/>
    </row>
    <row r="43" spans="2:20" ht="15" customHeight="1" x14ac:dyDescent="0.25">
      <c r="B43" s="297"/>
      <c r="C43" s="298"/>
      <c r="D43" s="298"/>
      <c r="E43" s="298"/>
      <c r="F43" s="298"/>
      <c r="G43" s="298"/>
      <c r="H43" s="298"/>
      <c r="I43" s="298"/>
      <c r="J43" s="298"/>
      <c r="K43" s="298"/>
      <c r="L43" s="298"/>
      <c r="M43" s="298"/>
      <c r="N43" s="298"/>
      <c r="O43" s="298"/>
      <c r="P43" s="298"/>
      <c r="Q43" s="298"/>
      <c r="R43" s="299"/>
    </row>
    <row r="44" spans="2:20" ht="15" customHeight="1" x14ac:dyDescent="0.25">
      <c r="B44" s="297"/>
      <c r="C44" s="298"/>
      <c r="D44" s="298"/>
      <c r="E44" s="298"/>
      <c r="F44" s="298"/>
      <c r="G44" s="298"/>
      <c r="H44" s="298"/>
      <c r="I44" s="298"/>
      <c r="J44" s="298"/>
      <c r="K44" s="298"/>
      <c r="L44" s="298"/>
      <c r="M44" s="298"/>
      <c r="N44" s="298"/>
      <c r="O44" s="298"/>
      <c r="P44" s="298"/>
      <c r="Q44" s="298"/>
      <c r="R44" s="299"/>
    </row>
    <row r="45" spans="2:20" ht="15" customHeight="1" x14ac:dyDescent="0.25">
      <c r="B45" s="297"/>
      <c r="C45" s="298"/>
      <c r="D45" s="298"/>
      <c r="E45" s="298"/>
      <c r="F45" s="298"/>
      <c r="G45" s="298"/>
      <c r="H45" s="298"/>
      <c r="I45" s="298"/>
      <c r="J45" s="298"/>
      <c r="K45" s="298"/>
      <c r="L45" s="298"/>
      <c r="M45" s="298"/>
      <c r="N45" s="298"/>
      <c r="O45" s="298"/>
      <c r="P45" s="298"/>
      <c r="Q45" s="298"/>
      <c r="R45" s="299"/>
    </row>
    <row r="46" spans="2:20" ht="15" customHeight="1" thickBot="1" x14ac:dyDescent="0.3">
      <c r="B46" s="300"/>
      <c r="C46" s="301"/>
      <c r="D46" s="301"/>
      <c r="E46" s="301"/>
      <c r="F46" s="301"/>
      <c r="G46" s="301"/>
      <c r="H46" s="301"/>
      <c r="I46" s="301"/>
      <c r="J46" s="301"/>
      <c r="K46" s="301"/>
      <c r="L46" s="301"/>
      <c r="M46" s="301"/>
      <c r="N46" s="301"/>
      <c r="O46" s="301"/>
      <c r="P46" s="301"/>
      <c r="Q46" s="301"/>
      <c r="R46" s="302"/>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25" right="0.25" top="0.75" bottom="0.75" header="0.3" footer="0.3"/>
  <pageSetup scale="5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view="pageBreakPreview" zoomScale="60" zoomScaleNormal="75" workbookViewId="0">
      <selection activeCell="B35" sqref="A34:R41"/>
    </sheetView>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5"/>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03" t="s">
        <v>99</v>
      </c>
      <c r="D3" s="304"/>
      <c r="E3" s="304"/>
      <c r="F3" s="304"/>
      <c r="G3" s="304"/>
      <c r="H3" s="304"/>
      <c r="I3" s="304"/>
      <c r="J3" s="304"/>
      <c r="K3" s="304"/>
      <c r="L3" s="304"/>
      <c r="M3" s="304"/>
      <c r="N3" s="304"/>
      <c r="O3" s="304"/>
      <c r="P3" s="304"/>
      <c r="Q3" s="304"/>
      <c r="R3" s="304"/>
      <c r="S3" s="305"/>
      <c r="T3" s="75"/>
    </row>
    <row r="4" spans="1:37" ht="15.75" customHeight="1" x14ac:dyDescent="0.25">
      <c r="B4" s="5"/>
      <c r="C4" s="280" t="s">
        <v>237</v>
      </c>
      <c r="D4" s="1"/>
      <c r="E4" s="1"/>
      <c r="F4" s="1"/>
      <c r="G4" s="1"/>
      <c r="H4" s="1"/>
      <c r="I4" s="1"/>
      <c r="J4" s="1"/>
      <c r="K4" s="1"/>
      <c r="L4" s="1"/>
      <c r="M4" s="1"/>
      <c r="N4" s="1"/>
      <c r="O4" s="1"/>
      <c r="P4" s="1"/>
      <c r="Q4" s="1"/>
      <c r="R4" s="1"/>
      <c r="S4" s="76"/>
      <c r="T4" s="75"/>
    </row>
    <row r="5" spans="1:37" ht="18" customHeight="1" x14ac:dyDescent="0.25">
      <c r="B5" s="5"/>
      <c r="C5" s="2" t="s">
        <v>236</v>
      </c>
      <c r="D5" s="307" t="s">
        <v>241</v>
      </c>
      <c r="E5" s="308"/>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27</v>
      </c>
      <c r="X7" s="166" t="s">
        <v>2</v>
      </c>
    </row>
    <row r="8" spans="1:37" ht="15" customHeight="1" x14ac:dyDescent="0.25">
      <c r="B8" s="5"/>
      <c r="C8" s="83" t="s">
        <v>42</v>
      </c>
      <c r="D8" s="85" t="s">
        <v>3</v>
      </c>
      <c r="E8" s="101">
        <v>4.5837999999999997E-2</v>
      </c>
      <c r="F8" s="1"/>
      <c r="G8" s="1"/>
      <c r="H8" s="1"/>
      <c r="I8" s="1"/>
      <c r="J8" s="1"/>
      <c r="K8" s="1"/>
      <c r="L8" s="1"/>
      <c r="M8" s="1"/>
      <c r="N8" s="1"/>
      <c r="O8" s="1"/>
      <c r="P8" s="1"/>
      <c r="Q8" s="1"/>
      <c r="R8" s="1"/>
      <c r="S8" s="76"/>
      <c r="T8" s="75"/>
      <c r="W8" s="200" t="s">
        <v>3</v>
      </c>
      <c r="X8" s="201">
        <v>0.12165399999999998</v>
      </c>
    </row>
    <row r="9" spans="1:37" ht="15.75" customHeight="1" x14ac:dyDescent="0.25">
      <c r="B9" s="5"/>
      <c r="C9" s="84" t="s">
        <v>126</v>
      </c>
      <c r="D9" s="86" t="s">
        <v>13</v>
      </c>
      <c r="E9" s="102">
        <v>3.3843999999999999E-2</v>
      </c>
      <c r="F9" s="1"/>
      <c r="G9" s="1"/>
      <c r="H9" s="1"/>
      <c r="I9" s="1"/>
      <c r="J9" s="1"/>
      <c r="K9" s="1"/>
      <c r="L9" s="1"/>
      <c r="M9" s="1"/>
      <c r="N9" s="1"/>
      <c r="O9" s="1"/>
      <c r="P9" s="1"/>
      <c r="Q9" s="1"/>
      <c r="R9" s="1"/>
      <c r="S9" s="76"/>
      <c r="T9" s="75"/>
      <c r="W9" s="200" t="s">
        <v>7</v>
      </c>
      <c r="X9" s="201">
        <v>9.2863000000000001E-2</v>
      </c>
    </row>
    <row r="10" spans="1:37" ht="15" customHeight="1" x14ac:dyDescent="0.25">
      <c r="B10" s="5"/>
      <c r="C10" s="84" t="s">
        <v>175</v>
      </c>
      <c r="D10" s="86" t="s">
        <v>21</v>
      </c>
      <c r="E10" s="102">
        <v>3.0886E-2</v>
      </c>
      <c r="F10" s="1"/>
      <c r="G10" s="1"/>
      <c r="H10" s="1"/>
      <c r="I10" s="1"/>
      <c r="J10" s="1"/>
      <c r="K10" s="1"/>
      <c r="L10" s="1"/>
      <c r="M10" s="1"/>
      <c r="N10" s="1"/>
      <c r="O10" s="1"/>
      <c r="P10" s="1"/>
      <c r="Q10" s="1"/>
      <c r="R10" s="1"/>
      <c r="S10" s="76"/>
      <c r="T10" s="75"/>
      <c r="W10" s="200" t="s">
        <v>11</v>
      </c>
      <c r="X10" s="201">
        <v>7.6951000000000006E-2</v>
      </c>
    </row>
    <row r="11" spans="1:37" ht="15" customHeight="1" x14ac:dyDescent="0.25">
      <c r="B11" s="5"/>
      <c r="C11" s="84" t="s">
        <v>46</v>
      </c>
      <c r="D11" s="86" t="s">
        <v>3</v>
      </c>
      <c r="E11" s="102">
        <v>3.0439999999999998E-2</v>
      </c>
      <c r="F11" s="1"/>
      <c r="G11" s="1"/>
      <c r="H11" s="1"/>
      <c r="I11" s="1"/>
      <c r="J11" s="1"/>
      <c r="K11" s="1"/>
      <c r="L11" s="1"/>
      <c r="M11" s="1"/>
      <c r="N11" s="1"/>
      <c r="O11" s="1"/>
      <c r="P11" s="1"/>
      <c r="Q11" s="1"/>
      <c r="R11" s="1"/>
      <c r="S11" s="76"/>
      <c r="T11" s="75"/>
      <c r="W11" s="200" t="s">
        <v>21</v>
      </c>
      <c r="X11" s="201">
        <v>7.2733999999999993E-2</v>
      </c>
    </row>
    <row r="12" spans="1:37" ht="15" customHeight="1" x14ac:dyDescent="0.25">
      <c r="B12" s="5"/>
      <c r="C12" s="84" t="s">
        <v>140</v>
      </c>
      <c r="D12" s="86" t="s">
        <v>3</v>
      </c>
      <c r="E12" s="102">
        <v>2.8302999999999998E-2</v>
      </c>
      <c r="F12" s="1"/>
      <c r="G12" s="1"/>
      <c r="H12" s="1"/>
      <c r="I12" s="1"/>
      <c r="J12" s="1"/>
      <c r="K12" s="1"/>
      <c r="L12" s="1"/>
      <c r="M12" s="1"/>
      <c r="N12" s="1"/>
      <c r="O12" s="1"/>
      <c r="P12" s="1"/>
      <c r="Q12" s="1"/>
      <c r="R12" s="1"/>
      <c r="S12" s="76"/>
      <c r="T12" s="75"/>
      <c r="W12" s="200" t="s">
        <v>8</v>
      </c>
      <c r="X12" s="201">
        <v>6.8972000000000006E-2</v>
      </c>
    </row>
    <row r="13" spans="1:37" ht="15.75" customHeight="1" x14ac:dyDescent="0.25">
      <c r="B13" s="5"/>
      <c r="C13" s="84" t="s">
        <v>43</v>
      </c>
      <c r="D13" s="86" t="s">
        <v>11</v>
      </c>
      <c r="E13" s="102">
        <v>2.7064000000000001E-2</v>
      </c>
      <c r="F13" s="1"/>
      <c r="G13" s="1"/>
      <c r="H13" s="1"/>
      <c r="I13" s="1"/>
      <c r="J13" s="1"/>
      <c r="K13" s="1"/>
      <c r="L13" s="1"/>
      <c r="M13" s="1"/>
      <c r="N13" s="1"/>
      <c r="O13" s="1"/>
      <c r="P13" s="1"/>
      <c r="Q13" s="1"/>
      <c r="R13" s="1"/>
      <c r="S13" s="76"/>
      <c r="T13" s="75"/>
      <c r="W13" s="200" t="s">
        <v>16</v>
      </c>
      <c r="X13" s="201">
        <v>6.5291000000000002E-2</v>
      </c>
    </row>
    <row r="14" spans="1:37" ht="15" customHeight="1" x14ac:dyDescent="0.25">
      <c r="B14" s="5"/>
      <c r="C14" s="84" t="s">
        <v>143</v>
      </c>
      <c r="D14" s="86" t="s">
        <v>16</v>
      </c>
      <c r="E14" s="102">
        <v>2.6911999999999998E-2</v>
      </c>
      <c r="F14" s="1"/>
      <c r="G14" s="1"/>
      <c r="H14" s="1"/>
      <c r="I14" s="1"/>
      <c r="J14" s="1"/>
      <c r="K14" s="1"/>
      <c r="L14" s="1"/>
      <c r="M14" s="1"/>
      <c r="N14" s="1"/>
      <c r="O14" s="1"/>
      <c r="P14" s="1"/>
      <c r="Q14" s="1"/>
      <c r="R14" s="1"/>
      <c r="S14" s="76"/>
      <c r="T14" s="75"/>
      <c r="W14" s="200" t="s">
        <v>29</v>
      </c>
      <c r="X14" s="201">
        <v>5.0375000000000003E-2</v>
      </c>
    </row>
    <row r="15" spans="1:37" ht="15" customHeight="1" x14ac:dyDescent="0.25">
      <c r="B15" s="5"/>
      <c r="C15" s="84" t="s">
        <v>110</v>
      </c>
      <c r="D15" s="86" t="s">
        <v>22</v>
      </c>
      <c r="E15" s="102">
        <v>2.5291999999999999E-2</v>
      </c>
      <c r="F15" s="1"/>
      <c r="G15" s="1"/>
      <c r="H15" s="1"/>
      <c r="I15" s="1"/>
      <c r="J15" s="1"/>
      <c r="K15" s="1"/>
      <c r="L15" s="1"/>
      <c r="M15" s="1"/>
      <c r="N15" s="1"/>
      <c r="O15" s="1"/>
      <c r="P15" s="1"/>
      <c r="Q15" s="1"/>
      <c r="R15" s="1"/>
      <c r="S15" s="76"/>
      <c r="T15" s="75"/>
      <c r="W15" s="200" t="s">
        <v>149</v>
      </c>
      <c r="X15" s="201">
        <v>4.8938000000000002E-2</v>
      </c>
    </row>
    <row r="16" spans="1:37" ht="15" customHeight="1" x14ac:dyDescent="0.25">
      <c r="B16" s="5"/>
      <c r="C16" s="84" t="s">
        <v>171</v>
      </c>
      <c r="D16" s="86" t="s">
        <v>150</v>
      </c>
      <c r="E16" s="102">
        <v>2.4767000000000001E-2</v>
      </c>
      <c r="F16" s="1"/>
      <c r="G16" s="1"/>
      <c r="H16" s="1"/>
      <c r="I16" s="1"/>
      <c r="J16" s="1"/>
      <c r="K16" s="1"/>
      <c r="L16" s="1"/>
      <c r="M16" s="1"/>
      <c r="N16" s="1"/>
      <c r="O16" s="1"/>
      <c r="P16" s="1"/>
      <c r="Q16" s="1"/>
      <c r="R16" s="1"/>
      <c r="S16" s="76"/>
      <c r="T16" s="75"/>
      <c r="W16" s="200" t="s">
        <v>13</v>
      </c>
      <c r="X16" s="201">
        <v>4.1833999999999996E-2</v>
      </c>
    </row>
    <row r="17" spans="2:24" ht="15" customHeight="1" x14ac:dyDescent="0.25">
      <c r="B17" s="5"/>
      <c r="C17" s="84" t="s">
        <v>112</v>
      </c>
      <c r="D17" s="86" t="s">
        <v>30</v>
      </c>
      <c r="E17" s="102">
        <v>2.4611000000000001E-2</v>
      </c>
      <c r="F17" s="1"/>
      <c r="G17" s="1"/>
      <c r="H17" s="1"/>
      <c r="I17" s="1"/>
      <c r="J17" s="1"/>
      <c r="K17" s="1"/>
      <c r="L17" s="1"/>
      <c r="M17" s="1"/>
      <c r="N17" s="1"/>
      <c r="O17" s="1"/>
      <c r="P17" s="1"/>
      <c r="Q17" s="1"/>
      <c r="R17" s="1"/>
      <c r="S17" s="76"/>
      <c r="T17" s="75"/>
      <c r="W17" s="200" t="s">
        <v>150</v>
      </c>
      <c r="X17" s="201">
        <v>3.5410999999999998E-2</v>
      </c>
    </row>
    <row r="18" spans="2:24" ht="15" customHeight="1" x14ac:dyDescent="0.25">
      <c r="B18" s="5"/>
      <c r="C18" s="84" t="s">
        <v>188</v>
      </c>
      <c r="D18" s="86" t="s">
        <v>23</v>
      </c>
      <c r="E18" s="102">
        <v>2.4074000000000002E-2</v>
      </c>
      <c r="F18" s="1"/>
      <c r="G18" s="1"/>
      <c r="H18" s="1"/>
      <c r="I18" s="1"/>
      <c r="J18" s="1"/>
      <c r="K18" s="1"/>
      <c r="L18" s="1"/>
      <c r="M18" s="1"/>
      <c r="N18" s="1"/>
      <c r="O18" s="1"/>
      <c r="P18" s="1"/>
      <c r="Q18" s="1"/>
      <c r="R18" s="1"/>
      <c r="S18" s="76"/>
      <c r="T18" s="75"/>
      <c r="W18" s="200" t="s">
        <v>4</v>
      </c>
      <c r="X18" s="201">
        <v>3.2423E-2</v>
      </c>
    </row>
    <row r="19" spans="2:24" ht="15" customHeight="1" x14ac:dyDescent="0.25">
      <c r="B19" s="5"/>
      <c r="C19" s="84" t="s">
        <v>50</v>
      </c>
      <c r="D19" s="86" t="s">
        <v>12</v>
      </c>
      <c r="E19" s="102">
        <v>2.402E-2</v>
      </c>
      <c r="F19" s="1"/>
      <c r="G19" s="1"/>
      <c r="H19" s="1"/>
      <c r="I19" s="1"/>
      <c r="J19" s="1"/>
      <c r="K19" s="1"/>
      <c r="L19" s="1"/>
      <c r="M19" s="1"/>
      <c r="N19" s="1"/>
      <c r="O19" s="1"/>
      <c r="P19" s="1"/>
      <c r="Q19" s="1"/>
      <c r="R19" s="1"/>
      <c r="S19" s="76"/>
      <c r="T19" s="75"/>
      <c r="W19" s="200" t="s">
        <v>22</v>
      </c>
      <c r="X19" s="201">
        <v>2.5291999999999999E-2</v>
      </c>
    </row>
    <row r="20" spans="2:24" ht="15" customHeight="1" x14ac:dyDescent="0.25">
      <c r="B20" s="5"/>
      <c r="C20" s="84" t="s">
        <v>119</v>
      </c>
      <c r="D20" s="86" t="s">
        <v>11</v>
      </c>
      <c r="E20" s="102">
        <v>2.3764E-2</v>
      </c>
      <c r="F20" s="1"/>
      <c r="G20" s="1"/>
      <c r="H20" s="1"/>
      <c r="I20" s="1"/>
      <c r="J20" s="1"/>
      <c r="K20" s="1"/>
      <c r="L20" s="1"/>
      <c r="M20" s="1"/>
      <c r="N20" s="1"/>
      <c r="O20" s="1"/>
      <c r="P20" s="1"/>
      <c r="Q20" s="1"/>
      <c r="R20" s="1"/>
      <c r="S20" s="76"/>
      <c r="T20" s="75"/>
      <c r="W20" s="200" t="s">
        <v>30</v>
      </c>
      <c r="X20" s="201">
        <v>2.4611000000000001E-2</v>
      </c>
    </row>
    <row r="21" spans="2:24" ht="15" customHeight="1" x14ac:dyDescent="0.25">
      <c r="B21" s="5"/>
      <c r="C21" s="84" t="s">
        <v>221</v>
      </c>
      <c r="D21" s="86" t="s">
        <v>4</v>
      </c>
      <c r="E21" s="102">
        <v>2.3113000000000002E-2</v>
      </c>
      <c r="F21" s="1"/>
      <c r="G21" s="1"/>
      <c r="H21" s="1"/>
      <c r="I21" s="1"/>
      <c r="J21" s="1"/>
      <c r="K21" s="1"/>
      <c r="L21" s="1"/>
      <c r="M21" s="1"/>
      <c r="N21" s="1"/>
      <c r="O21" s="1"/>
      <c r="P21" s="1"/>
      <c r="Q21" s="1"/>
      <c r="R21" s="1"/>
      <c r="S21" s="76"/>
      <c r="T21" s="75"/>
      <c r="W21" s="200" t="s">
        <v>23</v>
      </c>
      <c r="X21" s="201">
        <v>2.4074000000000002E-2</v>
      </c>
    </row>
    <row r="22" spans="2:24" ht="15" customHeight="1" x14ac:dyDescent="0.25">
      <c r="B22" s="5"/>
      <c r="C22" s="84" t="s">
        <v>210</v>
      </c>
      <c r="D22" s="86" t="s">
        <v>18</v>
      </c>
      <c r="E22" s="102">
        <v>2.2808999999999999E-2</v>
      </c>
      <c r="F22" s="1"/>
      <c r="G22" s="1"/>
      <c r="H22" s="1"/>
      <c r="I22" s="1"/>
      <c r="J22" s="1"/>
      <c r="K22" s="1"/>
      <c r="L22" s="1"/>
      <c r="M22" s="1"/>
      <c r="N22" s="1"/>
      <c r="O22" s="1"/>
      <c r="P22" s="1"/>
      <c r="Q22" s="1"/>
      <c r="R22" s="1"/>
      <c r="S22" s="76"/>
      <c r="T22" s="75"/>
      <c r="W22" s="200" t="s">
        <v>12</v>
      </c>
      <c r="X22" s="201">
        <v>2.402E-2</v>
      </c>
    </row>
    <row r="23" spans="2:24" ht="15" customHeight="1" x14ac:dyDescent="0.25">
      <c r="B23" s="5"/>
      <c r="C23" s="67"/>
      <c r="D23" s="67"/>
      <c r="E23" s="89"/>
      <c r="F23" s="1"/>
      <c r="G23" s="1"/>
      <c r="H23" s="1"/>
      <c r="I23" s="1"/>
      <c r="J23" s="1"/>
      <c r="K23" s="1"/>
      <c r="L23" s="1"/>
      <c r="M23" s="1"/>
      <c r="N23" s="1"/>
      <c r="O23" s="1"/>
      <c r="P23" s="1"/>
      <c r="Q23" s="1"/>
      <c r="R23" s="1"/>
      <c r="S23" s="76"/>
      <c r="T23" s="75"/>
      <c r="W23" s="200" t="s">
        <v>18</v>
      </c>
      <c r="X23" s="201">
        <v>2.2808999999999999E-2</v>
      </c>
    </row>
    <row r="24" spans="2:24" ht="15" customHeight="1" x14ac:dyDescent="0.25">
      <c r="B24" s="5"/>
      <c r="C24" s="69" t="s">
        <v>77</v>
      </c>
      <c r="D24" s="71"/>
      <c r="E24" s="127">
        <f>SUM(E8:E22)</f>
        <v>0.41573699999999997</v>
      </c>
      <c r="F24" s="1"/>
      <c r="G24" s="1"/>
      <c r="H24" s="1"/>
      <c r="I24" s="1"/>
      <c r="J24" s="1"/>
      <c r="K24" s="1"/>
      <c r="L24" s="1"/>
      <c r="M24" s="1"/>
      <c r="N24" s="1"/>
      <c r="O24" s="1"/>
      <c r="P24" s="1"/>
      <c r="Q24" s="1"/>
      <c r="R24" s="1"/>
      <c r="S24" s="76"/>
      <c r="T24" s="75"/>
      <c r="W24" s="200" t="s">
        <v>32</v>
      </c>
      <c r="X24" s="201">
        <v>2.2717999999999999E-2</v>
      </c>
    </row>
    <row r="25" spans="2:24" ht="15" customHeight="1" x14ac:dyDescent="0.25">
      <c r="B25" s="5"/>
      <c r="C25" s="107"/>
      <c r="D25" s="107"/>
      <c r="E25" s="107"/>
      <c r="F25" s="1"/>
      <c r="G25" s="1"/>
      <c r="H25" s="1"/>
      <c r="I25" s="1"/>
      <c r="J25" s="1"/>
      <c r="K25" s="1"/>
      <c r="L25" s="1"/>
      <c r="M25" s="1"/>
      <c r="N25" s="1"/>
      <c r="O25" s="1"/>
      <c r="P25" s="1"/>
      <c r="Q25" s="1"/>
      <c r="R25" s="1"/>
      <c r="S25" s="76"/>
      <c r="T25" s="75"/>
      <c r="W25" s="200" t="s">
        <v>152</v>
      </c>
      <c r="X25" s="201">
        <v>2.0805999999999998E-2</v>
      </c>
    </row>
    <row r="26" spans="2:24" ht="15" customHeight="1" x14ac:dyDescent="0.25">
      <c r="B26" s="5"/>
      <c r="C26" s="122"/>
      <c r="D26" s="125"/>
      <c r="E26" s="128"/>
      <c r="F26" s="1"/>
      <c r="G26" s="1"/>
      <c r="H26" s="1"/>
      <c r="I26" s="1"/>
      <c r="J26" s="1"/>
      <c r="K26" s="1"/>
      <c r="L26" s="1"/>
      <c r="M26" s="1"/>
      <c r="N26" s="1"/>
      <c r="O26" s="1"/>
      <c r="P26" s="1"/>
      <c r="Q26" s="1"/>
      <c r="R26" s="1"/>
      <c r="S26" s="76"/>
      <c r="T26" s="75"/>
      <c r="W26" s="200" t="s">
        <v>17</v>
      </c>
      <c r="X26" s="201">
        <v>1.8085E-2</v>
      </c>
    </row>
    <row r="27" spans="2:24" ht="15" customHeight="1" x14ac:dyDescent="0.25">
      <c r="B27" s="5"/>
      <c r="F27" s="1"/>
      <c r="G27" s="1"/>
      <c r="H27" s="1"/>
      <c r="I27" s="1"/>
      <c r="J27" s="1"/>
      <c r="K27" s="1"/>
      <c r="L27" s="1"/>
      <c r="M27" s="1"/>
      <c r="N27" s="1"/>
      <c r="O27" s="1"/>
      <c r="P27" s="1"/>
      <c r="Q27" s="1"/>
      <c r="R27" s="1"/>
      <c r="S27" s="76"/>
      <c r="T27" s="75"/>
      <c r="W27" s="200" t="s">
        <v>6</v>
      </c>
      <c r="X27" s="201">
        <v>1.6584999999999999E-2</v>
      </c>
    </row>
    <row r="28" spans="2:24" ht="15" customHeight="1" x14ac:dyDescent="0.25">
      <c r="B28" s="5"/>
      <c r="F28" s="1"/>
      <c r="G28" s="1"/>
      <c r="H28" s="1"/>
      <c r="I28" s="1"/>
      <c r="J28" s="1"/>
      <c r="K28" s="1"/>
      <c r="L28" s="1"/>
      <c r="M28" s="1"/>
      <c r="N28" s="1"/>
      <c r="O28" s="1"/>
      <c r="P28" s="1"/>
      <c r="Q28" s="1"/>
      <c r="R28" s="1"/>
      <c r="S28" s="76"/>
      <c r="T28" s="75"/>
      <c r="W28" s="200" t="s">
        <v>9</v>
      </c>
      <c r="X28" s="201">
        <v>1.5473000000000001E-2</v>
      </c>
    </row>
    <row r="29" spans="2:24" ht="15" customHeight="1" x14ac:dyDescent="0.25">
      <c r="B29" s="5"/>
      <c r="F29" s="1"/>
      <c r="G29" s="1"/>
      <c r="H29" s="1"/>
      <c r="I29" s="1"/>
      <c r="J29" s="1"/>
      <c r="K29" s="1"/>
      <c r="L29" s="1"/>
      <c r="M29" s="1"/>
      <c r="N29" s="1"/>
      <c r="O29" s="1"/>
      <c r="P29" s="1"/>
      <c r="Q29" s="1"/>
      <c r="R29" s="1"/>
      <c r="S29" s="76"/>
      <c r="T29" s="75"/>
      <c r="W29" s="200" t="s">
        <v>35</v>
      </c>
      <c r="X29" s="201">
        <v>1.3122999999999999E-2</v>
      </c>
    </row>
    <row r="30" spans="2:24" ht="15" customHeight="1" x14ac:dyDescent="0.25">
      <c r="B30" s="5"/>
      <c r="F30" s="1"/>
      <c r="G30" s="1"/>
      <c r="H30" s="1"/>
      <c r="I30" s="1"/>
      <c r="J30" s="1"/>
      <c r="K30" s="1"/>
      <c r="L30" s="1"/>
      <c r="M30" s="1"/>
      <c r="N30" s="1"/>
      <c r="O30" s="1"/>
      <c r="P30" s="1"/>
      <c r="Q30" s="1"/>
      <c r="R30" s="1"/>
      <c r="S30" s="76"/>
      <c r="T30" s="75"/>
      <c r="W30" s="200" t="s">
        <v>33</v>
      </c>
      <c r="X30" s="201">
        <v>5.9769999999999997E-3</v>
      </c>
    </row>
    <row r="31" spans="2:24" ht="15" customHeight="1" x14ac:dyDescent="0.25">
      <c r="B31" s="5"/>
      <c r="F31" s="1"/>
      <c r="G31" s="1"/>
      <c r="H31" s="1"/>
      <c r="I31" s="1"/>
      <c r="J31" s="1"/>
      <c r="K31" s="1"/>
      <c r="L31" s="1"/>
      <c r="M31" s="1"/>
      <c r="N31" s="1"/>
      <c r="O31" s="1"/>
      <c r="P31" s="1"/>
      <c r="Q31" s="1"/>
      <c r="R31" s="1"/>
      <c r="S31" s="76"/>
      <c r="T31" s="75"/>
      <c r="W31" s="200" t="s">
        <v>173</v>
      </c>
      <c r="X31" s="201">
        <v>4.5989999999999998E-3</v>
      </c>
    </row>
    <row r="32" spans="2:24" ht="15" customHeight="1" x14ac:dyDescent="0.25">
      <c r="B32" s="5"/>
      <c r="F32" s="1"/>
      <c r="G32" s="1"/>
      <c r="H32" s="1"/>
      <c r="I32" s="1"/>
      <c r="J32" s="1"/>
      <c r="K32" s="1"/>
      <c r="L32" s="1"/>
      <c r="M32" s="1"/>
      <c r="N32" s="1"/>
      <c r="O32" s="1"/>
      <c r="P32" s="1"/>
      <c r="Q32" s="1"/>
      <c r="R32" s="1"/>
      <c r="S32" s="76"/>
      <c r="T32" s="75"/>
      <c r="W32" s="200"/>
      <c r="X32" s="201"/>
    </row>
    <row r="33" spans="2:20" ht="15" customHeight="1" thickBot="1" x14ac:dyDescent="0.3">
      <c r="B33" s="6"/>
      <c r="C33" s="7"/>
      <c r="D33" s="7"/>
      <c r="E33" s="7"/>
      <c r="F33" s="7"/>
      <c r="G33" s="7"/>
      <c r="H33" s="7"/>
      <c r="I33" s="7"/>
      <c r="J33" s="7"/>
      <c r="K33" s="7"/>
      <c r="L33" s="7"/>
      <c r="M33" s="7"/>
      <c r="N33" s="7"/>
      <c r="O33" s="7"/>
      <c r="P33" s="7"/>
      <c r="Q33" s="7"/>
      <c r="R33" s="7"/>
      <c r="S33" s="78"/>
      <c r="T33" s="79"/>
    </row>
    <row r="34" spans="2:20" ht="15" customHeight="1" thickBot="1" x14ac:dyDescent="0.3"/>
    <row r="35" spans="2:20" ht="15" customHeight="1" x14ac:dyDescent="0.25">
      <c r="B35" s="294" t="s">
        <v>147</v>
      </c>
      <c r="C35" s="295"/>
      <c r="D35" s="295"/>
      <c r="E35" s="295"/>
      <c r="F35" s="295"/>
      <c r="G35" s="295"/>
      <c r="H35" s="295"/>
      <c r="I35" s="295"/>
      <c r="J35" s="295"/>
      <c r="K35" s="295"/>
      <c r="L35" s="295"/>
      <c r="M35" s="295"/>
      <c r="N35" s="295"/>
      <c r="O35" s="295"/>
      <c r="P35" s="295"/>
      <c r="Q35" s="295"/>
      <c r="R35" s="296"/>
    </row>
    <row r="36" spans="2:20" ht="15" customHeight="1" x14ac:dyDescent="0.25">
      <c r="B36" s="297"/>
      <c r="C36" s="298"/>
      <c r="D36" s="298"/>
      <c r="E36" s="298"/>
      <c r="F36" s="298"/>
      <c r="G36" s="298"/>
      <c r="H36" s="298"/>
      <c r="I36" s="298"/>
      <c r="J36" s="298"/>
      <c r="K36" s="298"/>
      <c r="L36" s="298"/>
      <c r="M36" s="298"/>
      <c r="N36" s="298"/>
      <c r="O36" s="298"/>
      <c r="P36" s="298"/>
      <c r="Q36" s="298"/>
      <c r="R36" s="299"/>
    </row>
    <row r="37" spans="2:20" ht="15" customHeight="1" x14ac:dyDescent="0.25">
      <c r="B37" s="297"/>
      <c r="C37" s="298"/>
      <c r="D37" s="298"/>
      <c r="E37" s="298"/>
      <c r="F37" s="298"/>
      <c r="G37" s="298"/>
      <c r="H37" s="298"/>
      <c r="I37" s="298"/>
      <c r="J37" s="298"/>
      <c r="K37" s="298"/>
      <c r="L37" s="298"/>
      <c r="M37" s="298"/>
      <c r="N37" s="298"/>
      <c r="O37" s="298"/>
      <c r="P37" s="298"/>
      <c r="Q37" s="298"/>
      <c r="R37" s="299"/>
    </row>
    <row r="38" spans="2:20" ht="15" customHeight="1" x14ac:dyDescent="0.25">
      <c r="B38" s="297"/>
      <c r="C38" s="298"/>
      <c r="D38" s="298"/>
      <c r="E38" s="298"/>
      <c r="F38" s="298"/>
      <c r="G38" s="298"/>
      <c r="H38" s="298"/>
      <c r="I38" s="298"/>
      <c r="J38" s="298"/>
      <c r="K38" s="298"/>
      <c r="L38" s="298"/>
      <c r="M38" s="298"/>
      <c r="N38" s="298"/>
      <c r="O38" s="298"/>
      <c r="P38" s="298"/>
      <c r="Q38" s="298"/>
      <c r="R38" s="299"/>
    </row>
    <row r="39" spans="2:20" ht="15" customHeight="1" x14ac:dyDescent="0.25">
      <c r="B39" s="297"/>
      <c r="C39" s="298"/>
      <c r="D39" s="298"/>
      <c r="E39" s="298"/>
      <c r="F39" s="298"/>
      <c r="G39" s="298"/>
      <c r="H39" s="298"/>
      <c r="I39" s="298"/>
      <c r="J39" s="298"/>
      <c r="K39" s="298"/>
      <c r="L39" s="298"/>
      <c r="M39" s="298"/>
      <c r="N39" s="298"/>
      <c r="O39" s="298"/>
      <c r="P39" s="298"/>
      <c r="Q39" s="298"/>
      <c r="R39" s="299"/>
    </row>
    <row r="40" spans="2:20" ht="15" customHeight="1" x14ac:dyDescent="0.25">
      <c r="B40" s="297"/>
      <c r="C40" s="298"/>
      <c r="D40" s="298"/>
      <c r="E40" s="298"/>
      <c r="F40" s="298"/>
      <c r="G40" s="298"/>
      <c r="H40" s="298"/>
      <c r="I40" s="298"/>
      <c r="J40" s="298"/>
      <c r="K40" s="298"/>
      <c r="L40" s="298"/>
      <c r="M40" s="298"/>
      <c r="N40" s="298"/>
      <c r="O40" s="298"/>
      <c r="P40" s="298"/>
      <c r="Q40" s="298"/>
      <c r="R40" s="299"/>
    </row>
    <row r="41" spans="2:20" ht="15" customHeight="1" thickBot="1" x14ac:dyDescent="0.3">
      <c r="B41" s="300"/>
      <c r="C41" s="301"/>
      <c r="D41" s="301"/>
      <c r="E41" s="301"/>
      <c r="F41" s="301"/>
      <c r="G41" s="301"/>
      <c r="H41" s="301"/>
      <c r="I41" s="301"/>
      <c r="J41" s="301"/>
      <c r="K41" s="301"/>
      <c r="L41" s="301"/>
      <c r="M41" s="301"/>
      <c r="N41" s="301"/>
      <c r="O41" s="301"/>
      <c r="P41" s="301"/>
      <c r="Q41" s="301"/>
      <c r="R41" s="302"/>
    </row>
    <row r="42" spans="2:20" ht="15" customHeight="1" x14ac:dyDescent="0.25"/>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c r="D48" s="24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scale="3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pageSetUpPr fitToPage="1"/>
  </sheetPr>
  <dimension ref="A1:AF65"/>
  <sheetViews>
    <sheetView showGridLines="0" view="pageBreakPreview" zoomScale="60" zoomScaleNormal="75" workbookViewId="0">
      <selection activeCell="C11" sqref="C11"/>
    </sheetView>
  </sheetViews>
  <sheetFormatPr defaultRowHeight="15" x14ac:dyDescent="0.25"/>
  <cols>
    <col min="1" max="1" width="2.85546875" style="278" customWidth="1"/>
    <col min="2" max="2" width="3.85546875" style="278" customWidth="1"/>
    <col min="3" max="3" width="59.140625" style="278" bestFit="1" customWidth="1"/>
    <col min="4" max="4" width="33.85546875" style="278" bestFit="1" customWidth="1"/>
    <col min="5" max="5" width="15.140625" style="278" customWidth="1"/>
    <col min="6" max="8" width="9.140625" style="278"/>
    <col min="9" max="9" width="11.85546875" style="278" customWidth="1"/>
    <col min="10" max="18" width="9.140625" style="278"/>
    <col min="19" max="19" width="9.85546875" style="9" customWidth="1"/>
    <col min="20" max="20" width="9.140625" style="105"/>
    <col min="21" max="22" width="9.140625" style="9"/>
    <col min="23" max="26" width="9.140625" style="165"/>
    <col min="27" max="32" width="9.140625" style="105"/>
    <col min="33" max="16384" width="9.140625" style="27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7"/>
    </row>
    <row r="3" spans="1:28" ht="20.25" customHeight="1" x14ac:dyDescent="0.25">
      <c r="B3" s="5"/>
      <c r="C3" s="303" t="s">
        <v>220</v>
      </c>
      <c r="D3" s="304"/>
      <c r="E3" s="304"/>
      <c r="F3" s="304"/>
      <c r="G3" s="304"/>
      <c r="H3" s="304"/>
      <c r="I3" s="304"/>
      <c r="J3" s="304"/>
      <c r="K3" s="304"/>
      <c r="L3" s="304"/>
      <c r="M3" s="304"/>
      <c r="N3" s="304"/>
      <c r="O3" s="304"/>
      <c r="P3" s="304"/>
      <c r="Q3" s="304"/>
      <c r="R3" s="304"/>
      <c r="S3" s="305"/>
      <c r="T3" s="138"/>
      <c r="V3" s="178"/>
      <c r="W3" s="197"/>
      <c r="X3" s="197"/>
      <c r="Y3" s="197"/>
      <c r="Z3" s="197"/>
      <c r="AA3" s="177"/>
    </row>
    <row r="4" spans="1:28" ht="15.75" customHeight="1" x14ac:dyDescent="0.25">
      <c r="B4" s="5"/>
      <c r="C4" s="280" t="s">
        <v>237</v>
      </c>
      <c r="D4" s="279"/>
      <c r="E4" s="279"/>
      <c r="F4" s="279"/>
      <c r="G4" s="279"/>
      <c r="H4" s="279"/>
      <c r="I4" s="279"/>
      <c r="J4" s="279"/>
      <c r="K4" s="279"/>
      <c r="L4" s="279"/>
      <c r="M4" s="279"/>
      <c r="N4" s="279"/>
      <c r="O4" s="279"/>
      <c r="P4" s="279"/>
      <c r="Q4" s="279"/>
      <c r="R4" s="279"/>
      <c r="S4" s="76"/>
      <c r="T4" s="138"/>
      <c r="V4" s="178"/>
      <c r="W4" s="197"/>
      <c r="X4" s="197"/>
      <c r="Y4" s="197"/>
      <c r="Z4" s="197"/>
      <c r="AA4" s="177"/>
    </row>
    <row r="5" spans="1:28" ht="18" customHeight="1" x14ac:dyDescent="0.25">
      <c r="B5" s="5"/>
      <c r="C5" s="2" t="s">
        <v>236</v>
      </c>
      <c r="D5" s="306" t="s">
        <v>258</v>
      </c>
      <c r="E5" s="306"/>
      <c r="F5" s="279"/>
      <c r="G5" s="279"/>
      <c r="H5" s="279"/>
      <c r="I5" s="279"/>
      <c r="J5" s="279"/>
      <c r="K5" s="279"/>
      <c r="L5" s="279"/>
      <c r="M5" s="279"/>
      <c r="N5" s="279"/>
      <c r="O5" s="279"/>
      <c r="P5" s="279"/>
      <c r="Q5" s="279"/>
      <c r="R5" s="279"/>
      <c r="S5" s="76"/>
      <c r="T5" s="138"/>
      <c r="V5" s="196"/>
      <c r="W5" s="196"/>
      <c r="X5" s="196"/>
      <c r="Y5" s="196"/>
      <c r="Z5" s="197"/>
      <c r="AA5" s="197"/>
      <c r="AB5" s="165"/>
    </row>
    <row r="6" spans="1:28" ht="15" customHeight="1" x14ac:dyDescent="0.25">
      <c r="B6" s="5"/>
      <c r="C6" s="279"/>
      <c r="D6" s="279"/>
      <c r="E6" s="279"/>
      <c r="F6" s="279"/>
      <c r="G6" s="279"/>
      <c r="H6" s="279"/>
      <c r="I6" s="279"/>
      <c r="J6" s="279"/>
      <c r="K6" s="279"/>
      <c r="L6" s="279"/>
      <c r="M6" s="279"/>
      <c r="N6" s="279"/>
      <c r="O6" s="279"/>
      <c r="P6" s="279"/>
      <c r="Q6" s="279"/>
      <c r="R6" s="279"/>
      <c r="S6" s="76"/>
      <c r="T6" s="138"/>
      <c r="V6" s="179"/>
      <c r="W6" s="196"/>
      <c r="X6" s="196"/>
      <c r="Y6" s="196"/>
      <c r="Z6" s="197"/>
      <c r="AA6" s="197"/>
      <c r="AB6" s="165"/>
    </row>
    <row r="7" spans="1:28" ht="32.25" customHeight="1" x14ac:dyDescent="0.25">
      <c r="B7" s="5"/>
      <c r="C7" s="66" t="s">
        <v>0</v>
      </c>
      <c r="D7" s="70" t="s">
        <v>1</v>
      </c>
      <c r="E7" s="63" t="s">
        <v>2</v>
      </c>
      <c r="F7" s="279"/>
      <c r="G7" s="279"/>
      <c r="H7" s="279"/>
      <c r="I7" s="279"/>
      <c r="J7" s="279"/>
      <c r="K7" s="279"/>
      <c r="L7" s="279"/>
      <c r="M7" s="279"/>
      <c r="N7" s="279"/>
      <c r="O7" s="279"/>
      <c r="P7" s="279"/>
      <c r="Q7" s="279"/>
      <c r="R7" s="279"/>
      <c r="S7" s="76"/>
      <c r="T7" s="138"/>
      <c r="V7" s="179"/>
      <c r="W7" s="196" t="s">
        <v>27</v>
      </c>
      <c r="X7" s="205" t="s">
        <v>2</v>
      </c>
      <c r="Y7" s="196"/>
      <c r="Z7" s="197"/>
      <c r="AA7" s="197"/>
      <c r="AB7" s="165"/>
    </row>
    <row r="8" spans="1:28" ht="15" customHeight="1" x14ac:dyDescent="0.25">
      <c r="B8" s="5"/>
      <c r="C8" s="314" t="s">
        <v>38</v>
      </c>
      <c r="D8" s="315" t="s">
        <v>3</v>
      </c>
      <c r="E8" s="316">
        <v>3.1881E-2</v>
      </c>
      <c r="F8" s="279"/>
      <c r="G8" s="279"/>
      <c r="H8" s="279"/>
      <c r="I8" s="279"/>
      <c r="J8" s="279"/>
      <c r="K8" s="279"/>
      <c r="L8" s="279"/>
      <c r="M8" s="279"/>
      <c r="N8" s="279"/>
      <c r="O8" s="279"/>
      <c r="P8" s="279"/>
      <c r="Q8" s="279"/>
      <c r="R8" s="279"/>
      <c r="S8" s="76"/>
      <c r="T8" s="138"/>
      <c r="V8" s="179"/>
      <c r="W8" s="217" t="s">
        <v>3</v>
      </c>
      <c r="X8" s="218">
        <v>0.12185700000000001</v>
      </c>
      <c r="Y8" s="196"/>
      <c r="Z8" s="197"/>
      <c r="AA8" s="197"/>
      <c r="AB8" s="165"/>
    </row>
    <row r="9" spans="1:28" ht="15.75" customHeight="1" x14ac:dyDescent="0.25">
      <c r="B9" s="5"/>
      <c r="C9" s="317" t="s">
        <v>217</v>
      </c>
      <c r="D9" s="318" t="s">
        <v>173</v>
      </c>
      <c r="E9" s="319">
        <v>2.767E-2</v>
      </c>
      <c r="F9" s="279"/>
      <c r="G9" s="279"/>
      <c r="H9" s="279"/>
      <c r="I9" s="279"/>
      <c r="J9" s="279"/>
      <c r="K9" s="279"/>
      <c r="L9" s="279"/>
      <c r="M9" s="279"/>
      <c r="N9" s="279"/>
      <c r="O9" s="279"/>
      <c r="P9" s="279"/>
      <c r="Q9" s="279"/>
      <c r="R9" s="279"/>
      <c r="S9" s="76"/>
      <c r="T9" s="138"/>
      <c r="V9" s="179"/>
      <c r="W9" s="217" t="s">
        <v>11</v>
      </c>
      <c r="X9" s="218">
        <v>0.101797</v>
      </c>
      <c r="Y9" s="196"/>
      <c r="Z9" s="197"/>
      <c r="AA9" s="197"/>
      <c r="AB9" s="165"/>
    </row>
    <row r="10" spans="1:28" ht="15" customHeight="1" x14ac:dyDescent="0.25">
      <c r="B10" s="5"/>
      <c r="C10" s="317" t="s">
        <v>42</v>
      </c>
      <c r="D10" s="318" t="s">
        <v>3</v>
      </c>
      <c r="E10" s="319">
        <v>2.6921E-2</v>
      </c>
      <c r="F10" s="279"/>
      <c r="G10" s="279"/>
      <c r="H10" s="279"/>
      <c r="I10" s="279"/>
      <c r="J10" s="279"/>
      <c r="K10" s="279"/>
      <c r="L10" s="279"/>
      <c r="M10" s="279"/>
      <c r="N10" s="279"/>
      <c r="O10" s="279"/>
      <c r="P10" s="279"/>
      <c r="Q10" s="279"/>
      <c r="R10" s="279"/>
      <c r="S10" s="76"/>
      <c r="T10" s="138"/>
      <c r="V10" s="179"/>
      <c r="W10" s="217" t="s">
        <v>8</v>
      </c>
      <c r="X10" s="218">
        <v>9.2341999999999994E-2</v>
      </c>
      <c r="Y10" s="196"/>
      <c r="Z10" s="197"/>
      <c r="AA10" s="197"/>
      <c r="AB10" s="165"/>
    </row>
    <row r="11" spans="1:28" ht="15" customHeight="1" x14ac:dyDescent="0.25">
      <c r="B11" s="5"/>
      <c r="C11" s="317" t="s">
        <v>43</v>
      </c>
      <c r="D11" s="318" t="s">
        <v>11</v>
      </c>
      <c r="E11" s="319">
        <v>2.5767000000000002E-2</v>
      </c>
      <c r="F11" s="279"/>
      <c r="G11" s="279"/>
      <c r="H11" s="279"/>
      <c r="I11" s="279"/>
      <c r="J11" s="279"/>
      <c r="K11" s="279"/>
      <c r="L11" s="279"/>
      <c r="M11" s="279"/>
      <c r="N11" s="279"/>
      <c r="O11" s="279"/>
      <c r="P11" s="279"/>
      <c r="Q11" s="279"/>
      <c r="R11" s="279"/>
      <c r="S11" s="76"/>
      <c r="T11" s="138"/>
      <c r="V11" s="179"/>
      <c r="W11" s="217" t="s">
        <v>7</v>
      </c>
      <c r="X11" s="218">
        <v>6.9089000000000012E-2</v>
      </c>
      <c r="Y11" s="196"/>
      <c r="Z11" s="197"/>
      <c r="AA11" s="197"/>
      <c r="AB11" s="165"/>
    </row>
    <row r="12" spans="1:28" ht="15" customHeight="1" x14ac:dyDescent="0.25">
      <c r="B12" s="5"/>
      <c r="C12" s="317" t="s">
        <v>41</v>
      </c>
      <c r="D12" s="318" t="s">
        <v>6</v>
      </c>
      <c r="E12" s="319">
        <v>2.5659000000000001E-2</v>
      </c>
      <c r="F12" s="279"/>
      <c r="G12" s="279"/>
      <c r="H12" s="279"/>
      <c r="I12" s="279"/>
      <c r="J12" s="279"/>
      <c r="K12" s="279"/>
      <c r="L12" s="279"/>
      <c r="M12" s="279"/>
      <c r="N12" s="279"/>
      <c r="O12" s="279"/>
      <c r="P12" s="279"/>
      <c r="Q12" s="279"/>
      <c r="R12" s="279"/>
      <c r="S12" s="76"/>
      <c r="T12" s="138"/>
      <c r="V12" s="179"/>
      <c r="W12" s="217" t="s">
        <v>149</v>
      </c>
      <c r="X12" s="218">
        <v>5.5259000000000003E-2</v>
      </c>
      <c r="Y12" s="196"/>
      <c r="Z12" s="197"/>
      <c r="AA12" s="197"/>
      <c r="AB12" s="165"/>
    </row>
    <row r="13" spans="1:28" ht="15" customHeight="1" x14ac:dyDescent="0.25">
      <c r="B13" s="5"/>
      <c r="C13" s="317" t="s">
        <v>229</v>
      </c>
      <c r="D13" s="318" t="s">
        <v>16</v>
      </c>
      <c r="E13" s="319">
        <v>2.0931999999999999E-2</v>
      </c>
      <c r="F13" s="279"/>
      <c r="G13" s="279"/>
      <c r="H13" s="279"/>
      <c r="I13" s="279"/>
      <c r="J13" s="279"/>
      <c r="K13" s="279"/>
      <c r="L13" s="279"/>
      <c r="M13" s="279"/>
      <c r="N13" s="279"/>
      <c r="O13" s="279"/>
      <c r="P13" s="279"/>
      <c r="Q13" s="279"/>
      <c r="R13" s="279"/>
      <c r="S13" s="76"/>
      <c r="T13" s="138"/>
      <c r="V13" s="179"/>
      <c r="W13" s="217" t="s">
        <v>4</v>
      </c>
      <c r="X13" s="218">
        <v>5.0739000000000006E-2</v>
      </c>
      <c r="Y13" s="196"/>
      <c r="Z13" s="197"/>
      <c r="AA13" s="197"/>
      <c r="AB13" s="165"/>
    </row>
    <row r="14" spans="1:28" ht="15" customHeight="1" x14ac:dyDescent="0.25">
      <c r="B14" s="5"/>
      <c r="C14" s="317" t="s">
        <v>222</v>
      </c>
      <c r="D14" s="318" t="s">
        <v>149</v>
      </c>
      <c r="E14" s="319">
        <v>2.0917000000000002E-2</v>
      </c>
      <c r="F14" s="279"/>
      <c r="G14" s="279"/>
      <c r="H14" s="279"/>
      <c r="I14" s="279"/>
      <c r="J14" s="279"/>
      <c r="K14" s="279"/>
      <c r="L14" s="279"/>
      <c r="M14" s="279"/>
      <c r="N14" s="279"/>
      <c r="O14" s="279"/>
      <c r="P14" s="279"/>
      <c r="Q14" s="279"/>
      <c r="R14" s="279"/>
      <c r="S14" s="76"/>
      <c r="T14" s="138"/>
      <c r="V14" s="179"/>
      <c r="W14" s="217" t="s">
        <v>16</v>
      </c>
      <c r="X14" s="218">
        <v>4.7471999999999993E-2</v>
      </c>
      <c r="Y14" s="196"/>
      <c r="Z14" s="197"/>
      <c r="AA14" s="197"/>
      <c r="AB14" s="165"/>
    </row>
    <row r="15" spans="1:28" ht="15.75" customHeight="1" x14ac:dyDescent="0.25">
      <c r="B15" s="5"/>
      <c r="C15" s="317" t="s">
        <v>46</v>
      </c>
      <c r="D15" s="318" t="s">
        <v>3</v>
      </c>
      <c r="E15" s="319">
        <v>2.0631E-2</v>
      </c>
      <c r="F15" s="279"/>
      <c r="G15" s="279"/>
      <c r="H15" s="279"/>
      <c r="I15" s="279"/>
      <c r="J15" s="279"/>
      <c r="K15" s="279"/>
      <c r="L15" s="279"/>
      <c r="M15" s="279"/>
      <c r="N15" s="279"/>
      <c r="O15" s="279"/>
      <c r="P15" s="279"/>
      <c r="Q15" s="279"/>
      <c r="R15" s="279"/>
      <c r="S15" s="76"/>
      <c r="T15" s="138"/>
      <c r="V15" s="179"/>
      <c r="W15" s="217" t="s">
        <v>29</v>
      </c>
      <c r="X15" s="218">
        <v>3.4965999999999997E-2</v>
      </c>
      <c r="Y15" s="196"/>
      <c r="Z15" s="197"/>
      <c r="AA15" s="197"/>
      <c r="AB15" s="165"/>
    </row>
    <row r="16" spans="1:28" ht="15" customHeight="1" x14ac:dyDescent="0.25">
      <c r="B16" s="5"/>
      <c r="C16" s="317" t="s">
        <v>126</v>
      </c>
      <c r="D16" s="318" t="s">
        <v>13</v>
      </c>
      <c r="E16" s="319">
        <v>2.0532999999999999E-2</v>
      </c>
      <c r="F16" s="279"/>
      <c r="G16" s="279"/>
      <c r="H16" s="279"/>
      <c r="I16" s="279"/>
      <c r="J16" s="279"/>
      <c r="K16" s="279"/>
      <c r="L16" s="279"/>
      <c r="M16" s="279"/>
      <c r="N16" s="279"/>
      <c r="O16" s="279"/>
      <c r="P16" s="279"/>
      <c r="Q16" s="279"/>
      <c r="R16" s="279"/>
      <c r="S16" s="76"/>
      <c r="T16" s="138"/>
      <c r="V16" s="179"/>
      <c r="W16" s="217" t="s">
        <v>21</v>
      </c>
      <c r="X16" s="218">
        <v>3.1504999999999998E-2</v>
      </c>
      <c r="Y16" s="196"/>
      <c r="Z16" s="197"/>
      <c r="AA16" s="197"/>
      <c r="AB16" s="165"/>
    </row>
    <row r="17" spans="2:28" ht="15.75" customHeight="1" x14ac:dyDescent="0.25">
      <c r="B17" s="5"/>
      <c r="C17" s="317" t="s">
        <v>219</v>
      </c>
      <c r="D17" s="318" t="s">
        <v>8</v>
      </c>
      <c r="E17" s="319">
        <v>2.0157999999999999E-2</v>
      </c>
      <c r="F17" s="279"/>
      <c r="G17" s="279"/>
      <c r="H17" s="279"/>
      <c r="I17" s="279"/>
      <c r="J17" s="279"/>
      <c r="K17" s="279"/>
      <c r="L17" s="279"/>
      <c r="M17" s="279"/>
      <c r="N17" s="279"/>
      <c r="O17" s="279"/>
      <c r="P17" s="279"/>
      <c r="Q17" s="279"/>
      <c r="R17" s="279"/>
      <c r="S17" s="76"/>
      <c r="T17" s="138"/>
      <c r="V17" s="179"/>
      <c r="W17" s="217" t="s">
        <v>17</v>
      </c>
      <c r="X17" s="218">
        <v>2.7937000000000003E-2</v>
      </c>
      <c r="Y17" s="196"/>
      <c r="Z17" s="197"/>
      <c r="AA17" s="197"/>
      <c r="AB17" s="165"/>
    </row>
    <row r="18" spans="2:28" ht="15.75" x14ac:dyDescent="0.25">
      <c r="B18" s="5"/>
      <c r="C18" s="317" t="s">
        <v>230</v>
      </c>
      <c r="D18" s="318" t="s">
        <v>149</v>
      </c>
      <c r="E18" s="319">
        <v>1.9855999999999999E-2</v>
      </c>
      <c r="F18" s="279"/>
      <c r="G18" s="279"/>
      <c r="H18" s="279"/>
      <c r="I18" s="279"/>
      <c r="J18" s="279"/>
      <c r="K18" s="279"/>
      <c r="L18" s="279"/>
      <c r="M18" s="279"/>
      <c r="N18" s="279"/>
      <c r="O18" s="279"/>
      <c r="P18" s="279"/>
      <c r="Q18" s="279"/>
      <c r="R18" s="279"/>
      <c r="S18" s="76"/>
      <c r="T18" s="138"/>
      <c r="V18" s="179"/>
      <c r="W18" s="217" t="s">
        <v>173</v>
      </c>
      <c r="X18" s="218">
        <v>2.767E-2</v>
      </c>
      <c r="Y18" s="196"/>
      <c r="Z18" s="197"/>
      <c r="AA18" s="197"/>
      <c r="AB18" s="165"/>
    </row>
    <row r="19" spans="2:28" ht="15.75" customHeight="1" x14ac:dyDescent="0.25">
      <c r="B19" s="5"/>
      <c r="C19" s="317" t="s">
        <v>146</v>
      </c>
      <c r="D19" s="318" t="s">
        <v>11</v>
      </c>
      <c r="E19" s="319">
        <v>1.9748999999999999E-2</v>
      </c>
      <c r="F19" s="279"/>
      <c r="G19" s="279"/>
      <c r="H19" s="279"/>
      <c r="I19" s="279"/>
      <c r="J19" s="279"/>
      <c r="K19" s="279"/>
      <c r="L19" s="279"/>
      <c r="M19" s="279"/>
      <c r="N19" s="279"/>
      <c r="O19" s="279"/>
      <c r="P19" s="279"/>
      <c r="Q19" s="279"/>
      <c r="R19" s="279"/>
      <c r="S19" s="76"/>
      <c r="T19" s="138"/>
      <c r="V19" s="179"/>
      <c r="W19" s="217" t="s">
        <v>6</v>
      </c>
      <c r="X19" s="218">
        <v>2.5659000000000001E-2</v>
      </c>
      <c r="Y19" s="196"/>
      <c r="Z19" s="197"/>
      <c r="AA19" s="197"/>
      <c r="AB19" s="165"/>
    </row>
    <row r="20" spans="2:28" ht="15" customHeight="1" x14ac:dyDescent="0.25">
      <c r="B20" s="5"/>
      <c r="C20" s="317" t="s">
        <v>125</v>
      </c>
      <c r="D20" s="318" t="s">
        <v>8</v>
      </c>
      <c r="E20" s="319">
        <v>1.9630000000000002E-2</v>
      </c>
      <c r="F20" s="279"/>
      <c r="G20" s="279"/>
      <c r="H20" s="279"/>
      <c r="I20" s="279"/>
      <c r="J20" s="279"/>
      <c r="K20" s="279"/>
      <c r="L20" s="279"/>
      <c r="M20" s="279"/>
      <c r="N20" s="279"/>
      <c r="O20" s="279"/>
      <c r="P20" s="279"/>
      <c r="Q20" s="279"/>
      <c r="R20" s="279"/>
      <c r="S20" s="76"/>
      <c r="T20" s="138"/>
      <c r="V20" s="179"/>
      <c r="W20" s="217" t="s">
        <v>13</v>
      </c>
      <c r="X20" s="218">
        <v>2.0532999999999999E-2</v>
      </c>
      <c r="Y20" s="196"/>
      <c r="Z20" s="197"/>
      <c r="AA20" s="197"/>
      <c r="AB20" s="165"/>
    </row>
    <row r="21" spans="2:28" ht="15" customHeight="1" x14ac:dyDescent="0.25">
      <c r="B21" s="5"/>
      <c r="C21" s="317" t="s">
        <v>218</v>
      </c>
      <c r="D21" s="318" t="s">
        <v>7</v>
      </c>
      <c r="E21" s="319">
        <v>1.9616000000000001E-2</v>
      </c>
      <c r="F21" s="279"/>
      <c r="G21" s="279"/>
      <c r="H21" s="279"/>
      <c r="I21" s="279"/>
      <c r="J21" s="279"/>
      <c r="K21" s="279"/>
      <c r="L21" s="279"/>
      <c r="M21" s="279"/>
      <c r="N21" s="279"/>
      <c r="O21" s="279"/>
      <c r="P21" s="279"/>
      <c r="Q21" s="279"/>
      <c r="R21" s="279"/>
      <c r="S21" s="76"/>
      <c r="T21" s="138"/>
      <c r="V21" s="179"/>
      <c r="W21" s="217" t="s">
        <v>150</v>
      </c>
      <c r="X21" s="218">
        <v>1.882E-2</v>
      </c>
      <c r="Y21" s="196"/>
      <c r="Z21" s="197"/>
      <c r="AA21" s="197"/>
      <c r="AB21" s="165"/>
    </row>
    <row r="22" spans="2:28" ht="15" customHeight="1" x14ac:dyDescent="0.25">
      <c r="B22" s="5"/>
      <c r="C22" s="317" t="s">
        <v>231</v>
      </c>
      <c r="D22" s="318" t="s">
        <v>7</v>
      </c>
      <c r="E22" s="319">
        <v>1.9068000000000002E-2</v>
      </c>
      <c r="F22" s="279"/>
      <c r="G22" s="279"/>
      <c r="H22" s="279"/>
      <c r="I22" s="279"/>
      <c r="J22" s="279"/>
      <c r="K22" s="279"/>
      <c r="L22" s="279"/>
      <c r="M22" s="279"/>
      <c r="N22" s="279"/>
      <c r="O22" s="279"/>
      <c r="P22" s="279"/>
      <c r="Q22" s="279"/>
      <c r="R22" s="279"/>
      <c r="S22" s="76"/>
      <c r="T22" s="138"/>
      <c r="V22" s="179"/>
      <c r="W22" s="217" t="s">
        <v>12</v>
      </c>
      <c r="X22" s="218">
        <v>1.7011999999999999E-2</v>
      </c>
      <c r="Y22" s="196"/>
      <c r="Z22" s="197"/>
      <c r="AA22" s="197"/>
      <c r="AB22" s="165"/>
    </row>
    <row r="23" spans="2:28" ht="15" customHeight="1" x14ac:dyDescent="0.25">
      <c r="B23" s="5"/>
      <c r="C23" s="68"/>
      <c r="D23" s="68"/>
      <c r="E23" s="65"/>
      <c r="F23" s="279"/>
      <c r="G23" s="279"/>
      <c r="H23" s="279"/>
      <c r="I23" s="279"/>
      <c r="J23" s="279"/>
      <c r="K23" s="279"/>
      <c r="L23" s="279"/>
      <c r="M23" s="279"/>
      <c r="N23" s="279"/>
      <c r="O23" s="279"/>
      <c r="P23" s="279"/>
      <c r="Q23" s="279"/>
      <c r="R23" s="279"/>
      <c r="S23" s="76"/>
      <c r="T23" s="138"/>
      <c r="V23" s="179"/>
      <c r="W23" s="217" t="s">
        <v>22</v>
      </c>
      <c r="X23" s="218">
        <v>1.6263E-2</v>
      </c>
      <c r="Y23" s="196"/>
      <c r="Z23" s="197"/>
      <c r="AA23" s="197"/>
      <c r="AB23" s="165"/>
    </row>
    <row r="24" spans="2:28" ht="15" customHeight="1" x14ac:dyDescent="0.25">
      <c r="B24" s="5"/>
      <c r="C24" s="69" t="s">
        <v>77</v>
      </c>
      <c r="D24" s="71"/>
      <c r="E24" s="64">
        <f>SUM(E8:E22)</f>
        <v>0.33898800000000007</v>
      </c>
      <c r="F24" s="279"/>
      <c r="G24" s="279"/>
      <c r="H24" s="279"/>
      <c r="I24" s="279"/>
      <c r="J24" s="279"/>
      <c r="K24" s="279"/>
      <c r="L24" s="279"/>
      <c r="M24" s="279"/>
      <c r="N24" s="279"/>
      <c r="O24" s="279"/>
      <c r="P24" s="279"/>
      <c r="Q24" s="279"/>
      <c r="R24" s="279"/>
      <c r="S24" s="76"/>
      <c r="T24" s="138"/>
      <c r="V24" s="179"/>
      <c r="W24" s="217" t="s">
        <v>28</v>
      </c>
      <c r="X24" s="218">
        <v>1.5932999999999999E-2</v>
      </c>
      <c r="Y24" s="196"/>
      <c r="Z24" s="197"/>
      <c r="AA24" s="197"/>
      <c r="AB24" s="165"/>
    </row>
    <row r="25" spans="2:28" ht="15" customHeight="1" x14ac:dyDescent="0.25">
      <c r="B25" s="5"/>
      <c r="F25" s="279"/>
      <c r="G25" s="279"/>
      <c r="H25" s="279"/>
      <c r="I25" s="279"/>
      <c r="J25" s="279"/>
      <c r="K25" s="279"/>
      <c r="L25" s="279"/>
      <c r="M25" s="279"/>
      <c r="N25" s="279"/>
      <c r="O25" s="279"/>
      <c r="P25" s="279"/>
      <c r="Q25" s="279"/>
      <c r="R25" s="279"/>
      <c r="S25" s="76"/>
      <c r="T25" s="138"/>
      <c r="V25" s="179"/>
      <c r="W25" s="217" t="s">
        <v>9</v>
      </c>
      <c r="X25" s="218">
        <v>1.4267999999999999E-2</v>
      </c>
      <c r="Y25" s="196"/>
      <c r="Z25" s="197"/>
      <c r="AA25" s="197"/>
      <c r="AB25" s="165"/>
    </row>
    <row r="26" spans="2:28" ht="15" customHeight="1" x14ac:dyDescent="0.25">
      <c r="B26" s="5"/>
      <c r="F26" s="279"/>
      <c r="G26" s="279"/>
      <c r="H26" s="279"/>
      <c r="I26" s="279"/>
      <c r="J26" s="279"/>
      <c r="K26" s="279"/>
      <c r="L26" s="279"/>
      <c r="M26" s="279"/>
      <c r="N26" s="279"/>
      <c r="O26" s="279"/>
      <c r="P26" s="279"/>
      <c r="Q26" s="279"/>
      <c r="R26" s="279"/>
      <c r="S26" s="76"/>
      <c r="T26" s="138"/>
      <c r="V26" s="179"/>
      <c r="W26" s="217" t="s">
        <v>30</v>
      </c>
      <c r="X26" s="218">
        <v>1.4102E-2</v>
      </c>
      <c r="Y26" s="196"/>
      <c r="Z26" s="197"/>
      <c r="AA26" s="197"/>
      <c r="AB26" s="165"/>
    </row>
    <row r="27" spans="2:28" ht="15" customHeight="1" x14ac:dyDescent="0.25">
      <c r="B27" s="5"/>
      <c r="D27" s="248"/>
      <c r="F27" s="279"/>
      <c r="G27" s="279"/>
      <c r="H27" s="279"/>
      <c r="I27" s="279"/>
      <c r="J27" s="279"/>
      <c r="K27" s="279"/>
      <c r="L27" s="279"/>
      <c r="M27" s="279"/>
      <c r="N27" s="279"/>
      <c r="O27" s="279"/>
      <c r="P27" s="279"/>
      <c r="Q27" s="279"/>
      <c r="R27" s="279"/>
      <c r="S27" s="76"/>
      <c r="T27" s="138"/>
      <c r="V27" s="179"/>
      <c r="W27" s="217" t="s">
        <v>152</v>
      </c>
      <c r="X27" s="218">
        <v>1.3542999999999999E-2</v>
      </c>
      <c r="Y27" s="196"/>
      <c r="Z27" s="197"/>
      <c r="AA27" s="197"/>
      <c r="AB27" s="165"/>
    </row>
    <row r="28" spans="2:28" ht="15" customHeight="1" x14ac:dyDescent="0.25">
      <c r="B28" s="5"/>
      <c r="F28" s="279"/>
      <c r="G28" s="279"/>
      <c r="H28" s="279"/>
      <c r="I28" s="279"/>
      <c r="J28" s="279"/>
      <c r="K28" s="279"/>
      <c r="L28" s="279"/>
      <c r="M28" s="279"/>
      <c r="N28" s="279"/>
      <c r="O28" s="279"/>
      <c r="P28" s="279"/>
      <c r="Q28" s="279"/>
      <c r="R28" s="279"/>
      <c r="S28" s="76"/>
      <c r="T28" s="138"/>
      <c r="V28" s="179"/>
      <c r="W28" s="217" t="s">
        <v>14</v>
      </c>
      <c r="X28" s="218">
        <v>9.9539999999999993E-3</v>
      </c>
      <c r="Y28" s="196"/>
      <c r="Z28" s="197"/>
      <c r="AA28" s="197"/>
      <c r="AB28" s="165"/>
    </row>
    <row r="29" spans="2:28" ht="15" customHeight="1" x14ac:dyDescent="0.25">
      <c r="B29" s="5"/>
      <c r="F29" s="279"/>
      <c r="G29" s="279"/>
      <c r="H29" s="279"/>
      <c r="I29" s="279"/>
      <c r="J29" s="279"/>
      <c r="K29" s="279"/>
      <c r="L29" s="279"/>
      <c r="M29" s="279"/>
      <c r="N29" s="279"/>
      <c r="O29" s="279"/>
      <c r="P29" s="279"/>
      <c r="Q29" s="279"/>
      <c r="R29" s="279"/>
      <c r="S29" s="76"/>
      <c r="T29" s="138"/>
      <c r="V29" s="179"/>
      <c r="W29" s="200" t="s">
        <v>23</v>
      </c>
      <c r="X29" s="201">
        <v>5.9680000000000002E-3</v>
      </c>
      <c r="Y29" s="196"/>
      <c r="Z29" s="197"/>
      <c r="AA29" s="197"/>
      <c r="AB29" s="165"/>
    </row>
    <row r="30" spans="2:28" ht="15" customHeight="1" x14ac:dyDescent="0.25">
      <c r="B30" s="5"/>
      <c r="F30" s="279"/>
      <c r="G30" s="279"/>
      <c r="H30" s="279"/>
      <c r="I30" s="279"/>
      <c r="J30" s="279"/>
      <c r="K30" s="279"/>
      <c r="L30" s="279"/>
      <c r="M30" s="279"/>
      <c r="N30" s="279"/>
      <c r="O30" s="279"/>
      <c r="P30" s="279"/>
      <c r="Q30" s="279"/>
      <c r="R30" s="279"/>
      <c r="S30" s="76"/>
      <c r="T30" s="138"/>
      <c r="V30" s="196"/>
      <c r="W30" s="200"/>
      <c r="X30" s="199"/>
      <c r="Y30" s="196"/>
      <c r="Z30" s="197"/>
      <c r="AA30" s="197"/>
      <c r="AB30" s="165"/>
    </row>
    <row r="31" spans="2:28" ht="15" customHeight="1" x14ac:dyDescent="0.25">
      <c r="B31" s="5"/>
      <c r="F31" s="279"/>
      <c r="G31" s="279"/>
      <c r="H31" s="279"/>
      <c r="I31" s="279"/>
      <c r="J31" s="279"/>
      <c r="K31" s="279"/>
      <c r="L31" s="279"/>
      <c r="M31" s="279"/>
      <c r="N31" s="279"/>
      <c r="O31" s="279"/>
      <c r="P31" s="279"/>
      <c r="Q31" s="279"/>
      <c r="R31" s="279"/>
      <c r="S31" s="76"/>
      <c r="T31" s="138"/>
      <c r="V31" s="196"/>
      <c r="W31" s="198"/>
      <c r="X31" s="199"/>
      <c r="Y31" s="196"/>
      <c r="Z31" s="197"/>
      <c r="AA31" s="197"/>
      <c r="AB31" s="165"/>
    </row>
    <row r="32" spans="2:28" ht="15" customHeight="1" x14ac:dyDescent="0.25">
      <c r="B32" s="5"/>
      <c r="F32" s="279"/>
      <c r="G32" s="279"/>
      <c r="H32" s="279"/>
      <c r="I32" s="279"/>
      <c r="J32" s="279"/>
      <c r="K32" s="279"/>
      <c r="L32" s="279"/>
      <c r="M32" s="279"/>
      <c r="N32" s="279"/>
      <c r="O32" s="279"/>
      <c r="P32" s="279"/>
      <c r="Q32" s="279"/>
      <c r="R32" s="279"/>
      <c r="S32" s="76"/>
      <c r="T32" s="138"/>
      <c r="V32" s="196"/>
      <c r="W32" s="198"/>
      <c r="X32" s="199"/>
      <c r="Y32" s="196"/>
      <c r="Z32" s="197"/>
      <c r="AA32" s="197"/>
      <c r="AB32" s="165"/>
    </row>
    <row r="33" spans="2:28" ht="15" customHeight="1" x14ac:dyDescent="0.25">
      <c r="B33" s="5"/>
      <c r="F33" s="279"/>
      <c r="G33" s="279"/>
      <c r="H33" s="279"/>
      <c r="I33" s="279"/>
      <c r="J33" s="279"/>
      <c r="K33" s="279"/>
      <c r="L33" s="279"/>
      <c r="M33" s="279"/>
      <c r="N33" s="279"/>
      <c r="O33" s="279"/>
      <c r="P33" s="279"/>
      <c r="Q33" s="279"/>
      <c r="R33" s="279"/>
      <c r="S33" s="76"/>
      <c r="T33" s="138"/>
      <c r="V33" s="196"/>
      <c r="W33" s="198"/>
      <c r="X33" s="199"/>
      <c r="Y33" s="196"/>
      <c r="Z33" s="197"/>
      <c r="AA33" s="197"/>
      <c r="AB33" s="165"/>
    </row>
    <row r="34" spans="2:28" ht="15" customHeight="1" x14ac:dyDescent="0.25">
      <c r="B34" s="5"/>
      <c r="F34" s="279"/>
      <c r="G34" s="279"/>
      <c r="H34" s="279"/>
      <c r="I34" s="279"/>
      <c r="J34" s="279"/>
      <c r="K34" s="279"/>
      <c r="L34" s="279"/>
      <c r="M34" s="279"/>
      <c r="N34" s="279"/>
      <c r="O34" s="279"/>
      <c r="P34" s="279"/>
      <c r="Q34" s="279"/>
      <c r="R34" s="279"/>
      <c r="S34" s="76"/>
      <c r="T34" s="138"/>
      <c r="V34" s="196"/>
      <c r="W34" s="196"/>
      <c r="X34" s="196"/>
      <c r="Y34" s="196"/>
      <c r="Z34" s="197"/>
      <c r="AA34" s="197"/>
      <c r="AB34" s="165"/>
    </row>
    <row r="35" spans="2:28" ht="15" customHeight="1" x14ac:dyDescent="0.25">
      <c r="B35" s="5"/>
      <c r="F35" s="279"/>
      <c r="G35" s="279"/>
      <c r="H35" s="279"/>
      <c r="I35" s="279"/>
      <c r="J35" s="279"/>
      <c r="K35" s="279"/>
      <c r="L35" s="279"/>
      <c r="M35" s="279"/>
      <c r="N35" s="279"/>
      <c r="O35" s="279"/>
      <c r="P35" s="279"/>
      <c r="Q35" s="279"/>
      <c r="R35" s="279"/>
      <c r="S35" s="76"/>
      <c r="T35" s="138"/>
      <c r="V35" s="196"/>
      <c r="W35" s="196"/>
      <c r="X35" s="196"/>
      <c r="Y35" s="196"/>
      <c r="Z35" s="197"/>
      <c r="AA35" s="197"/>
      <c r="AB35" s="165"/>
    </row>
    <row r="36" spans="2:28" ht="15" customHeight="1" x14ac:dyDescent="0.25">
      <c r="B36" s="5"/>
      <c r="F36" s="279"/>
      <c r="G36" s="279"/>
      <c r="H36" s="279"/>
      <c r="I36" s="279"/>
      <c r="J36" s="279"/>
      <c r="K36" s="279"/>
      <c r="L36" s="279"/>
      <c r="M36" s="279"/>
      <c r="N36" s="279"/>
      <c r="O36" s="279"/>
      <c r="P36" s="279"/>
      <c r="Q36" s="279"/>
      <c r="R36" s="279"/>
      <c r="S36" s="76"/>
      <c r="T36" s="138"/>
      <c r="V36" s="196"/>
      <c r="W36" s="196"/>
      <c r="X36" s="196"/>
      <c r="Y36" s="196"/>
      <c r="Z36" s="197"/>
      <c r="AA36" s="197"/>
      <c r="AB36" s="165"/>
    </row>
    <row r="37" spans="2:28" ht="15" customHeight="1" x14ac:dyDescent="0.25">
      <c r="B37" s="5"/>
      <c r="C37" s="279"/>
      <c r="D37" s="279"/>
      <c r="E37" s="279"/>
      <c r="F37" s="279"/>
      <c r="G37" s="279"/>
      <c r="H37" s="279"/>
      <c r="I37" s="279"/>
      <c r="J37" s="279"/>
      <c r="K37" s="279"/>
      <c r="L37" s="279"/>
      <c r="M37" s="279"/>
      <c r="N37" s="279"/>
      <c r="O37" s="279"/>
      <c r="P37" s="279"/>
      <c r="Q37" s="279"/>
      <c r="R37" s="279"/>
      <c r="S37" s="76"/>
      <c r="T37" s="138"/>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39"/>
      <c r="V38" s="165"/>
      <c r="AA38" s="165"/>
      <c r="AB38" s="165"/>
    </row>
    <row r="39" spans="2:28" ht="15" customHeight="1" thickBot="1" x14ac:dyDescent="0.3"/>
    <row r="40" spans="2:28" ht="15" customHeight="1" x14ac:dyDescent="0.25">
      <c r="B40" s="294" t="s">
        <v>147</v>
      </c>
      <c r="C40" s="295"/>
      <c r="D40" s="295"/>
      <c r="E40" s="295"/>
      <c r="F40" s="295"/>
      <c r="G40" s="295"/>
      <c r="H40" s="295"/>
      <c r="I40" s="295"/>
      <c r="J40" s="295"/>
      <c r="K40" s="295"/>
      <c r="L40" s="295"/>
      <c r="M40" s="295"/>
      <c r="N40" s="295"/>
      <c r="O40" s="295"/>
      <c r="P40" s="295"/>
      <c r="Q40" s="295"/>
      <c r="R40" s="296"/>
    </row>
    <row r="41" spans="2:28" ht="15" customHeight="1" x14ac:dyDescent="0.25">
      <c r="B41" s="297"/>
      <c r="C41" s="298"/>
      <c r="D41" s="298"/>
      <c r="E41" s="298"/>
      <c r="F41" s="298"/>
      <c r="G41" s="298"/>
      <c r="H41" s="298"/>
      <c r="I41" s="298"/>
      <c r="J41" s="298"/>
      <c r="K41" s="298"/>
      <c r="L41" s="298"/>
      <c r="M41" s="298"/>
      <c r="N41" s="298"/>
      <c r="O41" s="298"/>
      <c r="P41" s="298"/>
      <c r="Q41" s="298"/>
      <c r="R41" s="299"/>
    </row>
    <row r="42" spans="2:28" ht="15" customHeight="1" x14ac:dyDescent="0.25">
      <c r="B42" s="297"/>
      <c r="C42" s="298"/>
      <c r="D42" s="298"/>
      <c r="E42" s="298"/>
      <c r="F42" s="298"/>
      <c r="G42" s="298"/>
      <c r="H42" s="298"/>
      <c r="I42" s="298"/>
      <c r="J42" s="298"/>
      <c r="K42" s="298"/>
      <c r="L42" s="298"/>
      <c r="M42" s="298"/>
      <c r="N42" s="298"/>
      <c r="O42" s="298"/>
      <c r="P42" s="298"/>
      <c r="Q42" s="298"/>
      <c r="R42" s="299"/>
    </row>
    <row r="43" spans="2:28" ht="15" customHeight="1" x14ac:dyDescent="0.25">
      <c r="B43" s="297"/>
      <c r="C43" s="298"/>
      <c r="D43" s="298"/>
      <c r="E43" s="298"/>
      <c r="F43" s="298"/>
      <c r="G43" s="298"/>
      <c r="H43" s="298"/>
      <c r="I43" s="298"/>
      <c r="J43" s="298"/>
      <c r="K43" s="298"/>
      <c r="L43" s="298"/>
      <c r="M43" s="298"/>
      <c r="N43" s="298"/>
      <c r="O43" s="298"/>
      <c r="P43" s="298"/>
      <c r="Q43" s="298"/>
      <c r="R43" s="299"/>
    </row>
    <row r="44" spans="2:28" ht="15" customHeight="1" x14ac:dyDescent="0.25">
      <c r="B44" s="297"/>
      <c r="C44" s="298"/>
      <c r="D44" s="298"/>
      <c r="E44" s="298"/>
      <c r="F44" s="298"/>
      <c r="G44" s="298"/>
      <c r="H44" s="298"/>
      <c r="I44" s="298"/>
      <c r="J44" s="298"/>
      <c r="K44" s="298"/>
      <c r="L44" s="298"/>
      <c r="M44" s="298"/>
      <c r="N44" s="298"/>
      <c r="O44" s="298"/>
      <c r="P44" s="298"/>
      <c r="Q44" s="298"/>
      <c r="R44" s="299"/>
    </row>
    <row r="45" spans="2:28" ht="15" customHeight="1" x14ac:dyDescent="0.25">
      <c r="B45" s="297"/>
      <c r="C45" s="298"/>
      <c r="D45" s="298"/>
      <c r="E45" s="298"/>
      <c r="F45" s="298"/>
      <c r="G45" s="298"/>
      <c r="H45" s="298"/>
      <c r="I45" s="298"/>
      <c r="J45" s="298"/>
      <c r="K45" s="298"/>
      <c r="L45" s="298"/>
      <c r="M45" s="298"/>
      <c r="N45" s="298"/>
      <c r="O45" s="298"/>
      <c r="P45" s="298"/>
      <c r="Q45" s="298"/>
      <c r="R45" s="299"/>
    </row>
    <row r="46" spans="2:28" ht="21.75" customHeight="1" thickBot="1" x14ac:dyDescent="0.3">
      <c r="B46" s="300"/>
      <c r="C46" s="301"/>
      <c r="D46" s="301"/>
      <c r="E46" s="301"/>
      <c r="F46" s="301"/>
      <c r="G46" s="301"/>
      <c r="H46" s="301"/>
      <c r="I46" s="301"/>
      <c r="J46" s="301"/>
      <c r="K46" s="301"/>
      <c r="L46" s="301"/>
      <c r="M46" s="301"/>
      <c r="N46" s="301"/>
      <c r="O46" s="301"/>
      <c r="P46" s="301"/>
      <c r="Q46" s="301"/>
      <c r="R46" s="302"/>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25" right="0.25" top="0.75" bottom="0.75" header="0.3" footer="0.3"/>
  <pageSetup scale="4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AF65"/>
  <sheetViews>
    <sheetView showGridLines="0" view="pageBreakPreview" zoomScale="60" zoomScaleNormal="75" workbookViewId="0">
      <selection activeCell="D12" sqref="D12"/>
    </sheetView>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5"/>
    <col min="21" max="22" width="9.140625" style="9"/>
    <col min="23" max="26" width="9.140625" style="165"/>
    <col min="27" max="32" width="9.140625" style="105"/>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7"/>
    </row>
    <row r="3" spans="1:28" ht="20.25" customHeight="1" x14ac:dyDescent="0.25">
      <c r="B3" s="5"/>
      <c r="C3" s="303" t="s">
        <v>148</v>
      </c>
      <c r="D3" s="304"/>
      <c r="E3" s="304"/>
      <c r="F3" s="304"/>
      <c r="G3" s="304"/>
      <c r="H3" s="304"/>
      <c r="I3" s="304"/>
      <c r="J3" s="304"/>
      <c r="K3" s="304"/>
      <c r="L3" s="304"/>
      <c r="M3" s="304"/>
      <c r="N3" s="304"/>
      <c r="O3" s="304"/>
      <c r="P3" s="304"/>
      <c r="Q3" s="304"/>
      <c r="R3" s="304"/>
      <c r="S3" s="305"/>
      <c r="T3" s="138"/>
      <c r="V3" s="178"/>
      <c r="W3" s="197"/>
      <c r="X3" s="197"/>
      <c r="Y3" s="197"/>
      <c r="Z3" s="197"/>
      <c r="AA3" s="177"/>
    </row>
    <row r="4" spans="1:28" ht="15.75" customHeight="1" x14ac:dyDescent="0.25">
      <c r="B4" s="5"/>
      <c r="C4" s="280" t="s">
        <v>237</v>
      </c>
      <c r="D4" s="1"/>
      <c r="E4" s="1"/>
      <c r="F4" s="1"/>
      <c r="G4" s="1"/>
      <c r="H4" s="1"/>
      <c r="I4" s="1"/>
      <c r="J4" s="1"/>
      <c r="K4" s="1"/>
      <c r="L4" s="1"/>
      <c r="M4" s="1"/>
      <c r="N4" s="1"/>
      <c r="O4" s="1"/>
      <c r="P4" s="1"/>
      <c r="Q4" s="1"/>
      <c r="R4" s="1"/>
      <c r="S4" s="76"/>
      <c r="T4" s="138"/>
      <c r="V4" s="178"/>
      <c r="W4" s="197"/>
      <c r="X4" s="197"/>
      <c r="Y4" s="197"/>
      <c r="Z4" s="197"/>
      <c r="AA4" s="177"/>
    </row>
    <row r="5" spans="1:28" ht="18" customHeight="1" x14ac:dyDescent="0.25">
      <c r="B5" s="5"/>
      <c r="C5" s="2" t="s">
        <v>236</v>
      </c>
      <c r="D5" s="306" t="s">
        <v>259</v>
      </c>
      <c r="E5" s="306"/>
      <c r="F5" s="1"/>
      <c r="G5" s="1"/>
      <c r="H5" s="1"/>
      <c r="I5" s="1"/>
      <c r="J5" s="1"/>
      <c r="K5" s="1"/>
      <c r="L5" s="1"/>
      <c r="M5" s="1"/>
      <c r="N5" s="1"/>
      <c r="O5" s="1"/>
      <c r="P5" s="1"/>
      <c r="Q5" s="1"/>
      <c r="R5" s="1"/>
      <c r="S5" s="76"/>
      <c r="T5" s="138"/>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8"/>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8"/>
      <c r="V7" s="179"/>
      <c r="W7" s="196" t="s">
        <v>27</v>
      </c>
      <c r="X7" s="205" t="s">
        <v>2</v>
      </c>
      <c r="Y7" s="196"/>
      <c r="Z7" s="197"/>
      <c r="AA7" s="197"/>
      <c r="AB7" s="165"/>
    </row>
    <row r="8" spans="1:28" ht="15" customHeight="1" x14ac:dyDescent="0.25">
      <c r="B8" s="5"/>
      <c r="C8" s="314" t="s">
        <v>42</v>
      </c>
      <c r="D8" s="315" t="s">
        <v>3</v>
      </c>
      <c r="E8" s="316">
        <v>8.9543999999999999E-2</v>
      </c>
      <c r="F8" s="1"/>
      <c r="G8" s="1"/>
      <c r="H8" s="1"/>
      <c r="I8" s="1"/>
      <c r="J8" s="1"/>
      <c r="K8" s="1"/>
      <c r="L8" s="1"/>
      <c r="M8" s="1"/>
      <c r="N8" s="1"/>
      <c r="O8" s="1"/>
      <c r="P8" s="1"/>
      <c r="Q8" s="1"/>
      <c r="R8" s="1"/>
      <c r="S8" s="76"/>
      <c r="T8" s="138"/>
      <c r="V8" s="179"/>
      <c r="W8" s="217" t="s">
        <v>3</v>
      </c>
      <c r="X8" s="218">
        <v>0.235564</v>
      </c>
      <c r="Y8" s="196"/>
      <c r="Z8" s="197"/>
      <c r="AA8" s="197"/>
      <c r="AB8" s="165"/>
    </row>
    <row r="9" spans="1:28" ht="15.75" customHeight="1" x14ac:dyDescent="0.25">
      <c r="B9" s="5"/>
      <c r="C9" s="317" t="s">
        <v>37</v>
      </c>
      <c r="D9" s="318" t="s">
        <v>11</v>
      </c>
      <c r="E9" s="319">
        <v>8.9324000000000001E-2</v>
      </c>
      <c r="F9" s="1"/>
      <c r="G9" s="1"/>
      <c r="H9" s="1"/>
      <c r="I9" s="1"/>
      <c r="J9" s="1"/>
      <c r="K9" s="1"/>
      <c r="L9" s="1"/>
      <c r="M9" s="1"/>
      <c r="N9" s="1"/>
      <c r="O9" s="1"/>
      <c r="P9" s="1"/>
      <c r="Q9" s="1"/>
      <c r="R9" s="1"/>
      <c r="S9" s="76"/>
      <c r="T9" s="138"/>
      <c r="V9" s="179"/>
      <c r="W9" s="217" t="s">
        <v>11</v>
      </c>
      <c r="X9" s="218">
        <v>0.154168</v>
      </c>
      <c r="Y9" s="196"/>
      <c r="Z9" s="197"/>
      <c r="AA9" s="197"/>
      <c r="AB9" s="165"/>
    </row>
    <row r="10" spans="1:28" ht="15" customHeight="1" x14ac:dyDescent="0.25">
      <c r="B10" s="5"/>
      <c r="C10" s="317" t="s">
        <v>38</v>
      </c>
      <c r="D10" s="318" t="s">
        <v>3</v>
      </c>
      <c r="E10" s="319">
        <v>6.5338999999999994E-2</v>
      </c>
      <c r="F10" s="1"/>
      <c r="G10" s="1"/>
      <c r="H10" s="1"/>
      <c r="I10" s="1"/>
      <c r="J10" s="1"/>
      <c r="K10" s="1"/>
      <c r="L10" s="1"/>
      <c r="M10" s="1"/>
      <c r="N10" s="1"/>
      <c r="O10" s="1"/>
      <c r="P10" s="1"/>
      <c r="Q10" s="1"/>
      <c r="R10" s="1"/>
      <c r="S10" s="76"/>
      <c r="T10" s="138"/>
      <c r="V10" s="179"/>
      <c r="W10" s="217" t="s">
        <v>21</v>
      </c>
      <c r="X10" s="218">
        <v>7.6090000000000005E-2</v>
      </c>
      <c r="Y10" s="196"/>
      <c r="Z10" s="197"/>
      <c r="AA10" s="197"/>
      <c r="AB10" s="165"/>
    </row>
    <row r="11" spans="1:28" ht="15" customHeight="1" x14ac:dyDescent="0.25">
      <c r="B11" s="5"/>
      <c r="C11" s="317" t="s">
        <v>140</v>
      </c>
      <c r="D11" s="318" t="s">
        <v>3</v>
      </c>
      <c r="E11" s="319">
        <v>4.0783E-2</v>
      </c>
      <c r="F11" s="1"/>
      <c r="G11" s="1"/>
      <c r="H11" s="1"/>
      <c r="I11" s="1"/>
      <c r="J11" s="1"/>
      <c r="K11" s="1"/>
      <c r="L11" s="1"/>
      <c r="M11" s="1"/>
      <c r="N11" s="1"/>
      <c r="O11" s="1"/>
      <c r="P11" s="1"/>
      <c r="Q11" s="1"/>
      <c r="R11" s="1"/>
      <c r="S11" s="76"/>
      <c r="T11" s="138"/>
      <c r="V11" s="179"/>
      <c r="W11" s="217" t="s">
        <v>7</v>
      </c>
      <c r="X11" s="218">
        <v>7.2215000000000001E-2</v>
      </c>
      <c r="Y11" s="196"/>
      <c r="Z11" s="197"/>
      <c r="AA11" s="197"/>
      <c r="AB11" s="165"/>
    </row>
    <row r="12" spans="1:28" ht="15" customHeight="1" x14ac:dyDescent="0.25">
      <c r="B12" s="5"/>
      <c r="C12" s="317" t="s">
        <v>95</v>
      </c>
      <c r="D12" s="318" t="s">
        <v>149</v>
      </c>
      <c r="E12" s="319">
        <v>3.739E-2</v>
      </c>
      <c r="F12" s="1"/>
      <c r="G12" s="1"/>
      <c r="H12" s="1"/>
      <c r="I12" s="1"/>
      <c r="J12" s="1"/>
      <c r="K12" s="1"/>
      <c r="L12" s="1"/>
      <c r="M12" s="1"/>
      <c r="N12" s="1"/>
      <c r="O12" s="1"/>
      <c r="P12" s="1"/>
      <c r="Q12" s="1"/>
      <c r="R12" s="1"/>
      <c r="S12" s="76"/>
      <c r="T12" s="138"/>
      <c r="V12" s="179"/>
      <c r="W12" s="217" t="s">
        <v>22</v>
      </c>
      <c r="X12" s="218">
        <v>5.5705000000000005E-2</v>
      </c>
      <c r="Y12" s="196"/>
      <c r="Z12" s="197"/>
      <c r="AA12" s="197"/>
      <c r="AB12" s="165"/>
    </row>
    <row r="13" spans="1:28" ht="15" customHeight="1" x14ac:dyDescent="0.25">
      <c r="B13" s="5"/>
      <c r="C13" s="317" t="s">
        <v>117</v>
      </c>
      <c r="D13" s="318" t="s">
        <v>22</v>
      </c>
      <c r="E13" s="319">
        <v>3.4514000000000003E-2</v>
      </c>
      <c r="F13" s="1"/>
      <c r="G13" s="1"/>
      <c r="H13" s="1"/>
      <c r="I13" s="1"/>
      <c r="J13" s="1"/>
      <c r="K13" s="1"/>
      <c r="L13" s="1"/>
      <c r="M13" s="1"/>
      <c r="N13" s="1"/>
      <c r="O13" s="1"/>
      <c r="P13" s="1"/>
      <c r="Q13" s="1"/>
      <c r="R13" s="1"/>
      <c r="S13" s="76"/>
      <c r="T13" s="138"/>
      <c r="V13" s="179"/>
      <c r="W13" s="217" t="s">
        <v>29</v>
      </c>
      <c r="X13" s="218">
        <v>4.3803999999999996E-2</v>
      </c>
      <c r="Y13" s="196"/>
      <c r="Z13" s="197"/>
      <c r="AA13" s="197"/>
      <c r="AB13" s="165"/>
    </row>
    <row r="14" spans="1:28" ht="15" customHeight="1" x14ac:dyDescent="0.25">
      <c r="B14" s="5"/>
      <c r="C14" s="317" t="s">
        <v>49</v>
      </c>
      <c r="D14" s="318" t="s">
        <v>21</v>
      </c>
      <c r="E14" s="319">
        <v>3.2883000000000003E-2</v>
      </c>
      <c r="F14" s="1"/>
      <c r="G14" s="1"/>
      <c r="H14" s="1"/>
      <c r="I14" s="1"/>
      <c r="J14" s="1"/>
      <c r="K14" s="1"/>
      <c r="L14" s="1"/>
      <c r="M14" s="1"/>
      <c r="N14" s="1"/>
      <c r="O14" s="1"/>
      <c r="P14" s="1"/>
      <c r="Q14" s="1"/>
      <c r="R14" s="1"/>
      <c r="S14" s="76"/>
      <c r="T14" s="138"/>
      <c r="V14" s="179"/>
      <c r="W14" s="217" t="s">
        <v>149</v>
      </c>
      <c r="X14" s="218">
        <v>4.3164000000000001E-2</v>
      </c>
      <c r="Y14" s="196"/>
      <c r="Z14" s="197"/>
      <c r="AA14" s="197"/>
      <c r="AB14" s="165"/>
    </row>
    <row r="15" spans="1:28" ht="15.75" customHeight="1" x14ac:dyDescent="0.25">
      <c r="B15" s="5"/>
      <c r="C15" s="317" t="s">
        <v>143</v>
      </c>
      <c r="D15" s="318" t="s">
        <v>16</v>
      </c>
      <c r="E15" s="319">
        <v>3.2486000000000001E-2</v>
      </c>
      <c r="F15" s="1"/>
      <c r="G15" s="1"/>
      <c r="H15" s="1"/>
      <c r="I15" s="1"/>
      <c r="J15" s="1"/>
      <c r="K15" s="1"/>
      <c r="L15" s="1"/>
      <c r="M15" s="1"/>
      <c r="N15" s="1"/>
      <c r="O15" s="1"/>
      <c r="P15" s="1"/>
      <c r="Q15" s="1"/>
      <c r="R15" s="1"/>
      <c r="S15" s="76"/>
      <c r="T15" s="138"/>
      <c r="V15" s="179"/>
      <c r="W15" s="217" t="s">
        <v>17</v>
      </c>
      <c r="X15" s="218">
        <v>3.9720999999999999E-2</v>
      </c>
      <c r="Y15" s="196"/>
      <c r="Z15" s="197"/>
      <c r="AA15" s="197"/>
      <c r="AB15" s="165"/>
    </row>
    <row r="16" spans="1:28" ht="15" customHeight="1" x14ac:dyDescent="0.25">
      <c r="B16" s="5"/>
      <c r="C16" s="317" t="s">
        <v>142</v>
      </c>
      <c r="D16" s="318" t="s">
        <v>4</v>
      </c>
      <c r="E16" s="319">
        <v>3.0067E-2</v>
      </c>
      <c r="F16" s="1"/>
      <c r="G16" s="1"/>
      <c r="H16" s="1"/>
      <c r="I16" s="1"/>
      <c r="J16" s="1"/>
      <c r="K16" s="1"/>
      <c r="L16" s="1"/>
      <c r="M16" s="1"/>
      <c r="N16" s="1"/>
      <c r="O16" s="1"/>
      <c r="P16" s="1"/>
      <c r="Q16" s="1"/>
      <c r="R16" s="1"/>
      <c r="S16" s="76"/>
      <c r="T16" s="138"/>
      <c r="V16" s="179"/>
      <c r="W16" s="217" t="s">
        <v>4</v>
      </c>
      <c r="X16" s="218">
        <v>3.3921E-2</v>
      </c>
      <c r="Y16" s="196"/>
      <c r="Z16" s="197"/>
      <c r="AA16" s="197"/>
      <c r="AB16" s="165"/>
    </row>
    <row r="17" spans="2:28" ht="15.75" customHeight="1" x14ac:dyDescent="0.25">
      <c r="B17" s="5"/>
      <c r="C17" s="317" t="s">
        <v>43</v>
      </c>
      <c r="D17" s="318" t="s">
        <v>11</v>
      </c>
      <c r="E17" s="319">
        <v>2.9457000000000001E-2</v>
      </c>
      <c r="F17" s="1"/>
      <c r="G17" s="1"/>
      <c r="H17" s="1"/>
      <c r="I17" s="1"/>
      <c r="J17" s="1"/>
      <c r="K17" s="1"/>
      <c r="L17" s="1"/>
      <c r="M17" s="1"/>
      <c r="N17" s="1"/>
      <c r="O17" s="1"/>
      <c r="P17" s="1"/>
      <c r="Q17" s="1"/>
      <c r="R17" s="1"/>
      <c r="S17" s="76"/>
      <c r="T17" s="138"/>
      <c r="V17" s="179"/>
      <c r="W17" s="217" t="s">
        <v>16</v>
      </c>
      <c r="X17" s="218">
        <v>3.2486000000000001E-2</v>
      </c>
      <c r="Y17" s="196"/>
      <c r="Z17" s="197"/>
      <c r="AA17" s="197"/>
      <c r="AB17" s="165"/>
    </row>
    <row r="18" spans="2:28" ht="15.75" x14ac:dyDescent="0.25">
      <c r="B18" s="5"/>
      <c r="C18" s="317" t="s">
        <v>160</v>
      </c>
      <c r="D18" s="318" t="s">
        <v>35</v>
      </c>
      <c r="E18" s="319">
        <v>2.7626000000000001E-2</v>
      </c>
      <c r="F18" s="1"/>
      <c r="G18" s="1"/>
      <c r="H18" s="1"/>
      <c r="I18" s="1"/>
      <c r="J18" s="1"/>
      <c r="K18" s="1"/>
      <c r="L18" s="1"/>
      <c r="M18" s="1"/>
      <c r="N18" s="1"/>
      <c r="O18" s="1"/>
      <c r="P18" s="1"/>
      <c r="Q18" s="1"/>
      <c r="R18" s="1"/>
      <c r="S18" s="76"/>
      <c r="T18" s="138"/>
      <c r="V18" s="179"/>
      <c r="W18" s="217" t="s">
        <v>35</v>
      </c>
      <c r="X18" s="218">
        <v>3.1310000000000004E-2</v>
      </c>
      <c r="Y18" s="196"/>
      <c r="Z18" s="197"/>
      <c r="AA18" s="197"/>
      <c r="AB18" s="165"/>
    </row>
    <row r="19" spans="2:28" ht="15.75" customHeight="1" x14ac:dyDescent="0.25">
      <c r="B19" s="5"/>
      <c r="C19" s="317" t="s">
        <v>189</v>
      </c>
      <c r="D19" s="318" t="s">
        <v>11</v>
      </c>
      <c r="E19" s="319">
        <v>2.5572999999999999E-2</v>
      </c>
      <c r="F19" s="1"/>
      <c r="G19" s="1"/>
      <c r="H19" s="1"/>
      <c r="I19" s="1"/>
      <c r="J19" s="1"/>
      <c r="K19" s="1"/>
      <c r="L19" s="1"/>
      <c r="M19" s="1"/>
      <c r="N19" s="1"/>
      <c r="O19" s="1"/>
      <c r="P19" s="1"/>
      <c r="Q19" s="1"/>
      <c r="R19" s="1"/>
      <c r="S19" s="76"/>
      <c r="T19" s="138"/>
      <c r="V19" s="179"/>
      <c r="W19" s="217" t="s">
        <v>8</v>
      </c>
      <c r="X19" s="218">
        <v>2.8250000000000001E-2</v>
      </c>
      <c r="Y19" s="196"/>
      <c r="Z19" s="197"/>
      <c r="AA19" s="197"/>
      <c r="AB19" s="165"/>
    </row>
    <row r="20" spans="2:28" ht="15" customHeight="1" x14ac:dyDescent="0.25">
      <c r="B20" s="5"/>
      <c r="C20" s="317" t="s">
        <v>44</v>
      </c>
      <c r="D20" s="318" t="s">
        <v>9</v>
      </c>
      <c r="E20" s="319">
        <v>2.4494999999999999E-2</v>
      </c>
      <c r="F20" s="1"/>
      <c r="G20" s="1"/>
      <c r="H20" s="1"/>
      <c r="I20" s="1"/>
      <c r="J20" s="1"/>
      <c r="K20" s="1"/>
      <c r="L20" s="1"/>
      <c r="M20" s="1"/>
      <c r="N20" s="1"/>
      <c r="O20" s="1"/>
      <c r="P20" s="1"/>
      <c r="Q20" s="1"/>
      <c r="R20" s="1"/>
      <c r="S20" s="76"/>
      <c r="T20" s="138"/>
      <c r="V20" s="179"/>
      <c r="W20" s="217" t="s">
        <v>9</v>
      </c>
      <c r="X20" s="218">
        <v>2.4494999999999999E-2</v>
      </c>
      <c r="Y20" s="196"/>
      <c r="Z20" s="197"/>
      <c r="AA20" s="197"/>
      <c r="AB20" s="165"/>
    </row>
    <row r="21" spans="2:28" ht="15" customHeight="1" x14ac:dyDescent="0.25">
      <c r="B21" s="5"/>
      <c r="C21" s="317" t="s">
        <v>141</v>
      </c>
      <c r="D21" s="318" t="s">
        <v>17</v>
      </c>
      <c r="E21" s="319">
        <v>2.2467000000000001E-2</v>
      </c>
      <c r="F21" s="1"/>
      <c r="G21" s="1"/>
      <c r="H21" s="1"/>
      <c r="I21" s="1"/>
      <c r="J21" s="1"/>
      <c r="K21" s="1"/>
      <c r="L21" s="1"/>
      <c r="M21" s="1"/>
      <c r="N21" s="1"/>
      <c r="O21" s="1"/>
      <c r="P21" s="1"/>
      <c r="Q21" s="1"/>
      <c r="R21" s="1"/>
      <c r="S21" s="76"/>
      <c r="T21" s="138"/>
      <c r="V21" s="179"/>
      <c r="W21" s="217" t="s">
        <v>14</v>
      </c>
      <c r="X21" s="218">
        <v>1.9904000000000002E-2</v>
      </c>
      <c r="Y21" s="196"/>
      <c r="Z21" s="197"/>
      <c r="AA21" s="197"/>
      <c r="AB21" s="165"/>
    </row>
    <row r="22" spans="2:28" ht="15" customHeight="1" x14ac:dyDescent="0.25">
      <c r="B22" s="5"/>
      <c r="C22" s="317" t="s">
        <v>232</v>
      </c>
      <c r="D22" s="318" t="s">
        <v>21</v>
      </c>
      <c r="E22" s="319">
        <v>2.2221000000000001E-2</v>
      </c>
      <c r="F22" s="1"/>
      <c r="G22" s="1"/>
      <c r="H22" s="1"/>
      <c r="I22" s="1"/>
      <c r="J22" s="1"/>
      <c r="K22" s="1"/>
      <c r="L22" s="1"/>
      <c r="M22" s="1"/>
      <c r="N22" s="1"/>
      <c r="O22" s="1"/>
      <c r="P22" s="1"/>
      <c r="Q22" s="1"/>
      <c r="R22" s="1"/>
      <c r="S22" s="76"/>
      <c r="T22" s="138"/>
      <c r="V22" s="179"/>
      <c r="W22" s="217" t="s">
        <v>13</v>
      </c>
      <c r="X22" s="218">
        <v>1.8149999999999999E-2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8"/>
      <c r="V23" s="179"/>
      <c r="W23" s="217" t="s">
        <v>33</v>
      </c>
      <c r="X23" s="218">
        <v>1.5789999999999998E-2</v>
      </c>
      <c r="Y23" s="196"/>
      <c r="Z23" s="197"/>
      <c r="AA23" s="197"/>
      <c r="AB23" s="165"/>
    </row>
    <row r="24" spans="2:28" ht="15" customHeight="1" x14ac:dyDescent="0.25">
      <c r="B24" s="5"/>
      <c r="C24" s="69" t="s">
        <v>77</v>
      </c>
      <c r="D24" s="71"/>
      <c r="E24" s="64">
        <f>SUM(E8:E22)</f>
        <v>0.60416900000000007</v>
      </c>
      <c r="F24" s="1"/>
      <c r="G24" s="1"/>
      <c r="H24" s="1"/>
      <c r="I24" s="1"/>
      <c r="J24" s="1"/>
      <c r="K24" s="1"/>
      <c r="L24" s="1"/>
      <c r="M24" s="1"/>
      <c r="N24" s="1"/>
      <c r="O24" s="1"/>
      <c r="P24" s="1"/>
      <c r="Q24" s="1"/>
      <c r="R24" s="1"/>
      <c r="S24" s="76"/>
      <c r="T24" s="138"/>
      <c r="V24" s="179"/>
      <c r="W24" s="217" t="s">
        <v>19</v>
      </c>
      <c r="X24" s="218">
        <v>1.5046E-2</v>
      </c>
      <c r="Y24" s="196"/>
      <c r="Z24" s="197"/>
      <c r="AA24" s="197"/>
      <c r="AB24" s="165"/>
    </row>
    <row r="25" spans="2:28" ht="15" customHeight="1" x14ac:dyDescent="0.25">
      <c r="B25" s="5"/>
      <c r="F25" s="1"/>
      <c r="G25" s="1"/>
      <c r="H25" s="1"/>
      <c r="I25" s="1"/>
      <c r="J25" s="1"/>
      <c r="K25" s="1"/>
      <c r="L25" s="1"/>
      <c r="M25" s="1"/>
      <c r="N25" s="1"/>
      <c r="O25" s="1"/>
      <c r="P25" s="1"/>
      <c r="Q25" s="1"/>
      <c r="R25" s="1"/>
      <c r="S25" s="76"/>
      <c r="T25" s="138"/>
      <c r="V25" s="179"/>
      <c r="W25" s="217" t="s">
        <v>150</v>
      </c>
      <c r="X25" s="218">
        <v>1.4047E-2</v>
      </c>
      <c r="Y25" s="196"/>
      <c r="Z25" s="197"/>
      <c r="AA25" s="197"/>
      <c r="AB25" s="165"/>
    </row>
    <row r="26" spans="2:28" ht="15" customHeight="1" x14ac:dyDescent="0.25">
      <c r="B26" s="5"/>
      <c r="F26" s="1"/>
      <c r="G26" s="1"/>
      <c r="H26" s="1"/>
      <c r="I26" s="1"/>
      <c r="J26" s="1"/>
      <c r="K26" s="1"/>
      <c r="L26" s="1"/>
      <c r="M26" s="1"/>
      <c r="N26" s="1"/>
      <c r="O26" s="1"/>
      <c r="P26" s="1"/>
      <c r="Q26" s="1"/>
      <c r="R26" s="1"/>
      <c r="S26" s="76"/>
      <c r="T26" s="138"/>
      <c r="V26" s="179"/>
      <c r="W26" s="217" t="s">
        <v>151</v>
      </c>
      <c r="X26" s="218">
        <v>1.1332E-2</v>
      </c>
      <c r="Y26" s="196"/>
      <c r="Z26" s="197"/>
      <c r="AA26" s="197"/>
      <c r="AB26" s="165"/>
    </row>
    <row r="27" spans="2:28" ht="15" customHeight="1" x14ac:dyDescent="0.25">
      <c r="B27" s="5"/>
      <c r="D27" s="248"/>
      <c r="F27" s="1"/>
      <c r="G27" s="1"/>
      <c r="H27" s="1"/>
      <c r="I27" s="1"/>
      <c r="J27" s="1"/>
      <c r="K27" s="1"/>
      <c r="L27" s="1"/>
      <c r="M27" s="1"/>
      <c r="N27" s="1"/>
      <c r="O27" s="1"/>
      <c r="P27" s="1"/>
      <c r="Q27" s="1"/>
      <c r="R27" s="1"/>
      <c r="S27" s="76"/>
      <c r="T27" s="138"/>
      <c r="V27" s="179"/>
      <c r="W27" s="217" t="s">
        <v>211</v>
      </c>
      <c r="X27" s="218">
        <v>5.8560000000000001E-3</v>
      </c>
      <c r="Y27" s="196"/>
      <c r="Z27" s="197"/>
      <c r="AA27" s="197"/>
      <c r="AB27" s="165"/>
    </row>
    <row r="28" spans="2:28" ht="15" customHeight="1" x14ac:dyDescent="0.25">
      <c r="B28" s="5"/>
      <c r="F28" s="1"/>
      <c r="G28" s="1"/>
      <c r="H28" s="1"/>
      <c r="I28" s="1"/>
      <c r="J28" s="1"/>
      <c r="K28" s="1"/>
      <c r="L28" s="1"/>
      <c r="M28" s="1"/>
      <c r="N28" s="1"/>
      <c r="O28" s="1"/>
      <c r="P28" s="1"/>
      <c r="Q28" s="1"/>
      <c r="R28" s="1"/>
      <c r="S28" s="76"/>
      <c r="T28" s="138"/>
      <c r="V28" s="179"/>
      <c r="W28" s="217" t="s">
        <v>28</v>
      </c>
      <c r="X28" s="218">
        <v>1.5900000000000001E-3</v>
      </c>
      <c r="Y28" s="196"/>
      <c r="Z28" s="197"/>
      <c r="AA28" s="197"/>
      <c r="AB28" s="165"/>
    </row>
    <row r="29" spans="2:28" ht="15" customHeight="1" x14ac:dyDescent="0.25">
      <c r="B29" s="5"/>
      <c r="F29" s="1"/>
      <c r="G29" s="1"/>
      <c r="H29" s="1"/>
      <c r="I29" s="1"/>
      <c r="J29" s="1"/>
      <c r="K29" s="1"/>
      <c r="L29" s="1"/>
      <c r="M29" s="1"/>
      <c r="N29" s="1"/>
      <c r="O29" s="1"/>
      <c r="P29" s="1"/>
      <c r="Q29" s="1"/>
      <c r="R29" s="1"/>
      <c r="S29" s="76"/>
      <c r="T29" s="138"/>
      <c r="V29" s="179"/>
      <c r="W29" s="217"/>
      <c r="X29" s="218"/>
      <c r="Y29" s="196"/>
      <c r="Z29" s="197"/>
      <c r="AA29" s="197"/>
      <c r="AB29" s="165"/>
    </row>
    <row r="30" spans="2:28" ht="15" customHeight="1" x14ac:dyDescent="0.25">
      <c r="B30" s="5"/>
      <c r="F30" s="1"/>
      <c r="G30" s="1"/>
      <c r="H30" s="1"/>
      <c r="I30" s="1"/>
      <c r="J30" s="1"/>
      <c r="K30" s="1"/>
      <c r="L30" s="1"/>
      <c r="M30" s="1"/>
      <c r="N30" s="1"/>
      <c r="O30" s="1"/>
      <c r="P30" s="1"/>
      <c r="Q30" s="1"/>
      <c r="R30" s="1"/>
      <c r="S30" s="76"/>
      <c r="T30" s="138"/>
      <c r="V30" s="196"/>
      <c r="W30" s="200"/>
      <c r="X30" s="199"/>
      <c r="Y30" s="196"/>
      <c r="Z30" s="197"/>
      <c r="AA30" s="197"/>
      <c r="AB30" s="165"/>
    </row>
    <row r="31" spans="2:28" ht="15" customHeight="1" x14ac:dyDescent="0.25">
      <c r="B31" s="5"/>
      <c r="F31" s="1"/>
      <c r="G31" s="1"/>
      <c r="H31" s="1"/>
      <c r="I31" s="1"/>
      <c r="J31" s="1"/>
      <c r="K31" s="1"/>
      <c r="L31" s="1"/>
      <c r="M31" s="1"/>
      <c r="N31" s="1"/>
      <c r="O31" s="1"/>
      <c r="P31" s="1"/>
      <c r="Q31" s="1"/>
      <c r="R31" s="1"/>
      <c r="S31" s="76"/>
      <c r="T31" s="138"/>
      <c r="V31" s="196"/>
      <c r="W31" s="198"/>
      <c r="X31" s="199"/>
      <c r="Y31" s="196"/>
      <c r="Z31" s="197"/>
      <c r="AA31" s="197"/>
      <c r="AB31" s="165"/>
    </row>
    <row r="32" spans="2:28" ht="15" customHeight="1" x14ac:dyDescent="0.25">
      <c r="B32" s="5"/>
      <c r="F32" s="1"/>
      <c r="G32" s="1"/>
      <c r="H32" s="1"/>
      <c r="I32" s="1"/>
      <c r="J32" s="1"/>
      <c r="K32" s="1"/>
      <c r="L32" s="1"/>
      <c r="M32" s="1"/>
      <c r="N32" s="1"/>
      <c r="O32" s="1"/>
      <c r="P32" s="1"/>
      <c r="Q32" s="1"/>
      <c r="R32" s="1"/>
      <c r="S32" s="76"/>
      <c r="T32" s="138"/>
      <c r="V32" s="196"/>
      <c r="W32" s="198"/>
      <c r="X32" s="199"/>
      <c r="Y32" s="196"/>
      <c r="Z32" s="197"/>
      <c r="AA32" s="197"/>
      <c r="AB32" s="165"/>
    </row>
    <row r="33" spans="2:28" ht="15" customHeight="1" x14ac:dyDescent="0.25">
      <c r="B33" s="5"/>
      <c r="F33" s="1"/>
      <c r="G33" s="1"/>
      <c r="H33" s="1"/>
      <c r="I33" s="1"/>
      <c r="J33" s="1"/>
      <c r="K33" s="1"/>
      <c r="L33" s="1"/>
      <c r="M33" s="1"/>
      <c r="N33" s="1"/>
      <c r="O33" s="1"/>
      <c r="P33" s="1"/>
      <c r="Q33" s="1"/>
      <c r="R33" s="1"/>
      <c r="S33" s="76"/>
      <c r="T33" s="138"/>
      <c r="V33" s="196"/>
      <c r="W33" s="198"/>
      <c r="X33" s="199"/>
      <c r="Y33" s="196"/>
      <c r="Z33" s="197"/>
      <c r="AA33" s="197"/>
      <c r="AB33" s="165"/>
    </row>
    <row r="34" spans="2:28" ht="15" customHeight="1" x14ac:dyDescent="0.25">
      <c r="B34" s="5"/>
      <c r="F34" s="1"/>
      <c r="G34" s="1"/>
      <c r="H34" s="1"/>
      <c r="I34" s="1"/>
      <c r="J34" s="1"/>
      <c r="K34" s="1"/>
      <c r="L34" s="1"/>
      <c r="M34" s="1"/>
      <c r="N34" s="1"/>
      <c r="O34" s="1"/>
      <c r="P34" s="1"/>
      <c r="Q34" s="1"/>
      <c r="R34" s="1"/>
      <c r="S34" s="76"/>
      <c r="T34" s="138"/>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8"/>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8"/>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8"/>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39"/>
      <c r="V38" s="165"/>
      <c r="AA38" s="165"/>
      <c r="AB38" s="165"/>
    </row>
    <row r="39" spans="2:28" ht="15" customHeight="1" thickBot="1" x14ac:dyDescent="0.3"/>
    <row r="40" spans="2:28" ht="15" customHeight="1" x14ac:dyDescent="0.25">
      <c r="B40" s="294" t="s">
        <v>147</v>
      </c>
      <c r="C40" s="295"/>
      <c r="D40" s="295"/>
      <c r="E40" s="295"/>
      <c r="F40" s="295"/>
      <c r="G40" s="295"/>
      <c r="H40" s="295"/>
      <c r="I40" s="295"/>
      <c r="J40" s="295"/>
      <c r="K40" s="295"/>
      <c r="L40" s="295"/>
      <c r="M40" s="295"/>
      <c r="N40" s="295"/>
      <c r="O40" s="295"/>
      <c r="P40" s="295"/>
      <c r="Q40" s="295"/>
      <c r="R40" s="296"/>
    </row>
    <row r="41" spans="2:28" ht="15" customHeight="1" x14ac:dyDescent="0.25">
      <c r="B41" s="297"/>
      <c r="C41" s="298"/>
      <c r="D41" s="298"/>
      <c r="E41" s="298"/>
      <c r="F41" s="298"/>
      <c r="G41" s="298"/>
      <c r="H41" s="298"/>
      <c r="I41" s="298"/>
      <c r="J41" s="298"/>
      <c r="K41" s="298"/>
      <c r="L41" s="298"/>
      <c r="M41" s="298"/>
      <c r="N41" s="298"/>
      <c r="O41" s="298"/>
      <c r="P41" s="298"/>
      <c r="Q41" s="298"/>
      <c r="R41" s="299"/>
    </row>
    <row r="42" spans="2:28" ht="15" customHeight="1" x14ac:dyDescent="0.25">
      <c r="B42" s="297"/>
      <c r="C42" s="298"/>
      <c r="D42" s="298"/>
      <c r="E42" s="298"/>
      <c r="F42" s="298"/>
      <c r="G42" s="298"/>
      <c r="H42" s="298"/>
      <c r="I42" s="298"/>
      <c r="J42" s="298"/>
      <c r="K42" s="298"/>
      <c r="L42" s="298"/>
      <c r="M42" s="298"/>
      <c r="N42" s="298"/>
      <c r="O42" s="298"/>
      <c r="P42" s="298"/>
      <c r="Q42" s="298"/>
      <c r="R42" s="299"/>
    </row>
    <row r="43" spans="2:28" ht="15" customHeight="1" x14ac:dyDescent="0.25">
      <c r="B43" s="297"/>
      <c r="C43" s="298"/>
      <c r="D43" s="298"/>
      <c r="E43" s="298"/>
      <c r="F43" s="298"/>
      <c r="G43" s="298"/>
      <c r="H43" s="298"/>
      <c r="I43" s="298"/>
      <c r="J43" s="298"/>
      <c r="K43" s="298"/>
      <c r="L43" s="298"/>
      <c r="M43" s="298"/>
      <c r="N43" s="298"/>
      <c r="O43" s="298"/>
      <c r="P43" s="298"/>
      <c r="Q43" s="298"/>
      <c r="R43" s="299"/>
    </row>
    <row r="44" spans="2:28" ht="15" customHeight="1" x14ac:dyDescent="0.25">
      <c r="B44" s="297"/>
      <c r="C44" s="298"/>
      <c r="D44" s="298"/>
      <c r="E44" s="298"/>
      <c r="F44" s="298"/>
      <c r="G44" s="298"/>
      <c r="H44" s="298"/>
      <c r="I44" s="298"/>
      <c r="J44" s="298"/>
      <c r="K44" s="298"/>
      <c r="L44" s="298"/>
      <c r="M44" s="298"/>
      <c r="N44" s="298"/>
      <c r="O44" s="298"/>
      <c r="P44" s="298"/>
      <c r="Q44" s="298"/>
      <c r="R44" s="299"/>
    </row>
    <row r="45" spans="2:28" ht="15" customHeight="1" x14ac:dyDescent="0.25">
      <c r="B45" s="297"/>
      <c r="C45" s="298"/>
      <c r="D45" s="298"/>
      <c r="E45" s="298"/>
      <c r="F45" s="298"/>
      <c r="G45" s="298"/>
      <c r="H45" s="298"/>
      <c r="I45" s="298"/>
      <c r="J45" s="298"/>
      <c r="K45" s="298"/>
      <c r="L45" s="298"/>
      <c r="M45" s="298"/>
      <c r="N45" s="298"/>
      <c r="O45" s="298"/>
      <c r="P45" s="298"/>
      <c r="Q45" s="298"/>
      <c r="R45" s="299"/>
    </row>
    <row r="46" spans="2:28" ht="21.75" customHeight="1" thickBot="1" x14ac:dyDescent="0.3">
      <c r="B46" s="300"/>
      <c r="C46" s="301"/>
      <c r="D46" s="301"/>
      <c r="E46" s="301"/>
      <c r="F46" s="301"/>
      <c r="G46" s="301"/>
      <c r="H46" s="301"/>
      <c r="I46" s="301"/>
      <c r="J46" s="301"/>
      <c r="K46" s="301"/>
      <c r="L46" s="301"/>
      <c r="M46" s="301"/>
      <c r="N46" s="301"/>
      <c r="O46" s="301"/>
      <c r="P46" s="301"/>
      <c r="Q46" s="301"/>
      <c r="R46" s="302"/>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68"/>
  <sheetViews>
    <sheetView showGridLines="0" view="pageBreakPreview" topLeftCell="D1" zoomScale="60" zoomScaleNormal="75" workbookViewId="0">
      <selection activeCell="V25" sqref="V25"/>
    </sheetView>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5"/>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3" t="s">
        <v>128</v>
      </c>
      <c r="D3" s="304"/>
      <c r="E3" s="304"/>
      <c r="F3" s="304"/>
      <c r="G3" s="304"/>
      <c r="H3" s="304"/>
      <c r="I3" s="304"/>
      <c r="J3" s="304"/>
      <c r="K3" s="304"/>
      <c r="L3" s="304"/>
      <c r="M3" s="304"/>
      <c r="N3" s="304"/>
      <c r="O3" s="304"/>
      <c r="P3" s="304"/>
      <c r="Q3" s="304"/>
      <c r="R3" s="304"/>
      <c r="S3" s="305"/>
      <c r="T3" s="75"/>
    </row>
    <row r="4" spans="1:24" ht="15.75" customHeight="1" x14ac:dyDescent="0.25">
      <c r="B4" s="5"/>
      <c r="C4" s="280" t="s">
        <v>237</v>
      </c>
      <c r="D4" s="1"/>
      <c r="E4" s="1"/>
      <c r="F4" s="1"/>
      <c r="G4" s="1"/>
      <c r="H4" s="1"/>
      <c r="I4" s="1"/>
      <c r="J4" s="1"/>
      <c r="K4" s="1"/>
      <c r="L4" s="1"/>
      <c r="M4" s="1"/>
      <c r="N4" s="1"/>
      <c r="O4" s="1"/>
      <c r="P4" s="1"/>
      <c r="Q4" s="1"/>
      <c r="R4" s="1"/>
      <c r="S4" s="76"/>
      <c r="T4" s="75"/>
    </row>
    <row r="5" spans="1:24" ht="18" customHeight="1" x14ac:dyDescent="0.25">
      <c r="B5" s="5"/>
      <c r="C5" s="2" t="s">
        <v>236</v>
      </c>
      <c r="D5" s="306" t="s">
        <v>242</v>
      </c>
      <c r="E5" s="306"/>
      <c r="F5" s="1"/>
      <c r="G5" s="109"/>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27</v>
      </c>
      <c r="X7" s="204" t="s">
        <v>2</v>
      </c>
    </row>
    <row r="8" spans="1:24" ht="15" customHeight="1" x14ac:dyDescent="0.25">
      <c r="B8" s="5"/>
      <c r="C8" s="92" t="s">
        <v>136</v>
      </c>
      <c r="D8" s="94" t="s">
        <v>29</v>
      </c>
      <c r="E8" s="96">
        <v>3.7532000000000003E-2</v>
      </c>
      <c r="F8" s="1"/>
      <c r="G8" s="1"/>
      <c r="H8" s="1"/>
      <c r="I8" s="1"/>
      <c r="J8" s="1"/>
      <c r="K8" s="1"/>
      <c r="L8" s="1"/>
      <c r="M8" s="1"/>
      <c r="N8" s="1"/>
      <c r="O8" s="1"/>
      <c r="P8" s="1"/>
      <c r="Q8" s="1"/>
      <c r="R8" s="1"/>
      <c r="S8" s="76"/>
      <c r="T8" s="75"/>
      <c r="W8" s="217" t="s">
        <v>7</v>
      </c>
      <c r="X8" s="218">
        <v>0.12331700000000002</v>
      </c>
    </row>
    <row r="9" spans="1:24" ht="15.75" customHeight="1" x14ac:dyDescent="0.25">
      <c r="B9" s="5"/>
      <c r="C9" s="93" t="s">
        <v>135</v>
      </c>
      <c r="D9" s="95" t="s">
        <v>11</v>
      </c>
      <c r="E9" s="97">
        <v>3.3905999999999999E-2</v>
      </c>
      <c r="F9" s="1"/>
      <c r="G9" s="1"/>
      <c r="H9" s="1"/>
      <c r="I9" s="1"/>
      <c r="J9" s="1"/>
      <c r="K9" s="1"/>
      <c r="L9" s="1"/>
      <c r="M9" s="1"/>
      <c r="N9" s="1"/>
      <c r="O9" s="1"/>
      <c r="P9" s="1"/>
      <c r="Q9" s="1"/>
      <c r="R9" s="1"/>
      <c r="S9" s="76"/>
      <c r="T9" s="75"/>
      <c r="W9" s="217" t="s">
        <v>11</v>
      </c>
      <c r="X9" s="218">
        <v>0.108057</v>
      </c>
    </row>
    <row r="10" spans="1:24" ht="15" customHeight="1" x14ac:dyDescent="0.25">
      <c r="B10" s="5"/>
      <c r="C10" s="93" t="s">
        <v>129</v>
      </c>
      <c r="D10" s="95" t="s">
        <v>7</v>
      </c>
      <c r="E10" s="97">
        <v>2.7962000000000001E-2</v>
      </c>
      <c r="F10" s="1"/>
      <c r="G10" s="1"/>
      <c r="H10" s="1"/>
      <c r="I10" s="1"/>
      <c r="J10" s="1"/>
      <c r="K10" s="1"/>
      <c r="L10" s="1"/>
      <c r="M10" s="1"/>
      <c r="N10" s="1"/>
      <c r="O10" s="1"/>
      <c r="P10" s="1"/>
      <c r="Q10" s="1"/>
      <c r="R10" s="1"/>
      <c r="S10" s="76"/>
      <c r="T10" s="75"/>
      <c r="W10" s="217" t="s">
        <v>29</v>
      </c>
      <c r="X10" s="218">
        <v>0.107206</v>
      </c>
    </row>
    <row r="11" spans="1:24" ht="15" customHeight="1" x14ac:dyDescent="0.25">
      <c r="B11" s="5"/>
      <c r="C11" s="93" t="s">
        <v>130</v>
      </c>
      <c r="D11" s="95" t="s">
        <v>22</v>
      </c>
      <c r="E11" s="97">
        <v>2.7747999999999998E-2</v>
      </c>
      <c r="F11" s="1"/>
      <c r="G11" s="1"/>
      <c r="H11" s="1"/>
      <c r="I11" s="1"/>
      <c r="J11" s="1"/>
      <c r="K11" s="1"/>
      <c r="L11" s="1"/>
      <c r="M11" s="1"/>
      <c r="N11" s="1"/>
      <c r="O11" s="1"/>
      <c r="P11" s="1"/>
      <c r="Q11" s="1"/>
      <c r="R11" s="1"/>
      <c r="S11" s="76"/>
      <c r="T11" s="75"/>
      <c r="W11" s="217" t="s">
        <v>16</v>
      </c>
      <c r="X11" s="218">
        <v>8.8438000000000003E-2</v>
      </c>
    </row>
    <row r="12" spans="1:24" ht="15" customHeight="1" x14ac:dyDescent="0.25">
      <c r="B12" s="5"/>
      <c r="C12" s="93" t="s">
        <v>212</v>
      </c>
      <c r="D12" s="95" t="s">
        <v>7</v>
      </c>
      <c r="E12" s="97">
        <v>2.6551000000000002E-2</v>
      </c>
      <c r="F12" s="1"/>
      <c r="G12" s="1"/>
      <c r="H12" s="1"/>
      <c r="I12" s="1"/>
      <c r="J12" s="1"/>
      <c r="K12" s="1"/>
      <c r="L12" s="1"/>
      <c r="M12" s="1"/>
      <c r="N12" s="1"/>
      <c r="O12" s="1"/>
      <c r="P12" s="1"/>
      <c r="Q12" s="1"/>
      <c r="R12" s="1"/>
      <c r="S12" s="76"/>
      <c r="T12" s="75"/>
      <c r="W12" s="217" t="s">
        <v>21</v>
      </c>
      <c r="X12" s="218">
        <v>7.8010999999999997E-2</v>
      </c>
    </row>
    <row r="13" spans="1:24" ht="15" customHeight="1" x14ac:dyDescent="0.25">
      <c r="B13" s="5"/>
      <c r="C13" s="93" t="s">
        <v>131</v>
      </c>
      <c r="D13" s="95" t="s">
        <v>21</v>
      </c>
      <c r="E13" s="97">
        <v>2.6464999999999999E-2</v>
      </c>
      <c r="F13" s="1"/>
      <c r="G13" s="1"/>
      <c r="H13" s="1"/>
      <c r="I13" s="1"/>
      <c r="J13" s="1"/>
      <c r="K13" s="1"/>
      <c r="L13" s="1"/>
      <c r="M13" s="1"/>
      <c r="N13" s="1"/>
      <c r="O13" s="1"/>
      <c r="P13" s="1"/>
      <c r="Q13" s="1"/>
      <c r="R13" s="1"/>
      <c r="S13" s="76"/>
      <c r="T13" s="75"/>
      <c r="W13" s="217" t="s">
        <v>22</v>
      </c>
      <c r="X13" s="218">
        <v>6.534899999999999E-2</v>
      </c>
    </row>
    <row r="14" spans="1:24" ht="15" customHeight="1" x14ac:dyDescent="0.25">
      <c r="B14" s="5"/>
      <c r="C14" s="93" t="s">
        <v>201</v>
      </c>
      <c r="D14" s="95" t="s">
        <v>133</v>
      </c>
      <c r="E14" s="97">
        <v>2.5862E-2</v>
      </c>
      <c r="F14" s="1"/>
      <c r="G14" s="1"/>
      <c r="H14" s="1"/>
      <c r="I14" s="1"/>
      <c r="J14" s="1"/>
      <c r="K14" s="1"/>
      <c r="L14" s="1"/>
      <c r="M14" s="1"/>
      <c r="N14" s="1"/>
      <c r="O14" s="1"/>
      <c r="P14" s="1"/>
      <c r="Q14" s="1"/>
      <c r="R14" s="1"/>
      <c r="S14" s="76"/>
      <c r="T14" s="75"/>
      <c r="W14" s="217" t="s">
        <v>17</v>
      </c>
      <c r="X14" s="218">
        <v>5.2087999999999995E-2</v>
      </c>
    </row>
    <row r="15" spans="1:24" ht="15" customHeight="1" x14ac:dyDescent="0.25">
      <c r="B15" s="5"/>
      <c r="C15" s="93" t="s">
        <v>200</v>
      </c>
      <c r="D15" s="95" t="s">
        <v>22</v>
      </c>
      <c r="E15" s="97">
        <v>2.4124E-2</v>
      </c>
      <c r="F15" s="1"/>
      <c r="G15" s="1"/>
      <c r="H15" s="1"/>
      <c r="I15" s="1"/>
      <c r="J15" s="1"/>
      <c r="K15" s="1"/>
      <c r="L15" s="1"/>
      <c r="M15" s="1"/>
      <c r="N15" s="1"/>
      <c r="O15" s="1"/>
      <c r="P15" s="1"/>
      <c r="Q15" s="1"/>
      <c r="R15" s="1"/>
      <c r="S15" s="76"/>
      <c r="T15" s="75"/>
      <c r="W15" s="217" t="s">
        <v>133</v>
      </c>
      <c r="X15" s="218">
        <v>4.6451999999999993E-2</v>
      </c>
    </row>
    <row r="16" spans="1:24" ht="15" customHeight="1" x14ac:dyDescent="0.25">
      <c r="B16" s="5"/>
      <c r="C16" s="93" t="s">
        <v>165</v>
      </c>
      <c r="D16" s="95" t="s">
        <v>11</v>
      </c>
      <c r="E16" s="97">
        <v>2.4060999999999999E-2</v>
      </c>
      <c r="F16" s="1"/>
      <c r="G16" s="1"/>
      <c r="H16" s="1"/>
      <c r="I16" s="1"/>
      <c r="J16" s="1"/>
      <c r="K16" s="1"/>
      <c r="L16" s="1"/>
      <c r="M16" s="1"/>
      <c r="N16" s="1"/>
      <c r="O16" s="1"/>
      <c r="P16" s="1"/>
      <c r="Q16" s="1"/>
      <c r="R16" s="1"/>
      <c r="S16" s="76"/>
      <c r="T16" s="75"/>
      <c r="W16" s="217" t="s">
        <v>150</v>
      </c>
      <c r="X16" s="218">
        <v>3.9247000000000004E-2</v>
      </c>
    </row>
    <row r="17" spans="2:24" ht="15" customHeight="1" x14ac:dyDescent="0.25">
      <c r="B17" s="5"/>
      <c r="C17" s="93" t="s">
        <v>190</v>
      </c>
      <c r="D17" s="95" t="s">
        <v>16</v>
      </c>
      <c r="E17" s="97">
        <v>2.1722000000000002E-2</v>
      </c>
      <c r="F17" s="1"/>
      <c r="G17" s="1"/>
      <c r="H17" s="1"/>
      <c r="I17" s="1"/>
      <c r="J17" s="1"/>
      <c r="K17" s="1"/>
      <c r="L17" s="1"/>
      <c r="M17" s="1"/>
      <c r="N17" s="1"/>
      <c r="O17" s="1"/>
      <c r="P17" s="1"/>
      <c r="Q17" s="1"/>
      <c r="R17" s="1"/>
      <c r="S17" s="76"/>
      <c r="T17" s="75"/>
      <c r="W17" s="217" t="s">
        <v>8</v>
      </c>
      <c r="X17" s="218">
        <v>3.5902000000000003E-2</v>
      </c>
    </row>
    <row r="18" spans="2:24" ht="15" customHeight="1" x14ac:dyDescent="0.25">
      <c r="B18" s="5"/>
      <c r="C18" s="93" t="s">
        <v>177</v>
      </c>
      <c r="D18" s="95" t="s">
        <v>29</v>
      </c>
      <c r="E18" s="97">
        <v>2.1439E-2</v>
      </c>
      <c r="F18" s="1"/>
      <c r="G18" s="1"/>
      <c r="H18" s="1"/>
      <c r="I18" s="1"/>
      <c r="J18" s="1"/>
      <c r="K18" s="1"/>
      <c r="L18" s="1"/>
      <c r="M18" s="1"/>
      <c r="N18" s="1"/>
      <c r="O18" s="1"/>
      <c r="P18" s="1"/>
      <c r="Q18" s="1"/>
      <c r="R18" s="1"/>
      <c r="S18" s="76"/>
      <c r="T18" s="75"/>
      <c r="W18" s="217" t="s">
        <v>151</v>
      </c>
      <c r="X18" s="218">
        <v>3.3770999999999995E-2</v>
      </c>
    </row>
    <row r="19" spans="2:24" ht="15" customHeight="1" x14ac:dyDescent="0.25">
      <c r="B19" s="5"/>
      <c r="C19" s="93" t="s">
        <v>132</v>
      </c>
      <c r="D19" s="95" t="s">
        <v>87</v>
      </c>
      <c r="E19" s="97">
        <v>2.0726000000000001E-2</v>
      </c>
      <c r="F19" s="1"/>
      <c r="G19" s="1"/>
      <c r="H19" s="1"/>
      <c r="I19" s="1"/>
      <c r="J19" s="1"/>
      <c r="K19" s="1"/>
      <c r="L19" s="1"/>
      <c r="M19" s="1"/>
      <c r="N19" s="1"/>
      <c r="O19" s="1"/>
      <c r="P19" s="1"/>
      <c r="Q19" s="1"/>
      <c r="R19" s="1"/>
      <c r="S19" s="76"/>
      <c r="T19" s="75"/>
      <c r="W19" s="217" t="s">
        <v>149</v>
      </c>
      <c r="X19" s="218">
        <v>2.8812999999999998E-2</v>
      </c>
    </row>
    <row r="20" spans="2:24" ht="15" customHeight="1" x14ac:dyDescent="0.25">
      <c r="B20" s="5"/>
      <c r="C20" s="93" t="s">
        <v>223</v>
      </c>
      <c r="D20" s="95" t="s">
        <v>21</v>
      </c>
      <c r="E20" s="97">
        <v>2.0648E-2</v>
      </c>
      <c r="F20" s="1"/>
      <c r="G20" s="1"/>
      <c r="H20" s="1"/>
      <c r="I20" s="1"/>
      <c r="J20" s="1"/>
      <c r="K20" s="1"/>
      <c r="L20" s="1"/>
      <c r="M20" s="1"/>
      <c r="N20" s="1"/>
      <c r="O20" s="1"/>
      <c r="P20" s="1"/>
      <c r="Q20" s="1"/>
      <c r="R20" s="1"/>
      <c r="S20" s="76"/>
      <c r="T20" s="75"/>
      <c r="W20" s="217" t="s">
        <v>35</v>
      </c>
      <c r="X20" s="218">
        <v>2.7383000000000001E-2</v>
      </c>
    </row>
    <row r="21" spans="2:24" ht="15" customHeight="1" x14ac:dyDescent="0.25">
      <c r="B21" s="5"/>
      <c r="C21" s="93" t="s">
        <v>140</v>
      </c>
      <c r="D21" s="95" t="s">
        <v>3</v>
      </c>
      <c r="E21" s="97">
        <v>2.0258000000000002E-2</v>
      </c>
      <c r="F21" s="1"/>
      <c r="G21" s="1"/>
      <c r="H21" s="1"/>
      <c r="I21" s="1"/>
      <c r="J21" s="1"/>
      <c r="K21" s="1"/>
      <c r="L21" s="1"/>
      <c r="M21" s="1"/>
      <c r="N21" s="1"/>
      <c r="O21" s="1"/>
      <c r="P21" s="1"/>
      <c r="Q21" s="1"/>
      <c r="R21" s="1"/>
      <c r="S21" s="76"/>
      <c r="T21" s="75"/>
      <c r="W21" s="217" t="s">
        <v>87</v>
      </c>
      <c r="X21" s="218">
        <v>2.0726000000000001E-2</v>
      </c>
    </row>
    <row r="22" spans="2:24" ht="15" customHeight="1" x14ac:dyDescent="0.25">
      <c r="B22" s="5"/>
      <c r="C22" s="93" t="s">
        <v>233</v>
      </c>
      <c r="D22" s="95" t="s">
        <v>29</v>
      </c>
      <c r="E22" s="97">
        <v>2.0042000000000001E-2</v>
      </c>
      <c r="F22" s="1"/>
      <c r="G22" s="1"/>
      <c r="H22" s="1"/>
      <c r="I22" s="1"/>
      <c r="J22" s="1"/>
      <c r="K22" s="1"/>
      <c r="L22" s="1"/>
      <c r="M22" s="1"/>
      <c r="N22" s="1"/>
      <c r="O22" s="1"/>
      <c r="P22" s="1"/>
      <c r="Q22" s="1"/>
      <c r="R22" s="1"/>
      <c r="S22" s="76"/>
      <c r="T22" s="75"/>
      <c r="W22" s="217" t="s">
        <v>3</v>
      </c>
      <c r="X22" s="218">
        <v>2.0258000000000002E-2</v>
      </c>
    </row>
    <row r="23" spans="2:24" ht="15" customHeight="1" x14ac:dyDescent="0.25">
      <c r="B23" s="5"/>
      <c r="C23" s="68"/>
      <c r="D23" s="91"/>
      <c r="E23" s="90"/>
      <c r="F23" s="1"/>
      <c r="G23" s="1"/>
      <c r="H23" s="1"/>
      <c r="I23" s="1"/>
      <c r="J23" s="1"/>
      <c r="K23" s="1"/>
      <c r="L23" s="1"/>
      <c r="M23" s="1"/>
      <c r="N23" s="1"/>
      <c r="O23" s="1"/>
      <c r="P23" s="1"/>
      <c r="Q23" s="1"/>
      <c r="R23" s="1"/>
      <c r="S23" s="76"/>
      <c r="T23" s="75"/>
      <c r="W23" s="217" t="s">
        <v>12</v>
      </c>
      <c r="X23" s="218">
        <v>1.8187999999999999E-2</v>
      </c>
    </row>
    <row r="24" spans="2:24" ht="15" customHeight="1" x14ac:dyDescent="0.25">
      <c r="B24" s="5"/>
      <c r="C24" s="69" t="s">
        <v>77</v>
      </c>
      <c r="D24" s="71"/>
      <c r="E24" s="64">
        <f>SUM(E8:E22)</f>
        <v>0.37904599999999999</v>
      </c>
      <c r="F24" s="1"/>
      <c r="G24" s="1"/>
      <c r="H24" s="1"/>
      <c r="I24" s="1"/>
      <c r="J24" s="1"/>
      <c r="K24" s="1"/>
      <c r="L24" s="1"/>
      <c r="M24" s="1"/>
      <c r="N24" s="1"/>
      <c r="O24" s="1"/>
      <c r="P24" s="1"/>
      <c r="Q24" s="1"/>
      <c r="R24" s="1"/>
      <c r="S24" s="76"/>
      <c r="T24" s="75"/>
      <c r="W24" s="217" t="s">
        <v>4</v>
      </c>
      <c r="X24" s="218">
        <v>1.4645999999999999E-2</v>
      </c>
    </row>
    <row r="25" spans="2:24" ht="15" customHeight="1" x14ac:dyDescent="0.25">
      <c r="B25" s="5"/>
      <c r="F25" s="1"/>
      <c r="G25" s="1"/>
      <c r="H25" s="1"/>
      <c r="I25" s="1"/>
      <c r="J25" s="1"/>
      <c r="K25" s="1"/>
      <c r="L25" s="1"/>
      <c r="M25" s="1"/>
      <c r="N25" s="1"/>
      <c r="O25" s="1"/>
      <c r="P25" s="1"/>
      <c r="Q25" s="1"/>
      <c r="R25" s="1"/>
      <c r="S25" s="76"/>
      <c r="T25" s="75"/>
      <c r="W25" s="217" t="s">
        <v>6</v>
      </c>
      <c r="X25" s="218">
        <v>1.3269E-2</v>
      </c>
    </row>
    <row r="26" spans="2:24" ht="15" customHeight="1" x14ac:dyDescent="0.25">
      <c r="B26" s="5"/>
      <c r="F26" s="1"/>
      <c r="G26" s="1"/>
      <c r="H26" s="1"/>
      <c r="I26" s="1"/>
      <c r="J26" s="1"/>
      <c r="K26" s="1"/>
      <c r="L26" s="1"/>
      <c r="M26" s="1"/>
      <c r="N26" s="1"/>
      <c r="O26" s="1"/>
      <c r="P26" s="1"/>
      <c r="Q26" s="1"/>
      <c r="R26" s="1"/>
      <c r="S26" s="76"/>
      <c r="T26" s="75"/>
      <c r="W26" s="217" t="s">
        <v>89</v>
      </c>
      <c r="X26" s="218">
        <v>1.2685999999999999E-2</v>
      </c>
    </row>
    <row r="27" spans="2:24" ht="15" customHeight="1" x14ac:dyDescent="0.25">
      <c r="B27" s="5"/>
      <c r="F27" s="1"/>
      <c r="G27" s="1"/>
      <c r="H27" s="1"/>
      <c r="I27" s="1"/>
      <c r="J27" s="1"/>
      <c r="K27" s="1"/>
      <c r="L27" s="1"/>
      <c r="M27" s="1"/>
      <c r="N27" s="1"/>
      <c r="O27" s="1"/>
      <c r="P27" s="1"/>
      <c r="Q27" s="1"/>
      <c r="R27" s="1"/>
      <c r="S27" s="76"/>
      <c r="T27" s="75"/>
      <c r="W27" s="217" t="s">
        <v>33</v>
      </c>
      <c r="X27" s="218">
        <v>8.9289999999999994E-3</v>
      </c>
    </row>
    <row r="28" spans="2:24" ht="15" customHeight="1" x14ac:dyDescent="0.25">
      <c r="B28" s="5"/>
      <c r="F28" s="1"/>
      <c r="G28" s="1"/>
      <c r="H28" s="1"/>
      <c r="I28" s="1"/>
      <c r="J28" s="1"/>
      <c r="K28" s="1"/>
      <c r="L28" s="1"/>
      <c r="M28" s="1"/>
      <c r="N28" s="1"/>
      <c r="O28" s="1"/>
      <c r="P28" s="1"/>
      <c r="Q28" s="1"/>
      <c r="R28" s="1"/>
      <c r="S28" s="76"/>
      <c r="T28" s="75"/>
      <c r="W28" s="217" t="s">
        <v>28</v>
      </c>
      <c r="X28" s="218">
        <v>5.2979999999999998E-3</v>
      </c>
    </row>
    <row r="29" spans="2:24" ht="15" customHeight="1" x14ac:dyDescent="0.25">
      <c r="B29" s="5"/>
      <c r="F29" s="1"/>
      <c r="G29" s="1"/>
      <c r="H29" s="1"/>
      <c r="I29" s="1"/>
      <c r="J29" s="1"/>
      <c r="K29" s="1"/>
      <c r="L29" s="1"/>
      <c r="M29" s="1"/>
      <c r="N29" s="1"/>
      <c r="O29" s="1"/>
      <c r="P29" s="1"/>
      <c r="Q29" s="1"/>
      <c r="R29" s="1"/>
      <c r="S29" s="76"/>
      <c r="T29" s="75"/>
      <c r="W29" s="200"/>
      <c r="X29" s="201"/>
    </row>
    <row r="30" spans="2:24" ht="15" customHeight="1" x14ac:dyDescent="0.25">
      <c r="B30" s="5"/>
      <c r="F30" s="1"/>
      <c r="G30" s="1"/>
      <c r="H30" s="1"/>
      <c r="I30" s="1"/>
      <c r="J30" s="1"/>
      <c r="K30" s="1"/>
      <c r="L30" s="1"/>
      <c r="M30" s="1"/>
      <c r="N30" s="1"/>
      <c r="O30" s="1"/>
      <c r="P30" s="1"/>
      <c r="Q30" s="1"/>
      <c r="R30" s="1"/>
      <c r="S30" s="76"/>
      <c r="T30" s="75"/>
      <c r="W30" s="200"/>
      <c r="X30" s="201"/>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7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4" t="s">
        <v>147</v>
      </c>
      <c r="C40" s="295"/>
      <c r="D40" s="295"/>
      <c r="E40" s="295"/>
      <c r="F40" s="295"/>
      <c r="G40" s="295"/>
      <c r="H40" s="295"/>
      <c r="I40" s="295"/>
      <c r="J40" s="295"/>
      <c r="K40" s="295"/>
      <c r="L40" s="295"/>
      <c r="M40" s="295"/>
      <c r="N40" s="295"/>
      <c r="O40" s="295"/>
      <c r="P40" s="295"/>
      <c r="Q40" s="295"/>
      <c r="R40" s="296"/>
    </row>
    <row r="41" spans="2:20" ht="15" customHeight="1" x14ac:dyDescent="0.25">
      <c r="B41" s="297"/>
      <c r="C41" s="298"/>
      <c r="D41" s="298"/>
      <c r="E41" s="298"/>
      <c r="F41" s="298"/>
      <c r="G41" s="298"/>
      <c r="H41" s="298"/>
      <c r="I41" s="298"/>
      <c r="J41" s="298"/>
      <c r="K41" s="298"/>
      <c r="L41" s="298"/>
      <c r="M41" s="298"/>
      <c r="N41" s="298"/>
      <c r="O41" s="298"/>
      <c r="P41" s="298"/>
      <c r="Q41" s="298"/>
      <c r="R41" s="299"/>
    </row>
    <row r="42" spans="2:20" ht="15" customHeight="1" x14ac:dyDescent="0.25">
      <c r="B42" s="297"/>
      <c r="C42" s="298"/>
      <c r="D42" s="298"/>
      <c r="E42" s="298"/>
      <c r="F42" s="298"/>
      <c r="G42" s="298"/>
      <c r="H42" s="298"/>
      <c r="I42" s="298"/>
      <c r="J42" s="298"/>
      <c r="K42" s="298"/>
      <c r="L42" s="298"/>
      <c r="M42" s="298"/>
      <c r="N42" s="298"/>
      <c r="O42" s="298"/>
      <c r="P42" s="298"/>
      <c r="Q42" s="298"/>
      <c r="R42" s="299"/>
    </row>
    <row r="43" spans="2:20" ht="15" customHeight="1" x14ac:dyDescent="0.25">
      <c r="B43" s="297"/>
      <c r="C43" s="298"/>
      <c r="D43" s="298"/>
      <c r="E43" s="298"/>
      <c r="F43" s="298"/>
      <c r="G43" s="298"/>
      <c r="H43" s="298"/>
      <c r="I43" s="298"/>
      <c r="J43" s="298"/>
      <c r="K43" s="298"/>
      <c r="L43" s="298"/>
      <c r="M43" s="298"/>
      <c r="N43" s="298"/>
      <c r="O43" s="298"/>
      <c r="P43" s="298"/>
      <c r="Q43" s="298"/>
      <c r="R43" s="299"/>
    </row>
    <row r="44" spans="2:20" ht="15" customHeight="1" x14ac:dyDescent="0.25">
      <c r="B44" s="297"/>
      <c r="C44" s="298"/>
      <c r="D44" s="298"/>
      <c r="E44" s="298"/>
      <c r="F44" s="298"/>
      <c r="G44" s="298"/>
      <c r="H44" s="298"/>
      <c r="I44" s="298"/>
      <c r="J44" s="298"/>
      <c r="K44" s="298"/>
      <c r="L44" s="298"/>
      <c r="M44" s="298"/>
      <c r="N44" s="298"/>
      <c r="O44" s="298"/>
      <c r="P44" s="298"/>
      <c r="Q44" s="298"/>
      <c r="R44" s="299"/>
    </row>
    <row r="45" spans="2:20" ht="15" customHeight="1" x14ac:dyDescent="0.25">
      <c r="B45" s="297"/>
      <c r="C45" s="298"/>
      <c r="D45" s="298"/>
      <c r="E45" s="298"/>
      <c r="F45" s="298"/>
      <c r="G45" s="298"/>
      <c r="H45" s="298"/>
      <c r="I45" s="298"/>
      <c r="J45" s="298"/>
      <c r="K45" s="298"/>
      <c r="L45" s="298"/>
      <c r="M45" s="298"/>
      <c r="N45" s="298"/>
      <c r="O45" s="298"/>
      <c r="P45" s="298"/>
      <c r="Q45" s="298"/>
      <c r="R45" s="299"/>
    </row>
    <row r="46" spans="2:20" ht="15" customHeight="1" thickBot="1" x14ac:dyDescent="0.3">
      <c r="B46" s="300"/>
      <c r="C46" s="301"/>
      <c r="D46" s="301"/>
      <c r="E46" s="301"/>
      <c r="F46" s="301"/>
      <c r="G46" s="301"/>
      <c r="H46" s="301"/>
      <c r="I46" s="301"/>
      <c r="J46" s="301"/>
      <c r="K46" s="301"/>
      <c r="L46" s="301"/>
      <c r="M46" s="301"/>
      <c r="N46" s="301"/>
      <c r="O46" s="301"/>
      <c r="P46" s="301"/>
      <c r="Q46" s="301"/>
      <c r="R46" s="302"/>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scale="46" orientation="landscape" r:id="rId1"/>
  <colBreaks count="1" manualBreakCount="1">
    <brk id="22"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AF66"/>
  <sheetViews>
    <sheetView showGridLines="0" view="pageBreakPreview" zoomScale="60"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3" t="s">
        <v>31</v>
      </c>
      <c r="D3" s="304"/>
      <c r="E3" s="304"/>
      <c r="F3" s="304"/>
      <c r="G3" s="304"/>
      <c r="H3" s="304"/>
      <c r="I3" s="304"/>
      <c r="J3" s="304"/>
      <c r="K3" s="304"/>
      <c r="L3" s="304"/>
      <c r="M3" s="304"/>
      <c r="N3" s="304"/>
      <c r="O3" s="304"/>
      <c r="P3" s="304"/>
      <c r="Q3" s="304"/>
      <c r="R3" s="304"/>
      <c r="S3" s="305"/>
      <c r="T3" s="75"/>
    </row>
    <row r="4" spans="1:24" ht="15.75" customHeight="1" x14ac:dyDescent="0.25">
      <c r="B4" s="5"/>
      <c r="C4" s="280" t="s">
        <v>237</v>
      </c>
      <c r="D4" s="1"/>
      <c r="E4" s="1"/>
      <c r="F4" s="1"/>
      <c r="G4" s="1"/>
      <c r="H4" s="1"/>
      <c r="I4" s="1"/>
      <c r="J4" s="1"/>
      <c r="K4" s="1"/>
      <c r="L4" s="1"/>
      <c r="M4" s="1"/>
      <c r="N4" s="1"/>
      <c r="O4" s="1"/>
      <c r="P4" s="1"/>
      <c r="Q4" s="1"/>
      <c r="R4" s="1"/>
      <c r="S4" s="76"/>
      <c r="T4" s="75"/>
    </row>
    <row r="5" spans="1:24" ht="18" customHeight="1" x14ac:dyDescent="0.25">
      <c r="B5" s="5"/>
      <c r="C5" s="2" t="s">
        <v>236</v>
      </c>
      <c r="D5" s="306" t="s">
        <v>243</v>
      </c>
      <c r="E5" s="306"/>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27</v>
      </c>
      <c r="X7" s="166" t="s">
        <v>2</v>
      </c>
    </row>
    <row r="8" spans="1:24" ht="15" customHeight="1" x14ac:dyDescent="0.25">
      <c r="B8" s="5"/>
      <c r="C8" s="93" t="s">
        <v>44</v>
      </c>
      <c r="D8" s="95" t="s">
        <v>9</v>
      </c>
      <c r="E8" s="98">
        <v>0.105389</v>
      </c>
      <c r="F8" s="1"/>
      <c r="G8" s="1"/>
      <c r="H8" s="1"/>
      <c r="I8" s="1"/>
      <c r="J8" s="1"/>
      <c r="K8" s="1"/>
      <c r="L8" s="1"/>
      <c r="M8" s="1"/>
      <c r="N8" s="1"/>
      <c r="O8" s="1"/>
      <c r="P8" s="1"/>
      <c r="Q8" s="1"/>
      <c r="R8" s="1"/>
      <c r="S8" s="76"/>
      <c r="T8" s="75"/>
      <c r="W8" s="200" t="s">
        <v>149</v>
      </c>
      <c r="X8" s="201">
        <v>0.186446</v>
      </c>
    </row>
    <row r="9" spans="1:24" ht="15.75" customHeight="1" x14ac:dyDescent="0.25">
      <c r="B9" s="5"/>
      <c r="C9" s="93" t="s">
        <v>95</v>
      </c>
      <c r="D9" s="95" t="s">
        <v>149</v>
      </c>
      <c r="E9" s="98">
        <v>7.5157000000000002E-2</v>
      </c>
      <c r="F9" s="1"/>
      <c r="G9" s="1"/>
      <c r="H9" s="1"/>
      <c r="I9" s="1"/>
      <c r="J9" s="1"/>
      <c r="K9" s="1"/>
      <c r="L9" s="1"/>
      <c r="M9" s="1"/>
      <c r="N9" s="1"/>
      <c r="O9" s="1"/>
      <c r="P9" s="1"/>
      <c r="Q9" s="1"/>
      <c r="R9" s="1"/>
      <c r="S9" s="76"/>
      <c r="T9" s="75"/>
      <c r="W9" s="200" t="s">
        <v>9</v>
      </c>
      <c r="X9" s="201">
        <v>0.17266399999999998</v>
      </c>
    </row>
    <row r="10" spans="1:24" ht="15" customHeight="1" x14ac:dyDescent="0.25">
      <c r="B10" s="5"/>
      <c r="C10" s="93" t="s">
        <v>107</v>
      </c>
      <c r="D10" s="95" t="s">
        <v>32</v>
      </c>
      <c r="E10" s="98">
        <v>6.7140000000000005E-2</v>
      </c>
      <c r="F10" s="1"/>
      <c r="G10" s="1"/>
      <c r="H10" s="1"/>
      <c r="I10" s="1"/>
      <c r="J10" s="1"/>
      <c r="K10" s="1"/>
      <c r="L10" s="1"/>
      <c r="M10" s="1"/>
      <c r="N10" s="1"/>
      <c r="O10" s="1"/>
      <c r="P10" s="1"/>
      <c r="Q10" s="1"/>
      <c r="R10" s="1"/>
      <c r="S10" s="76"/>
      <c r="T10" s="75"/>
      <c r="W10" s="200" t="s">
        <v>32</v>
      </c>
      <c r="X10" s="201">
        <v>0.13845400000000002</v>
      </c>
    </row>
    <row r="11" spans="1:24" ht="15" customHeight="1" x14ac:dyDescent="0.25">
      <c r="B11" s="5"/>
      <c r="C11" s="93" t="s">
        <v>109</v>
      </c>
      <c r="D11" s="95" t="s">
        <v>149</v>
      </c>
      <c r="E11" s="98">
        <v>6.4376000000000003E-2</v>
      </c>
      <c r="F11" s="1"/>
      <c r="G11" s="1"/>
      <c r="H11" s="1"/>
      <c r="I11" s="1"/>
      <c r="J11" s="1"/>
      <c r="K11" s="1"/>
      <c r="L11" s="1"/>
      <c r="M11" s="1"/>
      <c r="N11" s="1"/>
      <c r="O11" s="1"/>
      <c r="P11" s="1"/>
      <c r="Q11" s="1"/>
      <c r="R11" s="1"/>
      <c r="S11" s="76"/>
      <c r="T11" s="75"/>
      <c r="W11" s="200" t="s">
        <v>28</v>
      </c>
      <c r="X11" s="201">
        <v>8.965999999999999E-2</v>
      </c>
    </row>
    <row r="12" spans="1:24" ht="15" customHeight="1" x14ac:dyDescent="0.25">
      <c r="B12" s="5"/>
      <c r="C12" s="93" t="s">
        <v>113</v>
      </c>
      <c r="D12" s="95" t="s">
        <v>14</v>
      </c>
      <c r="E12" s="98">
        <v>4.6207999999999999E-2</v>
      </c>
      <c r="F12" s="1"/>
      <c r="G12" s="1"/>
      <c r="H12" s="1"/>
      <c r="I12" s="1"/>
      <c r="J12" s="1"/>
      <c r="K12" s="1"/>
      <c r="L12" s="1"/>
      <c r="M12" s="1"/>
      <c r="N12" s="1"/>
      <c r="O12" s="1"/>
      <c r="P12" s="1"/>
      <c r="Q12" s="1"/>
      <c r="R12" s="1"/>
      <c r="S12" s="76"/>
      <c r="T12" s="75"/>
      <c r="W12" s="200" t="s">
        <v>23</v>
      </c>
      <c r="X12" s="201">
        <v>7.7700999999999992E-2</v>
      </c>
    </row>
    <row r="13" spans="1:24" ht="15" customHeight="1" x14ac:dyDescent="0.25">
      <c r="B13" s="5"/>
      <c r="C13" s="93" t="s">
        <v>156</v>
      </c>
      <c r="D13" s="95" t="s">
        <v>9</v>
      </c>
      <c r="E13" s="98">
        <v>4.3173000000000003E-2</v>
      </c>
      <c r="F13" s="1"/>
      <c r="G13" s="1"/>
      <c r="H13" s="1"/>
      <c r="I13" s="1"/>
      <c r="J13" s="1"/>
      <c r="K13" s="1"/>
      <c r="L13" s="1"/>
      <c r="M13" s="1"/>
      <c r="N13" s="1"/>
      <c r="O13" s="1"/>
      <c r="P13" s="1"/>
      <c r="Q13" s="1"/>
      <c r="R13" s="1"/>
      <c r="S13" s="76"/>
      <c r="T13" s="75"/>
      <c r="W13" s="200" t="s">
        <v>30</v>
      </c>
      <c r="X13" s="201">
        <v>5.8795E-2</v>
      </c>
    </row>
    <row r="14" spans="1:24" ht="15" customHeight="1" x14ac:dyDescent="0.25">
      <c r="B14" s="5"/>
      <c r="C14" s="93" t="s">
        <v>115</v>
      </c>
      <c r="D14" s="95" t="s">
        <v>12</v>
      </c>
      <c r="E14" s="98">
        <v>4.2655999999999999E-2</v>
      </c>
      <c r="F14" s="1"/>
      <c r="G14" s="1"/>
      <c r="H14" s="1"/>
      <c r="I14" s="1"/>
      <c r="J14" s="1"/>
      <c r="K14" s="1"/>
      <c r="L14" s="1"/>
      <c r="M14" s="1"/>
      <c r="N14" s="1"/>
      <c r="O14" s="1"/>
      <c r="P14" s="1"/>
      <c r="Q14" s="1"/>
      <c r="R14" s="1"/>
      <c r="S14" s="76"/>
      <c r="T14" s="75"/>
      <c r="W14" s="200" t="s">
        <v>13</v>
      </c>
      <c r="X14" s="201">
        <v>4.9704999999999999E-2</v>
      </c>
    </row>
    <row r="15" spans="1:24" ht="15" customHeight="1" x14ac:dyDescent="0.25">
      <c r="B15" s="5"/>
      <c r="C15" s="93" t="s">
        <v>157</v>
      </c>
      <c r="D15" s="95" t="s">
        <v>149</v>
      </c>
      <c r="E15" s="98">
        <v>3.6663000000000001E-2</v>
      </c>
      <c r="F15" s="1"/>
      <c r="G15" s="1"/>
      <c r="H15" s="1"/>
      <c r="I15" s="1"/>
      <c r="J15" s="1"/>
      <c r="K15" s="1"/>
      <c r="L15" s="1"/>
      <c r="M15" s="1"/>
      <c r="N15" s="1"/>
      <c r="O15" s="1"/>
      <c r="P15" s="1"/>
      <c r="Q15" s="1"/>
      <c r="R15" s="1"/>
      <c r="S15" s="76"/>
      <c r="T15" s="75"/>
      <c r="W15" s="200" t="s">
        <v>14</v>
      </c>
      <c r="X15" s="201">
        <v>4.6207999999999999E-2</v>
      </c>
    </row>
    <row r="16" spans="1:24" ht="15" customHeight="1" x14ac:dyDescent="0.25">
      <c r="B16" s="5"/>
      <c r="C16" s="93" t="s">
        <v>194</v>
      </c>
      <c r="D16" s="95" t="s">
        <v>23</v>
      </c>
      <c r="E16" s="98">
        <v>3.5836E-2</v>
      </c>
      <c r="F16" s="1"/>
      <c r="G16" s="1"/>
      <c r="H16" s="1"/>
      <c r="I16" s="1"/>
      <c r="J16" s="1"/>
      <c r="K16" s="1"/>
      <c r="L16" s="1"/>
      <c r="M16" s="1"/>
      <c r="N16" s="1"/>
      <c r="O16" s="1"/>
      <c r="P16" s="1"/>
      <c r="Q16" s="1"/>
      <c r="R16" s="1"/>
      <c r="S16" s="76"/>
      <c r="T16" s="75"/>
      <c r="W16" s="200" t="s">
        <v>29</v>
      </c>
      <c r="X16" s="201">
        <v>4.3452999999999999E-2</v>
      </c>
    </row>
    <row r="17" spans="2:24" ht="15" customHeight="1" x14ac:dyDescent="0.25">
      <c r="B17" s="5"/>
      <c r="C17" s="93" t="s">
        <v>92</v>
      </c>
      <c r="D17" s="95" t="s">
        <v>28</v>
      </c>
      <c r="E17" s="98">
        <v>3.4890999999999998E-2</v>
      </c>
      <c r="F17" s="1"/>
      <c r="G17" s="1"/>
      <c r="H17" s="1"/>
      <c r="I17" s="1"/>
      <c r="J17" s="1"/>
      <c r="K17" s="1"/>
      <c r="L17" s="1"/>
      <c r="M17" s="1"/>
      <c r="N17" s="1"/>
      <c r="O17" s="1"/>
      <c r="P17" s="1"/>
      <c r="Q17" s="1"/>
      <c r="R17" s="1"/>
      <c r="S17" s="76"/>
      <c r="T17" s="75"/>
      <c r="W17" s="200" t="s">
        <v>12</v>
      </c>
      <c r="X17" s="201">
        <v>4.2655999999999999E-2</v>
      </c>
    </row>
    <row r="18" spans="2:24" ht="15" customHeight="1" x14ac:dyDescent="0.25">
      <c r="B18" s="5"/>
      <c r="C18" s="93" t="s">
        <v>126</v>
      </c>
      <c r="D18" s="95" t="s">
        <v>13</v>
      </c>
      <c r="E18" s="98">
        <v>3.2551999999999998E-2</v>
      </c>
      <c r="F18" s="1"/>
      <c r="G18" s="1"/>
      <c r="H18" s="1"/>
      <c r="I18" s="1"/>
      <c r="J18" s="1"/>
      <c r="K18" s="1"/>
      <c r="L18" s="1"/>
      <c r="M18" s="1"/>
      <c r="N18" s="1"/>
      <c r="O18" s="1"/>
      <c r="P18" s="1"/>
      <c r="Q18" s="1"/>
      <c r="R18" s="1"/>
      <c r="S18" s="76"/>
      <c r="T18" s="75"/>
      <c r="W18" s="200" t="s">
        <v>153</v>
      </c>
      <c r="X18" s="201">
        <v>2.9707999999999998E-2</v>
      </c>
    </row>
    <row r="19" spans="2:24" ht="15" customHeight="1" x14ac:dyDescent="0.25">
      <c r="B19" s="5"/>
      <c r="C19" s="93" t="s">
        <v>191</v>
      </c>
      <c r="D19" s="95" t="s">
        <v>23</v>
      </c>
      <c r="E19" s="98">
        <v>3.2196000000000002E-2</v>
      </c>
      <c r="F19" s="1"/>
      <c r="G19" s="1"/>
      <c r="H19" s="1"/>
      <c r="I19" s="1"/>
      <c r="J19" s="1"/>
      <c r="K19" s="1"/>
      <c r="L19" s="1"/>
      <c r="M19" s="1"/>
      <c r="N19" s="1"/>
      <c r="O19" s="1"/>
      <c r="P19" s="1"/>
      <c r="Q19" s="1"/>
      <c r="R19" s="1"/>
      <c r="S19" s="76"/>
      <c r="T19" s="75"/>
      <c r="W19" s="200" t="s">
        <v>6</v>
      </c>
      <c r="X19" s="201">
        <v>1.0857E-2</v>
      </c>
    </row>
    <row r="20" spans="2:24" ht="15" customHeight="1" x14ac:dyDescent="0.25">
      <c r="B20" s="5"/>
      <c r="C20" s="93" t="s">
        <v>112</v>
      </c>
      <c r="D20" s="95" t="s">
        <v>30</v>
      </c>
      <c r="E20" s="98">
        <v>3.0204000000000002E-2</v>
      </c>
      <c r="F20" s="1"/>
      <c r="G20" s="1"/>
      <c r="H20" s="1"/>
      <c r="I20" s="1"/>
      <c r="J20" s="1"/>
      <c r="K20" s="1"/>
      <c r="L20" s="1"/>
      <c r="M20" s="1"/>
      <c r="N20" s="1"/>
      <c r="O20" s="1"/>
      <c r="P20" s="1"/>
      <c r="Q20" s="1"/>
      <c r="R20" s="1"/>
      <c r="S20" s="76"/>
      <c r="T20" s="75"/>
      <c r="W20" s="200" t="s">
        <v>211</v>
      </c>
      <c r="X20" s="201">
        <v>4.8609999999999999E-3</v>
      </c>
    </row>
    <row r="21" spans="2:24" ht="15" customHeight="1" x14ac:dyDescent="0.25">
      <c r="B21" s="5"/>
      <c r="C21" s="93" t="s">
        <v>202</v>
      </c>
      <c r="D21" s="95" t="s">
        <v>153</v>
      </c>
      <c r="E21" s="98">
        <v>2.9707999999999998E-2</v>
      </c>
      <c r="F21" s="1"/>
      <c r="G21" s="1"/>
      <c r="H21" s="1"/>
      <c r="I21" s="1"/>
      <c r="J21" s="1"/>
      <c r="K21" s="1"/>
      <c r="L21" s="1"/>
      <c r="M21" s="1"/>
      <c r="N21" s="1"/>
      <c r="O21" s="1"/>
      <c r="P21" s="1"/>
      <c r="Q21" s="1"/>
      <c r="R21" s="1"/>
      <c r="S21" s="76"/>
      <c r="T21" s="75"/>
      <c r="W21" s="200"/>
      <c r="X21" s="201"/>
    </row>
    <row r="22" spans="2:24" ht="15" customHeight="1" x14ac:dyDescent="0.25">
      <c r="B22" s="5"/>
      <c r="C22" s="93" t="s">
        <v>111</v>
      </c>
      <c r="D22" s="95" t="s">
        <v>30</v>
      </c>
      <c r="E22" s="98">
        <v>2.8590999999999998E-2</v>
      </c>
      <c r="F22" s="1"/>
      <c r="G22" s="1"/>
      <c r="H22" s="1"/>
      <c r="I22" s="1"/>
      <c r="J22" s="1"/>
      <c r="K22" s="1"/>
      <c r="L22" s="1"/>
      <c r="M22" s="1"/>
      <c r="N22" s="1"/>
      <c r="O22" s="1"/>
      <c r="P22" s="1"/>
      <c r="Q22" s="1"/>
      <c r="R22" s="1"/>
      <c r="S22" s="76"/>
      <c r="T22" s="75"/>
      <c r="W22" s="200"/>
      <c r="X22" s="201"/>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77</v>
      </c>
      <c r="D24" s="71"/>
      <c r="E24" s="64">
        <f>SUM(E8:E22)</f>
        <v>0.70474000000000003</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294" t="s">
        <v>147</v>
      </c>
      <c r="C39" s="295"/>
      <c r="D39" s="295"/>
      <c r="E39" s="295"/>
      <c r="F39" s="295"/>
      <c r="G39" s="295"/>
      <c r="H39" s="295"/>
      <c r="I39" s="295"/>
      <c r="J39" s="295"/>
      <c r="K39" s="295"/>
      <c r="L39" s="295"/>
      <c r="M39" s="295"/>
      <c r="N39" s="295"/>
      <c r="O39" s="295"/>
      <c r="P39" s="295"/>
      <c r="Q39" s="295"/>
      <c r="R39" s="296"/>
    </row>
    <row r="40" spans="2:20" ht="15" customHeight="1" x14ac:dyDescent="0.25">
      <c r="B40" s="297"/>
      <c r="C40" s="298"/>
      <c r="D40" s="298"/>
      <c r="E40" s="298"/>
      <c r="F40" s="298"/>
      <c r="G40" s="298"/>
      <c r="H40" s="298"/>
      <c r="I40" s="298"/>
      <c r="J40" s="298"/>
      <c r="K40" s="298"/>
      <c r="L40" s="298"/>
      <c r="M40" s="298"/>
      <c r="N40" s="298"/>
      <c r="O40" s="298"/>
      <c r="P40" s="298"/>
      <c r="Q40" s="298"/>
      <c r="R40" s="299"/>
    </row>
    <row r="41" spans="2:20" ht="15" customHeight="1" x14ac:dyDescent="0.25">
      <c r="B41" s="297"/>
      <c r="C41" s="298"/>
      <c r="D41" s="298"/>
      <c r="E41" s="298"/>
      <c r="F41" s="298"/>
      <c r="G41" s="298"/>
      <c r="H41" s="298"/>
      <c r="I41" s="298"/>
      <c r="J41" s="298"/>
      <c r="K41" s="298"/>
      <c r="L41" s="298"/>
      <c r="M41" s="298"/>
      <c r="N41" s="298"/>
      <c r="O41" s="298"/>
      <c r="P41" s="298"/>
      <c r="Q41" s="298"/>
      <c r="R41" s="299"/>
    </row>
    <row r="42" spans="2:20" ht="15" customHeight="1" x14ac:dyDescent="0.25">
      <c r="B42" s="297"/>
      <c r="C42" s="298"/>
      <c r="D42" s="298"/>
      <c r="E42" s="298"/>
      <c r="F42" s="298"/>
      <c r="G42" s="298"/>
      <c r="H42" s="298"/>
      <c r="I42" s="298"/>
      <c r="J42" s="298"/>
      <c r="K42" s="298"/>
      <c r="L42" s="298"/>
      <c r="M42" s="298"/>
      <c r="N42" s="298"/>
      <c r="O42" s="298"/>
      <c r="P42" s="298"/>
      <c r="Q42" s="298"/>
      <c r="R42" s="299"/>
    </row>
    <row r="43" spans="2:20" ht="15" customHeight="1" x14ac:dyDescent="0.25">
      <c r="B43" s="297"/>
      <c r="C43" s="298"/>
      <c r="D43" s="298"/>
      <c r="E43" s="298"/>
      <c r="F43" s="298"/>
      <c r="G43" s="298"/>
      <c r="H43" s="298"/>
      <c r="I43" s="298"/>
      <c r="J43" s="298"/>
      <c r="K43" s="298"/>
      <c r="L43" s="298"/>
      <c r="M43" s="298"/>
      <c r="N43" s="298"/>
      <c r="O43" s="298"/>
      <c r="P43" s="298"/>
      <c r="Q43" s="298"/>
      <c r="R43" s="299"/>
    </row>
    <row r="44" spans="2:20" ht="15" customHeight="1" x14ac:dyDescent="0.25">
      <c r="B44" s="297"/>
      <c r="C44" s="298"/>
      <c r="D44" s="298"/>
      <c r="E44" s="298"/>
      <c r="F44" s="298"/>
      <c r="G44" s="298"/>
      <c r="H44" s="298"/>
      <c r="I44" s="298"/>
      <c r="J44" s="298"/>
      <c r="K44" s="298"/>
      <c r="L44" s="298"/>
      <c r="M44" s="298"/>
      <c r="N44" s="298"/>
      <c r="O44" s="298"/>
      <c r="P44" s="298"/>
      <c r="Q44" s="298"/>
      <c r="R44" s="299"/>
    </row>
    <row r="45" spans="2:20" ht="15" customHeight="1" thickBot="1" x14ac:dyDescent="0.3">
      <c r="B45" s="300"/>
      <c r="C45" s="301"/>
      <c r="D45" s="301"/>
      <c r="E45" s="301"/>
      <c r="F45" s="301"/>
      <c r="G45" s="301"/>
      <c r="H45" s="301"/>
      <c r="I45" s="301"/>
      <c r="J45" s="301"/>
      <c r="K45" s="301"/>
      <c r="L45" s="301"/>
      <c r="M45" s="301"/>
      <c r="N45" s="301"/>
      <c r="O45" s="301"/>
      <c r="P45" s="301"/>
      <c r="Q45" s="301"/>
      <c r="R45" s="302"/>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25" right="0.25" top="0.75" bottom="0.75" header="0.3" footer="0.3"/>
  <pageSetup paperSize="9" scale="55" orientation="landscape" r:id="rId1"/>
  <colBreaks count="1" manualBreakCount="1">
    <brk id="22"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E68"/>
  <sheetViews>
    <sheetView showGridLines="0" view="pageBreakPreview" zoomScale="60"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5"/>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03" t="s">
        <v>105</v>
      </c>
      <c r="D3" s="304"/>
      <c r="E3" s="304"/>
      <c r="F3" s="304"/>
      <c r="G3" s="304"/>
      <c r="H3" s="304"/>
      <c r="I3" s="304"/>
      <c r="J3" s="304"/>
      <c r="K3" s="304"/>
      <c r="L3" s="304"/>
      <c r="M3" s="304"/>
      <c r="N3" s="304"/>
      <c r="O3" s="304"/>
      <c r="P3" s="304"/>
      <c r="Q3" s="304"/>
      <c r="R3" s="304"/>
      <c r="S3" s="305"/>
      <c r="T3" s="75"/>
    </row>
    <row r="4" spans="1:25" ht="15.75" customHeight="1" x14ac:dyDescent="0.25">
      <c r="B4" s="5"/>
      <c r="C4" s="280" t="s">
        <v>237</v>
      </c>
      <c r="D4" s="1"/>
      <c r="E4" s="1"/>
      <c r="F4" s="1"/>
      <c r="G4" s="1"/>
      <c r="H4" s="1"/>
      <c r="I4" s="1"/>
      <c r="J4" s="1"/>
      <c r="K4" s="1"/>
      <c r="L4" s="1"/>
      <c r="M4" s="1"/>
      <c r="N4" s="1"/>
      <c r="O4" s="1"/>
      <c r="P4" s="1"/>
      <c r="Q4" s="1"/>
      <c r="R4" s="1"/>
      <c r="S4" s="76"/>
      <c r="T4" s="75"/>
    </row>
    <row r="5" spans="1:25" ht="18" customHeight="1" x14ac:dyDescent="0.25">
      <c r="B5" s="5"/>
      <c r="C5" s="2" t="s">
        <v>236</v>
      </c>
      <c r="D5" s="306" t="s">
        <v>244</v>
      </c>
      <c r="E5" s="306"/>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27</v>
      </c>
      <c r="X7" s="166" t="s">
        <v>2</v>
      </c>
    </row>
    <row r="8" spans="1:25" ht="15" customHeight="1" x14ac:dyDescent="0.25">
      <c r="B8" s="5"/>
      <c r="C8" s="92" t="s">
        <v>42</v>
      </c>
      <c r="D8" s="94" t="s">
        <v>3</v>
      </c>
      <c r="E8" s="96">
        <v>8.0171999999999993E-2</v>
      </c>
      <c r="F8" s="1"/>
      <c r="G8" s="1"/>
      <c r="H8" s="1"/>
      <c r="I8" s="1"/>
      <c r="J8" s="1"/>
      <c r="K8" s="1"/>
      <c r="L8" s="1"/>
      <c r="M8" s="1"/>
      <c r="N8" s="1"/>
      <c r="O8" s="1"/>
      <c r="P8" s="1"/>
      <c r="Q8" s="1"/>
      <c r="R8" s="1"/>
      <c r="S8" s="76"/>
      <c r="T8" s="75"/>
      <c r="W8" s="200" t="s">
        <v>3</v>
      </c>
      <c r="X8" s="201">
        <v>0.20368199999999997</v>
      </c>
      <c r="Y8" s="214"/>
    </row>
    <row r="9" spans="1:25" ht="15.75" customHeight="1" x14ac:dyDescent="0.25">
      <c r="B9" s="5"/>
      <c r="C9" s="93" t="s">
        <v>37</v>
      </c>
      <c r="D9" s="95" t="s">
        <v>11</v>
      </c>
      <c r="E9" s="97">
        <v>7.0072999999999996E-2</v>
      </c>
      <c r="F9" s="1"/>
      <c r="G9" s="1"/>
      <c r="H9" s="1"/>
      <c r="I9" s="1"/>
      <c r="J9" s="1"/>
      <c r="K9" s="1"/>
      <c r="L9" s="1"/>
      <c r="M9" s="1"/>
      <c r="N9" s="1"/>
      <c r="O9" s="1"/>
      <c r="P9" s="1"/>
      <c r="Q9" s="1"/>
      <c r="R9" s="1"/>
      <c r="S9" s="76"/>
      <c r="T9" s="75"/>
      <c r="W9" s="200" t="s">
        <v>11</v>
      </c>
      <c r="X9" s="201">
        <v>0.1406</v>
      </c>
      <c r="Y9" s="214"/>
    </row>
    <row r="10" spans="1:25" ht="15" customHeight="1" x14ac:dyDescent="0.25">
      <c r="B10" s="5"/>
      <c r="C10" s="93" t="s">
        <v>140</v>
      </c>
      <c r="D10" s="95" t="s">
        <v>3</v>
      </c>
      <c r="E10" s="97">
        <v>4.9340000000000002E-2</v>
      </c>
      <c r="F10" s="1"/>
      <c r="G10" s="1"/>
      <c r="H10" s="1"/>
      <c r="I10" s="1"/>
      <c r="J10" s="1"/>
      <c r="K10" s="1"/>
      <c r="L10" s="1"/>
      <c r="M10" s="1"/>
      <c r="N10" s="1"/>
      <c r="O10" s="1"/>
      <c r="P10" s="1"/>
      <c r="Q10" s="1"/>
      <c r="R10" s="1"/>
      <c r="S10" s="76"/>
      <c r="T10" s="75"/>
      <c r="W10" s="200" t="s">
        <v>17</v>
      </c>
      <c r="X10" s="201">
        <v>5.7855999999999998E-2</v>
      </c>
      <c r="Y10" s="214"/>
    </row>
    <row r="11" spans="1:25" ht="15" customHeight="1" x14ac:dyDescent="0.25">
      <c r="B11" s="5"/>
      <c r="C11" s="93" t="s">
        <v>38</v>
      </c>
      <c r="D11" s="95" t="s">
        <v>3</v>
      </c>
      <c r="E11" s="97">
        <v>3.9530000000000003E-2</v>
      </c>
      <c r="F11" s="1"/>
      <c r="G11" s="1"/>
      <c r="H11" s="1"/>
      <c r="I11" s="1"/>
      <c r="J11" s="1"/>
      <c r="K11" s="1"/>
      <c r="L11" s="1"/>
      <c r="M11" s="1"/>
      <c r="N11" s="1"/>
      <c r="O11" s="1"/>
      <c r="P11" s="1"/>
      <c r="Q11" s="1"/>
      <c r="R11" s="1"/>
      <c r="S11" s="76"/>
      <c r="T11" s="75"/>
      <c r="W11" s="200" t="s">
        <v>21</v>
      </c>
      <c r="X11" s="201">
        <v>5.0199000000000001E-2</v>
      </c>
      <c r="Y11" s="214"/>
    </row>
    <row r="12" spans="1:25" ht="15" customHeight="1" x14ac:dyDescent="0.25">
      <c r="B12" s="5"/>
      <c r="C12" s="93" t="s">
        <v>41</v>
      </c>
      <c r="D12" s="95" t="s">
        <v>6</v>
      </c>
      <c r="E12" s="97">
        <v>3.7860999999999999E-2</v>
      </c>
      <c r="F12" s="1"/>
      <c r="G12" s="1"/>
      <c r="H12" s="1"/>
      <c r="I12" s="1"/>
      <c r="J12" s="1"/>
      <c r="K12" s="1"/>
      <c r="L12" s="1"/>
      <c r="M12" s="1"/>
      <c r="N12" s="1"/>
      <c r="O12" s="1"/>
      <c r="P12" s="1"/>
      <c r="Q12" s="1"/>
      <c r="R12" s="1"/>
      <c r="S12" s="76"/>
      <c r="T12" s="75"/>
      <c r="W12" s="200" t="s">
        <v>8</v>
      </c>
      <c r="X12" s="201">
        <v>5.0182999999999998E-2</v>
      </c>
      <c r="Y12" s="214"/>
    </row>
    <row r="13" spans="1:25" ht="15" customHeight="1" x14ac:dyDescent="0.25">
      <c r="B13" s="5"/>
      <c r="C13" s="93" t="s">
        <v>141</v>
      </c>
      <c r="D13" s="95" t="s">
        <v>17</v>
      </c>
      <c r="E13" s="97">
        <v>3.7090999999999999E-2</v>
      </c>
      <c r="F13" s="1"/>
      <c r="G13" s="1"/>
      <c r="H13" s="1"/>
      <c r="I13" s="1"/>
      <c r="J13" s="1"/>
      <c r="K13" s="1"/>
      <c r="L13" s="1"/>
      <c r="M13" s="1"/>
      <c r="N13" s="1"/>
      <c r="O13" s="1"/>
      <c r="P13" s="1"/>
      <c r="Q13" s="1"/>
      <c r="R13" s="1"/>
      <c r="S13" s="76"/>
      <c r="T13" s="75"/>
      <c r="W13" s="200" t="s">
        <v>149</v>
      </c>
      <c r="X13" s="201">
        <v>4.4232E-2</v>
      </c>
      <c r="Y13" s="214"/>
    </row>
    <row r="14" spans="1:25" ht="15" customHeight="1" x14ac:dyDescent="0.25">
      <c r="B14" s="5"/>
      <c r="C14" s="93" t="s">
        <v>175</v>
      </c>
      <c r="D14" s="95" t="s">
        <v>21</v>
      </c>
      <c r="E14" s="97">
        <v>3.2164999999999999E-2</v>
      </c>
      <c r="F14" s="1"/>
      <c r="G14" s="1"/>
      <c r="H14" s="1"/>
      <c r="I14" s="1"/>
      <c r="J14" s="1"/>
      <c r="K14" s="1"/>
      <c r="L14" s="1"/>
      <c r="M14" s="1"/>
      <c r="N14" s="1"/>
      <c r="O14" s="1"/>
      <c r="P14" s="1"/>
      <c r="Q14" s="1"/>
      <c r="R14" s="1"/>
      <c r="S14" s="76"/>
      <c r="T14" s="75"/>
      <c r="W14" s="200" t="s">
        <v>22</v>
      </c>
      <c r="X14" s="201">
        <v>4.4067999999999996E-2</v>
      </c>
      <c r="Y14" s="214"/>
    </row>
    <row r="15" spans="1:25" ht="15" customHeight="1" x14ac:dyDescent="0.25">
      <c r="B15" s="5"/>
      <c r="C15" s="93" t="s">
        <v>113</v>
      </c>
      <c r="D15" s="95" t="s">
        <v>14</v>
      </c>
      <c r="E15" s="97">
        <v>2.8039999999999999E-2</v>
      </c>
      <c r="F15" s="1"/>
      <c r="G15" s="1"/>
      <c r="H15" s="1"/>
      <c r="I15" s="1"/>
      <c r="J15" s="1"/>
      <c r="K15" s="1"/>
      <c r="L15" s="1"/>
      <c r="M15" s="1"/>
      <c r="N15" s="1"/>
      <c r="O15" s="1"/>
      <c r="P15" s="1"/>
      <c r="Q15" s="1"/>
      <c r="R15" s="1"/>
      <c r="S15" s="76"/>
      <c r="T15" s="75"/>
      <c r="W15" s="200" t="s">
        <v>29</v>
      </c>
      <c r="X15" s="201">
        <v>4.3455999999999995E-2</v>
      </c>
      <c r="Y15" s="214"/>
    </row>
    <row r="16" spans="1:25" ht="15" customHeight="1" x14ac:dyDescent="0.25">
      <c r="B16" s="5"/>
      <c r="C16" s="93" t="s">
        <v>46</v>
      </c>
      <c r="D16" s="95" t="s">
        <v>3</v>
      </c>
      <c r="E16" s="97">
        <v>2.5991E-2</v>
      </c>
      <c r="F16" s="1"/>
      <c r="G16" s="1"/>
      <c r="H16" s="1"/>
      <c r="I16" s="1"/>
      <c r="J16" s="1"/>
      <c r="K16" s="1"/>
      <c r="L16" s="1"/>
      <c r="M16" s="1"/>
      <c r="N16" s="1"/>
      <c r="O16" s="1"/>
      <c r="P16" s="1"/>
      <c r="Q16" s="1"/>
      <c r="R16" s="1"/>
      <c r="S16" s="76"/>
      <c r="T16" s="75"/>
      <c r="W16" s="200" t="s">
        <v>13</v>
      </c>
      <c r="X16" s="201">
        <v>4.1203000000000004E-2</v>
      </c>
      <c r="Y16" s="214"/>
    </row>
    <row r="17" spans="2:25" ht="15" customHeight="1" x14ac:dyDescent="0.25">
      <c r="B17" s="5"/>
      <c r="C17" s="93" t="s">
        <v>110</v>
      </c>
      <c r="D17" s="95" t="s">
        <v>22</v>
      </c>
      <c r="E17" s="97">
        <v>2.5661E-2</v>
      </c>
      <c r="F17" s="1"/>
      <c r="G17" s="1"/>
      <c r="H17" s="1"/>
      <c r="I17" s="1"/>
      <c r="J17" s="1"/>
      <c r="K17" s="1"/>
      <c r="L17" s="1"/>
      <c r="M17" s="1"/>
      <c r="N17" s="1"/>
      <c r="O17" s="1"/>
      <c r="P17" s="1"/>
      <c r="Q17" s="1"/>
      <c r="R17" s="1"/>
      <c r="S17" s="76"/>
      <c r="T17" s="75"/>
      <c r="W17" s="200" t="s">
        <v>16</v>
      </c>
      <c r="X17" s="201">
        <v>3.9406999999999998E-2</v>
      </c>
      <c r="Y17" s="214"/>
    </row>
    <row r="18" spans="2:25" ht="15" customHeight="1" x14ac:dyDescent="0.25">
      <c r="B18" s="5"/>
      <c r="C18" s="93" t="s">
        <v>119</v>
      </c>
      <c r="D18" s="95" t="s">
        <v>11</v>
      </c>
      <c r="E18" s="97">
        <v>2.3015000000000001E-2</v>
      </c>
      <c r="F18" s="1"/>
      <c r="G18" s="1"/>
      <c r="H18" s="1"/>
      <c r="I18" s="1"/>
      <c r="J18" s="1"/>
      <c r="K18" s="1"/>
      <c r="L18" s="1"/>
      <c r="M18" s="1"/>
      <c r="N18" s="1"/>
      <c r="O18" s="1"/>
      <c r="P18" s="1"/>
      <c r="Q18" s="1"/>
      <c r="R18" s="1"/>
      <c r="S18" s="76"/>
      <c r="T18" s="75"/>
      <c r="W18" s="200" t="s">
        <v>6</v>
      </c>
      <c r="X18" s="201">
        <v>3.7860999999999999E-2</v>
      </c>
      <c r="Y18" s="214"/>
    </row>
    <row r="19" spans="2:25" ht="15" customHeight="1" x14ac:dyDescent="0.25">
      <c r="B19" s="5"/>
      <c r="C19" s="93" t="s">
        <v>126</v>
      </c>
      <c r="D19" s="95" t="s">
        <v>13</v>
      </c>
      <c r="E19" s="97">
        <v>2.2311000000000001E-2</v>
      </c>
      <c r="F19" s="1"/>
      <c r="G19" s="1"/>
      <c r="H19" s="1"/>
      <c r="I19" s="1"/>
      <c r="J19" s="1"/>
      <c r="K19" s="1"/>
      <c r="L19" s="1"/>
      <c r="M19" s="1"/>
      <c r="N19" s="1"/>
      <c r="O19" s="1"/>
      <c r="P19" s="1"/>
      <c r="Q19" s="1"/>
      <c r="R19" s="1"/>
      <c r="S19" s="76"/>
      <c r="T19" s="75"/>
      <c r="W19" s="200" t="s">
        <v>7</v>
      </c>
      <c r="X19" s="201">
        <v>3.6625000000000005E-2</v>
      </c>
      <c r="Y19" s="214"/>
    </row>
    <row r="20" spans="2:25" ht="15" customHeight="1" x14ac:dyDescent="0.25">
      <c r="B20" s="5"/>
      <c r="C20" s="93" t="s">
        <v>176</v>
      </c>
      <c r="D20" s="95" t="s">
        <v>7</v>
      </c>
      <c r="E20" s="97">
        <v>2.1950000000000001E-2</v>
      </c>
      <c r="F20" s="1"/>
      <c r="G20" s="1"/>
      <c r="H20" s="1"/>
      <c r="I20" s="1"/>
      <c r="J20" s="1"/>
      <c r="K20" s="1"/>
      <c r="L20" s="1"/>
      <c r="M20" s="1"/>
      <c r="N20" s="1"/>
      <c r="O20" s="1"/>
      <c r="P20" s="1"/>
      <c r="Q20" s="1"/>
      <c r="R20" s="1"/>
      <c r="S20" s="76"/>
      <c r="T20" s="75"/>
      <c r="W20" s="200" t="s">
        <v>150</v>
      </c>
      <c r="X20" s="201">
        <v>2.9458999999999999E-2</v>
      </c>
      <c r="Y20" s="214"/>
    </row>
    <row r="21" spans="2:25" ht="15" customHeight="1" x14ac:dyDescent="0.25">
      <c r="B21" s="5"/>
      <c r="C21" s="93" t="s">
        <v>50</v>
      </c>
      <c r="D21" s="95" t="s">
        <v>12</v>
      </c>
      <c r="E21" s="97">
        <v>2.1753000000000002E-2</v>
      </c>
      <c r="F21" s="1"/>
      <c r="G21" s="1"/>
      <c r="H21" s="1"/>
      <c r="I21" s="1"/>
      <c r="J21" s="1"/>
      <c r="K21" s="1"/>
      <c r="L21" s="1"/>
      <c r="M21" s="1"/>
      <c r="N21" s="1"/>
      <c r="O21" s="1"/>
      <c r="P21" s="1"/>
      <c r="Q21" s="1"/>
      <c r="R21" s="1"/>
      <c r="S21" s="76"/>
      <c r="T21" s="75"/>
      <c r="W21" s="200" t="s">
        <v>14</v>
      </c>
      <c r="X21" s="201">
        <v>2.8039999999999999E-2</v>
      </c>
      <c r="Y21" s="214"/>
    </row>
    <row r="22" spans="2:25" ht="15" customHeight="1" x14ac:dyDescent="0.25">
      <c r="B22" s="5"/>
      <c r="C22" s="93" t="s">
        <v>172</v>
      </c>
      <c r="D22" s="95" t="s">
        <v>17</v>
      </c>
      <c r="E22" s="97">
        <v>2.0764999999999999E-2</v>
      </c>
      <c r="F22" s="1"/>
      <c r="G22" s="1"/>
      <c r="H22" s="1"/>
      <c r="I22" s="1"/>
      <c r="J22" s="1"/>
      <c r="K22" s="1"/>
      <c r="L22" s="1"/>
      <c r="M22" s="1"/>
      <c r="N22" s="1"/>
      <c r="O22" s="1"/>
      <c r="P22" s="1"/>
      <c r="Q22" s="1"/>
      <c r="R22" s="1"/>
      <c r="S22" s="76"/>
      <c r="T22" s="75"/>
      <c r="W22" s="200" t="s">
        <v>4</v>
      </c>
      <c r="X22" s="201">
        <v>2.3587E-2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00" t="s">
        <v>12</v>
      </c>
      <c r="X23" s="201">
        <v>2.1753000000000002E-2</v>
      </c>
      <c r="Y23" s="214"/>
    </row>
    <row r="24" spans="2:25" ht="15" customHeight="1" x14ac:dyDescent="0.25">
      <c r="B24" s="5"/>
      <c r="C24" s="69" t="s">
        <v>77</v>
      </c>
      <c r="D24" s="71"/>
      <c r="E24" s="64">
        <f>SUM(E8:E22)</f>
        <v>0.53571800000000003</v>
      </c>
      <c r="F24" s="1"/>
      <c r="G24" s="1"/>
      <c r="H24" s="1"/>
      <c r="I24" s="1"/>
      <c r="J24" s="1"/>
      <c r="K24" s="1"/>
      <c r="L24" s="1"/>
      <c r="M24" s="1"/>
      <c r="N24" s="1"/>
      <c r="O24" s="1"/>
      <c r="P24" s="1"/>
      <c r="Q24" s="1"/>
      <c r="R24" s="1"/>
      <c r="S24" s="76"/>
      <c r="T24" s="75"/>
      <c r="W24" s="200" t="s">
        <v>32</v>
      </c>
      <c r="X24" s="201">
        <v>2.0711E-2</v>
      </c>
      <c r="Y24" s="214"/>
    </row>
    <row r="25" spans="2:25" ht="15" customHeight="1" x14ac:dyDescent="0.25">
      <c r="B25" s="5"/>
      <c r="F25" s="1"/>
      <c r="G25" s="1"/>
      <c r="H25" s="1"/>
      <c r="I25" s="1"/>
      <c r="J25" s="1"/>
      <c r="K25" s="1"/>
      <c r="L25" s="1"/>
      <c r="M25" s="1"/>
      <c r="N25" s="1"/>
      <c r="O25" s="1"/>
      <c r="P25" s="1"/>
      <c r="Q25" s="1"/>
      <c r="R25" s="1"/>
      <c r="S25" s="76"/>
      <c r="T25" s="75"/>
      <c r="W25" s="200" t="s">
        <v>9</v>
      </c>
      <c r="X25" s="201">
        <v>1.6358000000000001E-2</v>
      </c>
      <c r="Y25" s="214"/>
    </row>
    <row r="26" spans="2:25" ht="15" customHeight="1" x14ac:dyDescent="0.25">
      <c r="B26" s="5"/>
      <c r="F26" s="1"/>
      <c r="G26" s="1"/>
      <c r="H26" s="1"/>
      <c r="I26" s="1"/>
      <c r="J26" s="1"/>
      <c r="K26" s="1"/>
      <c r="L26" s="1"/>
      <c r="M26" s="1"/>
      <c r="N26" s="1"/>
      <c r="O26" s="1"/>
      <c r="P26" s="1"/>
      <c r="Q26" s="1"/>
      <c r="R26" s="1"/>
      <c r="S26" s="76"/>
      <c r="T26" s="75"/>
      <c r="W26" s="200" t="s">
        <v>23</v>
      </c>
      <c r="X26" s="201">
        <v>1.5488E-2</v>
      </c>
      <c r="Y26" s="214"/>
    </row>
    <row r="27" spans="2:25" ht="15" customHeight="1" x14ac:dyDescent="0.25">
      <c r="B27" s="5"/>
      <c r="F27" s="1"/>
      <c r="G27" s="1"/>
      <c r="H27" s="1"/>
      <c r="I27" s="1"/>
      <c r="J27" s="1"/>
      <c r="K27" s="1"/>
      <c r="L27" s="1"/>
      <c r="M27" s="1"/>
      <c r="N27" s="1"/>
      <c r="O27" s="1"/>
      <c r="P27" s="1"/>
      <c r="Q27" s="1"/>
      <c r="R27" s="1"/>
      <c r="S27" s="76"/>
      <c r="T27" s="75"/>
      <c r="W27" s="200" t="s">
        <v>28</v>
      </c>
      <c r="X27" s="201">
        <v>1.0498E-2</v>
      </c>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294" t="s">
        <v>147</v>
      </c>
      <c r="C43" s="295"/>
      <c r="D43" s="295"/>
      <c r="E43" s="295"/>
      <c r="F43" s="295"/>
      <c r="G43" s="295"/>
      <c r="H43" s="295"/>
      <c r="I43" s="295"/>
      <c r="J43" s="295"/>
      <c r="K43" s="295"/>
      <c r="L43" s="295"/>
      <c r="M43" s="295"/>
      <c r="N43" s="295"/>
      <c r="O43" s="295"/>
      <c r="P43" s="295"/>
      <c r="Q43" s="295"/>
      <c r="R43" s="296"/>
    </row>
    <row r="44" spans="2:24" ht="15" customHeight="1" x14ac:dyDescent="0.25">
      <c r="B44" s="297"/>
      <c r="C44" s="298"/>
      <c r="D44" s="298"/>
      <c r="E44" s="298"/>
      <c r="F44" s="298"/>
      <c r="G44" s="298"/>
      <c r="H44" s="298"/>
      <c r="I44" s="298"/>
      <c r="J44" s="298"/>
      <c r="K44" s="298"/>
      <c r="L44" s="298"/>
      <c r="M44" s="298"/>
      <c r="N44" s="298"/>
      <c r="O44" s="298"/>
      <c r="P44" s="298"/>
      <c r="Q44" s="298"/>
      <c r="R44" s="299"/>
    </row>
    <row r="45" spans="2:24" ht="15" customHeight="1" x14ac:dyDescent="0.25">
      <c r="B45" s="297"/>
      <c r="C45" s="298"/>
      <c r="D45" s="298"/>
      <c r="E45" s="298"/>
      <c r="F45" s="298"/>
      <c r="G45" s="298"/>
      <c r="H45" s="298"/>
      <c r="I45" s="298"/>
      <c r="J45" s="298"/>
      <c r="K45" s="298"/>
      <c r="L45" s="298"/>
      <c r="M45" s="298"/>
      <c r="N45" s="298"/>
      <c r="O45" s="298"/>
      <c r="P45" s="298"/>
      <c r="Q45" s="298"/>
      <c r="R45" s="299"/>
    </row>
    <row r="46" spans="2:24" ht="15" customHeight="1" x14ac:dyDescent="0.25">
      <c r="B46" s="297"/>
      <c r="C46" s="298"/>
      <c r="D46" s="298"/>
      <c r="E46" s="298"/>
      <c r="F46" s="298"/>
      <c r="G46" s="298"/>
      <c r="H46" s="298"/>
      <c r="I46" s="298"/>
      <c r="J46" s="298"/>
      <c r="K46" s="298"/>
      <c r="L46" s="298"/>
      <c r="M46" s="298"/>
      <c r="N46" s="298"/>
      <c r="O46" s="298"/>
      <c r="P46" s="298"/>
      <c r="Q46" s="298"/>
      <c r="R46" s="299"/>
    </row>
    <row r="47" spans="2:24" ht="15" customHeight="1" x14ac:dyDescent="0.25">
      <c r="B47" s="297"/>
      <c r="C47" s="298"/>
      <c r="D47" s="298"/>
      <c r="E47" s="298"/>
      <c r="F47" s="298"/>
      <c r="G47" s="298"/>
      <c r="H47" s="298"/>
      <c r="I47" s="298"/>
      <c r="J47" s="298"/>
      <c r="K47" s="298"/>
      <c r="L47" s="298"/>
      <c r="M47" s="298"/>
      <c r="N47" s="298"/>
      <c r="O47" s="298"/>
      <c r="P47" s="298"/>
      <c r="Q47" s="298"/>
      <c r="R47" s="299"/>
    </row>
    <row r="48" spans="2:24" ht="15" customHeight="1" x14ac:dyDescent="0.25">
      <c r="B48" s="297"/>
      <c r="C48" s="298"/>
      <c r="D48" s="298"/>
      <c r="E48" s="298"/>
      <c r="F48" s="298"/>
      <c r="G48" s="298"/>
      <c r="H48" s="298"/>
      <c r="I48" s="298"/>
      <c r="J48" s="298"/>
      <c r="K48" s="298"/>
      <c r="L48" s="298"/>
      <c r="M48" s="298"/>
      <c r="N48" s="298"/>
      <c r="O48" s="298"/>
      <c r="P48" s="298"/>
      <c r="Q48" s="298"/>
      <c r="R48" s="299"/>
    </row>
    <row r="49" spans="2:18" ht="15" customHeight="1" thickBot="1" x14ac:dyDescent="0.3">
      <c r="B49" s="300"/>
      <c r="C49" s="301"/>
      <c r="D49" s="301"/>
      <c r="E49" s="301"/>
      <c r="F49" s="301"/>
      <c r="G49" s="301"/>
      <c r="H49" s="301"/>
      <c r="I49" s="301"/>
      <c r="J49" s="301"/>
      <c r="K49" s="301"/>
      <c r="L49" s="301"/>
      <c r="M49" s="301"/>
      <c r="N49" s="301"/>
      <c r="O49" s="301"/>
      <c r="P49" s="301"/>
      <c r="Q49" s="301"/>
      <c r="R49" s="302"/>
    </row>
    <row r="50" spans="2:18" ht="15" customHeight="1" x14ac:dyDescent="0.25"/>
    <row r="51" spans="2:18" ht="15" customHeight="1" x14ac:dyDescent="0.25"/>
    <row r="52" spans="2:18" ht="15" customHeight="1" x14ac:dyDescent="0.25"/>
    <row r="53" spans="2:18" ht="15" customHeight="1" x14ac:dyDescent="0.25"/>
    <row r="54" spans="2:18" ht="15" customHeight="1" x14ac:dyDescent="0.25"/>
    <row r="55" spans="2:18" ht="15" customHeight="1" x14ac:dyDescent="0.25"/>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sheetData>
  <sortState ref="W8:X29">
    <sortCondition descending="1" ref="X8:X29"/>
  </sortState>
  <mergeCells count="3">
    <mergeCell ref="C3:S3"/>
    <mergeCell ref="D5:E5"/>
    <mergeCell ref="B43:R49"/>
  </mergeCells>
  <pageMargins left="0.25" right="0.25" top="0.75" bottom="0.75" header="0.3" footer="0.3"/>
  <pageSetup scale="5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view="pageBreakPreview" topLeftCell="A10" zoomScale="60" zoomScaleNormal="75" workbookViewId="0">
      <selection activeCell="D44" sqref="D44"/>
    </sheetView>
  </sheetViews>
  <sheetFormatPr defaultRowHeight="15" x14ac:dyDescent="0.2"/>
  <cols>
    <col min="1" max="1" width="2.85546875" style="11" customWidth="1"/>
    <col min="2" max="2" width="3.85546875" style="11" customWidth="1"/>
    <col min="3" max="3" width="59.140625" style="11" bestFit="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288" t="s">
        <v>51</v>
      </c>
      <c r="D3" s="288"/>
      <c r="E3" s="288"/>
      <c r="F3" s="288"/>
      <c r="G3" s="288"/>
      <c r="H3" s="288"/>
      <c r="I3" s="288"/>
      <c r="J3" s="288"/>
      <c r="K3" s="288"/>
      <c r="L3" s="288"/>
      <c r="M3" s="288"/>
      <c r="N3" s="288"/>
      <c r="O3" s="288"/>
      <c r="P3" s="288"/>
      <c r="Q3" s="18"/>
    </row>
    <row r="4" spans="2:27" ht="15.75" x14ac:dyDescent="0.25">
      <c r="B4" s="17"/>
      <c r="C4" s="280" t="s">
        <v>237</v>
      </c>
      <c r="D4" s="19"/>
      <c r="E4" s="19"/>
      <c r="F4" s="19"/>
      <c r="G4" s="19"/>
      <c r="H4" s="19"/>
      <c r="I4" s="19"/>
      <c r="J4" s="19"/>
      <c r="K4" s="19"/>
      <c r="L4" s="19"/>
      <c r="M4" s="19"/>
      <c r="N4" s="19"/>
      <c r="O4" s="19"/>
      <c r="P4" s="19"/>
      <c r="Q4" s="18"/>
    </row>
    <row r="5" spans="2:27" ht="20.25" x14ac:dyDescent="0.2">
      <c r="B5" s="17"/>
      <c r="C5" s="2" t="s">
        <v>236</v>
      </c>
      <c r="D5" s="306" t="s">
        <v>245</v>
      </c>
      <c r="E5" s="306"/>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10"/>
      <c r="S6" s="210"/>
    </row>
    <row r="7" spans="2:27" ht="32.25" customHeight="1" x14ac:dyDescent="0.2">
      <c r="B7" s="17"/>
      <c r="C7" s="21" t="s">
        <v>0</v>
      </c>
      <c r="D7" s="21" t="s">
        <v>1</v>
      </c>
      <c r="E7" s="21" t="s">
        <v>2</v>
      </c>
      <c r="F7" s="19"/>
      <c r="G7" s="19"/>
      <c r="H7" s="19"/>
      <c r="I7" s="19"/>
      <c r="J7" s="19"/>
      <c r="K7" s="19"/>
      <c r="L7" s="19"/>
      <c r="M7" s="19"/>
      <c r="N7" s="19"/>
      <c r="O7" s="19"/>
      <c r="P7" s="19"/>
      <c r="Q7" s="18"/>
      <c r="R7" s="57" t="s">
        <v>52</v>
      </c>
      <c r="S7" s="57" t="s">
        <v>53</v>
      </c>
      <c r="T7" s="185"/>
    </row>
    <row r="8" spans="2:27" ht="15.75" x14ac:dyDescent="0.25">
      <c r="B8" s="17"/>
      <c r="C8" s="23"/>
      <c r="D8" s="23"/>
      <c r="E8" s="24"/>
      <c r="F8" s="19"/>
      <c r="G8" s="19"/>
      <c r="H8" s="19"/>
      <c r="I8" s="19"/>
      <c r="J8" s="19"/>
      <c r="K8" s="19"/>
      <c r="L8" s="19"/>
      <c r="M8" s="19"/>
      <c r="N8" s="19"/>
      <c r="O8" s="19"/>
      <c r="P8" s="19"/>
      <c r="Q8" s="18"/>
      <c r="R8" s="57" t="s">
        <v>54</v>
      </c>
      <c r="S8" s="58">
        <f>E9</f>
        <v>0.55327700000000002</v>
      </c>
      <c r="T8" s="185"/>
      <c r="V8" s="208" t="s">
        <v>3</v>
      </c>
      <c r="W8" s="209">
        <v>0.25058799999999998</v>
      </c>
      <c r="Z8" s="25"/>
      <c r="AA8" s="25"/>
    </row>
    <row r="9" spans="2:27" ht="15.75" x14ac:dyDescent="0.25">
      <c r="B9" s="17"/>
      <c r="C9" s="27" t="s">
        <v>54</v>
      </c>
      <c r="D9" s="174"/>
      <c r="E9" s="59">
        <v>0.55327700000000002</v>
      </c>
      <c r="F9" s="170"/>
      <c r="G9" s="19"/>
      <c r="H9" s="19"/>
      <c r="I9" s="19"/>
      <c r="J9" s="19"/>
      <c r="K9" s="19"/>
      <c r="L9" s="19"/>
      <c r="M9" s="19"/>
      <c r="N9" s="19"/>
      <c r="O9" s="19"/>
      <c r="P9" s="19"/>
      <c r="Q9" s="18"/>
      <c r="R9" s="57" t="s">
        <v>55</v>
      </c>
      <c r="S9" s="58">
        <f>100%-S8</f>
        <v>0.44672299999999998</v>
      </c>
      <c r="T9" s="185"/>
      <c r="V9" s="208" t="s">
        <v>8</v>
      </c>
      <c r="W9" s="209">
        <v>0.13553799999999999</v>
      </c>
      <c r="Z9" s="25"/>
      <c r="AA9" s="25"/>
    </row>
    <row r="10" spans="2: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2:27" ht="15.75" x14ac:dyDescent="0.25">
      <c r="B11" s="17"/>
      <c r="C11" s="27" t="s">
        <v>56</v>
      </c>
      <c r="D11" s="174"/>
      <c r="E11" s="59">
        <v>2.2911999999999998E-2</v>
      </c>
      <c r="F11" s="170"/>
      <c r="G11" s="19"/>
      <c r="H11" s="19"/>
      <c r="I11" s="19"/>
      <c r="J11" s="19"/>
      <c r="K11" s="19"/>
      <c r="L11" s="19"/>
      <c r="M11" s="19"/>
      <c r="N11" s="19"/>
      <c r="O11" s="19"/>
      <c r="P11" s="19"/>
      <c r="Q11" s="18"/>
      <c r="R11" s="212"/>
      <c r="V11" s="208" t="s">
        <v>4</v>
      </c>
      <c r="W11" s="209">
        <v>5.0237999999999991E-2</v>
      </c>
    </row>
    <row r="12" spans="2:27" ht="15.75" x14ac:dyDescent="0.25">
      <c r="B12" s="17"/>
      <c r="C12" s="118"/>
      <c r="D12" s="247"/>
      <c r="E12" s="144"/>
      <c r="F12" s="170"/>
      <c r="G12" s="19"/>
      <c r="H12" s="19"/>
      <c r="I12" s="19"/>
      <c r="J12" s="19"/>
      <c r="K12" s="19"/>
      <c r="L12" s="19"/>
      <c r="M12" s="19"/>
      <c r="N12" s="19"/>
      <c r="O12" s="19"/>
      <c r="P12" s="19"/>
      <c r="Q12" s="18"/>
      <c r="R12" s="212"/>
      <c r="V12" s="208"/>
      <c r="W12" s="209"/>
    </row>
    <row r="13" spans="2:27" ht="15.75" x14ac:dyDescent="0.25">
      <c r="B13" s="17"/>
      <c r="C13" s="27" t="s">
        <v>100</v>
      </c>
      <c r="D13" s="174"/>
      <c r="E13" s="59">
        <v>1.8258E-2</v>
      </c>
      <c r="F13" s="170"/>
      <c r="G13" s="19"/>
      <c r="H13" s="19"/>
      <c r="I13" s="19"/>
      <c r="J13" s="19"/>
      <c r="K13" s="19"/>
      <c r="L13" s="19"/>
      <c r="M13" s="19"/>
      <c r="N13" s="19"/>
      <c r="O13" s="19"/>
      <c r="P13" s="19"/>
      <c r="Q13" s="18"/>
      <c r="R13" s="212"/>
      <c r="V13" s="208"/>
      <c r="W13" s="209"/>
    </row>
    <row r="14" spans="2:27" ht="15.75" x14ac:dyDescent="0.25">
      <c r="B14" s="17"/>
      <c r="C14" s="118"/>
      <c r="D14" s="247"/>
      <c r="E14" s="144"/>
      <c r="F14" s="170"/>
      <c r="G14" s="19"/>
      <c r="H14" s="19"/>
      <c r="I14" s="19"/>
      <c r="J14" s="19"/>
      <c r="K14" s="19"/>
      <c r="L14" s="19"/>
      <c r="M14" s="19"/>
      <c r="N14" s="19"/>
      <c r="O14" s="19"/>
      <c r="P14" s="19"/>
      <c r="Q14" s="18"/>
      <c r="R14" s="212"/>
      <c r="V14" s="208" t="s">
        <v>21</v>
      </c>
      <c r="W14" s="209">
        <v>4.0393999999999999E-2</v>
      </c>
    </row>
    <row r="15" spans="2:27" ht="15.75" x14ac:dyDescent="0.25">
      <c r="B15" s="17"/>
      <c r="C15" s="27" t="s">
        <v>57</v>
      </c>
      <c r="D15" s="174"/>
      <c r="E15" s="59">
        <v>1.9182999999999999E-2</v>
      </c>
      <c r="F15" s="170"/>
      <c r="G15" s="19"/>
      <c r="H15" s="19"/>
      <c r="I15" s="19"/>
      <c r="J15" s="19"/>
      <c r="K15" s="19"/>
      <c r="L15" s="19"/>
      <c r="M15" s="19"/>
      <c r="N15" s="19"/>
      <c r="O15" s="19"/>
      <c r="P15" s="19"/>
      <c r="Q15" s="18"/>
      <c r="R15" s="212"/>
      <c r="V15" s="208"/>
      <c r="W15" s="209"/>
    </row>
    <row r="16" spans="2: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15.75" x14ac:dyDescent="0.25">
      <c r="A17" s="11"/>
      <c r="B17" s="17"/>
      <c r="C17" s="27" t="s">
        <v>166</v>
      </c>
      <c r="D17" s="174"/>
      <c r="E17" s="59">
        <v>0.13209199999999999</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30</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118</v>
      </c>
      <c r="D19" s="174"/>
      <c r="E19" s="59">
        <v>6.7400000000000003E-3</v>
      </c>
      <c r="F19" s="215"/>
      <c r="G19" s="19"/>
      <c r="H19" s="19"/>
      <c r="I19" s="19"/>
      <c r="J19" s="19"/>
      <c r="K19" s="19"/>
      <c r="L19" s="19"/>
      <c r="M19" s="19"/>
      <c r="N19" s="19"/>
      <c r="O19" s="19"/>
      <c r="P19" s="19"/>
      <c r="Q19" s="18"/>
      <c r="R19" s="212"/>
      <c r="S19" s="33"/>
      <c r="T19" s="33"/>
      <c r="U19" s="13"/>
      <c r="V19" s="13" t="s">
        <v>22</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36</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90</v>
      </c>
      <c r="D21" s="174"/>
      <c r="E21" s="59">
        <v>2.7399999999999999E-4</v>
      </c>
      <c r="F21" s="215"/>
      <c r="G21" s="19"/>
      <c r="H21" s="19"/>
      <c r="I21" s="19"/>
      <c r="J21" s="19"/>
      <c r="K21" s="19"/>
      <c r="L21" s="19"/>
      <c r="M21" s="19"/>
      <c r="N21" s="19"/>
      <c r="O21" s="19"/>
      <c r="P21" s="19"/>
      <c r="Q21" s="18"/>
      <c r="R21" s="212"/>
      <c r="S21" s="33"/>
      <c r="T21" s="33"/>
      <c r="U21" s="13"/>
      <c r="V21" s="13" t="s">
        <v>22</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36</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7" t="s">
        <v>138</v>
      </c>
      <c r="D23" s="174"/>
      <c r="E23" s="59">
        <v>9.5542000000000002E-2</v>
      </c>
      <c r="F23" s="119"/>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C24" s="23"/>
      <c r="D24" s="23"/>
      <c r="E24" s="23"/>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ht="15.75" x14ac:dyDescent="0.2">
      <c r="A25" s="11"/>
      <c r="B25" s="17"/>
      <c r="C25" s="27" t="s">
        <v>25</v>
      </c>
      <c r="D25" s="174"/>
      <c r="E25" s="59">
        <v>0.15172199999999997</v>
      </c>
      <c r="F25" s="119"/>
      <c r="G25" s="19"/>
      <c r="H25" s="253"/>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C26" s="23"/>
      <c r="D26" s="23"/>
      <c r="E26" s="23"/>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ht="15.75" x14ac:dyDescent="0.2">
      <c r="A27" s="11"/>
      <c r="B27" s="17"/>
      <c r="C27" s="28" t="s">
        <v>26</v>
      </c>
      <c r="D27" s="175"/>
      <c r="E27" s="40">
        <f>SUM(E9:E25)</f>
        <v>1</v>
      </c>
      <c r="F27" s="119"/>
      <c r="G27" s="19"/>
      <c r="H27" s="19"/>
      <c r="I27" s="19"/>
      <c r="J27" s="19"/>
      <c r="K27" s="19"/>
      <c r="L27" s="19"/>
      <c r="M27" s="19"/>
      <c r="N27" s="19"/>
      <c r="O27" s="19"/>
      <c r="P27" s="19"/>
      <c r="Q27" s="18"/>
      <c r="R27" s="212"/>
      <c r="S27" s="33"/>
      <c r="T27" s="33"/>
      <c r="V27" s="13" t="s">
        <v>23</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294" t="s">
        <v>147</v>
      </c>
      <c r="C35" s="295"/>
      <c r="D35" s="295"/>
      <c r="E35" s="295"/>
      <c r="F35" s="295"/>
      <c r="G35" s="295"/>
      <c r="H35" s="295"/>
      <c r="I35" s="295"/>
      <c r="J35" s="295"/>
      <c r="K35" s="295"/>
      <c r="L35" s="295"/>
      <c r="M35" s="295"/>
      <c r="N35" s="295"/>
      <c r="O35" s="295"/>
      <c r="P35" s="295"/>
      <c r="Q35" s="296"/>
      <c r="R35" s="213"/>
      <c r="S35" s="44"/>
      <c r="T35" s="44"/>
      <c r="U35" s="26"/>
      <c r="V35" s="26"/>
      <c r="W35" s="26"/>
      <c r="X35" s="19"/>
      <c r="Y35" s="19"/>
      <c r="Z35" s="26"/>
      <c r="AA35" s="26"/>
    </row>
    <row r="36" spans="1:27" s="13" customFormat="1" x14ac:dyDescent="0.2">
      <c r="A36" s="19"/>
      <c r="B36" s="297"/>
      <c r="C36" s="298"/>
      <c r="D36" s="298"/>
      <c r="E36" s="298"/>
      <c r="F36" s="298"/>
      <c r="G36" s="298"/>
      <c r="H36" s="298"/>
      <c r="I36" s="298"/>
      <c r="J36" s="298"/>
      <c r="K36" s="298"/>
      <c r="L36" s="298"/>
      <c r="M36" s="298"/>
      <c r="N36" s="298"/>
      <c r="O36" s="298"/>
      <c r="P36" s="298"/>
      <c r="Q36" s="299"/>
      <c r="R36" s="213"/>
      <c r="S36" s="44"/>
      <c r="T36" s="44"/>
      <c r="U36" s="26"/>
      <c r="V36" s="26"/>
      <c r="W36" s="26"/>
      <c r="X36" s="19"/>
      <c r="Y36" s="19"/>
      <c r="Z36" s="26"/>
      <c r="AA36" s="26"/>
    </row>
    <row r="37" spans="1:27" s="13" customFormat="1" x14ac:dyDescent="0.2">
      <c r="A37" s="19"/>
      <c r="B37" s="297"/>
      <c r="C37" s="298"/>
      <c r="D37" s="298"/>
      <c r="E37" s="298"/>
      <c r="F37" s="298"/>
      <c r="G37" s="298"/>
      <c r="H37" s="298"/>
      <c r="I37" s="298"/>
      <c r="J37" s="298"/>
      <c r="K37" s="298"/>
      <c r="L37" s="298"/>
      <c r="M37" s="298"/>
      <c r="N37" s="298"/>
      <c r="O37" s="298"/>
      <c r="P37" s="298"/>
      <c r="Q37" s="299"/>
      <c r="R37" s="213"/>
      <c r="S37" s="44"/>
      <c r="T37" s="44"/>
      <c r="U37" s="26"/>
      <c r="V37" s="26"/>
      <c r="W37" s="26"/>
      <c r="X37" s="19"/>
      <c r="Y37" s="19"/>
      <c r="Z37" s="26"/>
      <c r="AA37" s="26"/>
    </row>
    <row r="38" spans="1:27" s="13" customFormat="1" x14ac:dyDescent="0.2">
      <c r="A38" s="19"/>
      <c r="B38" s="297"/>
      <c r="C38" s="298"/>
      <c r="D38" s="298"/>
      <c r="E38" s="298"/>
      <c r="F38" s="298"/>
      <c r="G38" s="298"/>
      <c r="H38" s="298"/>
      <c r="I38" s="298"/>
      <c r="J38" s="298"/>
      <c r="K38" s="298"/>
      <c r="L38" s="298"/>
      <c r="M38" s="298"/>
      <c r="N38" s="298"/>
      <c r="O38" s="298"/>
      <c r="P38" s="298"/>
      <c r="Q38" s="299"/>
      <c r="R38" s="213"/>
      <c r="S38" s="44"/>
      <c r="T38" s="44"/>
      <c r="U38" s="26"/>
      <c r="V38" s="26"/>
      <c r="W38" s="26"/>
      <c r="X38" s="19"/>
      <c r="Y38" s="19"/>
      <c r="Z38" s="26"/>
      <c r="AA38" s="26"/>
    </row>
    <row r="39" spans="1:27" s="13" customFormat="1" x14ac:dyDescent="0.2">
      <c r="A39" s="19"/>
      <c r="B39" s="297"/>
      <c r="C39" s="298"/>
      <c r="D39" s="298"/>
      <c r="E39" s="298"/>
      <c r="F39" s="298"/>
      <c r="G39" s="298"/>
      <c r="H39" s="298"/>
      <c r="I39" s="298"/>
      <c r="J39" s="298"/>
      <c r="K39" s="298"/>
      <c r="L39" s="298"/>
      <c r="M39" s="298"/>
      <c r="N39" s="298"/>
      <c r="O39" s="298"/>
      <c r="P39" s="298"/>
      <c r="Q39" s="299"/>
      <c r="R39" s="213"/>
      <c r="S39" s="44"/>
      <c r="T39" s="44"/>
      <c r="U39" s="26"/>
      <c r="V39" s="26"/>
      <c r="W39" s="26"/>
      <c r="X39" s="19"/>
      <c r="Y39" s="19"/>
      <c r="Z39" s="26"/>
      <c r="AA39" s="26"/>
    </row>
    <row r="40" spans="1:27" s="13" customFormat="1" x14ac:dyDescent="0.2">
      <c r="A40" s="19"/>
      <c r="B40" s="297"/>
      <c r="C40" s="298"/>
      <c r="D40" s="298"/>
      <c r="E40" s="298"/>
      <c r="F40" s="298"/>
      <c r="G40" s="298"/>
      <c r="H40" s="298"/>
      <c r="I40" s="298"/>
      <c r="J40" s="298"/>
      <c r="K40" s="298"/>
      <c r="L40" s="298"/>
      <c r="M40" s="298"/>
      <c r="N40" s="298"/>
      <c r="O40" s="298"/>
      <c r="P40" s="298"/>
      <c r="Q40" s="299"/>
      <c r="R40" s="213"/>
      <c r="S40" s="44"/>
      <c r="T40" s="44"/>
      <c r="U40" s="26"/>
      <c r="V40" s="26"/>
      <c r="W40" s="26"/>
      <c r="X40" s="19"/>
      <c r="Y40" s="19"/>
      <c r="Z40" s="26"/>
      <c r="AA40" s="26"/>
    </row>
    <row r="41" spans="1:27" s="13" customFormat="1" ht="15.75" thickBot="1" x14ac:dyDescent="0.25">
      <c r="A41" s="19"/>
      <c r="B41" s="300"/>
      <c r="C41" s="301"/>
      <c r="D41" s="301"/>
      <c r="E41" s="301"/>
      <c r="F41" s="301"/>
      <c r="G41" s="301"/>
      <c r="H41" s="301"/>
      <c r="I41" s="301"/>
      <c r="J41" s="301"/>
      <c r="K41" s="301"/>
      <c r="L41" s="301"/>
      <c r="M41" s="301"/>
      <c r="N41" s="301"/>
      <c r="O41" s="301"/>
      <c r="P41" s="301"/>
      <c r="Q41" s="302"/>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25" right="0.25" top="0.75" bottom="0.75" header="0.3" footer="0.3"/>
  <pageSetup scale="5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6"/>
  <sheetViews>
    <sheetView showGridLines="0" view="pageBreakPreview" zoomScale="6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5" customWidth="1"/>
    <col min="20" max="20" width="9.140625" style="105"/>
    <col min="21" max="22" width="9.140625" style="9"/>
    <col min="23" max="23" width="47" style="165" bestFit="1" customWidth="1"/>
    <col min="24" max="24" width="9.85546875" style="165" bestFit="1" customWidth="1"/>
    <col min="25" max="26" width="9.140625" style="165"/>
    <col min="27" max="28" width="9.140625" style="9"/>
    <col min="29" max="16384" width="9.140625" style="105"/>
  </cols>
  <sheetData>
    <row r="1" spans="1:25" ht="15.75" customHeight="1" thickBot="1" x14ac:dyDescent="0.3">
      <c r="A1" s="9"/>
    </row>
    <row r="2" spans="1:25" ht="15" customHeight="1" x14ac:dyDescent="0.25">
      <c r="B2" s="131"/>
      <c r="C2" s="132"/>
      <c r="D2" s="132"/>
      <c r="E2" s="132"/>
      <c r="F2" s="132"/>
      <c r="G2" s="132"/>
      <c r="H2" s="132"/>
      <c r="I2" s="132"/>
      <c r="J2" s="132"/>
      <c r="K2" s="132"/>
      <c r="L2" s="132"/>
      <c r="M2" s="132"/>
      <c r="N2" s="132"/>
      <c r="O2" s="132"/>
      <c r="P2" s="132"/>
      <c r="Q2" s="132"/>
      <c r="R2" s="132"/>
      <c r="S2" s="148"/>
      <c r="T2" s="140"/>
    </row>
    <row r="3" spans="1:25" ht="20.25" customHeight="1" x14ac:dyDescent="0.25">
      <c r="B3" s="133"/>
      <c r="C3" s="303" t="s">
        <v>155</v>
      </c>
      <c r="D3" s="304"/>
      <c r="E3" s="304"/>
      <c r="F3" s="304"/>
      <c r="G3" s="304"/>
      <c r="H3" s="304"/>
      <c r="I3" s="304"/>
      <c r="J3" s="304"/>
      <c r="K3" s="304"/>
      <c r="L3" s="304"/>
      <c r="M3" s="304"/>
      <c r="N3" s="304"/>
      <c r="O3" s="304"/>
      <c r="P3" s="304"/>
      <c r="Q3" s="304"/>
      <c r="R3" s="304"/>
      <c r="S3" s="305"/>
      <c r="T3" s="141"/>
    </row>
    <row r="4" spans="1:25" ht="15.75" customHeight="1" x14ac:dyDescent="0.25">
      <c r="B4" s="133"/>
      <c r="C4" s="280" t="s">
        <v>237</v>
      </c>
      <c r="D4" s="1"/>
      <c r="E4" s="1"/>
      <c r="F4" s="1"/>
      <c r="G4" s="1"/>
      <c r="H4" s="1"/>
      <c r="I4" s="1"/>
      <c r="J4" s="1"/>
      <c r="K4" s="1"/>
      <c r="L4" s="1"/>
      <c r="M4" s="1"/>
      <c r="N4" s="1"/>
      <c r="O4" s="1"/>
      <c r="P4" s="1"/>
      <c r="Q4" s="1"/>
      <c r="R4" s="1"/>
      <c r="S4" s="149"/>
      <c r="T4" s="141"/>
    </row>
    <row r="5" spans="1:25" ht="18" customHeight="1" x14ac:dyDescent="0.25">
      <c r="B5" s="133"/>
      <c r="C5" s="2" t="s">
        <v>236</v>
      </c>
      <c r="D5" s="306" t="s">
        <v>246</v>
      </c>
      <c r="E5" s="306"/>
      <c r="F5" s="1"/>
      <c r="G5" s="1"/>
      <c r="H5" s="1"/>
      <c r="I5" s="1"/>
      <c r="J5" s="1"/>
      <c r="K5" s="1"/>
      <c r="L5" s="1"/>
      <c r="M5" s="1"/>
      <c r="N5" s="1"/>
      <c r="O5" s="1"/>
      <c r="P5" s="1"/>
      <c r="Q5" s="1"/>
      <c r="R5" s="1"/>
      <c r="S5" s="149"/>
      <c r="T5" s="141"/>
    </row>
    <row r="6" spans="1:25" ht="15" customHeight="1" x14ac:dyDescent="0.25">
      <c r="B6" s="133"/>
      <c r="C6" s="1"/>
      <c r="D6" s="1"/>
      <c r="E6" s="1"/>
      <c r="F6" s="1"/>
      <c r="G6" s="1"/>
      <c r="H6" s="1"/>
      <c r="I6" s="1"/>
      <c r="J6" s="1"/>
      <c r="K6" s="1"/>
      <c r="L6" s="1"/>
      <c r="M6" s="1"/>
      <c r="N6" s="1"/>
      <c r="O6" s="1"/>
      <c r="P6" s="1"/>
      <c r="Q6" s="1"/>
      <c r="R6" s="1"/>
      <c r="S6" s="149"/>
      <c r="T6" s="141"/>
      <c r="W6" s="166"/>
      <c r="X6" s="166"/>
      <c r="Y6" s="166"/>
    </row>
    <row r="7" spans="1:25" ht="32.25" customHeight="1" x14ac:dyDescent="0.25">
      <c r="B7" s="133"/>
      <c r="C7" s="254" t="s">
        <v>0</v>
      </c>
      <c r="D7" s="70" t="s">
        <v>61</v>
      </c>
      <c r="E7" s="63" t="s">
        <v>2</v>
      </c>
      <c r="F7" s="1"/>
      <c r="G7" s="1"/>
      <c r="H7" s="1"/>
      <c r="I7" s="1"/>
      <c r="J7" s="1"/>
      <c r="K7" s="1"/>
      <c r="L7" s="1"/>
      <c r="M7" s="1"/>
      <c r="N7" s="1"/>
      <c r="O7" s="1"/>
      <c r="P7" s="1"/>
      <c r="Q7" s="1"/>
      <c r="R7" s="1"/>
      <c r="S7" s="149"/>
      <c r="T7" s="141"/>
      <c r="W7" s="166" t="s">
        <v>27</v>
      </c>
      <c r="X7" s="166" t="s">
        <v>2</v>
      </c>
      <c r="Y7" s="166"/>
    </row>
    <row r="8" spans="1:25" ht="15" customHeight="1" x14ac:dyDescent="0.25">
      <c r="B8" s="133"/>
      <c r="C8" s="255" t="s">
        <v>37</v>
      </c>
      <c r="D8" s="84" t="s">
        <v>11</v>
      </c>
      <c r="E8" s="264">
        <v>4.3546000000000001E-2</v>
      </c>
      <c r="F8" s="1"/>
      <c r="G8" s="1"/>
      <c r="H8" s="1"/>
      <c r="I8" s="1"/>
      <c r="J8" s="1"/>
      <c r="K8" s="1"/>
      <c r="L8" s="1"/>
      <c r="M8" s="1"/>
      <c r="N8" s="1"/>
      <c r="O8" s="1"/>
      <c r="P8" s="1"/>
      <c r="Q8" s="1"/>
      <c r="R8" s="1"/>
      <c r="S8" s="149"/>
      <c r="T8" s="141"/>
      <c r="W8" s="217" t="s">
        <v>11</v>
      </c>
      <c r="X8" s="218">
        <v>8.6978000000000014E-2</v>
      </c>
      <c r="Y8" s="166"/>
    </row>
    <row r="9" spans="1:25" ht="15.75" customHeight="1" x14ac:dyDescent="0.25">
      <c r="B9" s="133"/>
      <c r="C9" s="255" t="s">
        <v>42</v>
      </c>
      <c r="D9" s="84" t="s">
        <v>3</v>
      </c>
      <c r="E9" s="264">
        <v>4.3399999999999994E-2</v>
      </c>
      <c r="F9" s="1"/>
      <c r="G9" s="1"/>
      <c r="H9" s="1"/>
      <c r="I9" s="1"/>
      <c r="J9" s="1"/>
      <c r="K9" s="1"/>
      <c r="L9" s="1"/>
      <c r="M9" s="1"/>
      <c r="N9" s="1"/>
      <c r="O9" s="1"/>
      <c r="P9" s="1"/>
      <c r="Q9" s="1"/>
      <c r="R9" s="1"/>
      <c r="S9" s="149"/>
      <c r="T9" s="141"/>
      <c r="W9" s="217" t="s">
        <v>3</v>
      </c>
      <c r="X9" s="218">
        <v>6.9317000000000004E-2</v>
      </c>
      <c r="Y9" s="166"/>
    </row>
    <row r="10" spans="1:25" ht="15" customHeight="1" x14ac:dyDescent="0.25">
      <c r="B10" s="133"/>
      <c r="C10" s="255" t="s">
        <v>142</v>
      </c>
      <c r="D10" s="84" t="s">
        <v>4</v>
      </c>
      <c r="E10" s="264">
        <v>3.3931999999999997E-2</v>
      </c>
      <c r="F10" s="1"/>
      <c r="G10" s="1"/>
      <c r="H10" s="1"/>
      <c r="I10" s="1"/>
      <c r="J10" s="1"/>
      <c r="K10" s="1"/>
      <c r="L10" s="1"/>
      <c r="M10" s="1"/>
      <c r="N10" s="1"/>
      <c r="O10" s="1"/>
      <c r="P10" s="1"/>
      <c r="Q10" s="1"/>
      <c r="R10" s="1"/>
      <c r="S10" s="149"/>
      <c r="T10" s="141"/>
      <c r="W10" s="217" t="s">
        <v>4</v>
      </c>
      <c r="X10" s="218">
        <v>5.1536999999999999E-2</v>
      </c>
      <c r="Y10" s="166"/>
    </row>
    <row r="11" spans="1:25" ht="15" customHeight="1" x14ac:dyDescent="0.25">
      <c r="B11" s="133"/>
      <c r="C11" s="255" t="s">
        <v>38</v>
      </c>
      <c r="D11" s="84" t="s">
        <v>3</v>
      </c>
      <c r="E11" s="264">
        <v>3.0245999999999999E-2</v>
      </c>
      <c r="F11" s="1"/>
      <c r="G11" s="1"/>
      <c r="H11" s="1"/>
      <c r="I11" s="1"/>
      <c r="J11" s="1"/>
      <c r="K11" s="1"/>
      <c r="L11" s="1"/>
      <c r="M11" s="1"/>
      <c r="N11" s="1"/>
      <c r="O11" s="1"/>
      <c r="P11" s="1"/>
      <c r="Q11" s="1"/>
      <c r="R11" s="1"/>
      <c r="S11" s="149"/>
      <c r="T11" s="141"/>
      <c r="W11" s="217" t="s">
        <v>16</v>
      </c>
      <c r="X11" s="218">
        <v>3.2035000000000001E-2</v>
      </c>
      <c r="Y11" s="166"/>
    </row>
    <row r="12" spans="1:25" ht="15" customHeight="1" x14ac:dyDescent="0.25">
      <c r="B12" s="133"/>
      <c r="C12" s="255" t="s">
        <v>224</v>
      </c>
      <c r="D12" s="84" t="s">
        <v>225</v>
      </c>
      <c r="E12" s="264">
        <v>2.2644999999999998E-2</v>
      </c>
      <c r="F12" s="1"/>
      <c r="G12" s="1"/>
      <c r="H12" s="1"/>
      <c r="I12" s="1"/>
      <c r="J12" s="1"/>
      <c r="K12" s="1"/>
      <c r="L12" s="1"/>
      <c r="M12" s="1"/>
      <c r="N12" s="1"/>
      <c r="O12" s="1"/>
      <c r="P12" s="1"/>
      <c r="Q12" s="1"/>
      <c r="R12" s="1"/>
      <c r="S12" s="149"/>
      <c r="T12" s="141"/>
      <c r="W12" s="217" t="s">
        <v>149</v>
      </c>
      <c r="X12" s="218">
        <v>2.9473999999999997E-2</v>
      </c>
      <c r="Y12" s="166"/>
    </row>
    <row r="13" spans="1:25" ht="15" customHeight="1" x14ac:dyDescent="0.25">
      <c r="B13" s="133"/>
      <c r="C13" s="255" t="s">
        <v>41</v>
      </c>
      <c r="D13" s="84" t="s">
        <v>6</v>
      </c>
      <c r="E13" s="264">
        <v>2.0618999999999998E-2</v>
      </c>
      <c r="F13" s="1"/>
      <c r="G13" s="1"/>
      <c r="H13" s="1"/>
      <c r="I13" s="1"/>
      <c r="J13" s="1"/>
      <c r="K13" s="1"/>
      <c r="L13" s="1"/>
      <c r="M13" s="1"/>
      <c r="N13" s="1"/>
      <c r="O13" s="1"/>
      <c r="P13" s="1"/>
      <c r="Q13" s="1"/>
      <c r="R13" s="1"/>
      <c r="S13" s="149"/>
      <c r="T13" s="141"/>
      <c r="W13" s="217" t="s">
        <v>225</v>
      </c>
      <c r="X13" s="218">
        <v>2.9302999999999999E-2</v>
      </c>
      <c r="Y13" s="166"/>
    </row>
    <row r="14" spans="1:25" ht="15.75" customHeight="1" x14ac:dyDescent="0.25">
      <c r="B14" s="133"/>
      <c r="C14" s="255" t="s">
        <v>186</v>
      </c>
      <c r="D14" s="84" t="s">
        <v>4</v>
      </c>
      <c r="E14" s="264">
        <v>1.789E-2</v>
      </c>
      <c r="F14" s="1"/>
      <c r="G14" s="1"/>
      <c r="H14" s="1"/>
      <c r="I14" s="1"/>
      <c r="J14" s="1"/>
      <c r="K14" s="1"/>
      <c r="L14" s="1"/>
      <c r="M14" s="1"/>
      <c r="N14" s="1"/>
      <c r="O14" s="1"/>
      <c r="P14" s="1"/>
      <c r="Q14" s="1"/>
      <c r="R14" s="1"/>
      <c r="S14" s="149"/>
      <c r="T14" s="141"/>
      <c r="W14" s="217" t="s">
        <v>7</v>
      </c>
      <c r="X14" s="218">
        <v>2.5544999999999998E-2</v>
      </c>
      <c r="Y14" s="166"/>
    </row>
    <row r="15" spans="1:25" ht="15.75" x14ac:dyDescent="0.25">
      <c r="B15" s="133"/>
      <c r="C15" s="255" t="s">
        <v>185</v>
      </c>
      <c r="D15" s="84" t="s">
        <v>11</v>
      </c>
      <c r="E15" s="264">
        <v>1.7333999999999999E-2</v>
      </c>
      <c r="F15" s="1"/>
      <c r="G15" s="1"/>
      <c r="H15" s="1"/>
      <c r="I15" s="1"/>
      <c r="J15" s="1"/>
      <c r="K15" s="1"/>
      <c r="L15" s="1"/>
      <c r="M15" s="1"/>
      <c r="N15" s="1"/>
      <c r="O15" s="1"/>
      <c r="P15" s="1"/>
      <c r="Q15" s="1"/>
      <c r="R15" s="1"/>
      <c r="S15" s="149"/>
      <c r="T15" s="141"/>
      <c r="W15" s="217" t="s">
        <v>8</v>
      </c>
      <c r="X15" s="218">
        <v>2.4863999999999994E-2</v>
      </c>
      <c r="Y15" s="166"/>
    </row>
    <row r="16" spans="1:25" ht="15.75" customHeight="1" x14ac:dyDescent="0.25">
      <c r="B16" s="133"/>
      <c r="C16" s="255" t="s">
        <v>160</v>
      </c>
      <c r="D16" s="84" t="s">
        <v>35</v>
      </c>
      <c r="E16" s="264">
        <v>1.5436E-2</v>
      </c>
      <c r="F16" s="1"/>
      <c r="G16" s="1"/>
      <c r="H16" s="1"/>
      <c r="I16" s="1"/>
      <c r="J16" s="1"/>
      <c r="K16" s="1"/>
      <c r="L16" s="1"/>
      <c r="M16" s="1"/>
      <c r="N16" s="1"/>
      <c r="O16" s="1"/>
      <c r="P16" s="1"/>
      <c r="Q16" s="1"/>
      <c r="R16" s="1"/>
      <c r="S16" s="149"/>
      <c r="T16" s="141"/>
      <c r="W16" s="217" t="s">
        <v>35</v>
      </c>
      <c r="X16" s="218">
        <v>2.1885999999999999E-2</v>
      </c>
      <c r="Y16" s="166"/>
    </row>
    <row r="17" spans="1:25" ht="15" customHeight="1" x14ac:dyDescent="0.25">
      <c r="B17" s="133"/>
      <c r="C17" s="255" t="s">
        <v>189</v>
      </c>
      <c r="D17" s="84" t="s">
        <v>11</v>
      </c>
      <c r="E17" s="264">
        <v>1.5299999999999999E-2</v>
      </c>
      <c r="F17" s="1"/>
      <c r="G17" s="1"/>
      <c r="H17" s="1"/>
      <c r="I17" s="1"/>
      <c r="J17" s="1"/>
      <c r="K17" s="1"/>
      <c r="L17" s="1"/>
      <c r="M17" s="1"/>
      <c r="N17" s="1"/>
      <c r="O17" s="1"/>
      <c r="P17" s="1"/>
      <c r="Q17" s="1"/>
      <c r="R17" s="1"/>
      <c r="S17" s="149"/>
      <c r="T17" s="141"/>
      <c r="W17" s="217" t="s">
        <v>29</v>
      </c>
      <c r="X17" s="218">
        <v>1.6013999999999997E-2</v>
      </c>
      <c r="Y17" s="166"/>
    </row>
    <row r="18" spans="1:25" ht="15" customHeight="1" x14ac:dyDescent="0.25">
      <c r="B18" s="133"/>
      <c r="C18" s="255" t="s">
        <v>140</v>
      </c>
      <c r="D18" s="84" t="s">
        <v>3</v>
      </c>
      <c r="E18" s="264">
        <v>1.4756999999999999E-2</v>
      </c>
      <c r="F18" s="1"/>
      <c r="G18" s="1"/>
      <c r="H18" s="1"/>
      <c r="I18" s="1"/>
      <c r="J18" s="1"/>
      <c r="K18" s="1"/>
      <c r="L18" s="1"/>
      <c r="M18" s="1"/>
      <c r="N18" s="1"/>
      <c r="O18" s="1"/>
      <c r="P18" s="1"/>
      <c r="Q18" s="1"/>
      <c r="R18" s="1"/>
      <c r="S18" s="149"/>
      <c r="T18" s="141"/>
      <c r="W18" s="217" t="s">
        <v>21</v>
      </c>
      <c r="X18" s="218">
        <v>1.4924E-2</v>
      </c>
      <c r="Y18" s="166"/>
    </row>
    <row r="19" spans="1:25" ht="15" customHeight="1" x14ac:dyDescent="0.25">
      <c r="B19" s="133"/>
      <c r="C19" s="255" t="s">
        <v>95</v>
      </c>
      <c r="D19" s="84" t="s">
        <v>149</v>
      </c>
      <c r="E19" s="264">
        <v>1.4051000000000001E-2</v>
      </c>
      <c r="F19" s="1"/>
      <c r="G19" s="1"/>
      <c r="H19" s="1"/>
      <c r="I19" s="1"/>
      <c r="J19" s="1"/>
      <c r="K19" s="1"/>
      <c r="L19" s="1"/>
      <c r="M19" s="1"/>
      <c r="N19" s="1"/>
      <c r="O19" s="1"/>
      <c r="P19" s="1"/>
      <c r="Q19" s="1"/>
      <c r="R19" s="1"/>
      <c r="S19" s="149"/>
      <c r="T19" s="141"/>
      <c r="W19" s="217" t="s">
        <v>22</v>
      </c>
      <c r="X19" s="218">
        <v>1.2474000000000001E-2</v>
      </c>
      <c r="Y19" s="166"/>
    </row>
    <row r="20" spans="1:25" ht="15" customHeight="1" x14ac:dyDescent="0.25">
      <c r="B20" s="133"/>
      <c r="C20" s="255" t="s">
        <v>121</v>
      </c>
      <c r="D20" s="84" t="s">
        <v>8</v>
      </c>
      <c r="E20" s="264">
        <v>1.3781999999999999E-2</v>
      </c>
      <c r="F20" s="1"/>
      <c r="G20" s="1"/>
      <c r="H20" s="1"/>
      <c r="I20" s="1"/>
      <c r="J20" s="1"/>
      <c r="K20" s="1"/>
      <c r="L20" s="1"/>
      <c r="M20" s="1"/>
      <c r="N20" s="1"/>
      <c r="O20" s="1"/>
      <c r="P20" s="1"/>
      <c r="Q20" s="1"/>
      <c r="R20" s="1"/>
      <c r="S20" s="149"/>
      <c r="T20" s="141"/>
      <c r="W20" s="217" t="s">
        <v>14</v>
      </c>
      <c r="X20" s="218">
        <v>1.0915999999999999E-2</v>
      </c>
      <c r="Y20" s="166"/>
    </row>
    <row r="21" spans="1:25" ht="15" customHeight="1" x14ac:dyDescent="0.25">
      <c r="B21" s="133"/>
      <c r="C21" s="255" t="s">
        <v>184</v>
      </c>
      <c r="D21" s="84" t="s">
        <v>11</v>
      </c>
      <c r="E21" s="264">
        <v>1.1868E-2</v>
      </c>
      <c r="F21" s="1"/>
      <c r="G21" s="1"/>
      <c r="H21" s="1"/>
      <c r="I21" s="1"/>
      <c r="J21" s="1"/>
      <c r="K21" s="1"/>
      <c r="L21" s="1"/>
      <c r="M21" s="1"/>
      <c r="N21" s="1"/>
      <c r="O21" s="1"/>
      <c r="P21" s="1"/>
      <c r="Q21" s="1"/>
      <c r="R21" s="1"/>
      <c r="S21" s="149"/>
      <c r="T21" s="141"/>
      <c r="W21" s="217" t="s">
        <v>133</v>
      </c>
      <c r="X21" s="218">
        <v>9.9360000000000004E-3</v>
      </c>
      <c r="Y21" s="166"/>
    </row>
    <row r="22" spans="1:25" ht="15" customHeight="1" x14ac:dyDescent="0.25">
      <c r="B22" s="133"/>
      <c r="C22" s="255" t="s">
        <v>192</v>
      </c>
      <c r="D22" s="84" t="s">
        <v>4</v>
      </c>
      <c r="E22" s="264">
        <v>1.1450999999999999E-2</v>
      </c>
      <c r="F22" s="1"/>
      <c r="G22" s="1"/>
      <c r="H22" s="1"/>
      <c r="I22" s="1"/>
      <c r="J22" s="1"/>
      <c r="K22" s="1"/>
      <c r="L22" s="1"/>
      <c r="M22" s="1"/>
      <c r="N22" s="1"/>
      <c r="O22" s="1"/>
      <c r="P22" s="1"/>
      <c r="Q22" s="1"/>
      <c r="R22" s="1"/>
      <c r="S22" s="149"/>
      <c r="T22" s="141"/>
      <c r="W22" s="217" t="s">
        <v>152</v>
      </c>
      <c r="X22" s="218">
        <v>8.9740000000000011E-3</v>
      </c>
      <c r="Y22" s="166"/>
    </row>
    <row r="23" spans="1:25" ht="16.5" customHeight="1" x14ac:dyDescent="0.25">
      <c r="B23" s="133"/>
      <c r="C23" s="256" t="s">
        <v>96</v>
      </c>
      <c r="D23" s="129"/>
      <c r="E23" s="265">
        <f>SUM(E8:E22)</f>
        <v>0.32625699999999996</v>
      </c>
      <c r="F23" s="1"/>
      <c r="G23" s="1"/>
      <c r="H23" s="1"/>
      <c r="I23" s="1"/>
      <c r="J23" s="1"/>
      <c r="K23" s="1"/>
      <c r="L23" s="1"/>
      <c r="M23" s="1"/>
      <c r="N23" s="1"/>
      <c r="O23" s="1"/>
      <c r="P23" s="1"/>
      <c r="Q23" s="1"/>
      <c r="R23" s="1"/>
      <c r="S23" s="149"/>
      <c r="T23" s="141"/>
      <c r="W23" s="217" t="s">
        <v>23</v>
      </c>
      <c r="X23" s="218">
        <v>4.8999999999999998E-3</v>
      </c>
      <c r="Y23" s="166"/>
    </row>
    <row r="24" spans="1:25" ht="15" customHeight="1" x14ac:dyDescent="0.25">
      <c r="B24" s="133"/>
      <c r="C24" s="257"/>
      <c r="D24" s="67"/>
      <c r="E24" s="264"/>
      <c r="F24" s="1"/>
      <c r="G24" s="1"/>
      <c r="H24" s="1"/>
      <c r="I24" s="1"/>
      <c r="J24" s="1"/>
      <c r="K24" s="1"/>
      <c r="L24" s="1"/>
      <c r="M24" s="1"/>
      <c r="N24" s="1"/>
      <c r="O24" s="1"/>
      <c r="P24" s="1"/>
      <c r="Q24" s="1"/>
      <c r="R24" s="1"/>
      <c r="S24" s="149"/>
      <c r="T24" s="141"/>
      <c r="W24" s="217" t="s">
        <v>6</v>
      </c>
      <c r="X24" s="218">
        <v>4.719999999999995E-3</v>
      </c>
      <c r="Y24" s="166"/>
    </row>
    <row r="25" spans="1:25" ht="15" customHeight="1" x14ac:dyDescent="0.25">
      <c r="B25" s="133"/>
      <c r="C25" s="256" t="s">
        <v>82</v>
      </c>
      <c r="D25" s="129"/>
      <c r="E25" s="266">
        <v>0.22958299999999995</v>
      </c>
      <c r="F25" s="1"/>
      <c r="G25" s="1"/>
      <c r="H25" s="1"/>
      <c r="I25" s="1"/>
      <c r="J25" s="1"/>
      <c r="K25" s="1"/>
      <c r="L25" s="1"/>
      <c r="M25" s="1"/>
      <c r="N25" s="1"/>
      <c r="O25" s="1"/>
      <c r="P25" s="1"/>
      <c r="Q25" s="1"/>
      <c r="R25" s="1"/>
      <c r="S25" s="149"/>
      <c r="T25" s="141"/>
      <c r="W25" s="217" t="s">
        <v>211</v>
      </c>
      <c r="X25" s="218">
        <v>4.6769999999999997E-3</v>
      </c>
      <c r="Y25" s="166"/>
    </row>
    <row r="26" spans="1:25" ht="15" customHeight="1" x14ac:dyDescent="0.25">
      <c r="B26" s="133"/>
      <c r="C26" s="257"/>
      <c r="D26" s="67"/>
      <c r="E26" s="264"/>
      <c r="F26" s="1"/>
      <c r="G26" s="1"/>
      <c r="H26" s="1"/>
      <c r="I26" s="1"/>
      <c r="J26" s="1"/>
      <c r="K26" s="1"/>
      <c r="L26" s="1"/>
      <c r="M26" s="1"/>
      <c r="N26" s="1"/>
      <c r="O26" s="1"/>
      <c r="P26" s="1"/>
      <c r="Q26" s="1"/>
      <c r="R26" s="1"/>
      <c r="S26" s="149"/>
      <c r="T26" s="141"/>
      <c r="W26" s="217" t="s">
        <v>28</v>
      </c>
      <c r="X26" s="218">
        <v>3.4849999999999998E-3</v>
      </c>
      <c r="Y26" s="166"/>
    </row>
    <row r="27" spans="1:25" ht="18" customHeight="1" x14ac:dyDescent="0.25">
      <c r="B27" s="133"/>
      <c r="C27" s="256" t="s">
        <v>81</v>
      </c>
      <c r="D27" s="27"/>
      <c r="E27" s="267">
        <v>0.12517500000000001</v>
      </c>
      <c r="F27" s="1"/>
      <c r="G27" s="1"/>
      <c r="H27" s="1"/>
      <c r="I27" s="1"/>
      <c r="J27" s="1"/>
      <c r="K27" s="1"/>
      <c r="L27" s="1"/>
      <c r="M27" s="1"/>
      <c r="N27" s="1"/>
      <c r="O27" s="1"/>
      <c r="P27" s="1"/>
      <c r="Q27" s="1"/>
      <c r="R27" s="1"/>
      <c r="S27" s="149"/>
      <c r="T27" s="141"/>
      <c r="W27" s="200" t="s">
        <v>89</v>
      </c>
      <c r="X27" s="201">
        <v>3.1749999999999999E-3</v>
      </c>
    </row>
    <row r="28" spans="1:25" ht="18" customHeight="1" x14ac:dyDescent="0.25">
      <c r="B28" s="133"/>
      <c r="C28" s="257"/>
      <c r="D28" s="67"/>
      <c r="E28" s="264"/>
      <c r="F28" s="1"/>
      <c r="G28" s="1"/>
      <c r="H28" s="1"/>
      <c r="I28" s="1"/>
      <c r="J28" s="1"/>
      <c r="K28" s="1"/>
      <c r="L28" s="1"/>
      <c r="M28" s="1"/>
      <c r="N28" s="1"/>
      <c r="O28" s="1"/>
      <c r="P28" s="1"/>
      <c r="Q28" s="1"/>
      <c r="R28" s="1"/>
      <c r="S28" s="149"/>
      <c r="T28" s="141"/>
      <c r="W28" s="200" t="s">
        <v>214</v>
      </c>
      <c r="X28" s="201">
        <v>3.1489999999999999E-3</v>
      </c>
    </row>
    <row r="29" spans="1:25" ht="15" customHeight="1" x14ac:dyDescent="0.25">
      <c r="B29" s="133"/>
      <c r="C29" s="255" t="s">
        <v>41</v>
      </c>
      <c r="D29" s="84" t="s">
        <v>91</v>
      </c>
      <c r="E29" s="264">
        <v>1.7108999999999999E-2</v>
      </c>
      <c r="F29" s="1"/>
      <c r="G29" s="1"/>
      <c r="H29" s="1"/>
      <c r="I29" s="1"/>
      <c r="J29" s="1"/>
      <c r="K29" s="1"/>
      <c r="L29" s="1"/>
      <c r="M29" s="1"/>
      <c r="N29" s="1"/>
      <c r="O29" s="1"/>
      <c r="P29" s="1"/>
      <c r="Q29" s="1"/>
      <c r="R29" s="1"/>
      <c r="S29" s="149"/>
      <c r="T29" s="141"/>
      <c r="W29" s="200"/>
      <c r="X29" s="201"/>
    </row>
    <row r="30" spans="1:25" ht="15" customHeight="1" x14ac:dyDescent="0.25">
      <c r="B30" s="133"/>
      <c r="C30" s="255" t="s">
        <v>127</v>
      </c>
      <c r="D30" s="84" t="s">
        <v>91</v>
      </c>
      <c r="E30" s="264">
        <v>8.5920000000000007E-3</v>
      </c>
      <c r="F30" s="1"/>
      <c r="G30" s="87"/>
      <c r="H30" s="1"/>
      <c r="I30" s="1"/>
      <c r="J30" s="1"/>
      <c r="K30" s="1"/>
      <c r="L30" s="1"/>
      <c r="M30" s="1"/>
      <c r="N30" s="1"/>
      <c r="O30" s="1"/>
      <c r="P30" s="1"/>
      <c r="Q30" s="1"/>
      <c r="R30" s="1"/>
      <c r="S30" s="149"/>
      <c r="T30" s="141"/>
      <c r="W30" s="200"/>
      <c r="X30" s="201"/>
    </row>
    <row r="31" spans="1:25" ht="15" customHeight="1" x14ac:dyDescent="0.25">
      <c r="B31" s="133"/>
      <c r="C31" s="255" t="s">
        <v>124</v>
      </c>
      <c r="D31" s="84" t="s">
        <v>91</v>
      </c>
      <c r="E31" s="264">
        <v>6.8529999999999997E-3</v>
      </c>
      <c r="F31" s="1"/>
      <c r="G31" s="87"/>
      <c r="H31" s="1"/>
      <c r="I31" s="1"/>
      <c r="J31" s="1"/>
      <c r="K31" s="1"/>
      <c r="L31" s="1"/>
      <c r="M31" s="1"/>
      <c r="N31" s="1"/>
      <c r="O31" s="1"/>
      <c r="P31" s="1"/>
      <c r="Q31" s="1"/>
      <c r="R31" s="1"/>
      <c r="S31" s="149"/>
      <c r="T31" s="141"/>
      <c r="W31" s="200"/>
      <c r="X31" s="201"/>
    </row>
    <row r="32" spans="1:25" ht="15" customHeight="1" x14ac:dyDescent="0.25">
      <c r="A32" s="278"/>
      <c r="B32" s="281"/>
      <c r="C32" s="255" t="s">
        <v>108</v>
      </c>
      <c r="D32" s="84" t="s">
        <v>91</v>
      </c>
      <c r="E32" s="264">
        <v>5.1139999999999996E-3</v>
      </c>
      <c r="F32" s="279"/>
      <c r="G32" s="88"/>
      <c r="H32" s="279"/>
      <c r="I32" s="279"/>
      <c r="J32" s="279"/>
      <c r="K32" s="279"/>
      <c r="L32" s="279"/>
      <c r="M32" s="279"/>
      <c r="N32" s="279"/>
      <c r="O32" s="279"/>
      <c r="P32" s="279"/>
      <c r="Q32" s="279"/>
      <c r="R32" s="279"/>
      <c r="S32" s="149"/>
      <c r="T32" s="141"/>
      <c r="W32" s="200"/>
      <c r="X32" s="201"/>
    </row>
    <row r="33" spans="1:28" ht="15" customHeight="1" x14ac:dyDescent="0.25">
      <c r="B33" s="133"/>
      <c r="C33" s="255" t="s">
        <v>88</v>
      </c>
      <c r="D33" s="84" t="s">
        <v>91</v>
      </c>
      <c r="E33" s="264">
        <v>8.8999999999999995E-5</v>
      </c>
      <c r="F33" s="1"/>
      <c r="G33" s="88"/>
      <c r="H33" s="1"/>
      <c r="I33" s="1"/>
      <c r="J33" s="1"/>
      <c r="K33" s="1"/>
      <c r="L33" s="1"/>
      <c r="M33" s="1"/>
      <c r="N33" s="1"/>
      <c r="O33" s="1"/>
      <c r="P33" s="1"/>
      <c r="Q33" s="1"/>
      <c r="R33" s="1"/>
      <c r="S33" s="149"/>
      <c r="T33" s="141"/>
      <c r="W33" s="200"/>
      <c r="X33" s="201"/>
    </row>
    <row r="34" spans="1:28" ht="15" customHeight="1" x14ac:dyDescent="0.25">
      <c r="B34" s="133"/>
      <c r="C34" s="258" t="s">
        <v>5</v>
      </c>
      <c r="D34" s="129"/>
      <c r="E34" s="265">
        <v>3.7756999999999999E-2</v>
      </c>
      <c r="F34" s="1"/>
      <c r="G34" s="1"/>
      <c r="H34" s="1"/>
      <c r="I34" s="182"/>
      <c r="J34" s="1"/>
      <c r="K34" s="1"/>
      <c r="L34" s="1"/>
      <c r="M34" s="1"/>
      <c r="N34" s="1"/>
      <c r="O34" s="1"/>
      <c r="P34" s="1"/>
      <c r="Q34" s="1"/>
      <c r="R34" s="1"/>
      <c r="S34" s="149"/>
      <c r="T34" s="141"/>
      <c r="W34" s="200"/>
      <c r="X34" s="201"/>
    </row>
    <row r="35" spans="1:28" ht="15" customHeight="1" x14ac:dyDescent="0.25">
      <c r="A35" s="278"/>
      <c r="B35" s="281"/>
      <c r="C35" s="257"/>
      <c r="D35" s="67"/>
      <c r="E35" s="264"/>
      <c r="F35" s="279"/>
      <c r="G35" s="279"/>
      <c r="H35" s="279"/>
      <c r="I35" s="182"/>
      <c r="J35" s="279"/>
      <c r="K35" s="279"/>
      <c r="L35" s="279"/>
      <c r="M35" s="279"/>
      <c r="N35" s="279"/>
      <c r="O35" s="279"/>
      <c r="P35" s="279"/>
      <c r="Q35" s="279"/>
      <c r="R35" s="279"/>
      <c r="S35" s="149"/>
      <c r="T35" s="141"/>
      <c r="W35" s="200"/>
      <c r="X35" s="201"/>
    </row>
    <row r="36" spans="1:28" ht="15" customHeight="1" x14ac:dyDescent="0.25">
      <c r="A36" s="278"/>
      <c r="B36" s="281"/>
      <c r="C36" s="257" t="s">
        <v>39</v>
      </c>
      <c r="D36" s="67" t="s">
        <v>203</v>
      </c>
      <c r="E36" s="264">
        <v>1.6657000000000002E-2</v>
      </c>
      <c r="F36" s="279"/>
      <c r="G36" s="279"/>
      <c r="H36" s="279"/>
      <c r="I36" s="182"/>
      <c r="J36" s="279"/>
      <c r="K36" s="279"/>
      <c r="L36" s="279"/>
      <c r="M36" s="279"/>
      <c r="N36" s="279"/>
      <c r="O36" s="279"/>
      <c r="P36" s="279"/>
      <c r="Q36" s="279"/>
      <c r="R36" s="279"/>
      <c r="S36" s="149"/>
      <c r="T36" s="141"/>
      <c r="W36" s="200"/>
      <c r="X36" s="201"/>
    </row>
    <row r="37" spans="1:28" ht="15" customHeight="1" x14ac:dyDescent="0.25">
      <c r="B37" s="133"/>
      <c r="C37" s="258" t="s">
        <v>120</v>
      </c>
      <c r="D37" s="129"/>
      <c r="E37" s="265">
        <v>1.6657000000000002E-2</v>
      </c>
      <c r="F37" s="1"/>
      <c r="G37" s="1"/>
      <c r="H37" s="1"/>
      <c r="I37" s="182"/>
      <c r="J37" s="1"/>
      <c r="K37" s="1"/>
      <c r="L37" s="1"/>
      <c r="M37" s="1"/>
      <c r="N37" s="1"/>
      <c r="O37" s="1"/>
      <c r="P37" s="1"/>
      <c r="Q37" s="1"/>
      <c r="R37" s="1"/>
      <c r="S37" s="149"/>
      <c r="T37" s="141"/>
      <c r="W37" s="200"/>
      <c r="X37" s="201"/>
    </row>
    <row r="38" spans="1:28" ht="15" customHeight="1" x14ac:dyDescent="0.25">
      <c r="A38" s="278"/>
      <c r="B38" s="281"/>
      <c r="C38" s="257"/>
      <c r="D38" s="67"/>
      <c r="E38" s="268"/>
      <c r="F38" s="279"/>
      <c r="G38" s="279"/>
      <c r="H38" s="279"/>
      <c r="I38" s="182"/>
      <c r="J38" s="279"/>
      <c r="K38" s="279"/>
      <c r="L38" s="279"/>
      <c r="M38" s="279"/>
      <c r="N38" s="279"/>
      <c r="O38" s="279"/>
      <c r="P38" s="279"/>
      <c r="Q38" s="279"/>
      <c r="R38" s="279"/>
      <c r="S38" s="149"/>
      <c r="T38" s="141"/>
    </row>
    <row r="39" spans="1:28" ht="15" customHeight="1" x14ac:dyDescent="0.25">
      <c r="A39" s="278"/>
      <c r="B39" s="281"/>
      <c r="C39" s="257" t="s">
        <v>46</v>
      </c>
      <c r="D39" s="67" t="s">
        <v>203</v>
      </c>
      <c r="E39" s="264">
        <v>5.0045999999999993E-2</v>
      </c>
      <c r="F39" s="279"/>
      <c r="G39" s="279"/>
      <c r="H39" s="279"/>
      <c r="I39" s="182"/>
      <c r="J39" s="279"/>
      <c r="K39" s="279"/>
      <c r="L39" s="279"/>
      <c r="M39" s="279"/>
      <c r="N39" s="279"/>
      <c r="O39" s="279"/>
      <c r="P39" s="279"/>
      <c r="Q39" s="279"/>
      <c r="R39" s="279"/>
      <c r="S39" s="149"/>
      <c r="T39" s="141"/>
    </row>
    <row r="40" spans="1:28" ht="15" customHeight="1" x14ac:dyDescent="0.25">
      <c r="B40" s="133"/>
      <c r="C40" s="257" t="s">
        <v>213</v>
      </c>
      <c r="D40" s="67" t="s">
        <v>203</v>
      </c>
      <c r="E40" s="264">
        <v>1.6771000000000001E-2</v>
      </c>
      <c r="F40" s="1"/>
      <c r="G40" s="1"/>
      <c r="H40" s="1"/>
      <c r="I40" s="182"/>
      <c r="J40" s="1"/>
      <c r="K40" s="1"/>
      <c r="L40" s="1"/>
      <c r="M40" s="1"/>
      <c r="N40" s="1"/>
      <c r="O40" s="1"/>
      <c r="P40" s="1"/>
      <c r="Q40" s="1"/>
      <c r="R40" s="1"/>
      <c r="S40" s="149"/>
      <c r="T40" s="141"/>
    </row>
    <row r="41" spans="1:28" s="232" customFormat="1" ht="15" customHeight="1" x14ac:dyDescent="0.25">
      <c r="A41" s="147"/>
      <c r="B41" s="227"/>
      <c r="C41" s="258" t="s">
        <v>100</v>
      </c>
      <c r="D41" s="129"/>
      <c r="E41" s="265">
        <v>6.6817000000000001E-2</v>
      </c>
      <c r="F41" s="282"/>
      <c r="G41" s="282"/>
      <c r="H41" s="282"/>
      <c r="I41" s="228"/>
      <c r="J41" s="282"/>
      <c r="K41" s="282"/>
      <c r="L41" s="282"/>
      <c r="M41" s="282"/>
      <c r="N41" s="282"/>
      <c r="O41" s="282"/>
      <c r="P41" s="282"/>
      <c r="Q41" s="282"/>
      <c r="R41" s="282"/>
      <c r="S41" s="229"/>
      <c r="T41" s="230"/>
      <c r="U41" s="231"/>
      <c r="V41" s="231"/>
      <c r="W41" s="167"/>
      <c r="X41" s="167"/>
      <c r="Y41" s="167"/>
      <c r="Z41" s="167"/>
      <c r="AA41" s="231"/>
      <c r="AB41" s="231"/>
    </row>
    <row r="42" spans="1:28" s="232" customFormat="1" ht="15" customHeight="1" x14ac:dyDescent="0.25">
      <c r="A42" s="147"/>
      <c r="B42" s="227"/>
      <c r="C42" s="259"/>
      <c r="D42" s="145"/>
      <c r="E42" s="268"/>
      <c r="F42" s="107"/>
      <c r="G42" s="107"/>
      <c r="H42" s="107"/>
      <c r="I42" s="228"/>
      <c r="J42" s="107"/>
      <c r="K42" s="107"/>
      <c r="L42" s="107"/>
      <c r="M42" s="107"/>
      <c r="N42" s="107"/>
      <c r="O42" s="107"/>
      <c r="P42" s="107"/>
      <c r="Q42" s="107"/>
      <c r="R42" s="107"/>
      <c r="S42" s="229"/>
      <c r="T42" s="230"/>
      <c r="U42" s="231"/>
      <c r="V42" s="231"/>
      <c r="W42" s="167"/>
      <c r="X42" s="167"/>
      <c r="Y42" s="167"/>
      <c r="Z42" s="167"/>
      <c r="AA42" s="231"/>
      <c r="AB42" s="231"/>
    </row>
    <row r="43" spans="1:28" s="232" customFormat="1" ht="15" customHeight="1" x14ac:dyDescent="0.25">
      <c r="A43" s="147"/>
      <c r="B43" s="227"/>
      <c r="C43" s="260" t="s">
        <v>104</v>
      </c>
      <c r="D43" s="226" t="s">
        <v>85</v>
      </c>
      <c r="E43" s="269">
        <v>1.6018000000000001E-2</v>
      </c>
      <c r="F43" s="282"/>
      <c r="G43" s="282"/>
      <c r="H43" s="282"/>
      <c r="I43" s="228"/>
      <c r="J43" s="282"/>
      <c r="K43" s="282"/>
      <c r="L43" s="282"/>
      <c r="M43" s="282"/>
      <c r="N43" s="282"/>
      <c r="O43" s="282"/>
      <c r="P43" s="282"/>
      <c r="Q43" s="282"/>
      <c r="R43" s="282"/>
      <c r="S43" s="229"/>
      <c r="T43" s="230"/>
      <c r="U43" s="231"/>
      <c r="V43" s="231"/>
      <c r="W43" s="167"/>
      <c r="X43" s="167"/>
      <c r="Y43" s="167"/>
      <c r="Z43" s="167"/>
      <c r="AA43" s="231"/>
      <c r="AB43" s="231"/>
    </row>
    <row r="44" spans="1:28" s="232" customFormat="1" ht="15" customHeight="1" x14ac:dyDescent="0.25">
      <c r="A44" s="147"/>
      <c r="B44" s="227"/>
      <c r="C44" s="260" t="s">
        <v>139</v>
      </c>
      <c r="D44" s="226" t="s">
        <v>85</v>
      </c>
      <c r="E44" s="269">
        <v>2.0005999999999999E-2</v>
      </c>
      <c r="F44" s="107"/>
      <c r="G44" s="107"/>
      <c r="H44" s="107"/>
      <c r="I44" s="228"/>
      <c r="J44" s="107"/>
      <c r="K44" s="107"/>
      <c r="L44" s="107"/>
      <c r="M44" s="107"/>
      <c r="N44" s="107"/>
      <c r="O44" s="107"/>
      <c r="P44" s="107"/>
      <c r="Q44" s="107"/>
      <c r="R44" s="107"/>
      <c r="S44" s="229"/>
      <c r="T44" s="230"/>
      <c r="U44" s="231"/>
      <c r="V44" s="231"/>
      <c r="W44" s="167"/>
      <c r="X44" s="167"/>
      <c r="Y44" s="167"/>
      <c r="Z44" s="167"/>
      <c r="AA44" s="231"/>
      <c r="AB44" s="231"/>
    </row>
    <row r="45" spans="1:28" s="232" customFormat="1" ht="15" customHeight="1" x14ac:dyDescent="0.25">
      <c r="A45" s="147"/>
      <c r="B45" s="227"/>
      <c r="C45" s="260" t="s">
        <v>215</v>
      </c>
      <c r="D45" s="226" t="s">
        <v>85</v>
      </c>
      <c r="E45" s="269">
        <v>2.7213000000000001E-2</v>
      </c>
      <c r="F45" s="107"/>
      <c r="G45" s="107"/>
      <c r="H45" s="107"/>
      <c r="I45" s="228"/>
      <c r="J45" s="107"/>
      <c r="K45" s="107"/>
      <c r="L45" s="107"/>
      <c r="M45" s="107"/>
      <c r="N45" s="107"/>
      <c r="O45" s="107"/>
      <c r="P45" s="107"/>
      <c r="Q45" s="107"/>
      <c r="R45" s="107"/>
      <c r="S45" s="229"/>
      <c r="T45" s="230"/>
      <c r="U45" s="231"/>
      <c r="V45" s="231"/>
      <c r="W45" s="167"/>
      <c r="X45" s="167"/>
      <c r="Y45" s="167"/>
      <c r="Z45" s="167"/>
      <c r="AA45" s="231"/>
      <c r="AB45" s="231"/>
    </row>
    <row r="46" spans="1:28" s="232" customFormat="1" ht="15" customHeight="1" x14ac:dyDescent="0.25">
      <c r="A46" s="147"/>
      <c r="B46" s="227"/>
      <c r="C46" s="260" t="s">
        <v>161</v>
      </c>
      <c r="D46" s="226" t="s">
        <v>85</v>
      </c>
      <c r="E46" s="269">
        <v>8.3257999999999999E-2</v>
      </c>
      <c r="F46" s="107"/>
      <c r="G46" s="107"/>
      <c r="H46" s="107"/>
      <c r="I46" s="228"/>
      <c r="J46" s="107"/>
      <c r="K46" s="107"/>
      <c r="L46" s="107"/>
      <c r="M46" s="107"/>
      <c r="N46" s="107"/>
      <c r="O46" s="107"/>
      <c r="P46" s="107"/>
      <c r="Q46" s="107"/>
      <c r="R46" s="107"/>
      <c r="S46" s="229"/>
      <c r="T46" s="230"/>
      <c r="U46" s="231"/>
      <c r="V46" s="231"/>
      <c r="W46" s="167"/>
      <c r="X46" s="167"/>
      <c r="Y46" s="167"/>
      <c r="Z46" s="167"/>
      <c r="AA46" s="231"/>
      <c r="AB46" s="231"/>
    </row>
    <row r="47" spans="1:28" ht="15" customHeight="1" x14ac:dyDescent="0.25">
      <c r="B47" s="133"/>
      <c r="C47" s="256" t="s">
        <v>57</v>
      </c>
      <c r="D47" s="27"/>
      <c r="E47" s="267">
        <v>0.14649499999999999</v>
      </c>
      <c r="F47" s="1"/>
      <c r="G47" s="1"/>
      <c r="H47" s="1"/>
      <c r="I47" s="182"/>
      <c r="J47" s="1"/>
      <c r="K47" s="1"/>
      <c r="L47" s="1"/>
      <c r="M47" s="1"/>
      <c r="N47" s="1"/>
      <c r="O47" s="1"/>
      <c r="P47" s="1"/>
      <c r="Q47" s="1"/>
      <c r="R47" s="1"/>
      <c r="S47" s="149"/>
      <c r="T47" s="141"/>
    </row>
    <row r="48" spans="1:28" ht="15" customHeight="1" x14ac:dyDescent="0.25">
      <c r="B48" s="133"/>
      <c r="C48" s="259"/>
      <c r="D48" s="145"/>
      <c r="E48" s="268"/>
      <c r="F48" s="1"/>
      <c r="G48" s="1"/>
      <c r="H48" s="1"/>
      <c r="I48" s="182"/>
      <c r="J48" s="1"/>
      <c r="K48" s="1"/>
      <c r="L48" s="1"/>
      <c r="M48" s="1"/>
      <c r="N48" s="1"/>
      <c r="O48" s="1"/>
      <c r="P48" s="1"/>
      <c r="Q48" s="1"/>
      <c r="R48" s="1"/>
      <c r="S48" s="149"/>
      <c r="T48" s="141"/>
    </row>
    <row r="49" spans="1:20" ht="15" customHeight="1" x14ac:dyDescent="0.25">
      <c r="B49" s="133"/>
      <c r="C49" s="260" t="s">
        <v>216</v>
      </c>
      <c r="D49" s="226" t="s">
        <v>85</v>
      </c>
      <c r="E49" s="269">
        <v>1.6851999999999999E-2</v>
      </c>
      <c r="F49" s="1"/>
      <c r="G49" s="1"/>
      <c r="H49" s="1"/>
      <c r="I49" s="1"/>
      <c r="J49" s="1"/>
      <c r="K49" s="1"/>
      <c r="L49" s="1"/>
      <c r="M49" s="1"/>
      <c r="N49" s="1"/>
      <c r="O49" s="1"/>
      <c r="P49" s="1"/>
      <c r="Q49" s="1"/>
      <c r="R49" s="1"/>
      <c r="S49" s="149"/>
      <c r="T49" s="141"/>
    </row>
    <row r="50" spans="1:20" ht="15" customHeight="1" x14ac:dyDescent="0.25">
      <c r="B50" s="133"/>
      <c r="C50" s="260" t="s">
        <v>226</v>
      </c>
      <c r="D50" s="226" t="s">
        <v>85</v>
      </c>
      <c r="E50" s="269">
        <v>2.0125000000000001E-2</v>
      </c>
      <c r="F50" s="1"/>
      <c r="G50" s="1"/>
      <c r="H50" s="1"/>
      <c r="I50" s="1"/>
      <c r="J50" s="1"/>
      <c r="K50" s="1"/>
      <c r="L50" s="1"/>
      <c r="M50" s="1"/>
      <c r="N50" s="1"/>
      <c r="O50" s="1"/>
      <c r="P50" s="1"/>
      <c r="Q50" s="1"/>
      <c r="R50" s="1"/>
      <c r="S50" s="149"/>
      <c r="T50" s="141"/>
    </row>
    <row r="51" spans="1:20" ht="15" customHeight="1" x14ac:dyDescent="0.25">
      <c r="B51" s="133"/>
      <c r="C51" s="261" t="s">
        <v>138</v>
      </c>
      <c r="D51" s="130"/>
      <c r="E51" s="266">
        <v>3.6977000000000003E-2</v>
      </c>
      <c r="F51" s="1"/>
      <c r="G51" s="223"/>
      <c r="H51" s="1"/>
      <c r="I51" s="1"/>
      <c r="J51" s="1"/>
      <c r="K51" s="1"/>
      <c r="L51" s="1"/>
      <c r="M51" s="1"/>
      <c r="N51" s="1"/>
      <c r="O51" s="1"/>
      <c r="P51" s="1"/>
      <c r="Q51" s="1"/>
      <c r="R51" s="1"/>
      <c r="S51" s="149"/>
      <c r="T51" s="141"/>
    </row>
    <row r="52" spans="1:20" ht="15" customHeight="1" x14ac:dyDescent="0.25">
      <c r="B52" s="133"/>
      <c r="C52" s="262"/>
      <c r="D52" s="118"/>
      <c r="E52" s="270"/>
      <c r="F52" s="1"/>
      <c r="G52" s="1"/>
      <c r="H52" s="1"/>
      <c r="I52" s="1"/>
      <c r="J52" s="1"/>
      <c r="K52" s="1"/>
      <c r="L52" s="1"/>
      <c r="M52" s="1"/>
      <c r="N52" s="1"/>
      <c r="O52" s="1"/>
      <c r="P52" s="1"/>
      <c r="Q52" s="1"/>
      <c r="R52" s="1"/>
      <c r="S52" s="149"/>
      <c r="T52" s="141"/>
    </row>
    <row r="53" spans="1:20" ht="15" customHeight="1" x14ac:dyDescent="0.25">
      <c r="A53" s="278"/>
      <c r="B53" s="281"/>
      <c r="C53" s="261" t="s">
        <v>106</v>
      </c>
      <c r="D53" s="130"/>
      <c r="E53" s="266">
        <v>1.4290999999999984E-2</v>
      </c>
      <c r="F53" s="279"/>
      <c r="G53" s="279"/>
      <c r="H53" s="279"/>
      <c r="I53" s="279"/>
      <c r="J53" s="279"/>
      <c r="K53" s="279"/>
      <c r="L53" s="279"/>
      <c r="M53" s="279"/>
      <c r="N53" s="279"/>
      <c r="O53" s="279"/>
      <c r="P53" s="279"/>
      <c r="Q53" s="279"/>
      <c r="R53" s="279"/>
      <c r="S53" s="149"/>
      <c r="T53" s="141"/>
    </row>
    <row r="54" spans="1:20" ht="15" customHeight="1" x14ac:dyDescent="0.25">
      <c r="A54" s="278"/>
      <c r="B54" s="281"/>
      <c r="C54" s="262"/>
      <c r="D54" s="118"/>
      <c r="E54" s="270"/>
      <c r="F54" s="279"/>
      <c r="G54" s="279"/>
      <c r="H54" s="279"/>
      <c r="I54" s="279"/>
      <c r="J54" s="279"/>
      <c r="K54" s="279"/>
      <c r="L54" s="279"/>
      <c r="M54" s="279"/>
      <c r="N54" s="279"/>
      <c r="O54" s="279"/>
      <c r="P54" s="279"/>
      <c r="Q54" s="279"/>
      <c r="R54" s="279"/>
      <c r="S54" s="149"/>
      <c r="T54" s="141"/>
    </row>
    <row r="55" spans="1:20" ht="15" customHeight="1" x14ac:dyDescent="0.25">
      <c r="A55" s="278"/>
      <c r="B55" s="281"/>
      <c r="C55" s="263" t="s">
        <v>26</v>
      </c>
      <c r="D55" s="71"/>
      <c r="E55" s="64">
        <f>E53+E51+E47+E41+E37+E34+E27+E25+E23</f>
        <v>1.0000089999999999</v>
      </c>
      <c r="F55" s="279"/>
      <c r="G55" s="279"/>
      <c r="H55" s="279"/>
      <c r="I55" s="279"/>
      <c r="J55" s="279"/>
      <c r="K55" s="279"/>
      <c r="L55" s="279"/>
      <c r="M55" s="279"/>
      <c r="N55" s="279"/>
      <c r="O55" s="279"/>
      <c r="P55" s="279"/>
      <c r="Q55" s="279"/>
      <c r="R55" s="279"/>
      <c r="S55" s="149"/>
      <c r="T55" s="141"/>
    </row>
    <row r="56" spans="1:20" ht="15" customHeight="1" x14ac:dyDescent="0.25">
      <c r="B56" s="133"/>
      <c r="F56" s="1"/>
      <c r="G56" s="1"/>
      <c r="H56" s="1"/>
      <c r="I56" s="1"/>
      <c r="J56" s="1"/>
      <c r="K56" s="1"/>
      <c r="L56" s="1"/>
      <c r="M56" s="1"/>
      <c r="N56" s="1"/>
      <c r="O56" s="1"/>
      <c r="P56" s="1"/>
      <c r="Q56" s="1"/>
      <c r="R56" s="1"/>
      <c r="S56" s="149"/>
      <c r="T56" s="141"/>
    </row>
    <row r="57" spans="1:20" ht="15" customHeight="1" x14ac:dyDescent="0.25">
      <c r="B57" s="133"/>
      <c r="F57" s="1"/>
      <c r="G57" s="1"/>
      <c r="H57" s="1"/>
      <c r="I57" s="1"/>
      <c r="J57" s="1"/>
      <c r="K57" s="1"/>
      <c r="L57" s="1"/>
      <c r="M57" s="1"/>
      <c r="N57" s="1"/>
      <c r="O57" s="1"/>
      <c r="P57" s="1"/>
      <c r="Q57" s="1"/>
      <c r="R57" s="1"/>
      <c r="S57" s="149"/>
      <c r="T57" s="141"/>
    </row>
    <row r="58" spans="1:20" ht="15" customHeight="1" x14ac:dyDescent="0.25">
      <c r="B58" s="133"/>
      <c r="C58" s="1"/>
      <c r="D58" s="1"/>
      <c r="E58" s="1"/>
      <c r="F58" s="1"/>
      <c r="G58" s="1"/>
      <c r="H58" s="1"/>
      <c r="I58" s="1"/>
      <c r="J58" s="1"/>
      <c r="K58" s="1"/>
      <c r="L58" s="1"/>
      <c r="M58" s="1"/>
      <c r="N58" s="1"/>
      <c r="O58" s="1"/>
      <c r="P58" s="1"/>
      <c r="Q58" s="1"/>
      <c r="R58" s="1"/>
      <c r="S58" s="149"/>
      <c r="T58" s="141"/>
    </row>
    <row r="59" spans="1:20" ht="15" customHeight="1" thickBot="1" x14ac:dyDescent="0.3">
      <c r="B59" s="134"/>
      <c r="C59" s="135"/>
      <c r="D59" s="135"/>
      <c r="E59" s="135"/>
      <c r="F59" s="135"/>
      <c r="G59" s="135"/>
      <c r="H59" s="135"/>
      <c r="I59" s="135"/>
      <c r="J59" s="135"/>
      <c r="K59" s="135"/>
      <c r="L59" s="135"/>
      <c r="M59" s="135"/>
      <c r="N59" s="135"/>
      <c r="O59" s="135"/>
      <c r="P59" s="135"/>
      <c r="Q59" s="135"/>
      <c r="R59" s="135"/>
      <c r="S59" s="150"/>
      <c r="T59" s="142"/>
    </row>
    <row r="60" spans="1:20" ht="15" customHeight="1" thickBot="1" x14ac:dyDescent="0.3"/>
    <row r="61" spans="1:20" ht="15" customHeight="1" x14ac:dyDescent="0.25">
      <c r="B61" s="294" t="s">
        <v>147</v>
      </c>
      <c r="C61" s="295"/>
      <c r="D61" s="295"/>
      <c r="E61" s="295"/>
      <c r="F61" s="295"/>
      <c r="G61" s="295"/>
      <c r="H61" s="295"/>
      <c r="I61" s="295"/>
      <c r="J61" s="295"/>
      <c r="K61" s="295"/>
      <c r="L61" s="295"/>
      <c r="M61" s="295"/>
      <c r="N61" s="295"/>
      <c r="O61" s="295"/>
      <c r="P61" s="295"/>
      <c r="Q61" s="296"/>
    </row>
    <row r="62" spans="1:20" ht="15" customHeight="1" x14ac:dyDescent="0.25">
      <c r="B62" s="297"/>
      <c r="C62" s="298"/>
      <c r="D62" s="298"/>
      <c r="E62" s="298"/>
      <c r="F62" s="298"/>
      <c r="G62" s="298"/>
      <c r="H62" s="298"/>
      <c r="I62" s="298"/>
      <c r="J62" s="298"/>
      <c r="K62" s="298"/>
      <c r="L62" s="298"/>
      <c r="M62" s="298"/>
      <c r="N62" s="298"/>
      <c r="O62" s="298"/>
      <c r="P62" s="298"/>
      <c r="Q62" s="299"/>
    </row>
    <row r="63" spans="1:20" ht="15" customHeight="1" x14ac:dyDescent="0.25">
      <c r="B63" s="297"/>
      <c r="C63" s="298"/>
      <c r="D63" s="298"/>
      <c r="E63" s="298"/>
      <c r="F63" s="298"/>
      <c r="G63" s="298"/>
      <c r="H63" s="298"/>
      <c r="I63" s="298"/>
      <c r="J63" s="298"/>
      <c r="K63" s="298"/>
      <c r="L63" s="298"/>
      <c r="M63" s="298"/>
      <c r="N63" s="298"/>
      <c r="O63" s="298"/>
      <c r="P63" s="298"/>
      <c r="Q63" s="299"/>
    </row>
    <row r="64" spans="1:20" ht="15" customHeight="1" x14ac:dyDescent="0.25">
      <c r="B64" s="297"/>
      <c r="C64" s="298"/>
      <c r="D64" s="298"/>
      <c r="E64" s="298"/>
      <c r="F64" s="298"/>
      <c r="G64" s="298"/>
      <c r="H64" s="298"/>
      <c r="I64" s="298"/>
      <c r="J64" s="298"/>
      <c r="K64" s="298"/>
      <c r="L64" s="298"/>
      <c r="M64" s="298"/>
      <c r="N64" s="298"/>
      <c r="O64" s="298"/>
      <c r="P64" s="298"/>
      <c r="Q64" s="299"/>
    </row>
    <row r="65" spans="2:17" ht="15" customHeight="1" x14ac:dyDescent="0.25">
      <c r="B65" s="297"/>
      <c r="C65" s="298"/>
      <c r="D65" s="298"/>
      <c r="E65" s="298"/>
      <c r="F65" s="298"/>
      <c r="G65" s="298"/>
      <c r="H65" s="298"/>
      <c r="I65" s="298"/>
      <c r="J65" s="298"/>
      <c r="K65" s="298"/>
      <c r="L65" s="298"/>
      <c r="M65" s="298"/>
      <c r="N65" s="298"/>
      <c r="O65" s="298"/>
      <c r="P65" s="298"/>
      <c r="Q65" s="299"/>
    </row>
    <row r="66" spans="2:17" ht="15" customHeight="1" x14ac:dyDescent="0.25">
      <c r="B66" s="297"/>
      <c r="C66" s="298"/>
      <c r="D66" s="298"/>
      <c r="E66" s="298"/>
      <c r="F66" s="298"/>
      <c r="G66" s="298"/>
      <c r="H66" s="298"/>
      <c r="I66" s="298"/>
      <c r="J66" s="298"/>
      <c r="K66" s="298"/>
      <c r="L66" s="298"/>
      <c r="M66" s="298"/>
      <c r="N66" s="298"/>
      <c r="O66" s="298"/>
      <c r="P66" s="298"/>
      <c r="Q66" s="299"/>
    </row>
    <row r="67" spans="2:17" ht="15" customHeight="1" thickBot="1" x14ac:dyDescent="0.3">
      <c r="B67" s="300"/>
      <c r="C67" s="301"/>
      <c r="D67" s="301"/>
      <c r="E67" s="301"/>
      <c r="F67" s="301"/>
      <c r="G67" s="301"/>
      <c r="H67" s="301"/>
      <c r="I67" s="301"/>
      <c r="J67" s="301"/>
      <c r="K67" s="301"/>
      <c r="L67" s="301"/>
      <c r="M67" s="301"/>
      <c r="N67" s="301"/>
      <c r="O67" s="301"/>
      <c r="P67" s="301"/>
      <c r="Q67" s="302"/>
    </row>
    <row r="68" spans="2:17" ht="15" customHeight="1" x14ac:dyDescent="0.25"/>
    <row r="69" spans="2:17" ht="15" customHeight="1" x14ac:dyDescent="0.25"/>
    <row r="70" spans="2:17" ht="15" customHeight="1" x14ac:dyDescent="0.25"/>
    <row r="71" spans="2:17" ht="15" customHeight="1" x14ac:dyDescent="0.25"/>
    <row r="72" spans="2:17" ht="15" customHeight="1" x14ac:dyDescent="0.25"/>
    <row r="73" spans="2:17" ht="15" customHeight="1" x14ac:dyDescent="0.25"/>
    <row r="74" spans="2:17" ht="15" customHeight="1" x14ac:dyDescent="0.25"/>
    <row r="75" spans="2:17" ht="15" customHeight="1" x14ac:dyDescent="0.25"/>
    <row r="76" spans="2:17" ht="15" customHeight="1" x14ac:dyDescent="0.25"/>
  </sheetData>
  <sortState ref="C29:E33">
    <sortCondition descending="1" ref="E29"/>
  </sortState>
  <mergeCells count="3">
    <mergeCell ref="C3:S3"/>
    <mergeCell ref="D5:E5"/>
    <mergeCell ref="B61:Q67"/>
  </mergeCells>
  <pageMargins left="0.25" right="0.25" top="0.75" bottom="0.75" header="0.3" footer="0.3"/>
  <pageSetup scale="5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view="pageBreakPreview" zoomScale="76" zoomScaleNormal="80" zoomScaleSheetLayoutView="76" workbookViewId="0"/>
  </sheetViews>
  <sheetFormatPr defaultRowHeight="15" x14ac:dyDescent="0.2"/>
  <cols>
    <col min="1" max="1" width="2.85546875" style="11" customWidth="1"/>
    <col min="2" max="2" width="3.85546875" style="11" customWidth="1"/>
    <col min="3" max="3" width="58.7109375" style="11" bestFit="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288" t="s">
        <v>93</v>
      </c>
      <c r="D3" s="288"/>
      <c r="E3" s="288"/>
      <c r="F3" s="288"/>
      <c r="G3" s="288"/>
      <c r="H3" s="288"/>
      <c r="I3" s="288"/>
      <c r="J3" s="288"/>
      <c r="K3" s="288"/>
      <c r="L3" s="288"/>
      <c r="M3" s="288"/>
      <c r="N3" s="289"/>
      <c r="O3" s="11"/>
      <c r="P3" s="11"/>
      <c r="Q3" s="11"/>
      <c r="R3" s="11"/>
      <c r="S3" s="11"/>
      <c r="T3" s="11"/>
      <c r="V3" s="11"/>
      <c r="W3" s="11"/>
      <c r="X3" s="11"/>
      <c r="Y3" s="11"/>
    </row>
    <row r="4" spans="2:25" s="13" customFormat="1" ht="15.75" x14ac:dyDescent="0.25">
      <c r="B4" s="17"/>
      <c r="C4" s="280" t="s">
        <v>237</v>
      </c>
      <c r="D4" s="279"/>
      <c r="E4" s="279"/>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236</v>
      </c>
      <c r="D5" s="306" t="s">
        <v>247</v>
      </c>
      <c r="E5" s="306"/>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60</v>
      </c>
      <c r="D7" s="22" t="s">
        <v>61</v>
      </c>
      <c r="E7" s="22" t="s">
        <v>62</v>
      </c>
      <c r="F7" s="19"/>
      <c r="G7" s="309" t="s">
        <v>63</v>
      </c>
      <c r="H7" s="309"/>
      <c r="I7" s="309"/>
      <c r="J7" s="309"/>
      <c r="K7" s="309"/>
      <c r="L7" s="309"/>
      <c r="M7" s="309"/>
      <c r="N7" s="310"/>
      <c r="O7" s="11"/>
      <c r="P7" s="11"/>
      <c r="Q7" s="11"/>
      <c r="R7" s="11"/>
      <c r="S7" s="11"/>
      <c r="T7" s="11"/>
      <c r="V7" s="11"/>
      <c r="W7" s="11"/>
      <c r="X7" s="11"/>
      <c r="Y7" s="11"/>
    </row>
    <row r="8" spans="2:25" s="13" customFormat="1" x14ac:dyDescent="0.2">
      <c r="B8" s="17"/>
      <c r="C8" s="111" t="s">
        <v>43</v>
      </c>
      <c r="D8" s="103" t="s">
        <v>11</v>
      </c>
      <c r="E8" s="116">
        <v>1.9768000000000001E-2</v>
      </c>
      <c r="F8" s="26"/>
      <c r="G8" s="19" t="s">
        <v>64</v>
      </c>
      <c r="H8" s="119">
        <v>1</v>
      </c>
      <c r="I8" s="183">
        <f>H8/SUM($H$8:$H$10)</f>
        <v>1</v>
      </c>
      <c r="J8" s="19"/>
      <c r="K8" s="119"/>
      <c r="L8" s="19"/>
      <c r="M8" s="19"/>
      <c r="N8" s="35"/>
      <c r="O8" s="11"/>
      <c r="P8" s="11"/>
      <c r="Q8" s="11"/>
      <c r="R8" s="11"/>
      <c r="S8" s="168"/>
      <c r="T8" s="11"/>
      <c r="V8" s="11"/>
      <c r="W8" s="11"/>
      <c r="X8" s="11"/>
      <c r="Y8" s="11"/>
    </row>
    <row r="9" spans="2:25" s="13" customFormat="1" ht="15.75" customHeight="1" x14ac:dyDescent="0.2">
      <c r="B9" s="17"/>
      <c r="C9" s="112" t="s">
        <v>42</v>
      </c>
      <c r="D9" s="23" t="s">
        <v>3</v>
      </c>
      <c r="E9" s="117">
        <v>1.7453E-2</v>
      </c>
      <c r="F9" s="26"/>
      <c r="G9" s="19" t="s">
        <v>79</v>
      </c>
      <c r="H9" s="184">
        <v>0</v>
      </c>
      <c r="I9" s="183">
        <f>H9/SUM($H$8:$H$10)</f>
        <v>0</v>
      </c>
      <c r="J9" s="19" t="s">
        <v>195</v>
      </c>
      <c r="K9" s="119">
        <f>E23+E25</f>
        <v>0.19616600000000001</v>
      </c>
      <c r="L9" s="19"/>
      <c r="M9" s="19"/>
      <c r="N9" s="35"/>
      <c r="O9" s="11"/>
      <c r="P9" s="11"/>
      <c r="Q9" s="11"/>
      <c r="R9" s="11"/>
      <c r="S9" s="168"/>
      <c r="T9" s="11"/>
      <c r="V9" s="11"/>
      <c r="W9" s="11"/>
      <c r="X9" s="11"/>
      <c r="Y9" s="11"/>
    </row>
    <row r="10" spans="2:25" s="13" customFormat="1" x14ac:dyDescent="0.2">
      <c r="B10" s="17"/>
      <c r="C10" s="112" t="s">
        <v>37</v>
      </c>
      <c r="D10" s="23" t="s">
        <v>11</v>
      </c>
      <c r="E10" s="117">
        <v>1.576E-2</v>
      </c>
      <c r="F10" s="42"/>
      <c r="G10" s="19" t="s">
        <v>65</v>
      </c>
      <c r="H10" s="184">
        <v>0</v>
      </c>
      <c r="I10" s="183">
        <f>H10/SUM($H$8:$H$10)</f>
        <v>0</v>
      </c>
      <c r="J10" s="19" t="s">
        <v>25</v>
      </c>
      <c r="K10" s="119">
        <f>E38</f>
        <v>0.21117899999999995</v>
      </c>
      <c r="L10" s="19"/>
      <c r="M10" s="19"/>
      <c r="N10" s="35"/>
      <c r="O10" s="11"/>
      <c r="P10" s="11"/>
      <c r="Q10" s="11"/>
      <c r="R10" s="11"/>
      <c r="S10" s="168"/>
      <c r="T10" s="11"/>
      <c r="V10" s="11"/>
      <c r="W10" s="11"/>
      <c r="X10" s="11"/>
      <c r="Y10" s="11"/>
    </row>
    <row r="11" spans="2:25" s="13" customFormat="1" x14ac:dyDescent="0.2">
      <c r="B11" s="17"/>
      <c r="C11" s="112" t="s">
        <v>140</v>
      </c>
      <c r="D11" s="23" t="s">
        <v>3</v>
      </c>
      <c r="E11" s="117">
        <v>1.3936E-2</v>
      </c>
      <c r="F11" s="26"/>
      <c r="G11" s="19"/>
      <c r="H11" s="19"/>
      <c r="I11" s="19"/>
      <c r="J11" s="19" t="s">
        <v>138</v>
      </c>
      <c r="K11" s="119">
        <f>E36</f>
        <v>5.3398000000000001E-2</v>
      </c>
      <c r="L11" s="19"/>
      <c r="M11" s="19"/>
      <c r="N11" s="35"/>
      <c r="O11" s="11"/>
      <c r="P11" s="11"/>
      <c r="Q11" s="11"/>
      <c r="R11" s="11"/>
      <c r="S11" s="168"/>
      <c r="T11" s="11"/>
      <c r="V11" s="11"/>
      <c r="W11" s="11"/>
      <c r="X11" s="11"/>
      <c r="Y11" s="11"/>
    </row>
    <row r="12" spans="2:25" s="13" customFormat="1" ht="15.75" customHeight="1" x14ac:dyDescent="0.2">
      <c r="B12" s="17"/>
      <c r="C12" s="112" t="s">
        <v>38</v>
      </c>
      <c r="D12" s="23" t="s">
        <v>3</v>
      </c>
      <c r="E12" s="117">
        <v>1.3710999999999999E-2</v>
      </c>
      <c r="F12" s="42"/>
      <c r="G12" s="19"/>
      <c r="H12" s="119"/>
      <c r="I12" s="19"/>
      <c r="J12" s="19" t="s">
        <v>83</v>
      </c>
      <c r="K12" s="119">
        <f>E29</f>
        <v>0.472609</v>
      </c>
      <c r="L12" s="19"/>
      <c r="M12" s="19"/>
      <c r="N12" s="35"/>
      <c r="O12" s="11"/>
      <c r="P12" s="11"/>
      <c r="Q12" s="11"/>
      <c r="R12" s="11"/>
      <c r="S12" s="168"/>
      <c r="T12" s="11"/>
      <c r="V12" s="11"/>
      <c r="W12" s="11"/>
      <c r="X12" s="11"/>
      <c r="Y12" s="11"/>
    </row>
    <row r="13" spans="2:25" s="13" customFormat="1" x14ac:dyDescent="0.2">
      <c r="B13" s="17"/>
      <c r="C13" s="112" t="s">
        <v>113</v>
      </c>
      <c r="D13" s="23" t="s">
        <v>14</v>
      </c>
      <c r="E13" s="117">
        <v>1.1872000000000001E-2</v>
      </c>
      <c r="F13" s="119"/>
      <c r="G13" s="19"/>
      <c r="H13" s="19"/>
      <c r="I13" s="19"/>
      <c r="J13" s="19" t="s">
        <v>56</v>
      </c>
      <c r="K13" s="119">
        <f>E33</f>
        <v>3.4411999999999998E-2</v>
      </c>
      <c r="L13" s="19"/>
      <c r="M13" s="19"/>
      <c r="N13" s="35"/>
      <c r="O13" s="11"/>
      <c r="P13" s="11"/>
      <c r="Q13" s="11"/>
      <c r="R13" s="11"/>
      <c r="S13" s="168"/>
      <c r="T13" s="11"/>
      <c r="V13" s="11"/>
      <c r="W13" s="11"/>
      <c r="X13" s="11"/>
      <c r="Y13" s="11"/>
    </row>
    <row r="14" spans="2:25" s="13" customFormat="1" x14ac:dyDescent="0.2">
      <c r="B14" s="17"/>
      <c r="C14" s="112" t="s">
        <v>142</v>
      </c>
      <c r="D14" s="23" t="s">
        <v>4</v>
      </c>
      <c r="E14" s="117">
        <v>1.0100999999999999E-2</v>
      </c>
      <c r="F14" s="119"/>
      <c r="G14" s="19"/>
      <c r="H14" s="19"/>
      <c r="I14" s="19"/>
      <c r="J14" s="19" t="s">
        <v>166</v>
      </c>
      <c r="K14" s="119">
        <v>3.4023999999999999E-2</v>
      </c>
      <c r="L14" s="19"/>
      <c r="M14" s="19"/>
      <c r="N14" s="35"/>
      <c r="O14" s="11"/>
      <c r="P14" s="11"/>
      <c r="Q14" s="11"/>
      <c r="R14" s="11"/>
      <c r="S14" s="168"/>
      <c r="T14" s="11"/>
      <c r="V14" s="11"/>
      <c r="W14" s="11"/>
      <c r="X14" s="11"/>
      <c r="Y14" s="11"/>
    </row>
    <row r="15" spans="2:25" s="13" customFormat="1" x14ac:dyDescent="0.2">
      <c r="B15" s="17"/>
      <c r="C15" s="112" t="s">
        <v>122</v>
      </c>
      <c r="D15" s="23" t="s">
        <v>8</v>
      </c>
      <c r="E15" s="117">
        <v>8.9879999999999995E-3</v>
      </c>
      <c r="F15" s="19"/>
      <c r="G15" s="19"/>
      <c r="H15" s="19"/>
      <c r="I15" s="19"/>
      <c r="J15" s="19"/>
      <c r="K15" s="119"/>
      <c r="L15" s="19"/>
      <c r="M15" s="19"/>
      <c r="N15" s="35"/>
      <c r="O15" s="11"/>
      <c r="P15" s="11"/>
      <c r="Q15" s="11"/>
      <c r="R15" s="11"/>
      <c r="S15" s="168"/>
      <c r="T15" s="11"/>
      <c r="V15" s="11"/>
      <c r="W15" s="11"/>
      <c r="X15" s="11"/>
      <c r="Y15" s="11"/>
    </row>
    <row r="16" spans="2:25" s="13" customFormat="1" x14ac:dyDescent="0.2">
      <c r="B16" s="17"/>
      <c r="C16" s="112" t="s">
        <v>189</v>
      </c>
      <c r="D16" s="23" t="s">
        <v>11</v>
      </c>
      <c r="E16" s="117">
        <v>8.966E-3</v>
      </c>
      <c r="F16" s="19"/>
      <c r="G16" s="19"/>
      <c r="H16" s="19"/>
      <c r="I16" s="19"/>
      <c r="J16" s="19"/>
      <c r="K16" s="19"/>
      <c r="L16" s="19"/>
      <c r="M16" s="19"/>
      <c r="N16" s="35"/>
      <c r="O16" s="11"/>
      <c r="P16" s="11"/>
      <c r="Q16" s="11"/>
      <c r="R16" s="11"/>
      <c r="S16" s="168"/>
      <c r="T16" s="11"/>
      <c r="V16" s="11"/>
      <c r="W16" s="11"/>
      <c r="X16" s="11"/>
      <c r="Y16" s="11"/>
    </row>
    <row r="17" spans="2:19" x14ac:dyDescent="0.2">
      <c r="B17" s="17"/>
      <c r="C17" s="113" t="s">
        <v>141</v>
      </c>
      <c r="D17" s="104" t="s">
        <v>17</v>
      </c>
      <c r="E17" s="117">
        <v>8.8639999999999969E-3</v>
      </c>
      <c r="F17" s="19"/>
      <c r="G17" s="19"/>
      <c r="H17" s="19"/>
      <c r="I17" s="19"/>
      <c r="J17" s="19"/>
      <c r="K17" s="19"/>
      <c r="L17" s="19"/>
      <c r="M17" s="19"/>
      <c r="N17" s="35"/>
      <c r="S17" s="168"/>
    </row>
    <row r="18" spans="2:19" x14ac:dyDescent="0.2">
      <c r="B18" s="17"/>
      <c r="C18" s="112" t="s">
        <v>115</v>
      </c>
      <c r="D18" s="23" t="s">
        <v>12</v>
      </c>
      <c r="E18" s="117">
        <v>8.1209999999999997E-3</v>
      </c>
      <c r="F18" s="19"/>
      <c r="G18" s="19"/>
      <c r="H18" s="19"/>
      <c r="I18" s="19"/>
      <c r="J18" s="19"/>
      <c r="K18" s="19"/>
      <c r="L18" s="19"/>
      <c r="M18" s="19"/>
      <c r="N18" s="35"/>
      <c r="S18" s="168"/>
    </row>
    <row r="19" spans="2:19" x14ac:dyDescent="0.2">
      <c r="B19" s="17"/>
      <c r="C19" s="112" t="s">
        <v>111</v>
      </c>
      <c r="D19" s="23" t="s">
        <v>30</v>
      </c>
      <c r="E19" s="117">
        <v>7.4219999999999998E-3</v>
      </c>
      <c r="F19" s="19"/>
      <c r="G19" s="19"/>
      <c r="H19" s="19"/>
      <c r="I19" s="19"/>
      <c r="J19" s="19"/>
      <c r="K19" s="19"/>
      <c r="L19" s="19"/>
      <c r="M19" s="19"/>
      <c r="N19" s="35"/>
      <c r="S19" s="168"/>
    </row>
    <row r="20" spans="2:19" ht="15.75" customHeight="1" x14ac:dyDescent="0.25">
      <c r="B20" s="17"/>
      <c r="C20" s="112" t="s">
        <v>154</v>
      </c>
      <c r="D20" s="23" t="s">
        <v>11</v>
      </c>
      <c r="E20" s="117">
        <v>7.2530000000000025E-3</v>
      </c>
      <c r="F20" s="19"/>
      <c r="G20" s="311" t="s">
        <v>207</v>
      </c>
      <c r="H20" s="312"/>
      <c r="I20" s="312"/>
      <c r="J20" s="312"/>
      <c r="K20" s="312"/>
      <c r="L20" s="286">
        <v>67</v>
      </c>
      <c r="M20" s="287"/>
      <c r="N20" s="273"/>
      <c r="P20" s="165"/>
      <c r="S20" s="168"/>
    </row>
    <row r="21" spans="2:19" ht="15.75" x14ac:dyDescent="0.25">
      <c r="B21" s="17"/>
      <c r="C21" s="112" t="s">
        <v>95</v>
      </c>
      <c r="D21" s="23" t="s">
        <v>149</v>
      </c>
      <c r="E21" s="117">
        <v>7.0159999999999997E-3</v>
      </c>
      <c r="F21" s="19"/>
      <c r="G21" s="19"/>
      <c r="H21" s="19"/>
      <c r="I21" s="19"/>
      <c r="J21" s="19"/>
      <c r="K21" s="19"/>
      <c r="L21" s="19"/>
      <c r="M21" s="19"/>
      <c r="N21" s="35"/>
      <c r="P21" s="165"/>
      <c r="S21" s="168"/>
    </row>
    <row r="22" spans="2:19" ht="15.75" x14ac:dyDescent="0.25">
      <c r="B22" s="17"/>
      <c r="C22" s="112" t="s">
        <v>44</v>
      </c>
      <c r="D22" s="23" t="s">
        <v>9</v>
      </c>
      <c r="E22" s="117">
        <v>6.986E-3</v>
      </c>
      <c r="F22" s="19"/>
      <c r="G22" s="119"/>
      <c r="H22" s="119"/>
      <c r="I22" s="119"/>
      <c r="J22" s="19"/>
      <c r="K22" s="119"/>
      <c r="L22" s="19"/>
      <c r="M22" s="19"/>
      <c r="N22" s="35"/>
      <c r="P22" s="165"/>
      <c r="S22" s="168"/>
    </row>
    <row r="23" spans="2:19" ht="15.75" customHeight="1" x14ac:dyDescent="0.25">
      <c r="B23" s="17"/>
      <c r="C23" s="27" t="s">
        <v>162</v>
      </c>
      <c r="D23" s="27"/>
      <c r="E23" s="59">
        <f>SUM(E8:E22)</f>
        <v>0.166217</v>
      </c>
      <c r="F23" s="19"/>
      <c r="G23" s="309" t="s">
        <v>69</v>
      </c>
      <c r="H23" s="309"/>
      <c r="I23" s="309"/>
      <c r="J23" s="309"/>
      <c r="K23" s="309"/>
      <c r="L23" s="309"/>
      <c r="M23" s="309"/>
      <c r="N23" s="310"/>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163</v>
      </c>
      <c r="D25" s="27"/>
      <c r="E25" s="59">
        <v>2.9949000000000007E-2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15.75" x14ac:dyDescent="0.25">
      <c r="B27" s="17"/>
      <c r="C27" s="27" t="s">
        <v>166</v>
      </c>
      <c r="D27" s="174"/>
      <c r="E27" s="59">
        <v>3.2236000000000001E-2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81</v>
      </c>
      <c r="D29" s="27"/>
      <c r="E29" s="59">
        <v>0.472609</v>
      </c>
      <c r="F29" s="19"/>
      <c r="G29" s="19"/>
      <c r="H29" s="19"/>
      <c r="I29" s="19"/>
      <c r="J29" s="19"/>
      <c r="K29" s="19"/>
      <c r="L29" s="19"/>
      <c r="M29" s="19"/>
      <c r="N29" s="35"/>
      <c r="P29" s="165"/>
      <c r="S29" s="168"/>
    </row>
    <row r="30" spans="2:19" ht="15.75" x14ac:dyDescent="0.25">
      <c r="B30" s="17"/>
      <c r="C30" s="146"/>
      <c r="D30" s="146"/>
      <c r="E30" s="162"/>
      <c r="F30" s="19"/>
      <c r="G30" s="19"/>
      <c r="H30" s="19"/>
      <c r="I30" s="19"/>
      <c r="J30" s="19"/>
      <c r="K30" s="19"/>
      <c r="L30" s="19"/>
      <c r="M30" s="19"/>
      <c r="N30" s="35"/>
      <c r="P30" s="165"/>
      <c r="S30" s="168"/>
    </row>
    <row r="31" spans="2:19" ht="15.75" x14ac:dyDescent="0.25">
      <c r="B31" s="17"/>
      <c r="C31" s="249" t="s">
        <v>159</v>
      </c>
      <c r="D31" s="143" t="s">
        <v>91</v>
      </c>
      <c r="E31" s="252">
        <v>1.9999999999999999E-6</v>
      </c>
      <c r="F31" s="19"/>
      <c r="G31" s="19"/>
      <c r="H31" s="19"/>
      <c r="I31" s="19"/>
      <c r="J31" s="19"/>
      <c r="K31" s="19"/>
      <c r="L31" s="19"/>
      <c r="M31" s="19"/>
      <c r="N31" s="35"/>
      <c r="P31" s="165"/>
      <c r="S31" s="168"/>
    </row>
    <row r="32" spans="2:19" ht="15.75" x14ac:dyDescent="0.25">
      <c r="B32" s="17"/>
      <c r="C32" s="143" t="s">
        <v>108</v>
      </c>
      <c r="D32" s="143" t="s">
        <v>91</v>
      </c>
      <c r="E32" s="189">
        <v>3.4410000000000003E-2</v>
      </c>
      <c r="F32" s="19"/>
      <c r="G32" s="19"/>
      <c r="H32" s="19"/>
      <c r="I32" s="19"/>
      <c r="J32" s="19"/>
      <c r="K32" s="19"/>
      <c r="L32" s="19"/>
      <c r="M32" s="19"/>
      <c r="N32" s="35"/>
      <c r="P32" s="165"/>
      <c r="S32" s="168"/>
    </row>
    <row r="33" spans="1:42" ht="15" customHeight="1" x14ac:dyDescent="0.25">
      <c r="B33" s="17"/>
      <c r="C33" s="27" t="s">
        <v>67</v>
      </c>
      <c r="D33" s="27"/>
      <c r="E33" s="59">
        <v>3.4411999999999998E-2</v>
      </c>
      <c r="F33" s="19"/>
      <c r="G33" s="19"/>
      <c r="H33" s="19"/>
      <c r="I33" s="19"/>
      <c r="J33" s="19"/>
      <c r="K33" s="19"/>
      <c r="L33" s="19"/>
      <c r="M33" s="19"/>
      <c r="N33" s="35"/>
      <c r="P33" s="165"/>
      <c r="S33" s="168"/>
    </row>
    <row r="34" spans="1:42" ht="15" customHeight="1" x14ac:dyDescent="0.25">
      <c r="B34" s="17"/>
      <c r="C34" s="118"/>
      <c r="D34" s="118"/>
      <c r="E34" s="144"/>
      <c r="F34" s="19"/>
      <c r="G34" s="19"/>
      <c r="H34" s="19"/>
      <c r="I34" s="19"/>
      <c r="J34" s="19"/>
      <c r="K34" s="19"/>
      <c r="L34" s="19"/>
      <c r="M34" s="19"/>
      <c r="N34" s="35"/>
      <c r="P34" s="165"/>
      <c r="S34" s="168"/>
    </row>
    <row r="35" spans="1:42" s="38" customFormat="1" ht="15.75" x14ac:dyDescent="0.25">
      <c r="B35" s="39"/>
      <c r="C35" s="23" t="s">
        <v>216</v>
      </c>
      <c r="D35" s="23"/>
      <c r="E35" s="50">
        <v>5.3398000000000001E-2</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27" t="s">
        <v>138</v>
      </c>
      <c r="D36" s="27"/>
      <c r="E36" s="59">
        <v>5.3398000000000001E-2</v>
      </c>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36"/>
      <c r="D37" s="36"/>
      <c r="E37" s="50"/>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C38" s="27" t="s">
        <v>25</v>
      </c>
      <c r="D38" s="27"/>
      <c r="E38" s="59">
        <v>0.21117899999999995</v>
      </c>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C39" s="36"/>
      <c r="D39" s="36"/>
      <c r="E39" s="153"/>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C40" s="28" t="s">
        <v>26</v>
      </c>
      <c r="D40" s="28"/>
      <c r="E40" s="40">
        <f>E38+E36+E33+E29+E27+E25+E23</f>
        <v>1</v>
      </c>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50"/>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51"/>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294" t="s">
        <v>147</v>
      </c>
      <c r="C71" s="295"/>
      <c r="D71" s="295"/>
      <c r="E71" s="295"/>
      <c r="F71" s="295"/>
      <c r="G71" s="295"/>
      <c r="H71" s="295"/>
      <c r="I71" s="295"/>
      <c r="J71" s="295"/>
      <c r="K71" s="295"/>
      <c r="L71" s="295"/>
      <c r="M71" s="295"/>
      <c r="N71" s="295"/>
      <c r="O71" s="295"/>
      <c r="P71" s="296"/>
      <c r="Q71" s="11"/>
      <c r="R71" s="11"/>
      <c r="S71" s="168"/>
      <c r="T71" s="11"/>
      <c r="V71" s="11"/>
      <c r="W71" s="11"/>
      <c r="X71" s="11"/>
      <c r="Y71" s="11"/>
    </row>
    <row r="72" spans="1:25" s="13" customFormat="1" x14ac:dyDescent="0.2">
      <c r="A72" s="11"/>
      <c r="B72" s="297"/>
      <c r="C72" s="298"/>
      <c r="D72" s="298"/>
      <c r="E72" s="298"/>
      <c r="F72" s="298"/>
      <c r="G72" s="298"/>
      <c r="H72" s="298"/>
      <c r="I72" s="298"/>
      <c r="J72" s="298"/>
      <c r="K72" s="298"/>
      <c r="L72" s="298"/>
      <c r="M72" s="298"/>
      <c r="N72" s="298"/>
      <c r="O72" s="298"/>
      <c r="P72" s="299"/>
      <c r="Q72" s="11"/>
      <c r="R72" s="11"/>
      <c r="S72" s="168"/>
      <c r="T72" s="11"/>
      <c r="V72" s="11"/>
      <c r="W72" s="11"/>
      <c r="X72" s="11"/>
      <c r="Y72" s="11"/>
    </row>
    <row r="73" spans="1:25" s="13" customFormat="1" x14ac:dyDescent="0.2">
      <c r="A73" s="11"/>
      <c r="B73" s="297"/>
      <c r="C73" s="298"/>
      <c r="D73" s="298"/>
      <c r="E73" s="298"/>
      <c r="F73" s="298"/>
      <c r="G73" s="298"/>
      <c r="H73" s="298"/>
      <c r="I73" s="298"/>
      <c r="J73" s="298"/>
      <c r="K73" s="298"/>
      <c r="L73" s="298"/>
      <c r="M73" s="298"/>
      <c r="N73" s="298"/>
      <c r="O73" s="298"/>
      <c r="P73" s="299"/>
      <c r="Q73" s="11"/>
      <c r="R73" s="11"/>
      <c r="S73" s="168"/>
      <c r="T73" s="11"/>
      <c r="V73" s="11"/>
      <c r="W73" s="11"/>
      <c r="X73" s="11"/>
      <c r="Y73" s="11"/>
    </row>
    <row r="74" spans="1:25" s="13" customFormat="1" x14ac:dyDescent="0.2">
      <c r="A74" s="11"/>
      <c r="B74" s="297"/>
      <c r="C74" s="298"/>
      <c r="D74" s="298"/>
      <c r="E74" s="298"/>
      <c r="F74" s="298"/>
      <c r="G74" s="298"/>
      <c r="H74" s="298"/>
      <c r="I74" s="298"/>
      <c r="J74" s="298"/>
      <c r="K74" s="298"/>
      <c r="L74" s="298"/>
      <c r="M74" s="298"/>
      <c r="N74" s="298"/>
      <c r="O74" s="298"/>
      <c r="P74" s="299"/>
      <c r="Q74" s="11"/>
      <c r="R74" s="11"/>
      <c r="S74" s="168"/>
      <c r="T74" s="11"/>
      <c r="V74" s="11"/>
      <c r="W74" s="11"/>
      <c r="X74" s="11"/>
      <c r="Y74" s="11"/>
    </row>
    <row r="75" spans="1:25" s="13" customFormat="1" x14ac:dyDescent="0.2">
      <c r="A75" s="11"/>
      <c r="B75" s="297"/>
      <c r="C75" s="298"/>
      <c r="D75" s="298"/>
      <c r="E75" s="298"/>
      <c r="F75" s="298"/>
      <c r="G75" s="298"/>
      <c r="H75" s="298"/>
      <c r="I75" s="298"/>
      <c r="J75" s="298"/>
      <c r="K75" s="298"/>
      <c r="L75" s="298"/>
      <c r="M75" s="298"/>
      <c r="N75" s="298"/>
      <c r="O75" s="298"/>
      <c r="P75" s="299"/>
      <c r="Q75" s="11"/>
      <c r="R75" s="11"/>
      <c r="S75" s="168"/>
      <c r="T75" s="11"/>
      <c r="V75" s="11"/>
      <c r="W75" s="11"/>
      <c r="X75" s="11"/>
      <c r="Y75" s="11"/>
    </row>
    <row r="76" spans="1:25" s="13" customFormat="1" x14ac:dyDescent="0.2">
      <c r="A76" s="11"/>
      <c r="B76" s="297"/>
      <c r="C76" s="298"/>
      <c r="D76" s="298"/>
      <c r="E76" s="298"/>
      <c r="F76" s="298"/>
      <c r="G76" s="298"/>
      <c r="H76" s="298"/>
      <c r="I76" s="298"/>
      <c r="J76" s="298"/>
      <c r="K76" s="298"/>
      <c r="L76" s="298"/>
      <c r="M76" s="298"/>
      <c r="N76" s="298"/>
      <c r="O76" s="298"/>
      <c r="P76" s="299"/>
      <c r="Q76" s="11"/>
      <c r="R76" s="11"/>
      <c r="S76" s="168"/>
      <c r="T76" s="11"/>
      <c r="V76" s="11"/>
      <c r="W76" s="11"/>
      <c r="X76" s="11"/>
      <c r="Y76" s="11"/>
    </row>
    <row r="77" spans="1:25" s="13" customFormat="1" ht="15.75" thickBot="1" x14ac:dyDescent="0.25">
      <c r="A77" s="11"/>
      <c r="B77" s="300"/>
      <c r="C77" s="301"/>
      <c r="D77" s="301"/>
      <c r="E77" s="301"/>
      <c r="F77" s="301"/>
      <c r="G77" s="301"/>
      <c r="H77" s="301"/>
      <c r="I77" s="301"/>
      <c r="J77" s="301"/>
      <c r="K77" s="301"/>
      <c r="L77" s="301"/>
      <c r="M77" s="301"/>
      <c r="N77" s="301"/>
      <c r="O77" s="301"/>
      <c r="P77" s="302"/>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5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6"/>
  <sheetViews>
    <sheetView showGridLines="0" view="pageBreakPreview" zoomScale="6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2" ht="15.75" thickBot="1" x14ac:dyDescent="0.25"/>
    <row r="2" spans="2:22" x14ac:dyDescent="0.2">
      <c r="B2" s="14"/>
      <c r="C2" s="15"/>
      <c r="D2" s="15"/>
      <c r="E2" s="15"/>
      <c r="F2" s="15"/>
      <c r="G2" s="187"/>
      <c r="H2" s="187"/>
      <c r="I2" s="187"/>
      <c r="J2" s="187"/>
      <c r="K2" s="187"/>
      <c r="L2" s="15"/>
      <c r="M2" s="15"/>
      <c r="N2" s="34"/>
    </row>
    <row r="3" spans="2:22" ht="20.25" customHeight="1" x14ac:dyDescent="0.2">
      <c r="B3" s="17"/>
      <c r="C3" s="288" t="s">
        <v>101</v>
      </c>
      <c r="D3" s="288"/>
      <c r="E3" s="288"/>
      <c r="F3" s="288"/>
      <c r="G3" s="288"/>
      <c r="H3" s="288"/>
      <c r="I3" s="288"/>
      <c r="J3" s="288"/>
      <c r="K3" s="288"/>
      <c r="L3" s="288"/>
      <c r="M3" s="288"/>
      <c r="N3" s="289"/>
    </row>
    <row r="4" spans="2:22" ht="15.75" x14ac:dyDescent="0.25">
      <c r="B4" s="17"/>
      <c r="C4" s="280" t="s">
        <v>237</v>
      </c>
      <c r="D4" s="1"/>
      <c r="E4" s="1"/>
      <c r="F4" s="19"/>
      <c r="G4" s="44"/>
      <c r="H4" s="44"/>
      <c r="I4" s="44"/>
      <c r="J4" s="44"/>
      <c r="K4" s="44"/>
      <c r="L4" s="19"/>
      <c r="M4" s="19"/>
      <c r="N4" s="35"/>
    </row>
    <row r="5" spans="2:22" ht="20.25" customHeight="1" x14ac:dyDescent="0.2">
      <c r="B5" s="17"/>
      <c r="C5" s="2" t="s">
        <v>236</v>
      </c>
      <c r="D5" s="306" t="s">
        <v>248</v>
      </c>
      <c r="E5" s="306"/>
      <c r="F5" s="19"/>
      <c r="G5" s="44"/>
      <c r="H5" s="44"/>
      <c r="I5" s="44"/>
      <c r="J5" s="44"/>
      <c r="K5" s="44"/>
      <c r="L5" s="19"/>
      <c r="M5" s="19"/>
      <c r="N5" s="35"/>
    </row>
    <row r="6" spans="2:22" ht="15.75" x14ac:dyDescent="0.25">
      <c r="B6" s="17"/>
      <c r="C6" s="1"/>
      <c r="D6" s="1"/>
      <c r="E6" s="1"/>
      <c r="F6" s="19"/>
      <c r="G6" s="44"/>
      <c r="H6" s="44"/>
      <c r="I6" s="44"/>
      <c r="J6" s="44"/>
      <c r="K6" s="44"/>
      <c r="L6" s="19"/>
      <c r="M6" s="19"/>
      <c r="N6" s="35"/>
    </row>
    <row r="7" spans="2:22" ht="32.25" customHeight="1" x14ac:dyDescent="0.2">
      <c r="B7" s="17"/>
      <c r="C7" s="21" t="s">
        <v>60</v>
      </c>
      <c r="D7" s="21" t="s">
        <v>61</v>
      </c>
      <c r="E7" s="21" t="s">
        <v>62</v>
      </c>
      <c r="F7" s="19"/>
      <c r="G7" s="290" t="s">
        <v>63</v>
      </c>
      <c r="H7" s="290"/>
      <c r="I7" s="290"/>
      <c r="J7" s="290"/>
      <c r="K7" s="290"/>
      <c r="L7" s="290"/>
      <c r="M7" s="290"/>
      <c r="N7" s="291"/>
    </row>
    <row r="8" spans="2:22" x14ac:dyDescent="0.2">
      <c r="B8" s="17"/>
      <c r="C8" s="314" t="s">
        <v>43</v>
      </c>
      <c r="D8" s="315" t="s">
        <v>11</v>
      </c>
      <c r="E8" s="320">
        <v>1.5207E-2</v>
      </c>
      <c r="F8" s="26"/>
      <c r="G8" s="44" t="s">
        <v>64</v>
      </c>
      <c r="H8" s="151">
        <v>1</v>
      </c>
      <c r="I8" s="193">
        <f>H8/SUM($H$8:$H$10)</f>
        <v>1</v>
      </c>
      <c r="J8" s="44"/>
      <c r="K8" s="151"/>
      <c r="L8" s="26"/>
      <c r="M8" s="44"/>
      <c r="N8" s="43"/>
      <c r="R8" s="80"/>
      <c r="U8" s="11" t="s">
        <v>3</v>
      </c>
      <c r="V8" s="11">
        <v>3.7193000000000004E-2</v>
      </c>
    </row>
    <row r="9" spans="2:22" ht="15.75" customHeight="1" x14ac:dyDescent="0.2">
      <c r="B9" s="17"/>
      <c r="C9" s="317" t="s">
        <v>37</v>
      </c>
      <c r="D9" s="318" t="s">
        <v>11</v>
      </c>
      <c r="E9" s="321">
        <v>1.4361000000000001E-2</v>
      </c>
      <c r="F9" s="26"/>
      <c r="G9" s="44" t="s">
        <v>79</v>
      </c>
      <c r="H9" s="194">
        <v>0</v>
      </c>
      <c r="I9" s="193">
        <f t="shared" ref="I9:I10" si="0">H9/SUM($H$8:$H$10)</f>
        <v>0</v>
      </c>
      <c r="J9" s="44" t="s">
        <v>56</v>
      </c>
      <c r="K9" s="151">
        <f>E36</f>
        <v>0.16024099999999999</v>
      </c>
      <c r="L9" s="26"/>
      <c r="M9" s="44"/>
      <c r="N9" s="43"/>
      <c r="R9" s="80"/>
      <c r="U9" s="11" t="s">
        <v>11</v>
      </c>
      <c r="V9" s="11">
        <v>3.1426999999999997E-2</v>
      </c>
    </row>
    <row r="10" spans="2:22" x14ac:dyDescent="0.2">
      <c r="B10" s="17"/>
      <c r="C10" s="317" t="s">
        <v>142</v>
      </c>
      <c r="D10" s="318" t="s">
        <v>4</v>
      </c>
      <c r="E10" s="321">
        <v>1.3854E-2</v>
      </c>
      <c r="F10" s="42"/>
      <c r="G10" s="44" t="s">
        <v>65</v>
      </c>
      <c r="H10" s="194">
        <v>0</v>
      </c>
      <c r="I10" s="193">
        <f t="shared" si="0"/>
        <v>0</v>
      </c>
      <c r="J10" s="44" t="s">
        <v>187</v>
      </c>
      <c r="K10" s="151">
        <f>E24+E29+E27</f>
        <v>0.21947</v>
      </c>
      <c r="L10" s="26"/>
      <c r="M10" s="44"/>
      <c r="N10" s="43"/>
      <c r="R10" s="80"/>
      <c r="U10" s="11" t="s">
        <v>4</v>
      </c>
      <c r="V10" s="11">
        <v>1.3644999999999999E-2</v>
      </c>
    </row>
    <row r="11" spans="2:22" x14ac:dyDescent="0.2">
      <c r="B11" s="17"/>
      <c r="C11" s="317" t="s">
        <v>42</v>
      </c>
      <c r="D11" s="318" t="s">
        <v>3</v>
      </c>
      <c r="E11" s="321">
        <v>1.2886E-2</v>
      </c>
      <c r="F11" s="26"/>
      <c r="G11" s="44"/>
      <c r="H11" s="44"/>
      <c r="I11" s="44"/>
      <c r="J11" s="44" t="s">
        <v>90</v>
      </c>
      <c r="K11" s="151">
        <f>E51</f>
        <v>1.3009E-2</v>
      </c>
      <c r="L11" s="26"/>
      <c r="M11" s="44"/>
      <c r="N11" s="43"/>
      <c r="R11" s="80"/>
      <c r="U11" s="11" t="s">
        <v>8</v>
      </c>
      <c r="V11" s="11">
        <v>1.3180000000000001E-2</v>
      </c>
    </row>
    <row r="12" spans="2:22" ht="15.75" customHeight="1" x14ac:dyDescent="0.2">
      <c r="B12" s="17"/>
      <c r="C12" s="317" t="s">
        <v>140</v>
      </c>
      <c r="D12" s="318" t="s">
        <v>3</v>
      </c>
      <c r="E12" s="321">
        <v>1.2777999999999999E-2</v>
      </c>
      <c r="F12" s="42"/>
      <c r="G12" s="44"/>
      <c r="H12" s="151"/>
      <c r="I12" s="44"/>
      <c r="J12" s="44" t="s">
        <v>25</v>
      </c>
      <c r="K12" s="151">
        <f>E53</f>
        <v>0.19198200000000001</v>
      </c>
      <c r="L12" s="26"/>
      <c r="M12" s="44"/>
      <c r="N12" s="43"/>
      <c r="R12" s="80"/>
      <c r="U12" s="11" t="s">
        <v>6</v>
      </c>
      <c r="V12" s="11">
        <v>1.163E-2</v>
      </c>
    </row>
    <row r="13" spans="2:22" x14ac:dyDescent="0.2">
      <c r="B13" s="17"/>
      <c r="C13" s="317" t="s">
        <v>38</v>
      </c>
      <c r="D13" s="318" t="s">
        <v>3</v>
      </c>
      <c r="E13" s="321">
        <v>1.2159E-2</v>
      </c>
      <c r="F13" s="42"/>
      <c r="G13" s="44"/>
      <c r="H13" s="44"/>
      <c r="I13" s="44"/>
      <c r="J13" s="44" t="s">
        <v>57</v>
      </c>
      <c r="K13" s="151">
        <f>E45</f>
        <v>0.35686200000000001</v>
      </c>
      <c r="L13" s="26"/>
      <c r="M13" s="44"/>
      <c r="N13" s="43"/>
      <c r="R13" s="80"/>
      <c r="U13" s="11" t="s">
        <v>9</v>
      </c>
      <c r="V13" s="11">
        <v>9.7090000000000006E-3</v>
      </c>
    </row>
    <row r="14" spans="2:22" x14ac:dyDescent="0.2">
      <c r="B14" s="17"/>
      <c r="C14" s="317" t="s">
        <v>121</v>
      </c>
      <c r="D14" s="318" t="s">
        <v>8</v>
      </c>
      <c r="E14" s="321">
        <v>1.2156999999999999E-2</v>
      </c>
      <c r="F14" s="42"/>
      <c r="G14" s="44"/>
      <c r="H14" s="44"/>
      <c r="I14" s="44"/>
      <c r="J14" s="44" t="s">
        <v>80</v>
      </c>
      <c r="K14" s="151">
        <f>E48</f>
        <v>5.8436000000000002E-2</v>
      </c>
      <c r="L14" s="26"/>
      <c r="M14" s="44"/>
      <c r="N14" s="43"/>
      <c r="R14" s="80"/>
      <c r="U14" s="11" t="s">
        <v>7</v>
      </c>
      <c r="V14" s="11">
        <v>9.6559999999999997E-3</v>
      </c>
    </row>
    <row r="15" spans="2:22" x14ac:dyDescent="0.2">
      <c r="B15" s="17"/>
      <c r="C15" s="317" t="s">
        <v>41</v>
      </c>
      <c r="D15" s="318" t="s">
        <v>6</v>
      </c>
      <c r="E15" s="321">
        <v>1.1724E-2</v>
      </c>
      <c r="F15" s="26"/>
      <c r="G15" s="44"/>
      <c r="H15" s="44"/>
      <c r="I15" s="44"/>
      <c r="L15" s="26"/>
      <c r="M15" s="44"/>
      <c r="N15" s="43"/>
      <c r="R15" s="80"/>
      <c r="U15" s="11" t="s">
        <v>17</v>
      </c>
      <c r="V15" s="11">
        <v>9.6380000000000007E-3</v>
      </c>
    </row>
    <row r="16" spans="2:22" x14ac:dyDescent="0.2">
      <c r="B16" s="17"/>
      <c r="C16" s="317" t="s">
        <v>174</v>
      </c>
      <c r="D16" s="318" t="s">
        <v>17</v>
      </c>
      <c r="E16" s="321">
        <v>1.0916E-2</v>
      </c>
      <c r="F16" s="44"/>
      <c r="G16" s="44"/>
      <c r="H16" s="44"/>
      <c r="I16" s="44"/>
      <c r="J16" s="44"/>
      <c r="K16" s="44"/>
      <c r="L16" s="44"/>
      <c r="M16" s="44"/>
      <c r="N16" s="43"/>
      <c r="R16" s="80"/>
      <c r="U16" s="11" t="s">
        <v>149</v>
      </c>
      <c r="V16" s="11">
        <v>9.3779999999999992E-3</v>
      </c>
    </row>
    <row r="17" spans="2:41" x14ac:dyDescent="0.2">
      <c r="B17" s="17"/>
      <c r="C17" s="317" t="s">
        <v>44</v>
      </c>
      <c r="D17" s="318" t="s">
        <v>9</v>
      </c>
      <c r="E17" s="321">
        <v>9.4129999999999995E-3</v>
      </c>
      <c r="F17" s="44"/>
      <c r="G17" s="44"/>
      <c r="H17" s="44"/>
      <c r="I17" s="44"/>
      <c r="J17" s="44"/>
      <c r="K17" s="44"/>
      <c r="L17" s="44"/>
      <c r="M17" s="45"/>
      <c r="N17" s="35"/>
      <c r="R17" s="80"/>
      <c r="U17" s="11" t="s">
        <v>29</v>
      </c>
      <c r="V17" s="11">
        <v>8.9390000000000008E-3</v>
      </c>
    </row>
    <row r="18" spans="2:41" x14ac:dyDescent="0.2">
      <c r="B18" s="17"/>
      <c r="C18" s="317" t="s">
        <v>47</v>
      </c>
      <c r="D18" s="318" t="s">
        <v>7</v>
      </c>
      <c r="E18" s="321">
        <v>8.9910000000000007E-3</v>
      </c>
      <c r="F18" s="19"/>
      <c r="G18" s="44"/>
      <c r="H18" s="44"/>
      <c r="I18" s="44"/>
      <c r="J18" s="44"/>
      <c r="K18" s="44"/>
      <c r="L18" s="45"/>
      <c r="M18" s="45"/>
      <c r="N18" s="35"/>
      <c r="R18" s="80"/>
    </row>
    <row r="19" spans="2:41" x14ac:dyDescent="0.2">
      <c r="B19" s="17"/>
      <c r="C19" s="317" t="s">
        <v>158</v>
      </c>
      <c r="D19" s="318" t="s">
        <v>29</v>
      </c>
      <c r="E19" s="321">
        <v>8.7950000000000007E-3</v>
      </c>
      <c r="F19" s="19"/>
      <c r="G19" s="44"/>
      <c r="H19" s="44"/>
      <c r="I19" s="44"/>
      <c r="J19" s="44"/>
      <c r="K19" s="44"/>
      <c r="L19" s="19"/>
      <c r="M19" s="19"/>
      <c r="N19" s="35"/>
      <c r="R19" s="80"/>
    </row>
    <row r="20" spans="2:41" ht="15.75" customHeight="1" x14ac:dyDescent="0.25">
      <c r="B20" s="17"/>
      <c r="C20" s="317" t="s">
        <v>95</v>
      </c>
      <c r="D20" s="318" t="s">
        <v>149</v>
      </c>
      <c r="E20" s="321">
        <v>8.2089999999999993E-3</v>
      </c>
      <c r="F20" s="19"/>
      <c r="G20" s="311" t="s">
        <v>196</v>
      </c>
      <c r="H20" s="312"/>
      <c r="I20" s="312"/>
      <c r="J20" s="312"/>
      <c r="K20" s="312"/>
      <c r="L20" s="271">
        <v>2.4700000000000002</v>
      </c>
      <c r="M20" s="272"/>
      <c r="N20" s="273"/>
      <c r="R20" s="80"/>
    </row>
    <row r="21" spans="2:41" x14ac:dyDescent="0.2">
      <c r="B21" s="17"/>
      <c r="C21" s="317"/>
      <c r="D21" s="318"/>
      <c r="E21" s="321"/>
      <c r="F21" s="19"/>
      <c r="G21" s="44"/>
      <c r="H21" s="44"/>
      <c r="I21" s="44"/>
      <c r="J21" s="26"/>
      <c r="K21" s="26"/>
      <c r="L21" s="19"/>
      <c r="M21" s="19"/>
      <c r="N21" s="18"/>
      <c r="O21" s="12"/>
      <c r="R21" s="80"/>
    </row>
    <row r="22" spans="2:41" x14ac:dyDescent="0.2">
      <c r="B22" s="17"/>
      <c r="C22" s="317"/>
      <c r="D22" s="318"/>
      <c r="E22" s="321"/>
      <c r="F22" s="19"/>
      <c r="G22" s="151"/>
      <c r="H22" s="151"/>
      <c r="I22" s="151"/>
      <c r="J22" s="26"/>
      <c r="K22" s="42"/>
      <c r="L22" s="19"/>
      <c r="M22" s="19"/>
      <c r="N22" s="18"/>
      <c r="O22" s="12"/>
      <c r="R22" s="80"/>
    </row>
    <row r="23" spans="2:41" ht="15.75" customHeight="1" x14ac:dyDescent="0.2">
      <c r="B23" s="17"/>
      <c r="C23" s="322"/>
      <c r="D23" s="322"/>
      <c r="E23" s="323"/>
      <c r="F23" s="19"/>
      <c r="G23" s="290" t="s">
        <v>69</v>
      </c>
      <c r="H23" s="290"/>
      <c r="I23" s="290"/>
      <c r="J23" s="290"/>
      <c r="K23" s="290"/>
      <c r="L23" s="290"/>
      <c r="M23" s="290"/>
      <c r="N23" s="291"/>
      <c r="O23" s="12"/>
      <c r="R23" s="80"/>
    </row>
    <row r="24" spans="2:41" ht="15.75" x14ac:dyDescent="0.2">
      <c r="B24" s="17"/>
      <c r="C24" s="163" t="s">
        <v>78</v>
      </c>
      <c r="D24" s="163"/>
      <c r="E24" s="164">
        <f>SUM(E8:E22)</f>
        <v>0.15145</v>
      </c>
      <c r="F24" s="19"/>
      <c r="G24" s="44"/>
      <c r="H24" s="44"/>
      <c r="I24" s="44"/>
      <c r="J24" s="44"/>
      <c r="K24" s="44"/>
      <c r="L24" s="19"/>
      <c r="M24" s="19"/>
      <c r="N24" s="18"/>
      <c r="O24" s="12"/>
      <c r="R24" s="80"/>
    </row>
    <row r="25" spans="2:41" x14ac:dyDescent="0.2">
      <c r="B25" s="17"/>
      <c r="C25" s="324"/>
      <c r="D25" s="324"/>
      <c r="E25" s="184"/>
      <c r="F25" s="19"/>
      <c r="G25" s="44"/>
      <c r="H25" s="44"/>
      <c r="I25" s="44"/>
      <c r="J25" s="44"/>
      <c r="K25" s="44"/>
      <c r="L25" s="19"/>
      <c r="M25" s="19"/>
      <c r="N25" s="18"/>
      <c r="O25" s="12"/>
      <c r="R25" s="80"/>
    </row>
    <row r="26" spans="2:41" x14ac:dyDescent="0.2">
      <c r="B26" s="17"/>
      <c r="C26" s="324" t="s">
        <v>144</v>
      </c>
      <c r="D26" s="324"/>
      <c r="E26" s="184">
        <v>6.8019999999999997E-2</v>
      </c>
      <c r="F26" s="19"/>
      <c r="G26" s="44"/>
      <c r="H26" s="44"/>
      <c r="I26" s="44"/>
      <c r="J26" s="44"/>
      <c r="K26" s="44"/>
      <c r="L26" s="19"/>
      <c r="M26" s="19"/>
      <c r="N26" s="18"/>
      <c r="O26" s="12"/>
      <c r="R26" s="80"/>
    </row>
    <row r="27" spans="2:41" ht="15.75" x14ac:dyDescent="0.2">
      <c r="B27" s="17"/>
      <c r="C27" s="27" t="s">
        <v>145</v>
      </c>
      <c r="D27" s="27"/>
      <c r="E27" s="59">
        <v>6.8019999999999997E-2</v>
      </c>
      <c r="F27" s="19"/>
      <c r="G27" s="44"/>
      <c r="H27" s="44"/>
      <c r="I27" s="44"/>
      <c r="J27" s="44"/>
      <c r="K27" s="44"/>
      <c r="L27" s="19"/>
      <c r="M27" s="19"/>
      <c r="N27" s="18"/>
      <c r="O27" s="12"/>
      <c r="R27" s="80"/>
    </row>
    <row r="28" spans="2:41" s="38" customFormat="1" ht="15.75" x14ac:dyDescent="0.2">
      <c r="B28" s="39"/>
      <c r="C28" s="118"/>
      <c r="D28" s="118"/>
      <c r="E28" s="144"/>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102</v>
      </c>
      <c r="D29" s="27"/>
      <c r="E29" s="59">
        <v>0</v>
      </c>
      <c r="F29" s="19"/>
      <c r="G29" s="44"/>
      <c r="H29" s="44"/>
      <c r="I29" s="44"/>
      <c r="J29" s="44"/>
      <c r="K29" s="44"/>
      <c r="L29" s="19"/>
      <c r="M29" s="19"/>
      <c r="N29" s="18"/>
      <c r="O29" s="12"/>
      <c r="R29" s="80"/>
      <c r="U29" s="11" t="s">
        <v>13</v>
      </c>
      <c r="V29" s="11">
        <v>1.1159000000000001E-2</v>
      </c>
    </row>
    <row r="30" spans="2:41" x14ac:dyDescent="0.2">
      <c r="B30" s="17"/>
      <c r="C30" s="324"/>
      <c r="D30" s="324"/>
      <c r="E30" s="184"/>
      <c r="F30" s="19"/>
      <c r="G30" s="44"/>
      <c r="H30" s="44"/>
      <c r="I30" s="44"/>
      <c r="J30" s="44"/>
      <c r="K30" s="44"/>
      <c r="L30" s="19"/>
      <c r="M30" s="19"/>
      <c r="N30" s="18"/>
      <c r="O30" s="12"/>
      <c r="R30" s="80"/>
      <c r="U30" s="11" t="s">
        <v>23</v>
      </c>
      <c r="V30" s="11">
        <v>1.0543E-2</v>
      </c>
    </row>
    <row r="31" spans="2:41" x14ac:dyDescent="0.2">
      <c r="B31" s="17"/>
      <c r="C31" s="23" t="s">
        <v>124</v>
      </c>
      <c r="D31" s="23" t="s">
        <v>91</v>
      </c>
      <c r="E31" s="184">
        <v>5.9167999999999998E-2</v>
      </c>
      <c r="F31" s="19"/>
      <c r="G31" s="44"/>
      <c r="H31" s="44"/>
      <c r="I31" s="44"/>
      <c r="J31" s="44"/>
      <c r="K31" s="44"/>
      <c r="L31" s="19"/>
      <c r="M31" s="19"/>
      <c r="N31" s="18"/>
      <c r="O31" s="12"/>
      <c r="R31" s="80"/>
    </row>
    <row r="32" spans="2:41" x14ac:dyDescent="0.2">
      <c r="B32" s="17"/>
      <c r="C32" s="23" t="s">
        <v>108</v>
      </c>
      <c r="D32" s="23" t="s">
        <v>91</v>
      </c>
      <c r="E32" s="184">
        <v>4.7669999999999997E-2</v>
      </c>
      <c r="F32" s="19"/>
      <c r="G32" s="44"/>
      <c r="H32" s="44"/>
      <c r="I32" s="44"/>
      <c r="J32" s="44"/>
      <c r="K32" s="44"/>
      <c r="L32" s="19"/>
      <c r="M32" s="19"/>
      <c r="N32" s="18"/>
      <c r="O32" s="12"/>
      <c r="R32" s="80"/>
    </row>
    <row r="33" spans="1:18" x14ac:dyDescent="0.2">
      <c r="B33" s="17"/>
      <c r="C33" s="23" t="s">
        <v>127</v>
      </c>
      <c r="D33" s="23" t="s">
        <v>91</v>
      </c>
      <c r="E33" s="184">
        <v>4.6154000000000001E-2</v>
      </c>
      <c r="F33" s="19"/>
      <c r="G33" s="44"/>
      <c r="H33" s="44"/>
      <c r="I33" s="44"/>
      <c r="J33" s="44"/>
      <c r="K33" s="44"/>
      <c r="L33" s="19"/>
      <c r="M33" s="19"/>
      <c r="N33" s="18"/>
      <c r="O33" s="12"/>
      <c r="R33" s="80"/>
    </row>
    <row r="34" spans="1:18" x14ac:dyDescent="0.2">
      <c r="B34" s="17"/>
      <c r="C34" s="23" t="s">
        <v>114</v>
      </c>
      <c r="D34" s="23" t="s">
        <v>91</v>
      </c>
      <c r="E34" s="184">
        <v>7.2389999999999998E-3</v>
      </c>
      <c r="F34" s="19"/>
      <c r="G34" s="44"/>
      <c r="H34" s="44"/>
      <c r="I34" s="44"/>
      <c r="J34" s="44"/>
      <c r="K34" s="44"/>
      <c r="L34" s="19"/>
      <c r="M34" s="19"/>
      <c r="N34" s="18"/>
      <c r="O34" s="12"/>
      <c r="R34" s="80"/>
    </row>
    <row r="35" spans="1:18" x14ac:dyDescent="0.2">
      <c r="B35" s="17"/>
      <c r="C35" s="23" t="s">
        <v>159</v>
      </c>
      <c r="D35" s="23" t="s">
        <v>91</v>
      </c>
      <c r="E35" s="184">
        <v>1.0000000000000001E-5</v>
      </c>
      <c r="F35" s="19"/>
      <c r="G35" s="44"/>
      <c r="H35" s="44"/>
      <c r="I35" s="44"/>
      <c r="J35" s="44"/>
      <c r="K35" s="44"/>
      <c r="L35" s="19"/>
      <c r="M35" s="19"/>
      <c r="N35" s="18"/>
      <c r="O35" s="12"/>
      <c r="R35" s="80"/>
    </row>
    <row r="36" spans="1:18" ht="15.75" x14ac:dyDescent="0.2">
      <c r="B36" s="17"/>
      <c r="C36" s="27" t="s">
        <v>67</v>
      </c>
      <c r="D36" s="27"/>
      <c r="E36" s="59">
        <v>0.16024099999999999</v>
      </c>
      <c r="F36" s="19"/>
      <c r="G36" s="44"/>
      <c r="H36" s="44"/>
      <c r="I36" s="44"/>
      <c r="J36" s="44"/>
      <c r="K36" s="44"/>
      <c r="L36" s="19"/>
      <c r="M36" s="19"/>
      <c r="N36" s="18"/>
      <c r="O36" s="12"/>
      <c r="R36" s="80"/>
    </row>
    <row r="37" spans="1:18" x14ac:dyDescent="0.2">
      <c r="B37" s="17"/>
      <c r="C37" s="324"/>
      <c r="D37" s="324"/>
      <c r="E37" s="184"/>
      <c r="F37" s="19"/>
      <c r="G37" s="44"/>
      <c r="H37" s="44"/>
      <c r="I37" s="44"/>
      <c r="J37" s="44"/>
      <c r="K37" s="44"/>
      <c r="L37" s="19"/>
      <c r="M37" s="19"/>
      <c r="N37" s="18"/>
      <c r="O37" s="12"/>
      <c r="R37" s="80"/>
    </row>
    <row r="38" spans="1:18" x14ac:dyDescent="0.2">
      <c r="B38" s="17"/>
      <c r="C38" s="324"/>
      <c r="D38" s="324"/>
      <c r="E38" s="184"/>
      <c r="F38" s="19"/>
      <c r="G38" s="44"/>
      <c r="H38" s="44"/>
      <c r="I38" s="44"/>
      <c r="J38" s="44"/>
      <c r="K38" s="44"/>
      <c r="L38" s="19"/>
      <c r="M38" s="19"/>
      <c r="N38" s="18"/>
      <c r="O38" s="12"/>
      <c r="R38" s="80"/>
    </row>
    <row r="39" spans="1:18" x14ac:dyDescent="0.2">
      <c r="B39" s="17"/>
      <c r="C39" s="23" t="s">
        <v>161</v>
      </c>
      <c r="D39" s="23" t="s">
        <v>85</v>
      </c>
      <c r="E39" s="184">
        <v>0.243925</v>
      </c>
      <c r="F39" s="19"/>
      <c r="G39" s="44"/>
      <c r="H39" s="44"/>
      <c r="I39" s="44"/>
      <c r="J39" s="44"/>
      <c r="K39" s="44"/>
      <c r="L39" s="19"/>
      <c r="M39" s="19"/>
      <c r="N39" s="18"/>
      <c r="O39" s="12"/>
      <c r="R39" s="80"/>
    </row>
    <row r="40" spans="1:18" x14ac:dyDescent="0.2">
      <c r="B40" s="17"/>
      <c r="C40" s="23" t="s">
        <v>206</v>
      </c>
      <c r="D40" s="23" t="s">
        <v>85</v>
      </c>
      <c r="E40" s="184">
        <v>2.9717E-2</v>
      </c>
      <c r="F40" s="19"/>
      <c r="G40" s="44"/>
      <c r="H40" s="44"/>
      <c r="I40" s="44"/>
      <c r="J40" s="44"/>
      <c r="K40" s="44"/>
      <c r="L40" s="19"/>
      <c r="M40" s="19"/>
      <c r="N40" s="18"/>
      <c r="O40" s="12"/>
      <c r="R40" s="80"/>
    </row>
    <row r="41" spans="1:18" x14ac:dyDescent="0.2">
      <c r="B41" s="17"/>
      <c r="C41" s="23" t="s">
        <v>104</v>
      </c>
      <c r="D41" s="23" t="s">
        <v>85</v>
      </c>
      <c r="E41" s="184">
        <v>2.9360000000000001E-2</v>
      </c>
      <c r="F41" s="19"/>
      <c r="G41" s="44"/>
      <c r="H41" s="44"/>
      <c r="I41" s="44"/>
      <c r="J41" s="44"/>
      <c r="K41" s="44"/>
      <c r="L41" s="19"/>
      <c r="M41" s="19"/>
      <c r="N41" s="18"/>
      <c r="O41" s="12"/>
      <c r="R41" s="80"/>
    </row>
    <row r="42" spans="1:18" x14ac:dyDescent="0.2">
      <c r="B42" s="17"/>
      <c r="C42" s="23" t="s">
        <v>116</v>
      </c>
      <c r="D42" s="23" t="s">
        <v>85</v>
      </c>
      <c r="E42" s="184">
        <v>1.9449999999999999E-2</v>
      </c>
      <c r="F42" s="19"/>
      <c r="G42" s="44"/>
      <c r="H42" s="44"/>
      <c r="I42" s="44"/>
      <c r="J42" s="44"/>
      <c r="K42" s="44"/>
      <c r="L42" s="19"/>
      <c r="M42" s="19"/>
      <c r="N42" s="18"/>
      <c r="O42" s="12"/>
      <c r="R42" s="80"/>
    </row>
    <row r="43" spans="1:18" x14ac:dyDescent="0.2">
      <c r="B43" s="17"/>
      <c r="C43" s="23" t="s">
        <v>123</v>
      </c>
      <c r="D43" s="23" t="s">
        <v>85</v>
      </c>
      <c r="E43" s="184">
        <v>1.9047999999999999E-2</v>
      </c>
      <c r="F43" s="19"/>
      <c r="G43" s="191"/>
      <c r="H43" s="44"/>
      <c r="I43" s="44"/>
      <c r="J43" s="44"/>
      <c r="K43" s="44"/>
      <c r="L43" s="19"/>
      <c r="M43" s="19"/>
      <c r="N43" s="18"/>
      <c r="O43" s="12"/>
      <c r="R43" s="80"/>
    </row>
    <row r="44" spans="1:18" x14ac:dyDescent="0.2">
      <c r="B44" s="17"/>
      <c r="C44" s="23" t="s">
        <v>205</v>
      </c>
      <c r="D44" s="23" t="s">
        <v>85</v>
      </c>
      <c r="E44" s="184">
        <v>1.5362000000000001E-2</v>
      </c>
      <c r="F44" s="19"/>
      <c r="G44" s="44"/>
      <c r="H44" s="44"/>
      <c r="I44" s="44"/>
      <c r="J44" s="44"/>
      <c r="K44" s="44"/>
      <c r="L44" s="19"/>
      <c r="M44" s="19"/>
      <c r="N44" s="18"/>
      <c r="O44" s="12"/>
      <c r="R44" s="80"/>
    </row>
    <row r="45" spans="1:18" ht="15.75" x14ac:dyDescent="0.2">
      <c r="A45" s="19"/>
      <c r="B45" s="17"/>
      <c r="C45" s="27" t="s">
        <v>57</v>
      </c>
      <c r="D45" s="27"/>
      <c r="E45" s="59">
        <v>0.35686200000000001</v>
      </c>
      <c r="F45" s="19"/>
      <c r="G45" s="44"/>
      <c r="H45" s="44"/>
      <c r="I45" s="44"/>
      <c r="J45" s="44"/>
      <c r="K45" s="44"/>
      <c r="L45" s="19"/>
      <c r="M45" s="19"/>
      <c r="N45" s="18"/>
      <c r="O45" s="32"/>
      <c r="R45" s="80"/>
    </row>
    <row r="46" spans="1:18" x14ac:dyDescent="0.2">
      <c r="A46" s="19"/>
      <c r="B46" s="17"/>
      <c r="C46" s="23"/>
      <c r="D46" s="23"/>
      <c r="E46" s="23"/>
      <c r="F46" s="19"/>
      <c r="G46" s="44"/>
      <c r="H46" s="44"/>
      <c r="I46" s="44"/>
      <c r="J46" s="44"/>
      <c r="K46" s="44"/>
      <c r="L46" s="19"/>
      <c r="M46" s="19"/>
      <c r="N46" s="18"/>
      <c r="O46" s="32"/>
      <c r="R46" s="80"/>
    </row>
    <row r="47" spans="1:18" x14ac:dyDescent="0.2">
      <c r="A47" s="19"/>
      <c r="B47" s="17"/>
      <c r="C47" s="23" t="s">
        <v>204</v>
      </c>
      <c r="D47" s="23" t="s">
        <v>85</v>
      </c>
      <c r="E47" s="184">
        <v>5.8436000000000002E-2</v>
      </c>
      <c r="F47" s="19"/>
      <c r="G47" s="44"/>
      <c r="H47" s="44"/>
      <c r="I47" s="44"/>
      <c r="J47" s="44"/>
      <c r="K47" s="44"/>
      <c r="L47" s="19"/>
      <c r="M47" s="19"/>
      <c r="N47" s="18"/>
      <c r="O47" s="32"/>
      <c r="R47" s="80"/>
    </row>
    <row r="48" spans="1:18" ht="15.75" x14ac:dyDescent="0.2">
      <c r="A48" s="19"/>
      <c r="B48" s="17"/>
      <c r="C48" s="27" t="s">
        <v>80</v>
      </c>
      <c r="D48" s="27"/>
      <c r="E48" s="59">
        <v>5.8436000000000002E-2</v>
      </c>
      <c r="F48" s="19"/>
      <c r="G48" s="44"/>
      <c r="H48" s="44"/>
      <c r="I48" s="44"/>
      <c r="J48" s="44"/>
      <c r="K48" s="44"/>
      <c r="L48" s="19"/>
      <c r="M48" s="19"/>
      <c r="N48" s="18"/>
      <c r="O48" s="32"/>
      <c r="R48" s="80"/>
    </row>
    <row r="49" spans="1:24" x14ac:dyDescent="0.2">
      <c r="A49" s="19"/>
      <c r="B49" s="17"/>
      <c r="C49" s="324"/>
      <c r="D49" s="324"/>
      <c r="E49" s="184"/>
      <c r="F49" s="19"/>
      <c r="G49" s="44"/>
      <c r="H49" s="44"/>
      <c r="I49" s="44"/>
      <c r="J49" s="44"/>
      <c r="K49" s="44"/>
      <c r="L49" s="19"/>
      <c r="M49" s="19"/>
      <c r="N49" s="18"/>
      <c r="O49" s="32"/>
      <c r="R49" s="80"/>
    </row>
    <row r="50" spans="1:24" x14ac:dyDescent="0.2">
      <c r="A50" s="19"/>
      <c r="B50" s="17"/>
      <c r="C50" s="23" t="s">
        <v>193</v>
      </c>
      <c r="D50" s="23" t="s">
        <v>91</v>
      </c>
      <c r="E50" s="184">
        <v>1.3009E-2</v>
      </c>
      <c r="F50" s="19"/>
      <c r="G50" s="44"/>
      <c r="H50" s="44"/>
      <c r="I50" s="44"/>
      <c r="J50" s="44"/>
      <c r="K50" s="44"/>
      <c r="L50" s="19"/>
      <c r="M50" s="19"/>
      <c r="N50" s="18"/>
      <c r="O50" s="32"/>
      <c r="R50" s="80"/>
    </row>
    <row r="51" spans="1:24" ht="15.75" x14ac:dyDescent="0.2">
      <c r="A51" s="19"/>
      <c r="B51" s="17"/>
      <c r="C51" s="27" t="s">
        <v>90</v>
      </c>
      <c r="D51" s="27"/>
      <c r="E51" s="59">
        <v>1.3009E-2</v>
      </c>
      <c r="F51" s="19"/>
      <c r="G51" s="44"/>
      <c r="H51" s="44"/>
      <c r="I51" s="44"/>
      <c r="J51" s="44"/>
      <c r="K51" s="44"/>
      <c r="L51" s="19"/>
      <c r="M51" s="19"/>
      <c r="N51" s="18"/>
      <c r="O51" s="32"/>
      <c r="R51" s="80"/>
    </row>
    <row r="52" spans="1:24" x14ac:dyDescent="0.2">
      <c r="A52" s="19"/>
      <c r="B52" s="17"/>
      <c r="C52" s="324"/>
      <c r="D52" s="324"/>
      <c r="E52" s="184"/>
      <c r="F52" s="19"/>
      <c r="G52" s="44"/>
      <c r="H52" s="44"/>
      <c r="I52" s="44"/>
      <c r="J52" s="44"/>
      <c r="K52" s="44"/>
      <c r="L52" s="19"/>
      <c r="M52" s="19"/>
      <c r="N52" s="18"/>
      <c r="O52" s="32"/>
      <c r="R52" s="80"/>
    </row>
    <row r="53" spans="1:24" ht="15.75" x14ac:dyDescent="0.2">
      <c r="A53" s="19"/>
      <c r="B53" s="17"/>
      <c r="C53" s="27" t="s">
        <v>25</v>
      </c>
      <c r="D53" s="27"/>
      <c r="E53" s="59">
        <v>0.19198200000000001</v>
      </c>
      <c r="F53" s="19"/>
      <c r="G53" s="44"/>
      <c r="H53" s="44"/>
      <c r="I53" s="44"/>
      <c r="J53" s="44"/>
      <c r="K53" s="44"/>
      <c r="L53" s="19"/>
      <c r="M53" s="19"/>
      <c r="N53" s="18"/>
      <c r="O53" s="32"/>
      <c r="R53" s="80"/>
    </row>
    <row r="54" spans="1:24" x14ac:dyDescent="0.2">
      <c r="A54" s="19"/>
      <c r="B54" s="17"/>
      <c r="C54" s="324"/>
      <c r="D54" s="324"/>
      <c r="E54" s="24"/>
      <c r="F54" s="19"/>
      <c r="G54" s="44"/>
      <c r="H54" s="44"/>
      <c r="I54" s="44"/>
      <c r="J54" s="44"/>
      <c r="K54" s="44"/>
      <c r="L54" s="19"/>
      <c r="M54" s="19"/>
      <c r="N54" s="18"/>
      <c r="O54" s="32"/>
      <c r="R54" s="80"/>
    </row>
    <row r="55" spans="1:24" ht="15.75" x14ac:dyDescent="0.2">
      <c r="A55" s="19"/>
      <c r="B55" s="17"/>
      <c r="C55" s="28" t="s">
        <v>26</v>
      </c>
      <c r="D55" s="28"/>
      <c r="E55" s="40">
        <f>E53+E51+E48+E45+E36+E29+E27+E24</f>
        <v>1</v>
      </c>
      <c r="F55" s="19"/>
      <c r="G55" s="44"/>
      <c r="H55" s="44"/>
      <c r="I55" s="44"/>
      <c r="J55" s="44"/>
      <c r="K55" s="44"/>
      <c r="L55" s="19"/>
      <c r="M55" s="19"/>
      <c r="N55" s="18"/>
      <c r="O55" s="32"/>
      <c r="R55" s="80"/>
    </row>
    <row r="56" spans="1:24" x14ac:dyDescent="0.2">
      <c r="A56" s="19"/>
      <c r="B56" s="17"/>
      <c r="F56" s="19"/>
      <c r="G56" s="44"/>
      <c r="H56" s="44"/>
      <c r="I56" s="44"/>
      <c r="J56" s="44"/>
      <c r="K56" s="44"/>
      <c r="L56" s="19"/>
      <c r="M56" s="19"/>
      <c r="N56" s="18"/>
      <c r="O56" s="32"/>
      <c r="R56" s="80"/>
    </row>
    <row r="57" spans="1:24" ht="15.75" thickBot="1" x14ac:dyDescent="0.25">
      <c r="A57" s="19"/>
      <c r="B57" s="29"/>
      <c r="C57" s="243"/>
      <c r="D57" s="243"/>
      <c r="E57" s="244"/>
      <c r="F57" s="30"/>
      <c r="G57" s="192"/>
      <c r="H57" s="192"/>
      <c r="I57" s="192"/>
      <c r="J57" s="192"/>
      <c r="K57" s="192"/>
      <c r="L57" s="30"/>
      <c r="M57" s="30"/>
      <c r="N57" s="31"/>
      <c r="O57" s="32"/>
      <c r="R57" s="80"/>
    </row>
    <row r="58" spans="1:24" s="13" customFormat="1" ht="15.75" thickBot="1" x14ac:dyDescent="0.25">
      <c r="A58" s="11"/>
      <c r="B58" s="11"/>
      <c r="C58" s="11"/>
      <c r="D58" s="11"/>
      <c r="E58" s="11"/>
      <c r="F58" s="11"/>
      <c r="G58" s="33"/>
      <c r="H58" s="33"/>
      <c r="I58" s="33"/>
      <c r="J58" s="33"/>
      <c r="K58" s="33"/>
      <c r="L58" s="11"/>
      <c r="M58" s="11"/>
      <c r="N58" s="11"/>
      <c r="O58" s="11"/>
      <c r="R58" s="80"/>
      <c r="U58" s="11"/>
      <c r="V58" s="11"/>
      <c r="W58" s="11"/>
      <c r="X58" s="11"/>
    </row>
    <row r="59" spans="1:24" s="13" customFormat="1" x14ac:dyDescent="0.2">
      <c r="A59" s="11"/>
      <c r="B59" s="294" t="s">
        <v>147</v>
      </c>
      <c r="C59" s="295"/>
      <c r="D59" s="295"/>
      <c r="E59" s="295"/>
      <c r="F59" s="295"/>
      <c r="G59" s="295"/>
      <c r="H59" s="295"/>
      <c r="I59" s="295"/>
      <c r="J59" s="295"/>
      <c r="K59" s="295"/>
      <c r="L59" s="295"/>
      <c r="M59" s="295"/>
      <c r="N59" s="295"/>
      <c r="O59" s="296"/>
      <c r="R59" s="80"/>
      <c r="U59" s="11"/>
      <c r="V59" s="11"/>
      <c r="W59" s="11"/>
      <c r="X59" s="11"/>
    </row>
    <row r="60" spans="1:24" s="13" customFormat="1" x14ac:dyDescent="0.2">
      <c r="A60" s="11"/>
      <c r="B60" s="297"/>
      <c r="C60" s="298"/>
      <c r="D60" s="298"/>
      <c r="E60" s="298"/>
      <c r="F60" s="298"/>
      <c r="G60" s="298"/>
      <c r="H60" s="298"/>
      <c r="I60" s="298"/>
      <c r="J60" s="298"/>
      <c r="K60" s="298"/>
      <c r="L60" s="298"/>
      <c r="M60" s="298"/>
      <c r="N60" s="298"/>
      <c r="O60" s="299"/>
      <c r="R60" s="80"/>
      <c r="U60" s="11"/>
      <c r="V60" s="11"/>
      <c r="W60" s="11"/>
      <c r="X60" s="11"/>
    </row>
    <row r="61" spans="1:24" s="13" customFormat="1" x14ac:dyDescent="0.2">
      <c r="A61" s="11"/>
      <c r="B61" s="297"/>
      <c r="C61" s="298"/>
      <c r="D61" s="298"/>
      <c r="E61" s="298"/>
      <c r="F61" s="298"/>
      <c r="G61" s="298"/>
      <c r="H61" s="298"/>
      <c r="I61" s="298"/>
      <c r="J61" s="298"/>
      <c r="K61" s="298"/>
      <c r="L61" s="298"/>
      <c r="M61" s="298"/>
      <c r="N61" s="298"/>
      <c r="O61" s="299"/>
      <c r="R61" s="80"/>
      <c r="U61" s="11"/>
      <c r="V61" s="11"/>
      <c r="W61" s="11"/>
      <c r="X61" s="11"/>
    </row>
    <row r="62" spans="1:24" s="13" customFormat="1" x14ac:dyDescent="0.2">
      <c r="A62" s="11"/>
      <c r="B62" s="297"/>
      <c r="C62" s="298"/>
      <c r="D62" s="298"/>
      <c r="E62" s="298"/>
      <c r="F62" s="298"/>
      <c r="G62" s="298"/>
      <c r="H62" s="298"/>
      <c r="I62" s="298"/>
      <c r="J62" s="298"/>
      <c r="K62" s="298"/>
      <c r="L62" s="298"/>
      <c r="M62" s="298"/>
      <c r="N62" s="298"/>
      <c r="O62" s="299"/>
      <c r="R62" s="80"/>
      <c r="U62" s="11"/>
      <c r="V62" s="11"/>
      <c r="W62" s="11"/>
      <c r="X62" s="11"/>
    </row>
    <row r="63" spans="1:24" s="13" customFormat="1" x14ac:dyDescent="0.2">
      <c r="A63" s="11"/>
      <c r="B63" s="297"/>
      <c r="C63" s="298"/>
      <c r="D63" s="298"/>
      <c r="E63" s="298"/>
      <c r="F63" s="298"/>
      <c r="G63" s="298"/>
      <c r="H63" s="298"/>
      <c r="I63" s="298"/>
      <c r="J63" s="298"/>
      <c r="K63" s="298"/>
      <c r="L63" s="298"/>
      <c r="M63" s="298"/>
      <c r="N63" s="298"/>
      <c r="O63" s="299"/>
      <c r="R63" s="80"/>
      <c r="U63" s="11"/>
      <c r="V63" s="11"/>
      <c r="W63" s="11"/>
      <c r="X63" s="11"/>
    </row>
    <row r="64" spans="1:24" s="13" customFormat="1" x14ac:dyDescent="0.2">
      <c r="A64" s="11"/>
      <c r="B64" s="297"/>
      <c r="C64" s="298"/>
      <c r="D64" s="298"/>
      <c r="E64" s="298"/>
      <c r="F64" s="298"/>
      <c r="G64" s="298"/>
      <c r="H64" s="298"/>
      <c r="I64" s="298"/>
      <c r="J64" s="298"/>
      <c r="K64" s="298"/>
      <c r="L64" s="298"/>
      <c r="M64" s="298"/>
      <c r="N64" s="298"/>
      <c r="O64" s="299"/>
      <c r="R64" s="80"/>
      <c r="U64" s="11"/>
      <c r="V64" s="11"/>
      <c r="W64" s="11"/>
      <c r="X64" s="11"/>
    </row>
    <row r="65" spans="1:24" s="13" customFormat="1" ht="15.75" thickBot="1" x14ac:dyDescent="0.25">
      <c r="A65" s="11"/>
      <c r="B65" s="300"/>
      <c r="C65" s="301"/>
      <c r="D65" s="301"/>
      <c r="E65" s="301"/>
      <c r="F65" s="301"/>
      <c r="G65" s="301"/>
      <c r="H65" s="301"/>
      <c r="I65" s="301"/>
      <c r="J65" s="301"/>
      <c r="K65" s="301"/>
      <c r="L65" s="301"/>
      <c r="M65" s="301"/>
      <c r="N65" s="301"/>
      <c r="O65" s="302"/>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11"/>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11"/>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11"/>
      <c r="M676" s="11"/>
      <c r="N676" s="11"/>
      <c r="O676" s="11"/>
      <c r="R676" s="80"/>
      <c r="U676" s="11"/>
      <c r="V676" s="11"/>
      <c r="W676" s="11"/>
      <c r="X676" s="11"/>
    </row>
  </sheetData>
  <sortState ref="C39:E44">
    <sortCondition descending="1" ref="E39"/>
  </sortState>
  <mergeCells count="6">
    <mergeCell ref="B59:O65"/>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7"/>
  <sheetViews>
    <sheetView showGridLines="0" view="pageBreakPreview" zoomScale="76"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7"/>
      <c r="H2" s="187"/>
      <c r="I2" s="187"/>
      <c r="J2" s="187"/>
      <c r="K2" s="187"/>
      <c r="L2" s="187"/>
      <c r="M2" s="15"/>
      <c r="N2" s="34"/>
      <c r="O2" s="11"/>
      <c r="U2" s="11"/>
      <c r="V2" s="11"/>
      <c r="W2" s="11"/>
      <c r="X2" s="11"/>
    </row>
    <row r="3" spans="2:24" s="13" customFormat="1" ht="20.25" customHeight="1" x14ac:dyDescent="0.2">
      <c r="B3" s="17"/>
      <c r="C3" s="288" t="s">
        <v>94</v>
      </c>
      <c r="D3" s="288"/>
      <c r="E3" s="288"/>
      <c r="F3" s="288"/>
      <c r="G3" s="288"/>
      <c r="H3" s="288"/>
      <c r="I3" s="288"/>
      <c r="J3" s="288"/>
      <c r="K3" s="288"/>
      <c r="L3" s="288"/>
      <c r="M3" s="288"/>
      <c r="N3" s="289"/>
      <c r="O3" s="11"/>
      <c r="U3" s="11"/>
      <c r="V3" s="11"/>
      <c r="W3" s="11"/>
      <c r="X3" s="11"/>
    </row>
    <row r="4" spans="2:24" s="13" customFormat="1" ht="15.75" x14ac:dyDescent="0.25">
      <c r="B4" s="17"/>
      <c r="C4" s="280" t="s">
        <v>237</v>
      </c>
      <c r="D4" s="1"/>
      <c r="E4" s="1"/>
      <c r="F4" s="19"/>
      <c r="G4" s="44"/>
      <c r="H4" s="44"/>
      <c r="I4" s="44"/>
      <c r="J4" s="44"/>
      <c r="K4" s="44"/>
      <c r="L4" s="44"/>
      <c r="M4" s="19"/>
      <c r="N4" s="35"/>
      <c r="O4" s="11"/>
      <c r="U4" s="11"/>
      <c r="V4" s="11"/>
      <c r="W4" s="11"/>
      <c r="X4" s="11"/>
    </row>
    <row r="5" spans="2:24" s="13" customFormat="1" ht="20.25" customHeight="1" x14ac:dyDescent="0.2">
      <c r="B5" s="17"/>
      <c r="C5" s="2" t="s">
        <v>236</v>
      </c>
      <c r="D5" s="306" t="s">
        <v>249</v>
      </c>
      <c r="E5" s="306"/>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60</v>
      </c>
      <c r="D7" s="21" t="s">
        <v>61</v>
      </c>
      <c r="E7" s="21" t="s">
        <v>62</v>
      </c>
      <c r="F7" s="19"/>
      <c r="G7" s="290" t="s">
        <v>63</v>
      </c>
      <c r="H7" s="290"/>
      <c r="I7" s="290"/>
      <c r="J7" s="290"/>
      <c r="K7" s="290"/>
      <c r="L7" s="290"/>
      <c r="M7" s="290"/>
      <c r="N7" s="291"/>
      <c r="O7" s="11"/>
      <c r="U7" s="11"/>
      <c r="V7" s="11"/>
      <c r="W7" s="11"/>
      <c r="X7" s="11"/>
    </row>
    <row r="8" spans="2:24" s="13" customFormat="1" x14ac:dyDescent="0.2">
      <c r="B8" s="17"/>
      <c r="C8" s="111" t="s">
        <v>37</v>
      </c>
      <c r="D8" s="103" t="s">
        <v>11</v>
      </c>
      <c r="E8" s="116">
        <v>5.9921000000000002E-2</v>
      </c>
      <c r="F8" s="44"/>
      <c r="G8" s="185" t="s">
        <v>64</v>
      </c>
      <c r="H8" s="186">
        <v>1</v>
      </c>
      <c r="I8" s="188">
        <f>H8/SUM($H$8:$H$10)</f>
        <v>1</v>
      </c>
      <c r="J8" s="44"/>
      <c r="K8" s="151"/>
      <c r="L8" s="44"/>
      <c r="M8" s="44"/>
      <c r="N8" s="106"/>
      <c r="O8" s="11"/>
      <c r="R8" s="80"/>
      <c r="U8" s="11"/>
      <c r="V8" s="11"/>
      <c r="W8" s="11"/>
      <c r="X8" s="11"/>
    </row>
    <row r="9" spans="2:24" s="13" customFormat="1" ht="15.75" customHeight="1" x14ac:dyDescent="0.2">
      <c r="B9" s="17"/>
      <c r="C9" s="112" t="s">
        <v>42</v>
      </c>
      <c r="D9" s="23" t="s">
        <v>3</v>
      </c>
      <c r="E9" s="117">
        <v>5.1469000000000001E-2</v>
      </c>
      <c r="F9" s="44"/>
      <c r="G9" s="185" t="s">
        <v>79</v>
      </c>
      <c r="H9" s="189">
        <v>0</v>
      </c>
      <c r="I9" s="188">
        <f>H9/SUM($H$8:$H$10)</f>
        <v>0</v>
      </c>
      <c r="J9" s="44" t="s">
        <v>66</v>
      </c>
      <c r="K9" s="151">
        <f>E24+E26</f>
        <v>0.74526199999999998</v>
      </c>
      <c r="L9" s="44"/>
      <c r="M9" s="44"/>
      <c r="N9" s="106"/>
      <c r="O9" s="11"/>
      <c r="R9" s="80"/>
      <c r="U9" s="11"/>
      <c r="V9" s="11"/>
      <c r="W9" s="11"/>
      <c r="X9" s="11"/>
    </row>
    <row r="10" spans="2:24" s="13" customFormat="1" x14ac:dyDescent="0.2">
      <c r="B10" s="17"/>
      <c r="C10" s="112" t="s">
        <v>38</v>
      </c>
      <c r="D10" s="23" t="s">
        <v>3</v>
      </c>
      <c r="E10" s="117">
        <v>4.9182999999999998E-2</v>
      </c>
      <c r="F10" s="151"/>
      <c r="G10" s="185" t="s">
        <v>65</v>
      </c>
      <c r="H10" s="189">
        <v>0</v>
      </c>
      <c r="I10" s="188">
        <f>H10/SUM($H$8:$H$10)</f>
        <v>0</v>
      </c>
      <c r="J10" s="44" t="s">
        <v>57</v>
      </c>
      <c r="K10" s="151">
        <f>E40+E43</f>
        <v>8.0442E-2</v>
      </c>
      <c r="L10" s="44"/>
      <c r="M10" s="44"/>
      <c r="N10" s="106"/>
      <c r="O10" s="11"/>
      <c r="R10" s="80"/>
      <c r="U10" s="11"/>
      <c r="V10" s="11"/>
      <c r="W10" s="11"/>
      <c r="X10" s="11"/>
    </row>
    <row r="11" spans="2:24" s="13" customFormat="1" x14ac:dyDescent="0.2">
      <c r="B11" s="17"/>
      <c r="C11" s="112" t="s">
        <v>44</v>
      </c>
      <c r="D11" s="23" t="s">
        <v>9</v>
      </c>
      <c r="E11" s="117">
        <v>4.3625999999999998E-2</v>
      </c>
      <c r="F11" s="44"/>
      <c r="G11" s="44"/>
      <c r="H11" s="44"/>
      <c r="I11" s="44"/>
      <c r="J11" s="44" t="s">
        <v>25</v>
      </c>
      <c r="K11" s="151">
        <f>E45</f>
        <v>0.13450400000000001</v>
      </c>
      <c r="L11" s="44"/>
      <c r="M11" s="44"/>
      <c r="N11" s="106"/>
      <c r="O11" s="11"/>
      <c r="R11" s="80"/>
      <c r="U11" s="11"/>
      <c r="V11" s="11"/>
      <c r="W11" s="11"/>
      <c r="X11" s="11"/>
    </row>
    <row r="12" spans="2:24" s="13" customFormat="1" ht="15.75" customHeight="1" x14ac:dyDescent="0.2">
      <c r="B12" s="17"/>
      <c r="C12" s="112" t="s">
        <v>140</v>
      </c>
      <c r="D12" s="23" t="s">
        <v>3</v>
      </c>
      <c r="E12" s="117">
        <v>3.5379000000000001E-2</v>
      </c>
      <c r="F12" s="151"/>
      <c r="G12" s="44"/>
      <c r="H12" s="151"/>
      <c r="I12" s="44"/>
      <c r="J12" s="33" t="s">
        <v>84</v>
      </c>
      <c r="K12" s="190">
        <f>E32</f>
        <v>3.9792000000000001E-2</v>
      </c>
      <c r="L12" s="44"/>
      <c r="M12" s="44"/>
      <c r="N12" s="106"/>
      <c r="O12" s="11"/>
      <c r="R12" s="80"/>
      <c r="U12" s="11"/>
      <c r="V12" s="11"/>
      <c r="W12" s="11"/>
      <c r="X12" s="11"/>
    </row>
    <row r="13" spans="2:24" s="13" customFormat="1" x14ac:dyDescent="0.2">
      <c r="B13" s="17"/>
      <c r="C13" s="112" t="s">
        <v>141</v>
      </c>
      <c r="D13" s="23" t="s">
        <v>17</v>
      </c>
      <c r="E13" s="117">
        <v>3.1605000000000001E-2</v>
      </c>
      <c r="F13" s="151"/>
      <c r="G13" s="44"/>
      <c r="H13" s="44"/>
      <c r="I13" s="44"/>
      <c r="J13" s="44" t="s">
        <v>100</v>
      </c>
      <c r="K13" s="151" t="e">
        <f>#REF!</f>
        <v>#REF!</v>
      </c>
      <c r="L13" s="44"/>
      <c r="M13" s="44"/>
      <c r="N13" s="106"/>
      <c r="O13" s="11"/>
      <c r="R13" s="80"/>
      <c r="U13" s="11"/>
      <c r="V13" s="11"/>
      <c r="W13" s="11"/>
      <c r="X13" s="11"/>
    </row>
    <row r="14" spans="2:24" s="13" customFormat="1" x14ac:dyDescent="0.2">
      <c r="B14" s="17"/>
      <c r="C14" s="112" t="s">
        <v>119</v>
      </c>
      <c r="D14" s="23" t="s">
        <v>11</v>
      </c>
      <c r="E14" s="117">
        <v>3.1174E-2</v>
      </c>
      <c r="F14" s="151"/>
      <c r="G14" s="44"/>
      <c r="H14" s="44"/>
      <c r="I14" s="44"/>
      <c r="J14" s="44"/>
      <c r="K14" s="151"/>
      <c r="L14" s="44"/>
      <c r="M14" s="44"/>
      <c r="N14" s="106"/>
      <c r="O14" s="11"/>
      <c r="R14" s="80"/>
      <c r="U14" s="11"/>
      <c r="V14" s="11"/>
      <c r="W14" s="11"/>
      <c r="X14" s="11"/>
    </row>
    <row r="15" spans="2:24" s="13" customFormat="1" x14ac:dyDescent="0.2">
      <c r="B15" s="17"/>
      <c r="C15" s="112" t="s">
        <v>125</v>
      </c>
      <c r="D15" s="23" t="s">
        <v>8</v>
      </c>
      <c r="E15" s="117">
        <v>2.8565E-2</v>
      </c>
      <c r="F15" s="44"/>
      <c r="G15" s="44"/>
      <c r="H15" s="44"/>
      <c r="I15" s="44"/>
      <c r="J15" s="33"/>
      <c r="K15" s="190"/>
      <c r="L15" s="44"/>
      <c r="M15" s="44"/>
      <c r="N15" s="106"/>
      <c r="O15" s="11"/>
      <c r="R15" s="80"/>
      <c r="U15" s="11"/>
      <c r="V15" s="11"/>
      <c r="W15" s="11"/>
      <c r="X15" s="11"/>
    </row>
    <row r="16" spans="2:24" s="13" customFormat="1" x14ac:dyDescent="0.2">
      <c r="B16" s="17"/>
      <c r="C16" s="112" t="s">
        <v>113</v>
      </c>
      <c r="D16" s="23" t="s">
        <v>14</v>
      </c>
      <c r="E16" s="117">
        <v>2.8378E-2</v>
      </c>
      <c r="F16" s="19"/>
      <c r="G16" s="44"/>
      <c r="H16" s="44"/>
      <c r="I16" s="44"/>
      <c r="J16" s="33"/>
      <c r="K16" s="33"/>
      <c r="L16" s="44"/>
      <c r="M16" s="44"/>
      <c r="N16" s="106"/>
      <c r="O16" s="11"/>
      <c r="R16" s="80"/>
      <c r="U16" s="11"/>
      <c r="V16" s="11"/>
      <c r="W16" s="11"/>
      <c r="X16" s="11"/>
    </row>
    <row r="17" spans="1:41" x14ac:dyDescent="0.2">
      <c r="B17" s="17"/>
      <c r="C17" s="112" t="s">
        <v>41</v>
      </c>
      <c r="D17" s="23" t="s">
        <v>6</v>
      </c>
      <c r="E17" s="117">
        <v>2.1239999999999998E-2</v>
      </c>
      <c r="F17" s="19"/>
      <c r="G17" s="44"/>
      <c r="H17" s="44"/>
      <c r="I17" s="44"/>
      <c r="J17" s="44"/>
      <c r="K17" s="44"/>
      <c r="L17" s="44"/>
      <c r="M17" s="44"/>
      <c r="N17" s="106"/>
      <c r="R17" s="80"/>
    </row>
    <row r="18" spans="1:41" x14ac:dyDescent="0.2">
      <c r="B18" s="17"/>
      <c r="C18" s="112" t="s">
        <v>122</v>
      </c>
      <c r="D18" s="104" t="s">
        <v>8</v>
      </c>
      <c r="E18" s="117">
        <v>2.0406000000000001E-2</v>
      </c>
      <c r="F18" s="19"/>
      <c r="G18" s="44"/>
      <c r="H18" s="44"/>
      <c r="I18" s="44"/>
      <c r="J18" s="44"/>
      <c r="K18" s="44"/>
      <c r="L18" s="44"/>
      <c r="M18" s="44"/>
      <c r="N18" s="106"/>
      <c r="R18" s="80"/>
    </row>
    <row r="19" spans="1:41" x14ac:dyDescent="0.2">
      <c r="B19" s="17"/>
      <c r="C19" s="112" t="s">
        <v>110</v>
      </c>
      <c r="D19" s="23" t="s">
        <v>22</v>
      </c>
      <c r="E19" s="117">
        <v>1.9729E-2</v>
      </c>
      <c r="F19" s="19"/>
      <c r="G19" s="44"/>
      <c r="H19" s="44"/>
      <c r="I19" s="44"/>
      <c r="J19" s="44"/>
      <c r="K19" s="44"/>
      <c r="L19" s="44"/>
      <c r="M19" s="19"/>
      <c r="N19" s="35"/>
      <c r="R19" s="80"/>
    </row>
    <row r="20" spans="1:41" ht="15.75" customHeight="1" x14ac:dyDescent="0.25">
      <c r="B20" s="17"/>
      <c r="C20" s="113" t="s">
        <v>209</v>
      </c>
      <c r="D20" s="104" t="s">
        <v>8</v>
      </c>
      <c r="E20" s="117">
        <v>1.9480999999999998E-2</v>
      </c>
      <c r="F20" s="19"/>
      <c r="G20" s="311" t="s">
        <v>196</v>
      </c>
      <c r="H20" s="312"/>
      <c r="I20" s="312"/>
      <c r="J20" s="312"/>
      <c r="K20" s="312"/>
      <c r="L20" s="271">
        <v>1.3</v>
      </c>
      <c r="M20" s="272"/>
      <c r="N20" s="273"/>
      <c r="R20" s="80"/>
    </row>
    <row r="21" spans="1:41" x14ac:dyDescent="0.2">
      <c r="B21" s="17"/>
      <c r="C21" s="112" t="s">
        <v>223</v>
      </c>
      <c r="D21" s="23" t="s">
        <v>21</v>
      </c>
      <c r="E21" s="117">
        <v>1.942E-2</v>
      </c>
      <c r="F21" s="19"/>
      <c r="G21" s="44"/>
      <c r="H21" s="44"/>
      <c r="I21" s="44"/>
      <c r="J21" s="44"/>
      <c r="K21" s="44"/>
      <c r="L21" s="44"/>
      <c r="M21" s="19"/>
      <c r="N21" s="18"/>
      <c r="O21" s="12"/>
      <c r="R21" s="80"/>
    </row>
    <row r="22" spans="1:41" x14ac:dyDescent="0.2">
      <c r="B22" s="17"/>
      <c r="C22" s="112" t="s">
        <v>234</v>
      </c>
      <c r="D22" s="23" t="s">
        <v>7</v>
      </c>
      <c r="E22" s="117">
        <v>1.8865E-2</v>
      </c>
      <c r="F22" s="19"/>
      <c r="G22" s="151"/>
      <c r="H22" s="151"/>
      <c r="I22" s="151"/>
      <c r="J22" s="44"/>
      <c r="K22" s="151"/>
      <c r="L22" s="44"/>
      <c r="M22" s="19"/>
      <c r="N22" s="18"/>
      <c r="O22" s="12"/>
      <c r="R22" s="80"/>
    </row>
    <row r="23" spans="1:41" ht="15.75" customHeight="1" x14ac:dyDescent="0.2">
      <c r="B23" s="17"/>
      <c r="C23" s="23"/>
      <c r="D23" s="36"/>
      <c r="E23" s="50"/>
      <c r="F23" s="19"/>
      <c r="G23" s="290" t="s">
        <v>69</v>
      </c>
      <c r="H23" s="290"/>
      <c r="I23" s="290"/>
      <c r="J23" s="290"/>
      <c r="K23" s="290"/>
      <c r="L23" s="290"/>
      <c r="M23" s="290"/>
      <c r="N23" s="291"/>
      <c r="O23" s="12"/>
      <c r="R23" s="80"/>
    </row>
    <row r="24" spans="1:41" ht="15.75" x14ac:dyDescent="0.2">
      <c r="B24" s="17"/>
      <c r="C24" s="27" t="s">
        <v>78</v>
      </c>
      <c r="D24" s="27"/>
      <c r="E24" s="59">
        <f>SUM(E8:E22)</f>
        <v>0.47844100000000001</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102</v>
      </c>
      <c r="D26" s="27"/>
      <c r="E26" s="59">
        <v>0.26682099999999997</v>
      </c>
      <c r="F26" s="119"/>
      <c r="G26" s="44"/>
      <c r="H26" s="44"/>
      <c r="I26" s="44"/>
      <c r="J26" s="44"/>
      <c r="K26" s="44"/>
      <c r="L26" s="44"/>
      <c r="M26" s="19"/>
      <c r="N26" s="18"/>
      <c r="O26" s="12"/>
      <c r="R26" s="80"/>
    </row>
    <row r="27" spans="1:41" x14ac:dyDescent="0.2">
      <c r="B27" s="17"/>
      <c r="C27" s="23"/>
      <c r="D27" s="23"/>
      <c r="E27" s="23"/>
      <c r="F27" s="19"/>
      <c r="G27" s="44"/>
      <c r="H27" s="44"/>
      <c r="I27" s="44"/>
      <c r="J27" s="44"/>
      <c r="K27" s="44"/>
      <c r="L27" s="44"/>
      <c r="M27" s="19"/>
      <c r="N27" s="18"/>
      <c r="O27" s="12"/>
      <c r="R27" s="80"/>
    </row>
    <row r="28" spans="1:41" s="38" customFormat="1" ht="13.5" customHeight="1" x14ac:dyDescent="0.2">
      <c r="B28" s="39"/>
      <c r="C28" s="161" t="s">
        <v>39</v>
      </c>
      <c r="D28" s="8" t="s">
        <v>91</v>
      </c>
      <c r="E28" s="50">
        <v>9.0060000000000001E-3</v>
      </c>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43" t="s">
        <v>114</v>
      </c>
      <c r="D29" s="8" t="s">
        <v>91</v>
      </c>
      <c r="E29" s="50">
        <v>1.3651E-2</v>
      </c>
      <c r="F29" s="19"/>
      <c r="G29" s="44"/>
      <c r="H29" s="44"/>
      <c r="I29" s="44"/>
      <c r="J29" s="44"/>
      <c r="K29" s="44"/>
      <c r="L29" s="44"/>
      <c r="M29" s="19"/>
      <c r="N29" s="18"/>
      <c r="O29" s="12"/>
      <c r="R29" s="80"/>
    </row>
    <row r="30" spans="1:41" x14ac:dyDescent="0.2">
      <c r="B30" s="17"/>
      <c r="C30" s="143" t="s">
        <v>124</v>
      </c>
      <c r="D30" s="8" t="s">
        <v>91</v>
      </c>
      <c r="E30" s="50">
        <v>5.6160000000000003E-3</v>
      </c>
      <c r="F30" s="19"/>
      <c r="G30" s="44"/>
      <c r="H30" s="44"/>
      <c r="I30" s="44"/>
      <c r="J30" s="44"/>
      <c r="K30" s="44"/>
      <c r="L30" s="44"/>
      <c r="M30" s="19"/>
      <c r="N30" s="18"/>
      <c r="O30" s="12"/>
      <c r="R30" s="80"/>
    </row>
    <row r="31" spans="1:41" x14ac:dyDescent="0.2">
      <c r="B31" s="17"/>
      <c r="C31" s="143" t="s">
        <v>127</v>
      </c>
      <c r="D31" s="8" t="s">
        <v>91</v>
      </c>
      <c r="E31" s="50">
        <v>1.1519E-2</v>
      </c>
      <c r="F31" s="19"/>
      <c r="G31" s="44"/>
      <c r="H31" s="44"/>
      <c r="I31" s="44"/>
      <c r="J31" s="44"/>
      <c r="K31" s="44"/>
      <c r="L31" s="44"/>
      <c r="M31" s="19"/>
      <c r="N31" s="18"/>
      <c r="O31" s="12"/>
      <c r="R31" s="80"/>
    </row>
    <row r="32" spans="1:41" s="72" customFormat="1" ht="15.75" x14ac:dyDescent="0.2">
      <c r="A32" s="11"/>
      <c r="B32" s="17"/>
      <c r="C32" s="27" t="s">
        <v>67</v>
      </c>
      <c r="D32" s="27"/>
      <c r="E32" s="59">
        <v>3.9792000000000001E-2</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x14ac:dyDescent="0.2">
      <c r="A33" s="11"/>
      <c r="B33" s="17"/>
      <c r="C33" s="136"/>
      <c r="D33" s="136"/>
      <c r="E33" s="136"/>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61" t="s">
        <v>103</v>
      </c>
      <c r="D34" s="36" t="s">
        <v>85</v>
      </c>
      <c r="E34" s="173">
        <v>2.23E-4</v>
      </c>
      <c r="F34" s="19"/>
      <c r="G34" s="44"/>
      <c r="H34" s="44"/>
      <c r="I34" s="44"/>
      <c r="J34" s="44"/>
      <c r="K34" s="44"/>
      <c r="L34" s="44"/>
      <c r="M34" s="19"/>
      <c r="N34" s="18"/>
      <c r="O34" s="12"/>
      <c r="R34" s="80"/>
      <c r="U34" s="11"/>
      <c r="V34" s="11"/>
      <c r="W34" s="11"/>
      <c r="X34" s="11"/>
    </row>
    <row r="35" spans="1:41" s="13" customFormat="1" x14ac:dyDescent="0.2">
      <c r="A35" s="11"/>
      <c r="B35" s="17"/>
      <c r="C35" s="161" t="s">
        <v>123</v>
      </c>
      <c r="D35" s="36" t="s">
        <v>85</v>
      </c>
      <c r="E35" s="173">
        <v>1.0973E-2</v>
      </c>
      <c r="F35" s="19"/>
      <c r="G35" s="44"/>
      <c r="H35" s="44"/>
      <c r="I35" s="44"/>
      <c r="J35" s="44"/>
      <c r="K35" s="44"/>
      <c r="L35" s="44"/>
      <c r="M35" s="19"/>
      <c r="N35" s="18"/>
      <c r="O35" s="12"/>
      <c r="R35" s="80"/>
      <c r="U35" s="11"/>
      <c r="V35" s="11"/>
      <c r="W35" s="11"/>
      <c r="X35" s="11"/>
    </row>
    <row r="36" spans="1:41" s="13" customFormat="1" x14ac:dyDescent="0.2">
      <c r="A36" s="11"/>
      <c r="B36" s="17"/>
      <c r="C36" s="161" t="s">
        <v>104</v>
      </c>
      <c r="D36" s="36" t="s">
        <v>85</v>
      </c>
      <c r="E36" s="173">
        <v>3.7009999999999999E-3</v>
      </c>
      <c r="F36" s="19"/>
      <c r="G36" s="44"/>
      <c r="H36" s="44"/>
      <c r="I36" s="44"/>
      <c r="J36" s="44"/>
      <c r="K36" s="44"/>
      <c r="L36" s="44"/>
      <c r="M36" s="19"/>
      <c r="N36" s="18"/>
      <c r="O36" s="12"/>
      <c r="R36" s="80"/>
      <c r="U36" s="11"/>
      <c r="V36" s="11"/>
      <c r="W36" s="11"/>
      <c r="X36" s="11"/>
    </row>
    <row r="37" spans="1:41" s="13" customFormat="1" x14ac:dyDescent="0.2">
      <c r="A37" s="11"/>
      <c r="B37" s="17"/>
      <c r="C37" s="161" t="s">
        <v>134</v>
      </c>
      <c r="D37" s="36" t="s">
        <v>85</v>
      </c>
      <c r="E37" s="173">
        <v>3.7419000000000001E-2</v>
      </c>
      <c r="F37" s="19"/>
      <c r="G37" s="44"/>
      <c r="H37" s="44"/>
      <c r="I37" s="44"/>
      <c r="J37" s="44"/>
      <c r="K37" s="44"/>
      <c r="L37" s="44"/>
      <c r="M37" s="19"/>
      <c r="N37" s="18"/>
      <c r="O37" s="12"/>
      <c r="R37" s="80"/>
      <c r="U37" s="11"/>
      <c r="V37" s="11"/>
      <c r="W37" s="11"/>
      <c r="X37" s="11"/>
    </row>
    <row r="38" spans="1:41" s="13" customFormat="1" x14ac:dyDescent="0.2">
      <c r="A38" s="11"/>
      <c r="B38" s="17"/>
      <c r="C38" s="161" t="s">
        <v>161</v>
      </c>
      <c r="D38" s="36" t="s">
        <v>85</v>
      </c>
      <c r="E38" s="173">
        <v>1.7694999999999999E-2</v>
      </c>
      <c r="F38" s="19"/>
      <c r="G38" s="44"/>
      <c r="H38" s="44"/>
      <c r="I38" s="44"/>
      <c r="J38" s="44"/>
      <c r="K38" s="44"/>
      <c r="L38" s="44"/>
      <c r="M38" s="19"/>
      <c r="N38" s="18"/>
      <c r="O38" s="12"/>
      <c r="R38" s="80"/>
      <c r="U38" s="11"/>
      <c r="V38" s="11"/>
      <c r="W38" s="11"/>
      <c r="X38" s="11"/>
    </row>
    <row r="39" spans="1:41" s="20" customFormat="1" x14ac:dyDescent="0.2">
      <c r="A39" s="38"/>
      <c r="B39" s="39"/>
      <c r="C39" s="161" t="s">
        <v>116</v>
      </c>
      <c r="D39" s="36" t="s">
        <v>85</v>
      </c>
      <c r="E39" s="173">
        <v>9.7079999999999996E-3</v>
      </c>
      <c r="F39" s="37"/>
      <c r="G39" s="185"/>
      <c r="H39" s="185"/>
      <c r="I39" s="185"/>
      <c r="J39" s="185"/>
      <c r="K39" s="185"/>
      <c r="L39" s="185"/>
      <c r="M39" s="37"/>
      <c r="N39" s="48"/>
      <c r="O39" s="49"/>
      <c r="R39" s="81"/>
      <c r="U39" s="38"/>
      <c r="V39" s="38"/>
      <c r="W39" s="38"/>
      <c r="X39" s="38"/>
    </row>
    <row r="40" spans="1:41" s="13" customFormat="1" ht="15.75" x14ac:dyDescent="0.2">
      <c r="A40" s="11"/>
      <c r="B40" s="17"/>
      <c r="C40" s="27" t="s">
        <v>57</v>
      </c>
      <c r="D40" s="27"/>
      <c r="E40" s="59">
        <v>7.9718999999999998E-2</v>
      </c>
      <c r="F40" s="19"/>
      <c r="G40" s="191"/>
      <c r="H40" s="44"/>
      <c r="I40" s="44"/>
      <c r="J40" s="44"/>
      <c r="K40" s="44"/>
      <c r="L40" s="44"/>
      <c r="M40" s="19"/>
      <c r="N40" s="18"/>
      <c r="O40" s="12"/>
      <c r="R40" s="80"/>
      <c r="U40" s="11"/>
      <c r="V40" s="11"/>
      <c r="W40" s="11"/>
      <c r="X40" s="11"/>
    </row>
    <row r="41" spans="1:41" s="13" customFormat="1" x14ac:dyDescent="0.2">
      <c r="A41" s="11"/>
      <c r="B41" s="17"/>
      <c r="C41" s="136"/>
      <c r="D41" s="136"/>
      <c r="E41" s="136"/>
      <c r="F41" s="19"/>
      <c r="G41" s="191"/>
      <c r="H41" s="44"/>
      <c r="I41" s="44"/>
      <c r="J41" s="44"/>
      <c r="K41" s="44"/>
      <c r="L41" s="44"/>
      <c r="M41" s="19"/>
      <c r="N41" s="18"/>
      <c r="O41" s="12"/>
      <c r="R41" s="80"/>
      <c r="U41" s="11"/>
      <c r="V41" s="11"/>
      <c r="W41" s="11"/>
      <c r="X41" s="11"/>
    </row>
    <row r="42" spans="1:41" s="13" customFormat="1" x14ac:dyDescent="0.2">
      <c r="A42" s="19"/>
      <c r="B42" s="17"/>
      <c r="C42" s="23" t="s">
        <v>137</v>
      </c>
      <c r="D42" s="36" t="s">
        <v>85</v>
      </c>
      <c r="E42" s="50">
        <v>7.2300000000000001E-4</v>
      </c>
      <c r="F42" s="19"/>
      <c r="G42" s="44"/>
      <c r="H42" s="44"/>
      <c r="I42" s="44"/>
      <c r="J42" s="44"/>
      <c r="K42" s="44"/>
      <c r="L42" s="44"/>
      <c r="M42" s="19"/>
      <c r="N42" s="18"/>
      <c r="O42" s="32"/>
      <c r="R42" s="80"/>
      <c r="U42" s="11"/>
      <c r="V42" s="11"/>
      <c r="W42" s="11"/>
      <c r="X42" s="11"/>
    </row>
    <row r="43" spans="1:41" s="13" customFormat="1" ht="15.75" x14ac:dyDescent="0.2">
      <c r="A43" s="19"/>
      <c r="B43" s="17"/>
      <c r="C43" s="27" t="s">
        <v>80</v>
      </c>
      <c r="D43" s="27"/>
      <c r="E43" s="59">
        <v>7.2300000000000001E-4</v>
      </c>
      <c r="F43" s="19"/>
      <c r="G43" s="44"/>
      <c r="H43" s="44"/>
      <c r="I43" s="44"/>
      <c r="J43" s="44"/>
      <c r="K43" s="44"/>
      <c r="L43" s="44"/>
      <c r="M43" s="19"/>
      <c r="N43" s="18"/>
      <c r="O43" s="32"/>
      <c r="R43" s="80"/>
      <c r="U43" s="11"/>
      <c r="V43" s="11"/>
      <c r="W43" s="11"/>
      <c r="X43" s="11"/>
    </row>
    <row r="44" spans="1:41" s="13" customFormat="1" ht="15.75" x14ac:dyDescent="0.2">
      <c r="A44" s="19"/>
      <c r="B44" s="17"/>
      <c r="C44" s="118"/>
      <c r="D44" s="118"/>
      <c r="E44" s="144"/>
      <c r="F44" s="19"/>
      <c r="G44" s="44"/>
      <c r="H44" s="44"/>
      <c r="I44" s="44"/>
      <c r="J44" s="44"/>
      <c r="K44" s="44"/>
      <c r="L44" s="44"/>
      <c r="M44" s="19"/>
      <c r="N44" s="18"/>
      <c r="O44" s="32"/>
      <c r="R44" s="80"/>
      <c r="U44" s="11"/>
      <c r="V44" s="11"/>
      <c r="W44" s="11"/>
      <c r="X44" s="11"/>
    </row>
    <row r="45" spans="1:41" s="13" customFormat="1" ht="15.75" x14ac:dyDescent="0.2">
      <c r="A45" s="19"/>
      <c r="B45" s="17"/>
      <c r="C45" s="27" t="s">
        <v>25</v>
      </c>
      <c r="D45" s="27"/>
      <c r="E45" s="59">
        <v>0.13450400000000001</v>
      </c>
      <c r="F45" s="19"/>
      <c r="G45" s="44"/>
      <c r="H45" s="44"/>
      <c r="I45" s="44"/>
      <c r="J45" s="44"/>
      <c r="K45" s="44"/>
      <c r="L45" s="44"/>
      <c r="M45" s="19"/>
      <c r="N45" s="18"/>
      <c r="O45" s="32"/>
      <c r="R45" s="80"/>
      <c r="U45" s="11"/>
      <c r="V45" s="11"/>
      <c r="W45" s="11"/>
      <c r="X45" s="11"/>
    </row>
    <row r="46" spans="1:41" s="13" customFormat="1" x14ac:dyDescent="0.2">
      <c r="A46" s="19"/>
      <c r="B46" s="17"/>
      <c r="C46" s="36"/>
      <c r="D46" s="36"/>
      <c r="E46" s="153"/>
      <c r="F46" s="19"/>
      <c r="G46" s="44"/>
      <c r="H46" s="44"/>
      <c r="I46" s="44"/>
      <c r="J46" s="44"/>
      <c r="K46" s="44"/>
      <c r="L46" s="44"/>
      <c r="M46" s="19"/>
      <c r="N46" s="18"/>
      <c r="O46" s="32"/>
      <c r="R46" s="80"/>
      <c r="U46" s="11"/>
      <c r="V46" s="11"/>
      <c r="W46" s="11"/>
      <c r="X46" s="11"/>
    </row>
    <row r="47" spans="1:41" s="13" customFormat="1" ht="15.75" x14ac:dyDescent="0.2">
      <c r="A47" s="19"/>
      <c r="B47" s="17"/>
      <c r="C47" s="28" t="s">
        <v>26</v>
      </c>
      <c r="D47" s="28"/>
      <c r="E47" s="40">
        <f>SUM(E24:E26)+E32+E45+E43+E40</f>
        <v>1.0000000000000002</v>
      </c>
      <c r="F47" s="19"/>
      <c r="G47" s="44"/>
      <c r="H47" s="44"/>
      <c r="I47" s="44"/>
      <c r="J47" s="44"/>
      <c r="K47" s="44"/>
      <c r="L47" s="44"/>
      <c r="M47" s="19"/>
      <c r="N47" s="18"/>
      <c r="O47" s="32"/>
      <c r="R47" s="80"/>
      <c r="U47" s="11"/>
      <c r="V47" s="11"/>
      <c r="W47" s="11"/>
      <c r="X47" s="11"/>
    </row>
    <row r="48" spans="1:41" s="13" customFormat="1" x14ac:dyDescent="0.2">
      <c r="A48" s="19"/>
      <c r="B48" s="17"/>
      <c r="F48" s="19"/>
      <c r="G48" s="44"/>
      <c r="H48" s="44"/>
      <c r="I48" s="44"/>
      <c r="J48" s="44"/>
      <c r="K48" s="44"/>
      <c r="L48" s="44"/>
      <c r="M48" s="19"/>
      <c r="N48" s="18"/>
      <c r="O48" s="32"/>
      <c r="R48" s="80"/>
      <c r="U48" s="11"/>
      <c r="V48" s="11"/>
      <c r="W48" s="11"/>
      <c r="X48" s="11"/>
    </row>
    <row r="49" spans="1:24" s="13" customFormat="1" hidden="1" x14ac:dyDescent="0.2">
      <c r="A49" s="19"/>
      <c r="B49" s="17"/>
      <c r="F49" s="19"/>
      <c r="G49" s="44"/>
      <c r="H49" s="44"/>
      <c r="I49" s="44"/>
      <c r="J49" s="44"/>
      <c r="K49" s="44"/>
      <c r="L49" s="44"/>
      <c r="M49" s="19"/>
      <c r="N49" s="18"/>
      <c r="O49" s="32"/>
      <c r="R49" s="80"/>
      <c r="U49" s="11"/>
      <c r="V49" s="11"/>
      <c r="W49" s="11"/>
      <c r="X49" s="11"/>
    </row>
    <row r="50" spans="1:24" s="13" customFormat="1" hidden="1" x14ac:dyDescent="0.2">
      <c r="A50" s="19"/>
      <c r="B50" s="17"/>
      <c r="F50" s="19"/>
      <c r="G50" s="44"/>
      <c r="H50" s="44"/>
      <c r="I50" s="44"/>
      <c r="J50" s="44"/>
      <c r="K50" s="44"/>
      <c r="L50" s="44"/>
      <c r="M50" s="19"/>
      <c r="N50" s="18"/>
      <c r="O50" s="32"/>
      <c r="R50" s="80"/>
      <c r="U50" s="11"/>
      <c r="V50" s="11"/>
      <c r="W50" s="11"/>
      <c r="X50" s="11"/>
    </row>
    <row r="51" spans="1:24" s="13" customFormat="1" hidden="1" x14ac:dyDescent="0.2">
      <c r="A51" s="19"/>
      <c r="B51" s="17"/>
      <c r="F51" s="19"/>
      <c r="G51" s="44"/>
      <c r="H51" s="44"/>
      <c r="I51" s="44"/>
      <c r="J51" s="44"/>
      <c r="K51" s="44"/>
      <c r="L51" s="44"/>
      <c r="M51" s="19"/>
      <c r="N51" s="18"/>
      <c r="O51" s="32"/>
      <c r="R51" s="80"/>
      <c r="U51" s="11"/>
      <c r="V51" s="11"/>
      <c r="W51" s="11"/>
      <c r="X51" s="11"/>
    </row>
    <row r="52" spans="1:24" s="13" customFormat="1" hidden="1" x14ac:dyDescent="0.2">
      <c r="A52" s="19"/>
      <c r="B52" s="17"/>
      <c r="F52" s="19"/>
      <c r="G52" s="44"/>
      <c r="H52" s="44"/>
      <c r="I52" s="44"/>
      <c r="J52" s="44"/>
      <c r="K52" s="44"/>
      <c r="L52" s="44"/>
      <c r="M52" s="19"/>
      <c r="N52" s="18"/>
      <c r="O52" s="32"/>
      <c r="R52" s="80"/>
      <c r="U52" s="11"/>
      <c r="V52" s="11"/>
      <c r="W52" s="11"/>
      <c r="X52" s="11"/>
    </row>
    <row r="53" spans="1:24" s="13" customFormat="1" hidden="1" x14ac:dyDescent="0.2">
      <c r="A53" s="19"/>
      <c r="B53" s="17"/>
      <c r="F53" s="19"/>
      <c r="G53" s="44"/>
      <c r="H53" s="44"/>
      <c r="I53" s="44"/>
      <c r="J53" s="44"/>
      <c r="K53" s="44"/>
      <c r="L53" s="44"/>
      <c r="M53" s="19"/>
      <c r="N53" s="18"/>
      <c r="O53" s="32"/>
      <c r="R53" s="80"/>
      <c r="U53" s="11"/>
      <c r="V53" s="11"/>
      <c r="W53" s="11"/>
      <c r="X53" s="11"/>
    </row>
    <row r="54" spans="1:24" s="13" customFormat="1" hidden="1" x14ac:dyDescent="0.2">
      <c r="A54" s="19"/>
      <c r="B54" s="17"/>
      <c r="F54" s="19"/>
      <c r="G54" s="44"/>
      <c r="H54" s="44"/>
      <c r="I54" s="44"/>
      <c r="J54" s="44"/>
      <c r="K54" s="44"/>
      <c r="L54" s="44"/>
      <c r="M54" s="19"/>
      <c r="N54" s="18"/>
      <c r="O54" s="32"/>
      <c r="R54" s="80"/>
      <c r="U54" s="11"/>
      <c r="V54" s="11"/>
      <c r="W54" s="11"/>
      <c r="X54" s="11"/>
    </row>
    <row r="55" spans="1:24" s="13" customFormat="1" hidden="1" x14ac:dyDescent="0.2">
      <c r="A55" s="19"/>
      <c r="B55" s="17"/>
      <c r="F55" s="19"/>
      <c r="G55" s="44"/>
      <c r="H55" s="44"/>
      <c r="I55" s="44"/>
      <c r="J55" s="44"/>
      <c r="K55" s="44"/>
      <c r="L55" s="44"/>
      <c r="M55" s="19"/>
      <c r="N55" s="18"/>
      <c r="O55" s="32"/>
      <c r="R55" s="80"/>
      <c r="U55" s="11"/>
      <c r="V55" s="11"/>
      <c r="W55" s="11"/>
      <c r="X55" s="11"/>
    </row>
    <row r="56" spans="1:24" s="13" customFormat="1" hidden="1" x14ac:dyDescent="0.2">
      <c r="A56" s="19"/>
      <c r="B56" s="17"/>
      <c r="F56" s="19"/>
      <c r="G56" s="44"/>
      <c r="H56" s="44"/>
      <c r="I56" s="44"/>
      <c r="J56" s="44"/>
      <c r="K56" s="44"/>
      <c r="L56" s="44"/>
      <c r="M56" s="19"/>
      <c r="N56" s="18"/>
      <c r="O56" s="32"/>
      <c r="R56" s="80"/>
      <c r="U56" s="11"/>
      <c r="V56" s="11"/>
      <c r="W56" s="11"/>
      <c r="X56" s="11"/>
    </row>
    <row r="57" spans="1:24" s="13" customFormat="1" hidden="1" x14ac:dyDescent="0.2">
      <c r="A57" s="19"/>
      <c r="B57" s="17"/>
      <c r="F57" s="19"/>
      <c r="G57" s="44"/>
      <c r="H57" s="44"/>
      <c r="I57" s="44"/>
      <c r="J57" s="44"/>
      <c r="K57" s="44"/>
      <c r="L57" s="44"/>
      <c r="M57" s="19"/>
      <c r="N57" s="18"/>
      <c r="O57" s="32"/>
      <c r="R57" s="80"/>
      <c r="U57" s="11"/>
      <c r="V57" s="11"/>
      <c r="W57" s="11"/>
      <c r="X57" s="11"/>
    </row>
    <row r="58" spans="1:24" s="13" customFormat="1" hidden="1" x14ac:dyDescent="0.2">
      <c r="A58" s="19"/>
      <c r="B58" s="17"/>
      <c r="C58" s="11"/>
      <c r="D58" s="11"/>
      <c r="E58" s="11"/>
      <c r="F58" s="19"/>
      <c r="G58" s="44"/>
      <c r="H58" s="44"/>
      <c r="I58" s="44"/>
      <c r="J58" s="44"/>
      <c r="K58" s="44"/>
      <c r="L58" s="44"/>
      <c r="M58" s="19"/>
      <c r="N58" s="18"/>
      <c r="O58" s="32"/>
      <c r="R58" s="80"/>
      <c r="U58" s="11"/>
      <c r="V58" s="11"/>
      <c r="W58" s="11"/>
      <c r="X58" s="11"/>
    </row>
    <row r="59" spans="1:24" s="13" customFormat="1" hidden="1" x14ac:dyDescent="0.2">
      <c r="A59" s="11"/>
      <c r="B59" s="17"/>
      <c r="C59" s="19"/>
      <c r="D59" s="19"/>
      <c r="E59" s="19"/>
      <c r="F59" s="19"/>
      <c r="G59" s="44"/>
      <c r="H59" s="44"/>
      <c r="I59" s="44"/>
      <c r="J59" s="44"/>
      <c r="K59" s="44"/>
      <c r="L59" s="44"/>
      <c r="M59" s="19"/>
      <c r="N59" s="35"/>
      <c r="O59" s="11"/>
      <c r="R59" s="80"/>
      <c r="U59" s="11"/>
      <c r="V59" s="11"/>
      <c r="W59" s="11"/>
      <c r="X59" s="11"/>
    </row>
    <row r="60" spans="1:24" s="13" customFormat="1" hidden="1" x14ac:dyDescent="0.2">
      <c r="A60" s="11"/>
      <c r="B60" s="17"/>
      <c r="C60" s="19"/>
      <c r="D60" s="19"/>
      <c r="E60" s="19"/>
      <c r="F60" s="19"/>
      <c r="G60" s="44"/>
      <c r="H60" s="44"/>
      <c r="I60" s="44"/>
      <c r="J60" s="44"/>
      <c r="K60" s="44"/>
      <c r="L60" s="44"/>
      <c r="M60" s="19"/>
      <c r="N60" s="35"/>
      <c r="O60" s="11"/>
      <c r="R60" s="80"/>
      <c r="U60" s="11"/>
      <c r="V60" s="11"/>
      <c r="W60" s="11"/>
      <c r="X60" s="11"/>
    </row>
    <row r="61" spans="1:24" s="13" customFormat="1" hidden="1" x14ac:dyDescent="0.2">
      <c r="A61" s="11"/>
      <c r="B61" s="17"/>
      <c r="C61" s="19"/>
      <c r="D61" s="19"/>
      <c r="E61" s="19"/>
      <c r="F61" s="19"/>
      <c r="G61" s="44"/>
      <c r="H61" s="44"/>
      <c r="I61" s="44"/>
      <c r="J61" s="44"/>
      <c r="K61" s="44"/>
      <c r="L61" s="44"/>
      <c r="M61" s="19"/>
      <c r="N61" s="35"/>
      <c r="O61" s="11"/>
      <c r="R61" s="80"/>
      <c r="U61" s="11"/>
      <c r="V61" s="11"/>
      <c r="W61" s="11"/>
      <c r="X61" s="11"/>
    </row>
    <row r="62" spans="1:24" s="13" customFormat="1" hidden="1" x14ac:dyDescent="0.2">
      <c r="A62" s="11"/>
      <c r="B62" s="17"/>
      <c r="C62" s="19"/>
      <c r="D62" s="19"/>
      <c r="E62" s="19"/>
      <c r="F62" s="19"/>
      <c r="G62" s="44"/>
      <c r="H62" s="44"/>
      <c r="I62" s="44"/>
      <c r="J62" s="44"/>
      <c r="K62" s="44"/>
      <c r="L62" s="44"/>
      <c r="M62" s="19"/>
      <c r="N62" s="35"/>
      <c r="O62" s="11"/>
      <c r="R62" s="80"/>
      <c r="U62" s="11"/>
      <c r="V62" s="11"/>
      <c r="W62" s="11"/>
      <c r="X62" s="11"/>
    </row>
    <row r="63" spans="1:24" s="13" customFormat="1" hidden="1" x14ac:dyDescent="0.2">
      <c r="A63" s="11"/>
      <c r="B63" s="17"/>
      <c r="C63" s="19"/>
      <c r="D63" s="19"/>
      <c r="E63" s="19"/>
      <c r="F63" s="19"/>
      <c r="G63" s="44"/>
      <c r="H63" s="44"/>
      <c r="I63" s="44"/>
      <c r="J63" s="44"/>
      <c r="K63" s="44"/>
      <c r="L63" s="44"/>
      <c r="M63" s="19"/>
      <c r="N63" s="35"/>
      <c r="O63" s="11"/>
      <c r="R63" s="80"/>
      <c r="U63" s="11"/>
      <c r="V63" s="11"/>
      <c r="W63" s="11"/>
      <c r="X63" s="11"/>
    </row>
    <row r="64" spans="1:24" s="13" customFormat="1" hidden="1" x14ac:dyDescent="0.2">
      <c r="A64" s="11"/>
      <c r="B64" s="17"/>
      <c r="C64" s="19"/>
      <c r="D64" s="19"/>
      <c r="E64" s="19"/>
      <c r="F64" s="19"/>
      <c r="G64" s="44"/>
      <c r="H64" s="44"/>
      <c r="I64" s="44"/>
      <c r="J64" s="44"/>
      <c r="K64" s="44"/>
      <c r="L64" s="44"/>
      <c r="M64" s="19"/>
      <c r="N64" s="35"/>
      <c r="O64" s="11"/>
      <c r="R64" s="80"/>
      <c r="U64" s="11"/>
      <c r="V64" s="11"/>
      <c r="W64" s="11"/>
      <c r="X64" s="11"/>
    </row>
    <row r="65" spans="1:24" s="13" customFormat="1" hidden="1" x14ac:dyDescent="0.2">
      <c r="A65" s="11"/>
      <c r="B65" s="17"/>
      <c r="C65" s="19"/>
      <c r="D65" s="19"/>
      <c r="E65" s="19"/>
      <c r="F65" s="19"/>
      <c r="G65" s="44"/>
      <c r="H65" s="44"/>
      <c r="I65" s="44"/>
      <c r="J65" s="44"/>
      <c r="K65" s="44"/>
      <c r="L65" s="44"/>
      <c r="M65" s="19"/>
      <c r="N65" s="35"/>
      <c r="O65" s="11"/>
      <c r="R65" s="80"/>
      <c r="U65" s="11"/>
      <c r="V65" s="11"/>
      <c r="W65" s="11"/>
      <c r="X65" s="11"/>
    </row>
    <row r="66" spans="1:24" s="13" customFormat="1" hidden="1" x14ac:dyDescent="0.2">
      <c r="A66" s="11"/>
      <c r="B66" s="17"/>
      <c r="C66" s="19"/>
      <c r="D66" s="19"/>
      <c r="E66" s="19"/>
      <c r="F66" s="19"/>
      <c r="G66" s="44"/>
      <c r="H66" s="44"/>
      <c r="I66" s="44"/>
      <c r="J66" s="44"/>
      <c r="K66" s="44"/>
      <c r="L66" s="44"/>
      <c r="M66" s="19"/>
      <c r="N66" s="35"/>
      <c r="O66" s="11"/>
      <c r="R66" s="80"/>
      <c r="U66" s="11"/>
      <c r="V66" s="11"/>
      <c r="W66" s="11"/>
      <c r="X66" s="11"/>
    </row>
    <row r="67" spans="1:24" s="13" customFormat="1" hidden="1" x14ac:dyDescent="0.2">
      <c r="A67" s="11"/>
      <c r="B67" s="17"/>
      <c r="C67" s="19"/>
      <c r="D67" s="19"/>
      <c r="E67" s="19"/>
      <c r="F67" s="19"/>
      <c r="G67" s="44"/>
      <c r="H67" s="44"/>
      <c r="I67" s="44"/>
      <c r="J67" s="44"/>
      <c r="K67" s="44"/>
      <c r="L67" s="44"/>
      <c r="M67" s="19"/>
      <c r="N67" s="35"/>
      <c r="O67" s="11"/>
      <c r="R67" s="80"/>
      <c r="U67" s="11"/>
      <c r="V67" s="11"/>
      <c r="W67" s="11"/>
      <c r="X67" s="11"/>
    </row>
    <row r="68" spans="1:24" s="13" customFormat="1" ht="15.75" thickBot="1" x14ac:dyDescent="0.25">
      <c r="A68" s="11"/>
      <c r="B68" s="29"/>
      <c r="C68" s="30"/>
      <c r="D68" s="30"/>
      <c r="E68" s="30"/>
      <c r="F68" s="30"/>
      <c r="G68" s="192"/>
      <c r="H68" s="192"/>
      <c r="I68" s="192"/>
      <c r="J68" s="192"/>
      <c r="K68" s="192"/>
      <c r="L68" s="192"/>
      <c r="M68" s="30"/>
      <c r="N68" s="41"/>
      <c r="O68" s="11"/>
      <c r="R68" s="80"/>
      <c r="U68" s="11"/>
      <c r="V68" s="11"/>
      <c r="W68" s="11"/>
      <c r="X68" s="11"/>
    </row>
    <row r="69" spans="1:24" s="13" customFormat="1" ht="15.75" thickBot="1" x14ac:dyDescent="0.25">
      <c r="A69" s="11"/>
      <c r="B69" s="11"/>
      <c r="C69" s="11"/>
      <c r="D69" s="11"/>
      <c r="E69" s="11"/>
      <c r="F69" s="11"/>
      <c r="G69" s="33"/>
      <c r="H69" s="33"/>
      <c r="I69" s="33"/>
      <c r="J69" s="33"/>
      <c r="K69" s="33"/>
      <c r="L69" s="33"/>
      <c r="M69" s="11"/>
      <c r="N69" s="11"/>
      <c r="O69" s="11"/>
      <c r="R69" s="80"/>
      <c r="U69" s="11"/>
      <c r="V69" s="11"/>
      <c r="W69" s="11"/>
      <c r="X69" s="11"/>
    </row>
    <row r="70" spans="1:24" s="13" customFormat="1" x14ac:dyDescent="0.2">
      <c r="A70" s="11"/>
      <c r="B70" s="294" t="s">
        <v>147</v>
      </c>
      <c r="C70" s="295"/>
      <c r="D70" s="295"/>
      <c r="E70" s="295"/>
      <c r="F70" s="295"/>
      <c r="G70" s="295"/>
      <c r="H70" s="295"/>
      <c r="I70" s="295"/>
      <c r="J70" s="295"/>
      <c r="K70" s="295"/>
      <c r="L70" s="295"/>
      <c r="M70" s="295"/>
      <c r="N70" s="295"/>
      <c r="O70" s="296"/>
      <c r="R70" s="80"/>
      <c r="U70" s="11"/>
      <c r="V70" s="11"/>
      <c r="W70" s="11"/>
      <c r="X70" s="11"/>
    </row>
    <row r="71" spans="1:24" s="13" customFormat="1" x14ac:dyDescent="0.2">
      <c r="A71" s="11"/>
      <c r="B71" s="297"/>
      <c r="C71" s="298"/>
      <c r="D71" s="298"/>
      <c r="E71" s="298"/>
      <c r="F71" s="298"/>
      <c r="G71" s="298"/>
      <c r="H71" s="298"/>
      <c r="I71" s="298"/>
      <c r="J71" s="298"/>
      <c r="K71" s="298"/>
      <c r="L71" s="298"/>
      <c r="M71" s="298"/>
      <c r="N71" s="298"/>
      <c r="O71" s="299"/>
      <c r="R71" s="80"/>
      <c r="U71" s="11"/>
      <c r="V71" s="11"/>
      <c r="W71" s="11"/>
      <c r="X71" s="11"/>
    </row>
    <row r="72" spans="1:24" s="13" customFormat="1" x14ac:dyDescent="0.2">
      <c r="A72" s="11"/>
      <c r="B72" s="297"/>
      <c r="C72" s="298"/>
      <c r="D72" s="298"/>
      <c r="E72" s="298"/>
      <c r="F72" s="298"/>
      <c r="G72" s="298"/>
      <c r="H72" s="298"/>
      <c r="I72" s="298"/>
      <c r="J72" s="298"/>
      <c r="K72" s="298"/>
      <c r="L72" s="298"/>
      <c r="M72" s="298"/>
      <c r="N72" s="298"/>
      <c r="O72" s="299"/>
      <c r="R72" s="80"/>
      <c r="U72" s="11"/>
      <c r="V72" s="11"/>
      <c r="W72" s="11"/>
      <c r="X72" s="11"/>
    </row>
    <row r="73" spans="1:24" s="13" customFormat="1" x14ac:dyDescent="0.2">
      <c r="A73" s="11"/>
      <c r="B73" s="297"/>
      <c r="C73" s="298"/>
      <c r="D73" s="298"/>
      <c r="E73" s="298"/>
      <c r="F73" s="298"/>
      <c r="G73" s="298"/>
      <c r="H73" s="298"/>
      <c r="I73" s="298"/>
      <c r="J73" s="298"/>
      <c r="K73" s="298"/>
      <c r="L73" s="298"/>
      <c r="M73" s="298"/>
      <c r="N73" s="298"/>
      <c r="O73" s="299"/>
      <c r="R73" s="80"/>
      <c r="U73" s="11"/>
      <c r="V73" s="11"/>
      <c r="W73" s="11"/>
      <c r="X73" s="11"/>
    </row>
    <row r="74" spans="1:24" s="13" customFormat="1" x14ac:dyDescent="0.2">
      <c r="A74" s="11"/>
      <c r="B74" s="297"/>
      <c r="C74" s="298"/>
      <c r="D74" s="298"/>
      <c r="E74" s="298"/>
      <c r="F74" s="298"/>
      <c r="G74" s="298"/>
      <c r="H74" s="298"/>
      <c r="I74" s="298"/>
      <c r="J74" s="298"/>
      <c r="K74" s="298"/>
      <c r="L74" s="298"/>
      <c r="M74" s="298"/>
      <c r="N74" s="298"/>
      <c r="O74" s="299"/>
      <c r="R74" s="80"/>
      <c r="U74" s="11"/>
      <c r="V74" s="11"/>
      <c r="W74" s="11"/>
      <c r="X74" s="11"/>
    </row>
    <row r="75" spans="1:24" s="13" customFormat="1" x14ac:dyDescent="0.2">
      <c r="A75" s="11"/>
      <c r="B75" s="297"/>
      <c r="C75" s="298"/>
      <c r="D75" s="298"/>
      <c r="E75" s="298"/>
      <c r="F75" s="298"/>
      <c r="G75" s="298"/>
      <c r="H75" s="298"/>
      <c r="I75" s="298"/>
      <c r="J75" s="298"/>
      <c r="K75" s="298"/>
      <c r="L75" s="298"/>
      <c r="M75" s="298"/>
      <c r="N75" s="298"/>
      <c r="O75" s="299"/>
      <c r="R75" s="80"/>
      <c r="U75" s="11"/>
      <c r="V75" s="11"/>
      <c r="W75" s="11"/>
      <c r="X75" s="11"/>
    </row>
    <row r="76" spans="1:24" s="13" customFormat="1" ht="15.75" thickBot="1" x14ac:dyDescent="0.25">
      <c r="A76" s="11"/>
      <c r="B76" s="300"/>
      <c r="C76" s="301"/>
      <c r="D76" s="301"/>
      <c r="E76" s="301"/>
      <c r="F76" s="301"/>
      <c r="G76" s="301"/>
      <c r="H76" s="301"/>
      <c r="I76" s="301"/>
      <c r="J76" s="301"/>
      <c r="K76" s="301"/>
      <c r="L76" s="301"/>
      <c r="M76" s="301"/>
      <c r="N76" s="301"/>
      <c r="O76" s="302"/>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33"/>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33"/>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33"/>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33"/>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33"/>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33"/>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33"/>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33"/>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33"/>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33"/>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33"/>
      <c r="M676" s="11"/>
      <c r="N676" s="11"/>
      <c r="O676" s="11"/>
      <c r="R676" s="80"/>
      <c r="U676" s="11"/>
      <c r="V676" s="11"/>
      <c r="W676" s="11"/>
      <c r="X676" s="11"/>
    </row>
    <row r="677" spans="1:24" s="13" customFormat="1" x14ac:dyDescent="0.2">
      <c r="A677" s="11"/>
      <c r="B677" s="11"/>
      <c r="C677" s="11"/>
      <c r="D677" s="11"/>
      <c r="E677" s="11"/>
      <c r="F677" s="11"/>
      <c r="G677" s="33"/>
      <c r="H677" s="33"/>
      <c r="I677" s="33"/>
      <c r="J677" s="33"/>
      <c r="K677" s="33"/>
      <c r="L677" s="33"/>
      <c r="M677" s="11"/>
      <c r="N677" s="11"/>
      <c r="O677" s="11"/>
      <c r="R677" s="80"/>
      <c r="U677" s="11"/>
      <c r="V677" s="11"/>
      <c r="W677" s="11"/>
      <c r="X677" s="11"/>
    </row>
    <row r="678" spans="1:24" s="13" customFormat="1" x14ac:dyDescent="0.2">
      <c r="A678" s="11"/>
      <c r="B678" s="11"/>
      <c r="C678" s="11"/>
      <c r="D678" s="11"/>
      <c r="E678" s="11"/>
      <c r="F678" s="11"/>
      <c r="G678" s="33"/>
      <c r="H678" s="33"/>
      <c r="I678" s="33"/>
      <c r="J678" s="33"/>
      <c r="K678" s="33"/>
      <c r="L678" s="33"/>
      <c r="M678" s="11"/>
      <c r="N678" s="11"/>
      <c r="O678" s="11"/>
      <c r="R678" s="80"/>
      <c r="U678" s="11"/>
      <c r="V678" s="11"/>
      <c r="W678" s="11"/>
      <c r="X678" s="11"/>
    </row>
    <row r="679" spans="1:24" s="13" customFormat="1" x14ac:dyDescent="0.2">
      <c r="A679" s="11"/>
      <c r="B679" s="11"/>
      <c r="C679" s="11"/>
      <c r="D679" s="11"/>
      <c r="E679" s="11"/>
      <c r="F679" s="11"/>
      <c r="G679" s="33"/>
      <c r="H679" s="33"/>
      <c r="I679" s="33"/>
      <c r="J679" s="33"/>
      <c r="K679" s="33"/>
      <c r="L679" s="33"/>
      <c r="M679" s="11"/>
      <c r="N679" s="11"/>
      <c r="O679" s="11"/>
      <c r="R679" s="80"/>
      <c r="U679" s="11"/>
      <c r="V679" s="11"/>
      <c r="W679" s="11"/>
      <c r="X679" s="11"/>
    </row>
    <row r="680" spans="1:24" s="13" customFormat="1" x14ac:dyDescent="0.2">
      <c r="A680" s="11"/>
      <c r="B680" s="11"/>
      <c r="C680" s="11"/>
      <c r="D680" s="11"/>
      <c r="E680" s="11"/>
      <c r="F680" s="11"/>
      <c r="G680" s="33"/>
      <c r="H680" s="33"/>
      <c r="I680" s="33"/>
      <c r="J680" s="33"/>
      <c r="K680" s="33"/>
      <c r="L680" s="33"/>
      <c r="M680" s="11"/>
      <c r="N680" s="11"/>
      <c r="O680" s="11"/>
      <c r="R680" s="80"/>
      <c r="U680" s="11"/>
      <c r="V680" s="11"/>
      <c r="W680" s="11"/>
      <c r="X680" s="11"/>
    </row>
    <row r="681" spans="1:24" s="13" customFormat="1" x14ac:dyDescent="0.2">
      <c r="A681" s="11"/>
      <c r="B681" s="11"/>
      <c r="C681" s="11"/>
      <c r="D681" s="11"/>
      <c r="E681" s="11"/>
      <c r="F681" s="11"/>
      <c r="G681" s="33"/>
      <c r="H681" s="33"/>
      <c r="I681" s="33"/>
      <c r="J681" s="33"/>
      <c r="K681" s="33"/>
      <c r="L681" s="33"/>
      <c r="M681" s="11"/>
      <c r="N681" s="11"/>
      <c r="O681" s="11"/>
      <c r="R681" s="80"/>
      <c r="U681" s="11"/>
      <c r="V681" s="11"/>
      <c r="W681" s="11"/>
      <c r="X681" s="11"/>
    </row>
    <row r="682" spans="1:24" s="13" customFormat="1" x14ac:dyDescent="0.2">
      <c r="A682" s="11"/>
      <c r="B682" s="11"/>
      <c r="C682" s="11"/>
      <c r="D682" s="11"/>
      <c r="E682" s="11"/>
      <c r="F682" s="11"/>
      <c r="G682" s="33"/>
      <c r="H682" s="33"/>
      <c r="I682" s="33"/>
      <c r="J682" s="33"/>
      <c r="K682" s="33"/>
      <c r="L682" s="33"/>
      <c r="M682" s="11"/>
      <c r="N682" s="11"/>
      <c r="O682" s="11"/>
      <c r="R682" s="80"/>
      <c r="U682" s="11"/>
      <c r="V682" s="11"/>
      <c r="W682" s="11"/>
      <c r="X682" s="11"/>
    </row>
    <row r="683" spans="1:24" s="13" customFormat="1" x14ac:dyDescent="0.2">
      <c r="A683" s="11"/>
      <c r="B683" s="11"/>
      <c r="C683" s="11"/>
      <c r="D683" s="11"/>
      <c r="E683" s="11"/>
      <c r="F683" s="11"/>
      <c r="G683" s="33"/>
      <c r="H683" s="33"/>
      <c r="I683" s="33"/>
      <c r="J683" s="33"/>
      <c r="K683" s="33"/>
      <c r="L683" s="33"/>
      <c r="M683" s="11"/>
      <c r="N683" s="11"/>
      <c r="O683" s="11"/>
      <c r="R683" s="80"/>
      <c r="U683" s="11"/>
      <c r="V683" s="11"/>
      <c r="W683" s="11"/>
      <c r="X683" s="11"/>
    </row>
    <row r="684" spans="1:24" s="13" customFormat="1" x14ac:dyDescent="0.2">
      <c r="A684" s="11"/>
      <c r="B684" s="11"/>
      <c r="C684" s="11"/>
      <c r="D684" s="11"/>
      <c r="E684" s="11"/>
      <c r="F684" s="11"/>
      <c r="G684" s="33"/>
      <c r="H684" s="33"/>
      <c r="I684" s="33"/>
      <c r="J684" s="33"/>
      <c r="K684" s="33"/>
      <c r="L684" s="33"/>
      <c r="M684" s="11"/>
      <c r="N684" s="11"/>
      <c r="O684" s="11"/>
      <c r="R684" s="80"/>
      <c r="U684" s="11"/>
      <c r="V684" s="11"/>
      <c r="W684" s="11"/>
      <c r="X684" s="11"/>
    </row>
    <row r="685" spans="1:24" s="13" customFormat="1" x14ac:dyDescent="0.2">
      <c r="A685" s="11"/>
      <c r="B685" s="11"/>
      <c r="C685" s="11"/>
      <c r="D685" s="11"/>
      <c r="E685" s="11"/>
      <c r="F685" s="11"/>
      <c r="G685" s="33"/>
      <c r="H685" s="33"/>
      <c r="I685" s="33"/>
      <c r="J685" s="33"/>
      <c r="K685" s="33"/>
      <c r="L685" s="33"/>
      <c r="M685" s="11"/>
      <c r="N685" s="11"/>
      <c r="O685" s="11"/>
      <c r="R685" s="80"/>
      <c r="U685" s="11"/>
      <c r="V685" s="11"/>
      <c r="W685" s="11"/>
      <c r="X685" s="11"/>
    </row>
    <row r="686" spans="1:24" s="13" customFormat="1" x14ac:dyDescent="0.2">
      <c r="A686" s="11"/>
      <c r="B686" s="11"/>
      <c r="C686" s="11"/>
      <c r="D686" s="11"/>
      <c r="E686" s="11"/>
      <c r="F686" s="11"/>
      <c r="G686" s="33"/>
      <c r="H686" s="33"/>
      <c r="I686" s="33"/>
      <c r="J686" s="33"/>
      <c r="K686" s="33"/>
      <c r="L686" s="33"/>
      <c r="M686" s="11"/>
      <c r="N686" s="11"/>
      <c r="O686" s="11"/>
      <c r="R686" s="80"/>
      <c r="U686" s="11"/>
      <c r="V686" s="11"/>
      <c r="W686" s="11"/>
      <c r="X686" s="11"/>
    </row>
    <row r="687" spans="1:24" s="13" customFormat="1" x14ac:dyDescent="0.2">
      <c r="A687" s="11"/>
      <c r="B687" s="11"/>
      <c r="C687" s="11"/>
      <c r="D687" s="11"/>
      <c r="E687" s="11"/>
      <c r="F687" s="11"/>
      <c r="G687" s="33"/>
      <c r="H687" s="33"/>
      <c r="I687" s="33"/>
      <c r="J687" s="33"/>
      <c r="K687" s="33"/>
      <c r="L687" s="33"/>
      <c r="M687" s="11"/>
      <c r="N687" s="11"/>
      <c r="O687" s="11"/>
      <c r="R687" s="80"/>
      <c r="U687" s="11"/>
      <c r="V687" s="11"/>
      <c r="W687" s="11"/>
      <c r="X687" s="11"/>
    </row>
  </sheetData>
  <sortState ref="C34:E39">
    <sortCondition descending="1" ref="E34"/>
  </sortState>
  <mergeCells count="6">
    <mergeCell ref="B70:O76"/>
    <mergeCell ref="G23:N23"/>
    <mergeCell ref="C3:N3"/>
    <mergeCell ref="D5:E5"/>
    <mergeCell ref="G7:N7"/>
    <mergeCell ref="G20:K20"/>
  </mergeCells>
  <pageMargins left="0.7" right="0.7" top="0.75" bottom="0.75" header="0.3" footer="0.3"/>
  <pageSetup paperSize="9" scale="56"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view="pageBreakPreview"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288" t="s">
        <v>70</v>
      </c>
      <c r="D3" s="288"/>
      <c r="E3" s="288"/>
      <c r="F3" s="288"/>
      <c r="G3" s="288"/>
      <c r="H3" s="288"/>
      <c r="I3" s="288"/>
      <c r="J3" s="288"/>
      <c r="K3" s="288"/>
      <c r="L3" s="288"/>
      <c r="M3" s="289"/>
    </row>
    <row r="4" spans="2:21" ht="15.75" x14ac:dyDescent="0.25">
      <c r="B4" s="17"/>
      <c r="C4" s="280" t="s">
        <v>237</v>
      </c>
      <c r="D4" s="1"/>
      <c r="E4" s="1"/>
      <c r="F4" s="19"/>
      <c r="G4" s="19"/>
      <c r="H4" s="19"/>
      <c r="I4" s="19"/>
      <c r="J4" s="19"/>
      <c r="K4" s="19"/>
      <c r="L4" s="19"/>
      <c r="M4" s="35"/>
    </row>
    <row r="5" spans="2:21" ht="20.25" customHeight="1" x14ac:dyDescent="0.25">
      <c r="B5" s="17"/>
      <c r="C5" s="2" t="s">
        <v>236</v>
      </c>
      <c r="D5" s="110" t="s">
        <v>250</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60</v>
      </c>
      <c r="D7" s="21" t="s">
        <v>62</v>
      </c>
      <c r="E7" s="19"/>
      <c r="F7" s="290" t="s">
        <v>69</v>
      </c>
      <c r="G7" s="290"/>
      <c r="H7" s="290"/>
      <c r="I7" s="290"/>
      <c r="J7" s="290"/>
      <c r="K7" s="290"/>
      <c r="L7" s="290"/>
      <c r="M7" s="291"/>
    </row>
    <row r="8" spans="2:21" ht="15.75" x14ac:dyDescent="0.25">
      <c r="B8" s="17"/>
      <c r="C8" s="23" t="s">
        <v>178</v>
      </c>
      <c r="D8" s="82">
        <v>1.8925000000000001E-2</v>
      </c>
      <c r="E8" s="51"/>
      <c r="F8" s="44"/>
      <c r="G8" s="42"/>
      <c r="H8" s="26"/>
      <c r="I8" s="19"/>
      <c r="J8" s="170"/>
      <c r="K8" s="26"/>
      <c r="L8" s="44"/>
      <c r="M8" s="35"/>
      <c r="P8" s="80"/>
      <c r="T8" s="13" t="s">
        <v>3</v>
      </c>
      <c r="U8" s="13">
        <v>0.25058799999999998</v>
      </c>
    </row>
    <row r="9" spans="2:21" x14ac:dyDescent="0.2">
      <c r="B9" s="17"/>
      <c r="C9" s="181" t="s">
        <v>179</v>
      </c>
      <c r="D9" s="50">
        <v>0.166656</v>
      </c>
      <c r="E9" s="19"/>
      <c r="F9" s="44"/>
      <c r="G9" s="26"/>
      <c r="H9" s="26"/>
      <c r="I9" s="19" t="s">
        <v>71</v>
      </c>
      <c r="J9" s="170">
        <f>D11</f>
        <v>0.33110400000000001</v>
      </c>
      <c r="K9" s="26"/>
      <c r="L9" s="44"/>
      <c r="M9" s="35"/>
      <c r="P9" s="80"/>
      <c r="T9" s="13" t="s">
        <v>8</v>
      </c>
      <c r="U9" s="13">
        <v>0.13553799999999999</v>
      </c>
    </row>
    <row r="10" spans="2:21" x14ac:dyDescent="0.2">
      <c r="B10" s="17"/>
      <c r="C10" s="36" t="s">
        <v>180</v>
      </c>
      <c r="D10" s="50">
        <v>0.14552300000000001</v>
      </c>
      <c r="E10" s="19"/>
      <c r="F10" s="44"/>
      <c r="G10" s="26"/>
      <c r="H10" s="26"/>
      <c r="I10" s="19" t="s">
        <v>73</v>
      </c>
      <c r="J10" s="170">
        <f>D16</f>
        <v>0.65911200000000003</v>
      </c>
      <c r="K10" s="26"/>
      <c r="L10" s="44"/>
      <c r="M10" s="35"/>
      <c r="P10" s="80"/>
      <c r="T10" s="13" t="s">
        <v>16</v>
      </c>
      <c r="U10" s="13">
        <v>6.5020000000000008E-2</v>
      </c>
    </row>
    <row r="11" spans="2:21" ht="15.75" x14ac:dyDescent="0.25">
      <c r="B11" s="17"/>
      <c r="C11" s="52" t="s">
        <v>72</v>
      </c>
      <c r="D11" s="53">
        <f>SUM(D8:D10)</f>
        <v>0.33110400000000001</v>
      </c>
      <c r="E11" s="19"/>
      <c r="F11" s="44"/>
      <c r="G11" s="26"/>
      <c r="H11" s="26"/>
      <c r="I11" s="19" t="s">
        <v>25</v>
      </c>
      <c r="J11" s="170">
        <f>D18</f>
        <v>9.784000000000001E-3</v>
      </c>
      <c r="K11" s="26"/>
      <c r="L11" s="44"/>
      <c r="M11" s="35"/>
      <c r="P11" s="80"/>
      <c r="T11" s="13" t="s">
        <v>11</v>
      </c>
      <c r="U11" s="13">
        <v>6.1296999999999997E-2</v>
      </c>
    </row>
    <row r="12" spans="2:21" x14ac:dyDescent="0.2">
      <c r="B12" s="17"/>
      <c r="C12" s="181"/>
      <c r="D12" s="23"/>
      <c r="E12" s="19"/>
      <c r="F12" s="44"/>
      <c r="G12" s="26"/>
      <c r="H12" s="26"/>
      <c r="K12" s="26"/>
      <c r="L12" s="44"/>
      <c r="M12" s="35"/>
      <c r="P12" s="80"/>
      <c r="T12" s="13" t="s">
        <v>10</v>
      </c>
      <c r="U12" s="13">
        <v>5.7718999999999993E-2</v>
      </c>
    </row>
    <row r="13" spans="2:21" ht="15.75" customHeight="1" x14ac:dyDescent="0.2">
      <c r="B13" s="17"/>
      <c r="C13" s="36" t="s">
        <v>182</v>
      </c>
      <c r="D13" s="50">
        <v>0.43980000000000002</v>
      </c>
      <c r="E13" s="19"/>
      <c r="F13" s="44"/>
      <c r="G13" s="26"/>
      <c r="H13" s="26"/>
      <c r="I13" s="19"/>
      <c r="J13" s="170"/>
      <c r="K13" s="26"/>
      <c r="L13" s="44"/>
      <c r="M13" s="35"/>
      <c r="P13" s="80"/>
      <c r="T13" s="13" t="s">
        <v>4</v>
      </c>
      <c r="U13" s="13">
        <v>5.0237999999999991E-2</v>
      </c>
    </row>
    <row r="14" spans="2:21" ht="15.75" customHeight="1" x14ac:dyDescent="0.2">
      <c r="B14" s="17"/>
      <c r="C14" s="36" t="s">
        <v>183</v>
      </c>
      <c r="D14" s="50">
        <v>0.12421500000000001</v>
      </c>
      <c r="E14" s="19"/>
      <c r="F14" s="44"/>
      <c r="G14" s="26"/>
      <c r="H14" s="26"/>
      <c r="I14" s="19"/>
      <c r="J14" s="170"/>
      <c r="K14" s="26"/>
      <c r="L14" s="44"/>
      <c r="M14" s="35"/>
      <c r="P14" s="80"/>
      <c r="T14" s="13" t="s">
        <v>21</v>
      </c>
      <c r="U14" s="13">
        <v>4.0393999999999999E-2</v>
      </c>
    </row>
    <row r="15" spans="2:21" x14ac:dyDescent="0.2">
      <c r="B15" s="17"/>
      <c r="C15" s="36" t="s">
        <v>181</v>
      </c>
      <c r="D15" s="50">
        <v>9.5097000000000001E-2</v>
      </c>
      <c r="E15" s="19"/>
      <c r="F15" s="44"/>
      <c r="G15" s="26"/>
      <c r="H15" s="26"/>
      <c r="I15" s="19"/>
      <c r="J15" s="171"/>
      <c r="K15" s="26"/>
      <c r="L15" s="44"/>
      <c r="M15" s="35"/>
      <c r="P15" s="80"/>
      <c r="T15" s="13" t="s">
        <v>29</v>
      </c>
      <c r="U15" s="13">
        <v>3.9577000000000001E-2</v>
      </c>
    </row>
    <row r="16" spans="2:21" ht="15.75" x14ac:dyDescent="0.25">
      <c r="B16" s="17"/>
      <c r="C16" s="52" t="s">
        <v>24</v>
      </c>
      <c r="D16" s="53">
        <f>SUM(D13:D15)</f>
        <v>0.65911200000000003</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25</v>
      </c>
      <c r="D18" s="53">
        <v>9.784000000000001E-3</v>
      </c>
      <c r="E18" s="19"/>
      <c r="F18" s="44"/>
      <c r="G18" s="44"/>
      <c r="H18" s="44"/>
      <c r="I18" s="44"/>
      <c r="J18" s="44"/>
      <c r="K18" s="44"/>
      <c r="L18" s="45"/>
      <c r="M18" s="35"/>
      <c r="P18" s="80"/>
      <c r="T18" s="13" t="s">
        <v>35</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74</v>
      </c>
      <c r="D20" s="55">
        <f>SUM(D18,D16,D11)</f>
        <v>1</v>
      </c>
      <c r="E20" s="19"/>
      <c r="F20" s="19"/>
      <c r="G20" s="19"/>
      <c r="H20" s="19"/>
      <c r="I20" s="19"/>
      <c r="J20" s="19"/>
      <c r="K20" s="19"/>
      <c r="L20" s="19"/>
      <c r="M20" s="35"/>
      <c r="P20" s="80"/>
      <c r="T20" s="13" t="s">
        <v>30</v>
      </c>
      <c r="U20" s="13">
        <v>2.3753E-2</v>
      </c>
    </row>
    <row r="21" spans="2:21" x14ac:dyDescent="0.2">
      <c r="B21" s="17"/>
      <c r="E21" s="19"/>
      <c r="F21" s="19"/>
      <c r="G21" s="19"/>
      <c r="H21" s="19"/>
      <c r="I21" s="19"/>
      <c r="J21" s="19"/>
      <c r="K21" s="19"/>
      <c r="L21" s="19"/>
      <c r="M21" s="35"/>
      <c r="P21" s="80"/>
      <c r="T21" s="13" t="s">
        <v>22</v>
      </c>
      <c r="U21" s="13">
        <v>1.8620999999999999E-2</v>
      </c>
    </row>
    <row r="22" spans="2:21" x14ac:dyDescent="0.2">
      <c r="B22" s="17"/>
      <c r="E22" s="19"/>
      <c r="F22" s="19"/>
      <c r="G22" s="19"/>
      <c r="H22" s="19"/>
      <c r="I22" s="19"/>
      <c r="J22" s="19"/>
      <c r="K22" s="19"/>
      <c r="L22" s="19"/>
      <c r="M22" s="35"/>
      <c r="P22" s="80"/>
      <c r="T22" s="13" t="s">
        <v>36</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13"/>
      <c r="G25" s="313"/>
      <c r="H25" s="313"/>
      <c r="I25" s="313"/>
      <c r="J25" s="313"/>
      <c r="K25" s="114"/>
      <c r="L25" s="114"/>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23</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2"/>
      <c r="D30" s="292"/>
      <c r="E30" s="292"/>
      <c r="F30" s="292"/>
      <c r="G30" s="292"/>
      <c r="H30" s="292"/>
      <c r="I30" s="292"/>
      <c r="J30" s="292"/>
      <c r="K30" s="292"/>
      <c r="L30" s="292"/>
      <c r="M30" s="293"/>
      <c r="P30" s="80"/>
    </row>
    <row r="31" spans="2:21" ht="15.75" thickBot="1" x14ac:dyDescent="0.25">
      <c r="P31" s="80"/>
    </row>
    <row r="32" spans="2:21" x14ac:dyDescent="0.2">
      <c r="B32" s="294" t="s">
        <v>147</v>
      </c>
      <c r="C32" s="295"/>
      <c r="D32" s="295"/>
      <c r="E32" s="295"/>
      <c r="F32" s="295"/>
      <c r="G32" s="295"/>
      <c r="H32" s="295"/>
      <c r="I32" s="295"/>
      <c r="J32" s="295"/>
      <c r="K32" s="295"/>
      <c r="L32" s="295"/>
      <c r="M32" s="295"/>
      <c r="N32" s="296"/>
      <c r="P32" s="80"/>
    </row>
    <row r="33" spans="2:16" x14ac:dyDescent="0.2">
      <c r="B33" s="297"/>
      <c r="C33" s="298"/>
      <c r="D33" s="298"/>
      <c r="E33" s="298"/>
      <c r="F33" s="298"/>
      <c r="G33" s="298"/>
      <c r="H33" s="298"/>
      <c r="I33" s="298"/>
      <c r="J33" s="298"/>
      <c r="K33" s="298"/>
      <c r="L33" s="298"/>
      <c r="M33" s="298"/>
      <c r="N33" s="299"/>
      <c r="P33" s="80"/>
    </row>
    <row r="34" spans="2:16" x14ac:dyDescent="0.2">
      <c r="B34" s="297"/>
      <c r="C34" s="298"/>
      <c r="D34" s="298"/>
      <c r="E34" s="298"/>
      <c r="F34" s="298"/>
      <c r="G34" s="298"/>
      <c r="H34" s="298"/>
      <c r="I34" s="298"/>
      <c r="J34" s="298"/>
      <c r="K34" s="298"/>
      <c r="L34" s="298"/>
      <c r="M34" s="298"/>
      <c r="N34" s="299"/>
      <c r="P34" s="80"/>
    </row>
    <row r="35" spans="2:16" x14ac:dyDescent="0.2">
      <c r="B35" s="297"/>
      <c r="C35" s="298"/>
      <c r="D35" s="298"/>
      <c r="E35" s="298"/>
      <c r="F35" s="298"/>
      <c r="G35" s="298"/>
      <c r="H35" s="298"/>
      <c r="I35" s="298"/>
      <c r="J35" s="298"/>
      <c r="K35" s="298"/>
      <c r="L35" s="298"/>
      <c r="M35" s="298"/>
      <c r="N35" s="299"/>
      <c r="P35" s="80"/>
    </row>
    <row r="36" spans="2:16" x14ac:dyDescent="0.2">
      <c r="B36" s="297"/>
      <c r="C36" s="298"/>
      <c r="D36" s="298"/>
      <c r="E36" s="298"/>
      <c r="F36" s="298"/>
      <c r="G36" s="298"/>
      <c r="H36" s="298"/>
      <c r="I36" s="298"/>
      <c r="J36" s="298"/>
      <c r="K36" s="298"/>
      <c r="L36" s="298"/>
      <c r="M36" s="298"/>
      <c r="N36" s="299"/>
      <c r="P36" s="80"/>
    </row>
    <row r="37" spans="2:16" x14ac:dyDescent="0.2">
      <c r="B37" s="297"/>
      <c r="C37" s="298"/>
      <c r="D37" s="298"/>
      <c r="E37" s="298"/>
      <c r="F37" s="298"/>
      <c r="G37" s="298"/>
      <c r="H37" s="298"/>
      <c r="I37" s="298"/>
      <c r="J37" s="298"/>
      <c r="K37" s="298"/>
      <c r="L37" s="298"/>
      <c r="M37" s="298"/>
      <c r="N37" s="299"/>
      <c r="P37" s="80"/>
    </row>
    <row r="38" spans="2:16" ht="15.75" thickBot="1" x14ac:dyDescent="0.25">
      <c r="B38" s="300"/>
      <c r="C38" s="301"/>
      <c r="D38" s="301"/>
      <c r="E38" s="301"/>
      <c r="F38" s="301"/>
      <c r="G38" s="301"/>
      <c r="H38" s="301"/>
      <c r="I38" s="301"/>
      <c r="J38" s="301"/>
      <c r="K38" s="301"/>
      <c r="L38" s="301"/>
      <c r="M38" s="301"/>
      <c r="N38" s="302"/>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6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view="pageBreakPreview" topLeftCell="A16" zoomScale="60"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288" t="s">
        <v>75</v>
      </c>
      <c r="D3" s="288"/>
      <c r="E3" s="288"/>
      <c r="F3" s="288"/>
      <c r="G3" s="288"/>
      <c r="H3" s="288"/>
      <c r="I3" s="288"/>
      <c r="J3" s="288"/>
      <c r="K3" s="288"/>
      <c r="L3" s="288"/>
      <c r="M3" s="289"/>
    </row>
    <row r="4" spans="2:24" ht="15.75" x14ac:dyDescent="0.25">
      <c r="B4" s="17"/>
      <c r="C4" s="280" t="s">
        <v>237</v>
      </c>
      <c r="D4" s="1"/>
      <c r="E4" s="1"/>
      <c r="F4" s="19"/>
      <c r="G4" s="19"/>
      <c r="H4" s="19"/>
      <c r="I4" s="19"/>
      <c r="J4" s="19"/>
      <c r="K4" s="19"/>
      <c r="L4" s="19"/>
      <c r="M4" s="35"/>
    </row>
    <row r="5" spans="2:24" ht="20.25" customHeight="1" x14ac:dyDescent="0.25">
      <c r="B5" s="17"/>
      <c r="C5" s="2" t="s">
        <v>236</v>
      </c>
      <c r="D5" s="110" t="s">
        <v>251</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60</v>
      </c>
      <c r="D7" s="21" t="s">
        <v>62</v>
      </c>
      <c r="E7" s="19"/>
      <c r="F7" s="309" t="s">
        <v>69</v>
      </c>
      <c r="G7" s="309"/>
      <c r="H7" s="309"/>
      <c r="I7" s="309"/>
      <c r="J7" s="309"/>
      <c r="K7" s="309"/>
      <c r="L7" s="309"/>
      <c r="M7" s="310"/>
    </row>
    <row r="8" spans="2:24" x14ac:dyDescent="0.2">
      <c r="B8" s="17"/>
      <c r="C8" s="36" t="s">
        <v>178</v>
      </c>
      <c r="D8" s="50">
        <v>3.1951E-2</v>
      </c>
      <c r="E8" s="19"/>
      <c r="F8" s="19"/>
      <c r="G8" s="119"/>
      <c r="H8" s="19"/>
      <c r="I8" s="57" t="s">
        <v>71</v>
      </c>
      <c r="J8" s="58">
        <f>D11</f>
        <v>0.50684899999999999</v>
      </c>
      <c r="K8" s="19"/>
      <c r="L8" s="19"/>
      <c r="M8" s="35"/>
      <c r="S8" s="80"/>
      <c r="W8" s="11" t="s">
        <v>3</v>
      </c>
      <c r="X8" s="11">
        <v>0.25058799999999998</v>
      </c>
    </row>
    <row r="9" spans="2:24" ht="15.75" customHeight="1" x14ac:dyDescent="0.2">
      <c r="B9" s="17"/>
      <c r="C9" s="36" t="s">
        <v>179</v>
      </c>
      <c r="D9" s="50">
        <v>0.14823800000000001</v>
      </c>
      <c r="E9" s="19"/>
      <c r="F9" s="19"/>
      <c r="G9" s="19"/>
      <c r="H9" s="19"/>
      <c r="I9" s="57" t="s">
        <v>73</v>
      </c>
      <c r="J9" s="60">
        <f>D17</f>
        <v>0.47397</v>
      </c>
      <c r="K9" s="19"/>
      <c r="L9" s="19"/>
      <c r="M9" s="35"/>
      <c r="S9" s="80"/>
      <c r="W9" s="11" t="s">
        <v>8</v>
      </c>
      <c r="X9" s="11">
        <v>0.13553799999999999</v>
      </c>
    </row>
    <row r="10" spans="2:24" x14ac:dyDescent="0.2">
      <c r="B10" s="17"/>
      <c r="C10" s="23" t="s">
        <v>180</v>
      </c>
      <c r="D10" s="82">
        <v>0.32666000000000001</v>
      </c>
      <c r="E10" s="19"/>
      <c r="F10" s="19"/>
      <c r="G10" s="19"/>
      <c r="H10" s="19"/>
      <c r="I10" s="57" t="s">
        <v>25</v>
      </c>
      <c r="J10" s="60">
        <f>D19</f>
        <v>1.9181E-2</v>
      </c>
      <c r="K10" s="19"/>
      <c r="L10" s="19"/>
      <c r="M10" s="35"/>
      <c r="S10" s="80"/>
      <c r="W10" s="11" t="s">
        <v>16</v>
      </c>
      <c r="X10" s="11">
        <v>6.5020000000000008E-2</v>
      </c>
    </row>
    <row r="11" spans="2:24" ht="15.75" customHeight="1" x14ac:dyDescent="0.25">
      <c r="B11" s="17"/>
      <c r="C11" s="52" t="s">
        <v>72</v>
      </c>
      <c r="D11" s="53">
        <f>SUM(D8:D10)</f>
        <v>0.50684899999999999</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181</v>
      </c>
      <c r="D13" s="50">
        <v>8.4126999999999993E-2</v>
      </c>
      <c r="E13" s="19"/>
      <c r="F13" s="19"/>
      <c r="G13" s="19"/>
      <c r="H13" s="19"/>
      <c r="I13" s="172"/>
      <c r="J13" s="172"/>
      <c r="K13" s="19"/>
      <c r="L13" s="19"/>
      <c r="M13" s="35"/>
      <c r="S13" s="80"/>
      <c r="W13" s="11" t="s">
        <v>4</v>
      </c>
      <c r="X13" s="11">
        <v>5.0237999999999991E-2</v>
      </c>
    </row>
    <row r="14" spans="2:24" x14ac:dyDescent="0.2">
      <c r="B14" s="17"/>
      <c r="C14" s="36" t="s">
        <v>182</v>
      </c>
      <c r="D14" s="50">
        <v>0.27995599999999998</v>
      </c>
      <c r="E14" s="19"/>
      <c r="F14" s="45"/>
      <c r="G14" s="45"/>
      <c r="H14" s="45"/>
      <c r="I14" s="45"/>
      <c r="J14" s="45"/>
      <c r="K14" s="45"/>
      <c r="L14" s="45"/>
      <c r="M14" s="43"/>
      <c r="S14" s="80"/>
      <c r="W14" s="11" t="s">
        <v>21</v>
      </c>
      <c r="X14" s="11">
        <v>4.0393999999999999E-2</v>
      </c>
    </row>
    <row r="15" spans="2:24" x14ac:dyDescent="0.2">
      <c r="B15" s="17"/>
      <c r="C15" s="36" t="s">
        <v>183</v>
      </c>
      <c r="D15" s="50">
        <v>0.109887</v>
      </c>
      <c r="E15" s="19"/>
      <c r="F15" s="44"/>
      <c r="G15" s="44"/>
      <c r="H15" s="44"/>
      <c r="I15" s="44"/>
      <c r="J15" s="44"/>
      <c r="K15" s="44"/>
      <c r="L15" s="44"/>
      <c r="M15" s="43"/>
      <c r="S15" s="80"/>
      <c r="W15" s="11" t="s">
        <v>29</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24</v>
      </c>
      <c r="D17" s="53">
        <f>SUM(D13:D16)</f>
        <v>0.47397</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35</v>
      </c>
      <c r="X18" s="11">
        <v>2.5925E-2</v>
      </c>
    </row>
    <row r="19" spans="2:24" ht="15.75" x14ac:dyDescent="0.25">
      <c r="B19" s="17"/>
      <c r="C19" s="52" t="s">
        <v>25</v>
      </c>
      <c r="D19" s="53">
        <v>1.9181E-2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30</v>
      </c>
      <c r="X20" s="11">
        <v>2.3753E-2</v>
      </c>
    </row>
    <row r="21" spans="2:24" ht="15.75" x14ac:dyDescent="0.25">
      <c r="B21" s="17"/>
      <c r="C21" s="54" t="s">
        <v>74</v>
      </c>
      <c r="D21" s="55">
        <f>SUM(D19,D17,D11)</f>
        <v>1</v>
      </c>
      <c r="E21" s="19"/>
      <c r="F21" s="19"/>
      <c r="G21" s="19"/>
      <c r="H21" s="19"/>
      <c r="I21" s="19"/>
      <c r="J21" s="19"/>
      <c r="K21" s="19"/>
      <c r="L21" s="19"/>
      <c r="M21" s="35"/>
      <c r="S21" s="80"/>
      <c r="W21" s="11" t="s">
        <v>22</v>
      </c>
      <c r="X21" s="11">
        <v>1.8620999999999999E-2</v>
      </c>
    </row>
    <row r="22" spans="2:24" ht="15.75" customHeight="1" x14ac:dyDescent="0.2">
      <c r="B22" s="17"/>
      <c r="E22" s="19"/>
      <c r="F22" s="19"/>
      <c r="G22" s="19"/>
      <c r="H22" s="19"/>
      <c r="I22" s="19"/>
      <c r="J22" s="19"/>
      <c r="K22" s="19"/>
      <c r="L22" s="19"/>
      <c r="M22" s="35"/>
      <c r="S22" s="80"/>
      <c r="W22" s="11" t="s">
        <v>36</v>
      </c>
      <c r="X22" s="11">
        <v>1.7219000000000002E-2</v>
      </c>
    </row>
    <row r="23" spans="2:24" x14ac:dyDescent="0.2">
      <c r="B23" s="17"/>
      <c r="C23" s="155"/>
      <c r="D23" s="156"/>
      <c r="E23" s="19"/>
      <c r="F23" s="32" t="s">
        <v>68</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23</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1"/>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13"/>
      <c r="G37" s="313"/>
      <c r="H37" s="313"/>
      <c r="I37" s="313"/>
      <c r="J37" s="313"/>
      <c r="K37" s="115"/>
      <c r="L37" s="115"/>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294" t="s">
        <v>147</v>
      </c>
      <c r="C41" s="295"/>
      <c r="D41" s="295"/>
      <c r="E41" s="295"/>
      <c r="F41" s="295"/>
      <c r="G41" s="295"/>
      <c r="H41" s="295"/>
      <c r="I41" s="295"/>
      <c r="J41" s="295"/>
      <c r="K41" s="295"/>
      <c r="L41" s="295"/>
      <c r="M41" s="295"/>
      <c r="N41" s="296"/>
      <c r="S41" s="80"/>
    </row>
    <row r="42" spans="2:19" x14ac:dyDescent="0.2">
      <c r="B42" s="297"/>
      <c r="C42" s="298"/>
      <c r="D42" s="298"/>
      <c r="E42" s="298"/>
      <c r="F42" s="298"/>
      <c r="G42" s="298"/>
      <c r="H42" s="298"/>
      <c r="I42" s="298"/>
      <c r="J42" s="298"/>
      <c r="K42" s="298"/>
      <c r="L42" s="298"/>
      <c r="M42" s="298"/>
      <c r="N42" s="299"/>
      <c r="S42" s="80"/>
    </row>
    <row r="43" spans="2:19" x14ac:dyDescent="0.2">
      <c r="B43" s="297"/>
      <c r="C43" s="298"/>
      <c r="D43" s="298"/>
      <c r="E43" s="298"/>
      <c r="F43" s="298"/>
      <c r="G43" s="298"/>
      <c r="H43" s="298"/>
      <c r="I43" s="298"/>
      <c r="J43" s="298"/>
      <c r="K43" s="298"/>
      <c r="L43" s="298"/>
      <c r="M43" s="298"/>
      <c r="N43" s="299"/>
      <c r="S43" s="80"/>
    </row>
    <row r="44" spans="2:19" x14ac:dyDescent="0.2">
      <c r="B44" s="297"/>
      <c r="C44" s="298"/>
      <c r="D44" s="298"/>
      <c r="E44" s="298"/>
      <c r="F44" s="298"/>
      <c r="G44" s="298"/>
      <c r="H44" s="298"/>
      <c r="I44" s="298"/>
      <c r="J44" s="298"/>
      <c r="K44" s="298"/>
      <c r="L44" s="298"/>
      <c r="M44" s="298"/>
      <c r="N44" s="299"/>
      <c r="S44" s="80"/>
    </row>
    <row r="45" spans="2:19" x14ac:dyDescent="0.2">
      <c r="B45" s="297"/>
      <c r="C45" s="298"/>
      <c r="D45" s="298"/>
      <c r="E45" s="298"/>
      <c r="F45" s="298"/>
      <c r="G45" s="298"/>
      <c r="H45" s="298"/>
      <c r="I45" s="298"/>
      <c r="J45" s="298"/>
      <c r="K45" s="298"/>
      <c r="L45" s="298"/>
      <c r="M45" s="298"/>
      <c r="N45" s="299"/>
      <c r="S45" s="80"/>
    </row>
    <row r="46" spans="2:19" x14ac:dyDescent="0.2">
      <c r="B46" s="297"/>
      <c r="C46" s="298"/>
      <c r="D46" s="298"/>
      <c r="E46" s="298"/>
      <c r="F46" s="298"/>
      <c r="G46" s="298"/>
      <c r="H46" s="298"/>
      <c r="I46" s="298"/>
      <c r="J46" s="298"/>
      <c r="K46" s="298"/>
      <c r="L46" s="298"/>
      <c r="M46" s="298"/>
      <c r="N46" s="299"/>
      <c r="S46" s="80"/>
    </row>
    <row r="47" spans="2:19" ht="15.75" thickBot="1" x14ac:dyDescent="0.25">
      <c r="B47" s="300"/>
      <c r="C47" s="301"/>
      <c r="D47" s="301"/>
      <c r="E47" s="301"/>
      <c r="F47" s="301"/>
      <c r="G47" s="301"/>
      <c r="H47" s="301"/>
      <c r="I47" s="301"/>
      <c r="J47" s="301"/>
      <c r="K47" s="301"/>
      <c r="L47" s="301"/>
      <c r="M47" s="301"/>
      <c r="N47" s="302"/>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6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view="pageBreakPreview" zoomScale="60" zoomScaleNormal="75" workbookViewId="0">
      <selection activeCell="P25" sqref="P25"/>
    </sheetView>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88" t="s">
        <v>76</v>
      </c>
      <c r="D3" s="288"/>
      <c r="E3" s="288"/>
      <c r="F3" s="288"/>
      <c r="G3" s="288"/>
      <c r="H3" s="288"/>
      <c r="I3" s="288"/>
      <c r="J3" s="288"/>
      <c r="K3" s="288"/>
      <c r="L3" s="288"/>
      <c r="M3" s="289"/>
    </row>
    <row r="4" spans="2:24" ht="15.75" x14ac:dyDescent="0.25">
      <c r="B4" s="17"/>
      <c r="C4" s="280" t="s">
        <v>237</v>
      </c>
      <c r="D4" s="1"/>
      <c r="E4" s="1"/>
      <c r="F4" s="19"/>
      <c r="G4" s="19"/>
      <c r="H4" s="19"/>
      <c r="I4" s="44"/>
      <c r="J4" s="44"/>
      <c r="K4" s="19"/>
      <c r="L4" s="19"/>
      <c r="M4" s="35"/>
    </row>
    <row r="5" spans="2:24" ht="20.25" customHeight="1" x14ac:dyDescent="0.25">
      <c r="B5" s="17"/>
      <c r="C5" s="2" t="s">
        <v>236</v>
      </c>
      <c r="D5" s="110" t="s">
        <v>252</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60</v>
      </c>
      <c r="D7" s="21" t="s">
        <v>62</v>
      </c>
      <c r="E7" s="19"/>
      <c r="F7" s="290" t="s">
        <v>69</v>
      </c>
      <c r="G7" s="290"/>
      <c r="H7" s="290"/>
      <c r="I7" s="290"/>
      <c r="J7" s="290"/>
      <c r="K7" s="290"/>
      <c r="L7" s="290"/>
      <c r="M7" s="291"/>
    </row>
    <row r="8" spans="2:24" x14ac:dyDescent="0.2">
      <c r="B8" s="17"/>
      <c r="C8" s="36" t="s">
        <v>178</v>
      </c>
      <c r="D8" s="50">
        <v>6.8139999999999997E-3</v>
      </c>
      <c r="E8" s="19"/>
      <c r="F8" s="19"/>
      <c r="G8" s="151"/>
      <c r="H8" s="26"/>
      <c r="I8" s="44" t="s">
        <v>71</v>
      </c>
      <c r="J8" s="195">
        <f>D11</f>
        <v>0.70429900000000001</v>
      </c>
      <c r="K8" s="19"/>
      <c r="L8" s="44"/>
      <c r="M8" s="35"/>
      <c r="S8" s="80"/>
      <c r="W8" s="11" t="s">
        <v>3</v>
      </c>
      <c r="X8" s="11">
        <v>0.25058799999999998</v>
      </c>
    </row>
    <row r="9" spans="2:24" ht="15.75" customHeight="1" x14ac:dyDescent="0.2">
      <c r="B9" s="17"/>
      <c r="C9" s="23" t="s">
        <v>179</v>
      </c>
      <c r="D9" s="82">
        <v>0.48759000000000002</v>
      </c>
      <c r="E9" s="19"/>
      <c r="F9" s="19"/>
      <c r="G9" s="44"/>
      <c r="H9" s="26"/>
      <c r="I9" s="44" t="s">
        <v>73</v>
      </c>
      <c r="J9" s="195">
        <f>D15</f>
        <v>0.28017300000000001</v>
      </c>
      <c r="K9" s="19"/>
      <c r="L9" s="44"/>
      <c r="M9" s="35"/>
      <c r="S9" s="80"/>
      <c r="W9" s="11" t="s">
        <v>8</v>
      </c>
      <c r="X9" s="11">
        <v>0.13553799999999999</v>
      </c>
    </row>
    <row r="10" spans="2:24" x14ac:dyDescent="0.2">
      <c r="B10" s="17"/>
      <c r="C10" s="23" t="s">
        <v>180</v>
      </c>
      <c r="D10" s="117">
        <v>0.209895</v>
      </c>
      <c r="E10" s="19"/>
      <c r="F10" s="19"/>
      <c r="G10" s="44"/>
      <c r="H10" s="26"/>
      <c r="I10" s="44" t="s">
        <v>25</v>
      </c>
      <c r="J10" s="195">
        <f>D17</f>
        <v>1.5528E-2</v>
      </c>
      <c r="K10" s="19"/>
      <c r="L10" s="44"/>
      <c r="M10" s="35"/>
      <c r="S10" s="80"/>
      <c r="W10" s="11" t="s">
        <v>16</v>
      </c>
      <c r="X10" s="11">
        <v>6.5020000000000008E-2</v>
      </c>
    </row>
    <row r="11" spans="2:24" ht="15.75" x14ac:dyDescent="0.25">
      <c r="B11" s="17"/>
      <c r="C11" s="52" t="s">
        <v>72</v>
      </c>
      <c r="D11" s="53">
        <f>SUM(D8:D10)</f>
        <v>0.70429900000000001</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181</v>
      </c>
      <c r="D13" s="50">
        <v>6.8268999999999996E-2</v>
      </c>
      <c r="E13" s="19"/>
      <c r="F13" s="19"/>
      <c r="G13" s="44"/>
      <c r="H13" s="26"/>
      <c r="I13" s="44"/>
      <c r="J13" s="44"/>
      <c r="K13" s="26"/>
      <c r="L13" s="44"/>
      <c r="M13" s="35"/>
      <c r="S13" s="80"/>
      <c r="W13" s="11" t="s">
        <v>4</v>
      </c>
      <c r="X13" s="11">
        <v>5.0237999999999991E-2</v>
      </c>
    </row>
    <row r="14" spans="2:24" x14ac:dyDescent="0.2">
      <c r="B14" s="17"/>
      <c r="C14" s="36" t="s">
        <v>182</v>
      </c>
      <c r="D14" s="50">
        <v>0.21190400000000001</v>
      </c>
      <c r="E14" s="19"/>
      <c r="F14" s="19"/>
      <c r="G14" s="44"/>
      <c r="H14" s="26"/>
      <c r="I14" s="44"/>
      <c r="J14" s="44"/>
      <c r="K14" s="26"/>
      <c r="L14" s="19"/>
      <c r="M14" s="35"/>
      <c r="S14" s="80"/>
      <c r="W14" s="11" t="s">
        <v>21</v>
      </c>
      <c r="X14" s="11">
        <v>4.0393999999999999E-2</v>
      </c>
    </row>
    <row r="15" spans="2:24" ht="15.75" x14ac:dyDescent="0.25">
      <c r="B15" s="17"/>
      <c r="C15" s="52" t="s">
        <v>24</v>
      </c>
      <c r="D15" s="53">
        <f>SUM(D13:D14)</f>
        <v>0.28017300000000001</v>
      </c>
      <c r="E15" s="19"/>
      <c r="F15" s="19"/>
      <c r="G15" s="44"/>
      <c r="H15" s="44"/>
      <c r="I15" s="44"/>
      <c r="J15" s="44"/>
      <c r="K15" s="44"/>
      <c r="L15" s="19"/>
      <c r="M15" s="35"/>
      <c r="S15" s="80"/>
      <c r="W15" s="11" t="s">
        <v>29</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25</v>
      </c>
      <c r="D17" s="53">
        <v>1.5528E-2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35</v>
      </c>
      <c r="X18" s="11">
        <v>2.5925E-2</v>
      </c>
    </row>
    <row r="19" spans="2:24" ht="15.75" x14ac:dyDescent="0.25">
      <c r="B19" s="17"/>
      <c r="C19" s="54" t="s">
        <v>74</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30</v>
      </c>
      <c r="X20" s="11">
        <v>2.3753E-2</v>
      </c>
    </row>
    <row r="21" spans="2:24" x14ac:dyDescent="0.2">
      <c r="B21" s="17"/>
      <c r="E21" s="19"/>
      <c r="F21" s="19"/>
      <c r="G21" s="19"/>
      <c r="H21" s="19"/>
      <c r="I21" s="44"/>
      <c r="J21" s="44"/>
      <c r="K21" s="19"/>
      <c r="L21" s="19"/>
      <c r="M21" s="35"/>
      <c r="S21" s="80"/>
      <c r="W21" s="11" t="s">
        <v>22</v>
      </c>
      <c r="X21" s="11">
        <v>1.8620999999999999E-2</v>
      </c>
    </row>
    <row r="22" spans="2:24" x14ac:dyDescent="0.2">
      <c r="B22" s="17"/>
      <c r="E22" s="19"/>
      <c r="F22" s="19"/>
      <c r="G22" s="19"/>
      <c r="H22" s="19"/>
      <c r="I22" s="44"/>
      <c r="J22" s="44"/>
      <c r="K22" s="19"/>
      <c r="L22" s="19"/>
      <c r="M22" s="35"/>
      <c r="S22" s="80"/>
      <c r="W22" s="11" t="s">
        <v>36</v>
      </c>
      <c r="X22" s="11">
        <v>1.7219000000000002E-2</v>
      </c>
    </row>
    <row r="23" spans="2:24" ht="15.75" x14ac:dyDescent="0.25">
      <c r="B23" s="17"/>
      <c r="C23" s="157"/>
      <c r="D23" s="158"/>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23</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2"/>
      <c r="D30" s="292"/>
      <c r="E30" s="292"/>
      <c r="F30" s="292"/>
      <c r="G30" s="292"/>
      <c r="H30" s="292"/>
      <c r="I30" s="292"/>
      <c r="J30" s="292"/>
      <c r="K30" s="292"/>
      <c r="L30" s="292"/>
      <c r="M30" s="293"/>
      <c r="S30" s="80"/>
    </row>
    <row r="31" spans="2:24" ht="15.75" thickBot="1" x14ac:dyDescent="0.25">
      <c r="S31" s="80"/>
    </row>
    <row r="32" spans="2:24" x14ac:dyDescent="0.2">
      <c r="B32" s="294" t="s">
        <v>147</v>
      </c>
      <c r="C32" s="295"/>
      <c r="D32" s="295"/>
      <c r="E32" s="295"/>
      <c r="F32" s="295"/>
      <c r="G32" s="295"/>
      <c r="H32" s="295"/>
      <c r="I32" s="295"/>
      <c r="J32" s="295"/>
      <c r="K32" s="295"/>
      <c r="L32" s="295"/>
      <c r="M32" s="295"/>
      <c r="N32" s="296"/>
      <c r="S32" s="80"/>
    </row>
    <row r="33" spans="2:19" x14ac:dyDescent="0.2">
      <c r="B33" s="297"/>
      <c r="C33" s="298"/>
      <c r="D33" s="298"/>
      <c r="E33" s="298"/>
      <c r="F33" s="298"/>
      <c r="G33" s="298"/>
      <c r="H33" s="298"/>
      <c r="I33" s="298"/>
      <c r="J33" s="298"/>
      <c r="K33" s="298"/>
      <c r="L33" s="298"/>
      <c r="M33" s="298"/>
      <c r="N33" s="299"/>
      <c r="S33" s="80"/>
    </row>
    <row r="34" spans="2:19" x14ac:dyDescent="0.2">
      <c r="B34" s="297"/>
      <c r="C34" s="298"/>
      <c r="D34" s="298"/>
      <c r="E34" s="298"/>
      <c r="F34" s="298"/>
      <c r="G34" s="298"/>
      <c r="H34" s="298"/>
      <c r="I34" s="298"/>
      <c r="J34" s="298"/>
      <c r="K34" s="298"/>
      <c r="L34" s="298"/>
      <c r="M34" s="298"/>
      <c r="N34" s="299"/>
      <c r="S34" s="80"/>
    </row>
    <row r="35" spans="2:19" x14ac:dyDescent="0.2">
      <c r="B35" s="297"/>
      <c r="C35" s="298"/>
      <c r="D35" s="298"/>
      <c r="E35" s="298"/>
      <c r="F35" s="298"/>
      <c r="G35" s="298"/>
      <c r="H35" s="298"/>
      <c r="I35" s="298"/>
      <c r="J35" s="298"/>
      <c r="K35" s="298"/>
      <c r="L35" s="298"/>
      <c r="M35" s="298"/>
      <c r="N35" s="299"/>
      <c r="S35" s="80"/>
    </row>
    <row r="36" spans="2:19" x14ac:dyDescent="0.2">
      <c r="B36" s="297"/>
      <c r="C36" s="298"/>
      <c r="D36" s="298"/>
      <c r="E36" s="298"/>
      <c r="F36" s="298"/>
      <c r="G36" s="298"/>
      <c r="H36" s="298"/>
      <c r="I36" s="298"/>
      <c r="J36" s="298"/>
      <c r="K36" s="298"/>
      <c r="L36" s="298"/>
      <c r="M36" s="298"/>
      <c r="N36" s="299"/>
      <c r="S36" s="80"/>
    </row>
    <row r="37" spans="2:19" x14ac:dyDescent="0.2">
      <c r="B37" s="297"/>
      <c r="C37" s="298"/>
      <c r="D37" s="298"/>
      <c r="E37" s="298"/>
      <c r="F37" s="298"/>
      <c r="G37" s="298"/>
      <c r="H37" s="298"/>
      <c r="I37" s="298"/>
      <c r="J37" s="298"/>
      <c r="K37" s="298"/>
      <c r="L37" s="298"/>
      <c r="M37" s="298"/>
      <c r="N37" s="299"/>
      <c r="S37" s="80"/>
    </row>
    <row r="38" spans="2:19" ht="15.75" thickBot="1" x14ac:dyDescent="0.25">
      <c r="B38" s="300"/>
      <c r="C38" s="301"/>
      <c r="D38" s="301"/>
      <c r="E38" s="301"/>
      <c r="F38" s="301"/>
      <c r="G38" s="301"/>
      <c r="H38" s="301"/>
      <c r="I38" s="301"/>
      <c r="J38" s="301"/>
      <c r="K38" s="301"/>
      <c r="L38" s="301"/>
      <c r="M38" s="301"/>
      <c r="N38" s="302"/>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63"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pageSetUpPr fitToPage="1"/>
  </sheetPr>
  <dimension ref="A1:AE63"/>
  <sheetViews>
    <sheetView showGridLines="0" view="pageBreakPreview" topLeftCell="A16" zoomScale="60"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5"/>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3" t="s">
        <v>34</v>
      </c>
      <c r="D3" s="303"/>
      <c r="E3" s="303"/>
      <c r="F3" s="303"/>
      <c r="G3" s="303"/>
      <c r="H3" s="303"/>
      <c r="I3" s="303"/>
      <c r="J3" s="303"/>
      <c r="K3" s="303"/>
      <c r="L3" s="303"/>
      <c r="M3" s="303"/>
      <c r="N3" s="303"/>
      <c r="O3" s="303"/>
      <c r="P3" s="303"/>
      <c r="Q3" s="303"/>
      <c r="R3" s="303"/>
      <c r="S3" s="303"/>
      <c r="T3" s="75"/>
    </row>
    <row r="4" spans="1:24" ht="15.75" customHeight="1" x14ac:dyDescent="0.25">
      <c r="B4" s="5"/>
      <c r="C4" s="280" t="s">
        <v>237</v>
      </c>
      <c r="D4" s="1"/>
      <c r="E4" s="1"/>
      <c r="F4" s="1"/>
      <c r="G4" s="1"/>
      <c r="H4" s="1"/>
      <c r="I4" s="1"/>
      <c r="J4" s="1"/>
      <c r="K4" s="1"/>
      <c r="L4" s="1"/>
      <c r="M4" s="1"/>
      <c r="N4" s="1"/>
      <c r="O4" s="1"/>
      <c r="P4" s="1"/>
      <c r="Q4" s="1"/>
      <c r="R4" s="1"/>
      <c r="S4" s="76"/>
      <c r="T4" s="75"/>
    </row>
    <row r="5" spans="1:24" ht="18" customHeight="1" x14ac:dyDescent="0.25">
      <c r="B5" s="5"/>
      <c r="C5" s="2" t="s">
        <v>236</v>
      </c>
      <c r="D5" s="306" t="s">
        <v>253</v>
      </c>
      <c r="E5" s="306"/>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27</v>
      </c>
      <c r="X7" s="166" t="s">
        <v>2</v>
      </c>
    </row>
    <row r="8" spans="1:24" ht="15" customHeight="1" x14ac:dyDescent="0.25">
      <c r="B8" s="5"/>
      <c r="C8" s="92" t="s">
        <v>41</v>
      </c>
      <c r="D8" s="94" t="s">
        <v>6</v>
      </c>
      <c r="E8" s="96">
        <v>0.10996599999999999</v>
      </c>
      <c r="F8" s="1"/>
      <c r="G8" s="1"/>
      <c r="H8" s="1"/>
      <c r="I8" s="1"/>
      <c r="J8" s="1"/>
      <c r="K8" s="1"/>
      <c r="L8" s="1"/>
      <c r="M8" s="1"/>
      <c r="N8" s="1"/>
      <c r="O8" s="1"/>
      <c r="P8" s="1"/>
      <c r="Q8" s="1"/>
      <c r="R8" s="1"/>
      <c r="S8" s="76"/>
      <c r="T8" s="75"/>
      <c r="W8" s="220" t="s">
        <v>3</v>
      </c>
      <c r="X8" s="221">
        <v>0.24958400000000003</v>
      </c>
    </row>
    <row r="9" spans="1:24" ht="15.75" customHeight="1" x14ac:dyDescent="0.25">
      <c r="B9" s="5"/>
      <c r="C9" s="93" t="s">
        <v>37</v>
      </c>
      <c r="D9" s="95" t="s">
        <v>11</v>
      </c>
      <c r="E9" s="97">
        <v>8.5885000000000003E-2</v>
      </c>
      <c r="F9" s="1"/>
      <c r="G9" s="1"/>
      <c r="H9" s="1"/>
      <c r="I9" s="1"/>
      <c r="J9" s="1"/>
      <c r="K9" s="1"/>
      <c r="L9" s="1"/>
      <c r="M9" s="1"/>
      <c r="N9" s="1"/>
      <c r="O9" s="1"/>
      <c r="P9" s="1"/>
      <c r="Q9" s="1"/>
      <c r="R9" s="1"/>
      <c r="S9" s="76"/>
      <c r="T9" s="75"/>
      <c r="W9" s="220" t="s">
        <v>11</v>
      </c>
      <c r="X9" s="221">
        <v>0.17504700000000001</v>
      </c>
    </row>
    <row r="10" spans="1:24" ht="15.75" x14ac:dyDescent="0.25">
      <c r="B10" s="5"/>
      <c r="C10" s="93" t="s">
        <v>38</v>
      </c>
      <c r="D10" s="95" t="s">
        <v>3</v>
      </c>
      <c r="E10" s="97">
        <v>8.4394999999999998E-2</v>
      </c>
      <c r="F10" s="1"/>
      <c r="G10" s="1"/>
      <c r="H10" s="1"/>
      <c r="I10" s="1"/>
      <c r="J10" s="1"/>
      <c r="K10" s="1"/>
      <c r="L10" s="1"/>
      <c r="M10" s="1"/>
      <c r="N10" s="1"/>
      <c r="O10" s="1"/>
      <c r="P10" s="1"/>
      <c r="Q10" s="1"/>
      <c r="R10" s="1"/>
      <c r="S10" s="76"/>
      <c r="T10" s="75"/>
      <c r="W10" s="220" t="s">
        <v>6</v>
      </c>
      <c r="X10" s="221">
        <v>0.11842499999999999</v>
      </c>
    </row>
    <row r="11" spans="1:24" ht="15.75" customHeight="1" x14ac:dyDescent="0.25">
      <c r="B11" s="5"/>
      <c r="C11" s="93" t="s">
        <v>42</v>
      </c>
      <c r="D11" s="95" t="s">
        <v>3</v>
      </c>
      <c r="E11" s="97">
        <v>6.9678000000000004E-2</v>
      </c>
      <c r="F11" s="1"/>
      <c r="G11" s="1"/>
      <c r="H11" s="1"/>
      <c r="I11" s="1"/>
      <c r="J11" s="1"/>
      <c r="K11" s="1"/>
      <c r="L11" s="1"/>
      <c r="M11" s="1"/>
      <c r="N11" s="1"/>
      <c r="O11" s="1"/>
      <c r="P11" s="1"/>
      <c r="Q11" s="1"/>
      <c r="R11" s="1"/>
      <c r="S11" s="76"/>
      <c r="T11" s="75"/>
      <c r="W11" s="220" t="s">
        <v>7</v>
      </c>
      <c r="X11" s="221">
        <v>9.0851999999999988E-2</v>
      </c>
    </row>
    <row r="12" spans="1:24" ht="15" customHeight="1" x14ac:dyDescent="0.25">
      <c r="B12" s="5"/>
      <c r="C12" s="93" t="s">
        <v>39</v>
      </c>
      <c r="D12" s="95" t="s">
        <v>4</v>
      </c>
      <c r="E12" s="97">
        <v>5.7735000000000002E-2</v>
      </c>
      <c r="F12" s="1"/>
      <c r="G12" s="1"/>
      <c r="H12" s="1"/>
      <c r="I12" s="1"/>
      <c r="J12" s="1"/>
      <c r="K12" s="1"/>
      <c r="L12" s="1"/>
      <c r="M12" s="1"/>
      <c r="N12" s="1"/>
      <c r="O12" s="1"/>
      <c r="P12" s="1"/>
      <c r="Q12" s="1"/>
      <c r="R12" s="1"/>
      <c r="S12" s="76"/>
      <c r="T12" s="75"/>
      <c r="W12" s="220" t="s">
        <v>4</v>
      </c>
      <c r="X12" s="221">
        <v>8.2860000000000003E-2</v>
      </c>
    </row>
    <row r="13" spans="1:24" ht="15" customHeight="1" x14ac:dyDescent="0.25">
      <c r="B13" s="5"/>
      <c r="C13" s="93" t="s">
        <v>43</v>
      </c>
      <c r="D13" s="95" t="s">
        <v>11</v>
      </c>
      <c r="E13" s="97">
        <v>4.9697999999999999E-2</v>
      </c>
      <c r="F13" s="1"/>
      <c r="G13" s="1"/>
      <c r="H13" s="1"/>
      <c r="I13" s="1"/>
      <c r="J13" s="1"/>
      <c r="K13" s="1"/>
      <c r="L13" s="1"/>
      <c r="M13" s="1"/>
      <c r="N13" s="1"/>
      <c r="O13" s="1"/>
      <c r="P13" s="1"/>
      <c r="Q13" s="1"/>
      <c r="R13" s="1"/>
      <c r="S13" s="76"/>
      <c r="T13" s="75"/>
      <c r="W13" s="220" t="s">
        <v>17</v>
      </c>
      <c r="X13" s="221">
        <v>5.1706999999999996E-2</v>
      </c>
    </row>
    <row r="14" spans="1:24" ht="15" customHeight="1" x14ac:dyDescent="0.25">
      <c r="B14" s="5"/>
      <c r="C14" s="93" t="s">
        <v>45</v>
      </c>
      <c r="D14" s="95" t="s">
        <v>3</v>
      </c>
      <c r="E14" s="97">
        <v>3.6528999999999999E-2</v>
      </c>
      <c r="F14" s="1"/>
      <c r="G14" s="1"/>
      <c r="H14" s="1"/>
      <c r="I14" s="1"/>
      <c r="J14" s="1"/>
      <c r="K14" s="1"/>
      <c r="L14" s="1"/>
      <c r="M14" s="1"/>
      <c r="N14" s="1"/>
      <c r="O14" s="1"/>
      <c r="P14" s="1"/>
      <c r="Q14" s="1"/>
      <c r="R14" s="1"/>
      <c r="S14" s="76"/>
      <c r="T14" s="75"/>
      <c r="W14" s="220" t="s">
        <v>8</v>
      </c>
      <c r="X14" s="221">
        <v>3.2765000000000002E-2</v>
      </c>
    </row>
    <row r="15" spans="1:24" ht="15" customHeight="1" x14ac:dyDescent="0.25">
      <c r="B15" s="5"/>
      <c r="C15" s="93" t="s">
        <v>44</v>
      </c>
      <c r="D15" s="95" t="s">
        <v>9</v>
      </c>
      <c r="E15" s="97">
        <v>2.9659000000000001E-2</v>
      </c>
      <c r="F15" s="1"/>
      <c r="G15" s="1"/>
      <c r="H15" s="1"/>
      <c r="I15" s="1"/>
      <c r="J15" s="1"/>
      <c r="K15" s="1"/>
      <c r="L15" s="1"/>
      <c r="M15" s="1"/>
      <c r="N15" s="1"/>
      <c r="O15" s="1"/>
      <c r="P15" s="1"/>
      <c r="Q15" s="1"/>
      <c r="R15" s="1"/>
      <c r="S15" s="76"/>
      <c r="T15" s="75"/>
      <c r="W15" s="220" t="s">
        <v>9</v>
      </c>
      <c r="X15" s="221">
        <v>2.9659000000000001E-2</v>
      </c>
    </row>
    <row r="16" spans="1:24" ht="15" customHeight="1" x14ac:dyDescent="0.25">
      <c r="B16" s="5"/>
      <c r="C16" s="93" t="s">
        <v>47</v>
      </c>
      <c r="D16" s="95" t="s">
        <v>7</v>
      </c>
      <c r="E16" s="97">
        <v>2.6195E-2</v>
      </c>
      <c r="F16" s="1"/>
      <c r="G16" s="1"/>
      <c r="H16" s="1"/>
      <c r="I16" s="1"/>
      <c r="J16" s="1"/>
      <c r="K16" s="1"/>
      <c r="L16" s="1"/>
      <c r="M16" s="1"/>
      <c r="N16" s="1"/>
      <c r="O16" s="1"/>
      <c r="P16" s="1"/>
      <c r="Q16" s="1"/>
      <c r="R16" s="1"/>
      <c r="S16" s="76"/>
      <c r="T16" s="75"/>
      <c r="W16" s="220" t="s">
        <v>152</v>
      </c>
      <c r="X16" s="221">
        <v>2.5956E-2</v>
      </c>
    </row>
    <row r="17" spans="2:24" ht="15" customHeight="1" x14ac:dyDescent="0.25">
      <c r="B17" s="5"/>
      <c r="C17" s="93" t="s">
        <v>46</v>
      </c>
      <c r="D17" s="95" t="s">
        <v>3</v>
      </c>
      <c r="E17" s="97">
        <v>2.5849E-2</v>
      </c>
      <c r="F17" s="1"/>
      <c r="G17" s="1"/>
      <c r="H17" s="1"/>
      <c r="I17" s="1"/>
      <c r="J17" s="1"/>
      <c r="K17" s="1"/>
      <c r="L17" s="1"/>
      <c r="M17" s="1"/>
      <c r="N17" s="1"/>
      <c r="O17" s="1"/>
      <c r="P17" s="1"/>
      <c r="Q17" s="1"/>
      <c r="R17" s="1"/>
      <c r="S17" s="76"/>
      <c r="T17" s="75"/>
      <c r="W17" s="220" t="s">
        <v>149</v>
      </c>
      <c r="X17" s="221">
        <v>2.2756999999999999E-2</v>
      </c>
    </row>
    <row r="18" spans="2:24" ht="15" customHeight="1" x14ac:dyDescent="0.25">
      <c r="B18" s="5"/>
      <c r="C18" s="93" t="s">
        <v>40</v>
      </c>
      <c r="D18" s="95" t="s">
        <v>7</v>
      </c>
      <c r="E18" s="97">
        <v>2.5524999999999999E-2</v>
      </c>
      <c r="F18" s="1"/>
      <c r="G18" s="1"/>
      <c r="H18" s="1"/>
      <c r="I18" s="1"/>
      <c r="J18" s="1"/>
      <c r="K18" s="1"/>
      <c r="L18" s="1"/>
      <c r="M18" s="1"/>
      <c r="N18" s="1"/>
      <c r="O18" s="1"/>
      <c r="P18" s="1"/>
      <c r="Q18" s="1"/>
      <c r="R18" s="1"/>
      <c r="S18" s="76"/>
      <c r="T18" s="75"/>
      <c r="W18" s="220" t="s">
        <v>14</v>
      </c>
      <c r="X18" s="221">
        <v>2.1909000000000001E-2</v>
      </c>
    </row>
    <row r="19" spans="2:24" ht="15" customHeight="1" x14ac:dyDescent="0.25">
      <c r="B19" s="5"/>
      <c r="C19" s="93" t="s">
        <v>142</v>
      </c>
      <c r="D19" s="95" t="s">
        <v>4</v>
      </c>
      <c r="E19" s="97">
        <v>2.5125000000000001E-2</v>
      </c>
      <c r="F19" s="1"/>
      <c r="G19" s="1"/>
      <c r="H19" s="1"/>
      <c r="I19" s="1"/>
      <c r="J19" s="1"/>
      <c r="K19" s="1"/>
      <c r="L19" s="1"/>
      <c r="M19" s="1"/>
      <c r="N19" s="1"/>
      <c r="O19" s="1"/>
      <c r="P19" s="1"/>
      <c r="Q19" s="1"/>
      <c r="R19" s="1"/>
      <c r="S19" s="76"/>
      <c r="T19" s="75"/>
      <c r="W19" s="220" t="s">
        <v>13</v>
      </c>
      <c r="X19" s="221">
        <v>2.1500999999999999E-2</v>
      </c>
    </row>
    <row r="20" spans="2:24" ht="15" customHeight="1" x14ac:dyDescent="0.25">
      <c r="B20" s="5"/>
      <c r="C20" s="93" t="s">
        <v>140</v>
      </c>
      <c r="D20" s="95" t="s">
        <v>3</v>
      </c>
      <c r="E20" s="97">
        <v>2.5038000000000001E-2</v>
      </c>
      <c r="F20" s="1"/>
      <c r="G20" s="1"/>
      <c r="H20" s="1"/>
      <c r="I20" s="1"/>
      <c r="J20" s="1"/>
      <c r="K20" s="1"/>
      <c r="L20" s="1"/>
      <c r="M20" s="1"/>
      <c r="N20" s="1"/>
      <c r="O20" s="1"/>
      <c r="P20" s="1"/>
      <c r="Q20" s="1"/>
      <c r="R20" s="1"/>
      <c r="S20" s="76"/>
      <c r="T20" s="75"/>
      <c r="W20" s="220" t="s">
        <v>12</v>
      </c>
      <c r="X20" s="221">
        <v>1.8232999999999999E-2</v>
      </c>
    </row>
    <row r="21" spans="2:24" ht="15" customHeight="1" x14ac:dyDescent="0.25">
      <c r="B21" s="5"/>
      <c r="C21" s="93" t="s">
        <v>113</v>
      </c>
      <c r="D21" s="95" t="s">
        <v>14</v>
      </c>
      <c r="E21" s="97">
        <v>2.1909000000000001E-2</v>
      </c>
      <c r="F21" s="1"/>
      <c r="G21" s="1"/>
      <c r="H21" s="1"/>
      <c r="I21" s="1"/>
      <c r="J21" s="1"/>
      <c r="K21" s="1"/>
      <c r="L21" s="1"/>
      <c r="M21" s="1"/>
      <c r="N21" s="1"/>
      <c r="O21" s="1"/>
      <c r="P21" s="1"/>
      <c r="Q21" s="1"/>
      <c r="R21" s="1"/>
      <c r="S21" s="76"/>
      <c r="T21" s="75"/>
      <c r="W21" s="220" t="s">
        <v>21</v>
      </c>
      <c r="X21" s="221">
        <v>1.4361000000000001E-2</v>
      </c>
    </row>
    <row r="22" spans="2:24" ht="15" customHeight="1" x14ac:dyDescent="0.25">
      <c r="B22" s="5"/>
      <c r="C22" s="93" t="s">
        <v>48</v>
      </c>
      <c r="D22" s="95" t="s">
        <v>7</v>
      </c>
      <c r="E22" s="97">
        <v>1.9342000000000002E-2</v>
      </c>
      <c r="F22" s="1"/>
      <c r="G22" s="1"/>
      <c r="H22" s="1"/>
      <c r="I22" s="1"/>
      <c r="J22" s="1"/>
      <c r="K22" s="1"/>
      <c r="L22" s="1"/>
      <c r="M22" s="1"/>
      <c r="N22" s="1"/>
      <c r="O22" s="1"/>
      <c r="P22" s="1"/>
      <c r="Q22" s="1"/>
      <c r="R22" s="1"/>
      <c r="S22" s="76"/>
      <c r="T22" s="75"/>
      <c r="W22" s="220" t="s">
        <v>19</v>
      </c>
      <c r="X22" s="221">
        <v>1.133E-2</v>
      </c>
    </row>
    <row r="23" spans="2:24" ht="15" customHeight="1" x14ac:dyDescent="0.25">
      <c r="B23" s="5"/>
      <c r="C23" s="67"/>
      <c r="D23" s="67"/>
      <c r="E23" s="89"/>
      <c r="F23" s="1"/>
      <c r="G23" s="1"/>
      <c r="H23" s="1"/>
      <c r="I23" s="1"/>
      <c r="J23" s="1"/>
      <c r="K23" s="1"/>
      <c r="L23" s="1"/>
      <c r="M23" s="1"/>
      <c r="N23" s="1"/>
      <c r="O23" s="1"/>
      <c r="P23" s="1"/>
      <c r="Q23" s="1"/>
      <c r="R23" s="1"/>
      <c r="S23" s="76"/>
      <c r="T23" s="75"/>
      <c r="W23" s="220" t="s">
        <v>15</v>
      </c>
      <c r="X23" s="221">
        <v>7.9220000000000002E-3</v>
      </c>
    </row>
    <row r="24" spans="2:24" ht="15" customHeight="1" x14ac:dyDescent="0.25">
      <c r="B24" s="5"/>
      <c r="C24" s="69" t="s">
        <v>77</v>
      </c>
      <c r="D24" s="71"/>
      <c r="E24" s="127">
        <f>SUM(E8:E22)</f>
        <v>0.69252799999999992</v>
      </c>
      <c r="F24" s="1"/>
      <c r="G24" s="1"/>
      <c r="H24" s="1"/>
      <c r="I24" s="1"/>
      <c r="J24" s="1"/>
      <c r="K24" s="1"/>
      <c r="L24" s="1"/>
      <c r="M24" s="1"/>
      <c r="N24" s="1"/>
      <c r="O24" s="1"/>
      <c r="P24" s="1"/>
      <c r="Q24" s="1"/>
      <c r="R24" s="1"/>
      <c r="S24" s="76"/>
      <c r="T24" s="75"/>
      <c r="W24" s="220" t="s">
        <v>32</v>
      </c>
      <c r="X24" s="222">
        <v>7.0200000000000002E-3</v>
      </c>
    </row>
    <row r="25" spans="2:24" ht="15" customHeight="1" x14ac:dyDescent="0.25">
      <c r="B25" s="5"/>
      <c r="C25" s="1"/>
      <c r="D25" s="1"/>
      <c r="E25" s="1"/>
      <c r="F25" s="1"/>
      <c r="G25" s="1"/>
      <c r="H25" s="1"/>
      <c r="I25" s="1"/>
      <c r="J25" s="1"/>
      <c r="K25" s="1"/>
      <c r="L25" s="1"/>
      <c r="M25" s="1"/>
      <c r="N25" s="1"/>
      <c r="O25" s="1"/>
      <c r="P25" s="1"/>
      <c r="Q25" s="1"/>
      <c r="R25" s="1"/>
      <c r="S25" s="76"/>
      <c r="T25" s="75"/>
      <c r="W25" s="220" t="s">
        <v>89</v>
      </c>
      <c r="X25" s="221">
        <v>4.9480000000000001E-3</v>
      </c>
    </row>
    <row r="26" spans="2:24" ht="15" customHeight="1" x14ac:dyDescent="0.25">
      <c r="B26" s="5"/>
      <c r="C26" s="122"/>
      <c r="D26" s="122"/>
      <c r="E26" s="123"/>
      <c r="F26" s="1"/>
      <c r="G26" s="1"/>
      <c r="H26" s="1"/>
      <c r="I26" s="1"/>
      <c r="J26" s="1"/>
      <c r="K26" s="1"/>
      <c r="L26" s="1"/>
      <c r="M26" s="1"/>
      <c r="N26" s="1"/>
      <c r="O26" s="1"/>
      <c r="P26" s="1"/>
      <c r="Q26" s="1"/>
      <c r="R26" s="1"/>
      <c r="S26" s="76"/>
      <c r="T26" s="75"/>
      <c r="W26" s="220" t="s">
        <v>20</v>
      </c>
      <c r="X26" s="221">
        <v>4.8019999999999998E-3</v>
      </c>
    </row>
    <row r="27" spans="2:24" ht="15" customHeight="1" x14ac:dyDescent="0.25">
      <c r="B27" s="5"/>
      <c r="C27" s="107"/>
      <c r="D27" s="107"/>
      <c r="E27" s="124"/>
      <c r="F27" s="1"/>
      <c r="G27" s="1"/>
      <c r="H27" s="1"/>
      <c r="I27" s="1"/>
      <c r="J27" s="1"/>
      <c r="K27" s="1"/>
      <c r="L27" s="1"/>
      <c r="M27" s="1"/>
      <c r="N27" s="1"/>
      <c r="O27" s="1"/>
      <c r="P27" s="1"/>
      <c r="Q27" s="1"/>
      <c r="R27" s="1"/>
      <c r="S27" s="76"/>
      <c r="T27" s="75"/>
      <c r="W27" s="220"/>
      <c r="X27" s="221"/>
    </row>
    <row r="28" spans="2:24" ht="15" customHeight="1" x14ac:dyDescent="0.25">
      <c r="B28" s="5"/>
      <c r="C28" s="122"/>
      <c r="D28" s="125"/>
      <c r="E28" s="126"/>
      <c r="F28" s="1"/>
      <c r="G28" s="1"/>
      <c r="H28" s="1"/>
      <c r="I28" s="1"/>
      <c r="J28" s="1"/>
      <c r="K28" s="1"/>
      <c r="L28" s="1"/>
      <c r="M28" s="1"/>
      <c r="N28" s="1"/>
      <c r="O28" s="1"/>
      <c r="P28" s="1"/>
      <c r="Q28" s="1"/>
      <c r="R28" s="1"/>
      <c r="S28" s="76"/>
      <c r="T28" s="75"/>
      <c r="W28" s="220"/>
      <c r="X28" s="222"/>
    </row>
    <row r="29" spans="2:24" ht="15" customHeight="1" x14ac:dyDescent="0.25">
      <c r="B29" s="5"/>
      <c r="C29" s="107"/>
      <c r="D29" s="107"/>
      <c r="E29" s="107"/>
      <c r="F29" s="1"/>
      <c r="G29" s="1"/>
      <c r="H29" s="1"/>
      <c r="I29" s="1"/>
      <c r="J29" s="1"/>
      <c r="K29" s="1"/>
      <c r="L29" s="1"/>
      <c r="M29" s="1"/>
      <c r="N29" s="1"/>
      <c r="O29" s="1"/>
      <c r="P29" s="1"/>
      <c r="Q29" s="1"/>
      <c r="R29" s="1"/>
      <c r="S29" s="76"/>
      <c r="T29" s="75"/>
      <c r="W29" s="200"/>
      <c r="X29" s="201"/>
    </row>
    <row r="30" spans="2:24" ht="15" customHeight="1" x14ac:dyDescent="0.25">
      <c r="B30" s="5"/>
      <c r="C30" s="122"/>
      <c r="D30" s="125"/>
      <c r="E30" s="123"/>
      <c r="F30" s="1"/>
      <c r="G30" s="1"/>
      <c r="H30" s="1"/>
      <c r="I30" s="1"/>
      <c r="J30" s="1"/>
      <c r="K30" s="1"/>
      <c r="L30" s="1"/>
      <c r="M30" s="1"/>
      <c r="N30" s="1"/>
      <c r="O30" s="1"/>
      <c r="P30" s="1"/>
      <c r="Q30" s="1"/>
      <c r="R30" s="1"/>
      <c r="S30" s="76"/>
      <c r="T30" s="75"/>
      <c r="W30" s="200"/>
      <c r="X30" s="201"/>
    </row>
    <row r="31" spans="2:24" ht="15" customHeight="1" x14ac:dyDescent="0.25">
      <c r="B31" s="5"/>
      <c r="C31" s="120"/>
      <c r="D31" s="121"/>
      <c r="E31" s="107"/>
      <c r="F31" s="1"/>
      <c r="G31" s="1"/>
      <c r="H31" s="1"/>
      <c r="I31" s="1"/>
      <c r="J31" s="1"/>
      <c r="K31" s="1"/>
      <c r="L31" s="1"/>
      <c r="M31" s="1"/>
      <c r="N31" s="1"/>
      <c r="O31" s="1"/>
      <c r="P31" s="1"/>
      <c r="Q31" s="1"/>
      <c r="R31" s="1"/>
      <c r="S31" s="76"/>
      <c r="T31" s="75"/>
      <c r="W31" s="166"/>
      <c r="X31" s="166"/>
    </row>
    <row r="32" spans="2:24" ht="15" customHeight="1" x14ac:dyDescent="0.25">
      <c r="B32" s="5"/>
      <c r="C32" s="122"/>
      <c r="D32" s="125"/>
      <c r="E32" s="126"/>
      <c r="F32" s="1"/>
      <c r="G32" s="1"/>
      <c r="H32" s="1"/>
      <c r="I32" s="1"/>
      <c r="J32" s="1"/>
      <c r="K32" s="1"/>
      <c r="L32" s="1"/>
      <c r="M32" s="1"/>
      <c r="N32" s="1"/>
      <c r="O32" s="1"/>
      <c r="P32" s="1"/>
      <c r="Q32" s="1"/>
      <c r="R32" s="1"/>
      <c r="S32" s="76"/>
      <c r="T32" s="75"/>
      <c r="W32" s="166"/>
      <c r="X32" s="166"/>
    </row>
    <row r="33" spans="2:24" ht="15" customHeight="1" x14ac:dyDescent="0.25">
      <c r="B33" s="5"/>
      <c r="C33" s="107"/>
      <c r="D33" s="107"/>
      <c r="E33" s="107"/>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294" t="s">
        <v>147</v>
      </c>
      <c r="C38" s="295"/>
      <c r="D38" s="295"/>
      <c r="E38" s="295"/>
      <c r="F38" s="295"/>
      <c r="G38" s="295"/>
      <c r="H38" s="295"/>
      <c r="I38" s="295"/>
      <c r="J38" s="295"/>
      <c r="K38" s="295"/>
      <c r="L38" s="295"/>
      <c r="M38" s="295"/>
      <c r="N38" s="296"/>
    </row>
    <row r="39" spans="2:24" ht="15" customHeight="1" x14ac:dyDescent="0.25">
      <c r="B39" s="297"/>
      <c r="C39" s="298"/>
      <c r="D39" s="298"/>
      <c r="E39" s="298"/>
      <c r="F39" s="298"/>
      <c r="G39" s="298"/>
      <c r="H39" s="298"/>
      <c r="I39" s="298"/>
      <c r="J39" s="298"/>
      <c r="K39" s="298"/>
      <c r="L39" s="298"/>
      <c r="M39" s="298"/>
      <c r="N39" s="299"/>
    </row>
    <row r="40" spans="2:24" ht="15" customHeight="1" x14ac:dyDescent="0.25">
      <c r="B40" s="297"/>
      <c r="C40" s="298"/>
      <c r="D40" s="298"/>
      <c r="E40" s="298"/>
      <c r="F40" s="298"/>
      <c r="G40" s="298"/>
      <c r="H40" s="298"/>
      <c r="I40" s="298"/>
      <c r="J40" s="298"/>
      <c r="K40" s="298"/>
      <c r="L40" s="298"/>
      <c r="M40" s="298"/>
      <c r="N40" s="299"/>
    </row>
    <row r="41" spans="2:24" ht="15" customHeight="1" x14ac:dyDescent="0.25">
      <c r="B41" s="297"/>
      <c r="C41" s="298"/>
      <c r="D41" s="298"/>
      <c r="E41" s="298"/>
      <c r="F41" s="298"/>
      <c r="G41" s="298"/>
      <c r="H41" s="298"/>
      <c r="I41" s="298"/>
      <c r="J41" s="298"/>
      <c r="K41" s="298"/>
      <c r="L41" s="298"/>
      <c r="M41" s="298"/>
      <c r="N41" s="299"/>
    </row>
    <row r="42" spans="2:24" ht="15" customHeight="1" x14ac:dyDescent="0.25">
      <c r="B42" s="297"/>
      <c r="C42" s="298"/>
      <c r="D42" s="298"/>
      <c r="E42" s="298"/>
      <c r="F42" s="298"/>
      <c r="G42" s="298"/>
      <c r="H42" s="298"/>
      <c r="I42" s="298"/>
      <c r="J42" s="298"/>
      <c r="K42" s="298"/>
      <c r="L42" s="298"/>
      <c r="M42" s="298"/>
      <c r="N42" s="299"/>
    </row>
    <row r="43" spans="2:24" ht="15" customHeight="1" x14ac:dyDescent="0.25">
      <c r="B43" s="297"/>
      <c r="C43" s="298"/>
      <c r="D43" s="298"/>
      <c r="E43" s="298"/>
      <c r="F43" s="298"/>
      <c r="G43" s="298"/>
      <c r="H43" s="298"/>
      <c r="I43" s="298"/>
      <c r="J43" s="298"/>
      <c r="K43" s="298"/>
      <c r="L43" s="298"/>
      <c r="M43" s="298"/>
      <c r="N43" s="299"/>
    </row>
    <row r="44" spans="2:24" ht="15" customHeight="1" thickBot="1" x14ac:dyDescent="0.3">
      <c r="B44" s="300"/>
      <c r="C44" s="301"/>
      <c r="D44" s="301"/>
      <c r="E44" s="301"/>
      <c r="F44" s="301"/>
      <c r="G44" s="301"/>
      <c r="H44" s="301"/>
      <c r="I44" s="301"/>
      <c r="J44" s="301"/>
      <c r="K44" s="301"/>
      <c r="L44" s="301"/>
      <c r="M44" s="301"/>
      <c r="N44" s="302"/>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C8:E22">
    <sortCondition descending="1" ref="E8"/>
  </sortState>
  <mergeCells count="3">
    <mergeCell ref="C3:S3"/>
    <mergeCell ref="D5:E5"/>
    <mergeCell ref="B38:N44"/>
  </mergeCells>
  <pageMargins left="0.25" right="0.25" top="0.75" bottom="0.75" header="0.3" footer="0.3"/>
  <pageSetup paperSize="9" scale="55" pageOrder="overThenDown"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pageSetUpPr fitToPage="1"/>
  </sheetPr>
  <dimension ref="A1:AG64"/>
  <sheetViews>
    <sheetView showGridLines="0" view="pageBreakPreview" topLeftCell="A16" zoomScale="60"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5"/>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03" t="s">
        <v>59</v>
      </c>
      <c r="D3" s="304"/>
      <c r="E3" s="304"/>
      <c r="F3" s="304"/>
      <c r="G3" s="304"/>
      <c r="H3" s="304"/>
      <c r="I3" s="304"/>
      <c r="J3" s="304"/>
      <c r="K3" s="304"/>
      <c r="L3" s="304"/>
      <c r="M3" s="304"/>
      <c r="N3" s="304"/>
      <c r="O3" s="304"/>
      <c r="P3" s="304"/>
      <c r="Q3" s="304"/>
      <c r="R3" s="304"/>
      <c r="S3" s="305"/>
      <c r="T3" s="75"/>
    </row>
    <row r="4" spans="1:26" ht="15.75" customHeight="1" x14ac:dyDescent="0.25">
      <c r="B4" s="5"/>
      <c r="C4" s="280" t="s">
        <v>237</v>
      </c>
      <c r="D4" s="1"/>
      <c r="E4" s="1"/>
      <c r="F4" s="1"/>
      <c r="G4" s="1"/>
      <c r="H4" s="1"/>
      <c r="I4" s="1"/>
      <c r="J4" s="1"/>
      <c r="K4" s="1"/>
      <c r="L4" s="1"/>
      <c r="M4" s="1"/>
      <c r="N4" s="1"/>
      <c r="O4" s="1"/>
      <c r="P4" s="1"/>
      <c r="Q4" s="1"/>
      <c r="R4" s="1"/>
      <c r="S4" s="76"/>
      <c r="T4" s="75"/>
    </row>
    <row r="5" spans="1:26" ht="18" customHeight="1" x14ac:dyDescent="0.25">
      <c r="B5" s="5"/>
      <c r="C5" s="2" t="s">
        <v>236</v>
      </c>
      <c r="D5" s="308" t="s">
        <v>254</v>
      </c>
      <c r="E5" s="308"/>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27</v>
      </c>
      <c r="X7" s="176" t="s">
        <v>2</v>
      </c>
      <c r="Y7" s="105"/>
      <c r="Z7" s="105"/>
    </row>
    <row r="8" spans="1:26" ht="15" customHeight="1" x14ac:dyDescent="0.25">
      <c r="B8" s="5"/>
      <c r="C8" s="92" t="s">
        <v>41</v>
      </c>
      <c r="D8" s="94" t="s">
        <v>6</v>
      </c>
      <c r="E8" s="96">
        <v>0.126494</v>
      </c>
      <c r="F8" s="1"/>
      <c r="G8" s="1"/>
      <c r="H8" s="1"/>
      <c r="I8" s="1"/>
      <c r="J8" s="1"/>
      <c r="K8" s="1"/>
      <c r="L8" s="1"/>
      <c r="M8" s="1"/>
      <c r="N8" s="1"/>
      <c r="O8" s="1"/>
      <c r="P8" s="1"/>
      <c r="Q8" s="1"/>
      <c r="R8" s="1"/>
      <c r="S8" s="76"/>
      <c r="T8" s="75"/>
      <c r="W8" s="245" t="s">
        <v>3</v>
      </c>
      <c r="X8" s="246">
        <v>0.287991</v>
      </c>
      <c r="Y8" s="105"/>
      <c r="Z8" s="105"/>
    </row>
    <row r="9" spans="1:26" ht="15.75" customHeight="1" x14ac:dyDescent="0.25">
      <c r="B9" s="5"/>
      <c r="C9" s="93" t="s">
        <v>38</v>
      </c>
      <c r="D9" s="95" t="s">
        <v>3</v>
      </c>
      <c r="E9" s="97">
        <v>9.5397999999999997E-2</v>
      </c>
      <c r="F9" s="1"/>
      <c r="G9" s="1"/>
      <c r="H9" s="1"/>
      <c r="I9" s="1"/>
      <c r="J9" s="1"/>
      <c r="K9" s="1"/>
      <c r="L9" s="1"/>
      <c r="M9" s="1"/>
      <c r="N9" s="1"/>
      <c r="O9" s="1"/>
      <c r="P9" s="1"/>
      <c r="Q9" s="1"/>
      <c r="R9" s="1"/>
      <c r="S9" s="76"/>
      <c r="T9" s="75"/>
      <c r="W9" s="245" t="s">
        <v>11</v>
      </c>
      <c r="X9" s="246">
        <v>0.19716500000000001</v>
      </c>
      <c r="Y9" s="105"/>
      <c r="Z9" s="105"/>
    </row>
    <row r="10" spans="1:26" ht="15.75" x14ac:dyDescent="0.25">
      <c r="B10" s="5"/>
      <c r="C10" s="93" t="s">
        <v>37</v>
      </c>
      <c r="D10" s="95" t="s">
        <v>11</v>
      </c>
      <c r="E10" s="97">
        <v>9.4985E-2</v>
      </c>
      <c r="F10" s="1"/>
      <c r="G10" s="1"/>
      <c r="H10" s="1"/>
      <c r="I10" s="1"/>
      <c r="J10" s="1"/>
      <c r="K10" s="1"/>
      <c r="L10" s="1"/>
      <c r="M10" s="1"/>
      <c r="N10" s="1"/>
      <c r="O10" s="1"/>
      <c r="P10" s="1"/>
      <c r="Q10" s="1"/>
      <c r="R10" s="1"/>
      <c r="S10" s="76"/>
      <c r="T10" s="75"/>
      <c r="W10" s="245" t="s">
        <v>6</v>
      </c>
      <c r="X10" s="246">
        <v>0.126494</v>
      </c>
      <c r="Y10" s="105"/>
      <c r="Z10" s="105"/>
    </row>
    <row r="11" spans="1:26" ht="15.75" customHeight="1" x14ac:dyDescent="0.25">
      <c r="B11" s="5"/>
      <c r="C11" s="93" t="s">
        <v>42</v>
      </c>
      <c r="D11" s="95" t="s">
        <v>3</v>
      </c>
      <c r="E11" s="97">
        <v>8.3699999999999997E-2</v>
      </c>
      <c r="F11" s="1"/>
      <c r="G11" s="1"/>
      <c r="H11" s="1"/>
      <c r="I11" s="1"/>
      <c r="J11" s="1"/>
      <c r="K11" s="1"/>
      <c r="L11" s="1"/>
      <c r="M11" s="1"/>
      <c r="N11" s="1"/>
      <c r="O11" s="1"/>
      <c r="P11" s="1"/>
      <c r="Q11" s="1"/>
      <c r="R11" s="1"/>
      <c r="S11" s="76"/>
      <c r="T11" s="75"/>
      <c r="W11" s="245" t="s">
        <v>4</v>
      </c>
      <c r="X11" s="246">
        <v>9.5781000000000005E-2</v>
      </c>
      <c r="Y11" s="105"/>
      <c r="Z11" s="105"/>
    </row>
    <row r="12" spans="1:26" ht="15" customHeight="1" x14ac:dyDescent="0.25">
      <c r="B12" s="5"/>
      <c r="C12" s="93" t="s">
        <v>39</v>
      </c>
      <c r="D12" s="95" t="s">
        <v>4</v>
      </c>
      <c r="E12" s="97">
        <v>6.8154000000000006E-2</v>
      </c>
      <c r="F12" s="1"/>
      <c r="G12" s="1"/>
      <c r="H12" s="1"/>
      <c r="I12" s="1"/>
      <c r="J12" s="1"/>
      <c r="K12" s="1"/>
      <c r="L12" s="1"/>
      <c r="M12" s="1"/>
      <c r="N12" s="1"/>
      <c r="O12" s="1"/>
      <c r="P12" s="1"/>
      <c r="Q12" s="1"/>
      <c r="R12" s="1"/>
      <c r="S12" s="76"/>
      <c r="T12" s="75"/>
      <c r="W12" s="245" t="s">
        <v>7</v>
      </c>
      <c r="X12" s="246">
        <v>9.1958999999999999E-2</v>
      </c>
      <c r="Y12" s="105"/>
      <c r="Z12" s="105"/>
    </row>
    <row r="13" spans="1:26" ht="15" customHeight="1" x14ac:dyDescent="0.25">
      <c r="B13" s="5"/>
      <c r="C13" s="93" t="s">
        <v>43</v>
      </c>
      <c r="D13" s="95" t="s">
        <v>11</v>
      </c>
      <c r="E13" s="97">
        <v>5.8605999999999998E-2</v>
      </c>
      <c r="F13" s="1"/>
      <c r="G13" s="1"/>
      <c r="H13" s="1"/>
      <c r="I13" s="1"/>
      <c r="J13" s="1"/>
      <c r="K13" s="1"/>
      <c r="L13" s="1"/>
      <c r="M13" s="1"/>
      <c r="N13" s="1"/>
      <c r="O13" s="1"/>
      <c r="P13" s="1"/>
      <c r="Q13" s="1"/>
      <c r="R13" s="1"/>
      <c r="S13" s="76"/>
      <c r="T13" s="75"/>
      <c r="W13" s="245" t="s">
        <v>9</v>
      </c>
      <c r="X13" s="246">
        <v>3.5589000000000003E-2</v>
      </c>
      <c r="Y13" s="105"/>
      <c r="Z13" s="105"/>
    </row>
    <row r="14" spans="1:26" ht="15" customHeight="1" x14ac:dyDescent="0.25">
      <c r="B14" s="5"/>
      <c r="C14" s="93" t="s">
        <v>45</v>
      </c>
      <c r="D14" s="95" t="s">
        <v>3</v>
      </c>
      <c r="E14" s="97">
        <v>3.7392000000000002E-2</v>
      </c>
      <c r="F14" s="1"/>
      <c r="G14" s="1"/>
      <c r="H14" s="1"/>
      <c r="I14" s="1"/>
      <c r="J14" s="1"/>
      <c r="K14" s="1"/>
      <c r="L14" s="1"/>
      <c r="M14" s="1"/>
      <c r="N14" s="1"/>
      <c r="O14" s="1"/>
      <c r="P14" s="1"/>
      <c r="Q14" s="1"/>
      <c r="R14" s="1"/>
      <c r="S14" s="76"/>
      <c r="T14" s="75"/>
      <c r="W14" s="245" t="s">
        <v>17</v>
      </c>
      <c r="X14" s="246">
        <v>2.8576999999999998E-2</v>
      </c>
      <c r="Y14" s="105"/>
      <c r="Z14" s="105"/>
    </row>
    <row r="15" spans="1:26" ht="15" customHeight="1" x14ac:dyDescent="0.25">
      <c r="B15" s="5"/>
      <c r="C15" s="93" t="s">
        <v>44</v>
      </c>
      <c r="D15" s="95" t="s">
        <v>9</v>
      </c>
      <c r="E15" s="97">
        <v>3.5589000000000003E-2</v>
      </c>
      <c r="F15" s="1"/>
      <c r="G15" s="1"/>
      <c r="H15" s="1"/>
      <c r="I15" s="1"/>
      <c r="J15" s="1"/>
      <c r="K15" s="1"/>
      <c r="L15" s="1"/>
      <c r="M15" s="1"/>
      <c r="N15" s="1"/>
      <c r="O15" s="1"/>
      <c r="P15" s="1"/>
      <c r="Q15" s="1"/>
      <c r="R15" s="1"/>
      <c r="S15" s="76"/>
      <c r="T15" s="75"/>
      <c r="W15" s="245" t="s">
        <v>14</v>
      </c>
      <c r="X15" s="246">
        <v>2.6207000000000001E-2</v>
      </c>
      <c r="Y15" s="105"/>
      <c r="Z15" s="105"/>
    </row>
    <row r="16" spans="1:26" ht="15" customHeight="1" x14ac:dyDescent="0.25">
      <c r="B16" s="5"/>
      <c r="C16" s="93" t="s">
        <v>140</v>
      </c>
      <c r="D16" s="95" t="s">
        <v>3</v>
      </c>
      <c r="E16" s="97">
        <v>3.218E-2</v>
      </c>
      <c r="F16" s="1"/>
      <c r="G16" s="1"/>
      <c r="H16" s="1"/>
      <c r="I16" s="1"/>
      <c r="J16" s="1"/>
      <c r="K16" s="1"/>
      <c r="L16" s="1"/>
      <c r="M16" s="1"/>
      <c r="N16" s="1"/>
      <c r="O16" s="1"/>
      <c r="P16" s="1"/>
      <c r="Q16" s="1"/>
      <c r="R16" s="1"/>
      <c r="S16" s="76"/>
      <c r="T16" s="75"/>
      <c r="W16" s="245" t="s">
        <v>12</v>
      </c>
      <c r="X16" s="246">
        <v>2.1391E-2</v>
      </c>
      <c r="Y16" s="105"/>
      <c r="Z16" s="105"/>
    </row>
    <row r="17" spans="2:26" ht="15" customHeight="1" x14ac:dyDescent="0.25">
      <c r="B17" s="5"/>
      <c r="C17" s="93" t="s">
        <v>46</v>
      </c>
      <c r="D17" s="95" t="s">
        <v>3</v>
      </c>
      <c r="E17" s="97">
        <v>3.108E-2</v>
      </c>
      <c r="F17" s="1"/>
      <c r="G17" s="1"/>
      <c r="H17" s="1"/>
      <c r="I17" s="1"/>
      <c r="J17" s="1"/>
      <c r="K17" s="1"/>
      <c r="L17" s="1"/>
      <c r="M17" s="1"/>
      <c r="N17" s="1"/>
      <c r="O17" s="1"/>
      <c r="P17" s="1"/>
      <c r="Q17" s="1"/>
      <c r="R17" s="1"/>
      <c r="S17" s="76"/>
      <c r="T17" s="75"/>
      <c r="W17" s="245" t="s">
        <v>8</v>
      </c>
      <c r="X17" s="246">
        <v>2.1228999999999998E-2</v>
      </c>
      <c r="Y17" s="105"/>
      <c r="Z17" s="105"/>
    </row>
    <row r="18" spans="2:26" ht="15" customHeight="1" x14ac:dyDescent="0.25">
      <c r="B18" s="5"/>
      <c r="C18" s="93" t="s">
        <v>47</v>
      </c>
      <c r="D18" s="95" t="s">
        <v>7</v>
      </c>
      <c r="E18" s="97">
        <v>3.1029000000000001E-2</v>
      </c>
      <c r="F18" s="1"/>
      <c r="G18" s="1"/>
      <c r="H18" s="1"/>
      <c r="I18" s="1"/>
      <c r="J18" s="1"/>
      <c r="K18" s="1"/>
      <c r="L18" s="1"/>
      <c r="M18" s="1"/>
      <c r="N18" s="1"/>
      <c r="O18" s="1"/>
      <c r="P18" s="1"/>
      <c r="Q18" s="1"/>
      <c r="R18" s="1"/>
      <c r="S18" s="76"/>
      <c r="T18" s="75"/>
      <c r="W18" s="245" t="s">
        <v>149</v>
      </c>
      <c r="X18" s="246">
        <v>1.6201E-2</v>
      </c>
      <c r="Y18" s="105"/>
      <c r="Z18" s="105"/>
    </row>
    <row r="19" spans="2:26" ht="15" customHeight="1" x14ac:dyDescent="0.25">
      <c r="B19" s="5"/>
      <c r="C19" s="93" t="s">
        <v>40</v>
      </c>
      <c r="D19" s="95" t="s">
        <v>7</v>
      </c>
      <c r="E19" s="97">
        <v>2.9323999999999999E-2</v>
      </c>
      <c r="F19" s="1"/>
      <c r="G19" s="1"/>
      <c r="H19" s="1"/>
      <c r="I19" s="1"/>
      <c r="J19" s="1"/>
      <c r="K19" s="1"/>
      <c r="L19" s="1"/>
      <c r="M19" s="1"/>
      <c r="N19" s="1"/>
      <c r="O19" s="1"/>
      <c r="P19" s="1"/>
      <c r="Q19" s="1"/>
      <c r="R19" s="1"/>
      <c r="S19" s="76"/>
      <c r="T19" s="75"/>
      <c r="W19" s="245" t="s">
        <v>21</v>
      </c>
      <c r="X19" s="246">
        <v>1.5061E-2</v>
      </c>
      <c r="Y19" s="105"/>
      <c r="Z19" s="105"/>
    </row>
    <row r="20" spans="2:26" ht="15" customHeight="1" x14ac:dyDescent="0.25">
      <c r="B20" s="5"/>
      <c r="C20" s="93" t="s">
        <v>142</v>
      </c>
      <c r="D20" s="95" t="s">
        <v>4</v>
      </c>
      <c r="E20" s="97">
        <v>2.7626999999999999E-2</v>
      </c>
      <c r="F20" s="1"/>
      <c r="G20" s="1"/>
      <c r="H20" s="1"/>
      <c r="I20" s="1"/>
      <c r="J20" s="1"/>
      <c r="K20" s="1"/>
      <c r="L20" s="1"/>
      <c r="M20" s="1"/>
      <c r="N20" s="1"/>
      <c r="O20" s="1"/>
      <c r="P20" s="1"/>
      <c r="Q20" s="1"/>
      <c r="R20" s="1"/>
      <c r="S20" s="76"/>
      <c r="T20" s="75"/>
      <c r="W20" s="245" t="s">
        <v>152</v>
      </c>
      <c r="X20" s="246">
        <v>1.4662E-2</v>
      </c>
      <c r="Y20" s="105"/>
      <c r="Z20" s="105"/>
    </row>
    <row r="21" spans="2:26" ht="15" customHeight="1" x14ac:dyDescent="0.25">
      <c r="B21" s="5"/>
      <c r="C21" s="93" t="s">
        <v>113</v>
      </c>
      <c r="D21" s="95" t="s">
        <v>14</v>
      </c>
      <c r="E21" s="97">
        <v>2.6207000000000001E-2</v>
      </c>
      <c r="F21" s="1"/>
      <c r="G21" s="1"/>
      <c r="H21" s="1"/>
      <c r="I21" s="1"/>
      <c r="J21" s="1"/>
      <c r="K21" s="1"/>
      <c r="L21" s="1"/>
      <c r="M21" s="1"/>
      <c r="N21" s="1"/>
      <c r="O21" s="1"/>
      <c r="P21" s="1"/>
      <c r="Q21" s="1"/>
      <c r="R21" s="1"/>
      <c r="S21" s="76"/>
      <c r="T21" s="75"/>
      <c r="W21" s="245" t="s">
        <v>13</v>
      </c>
      <c r="X21" s="246">
        <v>1.4279999999999999E-2</v>
      </c>
      <c r="Y21" s="105"/>
      <c r="Z21" s="105"/>
    </row>
    <row r="22" spans="2:26" ht="15" customHeight="1" x14ac:dyDescent="0.25">
      <c r="B22" s="5"/>
      <c r="C22" s="93" t="s">
        <v>48</v>
      </c>
      <c r="D22" s="95" t="s">
        <v>7</v>
      </c>
      <c r="E22" s="97">
        <v>2.1683999999999998E-2</v>
      </c>
      <c r="F22" s="1"/>
      <c r="G22" s="1"/>
      <c r="H22" s="1"/>
      <c r="I22" s="1"/>
      <c r="J22" s="1"/>
      <c r="K22" s="1"/>
      <c r="L22" s="1"/>
      <c r="M22" s="1"/>
      <c r="N22" s="1"/>
      <c r="O22" s="1"/>
      <c r="P22" s="1"/>
      <c r="Q22" s="1"/>
      <c r="R22" s="1"/>
      <c r="S22" s="76"/>
      <c r="T22" s="75"/>
      <c r="W22" s="105"/>
      <c r="X22" s="105"/>
      <c r="Y22" s="105"/>
      <c r="Z22" s="105"/>
    </row>
    <row r="23" spans="2:26" ht="15" customHeight="1" x14ac:dyDescent="0.25">
      <c r="B23" s="5"/>
      <c r="C23" s="68"/>
      <c r="D23" s="68"/>
      <c r="E23" s="90"/>
      <c r="F23" s="1"/>
      <c r="G23" s="1"/>
      <c r="H23" s="1"/>
      <c r="I23" s="1"/>
      <c r="J23" s="1"/>
      <c r="K23" s="1"/>
      <c r="L23" s="1"/>
      <c r="M23" s="1"/>
      <c r="N23" s="1"/>
      <c r="O23" s="1"/>
      <c r="P23" s="1"/>
      <c r="Q23" s="1"/>
      <c r="R23" s="1"/>
      <c r="S23" s="76"/>
      <c r="T23" s="75"/>
      <c r="W23" s="245"/>
      <c r="X23" s="246"/>
      <c r="Y23" s="105"/>
      <c r="Z23" s="105"/>
    </row>
    <row r="24" spans="2:26" ht="15" customHeight="1" x14ac:dyDescent="0.25">
      <c r="B24" s="5"/>
      <c r="C24" s="69" t="s">
        <v>77</v>
      </c>
      <c r="D24" s="71"/>
      <c r="E24" s="64">
        <f>SUM(E8:E22)</f>
        <v>0.79944899999999985</v>
      </c>
      <c r="F24" s="1"/>
      <c r="G24" s="1"/>
      <c r="H24" s="1"/>
      <c r="I24" s="1"/>
      <c r="J24" s="1"/>
      <c r="K24" s="1"/>
      <c r="L24" s="1"/>
      <c r="M24" s="1"/>
      <c r="N24" s="1"/>
      <c r="O24" s="1"/>
      <c r="P24" s="1"/>
      <c r="Q24" s="1"/>
      <c r="R24" s="1"/>
      <c r="S24" s="76"/>
      <c r="T24" s="75"/>
      <c r="W24" s="245"/>
      <c r="X24" s="246"/>
      <c r="Y24" s="105"/>
      <c r="Z24" s="105"/>
    </row>
    <row r="25" spans="2:26" ht="15" customHeight="1" x14ac:dyDescent="0.25">
      <c r="B25" s="5"/>
      <c r="F25" s="1"/>
      <c r="G25" s="1"/>
      <c r="H25" s="1"/>
      <c r="I25" s="1"/>
      <c r="J25" s="1"/>
      <c r="K25" s="1"/>
      <c r="L25" s="1"/>
      <c r="M25" s="1"/>
      <c r="N25" s="1"/>
      <c r="O25" s="1"/>
      <c r="P25" s="1"/>
      <c r="Q25" s="1"/>
      <c r="R25" s="1"/>
      <c r="S25" s="76"/>
      <c r="T25" s="75"/>
      <c r="W25" s="245"/>
      <c r="X25" s="246"/>
      <c r="Y25" s="105"/>
      <c r="Z25" s="105"/>
    </row>
    <row r="26" spans="2:26" ht="15" customHeight="1" x14ac:dyDescent="0.25">
      <c r="B26" s="5"/>
      <c r="F26" s="1"/>
      <c r="G26" s="1"/>
      <c r="H26" s="1"/>
      <c r="I26" s="1"/>
      <c r="J26" s="1"/>
      <c r="K26" s="1"/>
      <c r="L26" s="1"/>
      <c r="M26" s="1"/>
      <c r="N26" s="1"/>
      <c r="O26" s="1"/>
      <c r="P26" s="1"/>
      <c r="Q26" s="1"/>
      <c r="R26" s="1"/>
      <c r="S26" s="76"/>
      <c r="T26" s="75"/>
      <c r="W26" s="245"/>
      <c r="X26" s="246"/>
      <c r="Y26" s="105"/>
      <c r="Z26" s="105"/>
    </row>
    <row r="27" spans="2:26" ht="15" customHeight="1" x14ac:dyDescent="0.25">
      <c r="B27" s="5"/>
      <c r="F27" s="1"/>
      <c r="G27" s="1"/>
      <c r="H27" s="1"/>
      <c r="I27" s="1"/>
      <c r="J27" s="1"/>
      <c r="K27" s="1"/>
      <c r="L27" s="1"/>
      <c r="M27" s="1"/>
      <c r="N27" s="1"/>
      <c r="O27" s="1"/>
      <c r="P27" s="1"/>
      <c r="Q27" s="1"/>
      <c r="R27" s="1"/>
      <c r="S27" s="76"/>
      <c r="T27" s="75"/>
      <c r="W27" s="245"/>
      <c r="X27" s="246"/>
      <c r="Y27" s="105"/>
      <c r="Z27" s="105"/>
    </row>
    <row r="28" spans="2:26" ht="15" customHeight="1" x14ac:dyDescent="0.25">
      <c r="B28" s="5"/>
      <c r="F28" s="1"/>
      <c r="G28" s="1"/>
      <c r="H28" s="1"/>
      <c r="I28" s="1"/>
      <c r="J28" s="1"/>
      <c r="K28" s="1"/>
      <c r="L28" s="1"/>
      <c r="M28" s="1"/>
      <c r="N28" s="1"/>
      <c r="O28" s="1"/>
      <c r="P28" s="1"/>
      <c r="Q28" s="1"/>
      <c r="R28" s="1"/>
      <c r="S28" s="76"/>
      <c r="T28" s="75"/>
      <c r="W28" s="245"/>
      <c r="X28" s="246"/>
      <c r="Y28" s="105"/>
      <c r="Z28" s="105"/>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5"/>
      <c r="AB37" s="105"/>
      <c r="AC37" s="105"/>
      <c r="AD37" s="105"/>
      <c r="AE37" s="105"/>
      <c r="AF37" s="105"/>
      <c r="AG37" s="105"/>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5"/>
      <c r="AB38" s="105"/>
      <c r="AC38" s="105"/>
      <c r="AD38" s="105"/>
      <c r="AE38" s="105"/>
      <c r="AF38" s="105"/>
      <c r="AG38" s="105"/>
    </row>
    <row r="39" spans="1:33" s="10" customFormat="1" ht="15" customHeight="1" x14ac:dyDescent="0.25">
      <c r="A39"/>
      <c r="B39" s="294" t="s">
        <v>147</v>
      </c>
      <c r="C39" s="295"/>
      <c r="D39" s="295"/>
      <c r="E39" s="295"/>
      <c r="F39" s="295"/>
      <c r="G39" s="295"/>
      <c r="H39" s="295"/>
      <c r="I39" s="295"/>
      <c r="J39" s="295"/>
      <c r="K39" s="295"/>
      <c r="L39" s="295"/>
      <c r="M39" s="295"/>
      <c r="N39" s="296"/>
      <c r="O39"/>
      <c r="P39"/>
      <c r="Q39"/>
      <c r="R39"/>
      <c r="S39" s="9"/>
      <c r="T39" s="9"/>
      <c r="U39" s="9"/>
      <c r="V39" s="9"/>
      <c r="W39" s="165"/>
      <c r="X39" s="165"/>
      <c r="Y39" s="165"/>
      <c r="Z39" s="165"/>
      <c r="AA39" s="105"/>
      <c r="AB39" s="105"/>
      <c r="AC39" s="105"/>
      <c r="AD39" s="105"/>
      <c r="AE39" s="105"/>
      <c r="AF39" s="105"/>
      <c r="AG39" s="105"/>
    </row>
    <row r="40" spans="1:33" s="10" customFormat="1" ht="15" customHeight="1" x14ac:dyDescent="0.25">
      <c r="A40"/>
      <c r="B40" s="297"/>
      <c r="C40" s="298"/>
      <c r="D40" s="298"/>
      <c r="E40" s="298"/>
      <c r="F40" s="298"/>
      <c r="G40" s="298"/>
      <c r="H40" s="298"/>
      <c r="I40" s="298"/>
      <c r="J40" s="298"/>
      <c r="K40" s="298"/>
      <c r="L40" s="298"/>
      <c r="M40" s="298"/>
      <c r="N40" s="299"/>
      <c r="O40"/>
      <c r="P40"/>
      <c r="Q40"/>
      <c r="R40"/>
      <c r="S40" s="9"/>
      <c r="T40" s="9"/>
      <c r="U40" s="9"/>
      <c r="V40" s="9"/>
      <c r="W40" s="165"/>
      <c r="X40" s="165"/>
      <c r="Y40" s="165"/>
      <c r="Z40" s="165"/>
      <c r="AA40" s="105"/>
      <c r="AB40" s="105"/>
      <c r="AC40" s="105"/>
      <c r="AD40" s="105"/>
      <c r="AE40" s="105"/>
      <c r="AF40" s="105"/>
      <c r="AG40" s="105"/>
    </row>
    <row r="41" spans="1:33" s="10" customFormat="1" ht="15" customHeight="1" x14ac:dyDescent="0.25">
      <c r="A41"/>
      <c r="B41" s="297"/>
      <c r="C41" s="298"/>
      <c r="D41" s="298"/>
      <c r="E41" s="298"/>
      <c r="F41" s="298"/>
      <c r="G41" s="298"/>
      <c r="H41" s="298"/>
      <c r="I41" s="298"/>
      <c r="J41" s="298"/>
      <c r="K41" s="298"/>
      <c r="L41" s="298"/>
      <c r="M41" s="298"/>
      <c r="N41" s="299"/>
      <c r="O41"/>
      <c r="P41"/>
      <c r="Q41"/>
      <c r="R41"/>
      <c r="S41" s="9"/>
      <c r="T41" s="9"/>
      <c r="U41" s="9"/>
      <c r="V41" s="9"/>
      <c r="W41" s="165"/>
      <c r="X41" s="165"/>
      <c r="Y41" s="165"/>
      <c r="Z41" s="165"/>
      <c r="AA41" s="105"/>
      <c r="AB41" s="105"/>
      <c r="AC41" s="105"/>
      <c r="AD41" s="105"/>
      <c r="AE41" s="105"/>
      <c r="AF41" s="105"/>
      <c r="AG41" s="105"/>
    </row>
    <row r="42" spans="1:33" s="10" customFormat="1" ht="15" customHeight="1" x14ac:dyDescent="0.25">
      <c r="A42"/>
      <c r="B42" s="297"/>
      <c r="C42" s="298"/>
      <c r="D42" s="298"/>
      <c r="E42" s="298"/>
      <c r="F42" s="298"/>
      <c r="G42" s="298"/>
      <c r="H42" s="298"/>
      <c r="I42" s="298"/>
      <c r="J42" s="298"/>
      <c r="K42" s="298"/>
      <c r="L42" s="298"/>
      <c r="M42" s="298"/>
      <c r="N42" s="299"/>
      <c r="O42"/>
      <c r="P42"/>
      <c r="Q42"/>
      <c r="R42"/>
      <c r="S42" s="9"/>
      <c r="T42" s="9"/>
      <c r="U42" s="9"/>
      <c r="V42" s="9"/>
      <c r="W42" s="165"/>
      <c r="X42" s="165"/>
      <c r="Y42" s="165"/>
      <c r="Z42" s="165"/>
      <c r="AA42" s="105"/>
      <c r="AB42" s="105"/>
      <c r="AC42" s="105"/>
      <c r="AD42" s="105"/>
      <c r="AE42" s="105"/>
      <c r="AF42" s="105"/>
      <c r="AG42" s="105"/>
    </row>
    <row r="43" spans="1:33" s="10" customFormat="1" ht="15" customHeight="1" x14ac:dyDescent="0.25">
      <c r="A43"/>
      <c r="B43" s="297"/>
      <c r="C43" s="298"/>
      <c r="D43" s="298"/>
      <c r="E43" s="298"/>
      <c r="F43" s="298"/>
      <c r="G43" s="298"/>
      <c r="H43" s="298"/>
      <c r="I43" s="298"/>
      <c r="J43" s="298"/>
      <c r="K43" s="298"/>
      <c r="L43" s="298"/>
      <c r="M43" s="298"/>
      <c r="N43" s="299"/>
      <c r="O43"/>
      <c r="P43"/>
      <c r="Q43"/>
      <c r="R43"/>
      <c r="S43" s="9"/>
      <c r="T43" s="9"/>
      <c r="U43" s="9"/>
      <c r="V43" s="9"/>
      <c r="W43" s="165"/>
      <c r="X43" s="165"/>
      <c r="Y43" s="165"/>
      <c r="Z43" s="165"/>
      <c r="AA43" s="105"/>
      <c r="AB43" s="105"/>
      <c r="AC43" s="105"/>
      <c r="AD43" s="105"/>
      <c r="AE43" s="105"/>
      <c r="AF43" s="105"/>
      <c r="AG43" s="105"/>
    </row>
    <row r="44" spans="1:33" ht="15" customHeight="1" x14ac:dyDescent="0.25">
      <c r="B44" s="297"/>
      <c r="C44" s="298"/>
      <c r="D44" s="298"/>
      <c r="E44" s="298"/>
      <c r="F44" s="298"/>
      <c r="G44" s="298"/>
      <c r="H44" s="298"/>
      <c r="I44" s="298"/>
      <c r="J44" s="298"/>
      <c r="K44" s="298"/>
      <c r="L44" s="298"/>
      <c r="M44" s="298"/>
      <c r="N44" s="299"/>
    </row>
    <row r="45" spans="1:33" ht="15" customHeight="1" thickBot="1" x14ac:dyDescent="0.3">
      <c r="B45" s="300"/>
      <c r="C45" s="301"/>
      <c r="D45" s="301"/>
      <c r="E45" s="301"/>
      <c r="F45" s="301"/>
      <c r="G45" s="301"/>
      <c r="H45" s="301"/>
      <c r="I45" s="301"/>
      <c r="J45" s="301"/>
      <c r="K45" s="301"/>
      <c r="L45" s="301"/>
      <c r="M45" s="301"/>
      <c r="N45" s="302"/>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25" right="0.25" top="0.75" bottom="0.75" header="0.3" footer="0.3"/>
  <pageSetup scale="54" orientation="landscape" horizontalDpi="1200" verticalDpi="1200" r:id="rId1"/>
  <colBreaks count="1" manualBreakCount="1">
    <brk id="22" max="104857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pageSetUpPr fitToPage="1"/>
  </sheetPr>
  <dimension ref="A1:AE67"/>
  <sheetViews>
    <sheetView showGridLines="0" view="pageBreakPreview" zoomScale="60" zoomScaleNormal="77" workbookViewId="0">
      <selection activeCell="C14" sqref="C14"/>
    </sheetView>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5"/>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3" t="s">
        <v>58</v>
      </c>
      <c r="D3" s="304"/>
      <c r="E3" s="304"/>
      <c r="F3" s="304"/>
      <c r="G3" s="304"/>
      <c r="H3" s="304"/>
      <c r="I3" s="304"/>
      <c r="J3" s="304"/>
      <c r="K3" s="304"/>
      <c r="L3" s="304"/>
      <c r="M3" s="304"/>
      <c r="N3" s="304"/>
      <c r="O3" s="304"/>
      <c r="P3" s="304"/>
      <c r="Q3" s="304"/>
      <c r="R3" s="304"/>
      <c r="S3" s="305"/>
      <c r="T3" s="75"/>
    </row>
    <row r="4" spans="1:24" ht="15.75" customHeight="1" x14ac:dyDescent="0.25">
      <c r="B4" s="5"/>
      <c r="C4" s="280" t="s">
        <v>237</v>
      </c>
      <c r="D4" s="1"/>
      <c r="E4" s="1"/>
      <c r="F4" s="1"/>
      <c r="G4" s="1"/>
      <c r="H4" s="1"/>
      <c r="I4" s="1"/>
      <c r="J4" s="1"/>
      <c r="K4" s="1"/>
      <c r="L4" s="1"/>
      <c r="M4" s="1"/>
      <c r="N4" s="1"/>
      <c r="O4" s="1"/>
      <c r="P4" s="1"/>
      <c r="Q4" s="1"/>
      <c r="R4" s="1"/>
      <c r="S4" s="76"/>
      <c r="T4" s="75"/>
    </row>
    <row r="5" spans="1:24" ht="18" customHeight="1" x14ac:dyDescent="0.25">
      <c r="B5" s="5"/>
      <c r="C5" s="2" t="s">
        <v>236</v>
      </c>
      <c r="D5" s="308" t="s">
        <v>255</v>
      </c>
      <c r="E5" s="308"/>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27</v>
      </c>
      <c r="X7" s="166" t="s">
        <v>2</v>
      </c>
    </row>
    <row r="8" spans="1:24" ht="15" customHeight="1" x14ac:dyDescent="0.25">
      <c r="B8" s="5"/>
      <c r="C8" s="314" t="s">
        <v>41</v>
      </c>
      <c r="D8" s="315" t="s">
        <v>6</v>
      </c>
      <c r="E8" s="320">
        <v>0.109759</v>
      </c>
      <c r="F8" s="1"/>
      <c r="G8" s="1"/>
      <c r="H8" s="1"/>
      <c r="I8" s="1"/>
      <c r="J8" s="1"/>
      <c r="K8" s="1"/>
      <c r="L8" s="1"/>
      <c r="M8" s="1"/>
      <c r="N8" s="1"/>
      <c r="O8" s="1"/>
      <c r="P8" s="1"/>
      <c r="Q8" s="1"/>
      <c r="R8" s="1"/>
      <c r="S8" s="76"/>
      <c r="T8" s="75"/>
      <c r="W8" s="200" t="s">
        <v>3</v>
      </c>
      <c r="X8" s="201">
        <v>0.24915000000000001</v>
      </c>
    </row>
    <row r="9" spans="1:24" ht="15.75" customHeight="1" x14ac:dyDescent="0.25">
      <c r="B9" s="5"/>
      <c r="C9" s="317" t="s">
        <v>37</v>
      </c>
      <c r="D9" s="318" t="s">
        <v>11</v>
      </c>
      <c r="E9" s="321">
        <v>8.5792999999999994E-2</v>
      </c>
      <c r="F9" s="1"/>
      <c r="G9" s="1"/>
      <c r="H9" s="1"/>
      <c r="I9" s="1"/>
      <c r="J9" s="1"/>
      <c r="K9" s="1"/>
      <c r="L9" s="1"/>
      <c r="M9" s="1"/>
      <c r="N9" s="1"/>
      <c r="O9" s="1"/>
      <c r="P9" s="1"/>
      <c r="Q9" s="1"/>
      <c r="R9" s="1"/>
      <c r="S9" s="76"/>
      <c r="T9" s="75"/>
      <c r="W9" s="200" t="s">
        <v>11</v>
      </c>
      <c r="X9" s="201">
        <v>0.17485299999999998</v>
      </c>
    </row>
    <row r="10" spans="1:24" ht="15.75" x14ac:dyDescent="0.25">
      <c r="B10" s="5"/>
      <c r="C10" s="317" t="s">
        <v>38</v>
      </c>
      <c r="D10" s="318" t="s">
        <v>3</v>
      </c>
      <c r="E10" s="321">
        <v>8.4218000000000001E-2</v>
      </c>
      <c r="F10" s="1"/>
      <c r="G10" s="1"/>
      <c r="H10" s="1"/>
      <c r="I10" s="1"/>
      <c r="J10" s="1"/>
      <c r="K10" s="1"/>
      <c r="L10" s="1"/>
      <c r="M10" s="1"/>
      <c r="N10" s="1"/>
      <c r="O10" s="1"/>
      <c r="P10" s="1"/>
      <c r="Q10" s="1"/>
      <c r="R10" s="1"/>
      <c r="S10" s="76"/>
      <c r="T10" s="75"/>
      <c r="W10" s="200" t="s">
        <v>6</v>
      </c>
      <c r="X10" s="201">
        <v>0.118204</v>
      </c>
    </row>
    <row r="11" spans="1:24" ht="15.75" customHeight="1" x14ac:dyDescent="0.25">
      <c r="B11" s="5"/>
      <c r="C11" s="317" t="s">
        <v>42</v>
      </c>
      <c r="D11" s="318" t="s">
        <v>3</v>
      </c>
      <c r="E11" s="321">
        <v>6.9552000000000003E-2</v>
      </c>
      <c r="F11" s="1"/>
      <c r="G11" s="1"/>
      <c r="H11" s="1"/>
      <c r="I11" s="1"/>
      <c r="J11" s="1"/>
      <c r="K11" s="1"/>
      <c r="L11" s="1"/>
      <c r="M11" s="1"/>
      <c r="N11" s="1"/>
      <c r="O11" s="1"/>
      <c r="P11" s="1"/>
      <c r="Q11" s="1"/>
      <c r="R11" s="1"/>
      <c r="S11" s="76"/>
      <c r="T11" s="75"/>
      <c r="W11" s="200" t="s">
        <v>7</v>
      </c>
      <c r="X11" s="201">
        <v>9.0691000000000008E-2</v>
      </c>
    </row>
    <row r="12" spans="1:24" ht="15" customHeight="1" x14ac:dyDescent="0.25">
      <c r="B12" s="5"/>
      <c r="C12" s="317" t="s">
        <v>39</v>
      </c>
      <c r="D12" s="318" t="s">
        <v>4</v>
      </c>
      <c r="E12" s="321">
        <v>5.7675999999999998E-2</v>
      </c>
      <c r="F12" s="1"/>
      <c r="G12" s="1"/>
      <c r="H12" s="1"/>
      <c r="I12" s="1"/>
      <c r="J12" s="1"/>
      <c r="K12" s="1"/>
      <c r="L12" s="1"/>
      <c r="M12" s="1"/>
      <c r="N12" s="1"/>
      <c r="O12" s="1"/>
      <c r="P12" s="1"/>
      <c r="Q12" s="1"/>
      <c r="R12" s="1"/>
      <c r="S12" s="76"/>
      <c r="T12" s="75"/>
      <c r="W12" s="200" t="s">
        <v>4</v>
      </c>
      <c r="X12" s="201">
        <v>8.2741999999999996E-2</v>
      </c>
    </row>
    <row r="13" spans="1:24" ht="15" customHeight="1" x14ac:dyDescent="0.25">
      <c r="B13" s="5"/>
      <c r="C13" s="317" t="s">
        <v>43</v>
      </c>
      <c r="D13" s="318" t="s">
        <v>11</v>
      </c>
      <c r="E13" s="321">
        <v>4.9653000000000003E-2</v>
      </c>
      <c r="F13" s="1"/>
      <c r="G13" s="1"/>
      <c r="H13" s="1"/>
      <c r="I13" s="1"/>
      <c r="J13" s="1"/>
      <c r="K13" s="1"/>
      <c r="L13" s="1"/>
      <c r="M13" s="1"/>
      <c r="N13" s="1"/>
      <c r="O13" s="1"/>
      <c r="P13" s="1"/>
      <c r="Q13" s="1"/>
      <c r="R13" s="1"/>
      <c r="S13" s="76"/>
      <c r="T13" s="75"/>
      <c r="W13" s="200" t="s">
        <v>17</v>
      </c>
      <c r="X13" s="201">
        <v>5.1602000000000009E-2</v>
      </c>
    </row>
    <row r="14" spans="1:24" ht="15" customHeight="1" x14ac:dyDescent="0.25">
      <c r="B14" s="5"/>
      <c r="C14" s="317" t="s">
        <v>45</v>
      </c>
      <c r="D14" s="318" t="s">
        <v>3</v>
      </c>
      <c r="E14" s="321">
        <v>3.6484999999999997E-2</v>
      </c>
      <c r="F14" s="1"/>
      <c r="G14" s="1"/>
      <c r="H14" s="1"/>
      <c r="I14" s="1"/>
      <c r="J14" s="1"/>
      <c r="K14" s="1"/>
      <c r="L14" s="1"/>
      <c r="M14" s="1"/>
      <c r="N14" s="1"/>
      <c r="O14" s="1"/>
      <c r="P14" s="1"/>
      <c r="Q14" s="1"/>
      <c r="R14" s="1"/>
      <c r="S14" s="76"/>
      <c r="T14" s="75"/>
      <c r="W14" s="200" t="s">
        <v>8</v>
      </c>
      <c r="X14" s="201">
        <v>3.2724000000000003E-2</v>
      </c>
    </row>
    <row r="15" spans="1:24" ht="15" customHeight="1" x14ac:dyDescent="0.25">
      <c r="B15" s="5"/>
      <c r="C15" s="317" t="s">
        <v>44</v>
      </c>
      <c r="D15" s="318" t="s">
        <v>9</v>
      </c>
      <c r="E15" s="321">
        <v>2.9604999999999999E-2</v>
      </c>
      <c r="F15" s="1"/>
      <c r="G15" s="1"/>
      <c r="H15" s="1"/>
      <c r="I15" s="1"/>
      <c r="J15" s="1"/>
      <c r="K15" s="1"/>
      <c r="L15" s="1"/>
      <c r="M15" s="1"/>
      <c r="N15" s="1"/>
      <c r="O15" s="1"/>
      <c r="P15" s="1"/>
      <c r="Q15" s="1"/>
      <c r="R15" s="1"/>
      <c r="S15" s="76"/>
      <c r="T15" s="75"/>
      <c r="W15" s="200" t="s">
        <v>9</v>
      </c>
      <c r="X15" s="201">
        <v>2.9604999999999999E-2</v>
      </c>
    </row>
    <row r="16" spans="1:24" ht="15" customHeight="1" x14ac:dyDescent="0.25">
      <c r="B16" s="5"/>
      <c r="C16" s="317" t="s">
        <v>47</v>
      </c>
      <c r="D16" s="318" t="s">
        <v>7</v>
      </c>
      <c r="E16" s="321">
        <v>2.6161E-2</v>
      </c>
      <c r="F16" s="1"/>
      <c r="G16" s="1"/>
      <c r="H16" s="1"/>
      <c r="I16" s="1"/>
      <c r="J16" s="1"/>
      <c r="K16" s="1"/>
      <c r="L16" s="1"/>
      <c r="M16" s="1"/>
      <c r="N16" s="1"/>
      <c r="O16" s="1"/>
      <c r="P16" s="1"/>
      <c r="Q16" s="1"/>
      <c r="R16" s="1"/>
      <c r="S16" s="76"/>
      <c r="T16" s="75"/>
      <c r="W16" s="200" t="s">
        <v>152</v>
      </c>
      <c r="X16" s="201">
        <v>2.5954000000000001E-2</v>
      </c>
    </row>
    <row r="17" spans="2:24" ht="15" customHeight="1" x14ac:dyDescent="0.25">
      <c r="B17" s="5"/>
      <c r="C17" s="317" t="s">
        <v>46</v>
      </c>
      <c r="D17" s="318" t="s">
        <v>3</v>
      </c>
      <c r="E17" s="321">
        <v>2.5804000000000001E-2</v>
      </c>
      <c r="F17" s="1"/>
      <c r="G17" s="1"/>
      <c r="H17" s="1"/>
      <c r="I17" s="1"/>
      <c r="J17" s="1"/>
      <c r="K17" s="1"/>
      <c r="L17" s="1"/>
      <c r="M17" s="1"/>
      <c r="N17" s="1"/>
      <c r="O17" s="1"/>
      <c r="P17" s="1"/>
      <c r="Q17" s="1"/>
      <c r="R17" s="1"/>
      <c r="S17" s="76"/>
      <c r="T17" s="75"/>
      <c r="W17" s="200" t="s">
        <v>149</v>
      </c>
      <c r="X17" s="201">
        <v>2.266E-2</v>
      </c>
    </row>
    <row r="18" spans="2:24" ht="15" customHeight="1" x14ac:dyDescent="0.25">
      <c r="B18" s="5"/>
      <c r="C18" s="317" t="s">
        <v>40</v>
      </c>
      <c r="D18" s="318" t="s">
        <v>7</v>
      </c>
      <c r="E18" s="321">
        <v>2.5472000000000002E-2</v>
      </c>
      <c r="F18" s="1"/>
      <c r="G18" s="1"/>
      <c r="H18" s="1"/>
      <c r="I18" s="1"/>
      <c r="J18" s="1"/>
      <c r="K18" s="1"/>
      <c r="L18" s="1"/>
      <c r="M18" s="1"/>
      <c r="N18" s="1"/>
      <c r="O18" s="1"/>
      <c r="P18" s="1"/>
      <c r="Q18" s="1"/>
      <c r="R18" s="1"/>
      <c r="S18" s="76"/>
      <c r="T18" s="75"/>
      <c r="W18" s="200" t="s">
        <v>14</v>
      </c>
      <c r="X18" s="201">
        <v>2.1864999999999999E-2</v>
      </c>
    </row>
    <row r="19" spans="2:24" ht="15" customHeight="1" x14ac:dyDescent="0.25">
      <c r="B19" s="5"/>
      <c r="C19" s="317" t="s">
        <v>142</v>
      </c>
      <c r="D19" s="318" t="s">
        <v>4</v>
      </c>
      <c r="E19" s="321">
        <v>2.5066000000000001E-2</v>
      </c>
      <c r="F19" s="1"/>
      <c r="G19" s="1"/>
      <c r="H19" s="1"/>
      <c r="I19" s="1"/>
      <c r="J19" s="1"/>
      <c r="K19" s="1"/>
      <c r="L19" s="1"/>
      <c r="M19" s="1"/>
      <c r="N19" s="1"/>
      <c r="O19" s="1"/>
      <c r="P19" s="1"/>
      <c r="Q19" s="1"/>
      <c r="R19" s="1"/>
      <c r="S19" s="76"/>
      <c r="T19" s="75"/>
      <c r="W19" s="200" t="s">
        <v>13</v>
      </c>
      <c r="X19" s="201">
        <v>2.1467E-2</v>
      </c>
    </row>
    <row r="20" spans="2:24" ht="15" customHeight="1" x14ac:dyDescent="0.25">
      <c r="B20" s="5"/>
      <c r="C20" s="317" t="s">
        <v>140</v>
      </c>
      <c r="D20" s="318" t="s">
        <v>3</v>
      </c>
      <c r="E20" s="321">
        <v>2.5012E-2</v>
      </c>
      <c r="F20" s="1"/>
      <c r="G20" s="1"/>
      <c r="H20" s="1"/>
      <c r="I20" s="1"/>
      <c r="J20" s="1"/>
      <c r="K20" s="1"/>
      <c r="L20" s="1"/>
      <c r="M20" s="1"/>
      <c r="N20" s="1"/>
      <c r="O20" s="1"/>
      <c r="P20" s="1"/>
      <c r="Q20" s="1"/>
      <c r="R20" s="1"/>
      <c r="S20" s="76"/>
      <c r="T20" s="75"/>
      <c r="W20" s="200" t="s">
        <v>12</v>
      </c>
      <c r="X20" s="201">
        <v>1.8196999999999998E-2</v>
      </c>
    </row>
    <row r="21" spans="2:24" ht="15" customHeight="1" x14ac:dyDescent="0.25">
      <c r="B21" s="5"/>
      <c r="C21" s="317" t="s">
        <v>113</v>
      </c>
      <c r="D21" s="318" t="s">
        <v>14</v>
      </c>
      <c r="E21" s="321">
        <v>2.1864999999999999E-2</v>
      </c>
      <c r="F21" s="1"/>
      <c r="G21" s="1"/>
      <c r="H21" s="1"/>
      <c r="I21" s="1"/>
      <c r="J21" s="1"/>
      <c r="K21" s="1"/>
      <c r="L21" s="1"/>
      <c r="M21" s="1"/>
      <c r="N21" s="1"/>
      <c r="O21" s="1"/>
      <c r="P21" s="1"/>
      <c r="Q21" s="1"/>
      <c r="R21" s="1"/>
      <c r="S21" s="76"/>
      <c r="T21" s="75"/>
      <c r="W21" s="200" t="s">
        <v>21</v>
      </c>
      <c r="X21" s="201">
        <v>1.4326999999999999E-2</v>
      </c>
    </row>
    <row r="22" spans="2:24" ht="15" customHeight="1" x14ac:dyDescent="0.25">
      <c r="B22" s="5"/>
      <c r="C22" s="317" t="s">
        <v>48</v>
      </c>
      <c r="D22" s="318" t="s">
        <v>7</v>
      </c>
      <c r="E22" s="321">
        <v>1.9309E-2</v>
      </c>
      <c r="F22" s="1"/>
      <c r="G22" s="1"/>
      <c r="H22" s="1"/>
      <c r="I22" s="1"/>
      <c r="J22" s="1"/>
      <c r="K22" s="1"/>
      <c r="L22" s="1"/>
      <c r="M22" s="1"/>
      <c r="N22" s="1"/>
      <c r="O22" s="1"/>
      <c r="P22" s="1"/>
      <c r="Q22" s="1"/>
      <c r="R22" s="1"/>
      <c r="S22" s="76"/>
      <c r="T22" s="75"/>
      <c r="W22" s="200" t="s">
        <v>19</v>
      </c>
      <c r="X22" s="201">
        <v>1.1305000000000001E-2</v>
      </c>
    </row>
    <row r="23" spans="2:24" ht="15" customHeight="1" x14ac:dyDescent="0.25">
      <c r="B23" s="5"/>
      <c r="C23" s="68"/>
      <c r="D23" s="68"/>
      <c r="E23" s="90"/>
      <c r="F23" s="1"/>
      <c r="G23" s="1"/>
      <c r="H23" s="1"/>
      <c r="I23" s="1"/>
      <c r="J23" s="1"/>
      <c r="K23" s="1"/>
      <c r="L23" s="1"/>
      <c r="M23" s="1"/>
      <c r="N23" s="1"/>
      <c r="O23" s="1"/>
      <c r="P23" s="1"/>
      <c r="Q23" s="1"/>
      <c r="R23" s="1"/>
      <c r="S23" s="76"/>
      <c r="T23" s="75"/>
      <c r="W23" s="200" t="s">
        <v>15</v>
      </c>
      <c r="X23" s="201">
        <v>7.9059999999999998E-3</v>
      </c>
    </row>
    <row r="24" spans="2:24" ht="15" customHeight="1" x14ac:dyDescent="0.25">
      <c r="B24" s="5"/>
      <c r="C24" s="69" t="s">
        <v>77</v>
      </c>
      <c r="D24" s="71"/>
      <c r="E24" s="64">
        <f>SUM(E8:E22)</f>
        <v>0.69143000000000021</v>
      </c>
      <c r="F24" s="1"/>
      <c r="G24" s="1"/>
      <c r="H24" s="1"/>
      <c r="I24" s="1"/>
      <c r="J24" s="1"/>
      <c r="K24" s="1"/>
      <c r="L24" s="1"/>
      <c r="M24" s="1"/>
      <c r="N24" s="1"/>
      <c r="O24" s="1"/>
      <c r="P24" s="1"/>
      <c r="Q24" s="1"/>
      <c r="R24" s="1"/>
      <c r="S24" s="76"/>
      <c r="T24" s="75"/>
      <c r="W24" s="200" t="s">
        <v>32</v>
      </c>
      <c r="X24" s="201">
        <v>7.0150000000000004E-3</v>
      </c>
    </row>
    <row r="25" spans="2:24" ht="15" customHeight="1" x14ac:dyDescent="0.25">
      <c r="B25" s="5"/>
      <c r="F25" s="1"/>
      <c r="G25" s="1"/>
      <c r="H25" s="1"/>
      <c r="I25" s="1"/>
      <c r="J25" s="1"/>
      <c r="K25" s="1"/>
      <c r="L25" s="1"/>
      <c r="M25" s="1"/>
      <c r="N25" s="1"/>
      <c r="O25" s="1"/>
      <c r="P25" s="1"/>
      <c r="Q25" s="1"/>
      <c r="R25" s="1"/>
      <c r="S25" s="76"/>
      <c r="T25" s="75"/>
      <c r="W25" s="200" t="s">
        <v>89</v>
      </c>
      <c r="X25" s="201">
        <v>4.9370000000000004E-3</v>
      </c>
    </row>
    <row r="26" spans="2:24" ht="15" customHeight="1" x14ac:dyDescent="0.25">
      <c r="B26" s="5"/>
      <c r="F26" s="1"/>
      <c r="G26" s="1"/>
      <c r="H26" s="1"/>
      <c r="I26" s="1"/>
      <c r="J26" s="1"/>
      <c r="K26" s="1"/>
      <c r="L26" s="1"/>
      <c r="M26" s="1"/>
      <c r="N26" s="1"/>
      <c r="O26" s="1"/>
      <c r="P26" s="1"/>
      <c r="Q26" s="1"/>
      <c r="R26" s="1"/>
      <c r="S26" s="76"/>
      <c r="T26" s="75"/>
      <c r="W26" s="200" t="s">
        <v>20</v>
      </c>
      <c r="X26" s="201">
        <v>4.7920000000000003E-3</v>
      </c>
    </row>
    <row r="27" spans="2:24" ht="15" customHeight="1" x14ac:dyDescent="0.25">
      <c r="B27" s="5"/>
      <c r="F27" s="1"/>
      <c r="G27" s="1"/>
      <c r="H27" s="1"/>
      <c r="I27" s="1"/>
      <c r="J27" s="1"/>
      <c r="K27" s="1"/>
      <c r="L27" s="1"/>
      <c r="M27" s="1"/>
      <c r="N27" s="1"/>
      <c r="O27" s="1"/>
      <c r="P27" s="1"/>
      <c r="Q27" s="1"/>
      <c r="R27" s="1"/>
      <c r="S27" s="76"/>
      <c r="T27" s="75"/>
      <c r="W27" s="200"/>
      <c r="X27" s="201"/>
    </row>
    <row r="28" spans="2:24" ht="15" customHeight="1" x14ac:dyDescent="0.25">
      <c r="B28" s="5"/>
      <c r="F28" s="1"/>
      <c r="G28" s="1"/>
      <c r="H28" s="1"/>
      <c r="I28" s="1"/>
      <c r="J28" s="1"/>
      <c r="K28" s="1"/>
      <c r="L28" s="1"/>
      <c r="M28" s="1"/>
      <c r="N28" s="1"/>
      <c r="O28" s="1"/>
      <c r="P28" s="1"/>
      <c r="Q28" s="1"/>
      <c r="R28" s="1"/>
      <c r="S28" s="76"/>
      <c r="T28" s="75"/>
      <c r="W28" s="200"/>
      <c r="X28" s="201"/>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c r="W30" s="200"/>
      <c r="X30" s="201"/>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5"/>
      <c r="AC38" s="105"/>
      <c r="AD38" s="105"/>
      <c r="AE38" s="105"/>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5"/>
      <c r="AC39" s="105"/>
      <c r="AD39" s="105"/>
      <c r="AE39" s="105"/>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5"/>
      <c r="AC40" s="105"/>
      <c r="AD40" s="105"/>
      <c r="AE40" s="105"/>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5"/>
      <c r="AC41" s="105"/>
      <c r="AD41" s="105"/>
      <c r="AE41" s="105"/>
    </row>
    <row r="42" spans="1:31" s="10" customFormat="1" ht="15" customHeight="1" x14ac:dyDescent="0.25">
      <c r="A42"/>
      <c r="B42" s="294" t="s">
        <v>147</v>
      </c>
      <c r="C42" s="295"/>
      <c r="D42" s="295"/>
      <c r="E42" s="295"/>
      <c r="F42" s="295"/>
      <c r="G42" s="295"/>
      <c r="H42" s="295"/>
      <c r="I42" s="295"/>
      <c r="J42" s="295"/>
      <c r="K42" s="295"/>
      <c r="L42" s="295"/>
      <c r="M42" s="295"/>
      <c r="N42" s="296"/>
      <c r="O42"/>
      <c r="P42"/>
      <c r="Q42"/>
      <c r="R42"/>
      <c r="S42" s="9"/>
      <c r="T42" s="9"/>
      <c r="U42" s="9"/>
      <c r="V42" s="9"/>
      <c r="W42" s="165"/>
      <c r="X42" s="165"/>
      <c r="Y42" s="165"/>
      <c r="Z42" s="165"/>
      <c r="AA42" s="9"/>
      <c r="AB42" s="105"/>
      <c r="AC42" s="105"/>
      <c r="AD42" s="105"/>
      <c r="AE42" s="105"/>
    </row>
    <row r="43" spans="1:31" s="10" customFormat="1" ht="15" customHeight="1" x14ac:dyDescent="0.25">
      <c r="A43"/>
      <c r="B43" s="297"/>
      <c r="C43" s="298"/>
      <c r="D43" s="298"/>
      <c r="E43" s="298"/>
      <c r="F43" s="298"/>
      <c r="G43" s="298"/>
      <c r="H43" s="298"/>
      <c r="I43" s="298"/>
      <c r="J43" s="298"/>
      <c r="K43" s="298"/>
      <c r="L43" s="298"/>
      <c r="M43" s="298"/>
      <c r="N43" s="299"/>
      <c r="O43"/>
      <c r="P43"/>
      <c r="Q43"/>
      <c r="R43"/>
      <c r="S43" s="9"/>
      <c r="T43" s="9"/>
      <c r="U43" s="9"/>
      <c r="V43" s="9"/>
      <c r="W43" s="165"/>
      <c r="X43" s="165"/>
      <c r="Y43" s="165"/>
      <c r="Z43" s="165"/>
      <c r="AA43" s="9"/>
      <c r="AB43" s="105"/>
      <c r="AC43" s="105"/>
      <c r="AD43" s="105"/>
      <c r="AE43" s="105"/>
    </row>
    <row r="44" spans="1:31" s="10" customFormat="1" ht="15" customHeight="1" x14ac:dyDescent="0.25">
      <c r="A44"/>
      <c r="B44" s="297"/>
      <c r="C44" s="298"/>
      <c r="D44" s="298"/>
      <c r="E44" s="298"/>
      <c r="F44" s="298"/>
      <c r="G44" s="298"/>
      <c r="H44" s="298"/>
      <c r="I44" s="298"/>
      <c r="J44" s="298"/>
      <c r="K44" s="298"/>
      <c r="L44" s="298"/>
      <c r="M44" s="298"/>
      <c r="N44" s="299"/>
      <c r="O44"/>
      <c r="P44"/>
      <c r="Q44"/>
      <c r="R44"/>
      <c r="S44" s="9"/>
      <c r="T44" s="9"/>
      <c r="U44" s="9"/>
      <c r="V44" s="9"/>
      <c r="W44" s="165"/>
      <c r="X44" s="165"/>
      <c r="Y44" s="165"/>
      <c r="Z44" s="165"/>
      <c r="AA44" s="9"/>
      <c r="AB44" s="105"/>
      <c r="AC44" s="105"/>
      <c r="AD44" s="105"/>
      <c r="AE44" s="105"/>
    </row>
    <row r="45" spans="1:31" s="10" customFormat="1" ht="15" customHeight="1" x14ac:dyDescent="0.25">
      <c r="A45"/>
      <c r="B45" s="297"/>
      <c r="C45" s="298"/>
      <c r="D45" s="298"/>
      <c r="E45" s="298"/>
      <c r="F45" s="298"/>
      <c r="G45" s="298"/>
      <c r="H45" s="298"/>
      <c r="I45" s="298"/>
      <c r="J45" s="298"/>
      <c r="K45" s="298"/>
      <c r="L45" s="298"/>
      <c r="M45" s="298"/>
      <c r="N45" s="299"/>
      <c r="O45"/>
      <c r="P45"/>
      <c r="Q45"/>
      <c r="R45"/>
      <c r="S45" s="9"/>
      <c r="T45" s="9"/>
      <c r="U45" s="9"/>
      <c r="V45" s="9"/>
      <c r="W45" s="165"/>
      <c r="X45" s="165"/>
      <c r="Y45" s="165"/>
      <c r="Z45" s="165"/>
      <c r="AA45" s="9"/>
      <c r="AB45" s="105"/>
      <c r="AC45" s="105"/>
      <c r="AD45" s="105"/>
      <c r="AE45" s="105"/>
    </row>
    <row r="46" spans="1:31" s="10" customFormat="1" ht="15" customHeight="1" x14ac:dyDescent="0.25">
      <c r="A46"/>
      <c r="B46" s="297"/>
      <c r="C46" s="298"/>
      <c r="D46" s="298"/>
      <c r="E46" s="298"/>
      <c r="F46" s="298"/>
      <c r="G46" s="298"/>
      <c r="H46" s="298"/>
      <c r="I46" s="298"/>
      <c r="J46" s="298"/>
      <c r="K46" s="298"/>
      <c r="L46" s="298"/>
      <c r="M46" s="298"/>
      <c r="N46" s="299"/>
      <c r="O46"/>
      <c r="P46"/>
      <c r="Q46"/>
      <c r="R46"/>
      <c r="S46" s="9"/>
      <c r="T46" s="9"/>
      <c r="U46" s="9"/>
      <c r="V46" s="9"/>
      <c r="W46" s="165"/>
      <c r="X46" s="165"/>
      <c r="Y46" s="165"/>
      <c r="Z46" s="165"/>
      <c r="AA46" s="9"/>
      <c r="AB46" s="105"/>
      <c r="AC46" s="105"/>
      <c r="AD46" s="105"/>
      <c r="AE46" s="105"/>
    </row>
    <row r="47" spans="1:31" ht="15" customHeight="1" x14ac:dyDescent="0.25">
      <c r="B47" s="297"/>
      <c r="C47" s="298"/>
      <c r="D47" s="298"/>
      <c r="E47" s="298"/>
      <c r="F47" s="298"/>
      <c r="G47" s="298"/>
      <c r="H47" s="298"/>
      <c r="I47" s="298"/>
      <c r="J47" s="298"/>
      <c r="K47" s="298"/>
      <c r="L47" s="298"/>
      <c r="M47" s="298"/>
      <c r="N47" s="299"/>
    </row>
    <row r="48" spans="1:31" ht="15" customHeight="1" thickBot="1" x14ac:dyDescent="0.3">
      <c r="B48" s="300"/>
      <c r="C48" s="301"/>
      <c r="D48" s="301"/>
      <c r="E48" s="301"/>
      <c r="F48" s="301"/>
      <c r="G48" s="301"/>
      <c r="H48" s="301"/>
      <c r="I48" s="301"/>
      <c r="J48" s="301"/>
      <c r="K48" s="301"/>
      <c r="L48" s="301"/>
      <c r="M48" s="301"/>
      <c r="N48" s="30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25" right="0.25" top="0.75" bottom="0.75" header="0.3" footer="0.3"/>
  <pageSetup scale="52" orientation="landscape" horizontalDpi="1200" verticalDpi="1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pageSetUpPr fitToPage="1"/>
  </sheetPr>
  <dimension ref="A1:AE67"/>
  <sheetViews>
    <sheetView showGridLines="0" view="pageBreakPreview" zoomScale="60" zoomScaleNormal="77" workbookViewId="0"/>
  </sheetViews>
  <sheetFormatPr defaultRowHeight="15" x14ac:dyDescent="0.25"/>
  <cols>
    <col min="1" max="1" width="2.85546875" style="278" customWidth="1"/>
    <col min="2" max="2" width="3.85546875" style="278" customWidth="1"/>
    <col min="3" max="3" width="58.7109375" style="278" bestFit="1" customWidth="1"/>
    <col min="4" max="4" width="28.28515625" style="278" customWidth="1"/>
    <col min="5" max="5" width="10.42578125" style="278" bestFit="1" customWidth="1"/>
    <col min="6" max="18" width="9.140625" style="278"/>
    <col min="19" max="19" width="9.85546875" style="9" customWidth="1"/>
    <col min="20" max="22" width="9.140625" style="9"/>
    <col min="23" max="26" width="9.140625" style="165"/>
    <col min="27" max="27" width="9.140625" style="9"/>
    <col min="28" max="31" width="9.140625" style="105"/>
    <col min="32" max="16384" width="9.140625" style="27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3" t="s">
        <v>235</v>
      </c>
      <c r="D3" s="304"/>
      <c r="E3" s="304"/>
      <c r="F3" s="304"/>
      <c r="G3" s="304"/>
      <c r="H3" s="304"/>
      <c r="I3" s="304"/>
      <c r="J3" s="304"/>
      <c r="K3" s="304"/>
      <c r="L3" s="304"/>
      <c r="M3" s="304"/>
      <c r="N3" s="304"/>
      <c r="O3" s="304"/>
      <c r="P3" s="304"/>
      <c r="Q3" s="304"/>
      <c r="R3" s="304"/>
      <c r="S3" s="305"/>
      <c r="T3" s="75"/>
    </row>
    <row r="4" spans="1:24" ht="15.75" customHeight="1" x14ac:dyDescent="0.25">
      <c r="B4" s="5"/>
      <c r="C4" s="280" t="s">
        <v>237</v>
      </c>
      <c r="D4" s="279"/>
      <c r="E4" s="279"/>
      <c r="F4" s="279"/>
      <c r="G4" s="279"/>
      <c r="H4" s="279"/>
      <c r="I4" s="279"/>
      <c r="J4" s="279"/>
      <c r="K4" s="279"/>
      <c r="L4" s="279"/>
      <c r="M4" s="279"/>
      <c r="N4" s="279"/>
      <c r="O4" s="279"/>
      <c r="P4" s="279"/>
      <c r="Q4" s="279"/>
      <c r="R4" s="279"/>
      <c r="S4" s="76"/>
      <c r="T4" s="75"/>
    </row>
    <row r="5" spans="1:24" ht="18" customHeight="1" x14ac:dyDescent="0.25">
      <c r="B5" s="5"/>
      <c r="C5" s="2" t="s">
        <v>236</v>
      </c>
      <c r="D5" s="308" t="s">
        <v>256</v>
      </c>
      <c r="E5" s="308"/>
      <c r="F5" s="279"/>
      <c r="G5" s="279"/>
      <c r="H5" s="279"/>
      <c r="I5" s="279"/>
      <c r="J5" s="279"/>
      <c r="K5" s="279"/>
      <c r="L5" s="279"/>
      <c r="M5" s="279"/>
      <c r="N5" s="279"/>
      <c r="O5" s="279"/>
      <c r="P5" s="279"/>
      <c r="Q5" s="279"/>
      <c r="R5" s="279"/>
      <c r="S5" s="76"/>
      <c r="T5" s="75"/>
    </row>
    <row r="6" spans="1:24" ht="15" customHeight="1" x14ac:dyDescent="0.25">
      <c r="B6" s="5"/>
      <c r="C6" s="279"/>
      <c r="D6" s="279"/>
      <c r="E6" s="279"/>
      <c r="F6" s="279"/>
      <c r="G6" s="279"/>
      <c r="H6" s="279"/>
      <c r="I6" s="279"/>
      <c r="J6" s="279"/>
      <c r="K6" s="279"/>
      <c r="L6" s="279"/>
      <c r="M6" s="279"/>
      <c r="N6" s="279"/>
      <c r="O6" s="279"/>
      <c r="P6" s="279"/>
      <c r="Q6" s="279"/>
      <c r="R6" s="279"/>
      <c r="S6" s="76"/>
      <c r="T6" s="75"/>
    </row>
    <row r="7" spans="1:24" ht="32.25" customHeight="1" x14ac:dyDescent="0.25">
      <c r="B7" s="5"/>
      <c r="C7" s="66" t="s">
        <v>0</v>
      </c>
      <c r="D7" s="70" t="s">
        <v>1</v>
      </c>
      <c r="E7" s="63" t="s">
        <v>2</v>
      </c>
      <c r="F7" s="279"/>
      <c r="G7" s="279"/>
      <c r="H7" s="279"/>
      <c r="I7" s="279"/>
      <c r="J7" s="279"/>
      <c r="K7" s="279"/>
      <c r="L7" s="279"/>
      <c r="M7" s="279"/>
      <c r="N7" s="279"/>
      <c r="O7" s="279"/>
      <c r="P7" s="279"/>
      <c r="Q7" s="279"/>
      <c r="R7" s="279"/>
      <c r="S7" s="76"/>
      <c r="T7" s="75"/>
      <c r="W7" s="166" t="s">
        <v>27</v>
      </c>
      <c r="X7" s="166" t="s">
        <v>2</v>
      </c>
    </row>
    <row r="8" spans="1:24" ht="15" customHeight="1" x14ac:dyDescent="0.25">
      <c r="B8" s="5"/>
      <c r="C8" s="314" t="s">
        <v>41</v>
      </c>
      <c r="D8" s="315" t="s">
        <v>6</v>
      </c>
      <c r="E8" s="320">
        <v>9.3632000000000007E-2</v>
      </c>
      <c r="F8" s="279"/>
      <c r="G8" s="279"/>
      <c r="H8" s="279"/>
      <c r="I8" s="279"/>
      <c r="J8" s="279"/>
      <c r="K8" s="279"/>
      <c r="L8" s="279"/>
      <c r="M8" s="279"/>
      <c r="N8" s="279"/>
      <c r="O8" s="279"/>
      <c r="P8" s="279"/>
      <c r="Q8" s="279"/>
      <c r="R8" s="279"/>
      <c r="S8" s="76"/>
      <c r="T8" s="75"/>
      <c r="W8" s="200" t="s">
        <v>3</v>
      </c>
      <c r="X8" s="201">
        <v>0.220357</v>
      </c>
    </row>
    <row r="9" spans="1:24" ht="15.75" customHeight="1" x14ac:dyDescent="0.25">
      <c r="B9" s="5"/>
      <c r="C9" s="317" t="s">
        <v>37</v>
      </c>
      <c r="D9" s="318" t="s">
        <v>11</v>
      </c>
      <c r="E9" s="321">
        <v>7.3186000000000001E-2</v>
      </c>
      <c r="F9" s="279"/>
      <c r="G9" s="279"/>
      <c r="H9" s="279"/>
      <c r="I9" s="279"/>
      <c r="J9" s="279"/>
      <c r="K9" s="279"/>
      <c r="L9" s="279"/>
      <c r="M9" s="279"/>
      <c r="N9" s="279"/>
      <c r="O9" s="279"/>
      <c r="P9" s="279"/>
      <c r="Q9" s="279"/>
      <c r="R9" s="279"/>
      <c r="S9" s="76"/>
      <c r="T9" s="75"/>
      <c r="W9" s="200" t="s">
        <v>11</v>
      </c>
      <c r="X9" s="201">
        <v>0.15220900000000001</v>
      </c>
    </row>
    <row r="10" spans="1:24" ht="15.75" x14ac:dyDescent="0.25">
      <c r="B10" s="5"/>
      <c r="C10" s="317" t="s">
        <v>38</v>
      </c>
      <c r="D10" s="318" t="s">
        <v>3</v>
      </c>
      <c r="E10" s="321">
        <v>7.1846999999999994E-2</v>
      </c>
      <c r="F10" s="279"/>
      <c r="G10" s="279"/>
      <c r="H10" s="279"/>
      <c r="I10" s="279"/>
      <c r="J10" s="279"/>
      <c r="K10" s="279"/>
      <c r="L10" s="279"/>
      <c r="M10" s="279"/>
      <c r="N10" s="279"/>
      <c r="O10" s="279"/>
      <c r="P10" s="279"/>
      <c r="Q10" s="279"/>
      <c r="R10" s="279"/>
      <c r="S10" s="76"/>
      <c r="T10" s="75"/>
      <c r="W10" s="200" t="s">
        <v>6</v>
      </c>
      <c r="X10" s="201">
        <v>0.102842</v>
      </c>
    </row>
    <row r="11" spans="1:24" ht="15.75" customHeight="1" x14ac:dyDescent="0.25">
      <c r="B11" s="5"/>
      <c r="C11" s="317" t="s">
        <v>42</v>
      </c>
      <c r="D11" s="318" t="s">
        <v>3</v>
      </c>
      <c r="E11" s="321">
        <v>5.9332999999999997E-2</v>
      </c>
      <c r="F11" s="279"/>
      <c r="G11" s="279"/>
      <c r="H11" s="279"/>
      <c r="I11" s="279"/>
      <c r="J11" s="279"/>
      <c r="K11" s="279"/>
      <c r="L11" s="279"/>
      <c r="M11" s="279"/>
      <c r="N11" s="279"/>
      <c r="O11" s="279"/>
      <c r="P11" s="279"/>
      <c r="Q11" s="279"/>
      <c r="R11" s="279"/>
      <c r="S11" s="76"/>
      <c r="T11" s="75"/>
      <c r="W11" s="200" t="s">
        <v>7</v>
      </c>
      <c r="X11" s="201">
        <v>9.6416999999999989E-2</v>
      </c>
    </row>
    <row r="12" spans="1:24" ht="15" customHeight="1" x14ac:dyDescent="0.25">
      <c r="B12" s="5"/>
      <c r="C12" s="317" t="s">
        <v>39</v>
      </c>
      <c r="D12" s="318" t="s">
        <v>4</v>
      </c>
      <c r="E12" s="321">
        <v>4.9195999999999997E-2</v>
      </c>
      <c r="F12" s="279"/>
      <c r="G12" s="279"/>
      <c r="H12" s="279"/>
      <c r="I12" s="279"/>
      <c r="J12" s="279"/>
      <c r="K12" s="279"/>
      <c r="L12" s="279"/>
      <c r="M12" s="279"/>
      <c r="N12" s="279"/>
      <c r="O12" s="279"/>
      <c r="P12" s="279"/>
      <c r="Q12" s="279"/>
      <c r="R12" s="279"/>
      <c r="S12" s="76"/>
      <c r="T12" s="75"/>
      <c r="W12" s="200" t="s">
        <v>4</v>
      </c>
      <c r="X12" s="201">
        <v>8.3994999999999986E-2</v>
      </c>
    </row>
    <row r="13" spans="1:24" ht="15" customHeight="1" x14ac:dyDescent="0.25">
      <c r="B13" s="5"/>
      <c r="C13" s="317" t="s">
        <v>43</v>
      </c>
      <c r="D13" s="318" t="s">
        <v>11</v>
      </c>
      <c r="E13" s="321">
        <v>4.2347999999999997E-2</v>
      </c>
      <c r="F13" s="279"/>
      <c r="G13" s="279"/>
      <c r="H13" s="279"/>
      <c r="I13" s="279"/>
      <c r="J13" s="279"/>
      <c r="K13" s="279"/>
      <c r="L13" s="279"/>
      <c r="M13" s="279"/>
      <c r="N13" s="279"/>
      <c r="O13" s="279"/>
      <c r="P13" s="279"/>
      <c r="Q13" s="279"/>
      <c r="R13" s="279"/>
      <c r="S13" s="76"/>
      <c r="T13" s="75"/>
      <c r="W13" s="200" t="s">
        <v>17</v>
      </c>
      <c r="X13" s="201">
        <v>4.4041999999999998E-2</v>
      </c>
    </row>
    <row r="14" spans="1:24" ht="15" customHeight="1" x14ac:dyDescent="0.25">
      <c r="B14" s="5"/>
      <c r="C14" s="317" t="s">
        <v>45</v>
      </c>
      <c r="D14" s="318" t="s">
        <v>3</v>
      </c>
      <c r="E14" s="321">
        <v>3.1125E-2</v>
      </c>
      <c r="F14" s="279"/>
      <c r="G14" s="279"/>
      <c r="H14" s="279"/>
      <c r="I14" s="279"/>
      <c r="J14" s="279"/>
      <c r="K14" s="279"/>
      <c r="L14" s="279"/>
      <c r="M14" s="279"/>
      <c r="N14" s="279"/>
      <c r="O14" s="279"/>
      <c r="P14" s="279"/>
      <c r="Q14" s="279"/>
      <c r="R14" s="279"/>
      <c r="S14" s="76"/>
      <c r="T14" s="75"/>
      <c r="W14" s="200" t="s">
        <v>8</v>
      </c>
      <c r="X14" s="201">
        <v>3.8405000000000002E-2</v>
      </c>
    </row>
    <row r="15" spans="1:24" ht="15" customHeight="1" x14ac:dyDescent="0.25">
      <c r="B15" s="5"/>
      <c r="C15" s="317" t="s">
        <v>44</v>
      </c>
      <c r="D15" s="318" t="s">
        <v>9</v>
      </c>
      <c r="E15" s="321">
        <v>2.5253999999999999E-2</v>
      </c>
      <c r="F15" s="279"/>
      <c r="G15" s="279"/>
      <c r="H15" s="279"/>
      <c r="I15" s="279"/>
      <c r="J15" s="279"/>
      <c r="K15" s="279"/>
      <c r="L15" s="279"/>
      <c r="M15" s="279"/>
      <c r="N15" s="279"/>
      <c r="O15" s="279"/>
      <c r="P15" s="279"/>
      <c r="Q15" s="279"/>
      <c r="R15" s="279"/>
      <c r="S15" s="76"/>
      <c r="T15" s="75"/>
      <c r="W15" s="200" t="s">
        <v>12</v>
      </c>
      <c r="X15" s="201">
        <v>2.9899999999999999E-2</v>
      </c>
    </row>
    <row r="16" spans="1:24" ht="15" customHeight="1" x14ac:dyDescent="0.25">
      <c r="B16" s="5"/>
      <c r="C16" s="317" t="s">
        <v>47</v>
      </c>
      <c r="D16" s="318" t="s">
        <v>7</v>
      </c>
      <c r="E16" s="321">
        <v>2.2311999999999999E-2</v>
      </c>
      <c r="F16" s="279"/>
      <c r="G16" s="279"/>
      <c r="H16" s="279"/>
      <c r="I16" s="279"/>
      <c r="J16" s="279"/>
      <c r="K16" s="279"/>
      <c r="L16" s="279"/>
      <c r="M16" s="279"/>
      <c r="N16" s="279"/>
      <c r="O16" s="279"/>
      <c r="P16" s="279"/>
      <c r="Q16" s="279"/>
      <c r="R16" s="279"/>
      <c r="S16" s="76"/>
      <c r="T16" s="75"/>
      <c r="W16" s="200" t="s">
        <v>152</v>
      </c>
      <c r="X16" s="201">
        <v>2.7955999999999998E-2</v>
      </c>
    </row>
    <row r="17" spans="2:24" ht="15" customHeight="1" x14ac:dyDescent="0.25">
      <c r="B17" s="5"/>
      <c r="C17" s="317" t="s">
        <v>46</v>
      </c>
      <c r="D17" s="318" t="s">
        <v>3</v>
      </c>
      <c r="E17" s="321">
        <v>2.2012E-2</v>
      </c>
      <c r="F17" s="279"/>
      <c r="G17" s="279"/>
      <c r="H17" s="279"/>
      <c r="I17" s="279"/>
      <c r="J17" s="279"/>
      <c r="K17" s="279"/>
      <c r="L17" s="279"/>
      <c r="M17" s="279"/>
      <c r="N17" s="279"/>
      <c r="O17" s="279"/>
      <c r="P17" s="279"/>
      <c r="Q17" s="279"/>
      <c r="R17" s="279"/>
      <c r="S17" s="76"/>
      <c r="T17" s="75"/>
      <c r="W17" s="200" t="s">
        <v>9</v>
      </c>
      <c r="X17" s="201">
        <v>2.5253999999999999E-2</v>
      </c>
    </row>
    <row r="18" spans="2:24" ht="15" customHeight="1" x14ac:dyDescent="0.25">
      <c r="B18" s="5"/>
      <c r="C18" s="317" t="s">
        <v>40</v>
      </c>
      <c r="D18" s="318" t="s">
        <v>7</v>
      </c>
      <c r="E18" s="321">
        <v>2.1728000000000001E-2</v>
      </c>
      <c r="F18" s="279"/>
      <c r="G18" s="279"/>
      <c r="H18" s="279"/>
      <c r="I18" s="279"/>
      <c r="J18" s="279"/>
      <c r="K18" s="279"/>
      <c r="L18" s="279"/>
      <c r="M18" s="279"/>
      <c r="N18" s="279"/>
      <c r="O18" s="279"/>
      <c r="P18" s="279"/>
      <c r="Q18" s="279"/>
      <c r="R18" s="279"/>
      <c r="S18" s="76"/>
      <c r="T18" s="75"/>
      <c r="W18" s="200" t="s">
        <v>149</v>
      </c>
      <c r="X18" s="201">
        <v>2.4091000000000001E-2</v>
      </c>
    </row>
    <row r="19" spans="2:24" ht="15" customHeight="1" x14ac:dyDescent="0.25">
      <c r="B19" s="5"/>
      <c r="C19" s="317" t="s">
        <v>142</v>
      </c>
      <c r="D19" s="318" t="s">
        <v>4</v>
      </c>
      <c r="E19" s="321">
        <v>2.1413999999999999E-2</v>
      </c>
      <c r="F19" s="279"/>
      <c r="G19" s="279"/>
      <c r="H19" s="279"/>
      <c r="I19" s="279"/>
      <c r="J19" s="279"/>
      <c r="K19" s="279"/>
      <c r="L19" s="279"/>
      <c r="M19" s="279"/>
      <c r="N19" s="279"/>
      <c r="O19" s="279"/>
      <c r="P19" s="279"/>
      <c r="Q19" s="279"/>
      <c r="R19" s="279"/>
      <c r="S19" s="76"/>
      <c r="T19" s="75"/>
      <c r="W19" s="200" t="s">
        <v>13</v>
      </c>
      <c r="X19" s="201">
        <v>2.1912000000000001E-2</v>
      </c>
    </row>
    <row r="20" spans="2:24" ht="15" customHeight="1" x14ac:dyDescent="0.25">
      <c r="B20" s="5"/>
      <c r="C20" s="317" t="s">
        <v>140</v>
      </c>
      <c r="D20" s="318" t="s">
        <v>3</v>
      </c>
      <c r="E20" s="321">
        <v>2.1336000000000001E-2</v>
      </c>
      <c r="F20" s="279"/>
      <c r="G20" s="279"/>
      <c r="H20" s="279"/>
      <c r="I20" s="279"/>
      <c r="J20" s="279"/>
      <c r="K20" s="279"/>
      <c r="L20" s="279"/>
      <c r="M20" s="279"/>
      <c r="N20" s="279"/>
      <c r="O20" s="279"/>
      <c r="P20" s="279"/>
      <c r="Q20" s="279"/>
      <c r="R20" s="279"/>
      <c r="S20" s="76"/>
      <c r="T20" s="75"/>
      <c r="W20" s="200" t="s">
        <v>14</v>
      </c>
      <c r="X20" s="201">
        <v>2.0656999999999998E-2</v>
      </c>
    </row>
    <row r="21" spans="2:24" ht="15" customHeight="1" x14ac:dyDescent="0.25">
      <c r="B21" s="5"/>
      <c r="C21" s="317" t="s">
        <v>113</v>
      </c>
      <c r="D21" s="318" t="s">
        <v>14</v>
      </c>
      <c r="E21" s="321">
        <v>1.8655999999999999E-2</v>
      </c>
      <c r="F21" s="279"/>
      <c r="G21" s="279"/>
      <c r="H21" s="279"/>
      <c r="I21" s="279"/>
      <c r="J21" s="279"/>
      <c r="K21" s="279"/>
      <c r="L21" s="279"/>
      <c r="M21" s="279"/>
      <c r="N21" s="279"/>
      <c r="O21" s="279"/>
      <c r="P21" s="279"/>
      <c r="Q21" s="279"/>
      <c r="R21" s="279"/>
      <c r="S21" s="76"/>
      <c r="T21" s="75"/>
      <c r="W21" s="200" t="s">
        <v>21</v>
      </c>
      <c r="X21" s="201">
        <v>1.5639E-2</v>
      </c>
    </row>
    <row r="22" spans="2:24" ht="15" customHeight="1" x14ac:dyDescent="0.25">
      <c r="B22" s="5"/>
      <c r="C22" s="317" t="s">
        <v>48</v>
      </c>
      <c r="D22" s="318" t="s">
        <v>7</v>
      </c>
      <c r="E22" s="321">
        <v>1.6462000000000001E-2</v>
      </c>
      <c r="F22" s="279"/>
      <c r="G22" s="279"/>
      <c r="H22" s="279"/>
      <c r="I22" s="279"/>
      <c r="J22" s="279"/>
      <c r="K22" s="279"/>
      <c r="L22" s="279"/>
      <c r="M22" s="279"/>
      <c r="N22" s="279"/>
      <c r="O22" s="279"/>
      <c r="P22" s="279"/>
      <c r="Q22" s="279"/>
      <c r="R22" s="279"/>
      <c r="S22" s="76"/>
      <c r="T22" s="75"/>
      <c r="W22" s="200" t="s">
        <v>19</v>
      </c>
      <c r="X22" s="201">
        <v>1.5337E-2</v>
      </c>
    </row>
    <row r="23" spans="2:24" ht="15" customHeight="1" x14ac:dyDescent="0.25">
      <c r="B23" s="5"/>
      <c r="C23" s="68"/>
      <c r="D23" s="68"/>
      <c r="E23" s="90"/>
      <c r="F23" s="279"/>
      <c r="G23" s="279"/>
      <c r="H23" s="279"/>
      <c r="I23" s="279"/>
      <c r="J23" s="279"/>
      <c r="K23" s="279"/>
      <c r="L23" s="279"/>
      <c r="M23" s="279"/>
      <c r="N23" s="279"/>
      <c r="O23" s="279"/>
      <c r="P23" s="279"/>
      <c r="Q23" s="279"/>
      <c r="R23" s="279"/>
      <c r="S23" s="76"/>
      <c r="T23" s="75"/>
      <c r="W23" s="200" t="s">
        <v>35</v>
      </c>
      <c r="X23" s="201">
        <v>1.1401999999999999E-2</v>
      </c>
    </row>
    <row r="24" spans="2:24" ht="15" customHeight="1" x14ac:dyDescent="0.25">
      <c r="B24" s="5"/>
      <c r="C24" s="69" t="s">
        <v>77</v>
      </c>
      <c r="D24" s="71"/>
      <c r="E24" s="64">
        <f>SUM(E8:E22)</f>
        <v>0.58984100000000006</v>
      </c>
      <c r="F24" s="279"/>
      <c r="G24" s="279"/>
      <c r="H24" s="279"/>
      <c r="I24" s="279"/>
      <c r="J24" s="279"/>
      <c r="K24" s="279"/>
      <c r="L24" s="279"/>
      <c r="M24" s="279"/>
      <c r="N24" s="279"/>
      <c r="O24" s="279"/>
      <c r="P24" s="279"/>
      <c r="Q24" s="279"/>
      <c r="R24" s="279"/>
      <c r="S24" s="76"/>
      <c r="T24" s="75"/>
      <c r="W24" s="201" t="s">
        <v>20</v>
      </c>
      <c r="X24" s="201">
        <v>1.1168999999999998E-2</v>
      </c>
    </row>
    <row r="25" spans="2:24" ht="15" customHeight="1" x14ac:dyDescent="0.25">
      <c r="B25" s="5"/>
      <c r="F25" s="279"/>
      <c r="G25" s="279"/>
      <c r="H25" s="279"/>
      <c r="I25" s="279"/>
      <c r="J25" s="279"/>
      <c r="K25" s="279"/>
      <c r="L25" s="279"/>
      <c r="M25" s="279"/>
      <c r="N25" s="279"/>
      <c r="O25" s="279"/>
      <c r="P25" s="279"/>
      <c r="Q25" s="279"/>
      <c r="R25" s="279"/>
      <c r="S25" s="76"/>
      <c r="T25" s="75"/>
      <c r="W25" s="201" t="s">
        <v>32</v>
      </c>
      <c r="X25" s="201">
        <v>8.0560000000000007E-3</v>
      </c>
    </row>
    <row r="26" spans="2:24" ht="15" customHeight="1" x14ac:dyDescent="0.25">
      <c r="B26" s="5"/>
      <c r="F26" s="279"/>
      <c r="G26" s="279"/>
      <c r="H26" s="279"/>
      <c r="I26" s="279"/>
      <c r="J26" s="279"/>
      <c r="K26" s="279"/>
      <c r="L26" s="279"/>
      <c r="M26" s="279"/>
      <c r="N26" s="279"/>
      <c r="O26" s="279"/>
      <c r="P26" s="279"/>
      <c r="Q26" s="279"/>
      <c r="R26" s="279"/>
      <c r="S26" s="76"/>
      <c r="T26" s="75"/>
      <c r="W26" s="201" t="s">
        <v>15</v>
      </c>
      <c r="X26" s="201">
        <v>6.744E-3</v>
      </c>
    </row>
    <row r="27" spans="2:24" ht="15" customHeight="1" x14ac:dyDescent="0.25">
      <c r="B27" s="5"/>
      <c r="F27" s="279"/>
      <c r="G27" s="279"/>
      <c r="H27" s="279"/>
      <c r="I27" s="279"/>
      <c r="J27" s="279"/>
      <c r="K27" s="279"/>
      <c r="L27" s="279"/>
      <c r="M27" s="279"/>
      <c r="N27" s="279"/>
      <c r="O27" s="279"/>
      <c r="P27" s="279"/>
      <c r="Q27" s="279"/>
      <c r="R27" s="279"/>
      <c r="S27" s="76"/>
      <c r="T27" s="75"/>
      <c r="W27" s="201" t="s">
        <v>89</v>
      </c>
      <c r="X27" s="201">
        <v>6.4970000000000002E-3</v>
      </c>
    </row>
    <row r="28" spans="2:24" ht="15" customHeight="1" x14ac:dyDescent="0.25">
      <c r="B28" s="5"/>
      <c r="F28" s="279"/>
      <c r="G28" s="279"/>
      <c r="H28" s="279"/>
      <c r="I28" s="279"/>
      <c r="J28" s="279"/>
      <c r="K28" s="279"/>
      <c r="L28" s="279"/>
      <c r="M28" s="279"/>
      <c r="N28" s="279"/>
      <c r="O28" s="279"/>
      <c r="P28" s="279"/>
      <c r="Q28" s="279"/>
      <c r="R28" s="279"/>
      <c r="S28" s="76"/>
      <c r="T28" s="75"/>
      <c r="W28" s="201" t="s">
        <v>133</v>
      </c>
      <c r="X28" s="201">
        <v>5.5620000000000001E-3</v>
      </c>
    </row>
    <row r="29" spans="2:24" ht="15" customHeight="1" x14ac:dyDescent="0.25">
      <c r="B29" s="5"/>
      <c r="F29" s="279"/>
      <c r="G29" s="279"/>
      <c r="H29" s="279"/>
      <c r="I29" s="279"/>
      <c r="J29" s="279"/>
      <c r="K29" s="279"/>
      <c r="L29" s="279"/>
      <c r="M29" s="279"/>
      <c r="N29" s="279"/>
      <c r="O29" s="279"/>
      <c r="P29" s="279"/>
      <c r="Q29" s="279"/>
      <c r="R29" s="279"/>
      <c r="S29" s="76"/>
      <c r="T29" s="75"/>
      <c r="W29" s="201" t="s">
        <v>30</v>
      </c>
      <c r="X29" s="201">
        <v>4.431E-3</v>
      </c>
    </row>
    <row r="30" spans="2:24" ht="15" customHeight="1" x14ac:dyDescent="0.25">
      <c r="B30" s="5"/>
      <c r="F30" s="279"/>
      <c r="G30" s="279"/>
      <c r="H30" s="279"/>
      <c r="I30" s="279"/>
      <c r="J30" s="279"/>
      <c r="K30" s="279"/>
      <c r="L30" s="279"/>
      <c r="M30" s="279"/>
      <c r="N30" s="279"/>
      <c r="O30" s="279"/>
      <c r="P30" s="279"/>
      <c r="Q30" s="279"/>
      <c r="R30" s="279"/>
      <c r="S30" s="76"/>
      <c r="T30" s="75"/>
      <c r="W30" s="201" t="s">
        <v>22</v>
      </c>
      <c r="X30" s="201">
        <v>4.215E-3</v>
      </c>
    </row>
    <row r="31" spans="2:24" ht="15" customHeight="1" x14ac:dyDescent="0.25">
      <c r="B31" s="5"/>
      <c r="F31" s="279"/>
      <c r="G31" s="279"/>
      <c r="H31" s="279"/>
      <c r="I31" s="279"/>
      <c r="J31" s="279"/>
      <c r="K31" s="279"/>
      <c r="L31" s="279"/>
      <c r="M31" s="279"/>
      <c r="N31" s="279"/>
      <c r="O31" s="279"/>
      <c r="P31" s="279"/>
      <c r="Q31" s="279"/>
      <c r="R31" s="279"/>
      <c r="S31" s="76"/>
      <c r="T31" s="75"/>
      <c r="W31" s="201" t="s">
        <v>150</v>
      </c>
      <c r="X31" s="201">
        <v>2.5720000000000001E-3</v>
      </c>
    </row>
    <row r="32" spans="2:24" ht="15" customHeight="1" x14ac:dyDescent="0.25">
      <c r="B32" s="5"/>
      <c r="F32" s="279"/>
      <c r="G32" s="279"/>
      <c r="H32" s="279"/>
      <c r="I32" s="279"/>
      <c r="J32" s="279"/>
      <c r="K32" s="279"/>
      <c r="L32" s="279"/>
      <c r="M32" s="279"/>
      <c r="N32" s="279"/>
      <c r="O32" s="279"/>
      <c r="P32" s="279"/>
      <c r="Q32" s="279"/>
      <c r="R32" s="279"/>
      <c r="S32" s="76"/>
      <c r="T32" s="75"/>
      <c r="W32" s="201" t="s">
        <v>28</v>
      </c>
      <c r="X32" s="201">
        <v>2.4970000000000001E-3</v>
      </c>
    </row>
    <row r="33" spans="1:31" ht="15" customHeight="1" x14ac:dyDescent="0.25">
      <c r="B33" s="5"/>
      <c r="F33" s="279"/>
      <c r="G33" s="279"/>
      <c r="H33" s="279"/>
      <c r="I33" s="279"/>
      <c r="J33" s="279"/>
      <c r="K33" s="279"/>
      <c r="L33" s="279"/>
      <c r="M33" s="279"/>
      <c r="N33" s="279"/>
      <c r="O33" s="279"/>
      <c r="P33" s="279"/>
      <c r="Q33" s="279"/>
      <c r="R33" s="279"/>
      <c r="S33" s="76"/>
      <c r="T33" s="75"/>
      <c r="W33" s="201" t="s">
        <v>23</v>
      </c>
      <c r="X33" s="201">
        <v>2.4060000000000002E-3</v>
      </c>
    </row>
    <row r="34" spans="1:31" ht="15" customHeight="1" x14ac:dyDescent="0.25">
      <c r="B34" s="5"/>
      <c r="F34" s="279"/>
      <c r="G34" s="279"/>
      <c r="H34" s="279"/>
      <c r="I34" s="279"/>
      <c r="J34" s="279"/>
      <c r="K34" s="279"/>
      <c r="L34" s="279"/>
      <c r="M34" s="279"/>
      <c r="N34" s="279"/>
      <c r="O34" s="279"/>
      <c r="P34" s="279"/>
      <c r="Q34" s="279"/>
      <c r="R34" s="279"/>
      <c r="S34" s="76"/>
      <c r="T34" s="75"/>
      <c r="W34" s="201" t="s">
        <v>151</v>
      </c>
      <c r="X34" s="201">
        <v>1.5839999999999999E-3</v>
      </c>
    </row>
    <row r="35" spans="1:31" ht="15" customHeight="1" x14ac:dyDescent="0.25">
      <c r="B35" s="5"/>
      <c r="F35" s="279"/>
      <c r="G35" s="279"/>
      <c r="H35" s="279"/>
      <c r="I35" s="279"/>
      <c r="J35" s="279"/>
      <c r="K35" s="279"/>
      <c r="L35" s="279"/>
      <c r="M35" s="279"/>
      <c r="N35" s="279"/>
      <c r="O35" s="279"/>
      <c r="P35" s="279"/>
      <c r="Q35" s="279"/>
      <c r="R35" s="279"/>
      <c r="S35" s="76"/>
      <c r="T35" s="75"/>
      <c r="W35" s="201" t="s">
        <v>16</v>
      </c>
      <c r="X35" s="201">
        <v>1.554E-3</v>
      </c>
    </row>
    <row r="36" spans="1:31" ht="15" customHeight="1" x14ac:dyDescent="0.25">
      <c r="B36" s="5"/>
      <c r="F36" s="279"/>
      <c r="G36" s="279"/>
      <c r="H36" s="279"/>
      <c r="I36" s="279"/>
      <c r="J36" s="279"/>
      <c r="K36" s="279"/>
      <c r="L36" s="279"/>
      <c r="M36" s="279"/>
      <c r="N36" s="279"/>
      <c r="O36" s="279"/>
      <c r="P36" s="279"/>
      <c r="Q36" s="279"/>
      <c r="R36" s="279"/>
      <c r="S36" s="76"/>
      <c r="T36" s="75"/>
      <c r="W36" s="166"/>
      <c r="X36" s="166"/>
    </row>
    <row r="37" spans="1:31" ht="15" customHeight="1" x14ac:dyDescent="0.25">
      <c r="B37" s="5"/>
      <c r="F37" s="279"/>
      <c r="G37" s="279"/>
      <c r="H37" s="279"/>
      <c r="I37" s="279"/>
      <c r="J37" s="279"/>
      <c r="K37" s="279"/>
      <c r="L37" s="279"/>
      <c r="M37" s="279"/>
      <c r="N37" s="279"/>
      <c r="O37" s="279"/>
      <c r="P37" s="279"/>
      <c r="Q37" s="279"/>
      <c r="R37" s="279"/>
      <c r="S37" s="76"/>
      <c r="T37" s="75"/>
      <c r="W37" s="166"/>
      <c r="X37" s="166"/>
    </row>
    <row r="38" spans="1:31" s="10" customFormat="1" ht="15" customHeight="1" x14ac:dyDescent="0.25">
      <c r="A38" s="278"/>
      <c r="B38" s="5"/>
      <c r="C38" s="279"/>
      <c r="D38" s="279"/>
      <c r="E38" s="279"/>
      <c r="F38" s="279"/>
      <c r="G38" s="279"/>
      <c r="H38" s="279"/>
      <c r="I38" s="279"/>
      <c r="J38" s="279"/>
      <c r="K38" s="279"/>
      <c r="L38" s="279"/>
      <c r="M38" s="279"/>
      <c r="N38" s="279"/>
      <c r="O38" s="279"/>
      <c r="P38" s="279"/>
      <c r="Q38" s="279"/>
      <c r="R38" s="279"/>
      <c r="S38" s="76"/>
      <c r="T38" s="75"/>
      <c r="U38" s="9"/>
      <c r="V38" s="9"/>
      <c r="W38" s="165"/>
      <c r="X38" s="165"/>
      <c r="Y38" s="165"/>
      <c r="Z38" s="165"/>
      <c r="AA38" s="9"/>
      <c r="AB38" s="105"/>
      <c r="AC38" s="105"/>
      <c r="AD38" s="105"/>
      <c r="AE38" s="105"/>
    </row>
    <row r="39" spans="1:31" s="10" customFormat="1" ht="15" customHeight="1" x14ac:dyDescent="0.25">
      <c r="A39" s="278"/>
      <c r="B39" s="5"/>
      <c r="C39" s="279"/>
      <c r="D39" s="279"/>
      <c r="E39" s="279"/>
      <c r="F39" s="279"/>
      <c r="G39" s="279"/>
      <c r="H39" s="279"/>
      <c r="I39" s="279"/>
      <c r="J39" s="279"/>
      <c r="K39" s="279"/>
      <c r="L39" s="279"/>
      <c r="M39" s="279"/>
      <c r="N39" s="279"/>
      <c r="O39" s="279"/>
      <c r="P39" s="279"/>
      <c r="Q39" s="279"/>
      <c r="R39" s="279"/>
      <c r="S39" s="76"/>
      <c r="T39" s="75"/>
      <c r="U39" s="9"/>
      <c r="V39" s="9"/>
      <c r="W39" s="165"/>
      <c r="X39" s="165"/>
      <c r="Y39" s="165"/>
      <c r="Z39" s="165"/>
      <c r="AA39" s="9"/>
      <c r="AB39" s="105"/>
      <c r="AC39" s="105"/>
      <c r="AD39" s="105"/>
      <c r="AE39" s="105"/>
    </row>
    <row r="40" spans="1:31" s="10" customFormat="1" ht="15" customHeight="1" thickBot="1" x14ac:dyDescent="0.3">
      <c r="A40" s="278"/>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5"/>
      <c r="AC40" s="105"/>
      <c r="AD40" s="105"/>
      <c r="AE40" s="105"/>
    </row>
    <row r="41" spans="1:31" s="10" customFormat="1" ht="15" customHeight="1" thickBot="1" x14ac:dyDescent="0.3">
      <c r="A41" s="278"/>
      <c r="B41" s="278"/>
      <c r="C41" s="278"/>
      <c r="D41" s="278"/>
      <c r="E41" s="278"/>
      <c r="F41" s="278"/>
      <c r="G41" s="278"/>
      <c r="H41" s="278"/>
      <c r="I41" s="278"/>
      <c r="J41" s="278"/>
      <c r="K41" s="278"/>
      <c r="L41" s="278"/>
      <c r="M41" s="278"/>
      <c r="N41" s="278"/>
      <c r="O41" s="278"/>
      <c r="P41" s="278"/>
      <c r="Q41" s="278"/>
      <c r="R41" s="278"/>
      <c r="S41" s="9"/>
      <c r="T41" s="9"/>
      <c r="U41" s="9"/>
      <c r="V41" s="9"/>
      <c r="W41" s="165"/>
      <c r="X41" s="165"/>
      <c r="Y41" s="165"/>
      <c r="Z41" s="165"/>
      <c r="AA41" s="9"/>
      <c r="AB41" s="105"/>
      <c r="AC41" s="105"/>
      <c r="AD41" s="105"/>
      <c r="AE41" s="105"/>
    </row>
    <row r="42" spans="1:31" s="10" customFormat="1" ht="15" customHeight="1" x14ac:dyDescent="0.25">
      <c r="A42" s="278"/>
      <c r="B42" s="294" t="s">
        <v>147</v>
      </c>
      <c r="C42" s="295"/>
      <c r="D42" s="295"/>
      <c r="E42" s="295"/>
      <c r="F42" s="295"/>
      <c r="G42" s="295"/>
      <c r="H42" s="295"/>
      <c r="I42" s="295"/>
      <c r="J42" s="295"/>
      <c r="K42" s="295"/>
      <c r="L42" s="295"/>
      <c r="M42" s="295"/>
      <c r="N42" s="296"/>
      <c r="O42" s="278"/>
      <c r="P42" s="278"/>
      <c r="Q42" s="278"/>
      <c r="R42" s="278"/>
      <c r="S42" s="9"/>
      <c r="T42" s="9"/>
      <c r="U42" s="9"/>
      <c r="V42" s="9"/>
      <c r="W42" s="165"/>
      <c r="X42" s="165"/>
      <c r="Y42" s="165"/>
      <c r="Z42" s="165"/>
      <c r="AA42" s="9"/>
      <c r="AB42" s="105"/>
      <c r="AC42" s="105"/>
      <c r="AD42" s="105"/>
      <c r="AE42" s="105"/>
    </row>
    <row r="43" spans="1:31" s="10" customFormat="1" ht="15" customHeight="1" x14ac:dyDescent="0.25">
      <c r="A43" s="278"/>
      <c r="B43" s="297"/>
      <c r="C43" s="298"/>
      <c r="D43" s="298"/>
      <c r="E43" s="298"/>
      <c r="F43" s="298"/>
      <c r="G43" s="298"/>
      <c r="H43" s="298"/>
      <c r="I43" s="298"/>
      <c r="J43" s="298"/>
      <c r="K43" s="298"/>
      <c r="L43" s="298"/>
      <c r="M43" s="298"/>
      <c r="N43" s="299"/>
      <c r="O43" s="278"/>
      <c r="P43" s="278"/>
      <c r="Q43" s="278"/>
      <c r="R43" s="278"/>
      <c r="S43" s="9"/>
      <c r="T43" s="9"/>
      <c r="U43" s="9"/>
      <c r="V43" s="9"/>
      <c r="W43" s="165"/>
      <c r="X43" s="165"/>
      <c r="Y43" s="165"/>
      <c r="Z43" s="165"/>
      <c r="AA43" s="9"/>
      <c r="AB43" s="105"/>
      <c r="AC43" s="105"/>
      <c r="AD43" s="105"/>
      <c r="AE43" s="105"/>
    </row>
    <row r="44" spans="1:31" s="10" customFormat="1" ht="15" customHeight="1" x14ac:dyDescent="0.25">
      <c r="A44" s="278"/>
      <c r="B44" s="297"/>
      <c r="C44" s="298"/>
      <c r="D44" s="298"/>
      <c r="E44" s="298"/>
      <c r="F44" s="298"/>
      <c r="G44" s="298"/>
      <c r="H44" s="298"/>
      <c r="I44" s="298"/>
      <c r="J44" s="298"/>
      <c r="K44" s="298"/>
      <c r="L44" s="298"/>
      <c r="M44" s="298"/>
      <c r="N44" s="299"/>
      <c r="O44" s="278"/>
      <c r="P44" s="278"/>
      <c r="Q44" s="278"/>
      <c r="R44" s="278"/>
      <c r="S44" s="9"/>
      <c r="T44" s="9"/>
      <c r="U44" s="9"/>
      <c r="V44" s="9"/>
      <c r="W44" s="165"/>
      <c r="X44" s="165"/>
      <c r="Y44" s="165"/>
      <c r="Z44" s="165"/>
      <c r="AA44" s="9"/>
      <c r="AB44" s="105"/>
      <c r="AC44" s="105"/>
      <c r="AD44" s="105"/>
      <c r="AE44" s="105"/>
    </row>
    <row r="45" spans="1:31" s="10" customFormat="1" ht="15" customHeight="1" x14ac:dyDescent="0.25">
      <c r="A45" s="278"/>
      <c r="B45" s="297"/>
      <c r="C45" s="298"/>
      <c r="D45" s="298"/>
      <c r="E45" s="298"/>
      <c r="F45" s="298"/>
      <c r="G45" s="298"/>
      <c r="H45" s="298"/>
      <c r="I45" s="298"/>
      <c r="J45" s="298"/>
      <c r="K45" s="298"/>
      <c r="L45" s="298"/>
      <c r="M45" s="298"/>
      <c r="N45" s="299"/>
      <c r="O45" s="278"/>
      <c r="P45" s="278"/>
      <c r="Q45" s="278"/>
      <c r="R45" s="278"/>
      <c r="S45" s="9"/>
      <c r="T45" s="9"/>
      <c r="U45" s="9"/>
      <c r="V45" s="9"/>
      <c r="W45" s="165"/>
      <c r="X45" s="165"/>
      <c r="Y45" s="165"/>
      <c r="Z45" s="165"/>
      <c r="AA45" s="9"/>
      <c r="AB45" s="105"/>
      <c r="AC45" s="105"/>
      <c r="AD45" s="105"/>
      <c r="AE45" s="105"/>
    </row>
    <row r="46" spans="1:31" s="10" customFormat="1" ht="15" customHeight="1" x14ac:dyDescent="0.25">
      <c r="A46" s="278"/>
      <c r="B46" s="297"/>
      <c r="C46" s="298"/>
      <c r="D46" s="298"/>
      <c r="E46" s="298"/>
      <c r="F46" s="298"/>
      <c r="G46" s="298"/>
      <c r="H46" s="298"/>
      <c r="I46" s="298"/>
      <c r="J46" s="298"/>
      <c r="K46" s="298"/>
      <c r="L46" s="298"/>
      <c r="M46" s="298"/>
      <c r="N46" s="299"/>
      <c r="O46" s="278"/>
      <c r="P46" s="278"/>
      <c r="Q46" s="278"/>
      <c r="R46" s="278"/>
      <c r="S46" s="9"/>
      <c r="T46" s="9"/>
      <c r="U46" s="9"/>
      <c r="V46" s="9"/>
      <c r="W46" s="165"/>
      <c r="X46" s="165"/>
      <c r="Y46" s="165"/>
      <c r="Z46" s="165"/>
      <c r="AA46" s="9"/>
      <c r="AB46" s="105"/>
      <c r="AC46" s="105"/>
      <c r="AD46" s="105"/>
      <c r="AE46" s="105"/>
    </row>
    <row r="47" spans="1:31" ht="15" customHeight="1" x14ac:dyDescent="0.25">
      <c r="B47" s="297"/>
      <c r="C47" s="298"/>
      <c r="D47" s="298"/>
      <c r="E47" s="298"/>
      <c r="F47" s="298"/>
      <c r="G47" s="298"/>
      <c r="H47" s="298"/>
      <c r="I47" s="298"/>
      <c r="J47" s="298"/>
      <c r="K47" s="298"/>
      <c r="L47" s="298"/>
      <c r="M47" s="298"/>
      <c r="N47" s="299"/>
    </row>
    <row r="48" spans="1:31" ht="15" customHeight="1" thickBot="1" x14ac:dyDescent="0.3">
      <c r="B48" s="300"/>
      <c r="C48" s="301"/>
      <c r="D48" s="301"/>
      <c r="E48" s="301"/>
      <c r="F48" s="301"/>
      <c r="G48" s="301"/>
      <c r="H48" s="301"/>
      <c r="I48" s="301"/>
      <c r="J48" s="301"/>
      <c r="K48" s="301"/>
      <c r="L48" s="301"/>
      <c r="M48" s="301"/>
      <c r="N48" s="30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mergeCells count="3">
    <mergeCell ref="C3:S3"/>
    <mergeCell ref="D5:E5"/>
    <mergeCell ref="B42:N48"/>
  </mergeCells>
  <pageMargins left="0.25" right="0.25" top="0.75" bottom="0.75" header="0.3" footer="0.3"/>
  <pageSetup scale="52"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21</vt:i4>
      </vt:variant>
    </vt:vector>
  </HeadingPairs>
  <TitlesOfParts>
    <vt:vector size="43" baseType="lpstr">
      <vt:lpstr>IDFC-USFOF</vt:lpstr>
      <vt:lpstr>IDFC CEF</vt:lpstr>
      <vt:lpstr>IDFC LCF</vt:lpstr>
      <vt:lpstr>IDFC FEF</vt:lpstr>
      <vt:lpstr>IDFC SVF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vt:lpstr>
      <vt:lpstr>IDFC-Sensex ETF</vt:lpstr>
      <vt:lpstr>IDFC- Nifty ETF</vt:lpstr>
      <vt:lpstr>IDFC-Nifty 100 Index</vt:lpstr>
      <vt:lpstr>'IDFC BAF'!Print_Area</vt:lpstr>
      <vt:lpstr>'IDFC CEF'!Print_Area</vt:lpstr>
      <vt:lpstr>'IDFC EBF'!Print_Area</vt:lpstr>
      <vt:lpstr>'IDFC FCF'!Print_Area</vt:lpstr>
      <vt:lpstr>'IDFC FEF'!Print_Area</vt:lpstr>
      <vt:lpstr>'IDFC IF'!Print_Area</vt:lpstr>
      <vt:lpstr>'IDFC LCF'!Print_Area</vt:lpstr>
      <vt:lpstr>'IDFC MCF'!Print_Area</vt:lpstr>
      <vt:lpstr>'IDFC- Nifty ETF'!Print_Area</vt:lpstr>
      <vt:lpstr>'IDFC SVF'!Print_Area</vt:lpstr>
      <vt:lpstr>'IDFCAAF-AP'!Print_Area</vt:lpstr>
      <vt:lpstr>'IDFCAAF-CP'!Print_Area</vt:lpstr>
      <vt:lpstr>'IDFCAAF-MP'!Print_Area</vt:lpstr>
      <vt:lpstr>'IDFC-AF'!Print_Area</vt:lpstr>
      <vt:lpstr>'IDFC-HEF'!Print_Area</vt:lpstr>
      <vt:lpstr>'IDFC-NIFTY'!Print_Area</vt:lpstr>
      <vt:lpstr>'IDFC-Nifty 100 Index'!Print_Area</vt:lpstr>
      <vt:lpstr>'IDFC-RSF'!Print_Area</vt:lpstr>
      <vt:lpstr>'IDFC-Sensex ETF'!Print_Area</vt:lpstr>
      <vt:lpstr>'IDFC-TAF'!Print_Area</vt:lpstr>
      <vt:lpstr>'IDFC-USFOF'!Print_Area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Hema Suryakant Davda (Indigo Consulting)</cp:lastModifiedBy>
  <cp:lastPrinted>2022-03-03T12:31:31Z</cp:lastPrinted>
  <dcterms:created xsi:type="dcterms:W3CDTF">2015-05-04T03:21:51Z</dcterms:created>
  <dcterms:modified xsi:type="dcterms:W3CDTF">2022-03-03T12:31:51Z</dcterms:modified>
</cp:coreProperties>
</file>