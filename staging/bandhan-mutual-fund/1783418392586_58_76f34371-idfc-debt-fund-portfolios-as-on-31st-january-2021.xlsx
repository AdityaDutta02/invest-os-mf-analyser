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WEEKLY PORTFOLIOS\"/>
    </mc:Choice>
  </mc:AlternateContent>
  <bookViews>
    <workbookView xWindow="0" yWindow="0" windowWidth="14370" windowHeight="7440"/>
  </bookViews>
  <sheets>
    <sheet name="IDFC OF" sheetId="15" r:id="rId1"/>
    <sheet name="IDFC CF" sheetId="7" r:id="rId2"/>
    <sheet name="IDFC LDF" sheetId="13" r:id="rId3"/>
    <sheet name="IDFC MMF" sheetId="14" r:id="rId4"/>
    <sheet name="IDFC USTF" sheetId="16" r:id="rId5"/>
    <sheet name="IDFC DBF" sheetId="10" r:id="rId6"/>
    <sheet name="IDFC BOND IP" sheetId="4" r:id="rId7"/>
    <sheet name="IDFC BOND MT" sheetId="5" r:id="rId8"/>
    <sheet name="IDFC BOND ST" sheetId="6" r:id="rId9"/>
    <sheet name="IDFC BPDF" sheetId="3" r:id="rId10"/>
    <sheet name="IDFC-CBF" sheetId="8" r:id="rId11"/>
    <sheet name="IDFC CRF" sheetId="9" r:id="rId12"/>
    <sheet name="IDFC GSF-IP" sheetId="11" r:id="rId13"/>
    <sheet name="IDFC GSF - CMP" sheetId="12" r:id="rId14"/>
    <sheet name="IDFC ASBF" sheetId="2"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9" l="1"/>
  <c r="H9" i="9"/>
  <c r="H8" i="9"/>
</calcChain>
</file>

<file path=xl/sharedStrings.xml><?xml version="1.0" encoding="utf-8"?>
<sst xmlns="http://schemas.openxmlformats.org/spreadsheetml/2006/main" count="1016" uniqueCount="209">
  <si>
    <t>IDFC ALL SEASONS BOND FUND (31 January,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</si>
  <si>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</si>
  <si>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</si>
  <si>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</si>
  <si>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</si>
  <si>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</si>
  <si>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</si>
  <si>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</si>
  <si>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</si>
  <si>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</si>
  <si>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</si>
  <si>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</si>
  <si>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</si>
  <si>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</si>
  <si>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</si>
  <si>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</si>
  <si>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</si>
  <si>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</si>
  <si>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January, 2021 )</t>
  </si>
  <si>
    <t>Export Import Bank of India</t>
  </si>
  <si>
    <t xml:space="preserve"> A1+</t>
  </si>
  <si>
    <t>Axis Bank Limited</t>
  </si>
  <si>
    <t>Bank of Baroda</t>
  </si>
  <si>
    <t>Certificate of Deposit Total</t>
  </si>
  <si>
    <t>National Bank For Agriculture and Rural Development</t>
  </si>
  <si>
    <t>Reliance Industries Limited</t>
  </si>
  <si>
    <t>Commercial Paper Total</t>
  </si>
  <si>
    <t xml:space="preserve"> AAA</t>
  </si>
  <si>
    <t>Power Finance Corporation Limited</t>
  </si>
  <si>
    <t>REC Limited</t>
  </si>
  <si>
    <t>National Highways Auth Of Ind</t>
  </si>
  <si>
    <t>Housing Development Finance Corporation Limited</t>
  </si>
  <si>
    <t>Indian Railway Finance Corporation Limited</t>
  </si>
  <si>
    <t>Hindustan Petroleum Corporation Limited</t>
  </si>
  <si>
    <t>LIC Housing Finance Limited</t>
  </si>
  <si>
    <t>Small Industries Dev Bank of India</t>
  </si>
  <si>
    <t>National Housing Bank</t>
  </si>
  <si>
    <t>ICICI Bank Limited</t>
  </si>
  <si>
    <t>Power Grid Corporation of India Limited</t>
  </si>
  <si>
    <t>Housing &amp; Urban Development Corporation Limited</t>
  </si>
  <si>
    <t>NTPC Limited</t>
  </si>
  <si>
    <t>NHPC Limited</t>
  </si>
  <si>
    <t>Larsen &amp; Toubro Limited</t>
  </si>
  <si>
    <t>Indian Oil Corporation Limited</t>
  </si>
  <si>
    <t>Tata Sons Private Ltd</t>
  </si>
  <si>
    <t>Corporate Bond Total</t>
  </si>
  <si>
    <t>7.37% GOI (MD 16/04/2023)</t>
  </si>
  <si>
    <t>SOV</t>
  </si>
  <si>
    <t>7.16% GOI (MD 20/05/2023)</t>
  </si>
  <si>
    <t>7.32% GOI (MD 28/01/2024)</t>
  </si>
  <si>
    <t>6.84% GOI (MD 19/12/2022)</t>
  </si>
  <si>
    <t>5.22% GOI (MD 15/06/2025)</t>
  </si>
  <si>
    <t>6.18% GOI (MD 04/11/2024)</t>
  </si>
  <si>
    <t>8.13% GOI (MD 21/09/2022)</t>
  </si>
  <si>
    <t>7.68% GOI (MD 15/12/2023)</t>
  </si>
  <si>
    <t>7.8% GOI (MD 11/04/2021)</t>
  </si>
  <si>
    <t>Government Bond Total</t>
  </si>
  <si>
    <t>State Government Bond Total</t>
  </si>
  <si>
    <t>182 Days Tbill (MD 25/02/2021)</t>
  </si>
  <si>
    <t>Treasury Bill Total</t>
  </si>
  <si>
    <t>Zero Coupon Bond Total</t>
  </si>
  <si>
    <t>Certificate of Deposit</t>
  </si>
  <si>
    <t>Corporate Bond</t>
  </si>
  <si>
    <t>Commercial Paper</t>
  </si>
  <si>
    <t>Government Bond</t>
  </si>
  <si>
    <t>State Government Bond</t>
  </si>
  <si>
    <t>Treasury Bill</t>
  </si>
  <si>
    <t>Zero Coupon Bond</t>
  </si>
  <si>
    <t>IDFC BOND FUND - INCOME PLAN (31 January, 2021 )</t>
  </si>
  <si>
    <t>8.24% GOI (MD 15/02/2027)</t>
  </si>
  <si>
    <t>6.79% GOI (MD 15/05/2027)</t>
  </si>
  <si>
    <t>7.26% GOI (MD 14/01/2029)</t>
  </si>
  <si>
    <t>5.15% GOI (MD 09/11/2025)</t>
  </si>
  <si>
    <t>7.73% GOI (MD 19/12/2034)</t>
  </si>
  <si>
    <t>IDFC BOND FUND - MEDIUM TERM PLAN (31 January, 2021 )</t>
  </si>
  <si>
    <t>6.97% GOI (MD 06/09/2026)</t>
  </si>
  <si>
    <t>8.15% GOI (MD 24/11/2026)</t>
  </si>
  <si>
    <t>8.33% GOI 2026 (M/D 09/07/2026)</t>
  </si>
  <si>
    <t xml:space="preserve"> AAA(SO)</t>
  </si>
  <si>
    <t>PTC Total</t>
  </si>
  <si>
    <t>182 Days Tbill (MD 11/03/2021)</t>
  </si>
  <si>
    <t>182 Days Tbill (MD 18/03/2021)</t>
  </si>
  <si>
    <t>364 Days Tbill (MD 04/03/2021)</t>
  </si>
  <si>
    <t>364 Days Tbill (MD 30/03/2021)</t>
  </si>
  <si>
    <t>182 Days Tbill (MD 04/03/2021)</t>
  </si>
  <si>
    <t>182 Days Tbill (MD 25/03/2021)</t>
  </si>
  <si>
    <t>364 Days Tbill (MD 18/03/2021)</t>
  </si>
  <si>
    <t>PTC</t>
  </si>
  <si>
    <t>IDFC BOND FUND - SHORT TERM PLAN (31 January, 2021 )</t>
  </si>
  <si>
    <t>Bajaj Finance Limited</t>
  </si>
  <si>
    <t>HDB Financial Services Limited</t>
  </si>
  <si>
    <t>7.72% GOI (MD 25/05/2025)</t>
  </si>
  <si>
    <t>91 Days Tbill (MD 18/03/2021)</t>
  </si>
  <si>
    <t>IDFC CASH FUND (31 January, 2021 )</t>
  </si>
  <si>
    <t>Kotak Mahindra Prime Limited</t>
  </si>
  <si>
    <t>Reliance Retail Ventures Limited</t>
  </si>
  <si>
    <t>UltraTech Cement Limited</t>
  </si>
  <si>
    <t>Sundaram Finance Limited</t>
  </si>
  <si>
    <t>Oil &amp; Natural Gas Corporation Limited</t>
  </si>
  <si>
    <t>ICICI Securities Limited</t>
  </si>
  <si>
    <t>Kotak Mahindra Investments Limited</t>
  </si>
  <si>
    <t>91 Days Tbill (MD 11/03/2021)</t>
  </si>
  <si>
    <t>91 Days Tbill (MD 11/02/2021)</t>
  </si>
  <si>
    <t>91 Days Tbill (MD 25/02/2021)</t>
  </si>
  <si>
    <t>IDFC CORPORATE BOND FUND (31 January, 2021 )</t>
  </si>
  <si>
    <t>Mahindra &amp; Mahindra Limited</t>
  </si>
  <si>
    <t>IDFC CREDIT RISK FUND (31 January, 2021 )</t>
  </si>
  <si>
    <t>Afcons Infrastructure Limited</t>
  </si>
  <si>
    <t xml:space="preserve"> A+</t>
  </si>
  <si>
    <t xml:space="preserve"> AA(CE)</t>
  </si>
  <si>
    <t xml:space="preserve"> AA</t>
  </si>
  <si>
    <t xml:space="preserve"> AA+</t>
  </si>
  <si>
    <t>Tata Steel Limited</t>
  </si>
  <si>
    <t xml:space="preserve"> AA-</t>
  </si>
  <si>
    <t>Tata Power Company Limited</t>
  </si>
  <si>
    <t>7.17% GOI (MD 08/01/2028)</t>
  </si>
  <si>
    <t>7.59% GOI(MD 11/01/2026)</t>
  </si>
  <si>
    <t>Aditya Birla Fashion and Retail Limited</t>
  </si>
  <si>
    <t>AA</t>
  </si>
  <si>
    <t>AA+</t>
  </si>
  <si>
    <t>AA-</t>
  </si>
  <si>
    <t>IDFC DYNAMIC BOND FUND (31 January, 2021 )</t>
  </si>
  <si>
    <t>8.20% GOI (MD 24/09/2025)</t>
  </si>
  <si>
    <t>IDFC GOVERNMENT SECURITIES FUND - INVESTMENT PLAN (31 January, 2021 )</t>
  </si>
  <si>
    <t>IDFC GOVERNMENT SECURITIES FUND-CONSTANT MATURITY (31 January, 2021 )</t>
  </si>
  <si>
    <t>6.19% GOI (MD 16/09/2034)</t>
  </si>
  <si>
    <t>6.68% GOI (MD 17/09/2031)</t>
  </si>
  <si>
    <t>IDFC LOW DURATION FUND (31 January, 2021 )</t>
  </si>
  <si>
    <t>Grasim Industries Limited</t>
  </si>
  <si>
    <t>8.15% GOI (MD 11/06/2022)</t>
  </si>
  <si>
    <t>7.94% GOI (MD 24/05/2021)</t>
  </si>
  <si>
    <t>IDFC MONEY MANAGER FUND (31 January, 2021 )</t>
  </si>
  <si>
    <t>364 Days Tbill (MD 11/03/2021)</t>
  </si>
  <si>
    <t>IDFC OVERNIGHT FUND (31 January, 2021 )</t>
  </si>
  <si>
    <t>IDFC ULTRA SHORT TERM FUND (31 January, 2021 )</t>
  </si>
  <si>
    <t>182 Days Tbill (MD 18/02/2021)</t>
  </si>
  <si>
    <t>364 Days Tbill (MD 25/03/2021)</t>
  </si>
  <si>
    <t>8.38% Haryana SDL (MD 27/01/2026)</t>
  </si>
  <si>
    <t>8.05% Gujarat SDL (MD 25/02/2025)</t>
  </si>
  <si>
    <t>8.99% Gujrat SDL (MD 14/03/2022)</t>
  </si>
  <si>
    <t>9.20% Andhra Pradesh SDL (MD 11/04/2022)</t>
  </si>
  <si>
    <t>7.55% Maharastra SDL (MD 21/03/2021)</t>
  </si>
  <si>
    <t>8.36% Madhya Pradesh SDL (MD 16/03/2021)</t>
  </si>
  <si>
    <t>7.64% Andhra Pradesh SDL (MD 14/03/2021)</t>
  </si>
  <si>
    <t>7.62% Odisha SDL (MD 14/03/2021)</t>
  </si>
  <si>
    <t>7.62% Maharastra SDL (MD 14/03/2021)</t>
  </si>
  <si>
    <t>8.67% Andhra Pradesh SDL(MD 26/05/2021)</t>
  </si>
  <si>
    <t>6.92% MAHARASTRA SDL(MD 11/01/2022)</t>
  </si>
  <si>
    <t>8.38% Karnataka SDL (MD 31/10/2022)</t>
  </si>
  <si>
    <t>8.31% Karnataka SDL (MD 14/11/2022)</t>
  </si>
  <si>
    <t>7.9% CHHATISGARH SDL (MD 28/11/2021)</t>
  </si>
  <si>
    <t>8.84% Gujrat SDL (MD 17/10/2022)</t>
  </si>
  <si>
    <t>8.90% Andhra pradesh SDL (MD 04/07/2022)</t>
  </si>
  <si>
    <t>8.79% Maharashtra SDL (MD 21/12/2021)</t>
  </si>
  <si>
    <t>7.03% Gujarat SDL (MD 26/10/2021)</t>
  </si>
  <si>
    <t>7.55% Odisha SDL (MD 11/04/2021)</t>
  </si>
  <si>
    <t>8.2% Gujarat SDL (MD 24/06/2025)</t>
  </si>
  <si>
    <t>8.25% Maharastra SDL  ( MD 13/05/2025)</t>
  </si>
  <si>
    <t>8.37% Tamil Nadu SDL (MD 05/12/2028)</t>
  </si>
  <si>
    <t>8.25% Andhra PradeshSDL (MD 25/04/2023)</t>
  </si>
  <si>
    <t>8.68% Gujarat SDL (MD 06/02/2023)</t>
  </si>
  <si>
    <t>8.10% TAMIL NADU SDL (MD 08/05/2023)</t>
  </si>
  <si>
    <t>9.25% Haryana SDL (MD 09-Oct-2023)</t>
  </si>
  <si>
    <t>5.41% Andhra Pradesh SDL (MD 12/08/2024)</t>
  </si>
  <si>
    <t>5.68% Maharashtra SDL (MD 23/09/2024)</t>
  </si>
  <si>
    <t>8.62% Maharashtra SDL (MD 06/03/2023)</t>
  </si>
  <si>
    <t>7.93% Chattisgarh SDL (MD 13/02/2024)</t>
  </si>
  <si>
    <t>7.77% Gujarat SDL (MD 19/06/2023)</t>
  </si>
  <si>
    <t>5.93% ODISHA SDL (MD 08/04/2022)</t>
  </si>
  <si>
    <t>8.48% Tamilnadu SDL (MD 04/07/2023)</t>
  </si>
  <si>
    <t>8.08% Haryana SDL (MD 28/01/2025)</t>
  </si>
  <si>
    <t>9.22% Gujarat SDL (MD 09/10/2023)</t>
  </si>
  <si>
    <t>7.68% Chattisgarh SDL (MD 20/03/2024)</t>
  </si>
  <si>
    <t>8.14% Gujarat SDL (MD 14/01/2025)</t>
  </si>
  <si>
    <t>6.49% Madhya Pradesh SDL (MD 31/03/2024)</t>
  </si>
  <si>
    <t>8.06% Maharastra SDL (MD 11/02/2025)</t>
  </si>
  <si>
    <t>6.64% Rajasthan SDL (MD 05/02/2024)</t>
  </si>
  <si>
    <t>6.68% Andhra Pradesh SDL (MD 15/04/2024)</t>
  </si>
  <si>
    <t>8.83% Tamilnadu SDL (MD 11/06/2024)</t>
  </si>
  <si>
    <t>8.13% TAMIL NADU SDL MAT - 14-Jan-2025</t>
  </si>
  <si>
    <t>6.99% Madhya Pradesh SDL (MD 24/03/2024)</t>
  </si>
  <si>
    <t>6.7% Odisha SDL (MD 08/04/2024)</t>
  </si>
  <si>
    <t>9.55% Karnataka SDL (MD 12/02/2024)</t>
  </si>
  <si>
    <t>5.6% Haryana SDL (MD 20/05/2024)</t>
  </si>
  <si>
    <t>9.47% Haryana SDL (MD 26/03/2024)</t>
  </si>
  <si>
    <t>9.63% Andhra Pradesh SDL (MD 12/02/2024)</t>
  </si>
  <si>
    <t>9.80% Haryana SDL (MD 26/02/2024)</t>
  </si>
  <si>
    <t>8.96% Maharashtra SDL  (MD 09/07/2024)</t>
  </si>
  <si>
    <t>5.6% Maharashtra SDL (MD 09/09/2024)</t>
  </si>
  <si>
    <t>9.48% Andhra Pradesh SDL (MD 26/03/2024)</t>
  </si>
  <si>
    <t>8.05% Maharashtra SDL (MD 28/01/2025)</t>
  </si>
  <si>
    <t>9.5% Gujrat SDL (MD 11/09/2023)</t>
  </si>
  <si>
    <t>9.71% Haryana SDL (MD 12/03/2024)</t>
  </si>
  <si>
    <t>9.24% Haryana SDL (MD 16/01/2024)</t>
  </si>
  <si>
    <t>9.37% Gujarat SDL (MD 30/01/2024)</t>
  </si>
  <si>
    <t>9.11% Maharashtra SDL (MD 28/05/2024)</t>
  </si>
  <si>
    <t>8.07% Gujrat SDL (MD 11/02/2025)</t>
  </si>
  <si>
    <t>5.75% Tamilnadu SDL (MD 27/05/2025)</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</si>
  <si>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</si>
  <si>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</si>
  <si>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</si>
  <si>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 Corporate Guarantee from Tata Power</t>
  </si>
  <si>
    <t>^^AT1 Bonds under Basel III</t>
  </si>
  <si>
    <t>Tata Power Renewable Energy Limited*</t>
  </si>
  <si>
    <t>Indian Bank^^</t>
  </si>
  <si>
    <t>Bank of Baroda^^</t>
  </si>
  <si>
    <t>State Bank of India^^</t>
  </si>
  <si>
    <t>IndusInd Bank Limited^^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</si>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</sst>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Black]\(0.00%\)"/>
    <numFmt numFmtId="165" formatCode="0.000%;[Black]\(0.000%\)"/>
  </numFmts>
  <fonts count="9"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1">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0" fontId="0" fillId="0" borderId="0" xfId="0" applyFill="1" applyBorder="1"/>
    <xf numFmtId="0" fontId="7" fillId="0" borderId="0" xfId="0" applyFont="1" applyBorder="1"/>
    <xf numFmtId="0" fontId="8" fillId="0" borderId="0" xfId="0" applyFont="1" applyBorder="1"/>
    <xf numFmtId="10" fontId="8" fillId="0" borderId="0" xfId="0" applyNumberFormat="1" applyFont="1" applyBorder="1"/>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DB4-47EC-9354-80E38ED37A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7DB4-47EC-9354-80E38ED37AE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manualLayout>
                  <c:x val="0.21474194473014221"/>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68E-4A1B-8A7F-13B683F04C16}"/>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68E-4A1B-8A7F-13B683F04C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TRI Party Repo</c:v>
                </c:pt>
                <c:pt idx="1">
                  <c:v>Net Current Asset</c:v>
                </c:pt>
              </c:strCache>
            </c:strRef>
          </c:cat>
          <c:val>
            <c:numRef>
              <c:f>'IDFC OF'!$K$9:$K$10</c:f>
              <c:numCache>
                <c:formatCode>0.00%</c:formatCode>
                <c:ptCount val="2"/>
                <c:pt idx="0">
                  <c:v>0.99443899999999996</c:v>
                </c:pt>
                <c:pt idx="1">
                  <c:v>5.561E-3</c:v>
                </c:pt>
              </c:numCache>
            </c:numRef>
          </c:val>
          <c:extLst>
            <c:ext xmlns:c16="http://schemas.microsoft.com/office/drawing/2014/chart" uri="{C3380CC4-5D6E-409C-BE32-E72D297353CC}">
              <c16:uniqueId val="{0000000C-B68E-4A1B-8A7F-13B683F04C1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D59-47C6-87F0-64BBE6E53B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5D59-47C6-87F0-64BBE6E53B2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D8A-46CB-9D8F-622C9EE6DDA4}"/>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D8A-46CB-9D8F-622C9EE6DDA4}"/>
                </c:ext>
              </c:extLst>
            </c:dLbl>
            <c:dLbl>
              <c:idx val="2"/>
              <c:layout>
                <c:manualLayout>
                  <c:x val="-7.8771434352290545E-2"/>
                  <c:y val="0.140457983735639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D8A-46CB-9D8F-622C9EE6DDA4}"/>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D8A-46CB-9D8F-622C9EE6DDA4}"/>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D8A-46CB-9D8F-622C9EE6DD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TRI Party Repo</c:v>
                </c:pt>
                <c:pt idx="1">
                  <c:v>Certificate of Deposit</c:v>
                </c:pt>
                <c:pt idx="2">
                  <c:v>Commercial Paper</c:v>
                </c:pt>
                <c:pt idx="3">
                  <c:v>Treasury Bill</c:v>
                </c:pt>
                <c:pt idx="4">
                  <c:v>Net Current Asset</c:v>
                </c:pt>
              </c:strCache>
            </c:strRef>
          </c:cat>
          <c:val>
            <c:numRef>
              <c:f>'IDFC CF'!$K$9:$K$13</c:f>
              <c:numCache>
                <c:formatCode>0.00%</c:formatCode>
                <c:ptCount val="5"/>
                <c:pt idx="0">
                  <c:v>1.4772E-2</c:v>
                </c:pt>
                <c:pt idx="1">
                  <c:v>3.9437E-2</c:v>
                </c:pt>
                <c:pt idx="2">
                  <c:v>0.63659699999999997</c:v>
                </c:pt>
                <c:pt idx="3">
                  <c:v>0.30912400000000001</c:v>
                </c:pt>
                <c:pt idx="4">
                  <c:v>6.9999999999999994E-5</c:v>
                </c:pt>
              </c:numCache>
            </c:numRef>
          </c:val>
          <c:extLst>
            <c:ext xmlns:c16="http://schemas.microsoft.com/office/drawing/2014/chart" uri="{C3380CC4-5D6E-409C-BE32-E72D297353CC}">
              <c16:uniqueId val="{0000000C-4D8A-46CB-9D8F-622C9EE6DDA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6.1674008810572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C04-4F22-A4E1-14116B9CE1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CC04-4F22-A4E1-14116B9CE19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6.7976192483434214E-2"/>
                  <c:y val="-1.98247508884398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CBA-45C2-8067-F776491B2FE0}"/>
                </c:ext>
              </c:extLst>
            </c:dLbl>
            <c:dLbl>
              <c:idx val="1"/>
              <c:layout>
                <c:manualLayout>
                  <c:x val="9.898076177308672E-2"/>
                  <c:y val="-2.7212389380530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CBA-45C2-8067-F776491B2FE0}"/>
                </c:ext>
              </c:extLst>
            </c:dLbl>
            <c:dLbl>
              <c:idx val="2"/>
              <c:layout>
                <c:manualLayout>
                  <c:x val="-0.10375002107605928"/>
                  <c:y val="0.119467632917566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CBA-45C2-8067-F776491B2FE0}"/>
                </c:ext>
              </c:extLst>
            </c:dLbl>
            <c:dLbl>
              <c:idx val="3"/>
              <c:layout>
                <c:manualLayout>
                  <c:x val="9.9812844593569275E-3"/>
                  <c:y val="0.170758135321580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CBA-45C2-8067-F776491B2FE0}"/>
                </c:ext>
              </c:extLst>
            </c:dLbl>
            <c:dLbl>
              <c:idx val="4"/>
              <c:layout>
                <c:manualLayout>
                  <c:x val="-3.4891163229863936E-2"/>
                  <c:y val="2.93714723712633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CCBA-45C2-8067-F776491B2FE0}"/>
                </c:ext>
              </c:extLst>
            </c:dLbl>
            <c:dLbl>
              <c:idx val="5"/>
              <c:layout>
                <c:manualLayout>
                  <c:x val="-1.604343354296987E-2"/>
                  <c:y val="-0.136447634311197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CCBA-45C2-8067-F776491B2FE0}"/>
                </c:ext>
              </c:extLst>
            </c:dLbl>
            <c:dLbl>
              <c:idx val="6"/>
              <c:layout>
                <c:manualLayout>
                  <c:x val="-2.0642482591175012E-2"/>
                  <c:y val="-2.15957076161940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CCBA-45C2-8067-F776491B2FE0}"/>
                </c:ext>
              </c:extLst>
            </c:dLbl>
            <c:dLbl>
              <c:idx val="7"/>
              <c:layout>
                <c:manualLayout>
                  <c:x val="-5.721391357129609E-3"/>
                  <c:y val="-2.5186398160406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CCBA-45C2-8067-F776491B2FE0}"/>
                </c:ext>
              </c:extLst>
            </c:dLbl>
            <c:dLbl>
              <c:idx val="8"/>
              <c:layout>
                <c:manualLayout>
                  <c:x val="8.4928594311150074E-2"/>
                  <c:y val="-1.65061668176433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CCBA-45C2-8067-F776491B2F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TRI Party Repo</c:v>
                </c:pt>
                <c:pt idx="1">
                  <c:v>Certificate of Deposit</c:v>
                </c:pt>
                <c:pt idx="2">
                  <c:v>Corporate Bond</c:v>
                </c:pt>
                <c:pt idx="3">
                  <c:v>Commercial Paper</c:v>
                </c:pt>
                <c:pt idx="4">
                  <c:v>Government Bond</c:v>
                </c:pt>
                <c:pt idx="5">
                  <c:v>State Government Bond</c:v>
                </c:pt>
                <c:pt idx="6">
                  <c:v>Treasury Bill</c:v>
                </c:pt>
                <c:pt idx="7">
                  <c:v>Zero Coupon Bond</c:v>
                </c:pt>
                <c:pt idx="8">
                  <c:v>Net Current Asset</c:v>
                </c:pt>
              </c:strCache>
            </c:strRef>
          </c:cat>
          <c:val>
            <c:numRef>
              <c:f>'IDFC LDF'!$K$9:$K$17</c:f>
              <c:numCache>
                <c:formatCode>0.00%</c:formatCode>
                <c:ptCount val="9"/>
                <c:pt idx="0">
                  <c:v>2.2945E-2</c:v>
                </c:pt>
                <c:pt idx="1">
                  <c:v>0.16921800000000001</c:v>
                </c:pt>
                <c:pt idx="2">
                  <c:v>0.37906899999999999</c:v>
                </c:pt>
                <c:pt idx="3">
                  <c:v>0.238624</c:v>
                </c:pt>
                <c:pt idx="4">
                  <c:v>4.0445000000000002E-2</c:v>
                </c:pt>
                <c:pt idx="5">
                  <c:v>4.7920000000000003E-3</c:v>
                </c:pt>
                <c:pt idx="6">
                  <c:v>0.11082699999999999</c:v>
                </c:pt>
                <c:pt idx="7">
                  <c:v>1.8617000000000002E-2</c:v>
                </c:pt>
                <c:pt idx="8">
                  <c:v>1.5462999999999999E-2</c:v>
                </c:pt>
              </c:numCache>
            </c:numRef>
          </c:val>
          <c:extLst>
            <c:ext xmlns:c16="http://schemas.microsoft.com/office/drawing/2014/chart" uri="{C3380CC4-5D6E-409C-BE32-E72D297353CC}">
              <c16:uniqueId val="{0000000C-CCBA-45C2-8067-F776491B2FE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7268722466960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633-47D0-8ABA-632D98ADCE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9633-47D0-8ABA-632D98ADCE8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DB4-42C0-BDF3-F3E97219FFB5}"/>
                </c:ext>
              </c:extLst>
            </c:dLbl>
            <c:dLbl>
              <c:idx val="1"/>
              <c:layout>
                <c:manualLayout>
                  <c:x val="-2.3664367971134231E-2"/>
                  <c:y val="0.264875005378426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5DB4-42C0-BDF3-F3E97219FFB5}"/>
                </c:ext>
              </c:extLst>
            </c:dLbl>
            <c:dLbl>
              <c:idx val="2"/>
              <c:layout>
                <c:manualLayout>
                  <c:x val="6.619113456642331E-2"/>
                  <c:y val="0.104737317671356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5DB4-42C0-BDF3-F3E97219FFB5}"/>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5DB4-42C0-BDF3-F3E97219FFB5}"/>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5DB4-42C0-BDF3-F3E97219FFB5}"/>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5DB4-42C0-BDF3-F3E97219FFB5}"/>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5DB4-42C0-BDF3-F3E97219FF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TRI Party Repo</c:v>
                </c:pt>
                <c:pt idx="1">
                  <c:v>Certificate of Deposit</c:v>
                </c:pt>
                <c:pt idx="2">
                  <c:v>Commercial Paper</c:v>
                </c:pt>
                <c:pt idx="3">
                  <c:v>Government Bond</c:v>
                </c:pt>
                <c:pt idx="4">
                  <c:v>State Government Bond</c:v>
                </c:pt>
                <c:pt idx="5">
                  <c:v>Treasury Bill</c:v>
                </c:pt>
                <c:pt idx="6">
                  <c:v>Net Current Asset</c:v>
                </c:pt>
              </c:strCache>
            </c:strRef>
          </c:cat>
          <c:val>
            <c:numRef>
              <c:f>'IDFC MMF'!$K$9:$K$15</c:f>
              <c:numCache>
                <c:formatCode>0.00%</c:formatCode>
                <c:ptCount val="7"/>
                <c:pt idx="0">
                  <c:v>0.12650600000000001</c:v>
                </c:pt>
                <c:pt idx="1">
                  <c:v>0.25690499999999999</c:v>
                </c:pt>
                <c:pt idx="2">
                  <c:v>0.47127200000000002</c:v>
                </c:pt>
                <c:pt idx="3">
                  <c:v>7.3999999999999999E-4</c:v>
                </c:pt>
                <c:pt idx="4">
                  <c:v>2.8077000000000001E-2</c:v>
                </c:pt>
                <c:pt idx="5">
                  <c:v>0.12066499999999999</c:v>
                </c:pt>
                <c:pt idx="6">
                  <c:v>-4.1650000000000003E-3</c:v>
                </c:pt>
              </c:numCache>
            </c:numRef>
          </c:val>
          <c:extLst>
            <c:ext xmlns:c16="http://schemas.microsoft.com/office/drawing/2014/chart" uri="{C3380CC4-5D6E-409C-BE32-E72D297353CC}">
              <c16:uniqueId val="{0000000C-5DB4-42C0-BDF3-F3E97219FFB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72B-4E3C-B2FA-207E18BE72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572B-4E3C-B2FA-207E18BE720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E63-44AD-A26A-D384D6F81339}"/>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E63-44AD-A26A-D384D6F81339}"/>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E63-44AD-A26A-D384D6F81339}"/>
                </c:ext>
              </c:extLst>
            </c:dLbl>
            <c:dLbl>
              <c:idx val="3"/>
              <c:layout>
                <c:manualLayout>
                  <c:x val="-4.3105177966244503E-2"/>
                  <c:y val="2.72072227295439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E63-44AD-A26A-D384D6F81339}"/>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E63-44AD-A26A-D384D6F81339}"/>
                </c:ext>
              </c:extLst>
            </c:dLbl>
            <c:dLbl>
              <c:idx val="5"/>
              <c:layout>
                <c:manualLayout>
                  <c:x val="2.3466758839299263E-2"/>
                  <c:y val="-0.1143465600716759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E63-44AD-A26A-D384D6F81339}"/>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E63-44AD-A26A-D384D6F813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TRI Party Repo</c:v>
                </c:pt>
                <c:pt idx="1">
                  <c:v>Certificate of Deposit</c:v>
                </c:pt>
                <c:pt idx="2">
                  <c:v>Corporate Bond</c:v>
                </c:pt>
                <c:pt idx="3">
                  <c:v>Commercial Paper</c:v>
                </c:pt>
                <c:pt idx="4">
                  <c:v>State Government Bond</c:v>
                </c:pt>
                <c:pt idx="5">
                  <c:v>Treasury Bill</c:v>
                </c:pt>
                <c:pt idx="6">
                  <c:v>Net Current Asset</c:v>
                </c:pt>
              </c:strCache>
            </c:strRef>
          </c:cat>
          <c:val>
            <c:numRef>
              <c:f>'IDFC USTF'!$K$9:$K$15</c:f>
              <c:numCache>
                <c:formatCode>0.00%</c:formatCode>
                <c:ptCount val="7"/>
                <c:pt idx="0">
                  <c:v>5.0518E-2</c:v>
                </c:pt>
                <c:pt idx="1">
                  <c:v>5.3534999999999999E-2</c:v>
                </c:pt>
                <c:pt idx="2">
                  <c:v>0.17438100000000001</c:v>
                </c:pt>
                <c:pt idx="3">
                  <c:v>0.30954700000000002</c:v>
                </c:pt>
                <c:pt idx="4">
                  <c:v>6.5335000000000004E-2</c:v>
                </c:pt>
                <c:pt idx="5">
                  <c:v>0.34105000000000002</c:v>
                </c:pt>
                <c:pt idx="6">
                  <c:v>5.6340000000000001E-3</c:v>
                </c:pt>
              </c:numCache>
            </c:numRef>
          </c:val>
          <c:extLst>
            <c:ext xmlns:c16="http://schemas.microsoft.com/office/drawing/2014/chart" uri="{C3380CC4-5D6E-409C-BE32-E72D297353CC}">
              <c16:uniqueId val="{0000000C-3E63-44AD-A26A-D384D6F8133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9C8-421F-8F46-F450AE77A6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19C8-421F-8F46-F450AE77A67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B44-4180-98BA-F1A5972DF3C1}"/>
                </c:ext>
              </c:extLst>
            </c:dLbl>
            <c:dLbl>
              <c:idx val="1"/>
              <c:layout>
                <c:manualLayout>
                  <c:x val="8.8368038577618907E-2"/>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B44-4180-98BA-F1A5972DF3C1}"/>
                </c:ext>
              </c:extLst>
            </c:dLbl>
            <c:dLbl>
              <c:idx val="2"/>
              <c:layout>
                <c:manualLayout>
                  <c:x val="0.2440098467348969"/>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B44-4180-98BA-F1A5972DF3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TRI Party Repo</c:v>
                </c:pt>
                <c:pt idx="1">
                  <c:v>Government Bond</c:v>
                </c:pt>
                <c:pt idx="2">
                  <c:v>Net Current Asset</c:v>
                </c:pt>
              </c:strCache>
            </c:strRef>
          </c:cat>
          <c:val>
            <c:numRef>
              <c:f>'IDFC DBF'!$K$9:$K$11</c:f>
              <c:numCache>
                <c:formatCode>0.00%</c:formatCode>
                <c:ptCount val="3"/>
                <c:pt idx="0">
                  <c:v>9.7400000000000004E-4</c:v>
                </c:pt>
                <c:pt idx="1">
                  <c:v>0.98468500000000003</c:v>
                </c:pt>
                <c:pt idx="2">
                  <c:v>1.4341E-2</c:v>
                </c:pt>
              </c:numCache>
            </c:numRef>
          </c:val>
          <c:extLst>
            <c:ext xmlns:c16="http://schemas.microsoft.com/office/drawing/2014/chart" uri="{C3380CC4-5D6E-409C-BE32-E72D297353CC}">
              <c16:uniqueId val="{0000000C-7B44-4180-98BA-F1A5972DF3C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353243184002426"/>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13F-4BBE-A040-41DBE040D1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913F-4BBE-A040-41DBE040D1C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F5A-4321-89A5-4CDEE448DD44}"/>
                </c:ext>
              </c:extLst>
            </c:dLbl>
            <c:dLbl>
              <c:idx val="1"/>
              <c:layout>
                <c:manualLayout>
                  <c:x val="9.0501020081269284E-2"/>
                  <c:y val="-1.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F5A-4321-89A5-4CDEE448DD44}"/>
                </c:ext>
              </c:extLst>
            </c:dLbl>
            <c:dLbl>
              <c:idx val="2"/>
              <c:layout>
                <c:manualLayout>
                  <c:x val="0.2823133925711106"/>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F5A-4321-89A5-4CDEE448DD44}"/>
                </c:ext>
              </c:extLst>
            </c:dLbl>
            <c:dLbl>
              <c:idx val="3"/>
              <c:layout>
                <c:manualLayout>
                  <c:x val="-4.8564467450134041E-2"/>
                  <c:y val="-2.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F5A-4321-89A5-4CDEE448DD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IP'!$J$9:$J$12</c:f>
              <c:strCache>
                <c:ptCount val="4"/>
                <c:pt idx="0">
                  <c:v>TRI Party Repo</c:v>
                </c:pt>
                <c:pt idx="1">
                  <c:v>Corporate Bond</c:v>
                </c:pt>
                <c:pt idx="2">
                  <c:v>Government Bond</c:v>
                </c:pt>
                <c:pt idx="3">
                  <c:v>Net Current Asset</c:v>
                </c:pt>
              </c:strCache>
            </c:strRef>
          </c:cat>
          <c:val>
            <c:numRef>
              <c:f>'IDFC BOND IP'!$K$9:$K$12</c:f>
              <c:numCache>
                <c:formatCode>0.00%</c:formatCode>
                <c:ptCount val="4"/>
                <c:pt idx="0">
                  <c:v>5.5300000000000002E-3</c:v>
                </c:pt>
                <c:pt idx="1">
                  <c:v>8.0540000000000004E-3</c:v>
                </c:pt>
                <c:pt idx="2">
                  <c:v>0.96825700000000003</c:v>
                </c:pt>
                <c:pt idx="3">
                  <c:v>1.8159000000000002E-2</c:v>
                </c:pt>
              </c:numCache>
            </c:numRef>
          </c:val>
          <c:extLst>
            <c:ext xmlns:c16="http://schemas.microsoft.com/office/drawing/2014/chart" uri="{C3380CC4-5D6E-409C-BE32-E72D297353CC}">
              <c16:uniqueId val="{0000000C-CF5A-4321-89A5-4CDEE448DD4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255-4588-AEB5-9FCD3A2620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9255-4588-AEB5-9FCD3A26206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CA5-43B3-99DC-24F5D53184B1}"/>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1CA5-43B3-99DC-24F5D53184B1}"/>
                </c:ext>
              </c:extLst>
            </c:dLbl>
            <c:dLbl>
              <c:idx val="2"/>
              <c:layout>
                <c:manualLayout>
                  <c:x val="-0.11765254851708846"/>
                  <c:y val="1.45759255609914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1CA5-43B3-99DC-24F5D53184B1}"/>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1CA5-43B3-99DC-24F5D53184B1}"/>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1CA5-43B3-99DC-24F5D53184B1}"/>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1CA5-43B3-99DC-24F5D53184B1}"/>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1CA5-43B3-99DC-24F5D53184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TRI Party Repo</c:v>
                </c:pt>
                <c:pt idx="1">
                  <c:v>Corporate Bond</c:v>
                </c:pt>
                <c:pt idx="2">
                  <c:v>Government Bond</c:v>
                </c:pt>
                <c:pt idx="3">
                  <c:v>PTC</c:v>
                </c:pt>
                <c:pt idx="4">
                  <c:v>State Government Bond</c:v>
                </c:pt>
                <c:pt idx="5">
                  <c:v>Treasury Bill</c:v>
                </c:pt>
                <c:pt idx="6">
                  <c:v>Net Current Asset</c:v>
                </c:pt>
              </c:strCache>
            </c:strRef>
          </c:cat>
          <c:val>
            <c:numRef>
              <c:f>'IDFC BOND MT'!$K$9:$K$15</c:f>
              <c:numCache>
                <c:formatCode>0.00%</c:formatCode>
                <c:ptCount val="7"/>
                <c:pt idx="0">
                  <c:v>1.8183000000000001E-2</c:v>
                </c:pt>
                <c:pt idx="1">
                  <c:v>0.190136</c:v>
                </c:pt>
                <c:pt idx="2">
                  <c:v>0.68060699999999996</c:v>
                </c:pt>
                <c:pt idx="3">
                  <c:v>7.2709999999999997E-3</c:v>
                </c:pt>
                <c:pt idx="4">
                  <c:v>7.1919999999999996E-3</c:v>
                </c:pt>
                <c:pt idx="5">
                  <c:v>9.6423999999999996E-2</c:v>
                </c:pt>
                <c:pt idx="6">
                  <c:v>1.8699999999999999E-4</c:v>
                </c:pt>
              </c:numCache>
            </c:numRef>
          </c:val>
          <c:extLst>
            <c:ext xmlns:c16="http://schemas.microsoft.com/office/drawing/2014/chart" uri="{C3380CC4-5D6E-409C-BE32-E72D297353CC}">
              <c16:uniqueId val="{0000000C-1CA5-43B3-99DC-24F5D53184B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44444444444444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E16-4A9B-8D97-4F41D0A832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7E16-4A9B-8D97-4F41D0A832E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8.8864337621608863E-2"/>
                  <c:y val="9.151816549247133E-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405-4A11-81D7-DD214261B445}"/>
                </c:ext>
              </c:extLst>
            </c:dLbl>
            <c:dLbl>
              <c:idx val="1"/>
              <c:layout>
                <c:manualLayout>
                  <c:x val="-9.6790706300898685E-2"/>
                  <c:y val="0.116463254593175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405-4A11-81D7-DD214261B445}"/>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405-4A11-81D7-DD214261B445}"/>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2405-4A11-81D7-DD214261B445}"/>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2405-4A11-81D7-DD214261B445}"/>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2405-4A11-81D7-DD214261B44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TRI Party Repo</c:v>
                </c:pt>
                <c:pt idx="1">
                  <c:v>Corporate Bond</c:v>
                </c:pt>
                <c:pt idx="2">
                  <c:v>Government Bond</c:v>
                </c:pt>
                <c:pt idx="3">
                  <c:v>PTC</c:v>
                </c:pt>
                <c:pt idx="4">
                  <c:v>Treasury Bill</c:v>
                </c:pt>
                <c:pt idx="5">
                  <c:v>Net Current Asset</c:v>
                </c:pt>
              </c:strCache>
            </c:strRef>
          </c:cat>
          <c:val>
            <c:numRef>
              <c:f>'IDFC BOND ST'!$K$9:$K$14</c:f>
              <c:numCache>
                <c:formatCode>0.00%</c:formatCode>
                <c:ptCount val="6"/>
                <c:pt idx="0">
                  <c:v>1.702E-3</c:v>
                </c:pt>
                <c:pt idx="1">
                  <c:v>0.74844999999999995</c:v>
                </c:pt>
                <c:pt idx="2">
                  <c:v>0.16269</c:v>
                </c:pt>
                <c:pt idx="3">
                  <c:v>5.47E-3</c:v>
                </c:pt>
                <c:pt idx="4">
                  <c:v>5.5012999999999999E-2</c:v>
                </c:pt>
                <c:pt idx="5">
                  <c:v>2.6675000000000001E-2</c:v>
                </c:pt>
              </c:numCache>
            </c:numRef>
          </c:val>
          <c:extLst>
            <c:ext xmlns:c16="http://schemas.microsoft.com/office/drawing/2014/chart" uri="{C3380CC4-5D6E-409C-BE32-E72D297353CC}">
              <c16:uniqueId val="{0000000C-2405-4A11-81D7-DD214261B44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3F3-46A1-BB21-2DC09376BBE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C3F3-46A1-BB21-2DC09376BBE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9.3898059316461252E-2"/>
                  <c:y val="-2.12563584419204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9F7-47AE-9726-496C69EC365C}"/>
                </c:ext>
              </c:extLst>
            </c:dLbl>
            <c:dLbl>
              <c:idx val="1"/>
              <c:layout>
                <c:manualLayout>
                  <c:x val="0.21478822775632703"/>
                  <c:y val="-7.7346874782245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A9F7-47AE-9726-496C69EC365C}"/>
                </c:ext>
              </c:extLst>
            </c:dLbl>
            <c:dLbl>
              <c:idx val="2"/>
              <c:layout>
                <c:manualLayout>
                  <c:x val="1.6380144666070916E-2"/>
                  <c:y val="2.18866281095394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A9F7-47AE-9726-496C69EC365C}"/>
                </c:ext>
              </c:extLst>
            </c:dLbl>
            <c:dLbl>
              <c:idx val="3"/>
              <c:layout>
                <c:manualLayout>
                  <c:x val="-6.7074895884267141E-2"/>
                  <c:y val="-3.7131907184168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A9F7-47AE-9726-496C69EC365C}"/>
                </c:ext>
              </c:extLst>
            </c:dLbl>
            <c:dLbl>
              <c:idx val="4"/>
              <c:layout>
                <c:manualLayout>
                  <c:x val="-3.6724611778988013E-3"/>
                  <c:y val="0.6487582746846909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A9F7-47AE-9726-496C69EC365C}"/>
                </c:ext>
              </c:extLst>
            </c:dLbl>
            <c:dLbl>
              <c:idx val="5"/>
              <c:layout>
                <c:manualLayout>
                  <c:x val="-0.20030737324857947"/>
                  <c:y val="-0.12468260051564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A9F7-47AE-9726-496C69EC365C}"/>
                </c:ext>
              </c:extLst>
            </c:dLbl>
            <c:dLbl>
              <c:idx val="6"/>
              <c:layout>
                <c:manualLayout>
                  <c:x val="-7.8600212446677965E-3"/>
                  <c:y val="-7.4931363668037085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1145070731254953"/>
                      <c:h val="7.7433628318584066E-2"/>
                    </c:manualLayout>
                  </c15:layout>
                </c:ext>
                <c:ext xmlns:c16="http://schemas.microsoft.com/office/drawing/2014/chart" uri="{C3380CC4-5D6E-409C-BE32-E72D297353CC}">
                  <c16:uniqueId val="{00000013-A9F7-47AE-9726-496C69EC365C}"/>
                </c:ext>
              </c:extLst>
            </c:dLbl>
            <c:dLbl>
              <c:idx val="7"/>
              <c:layout>
                <c:manualLayout>
                  <c:x val="-0.28473958421150247"/>
                  <c:y val="0.636126053933523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A9F7-47AE-9726-496C69EC365C}"/>
                </c:ext>
              </c:extLst>
            </c:dLbl>
            <c:dLbl>
              <c:idx val="8"/>
              <c:layout>
                <c:manualLayout>
                  <c:x val="9.3002832622367596E-2"/>
                  <c:y val="2.299142916869904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A9F7-47AE-9726-496C69EC36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TRI Party Repo</c:v>
                </c:pt>
                <c:pt idx="1">
                  <c:v>Certificate of Deposit</c:v>
                </c:pt>
                <c:pt idx="2">
                  <c:v>Corporate Bond</c:v>
                </c:pt>
                <c:pt idx="3">
                  <c:v>Commercial Paper</c:v>
                </c:pt>
                <c:pt idx="4">
                  <c:v>Government Bond</c:v>
                </c:pt>
                <c:pt idx="5">
                  <c:v>State Government Bond</c:v>
                </c:pt>
                <c:pt idx="6">
                  <c:v>Treasury Bill</c:v>
                </c:pt>
                <c:pt idx="7">
                  <c:v>Zero Coupon Bond</c:v>
                </c:pt>
                <c:pt idx="8">
                  <c:v>Net Current Asset</c:v>
                </c:pt>
              </c:strCache>
            </c:strRef>
          </c:cat>
          <c:val>
            <c:numRef>
              <c:f>'IDFC BPDF'!$K$9:$K$17</c:f>
              <c:numCache>
                <c:formatCode>0.00%</c:formatCode>
                <c:ptCount val="9"/>
                <c:pt idx="0">
                  <c:v>7.5370000000000003E-3</c:v>
                </c:pt>
                <c:pt idx="1">
                  <c:v>1.7759E-2</c:v>
                </c:pt>
                <c:pt idx="2">
                  <c:v>0.83190799999999998</c:v>
                </c:pt>
                <c:pt idx="3">
                  <c:v>8.5550000000000001E-3</c:v>
                </c:pt>
                <c:pt idx="4">
                  <c:v>8.7672E-2</c:v>
                </c:pt>
                <c:pt idx="5">
                  <c:v>7.2360000000000002E-3</c:v>
                </c:pt>
                <c:pt idx="6">
                  <c:v>1.684E-3</c:v>
                </c:pt>
                <c:pt idx="7">
                  <c:v>6.2189999999999997E-3</c:v>
                </c:pt>
                <c:pt idx="8">
                  <c:v>3.143E-2</c:v>
                </c:pt>
              </c:numCache>
            </c:numRef>
          </c:val>
          <c:extLst>
            <c:ext xmlns:c16="http://schemas.microsoft.com/office/drawing/2014/chart" uri="{C3380CC4-5D6E-409C-BE32-E72D297353CC}">
              <c16:uniqueId val="{0000000C-A9F7-47AE-9726-496C69EC365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46A-4093-959F-DE8FB3F161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F46A-4093-959F-DE8FB3F1611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0.16247247466657674"/>
                  <c:y val="-6.371282797571095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D34-4FF0-A8ED-31EE545BA074}"/>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D34-4FF0-A8ED-31EE545BA074}"/>
                </c:ext>
              </c:extLst>
            </c:dLbl>
            <c:dLbl>
              <c:idx val="2"/>
              <c:layout>
                <c:manualLayout>
                  <c:x val="-9.0366723431519663E-2"/>
                  <c:y val="0.15085609348336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D34-4FF0-A8ED-31EE545BA074}"/>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D34-4FF0-A8ED-31EE545BA074}"/>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CD34-4FF0-A8ED-31EE545BA074}"/>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CD34-4FF0-A8ED-31EE545BA074}"/>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CD34-4FF0-A8ED-31EE545BA0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TRI Party Repo</c:v>
                </c:pt>
                <c:pt idx="1">
                  <c:v>Certificate of Deposit</c:v>
                </c:pt>
                <c:pt idx="2">
                  <c:v>Corporate Bond</c:v>
                </c:pt>
                <c:pt idx="3">
                  <c:v>Commercial Paper</c:v>
                </c:pt>
                <c:pt idx="4">
                  <c:v>Government Bond</c:v>
                </c:pt>
                <c:pt idx="5">
                  <c:v>State Government Bond</c:v>
                </c:pt>
                <c:pt idx="6">
                  <c:v>Net Current Asset</c:v>
                </c:pt>
              </c:strCache>
            </c:strRef>
          </c:cat>
          <c:val>
            <c:numRef>
              <c:f>'IDFC-CBF'!$K$9:$K$15</c:f>
              <c:numCache>
                <c:formatCode>0.00%</c:formatCode>
                <c:ptCount val="7"/>
                <c:pt idx="0">
                  <c:v>2.594E-3</c:v>
                </c:pt>
                <c:pt idx="1">
                  <c:v>2.147E-3</c:v>
                </c:pt>
                <c:pt idx="2">
                  <c:v>0.692438</c:v>
                </c:pt>
                <c:pt idx="3">
                  <c:v>5.2480000000000001E-3</c:v>
                </c:pt>
                <c:pt idx="4">
                  <c:v>0.194825</c:v>
                </c:pt>
                <c:pt idx="5">
                  <c:v>7.4545E-2</c:v>
                </c:pt>
                <c:pt idx="6">
                  <c:v>2.8202999999999999E-2</c:v>
                </c:pt>
              </c:numCache>
            </c:numRef>
          </c:val>
          <c:extLst>
            <c:ext xmlns:c16="http://schemas.microsoft.com/office/drawing/2014/chart" uri="{C3380CC4-5D6E-409C-BE32-E72D297353CC}">
              <c16:uniqueId val="{0000000C-CD34-4FF0-A8ED-31EE545BA0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744372692171525"/>
                  <c:y val="0.291719392376837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592920353982302"/>
                    </c:manualLayout>
                  </c15:layout>
                </c:ext>
                <c:ext xmlns:c16="http://schemas.microsoft.com/office/drawing/2014/chart" uri="{C3380CC4-5D6E-409C-BE32-E72D297353CC}">
                  <c16:uniqueId val="{0000000D-4CB5-4681-A875-DAF83A234E92}"/>
                </c:ext>
              </c:extLst>
            </c:dLbl>
            <c:dLbl>
              <c:idx val="1"/>
              <c:layout>
                <c:manualLayout>
                  <c:x val="3.4808039252052815E-2"/>
                  <c:y val="0.220506933314751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CB5-4681-A875-DAF83A234E92}"/>
                </c:ext>
              </c:extLst>
            </c:dLbl>
            <c:dLbl>
              <c:idx val="2"/>
              <c:layout>
                <c:manualLayout>
                  <c:x val="-4.8928577450302664E-2"/>
                  <c:y val="-5.00094070099644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CB5-4681-A875-DAF83A234E92}"/>
                </c:ext>
              </c:extLst>
            </c:dLbl>
            <c:dLbl>
              <c:idx val="3"/>
              <c:layout>
                <c:manualLayout>
                  <c:x val="-1.6152944747002983E-2"/>
                  <c:y val="-0.142415859521984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CB5-4681-A875-DAF83A234E92}"/>
                </c:ext>
              </c:extLst>
            </c:dLbl>
            <c:dLbl>
              <c:idx val="4"/>
              <c:layout>
                <c:manualLayout>
                  <c:x val="5.9559341752516481E-2"/>
                  <c:y val="-6.3136715211483521E-2"/>
                </c:manualLayout>
              </c:layou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BE5E-420D-878E-30AFAB694C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CRF'!$G$8:$G$12</c:f>
              <c:strCache>
                <c:ptCount val="5"/>
                <c:pt idx="0">
                  <c:v>AAA EQUIVALENT</c:v>
                </c:pt>
                <c:pt idx="1">
                  <c:v>AA</c:v>
                </c:pt>
                <c:pt idx="2">
                  <c:v>AA+</c:v>
                </c:pt>
                <c:pt idx="3">
                  <c:v>AA-</c:v>
                </c:pt>
                <c:pt idx="4">
                  <c:v>A+</c:v>
                </c:pt>
              </c:strCache>
            </c:strRef>
          </c:cat>
          <c:val>
            <c:numRef>
              <c:f>'IDFC CRF'!$H$8:$H$12</c:f>
              <c:numCache>
                <c:formatCode>0.00%</c:formatCode>
                <c:ptCount val="5"/>
                <c:pt idx="0">
                  <c:v>0.56604599999999994</c:v>
                </c:pt>
                <c:pt idx="1">
                  <c:v>0.29908799999999996</c:v>
                </c:pt>
                <c:pt idx="2">
                  <c:v>4.2556999999999998E-2</c:v>
                </c:pt>
                <c:pt idx="3">
                  <c:v>3.0415999999999999E-2</c:v>
                </c:pt>
                <c:pt idx="4">
                  <c:v>6.1892999999999997E-2</c:v>
                </c:pt>
              </c:numCache>
            </c:numRef>
          </c:val>
          <c:extLst>
            <c:ext xmlns:c16="http://schemas.microsoft.com/office/drawing/2014/chart" uri="{C3380CC4-5D6E-409C-BE32-E72D297353CC}">
              <c16:uniqueId val="{0000000C-4CB5-4681-A875-DAF83A234E9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E17-432A-BD29-3FA1A66F3A82}"/>
                </c:ext>
              </c:extLst>
            </c:dLbl>
            <c:dLbl>
              <c:idx val="1"/>
              <c:layout>
                <c:manualLayout>
                  <c:x val="-9.6790706300898685E-2"/>
                  <c:y val="0.155935328540950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5E17-432A-BD29-3FA1A66F3A82}"/>
                </c:ext>
              </c:extLst>
            </c:dLbl>
            <c:dLbl>
              <c:idx val="2"/>
              <c:layout>
                <c:manualLayout>
                  <c:x val="6.8685781247365491E-2"/>
                  <c:y val="0.211175104744115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5E17-432A-BD29-3FA1A66F3A82}"/>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5E17-432A-BD29-3FA1A66F3A8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5E17-432A-BD29-3FA1A66F3A82}"/>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5E17-432A-BD29-3FA1A66F3A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TRI Party Repo</c:v>
                </c:pt>
                <c:pt idx="1">
                  <c:v>Corporate Bond</c:v>
                </c:pt>
                <c:pt idx="2">
                  <c:v>Government Bond</c:v>
                </c:pt>
                <c:pt idx="3">
                  <c:v>PTC</c:v>
                </c:pt>
                <c:pt idx="4">
                  <c:v>Zero Coupon Bond</c:v>
                </c:pt>
                <c:pt idx="5">
                  <c:v>Net Current Asset</c:v>
                </c:pt>
              </c:strCache>
            </c:strRef>
          </c:cat>
          <c:val>
            <c:numRef>
              <c:f>'IDFC CRF'!$K$9:$K$14</c:f>
              <c:numCache>
                <c:formatCode>0.00%</c:formatCode>
                <c:ptCount val="6"/>
                <c:pt idx="0">
                  <c:v>9.8895999999999998E-2</c:v>
                </c:pt>
                <c:pt idx="1">
                  <c:v>0.48536000000000001</c:v>
                </c:pt>
                <c:pt idx="2">
                  <c:v>0.22111</c:v>
                </c:pt>
                <c:pt idx="3">
                  <c:v>8.4923999999999999E-2</c:v>
                </c:pt>
                <c:pt idx="4">
                  <c:v>8.8716000000000003E-2</c:v>
                </c:pt>
                <c:pt idx="5">
                  <c:v>2.0993999999999999E-2</c:v>
                </c:pt>
              </c:numCache>
            </c:numRef>
          </c:val>
          <c:extLst>
            <c:ext xmlns:c16="http://schemas.microsoft.com/office/drawing/2014/chart" uri="{C3380CC4-5D6E-409C-BE32-E72D297353CC}">
              <c16:uniqueId val="{0000000C-5E17-432A-BD29-3FA1A66F3A8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6.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DA1-4D8D-97A7-B94C402F58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5DA1-4D8D-97A7-B94C402F58B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16E-45A9-85A5-B0C951BDCC75}"/>
                </c:ext>
              </c:extLst>
            </c:dLbl>
            <c:dLbl>
              <c:idx val="1"/>
              <c:layout>
                <c:manualLayout>
                  <c:x val="9.9610008599032185E-2"/>
                  <c:y val="1.95870516185476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16E-45A9-85A5-B0C951BDCC75}"/>
                </c:ext>
              </c:extLst>
            </c:dLbl>
            <c:dLbl>
              <c:idx val="2"/>
              <c:layout>
                <c:manualLayout>
                  <c:x val="0.25257515722740226"/>
                  <c:y val="-2.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16E-45A9-85A5-B0C951BDCC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TRI Party Repo</c:v>
                </c:pt>
                <c:pt idx="1">
                  <c:v>Government Bond</c:v>
                </c:pt>
                <c:pt idx="2">
                  <c:v>Net Current Asset</c:v>
                </c:pt>
              </c:strCache>
            </c:strRef>
          </c:cat>
          <c:val>
            <c:numRef>
              <c:f>'IDFC GSF-IP'!$K$9:$K$11</c:f>
              <c:numCache>
                <c:formatCode>0.00%</c:formatCode>
                <c:ptCount val="3"/>
                <c:pt idx="0">
                  <c:v>7.18E-4</c:v>
                </c:pt>
                <c:pt idx="1">
                  <c:v>0.98581099999999999</c:v>
                </c:pt>
                <c:pt idx="2">
                  <c:v>1.3471E-2</c:v>
                </c:pt>
              </c:numCache>
            </c:numRef>
          </c:val>
          <c:extLst>
            <c:ext xmlns:c16="http://schemas.microsoft.com/office/drawing/2014/chart" uri="{C3380CC4-5D6E-409C-BE32-E72D297353CC}">
              <c16:uniqueId val="{0000000C-316E-45A9-85A5-B0C951BDCC7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D02-4DBA-BBB3-5A0CCDB68D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0D02-4DBA-BBB3-5A0CCDB68D7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7.951634659157969E-2"/>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741-43FA-BF25-502048C4D378}"/>
                </c:ext>
              </c:extLst>
            </c:dLbl>
            <c:dLbl>
              <c:idx val="1"/>
              <c:layout>
                <c:manualLayout>
                  <c:x val="0.18120900706469506"/>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741-43FA-BF25-502048C4D378}"/>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741-43FA-BF25-502048C4D3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TRI Party Repo</c:v>
                </c:pt>
                <c:pt idx="1">
                  <c:v>Government Bond</c:v>
                </c:pt>
                <c:pt idx="2">
                  <c:v>Net Current Asset</c:v>
                </c:pt>
              </c:strCache>
            </c:strRef>
          </c:cat>
          <c:val>
            <c:numRef>
              <c:f>'IDFC GSF - CMP'!$K$9:$K$11</c:f>
              <c:numCache>
                <c:formatCode>0.00%</c:formatCode>
                <c:ptCount val="3"/>
                <c:pt idx="0">
                  <c:v>1.1313999999999999E-2</c:v>
                </c:pt>
                <c:pt idx="1">
                  <c:v>0.97808200000000001</c:v>
                </c:pt>
                <c:pt idx="2">
                  <c:v>1.0604000000000001E-2</c:v>
                </c:pt>
              </c:numCache>
            </c:numRef>
          </c:val>
          <c:extLst>
            <c:ext xmlns:c16="http://schemas.microsoft.com/office/drawing/2014/chart" uri="{C3380CC4-5D6E-409C-BE32-E72D297353CC}">
              <c16:uniqueId val="{0000000C-2741-43FA-BF25-502048C4D37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0D0-4491-A8CF-BA03EF66E7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E0D0-4491-A8CF-BA03EF66E74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888-438B-AB7A-744194CA735E}"/>
                </c:ext>
              </c:extLst>
            </c:dLbl>
            <c:dLbl>
              <c:idx val="1"/>
              <c:layout>
                <c:manualLayout>
                  <c:x val="-0.17590787232966329"/>
                  <c:y val="-9.15240594925634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888-438B-AB7A-744194CA735E}"/>
                </c:ext>
              </c:extLst>
            </c:dLbl>
            <c:dLbl>
              <c:idx val="2"/>
              <c:layout>
                <c:manualLayout>
                  <c:x val="0.22162665025544184"/>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888-438B-AB7A-744194CA73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TRI Party Repo</c:v>
                </c:pt>
                <c:pt idx="1">
                  <c:v>Mutual Fund Units</c:v>
                </c:pt>
                <c:pt idx="2">
                  <c:v>Net Current Asset</c:v>
                </c:pt>
              </c:strCache>
            </c:strRef>
          </c:cat>
          <c:val>
            <c:numRef>
              <c:f>'IDFC ASBF'!$K$9:$K$11</c:f>
              <c:numCache>
                <c:formatCode>0.00%</c:formatCode>
                <c:ptCount val="3"/>
                <c:pt idx="0">
                  <c:v>7.4310000000000001E-3</c:v>
                </c:pt>
                <c:pt idx="1">
                  <c:v>0.99523200000000001</c:v>
                </c:pt>
                <c:pt idx="2">
                  <c:v>-2.663E-3</c:v>
                </c:pt>
              </c:numCache>
            </c:numRef>
          </c:val>
          <c:extLst>
            <c:ext xmlns:c16="http://schemas.microsoft.com/office/drawing/2014/chart" uri="{C3380CC4-5D6E-409C-BE32-E72D297353CC}">
              <c16:uniqueId val="{0000000C-7888-438B-AB7A-744194CA735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546100</xdr:colOff>
      <xdr:row>26</xdr:row>
      <xdr:rowOff>88900</xdr:rowOff>
    </xdr:from>
    <xdr:to>
      <xdr:col>13</xdr:col>
      <xdr:colOff>482600</xdr:colOff>
      <xdr:row>41</xdr:row>
      <xdr:rowOff>88900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2.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133</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8</v>
      </c>
      <c r="D8" s="6"/>
      <c r="E8" s="11">
        <v>0.99443899999999996</v>
      </c>
      <c r="F8" s="1"/>
      <c r="G8" s="23" t="s">
        <v>15</v>
      </c>
      <c r="H8" s="24">
        <v>1</v>
      </c>
      <c r="I8" s="1"/>
      <c r="J8" s="23" t="s">
        <v>12</v>
      </c>
      <c r="K8" s="23" t="s">
        <v>3</v>
      </c>
      <c r="L8" s="1"/>
      <c r="M8" s="1"/>
      <c r="N8" s="17"/>
    </row>
    <row r="9" spans="2:14" ht="15.75" customHeight="1" x14ac:dyDescent="0.25">
      <c r="B9" s="19"/>
      <c r="C9" s="7" t="s">
        <v>9</v>
      </c>
      <c r="D9" s="8"/>
      <c r="E9" s="12">
        <v>0.99443899999999996</v>
      </c>
      <c r="F9" s="1"/>
      <c r="G9" s="1"/>
      <c r="H9" s="1"/>
      <c r="I9" s="1"/>
      <c r="J9" s="23" t="s">
        <v>13</v>
      </c>
      <c r="K9" s="25">
        <v>0.99443899999999996</v>
      </c>
      <c r="L9" s="1"/>
      <c r="M9" s="1"/>
      <c r="N9" s="17"/>
    </row>
    <row r="10" spans="2:14" ht="15" customHeight="1" x14ac:dyDescent="0.25">
      <c r="B10" s="19"/>
      <c r="C10" s="5"/>
      <c r="D10" s="6"/>
      <c r="E10" s="11"/>
      <c r="F10" s="1"/>
      <c r="G10" s="1"/>
      <c r="H10" s="1"/>
      <c r="I10" s="1"/>
      <c r="J10" s="23" t="s">
        <v>10</v>
      </c>
      <c r="K10" s="25">
        <v>5.561E-3</v>
      </c>
      <c r="L10" s="1"/>
      <c r="M10" s="1"/>
      <c r="N10" s="17"/>
    </row>
    <row r="11" spans="2:14" ht="15.75" customHeight="1" x14ac:dyDescent="0.25">
      <c r="B11" s="19"/>
      <c r="C11" s="7" t="s">
        <v>10</v>
      </c>
      <c r="D11" s="8"/>
      <c r="E11" s="12">
        <v>5.561E-3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row r="45" spans="2:14" ht="15.75" thickBot="1" x14ac:dyDescent="0.3"/>
    <row r="46" spans="2:14" ht="145.5" customHeight="1" thickBot="1" x14ac:dyDescent="0.3">
      <c r="B46" s="31" t="s">
        <v>198</v>
      </c>
      <c r="C46" s="32"/>
      <c r="D46" s="32"/>
      <c r="E46" s="32"/>
      <c r="F46" s="32"/>
      <c r="G46" s="32"/>
      <c r="H46" s="32"/>
      <c r="I46" s="32"/>
      <c r="J46" s="32"/>
      <c r="K46" s="32"/>
      <c r="L46" s="32"/>
      <c r="M46" s="32"/>
      <c r="N46" s="33"/>
    </row>
    <row r="48" spans="2:14" ht="409.5" customHeight="1" x14ac:dyDescent="0.25"/>
    <row r="49" ht="409.5" customHeight="1" x14ac:dyDescent="0.25"/>
  </sheetData>
  <mergeCells count="4">
    <mergeCell ref="B46:N46"/>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93</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24</v>
      </c>
      <c r="D8" s="6" t="s">
        <v>20</v>
      </c>
      <c r="E8" s="11">
        <v>2.8183E-2</v>
      </c>
      <c r="F8" s="1"/>
      <c r="G8" s="23" t="s">
        <v>15</v>
      </c>
      <c r="H8" s="24">
        <v>1</v>
      </c>
      <c r="I8" s="1"/>
      <c r="J8" s="23" t="s">
        <v>12</v>
      </c>
      <c r="K8" s="23" t="s">
        <v>3</v>
      </c>
      <c r="L8" s="1"/>
      <c r="M8" s="1"/>
      <c r="N8" s="17"/>
    </row>
    <row r="9" spans="2:14" ht="15" customHeight="1" x14ac:dyDescent="0.25">
      <c r="B9" s="19"/>
      <c r="C9" s="5" t="s">
        <v>22</v>
      </c>
      <c r="D9" s="6" t="s">
        <v>20</v>
      </c>
      <c r="E9" s="11">
        <v>1.1254E-2</v>
      </c>
      <c r="F9" s="1"/>
      <c r="G9" s="1"/>
      <c r="H9" s="1"/>
      <c r="I9" s="1"/>
      <c r="J9" s="23" t="s">
        <v>13</v>
      </c>
      <c r="K9" s="25">
        <v>1.4772E-2</v>
      </c>
      <c r="L9" s="1"/>
      <c r="M9" s="1"/>
      <c r="N9" s="17"/>
    </row>
    <row r="10" spans="2:14" ht="15.75" customHeight="1" x14ac:dyDescent="0.25">
      <c r="B10" s="19"/>
      <c r="C10" s="7" t="s">
        <v>23</v>
      </c>
      <c r="D10" s="8"/>
      <c r="E10" s="12">
        <v>3.9437E-2</v>
      </c>
      <c r="F10" s="1"/>
      <c r="G10" s="1"/>
      <c r="H10" s="1"/>
      <c r="I10" s="1"/>
      <c r="J10" s="23" t="s">
        <v>61</v>
      </c>
      <c r="K10" s="25">
        <v>3.9437E-2</v>
      </c>
      <c r="L10" s="1"/>
      <c r="M10" s="1"/>
      <c r="N10" s="17"/>
    </row>
    <row r="11" spans="2:14" ht="15" customHeight="1" x14ac:dyDescent="0.25">
      <c r="B11" s="19"/>
      <c r="C11" s="5" t="s">
        <v>25</v>
      </c>
      <c r="D11" s="6" t="s">
        <v>20</v>
      </c>
      <c r="E11" s="11">
        <v>0.143762</v>
      </c>
      <c r="F11" s="1"/>
      <c r="G11" s="1"/>
      <c r="H11" s="1"/>
      <c r="I11" s="1"/>
      <c r="J11" s="23" t="s">
        <v>63</v>
      </c>
      <c r="K11" s="25">
        <v>0.63659699999999997</v>
      </c>
      <c r="L11" s="1"/>
      <c r="M11" s="1"/>
      <c r="N11" s="17"/>
    </row>
    <row r="12" spans="2:14" ht="15" customHeight="1" x14ac:dyDescent="0.25">
      <c r="B12" s="19"/>
      <c r="C12" s="5" t="s">
        <v>94</v>
      </c>
      <c r="D12" s="6" t="s">
        <v>20</v>
      </c>
      <c r="E12" s="11">
        <v>0.101033</v>
      </c>
      <c r="F12" s="1"/>
      <c r="G12" s="1"/>
      <c r="H12" s="1"/>
      <c r="I12" s="1"/>
      <c r="J12" s="23" t="s">
        <v>66</v>
      </c>
      <c r="K12" s="25">
        <v>0.30912400000000001</v>
      </c>
      <c r="L12" s="1"/>
      <c r="M12" s="1"/>
      <c r="N12" s="17"/>
    </row>
    <row r="13" spans="2:14" ht="15" customHeight="1" x14ac:dyDescent="0.25">
      <c r="B13" s="19"/>
      <c r="C13" s="5" t="s">
        <v>95</v>
      </c>
      <c r="D13" s="6" t="s">
        <v>20</v>
      </c>
      <c r="E13" s="11">
        <v>7.0488999999999996E-2</v>
      </c>
      <c r="F13" s="1"/>
      <c r="G13" s="1"/>
      <c r="H13" s="1"/>
      <c r="I13" s="1"/>
      <c r="J13" s="23" t="s">
        <v>10</v>
      </c>
      <c r="K13" s="25">
        <v>6.9999999999999994E-5</v>
      </c>
      <c r="L13" s="1"/>
      <c r="M13" s="1"/>
      <c r="N13" s="17"/>
    </row>
    <row r="14" spans="2:14" ht="15" customHeight="1" x14ac:dyDescent="0.25">
      <c r="B14" s="19"/>
      <c r="C14" s="5" t="s">
        <v>24</v>
      </c>
      <c r="D14" s="6" t="s">
        <v>20</v>
      </c>
      <c r="E14" s="11">
        <v>5.3502000000000001E-2</v>
      </c>
      <c r="F14" s="1"/>
      <c r="G14" s="1"/>
      <c r="H14" s="1"/>
      <c r="I14" s="1"/>
      <c r="J14" s="1"/>
      <c r="K14" s="1"/>
      <c r="L14" s="1"/>
      <c r="M14" s="1"/>
      <c r="N14" s="17"/>
    </row>
    <row r="15" spans="2:14" ht="15" customHeight="1" x14ac:dyDescent="0.25">
      <c r="B15" s="19"/>
      <c r="C15" s="5" t="s">
        <v>31</v>
      </c>
      <c r="D15" s="6" t="s">
        <v>20</v>
      </c>
      <c r="E15" s="11">
        <v>4.7883000000000002E-2</v>
      </c>
      <c r="F15" s="1"/>
      <c r="G15" s="1"/>
      <c r="H15" s="1"/>
      <c r="I15" s="1"/>
      <c r="J15" s="1"/>
      <c r="K15" s="1"/>
      <c r="L15" s="1"/>
      <c r="M15" s="1"/>
      <c r="N15" s="17"/>
    </row>
    <row r="16" spans="2:14" ht="15" customHeight="1" x14ac:dyDescent="0.25">
      <c r="B16" s="19"/>
      <c r="C16" s="5" t="s">
        <v>96</v>
      </c>
      <c r="D16" s="6" t="s">
        <v>20</v>
      </c>
      <c r="E16" s="11">
        <v>4.7861000000000001E-2</v>
      </c>
      <c r="F16" s="1"/>
      <c r="G16" s="1"/>
      <c r="H16" s="1"/>
      <c r="I16" s="1"/>
      <c r="J16" s="1"/>
      <c r="K16" s="1"/>
      <c r="L16" s="1"/>
      <c r="M16" s="1"/>
      <c r="N16" s="17"/>
    </row>
    <row r="17" spans="2:14" ht="15" customHeight="1" x14ac:dyDescent="0.25">
      <c r="B17" s="19"/>
      <c r="C17" s="5" t="s">
        <v>97</v>
      </c>
      <c r="D17" s="6" t="s">
        <v>20</v>
      </c>
      <c r="E17" s="11">
        <v>4.5123000000000003E-2</v>
      </c>
      <c r="F17" s="1"/>
      <c r="G17" s="1"/>
      <c r="H17" s="1"/>
      <c r="I17" s="1"/>
      <c r="J17" s="1"/>
      <c r="K17" s="1"/>
      <c r="L17" s="1"/>
      <c r="M17" s="1"/>
      <c r="N17" s="17"/>
    </row>
    <row r="18" spans="2:14" ht="15" customHeight="1" x14ac:dyDescent="0.25">
      <c r="B18" s="19"/>
      <c r="C18" s="5" t="s">
        <v>89</v>
      </c>
      <c r="D18" s="6" t="s">
        <v>20</v>
      </c>
      <c r="E18" s="11">
        <v>2.8226999999999999E-2</v>
      </c>
      <c r="F18" s="1"/>
      <c r="G18" s="1"/>
      <c r="H18" s="1"/>
      <c r="I18" s="1"/>
      <c r="J18" s="1"/>
      <c r="K18" s="1"/>
      <c r="L18" s="1"/>
      <c r="M18" s="1"/>
      <c r="N18" s="17"/>
    </row>
    <row r="19" spans="2:14" ht="15" customHeight="1" x14ac:dyDescent="0.25">
      <c r="B19" s="19"/>
      <c r="C19" s="5" t="s">
        <v>98</v>
      </c>
      <c r="D19" s="6" t="s">
        <v>20</v>
      </c>
      <c r="E19" s="11">
        <v>2.8223999999999999E-2</v>
      </c>
      <c r="F19" s="1"/>
      <c r="G19" s="1"/>
      <c r="H19" s="1"/>
      <c r="I19" s="1"/>
      <c r="J19" s="1"/>
      <c r="K19" s="1"/>
      <c r="L19" s="1"/>
      <c r="M19" s="1"/>
      <c r="N19" s="17"/>
    </row>
    <row r="20" spans="2:14" ht="15" customHeight="1" x14ac:dyDescent="0.25">
      <c r="B20" s="19"/>
      <c r="C20" s="5" t="s">
        <v>99</v>
      </c>
      <c r="D20" s="6" t="s">
        <v>20</v>
      </c>
      <c r="E20" s="11">
        <v>2.2581E-2</v>
      </c>
      <c r="F20" s="1"/>
      <c r="G20" s="1"/>
      <c r="H20" s="1"/>
      <c r="I20" s="1"/>
      <c r="J20" s="1"/>
      <c r="K20" s="1"/>
      <c r="L20" s="1"/>
      <c r="M20" s="1"/>
      <c r="N20" s="17"/>
    </row>
    <row r="21" spans="2:14" ht="15" customHeight="1" x14ac:dyDescent="0.25">
      <c r="B21" s="19"/>
      <c r="C21" s="5" t="s">
        <v>100</v>
      </c>
      <c r="D21" s="6" t="s">
        <v>20</v>
      </c>
      <c r="E21" s="11">
        <v>1.4082000000000001E-2</v>
      </c>
      <c r="F21" s="1"/>
      <c r="G21" s="1"/>
      <c r="H21" s="1"/>
      <c r="I21" s="1"/>
      <c r="J21" s="1"/>
      <c r="K21" s="1"/>
      <c r="L21" s="1"/>
      <c r="M21" s="1"/>
      <c r="N21" s="17"/>
    </row>
    <row r="22" spans="2:14" ht="15" customHeight="1" x14ac:dyDescent="0.25">
      <c r="B22" s="19"/>
      <c r="C22" s="5" t="s">
        <v>40</v>
      </c>
      <c r="D22" s="6" t="s">
        <v>20</v>
      </c>
      <c r="E22" s="11">
        <v>1.1291000000000001E-2</v>
      </c>
      <c r="F22" s="1"/>
      <c r="G22" s="1"/>
      <c r="H22" s="1"/>
      <c r="I22" s="1"/>
      <c r="J22" s="1"/>
      <c r="K22" s="1"/>
      <c r="L22" s="1"/>
      <c r="M22" s="1"/>
      <c r="N22" s="17"/>
    </row>
    <row r="23" spans="2:14" ht="15" customHeight="1" x14ac:dyDescent="0.25">
      <c r="B23" s="19"/>
      <c r="C23" s="5" t="s">
        <v>42</v>
      </c>
      <c r="D23" s="6" t="s">
        <v>20</v>
      </c>
      <c r="E23" s="11">
        <v>1.128E-2</v>
      </c>
      <c r="F23" s="1"/>
      <c r="G23" s="1"/>
      <c r="H23" s="1"/>
      <c r="I23" s="1"/>
      <c r="J23" s="1"/>
      <c r="K23" s="1"/>
      <c r="L23" s="1"/>
      <c r="M23" s="1"/>
      <c r="N23" s="17"/>
    </row>
    <row r="24" spans="2:14" ht="15" customHeight="1" x14ac:dyDescent="0.25">
      <c r="B24" s="19"/>
      <c r="C24" s="5" t="s">
        <v>19</v>
      </c>
      <c r="D24" s="6" t="s">
        <v>20</v>
      </c>
      <c r="E24" s="11">
        <v>1.1259E-2</v>
      </c>
      <c r="F24" s="1"/>
      <c r="G24" s="1"/>
      <c r="H24" s="1"/>
      <c r="I24" s="1"/>
      <c r="J24" s="1"/>
      <c r="K24" s="1"/>
      <c r="L24" s="1"/>
      <c r="M24" s="1"/>
      <c r="N24" s="17"/>
    </row>
    <row r="25" spans="2:14" ht="15.75" customHeight="1" x14ac:dyDescent="0.25">
      <c r="B25" s="19"/>
      <c r="C25" s="7" t="s">
        <v>26</v>
      </c>
      <c r="D25" s="8"/>
      <c r="E25" s="12">
        <v>0.63659699999999997</v>
      </c>
      <c r="F25" s="1"/>
      <c r="G25" s="1"/>
      <c r="H25" s="1"/>
      <c r="I25" s="1"/>
      <c r="J25" s="1"/>
      <c r="K25" s="1"/>
      <c r="L25" s="1"/>
      <c r="M25" s="1"/>
      <c r="N25" s="17"/>
    </row>
    <row r="26" spans="2:14" ht="15" customHeight="1" x14ac:dyDescent="0.25">
      <c r="B26" s="19"/>
      <c r="C26" s="5" t="s">
        <v>101</v>
      </c>
      <c r="D26" s="6" t="s">
        <v>47</v>
      </c>
      <c r="E26" s="11">
        <v>0.23267299999999999</v>
      </c>
      <c r="F26" s="1"/>
      <c r="G26" s="37" t="s">
        <v>17</v>
      </c>
      <c r="H26" s="38"/>
      <c r="I26" s="38"/>
      <c r="J26" s="38"/>
      <c r="K26" s="38"/>
      <c r="L26" s="38"/>
      <c r="M26" s="38"/>
      <c r="N26" s="39"/>
    </row>
    <row r="27" spans="2:14" ht="15" customHeight="1" x14ac:dyDescent="0.25">
      <c r="B27" s="19"/>
      <c r="C27" s="5" t="s">
        <v>83</v>
      </c>
      <c r="D27" s="6" t="s">
        <v>47</v>
      </c>
      <c r="E27" s="11">
        <v>5.9537E-2</v>
      </c>
      <c r="F27" s="1"/>
      <c r="G27" s="1"/>
      <c r="H27" s="1"/>
      <c r="I27" s="1"/>
      <c r="J27" s="1"/>
      <c r="K27" s="1"/>
      <c r="L27" s="1"/>
      <c r="M27" s="1"/>
      <c r="N27" s="17"/>
    </row>
    <row r="28" spans="2:14" ht="15" customHeight="1" x14ac:dyDescent="0.25">
      <c r="B28" s="19"/>
      <c r="C28" s="5" t="s">
        <v>102</v>
      </c>
      <c r="D28" s="6" t="s">
        <v>47</v>
      </c>
      <c r="E28" s="11">
        <v>1.1280999999999999E-2</v>
      </c>
      <c r="F28" s="1"/>
      <c r="G28" s="1"/>
      <c r="H28" s="1"/>
      <c r="I28" s="1"/>
      <c r="J28" s="1"/>
      <c r="K28" s="1"/>
      <c r="L28" s="1"/>
      <c r="M28" s="1"/>
      <c r="N28" s="17"/>
    </row>
    <row r="29" spans="2:14" ht="15" customHeight="1" x14ac:dyDescent="0.25">
      <c r="B29" s="19"/>
      <c r="C29" s="5" t="s">
        <v>103</v>
      </c>
      <c r="D29" s="6" t="s">
        <v>47</v>
      </c>
      <c r="E29" s="11">
        <v>5.633E-3</v>
      </c>
      <c r="F29" s="1"/>
      <c r="G29" s="1"/>
      <c r="H29" s="1"/>
      <c r="I29" s="1"/>
      <c r="J29" s="1"/>
      <c r="K29" s="1"/>
      <c r="L29" s="1"/>
      <c r="M29" s="1"/>
      <c r="N29" s="17"/>
    </row>
    <row r="30" spans="2:14" ht="15.75" customHeight="1" x14ac:dyDescent="0.25">
      <c r="B30" s="19"/>
      <c r="C30" s="7" t="s">
        <v>59</v>
      </c>
      <c r="D30" s="8"/>
      <c r="E30" s="12">
        <v>0.30912400000000001</v>
      </c>
      <c r="F30" s="1"/>
      <c r="G30" s="1"/>
      <c r="H30" s="1"/>
      <c r="I30" s="1"/>
      <c r="J30" s="1"/>
      <c r="K30" s="1"/>
      <c r="L30" s="1"/>
      <c r="M30" s="1"/>
      <c r="N30" s="17"/>
    </row>
    <row r="31" spans="2:14" ht="15" customHeight="1" x14ac:dyDescent="0.25">
      <c r="B31" s="19"/>
      <c r="C31" s="5" t="s">
        <v>8</v>
      </c>
      <c r="D31" s="6"/>
      <c r="E31" s="11">
        <v>1.4772E-2</v>
      </c>
      <c r="F31" s="1"/>
      <c r="G31" s="1"/>
      <c r="H31" s="1"/>
      <c r="I31" s="1"/>
      <c r="J31" s="1"/>
      <c r="K31" s="1"/>
      <c r="L31" s="1"/>
      <c r="M31" s="1"/>
      <c r="N31" s="17"/>
    </row>
    <row r="32" spans="2:14" ht="15.75" customHeight="1" x14ac:dyDescent="0.25">
      <c r="B32" s="19"/>
      <c r="C32" s="7" t="s">
        <v>9</v>
      </c>
      <c r="D32" s="8"/>
      <c r="E32" s="12">
        <v>1.4772E-2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75" customHeight="1" x14ac:dyDescent="0.25">
      <c r="B34" s="19"/>
      <c r="C34" s="7" t="s">
        <v>10</v>
      </c>
      <c r="D34" s="8"/>
      <c r="E34" s="12">
        <v>6.9999999999999994E-5</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 customHeight="1" x14ac:dyDescent="0.25">
      <c r="B36" s="19"/>
      <c r="C36" s="9" t="s">
        <v>11</v>
      </c>
      <c r="D36" s="10"/>
      <c r="E36" s="13">
        <v>1</v>
      </c>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31.25" customHeight="1" thickBot="1" x14ac:dyDescent="0.3">
      <c r="B46" s="31" t="s">
        <v>198</v>
      </c>
      <c r="C46" s="32"/>
      <c r="D46" s="32"/>
      <c r="E46" s="32"/>
      <c r="F46" s="32"/>
      <c r="G46" s="32"/>
      <c r="H46" s="32"/>
      <c r="I46" s="32"/>
      <c r="J46" s="32"/>
      <c r="K46" s="32"/>
      <c r="L46" s="32"/>
      <c r="M46" s="32"/>
      <c r="N46" s="33"/>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4">
    <mergeCell ref="B46:N46"/>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4"/>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127</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21</v>
      </c>
      <c r="D8" s="6" t="s">
        <v>20</v>
      </c>
      <c r="E8" s="11">
        <v>0.122234</v>
      </c>
      <c r="F8" s="1"/>
      <c r="G8" s="23" t="s">
        <v>15</v>
      </c>
      <c r="H8" s="24">
        <v>1</v>
      </c>
      <c r="I8" s="1"/>
      <c r="J8" s="23" t="s">
        <v>12</v>
      </c>
      <c r="K8" s="23" t="s">
        <v>3</v>
      </c>
      <c r="L8" s="1"/>
      <c r="M8" s="1"/>
      <c r="N8" s="17"/>
    </row>
    <row r="9" spans="2:14" ht="15" customHeight="1" x14ac:dyDescent="0.25">
      <c r="B9" s="19"/>
      <c r="C9" s="5" t="s">
        <v>22</v>
      </c>
      <c r="D9" s="6" t="s">
        <v>20</v>
      </c>
      <c r="E9" s="11">
        <v>4.1687000000000002E-2</v>
      </c>
      <c r="F9" s="1"/>
      <c r="G9" s="1"/>
      <c r="H9" s="1"/>
      <c r="I9" s="1"/>
      <c r="J9" s="23" t="s">
        <v>13</v>
      </c>
      <c r="K9" s="25">
        <v>2.2945E-2</v>
      </c>
      <c r="L9" s="1"/>
      <c r="M9" s="1"/>
      <c r="N9" s="17"/>
    </row>
    <row r="10" spans="2:14" ht="15" customHeight="1" x14ac:dyDescent="0.25">
      <c r="B10" s="19"/>
      <c r="C10" s="5" t="s">
        <v>24</v>
      </c>
      <c r="D10" s="6" t="s">
        <v>20</v>
      </c>
      <c r="E10" s="11">
        <v>5.2969999999999996E-3</v>
      </c>
      <c r="F10" s="1"/>
      <c r="G10" s="1"/>
      <c r="H10" s="1"/>
      <c r="I10" s="1"/>
      <c r="J10" s="23" t="s">
        <v>61</v>
      </c>
      <c r="K10" s="25">
        <v>0.16921800000000001</v>
      </c>
      <c r="L10" s="1"/>
      <c r="M10" s="1"/>
      <c r="N10" s="17"/>
    </row>
    <row r="11" spans="2:14" ht="15.75" customHeight="1" x14ac:dyDescent="0.25">
      <c r="B11" s="19"/>
      <c r="C11" s="7" t="s">
        <v>23</v>
      </c>
      <c r="D11" s="8"/>
      <c r="E11" s="12">
        <v>0.16921800000000001</v>
      </c>
      <c r="F11" s="1"/>
      <c r="G11" s="1"/>
      <c r="H11" s="1"/>
      <c r="I11" s="1"/>
      <c r="J11" s="23" t="s">
        <v>62</v>
      </c>
      <c r="K11" s="25">
        <v>0.37906899999999999</v>
      </c>
      <c r="L11" s="1"/>
      <c r="M11" s="1"/>
      <c r="N11" s="17"/>
    </row>
    <row r="12" spans="2:14" ht="15" customHeight="1" x14ac:dyDescent="0.25">
      <c r="B12" s="19"/>
      <c r="C12" s="5" t="s">
        <v>24</v>
      </c>
      <c r="D12" s="6" t="s">
        <v>20</v>
      </c>
      <c r="E12" s="11">
        <v>7.3847999999999997E-2</v>
      </c>
      <c r="F12" s="1"/>
      <c r="G12" s="1"/>
      <c r="H12" s="1"/>
      <c r="I12" s="1"/>
      <c r="J12" s="23" t="s">
        <v>63</v>
      </c>
      <c r="K12" s="25">
        <v>0.238624</v>
      </c>
      <c r="L12" s="1"/>
      <c r="M12" s="1"/>
      <c r="N12" s="17"/>
    </row>
    <row r="13" spans="2:14" ht="15" customHeight="1" x14ac:dyDescent="0.25">
      <c r="B13" s="19"/>
      <c r="C13" s="5" t="s">
        <v>100</v>
      </c>
      <c r="D13" s="6" t="s">
        <v>20</v>
      </c>
      <c r="E13" s="11">
        <v>5.3423999999999999E-2</v>
      </c>
      <c r="F13" s="1"/>
      <c r="G13" s="1"/>
      <c r="H13" s="1"/>
      <c r="I13" s="1"/>
      <c r="J13" s="23" t="s">
        <v>64</v>
      </c>
      <c r="K13" s="25">
        <v>4.0445000000000002E-2</v>
      </c>
      <c r="L13" s="1"/>
      <c r="M13" s="1"/>
      <c r="N13" s="17"/>
    </row>
    <row r="14" spans="2:14" ht="15" customHeight="1" x14ac:dyDescent="0.25">
      <c r="B14" s="19"/>
      <c r="C14" s="5" t="s">
        <v>31</v>
      </c>
      <c r="D14" s="6" t="s">
        <v>20</v>
      </c>
      <c r="E14" s="11">
        <v>3.5246E-2</v>
      </c>
      <c r="F14" s="1"/>
      <c r="G14" s="1"/>
      <c r="H14" s="1"/>
      <c r="I14" s="1"/>
      <c r="J14" s="23" t="s">
        <v>65</v>
      </c>
      <c r="K14" s="25">
        <v>4.7920000000000003E-3</v>
      </c>
      <c r="L14" s="1"/>
      <c r="M14" s="1"/>
      <c r="N14" s="17"/>
    </row>
    <row r="15" spans="2:14" ht="15" customHeight="1" x14ac:dyDescent="0.25">
      <c r="B15" s="19"/>
      <c r="C15" s="5" t="s">
        <v>94</v>
      </c>
      <c r="D15" s="6" t="s">
        <v>20</v>
      </c>
      <c r="E15" s="11">
        <v>3.4004E-2</v>
      </c>
      <c r="F15" s="1"/>
      <c r="G15" s="1"/>
      <c r="H15" s="1"/>
      <c r="I15" s="1"/>
      <c r="J15" s="23" t="s">
        <v>66</v>
      </c>
      <c r="K15" s="25">
        <v>0.11082699999999999</v>
      </c>
      <c r="L15" s="1"/>
      <c r="M15" s="1"/>
      <c r="N15" s="17"/>
    </row>
    <row r="16" spans="2:14" ht="15" customHeight="1" x14ac:dyDescent="0.25">
      <c r="B16" s="19"/>
      <c r="C16" s="5" t="s">
        <v>43</v>
      </c>
      <c r="D16" s="6" t="s">
        <v>20</v>
      </c>
      <c r="E16" s="11">
        <v>1.5325999999999999E-2</v>
      </c>
      <c r="F16" s="1"/>
      <c r="G16" s="1"/>
      <c r="H16" s="1"/>
      <c r="I16" s="1"/>
      <c r="J16" s="23" t="s">
        <v>67</v>
      </c>
      <c r="K16" s="25">
        <v>1.8617000000000002E-2</v>
      </c>
      <c r="L16" s="1"/>
      <c r="M16" s="1"/>
      <c r="N16" s="17"/>
    </row>
    <row r="17" spans="2:14" ht="15" customHeight="1" x14ac:dyDescent="0.25">
      <c r="B17" s="19"/>
      <c r="C17" s="5" t="s">
        <v>42</v>
      </c>
      <c r="D17" s="6" t="s">
        <v>20</v>
      </c>
      <c r="E17" s="11">
        <v>1.5291000000000001E-2</v>
      </c>
      <c r="F17" s="1"/>
      <c r="G17" s="1"/>
      <c r="H17" s="1"/>
      <c r="I17" s="1"/>
      <c r="J17" s="23" t="s">
        <v>10</v>
      </c>
      <c r="K17" s="25">
        <v>1.5462999999999999E-2</v>
      </c>
      <c r="L17" s="1"/>
      <c r="M17" s="1"/>
      <c r="N17" s="17"/>
    </row>
    <row r="18" spans="2:14" ht="15" customHeight="1" x14ac:dyDescent="0.25">
      <c r="B18" s="19"/>
      <c r="C18" s="5" t="s">
        <v>95</v>
      </c>
      <c r="D18" s="6" t="s">
        <v>20</v>
      </c>
      <c r="E18" s="11">
        <v>1.1485E-2</v>
      </c>
      <c r="F18" s="1"/>
      <c r="G18" s="1"/>
      <c r="H18" s="1"/>
      <c r="I18" s="1"/>
      <c r="J18" s="1"/>
      <c r="K18" s="1"/>
      <c r="L18" s="1"/>
      <c r="M18" s="1"/>
      <c r="N18" s="17"/>
    </row>
    <row r="19" spans="2:14" ht="15.75" customHeight="1" x14ac:dyDescent="0.25">
      <c r="B19" s="19"/>
      <c r="C19" s="7" t="s">
        <v>26</v>
      </c>
      <c r="D19" s="8"/>
      <c r="E19" s="12">
        <v>0.238624</v>
      </c>
      <c r="F19" s="1"/>
      <c r="G19" s="1"/>
      <c r="H19" s="1"/>
      <c r="I19" s="1"/>
      <c r="J19" s="1"/>
      <c r="K19" s="1"/>
      <c r="L19" s="1"/>
      <c r="M19" s="1"/>
      <c r="N19" s="17"/>
    </row>
    <row r="20" spans="2:14" ht="15" customHeight="1" x14ac:dyDescent="0.25">
      <c r="B20" s="19"/>
      <c r="C20" s="5" t="s">
        <v>31</v>
      </c>
      <c r="D20" s="6" t="s">
        <v>27</v>
      </c>
      <c r="E20" s="11">
        <v>9.2230999999999994E-2</v>
      </c>
      <c r="F20" s="1"/>
      <c r="G20" s="1"/>
      <c r="H20" s="1"/>
      <c r="I20" s="1"/>
      <c r="J20" s="1"/>
      <c r="K20" s="1"/>
      <c r="L20" s="1"/>
      <c r="M20" s="1"/>
      <c r="N20" s="17"/>
    </row>
    <row r="21" spans="2:14" ht="15" customHeight="1" x14ac:dyDescent="0.25">
      <c r="B21" s="19"/>
      <c r="C21" s="5" t="s">
        <v>29</v>
      </c>
      <c r="D21" s="6" t="s">
        <v>27</v>
      </c>
      <c r="E21" s="11">
        <v>6.4793000000000003E-2</v>
      </c>
      <c r="F21" s="1"/>
      <c r="G21" s="1"/>
      <c r="H21" s="1"/>
      <c r="I21" s="1"/>
      <c r="J21" s="1"/>
      <c r="K21" s="1"/>
      <c r="L21" s="1"/>
      <c r="M21" s="1"/>
      <c r="N21" s="17"/>
    </row>
    <row r="22" spans="2:14" ht="15" customHeight="1" x14ac:dyDescent="0.25">
      <c r="B22" s="19"/>
      <c r="C22" s="5" t="s">
        <v>28</v>
      </c>
      <c r="D22" s="6" t="s">
        <v>27</v>
      </c>
      <c r="E22" s="11">
        <v>4.7114999999999997E-2</v>
      </c>
      <c r="F22" s="1"/>
      <c r="G22" s="1"/>
      <c r="H22" s="1"/>
      <c r="I22" s="1"/>
      <c r="J22" s="1"/>
      <c r="K22" s="1"/>
      <c r="L22" s="1"/>
      <c r="M22" s="1"/>
      <c r="N22" s="17"/>
    </row>
    <row r="23" spans="2:14" ht="15" customHeight="1" x14ac:dyDescent="0.25">
      <c r="B23" s="19"/>
      <c r="C23" s="5" t="s">
        <v>34</v>
      </c>
      <c r="D23" s="6" t="s">
        <v>27</v>
      </c>
      <c r="E23" s="11">
        <v>4.6786000000000001E-2</v>
      </c>
      <c r="F23" s="1"/>
      <c r="G23" s="1"/>
      <c r="H23" s="1"/>
      <c r="I23" s="1"/>
      <c r="J23" s="1"/>
      <c r="K23" s="1"/>
      <c r="L23" s="1"/>
      <c r="M23" s="1"/>
      <c r="N23" s="17"/>
    </row>
    <row r="24" spans="2:14" ht="15" customHeight="1" x14ac:dyDescent="0.25">
      <c r="B24" s="19"/>
      <c r="C24" s="5" t="s">
        <v>25</v>
      </c>
      <c r="D24" s="6" t="s">
        <v>27</v>
      </c>
      <c r="E24" s="11">
        <v>4.5885000000000002E-2</v>
      </c>
      <c r="F24" s="1"/>
      <c r="G24" s="1"/>
      <c r="H24" s="1"/>
      <c r="I24" s="1"/>
      <c r="J24" s="1"/>
      <c r="K24" s="1"/>
      <c r="L24" s="1"/>
      <c r="M24" s="1"/>
      <c r="N24" s="17"/>
    </row>
    <row r="25" spans="2:14" ht="15" customHeight="1" x14ac:dyDescent="0.25">
      <c r="B25" s="19"/>
      <c r="C25" s="5" t="s">
        <v>42</v>
      </c>
      <c r="D25" s="6" t="s">
        <v>27</v>
      </c>
      <c r="E25" s="11">
        <v>3.4934E-2</v>
      </c>
      <c r="F25" s="1"/>
      <c r="G25" s="1"/>
      <c r="H25" s="1"/>
      <c r="I25" s="1"/>
      <c r="J25" s="1"/>
      <c r="K25" s="1"/>
      <c r="L25" s="1"/>
      <c r="M25" s="1"/>
      <c r="N25" s="17"/>
    </row>
    <row r="26" spans="2:14" ht="15" customHeight="1" x14ac:dyDescent="0.25">
      <c r="B26" s="19"/>
      <c r="C26" s="5" t="s">
        <v>43</v>
      </c>
      <c r="D26" s="6" t="s">
        <v>27</v>
      </c>
      <c r="E26" s="11">
        <v>1.6233999999999998E-2</v>
      </c>
      <c r="F26" s="1"/>
      <c r="G26" s="37" t="s">
        <v>17</v>
      </c>
      <c r="H26" s="38"/>
      <c r="I26" s="38"/>
      <c r="J26" s="38"/>
      <c r="K26" s="38"/>
      <c r="L26" s="38"/>
      <c r="M26" s="38"/>
      <c r="N26" s="39"/>
    </row>
    <row r="27" spans="2:14" ht="15" customHeight="1" x14ac:dyDescent="0.25">
      <c r="B27" s="19"/>
      <c r="C27" s="5" t="s">
        <v>96</v>
      </c>
      <c r="D27" s="6" t="s">
        <v>27</v>
      </c>
      <c r="E27" s="11">
        <v>9.4029999999999999E-3</v>
      </c>
      <c r="F27" s="1"/>
      <c r="G27" s="1"/>
      <c r="H27" s="1"/>
      <c r="I27" s="1"/>
      <c r="J27" s="1"/>
      <c r="K27" s="1"/>
      <c r="L27" s="1"/>
      <c r="M27" s="1"/>
      <c r="N27" s="17"/>
    </row>
    <row r="28" spans="2:14" ht="15" customHeight="1" x14ac:dyDescent="0.25">
      <c r="B28" s="19"/>
      <c r="C28" s="5" t="s">
        <v>128</v>
      </c>
      <c r="D28" s="6" t="s">
        <v>27</v>
      </c>
      <c r="E28" s="11">
        <v>4.7660000000000003E-3</v>
      </c>
      <c r="F28" s="1"/>
      <c r="G28" s="1"/>
      <c r="H28" s="1"/>
      <c r="I28" s="1"/>
      <c r="J28" s="1"/>
      <c r="K28" s="1"/>
      <c r="L28" s="1"/>
      <c r="M28" s="1"/>
      <c r="N28" s="17"/>
    </row>
    <row r="29" spans="2:14" ht="15" customHeight="1" x14ac:dyDescent="0.25">
      <c r="B29" s="19"/>
      <c r="C29" s="5" t="s">
        <v>38</v>
      </c>
      <c r="D29" s="6" t="s">
        <v>27</v>
      </c>
      <c r="E29" s="11">
        <v>3.9399999999999999E-3</v>
      </c>
      <c r="F29" s="1"/>
      <c r="G29" s="1"/>
      <c r="H29" s="1"/>
      <c r="I29" s="1"/>
      <c r="J29" s="1"/>
      <c r="K29" s="1"/>
      <c r="L29" s="1"/>
      <c r="M29" s="1"/>
      <c r="N29" s="17"/>
    </row>
    <row r="30" spans="2:14" ht="15" customHeight="1" x14ac:dyDescent="0.25">
      <c r="B30" s="19"/>
      <c r="C30" s="5" t="s">
        <v>97</v>
      </c>
      <c r="D30" s="6" t="s">
        <v>27</v>
      </c>
      <c r="E30" s="11">
        <v>3.8570000000000002E-3</v>
      </c>
      <c r="F30" s="1"/>
      <c r="G30" s="1"/>
      <c r="H30" s="1"/>
      <c r="I30" s="1"/>
      <c r="J30" s="1"/>
      <c r="K30" s="1"/>
      <c r="L30" s="1"/>
      <c r="M30" s="1"/>
      <c r="N30" s="17"/>
    </row>
    <row r="31" spans="2:14" ht="15" customHeight="1" x14ac:dyDescent="0.25">
      <c r="B31" s="19"/>
      <c r="C31" s="5" t="s">
        <v>90</v>
      </c>
      <c r="D31" s="6" t="s">
        <v>27</v>
      </c>
      <c r="E31" s="11">
        <v>2.464E-3</v>
      </c>
      <c r="F31" s="1"/>
      <c r="G31" s="1"/>
      <c r="H31" s="1"/>
      <c r="I31" s="1"/>
      <c r="J31" s="1"/>
      <c r="K31" s="1"/>
      <c r="L31" s="1"/>
      <c r="M31" s="1"/>
      <c r="N31" s="17"/>
    </row>
    <row r="32" spans="2:14" ht="15" customHeight="1" x14ac:dyDescent="0.25">
      <c r="B32" s="19"/>
      <c r="C32" s="5" t="s">
        <v>24</v>
      </c>
      <c r="D32" s="6" t="s">
        <v>27</v>
      </c>
      <c r="E32" s="11">
        <v>2.281E-3</v>
      </c>
      <c r="F32" s="1"/>
      <c r="G32" s="1"/>
      <c r="H32" s="1"/>
      <c r="I32" s="1"/>
      <c r="J32" s="1"/>
      <c r="K32" s="1"/>
      <c r="L32" s="1"/>
      <c r="M32" s="1"/>
      <c r="N32" s="17"/>
    </row>
    <row r="33" spans="2:14" ht="15" customHeight="1" x14ac:dyDescent="0.25">
      <c r="B33" s="19"/>
      <c r="C33" s="5" t="s">
        <v>33</v>
      </c>
      <c r="D33" s="6" t="s">
        <v>27</v>
      </c>
      <c r="E33" s="11">
        <v>1.6609999999999999E-3</v>
      </c>
      <c r="F33" s="1"/>
      <c r="G33" s="1"/>
      <c r="H33" s="1"/>
      <c r="I33" s="1"/>
      <c r="J33" s="1"/>
      <c r="K33" s="1"/>
      <c r="L33" s="1"/>
      <c r="M33" s="1"/>
      <c r="N33" s="17"/>
    </row>
    <row r="34" spans="2:14" ht="15" customHeight="1" x14ac:dyDescent="0.25">
      <c r="B34" s="19"/>
      <c r="C34" s="5" t="s">
        <v>30</v>
      </c>
      <c r="D34" s="6" t="s">
        <v>27</v>
      </c>
      <c r="E34" s="11">
        <v>1.5889999999999999E-3</v>
      </c>
      <c r="F34" s="1"/>
      <c r="G34" s="1"/>
      <c r="H34" s="1"/>
      <c r="I34" s="1"/>
      <c r="J34" s="1"/>
      <c r="K34" s="1"/>
      <c r="L34" s="1"/>
      <c r="M34" s="1"/>
      <c r="N34" s="17"/>
    </row>
    <row r="35" spans="2:14" ht="15" customHeight="1" x14ac:dyDescent="0.25">
      <c r="B35" s="19"/>
      <c r="C35" s="5" t="s">
        <v>89</v>
      </c>
      <c r="D35" s="6" t="s">
        <v>27</v>
      </c>
      <c r="E35" s="11">
        <v>8.0099999999999995E-4</v>
      </c>
      <c r="F35" s="1"/>
      <c r="G35" s="1"/>
      <c r="H35" s="1"/>
      <c r="I35" s="1"/>
      <c r="J35" s="1"/>
      <c r="K35" s="1"/>
      <c r="L35" s="1"/>
      <c r="M35" s="1"/>
      <c r="N35" s="17"/>
    </row>
    <row r="36" spans="2:14" ht="15" customHeight="1" x14ac:dyDescent="0.25">
      <c r="B36" s="19"/>
      <c r="C36" s="5" t="s">
        <v>32</v>
      </c>
      <c r="D36" s="6" t="s">
        <v>27</v>
      </c>
      <c r="E36" s="11">
        <v>1.85E-4</v>
      </c>
      <c r="F36" s="1"/>
      <c r="G36" s="1"/>
      <c r="H36" s="1"/>
      <c r="I36" s="1"/>
      <c r="J36" s="1"/>
      <c r="K36" s="1"/>
      <c r="L36" s="1"/>
      <c r="M36" s="1"/>
      <c r="N36" s="17"/>
    </row>
    <row r="37" spans="2:14" ht="15" customHeight="1" x14ac:dyDescent="0.25">
      <c r="B37" s="19"/>
      <c r="C37" s="5" t="s">
        <v>35</v>
      </c>
      <c r="D37" s="6" t="s">
        <v>27</v>
      </c>
      <c r="E37" s="11">
        <v>1.44E-4</v>
      </c>
      <c r="F37" s="1"/>
      <c r="G37" s="1"/>
      <c r="H37" s="1"/>
      <c r="I37" s="1"/>
      <c r="J37" s="1"/>
      <c r="K37" s="1"/>
      <c r="L37" s="1"/>
      <c r="M37" s="1"/>
      <c r="N37" s="17"/>
    </row>
    <row r="38" spans="2:14" ht="15.75" customHeight="1" x14ac:dyDescent="0.25">
      <c r="B38" s="19"/>
      <c r="C38" s="7" t="s">
        <v>45</v>
      </c>
      <c r="D38" s="8"/>
      <c r="E38" s="12">
        <v>0.37906899999999999</v>
      </c>
      <c r="F38" s="1"/>
      <c r="G38" s="1"/>
      <c r="H38" s="1"/>
      <c r="I38" s="1"/>
      <c r="J38" s="1"/>
      <c r="K38" s="1"/>
      <c r="L38" s="1"/>
      <c r="M38" s="1"/>
      <c r="N38" s="17"/>
    </row>
    <row r="39" spans="2:14" ht="15" customHeight="1" x14ac:dyDescent="0.25">
      <c r="B39" s="19"/>
      <c r="C39" s="5" t="s">
        <v>54</v>
      </c>
      <c r="D39" s="6" t="s">
        <v>47</v>
      </c>
      <c r="E39" s="11">
        <v>1.6532000000000002E-2</v>
      </c>
      <c r="F39" s="1"/>
      <c r="G39" s="1"/>
      <c r="H39" s="1"/>
      <c r="I39" s="1"/>
      <c r="J39" s="1"/>
      <c r="K39" s="1"/>
      <c r="L39" s="1"/>
      <c r="M39" s="1"/>
      <c r="N39" s="17"/>
    </row>
    <row r="40" spans="2:14" ht="15" customHeight="1" x14ac:dyDescent="0.25">
      <c r="B40" s="19"/>
      <c r="C40" s="5" t="s">
        <v>48</v>
      </c>
      <c r="D40" s="6" t="s">
        <v>47</v>
      </c>
      <c r="E40" s="11">
        <v>9.7289999999999998E-3</v>
      </c>
      <c r="F40" s="1"/>
      <c r="G40" s="1"/>
      <c r="H40" s="1"/>
      <c r="I40" s="1"/>
      <c r="J40" s="1"/>
      <c r="K40" s="1"/>
      <c r="L40" s="1"/>
      <c r="M40" s="1"/>
      <c r="N40" s="17"/>
    </row>
    <row r="41" spans="2:14" ht="15" customHeight="1" x14ac:dyDescent="0.25">
      <c r="B41" s="19"/>
      <c r="C41" s="5" t="s">
        <v>49</v>
      </c>
      <c r="D41" s="6" t="s">
        <v>47</v>
      </c>
      <c r="E41" s="11">
        <v>9.0369999999999999E-3</v>
      </c>
      <c r="F41" s="1"/>
      <c r="G41" s="1"/>
      <c r="H41" s="1"/>
      <c r="I41" s="1"/>
      <c r="J41" s="1"/>
      <c r="K41" s="1"/>
      <c r="L41" s="1"/>
      <c r="M41" s="1"/>
      <c r="N41" s="17"/>
    </row>
    <row r="42" spans="2:14" ht="15" customHeight="1" x14ac:dyDescent="0.25">
      <c r="B42" s="19"/>
      <c r="C42" s="5" t="s">
        <v>51</v>
      </c>
      <c r="D42" s="6" t="s">
        <v>47</v>
      </c>
      <c r="E42" s="11">
        <v>3.065E-3</v>
      </c>
      <c r="F42" s="1"/>
      <c r="G42" s="1"/>
      <c r="H42" s="1"/>
      <c r="I42" s="1"/>
      <c r="J42" s="1"/>
      <c r="K42" s="1"/>
      <c r="L42" s="1"/>
      <c r="M42" s="1"/>
      <c r="N42" s="17"/>
    </row>
    <row r="43" spans="2:14" ht="15" customHeight="1" x14ac:dyDescent="0.25">
      <c r="B43" s="19"/>
      <c r="C43" s="5" t="s">
        <v>77</v>
      </c>
      <c r="D43" s="6" t="s">
        <v>47</v>
      </c>
      <c r="E43" s="11">
        <v>8.6300000000000005E-4</v>
      </c>
      <c r="F43" s="1"/>
      <c r="G43" s="1"/>
      <c r="H43" s="1"/>
      <c r="I43" s="1"/>
      <c r="J43" s="1"/>
      <c r="K43" s="1"/>
      <c r="L43" s="1"/>
      <c r="M43" s="1"/>
      <c r="N43" s="17"/>
    </row>
    <row r="44" spans="2:14" ht="15" customHeight="1" x14ac:dyDescent="0.25">
      <c r="B44" s="19"/>
      <c r="C44" s="5" t="s">
        <v>129</v>
      </c>
      <c r="D44" s="6" t="s">
        <v>47</v>
      </c>
      <c r="E44" s="11">
        <v>8.0800000000000002E-4</v>
      </c>
      <c r="F44" s="1"/>
      <c r="G44" s="1"/>
      <c r="H44" s="1"/>
      <c r="I44" s="1"/>
      <c r="J44" s="1"/>
      <c r="K44" s="1"/>
      <c r="L44" s="1"/>
      <c r="M44" s="1"/>
      <c r="N44" s="17"/>
    </row>
    <row r="45" spans="2:14" ht="15" customHeight="1" x14ac:dyDescent="0.25">
      <c r="B45" s="19"/>
      <c r="C45" s="5" t="s">
        <v>130</v>
      </c>
      <c r="D45" s="6" t="s">
        <v>47</v>
      </c>
      <c r="E45" s="11">
        <v>2.5000000000000001E-4</v>
      </c>
      <c r="F45" s="1"/>
      <c r="G45" s="1"/>
      <c r="H45" s="1"/>
      <c r="I45" s="1"/>
      <c r="J45" s="1"/>
      <c r="K45" s="1"/>
      <c r="L45" s="1"/>
      <c r="M45" s="1"/>
      <c r="N45" s="17"/>
    </row>
    <row r="46" spans="2:14" ht="15" customHeight="1" x14ac:dyDescent="0.25">
      <c r="B46" s="19"/>
      <c r="C46" s="5" t="s">
        <v>50</v>
      </c>
      <c r="D46" s="6" t="s">
        <v>47</v>
      </c>
      <c r="E46" s="11">
        <v>1.6100000000000001E-4</v>
      </c>
      <c r="F46" s="1"/>
      <c r="G46" s="1"/>
      <c r="H46" s="1"/>
      <c r="I46" s="1"/>
      <c r="J46" s="1"/>
      <c r="K46" s="1"/>
      <c r="L46" s="1"/>
      <c r="M46" s="1"/>
      <c r="N46" s="17"/>
    </row>
    <row r="47" spans="2:14" ht="15.75" customHeight="1" x14ac:dyDescent="0.25">
      <c r="B47" s="19"/>
      <c r="C47" s="7" t="s">
        <v>56</v>
      </c>
      <c r="D47" s="8"/>
      <c r="E47" s="12">
        <v>4.0445000000000002E-2</v>
      </c>
      <c r="F47" s="1"/>
      <c r="G47" s="1"/>
      <c r="H47" s="1"/>
      <c r="I47" s="1"/>
      <c r="J47" s="1"/>
      <c r="K47" s="1"/>
      <c r="L47" s="1"/>
      <c r="M47" s="1"/>
      <c r="N47" s="17"/>
    </row>
    <row r="48" spans="2:14" ht="15" customHeight="1" x14ac:dyDescent="0.25">
      <c r="B48" s="19"/>
      <c r="C48" s="5" t="s">
        <v>137</v>
      </c>
      <c r="D48" s="6" t="s">
        <v>47</v>
      </c>
      <c r="E48" s="11">
        <v>2.5500000000000002E-3</v>
      </c>
      <c r="F48" s="1"/>
      <c r="G48" s="1"/>
      <c r="H48" s="1"/>
      <c r="I48" s="1"/>
      <c r="J48" s="1"/>
      <c r="K48" s="1"/>
      <c r="L48" s="1"/>
      <c r="M48" s="1"/>
      <c r="N48" s="17"/>
    </row>
    <row r="49" spans="2:14" ht="15.75" customHeight="1" x14ac:dyDescent="0.25">
      <c r="B49" s="19"/>
      <c r="C49" s="5" t="s">
        <v>138</v>
      </c>
      <c r="D49" s="6" t="s">
        <v>47</v>
      </c>
      <c r="E49" s="11">
        <v>8.3900000000000001E-4</v>
      </c>
      <c r="F49" s="1"/>
      <c r="G49" s="1"/>
      <c r="H49" s="1"/>
      <c r="I49" s="1"/>
      <c r="J49" s="1"/>
      <c r="K49" s="1"/>
      <c r="L49" s="1"/>
      <c r="M49" s="1"/>
      <c r="N49" s="17"/>
    </row>
    <row r="50" spans="2:14" ht="15" customHeight="1" x14ac:dyDescent="0.25">
      <c r="B50" s="19"/>
      <c r="C50" s="5" t="s">
        <v>139</v>
      </c>
      <c r="D50" s="6" t="s">
        <v>47</v>
      </c>
      <c r="E50" s="11">
        <v>7.4399999999999998E-4</v>
      </c>
      <c r="F50" s="1"/>
      <c r="G50" s="1"/>
      <c r="H50" s="1"/>
      <c r="I50" s="1"/>
      <c r="J50" s="1"/>
      <c r="K50" s="1"/>
      <c r="L50" s="1"/>
      <c r="M50" s="1"/>
      <c r="N50" s="17"/>
    </row>
    <row r="51" spans="2:14" ht="15" customHeight="1" x14ac:dyDescent="0.25">
      <c r="B51" s="19"/>
      <c r="C51" s="5" t="s">
        <v>140</v>
      </c>
      <c r="D51" s="6" t="s">
        <v>47</v>
      </c>
      <c r="E51" s="11">
        <v>4.3899999999999999E-4</v>
      </c>
      <c r="F51" s="1"/>
      <c r="G51" s="1"/>
      <c r="H51" s="1"/>
      <c r="I51" s="1"/>
      <c r="J51" s="1"/>
      <c r="K51" s="1"/>
      <c r="L51" s="1"/>
      <c r="M51" s="1"/>
      <c r="N51" s="17"/>
    </row>
    <row r="52" spans="2:14" ht="15" customHeight="1" x14ac:dyDescent="0.25">
      <c r="B52" s="19"/>
      <c r="C52" s="5" t="s">
        <v>141</v>
      </c>
      <c r="D52" s="6" t="s">
        <v>47</v>
      </c>
      <c r="E52" s="11">
        <v>2.2000000000000001E-4</v>
      </c>
      <c r="F52" s="1"/>
      <c r="G52" s="1"/>
      <c r="H52" s="1"/>
      <c r="I52" s="1"/>
      <c r="J52" s="1"/>
      <c r="K52" s="1"/>
      <c r="L52" s="1"/>
      <c r="M52" s="1"/>
      <c r="N52" s="17"/>
    </row>
    <row r="53" spans="2:14" ht="15" customHeight="1" x14ac:dyDescent="0.25">
      <c r="B53" s="19"/>
      <c r="C53" s="7" t="s">
        <v>57</v>
      </c>
      <c r="D53" s="8"/>
      <c r="E53" s="12">
        <v>4.7920000000000003E-3</v>
      </c>
      <c r="F53" s="1"/>
      <c r="G53" s="1"/>
      <c r="H53" s="1"/>
      <c r="I53" s="1"/>
      <c r="J53" s="1"/>
      <c r="K53" s="1"/>
      <c r="L53" s="1"/>
      <c r="M53" s="1"/>
      <c r="N53" s="17"/>
    </row>
    <row r="54" spans="2:14" ht="15.75" customHeight="1" x14ac:dyDescent="0.25">
      <c r="B54" s="19"/>
      <c r="C54" s="5" t="s">
        <v>81</v>
      </c>
      <c r="D54" s="6" t="s">
        <v>47</v>
      </c>
      <c r="E54" s="11">
        <v>5.0495999999999999E-2</v>
      </c>
      <c r="F54" s="1"/>
      <c r="G54" s="1"/>
      <c r="H54" s="1"/>
      <c r="I54" s="1"/>
      <c r="J54" s="1"/>
      <c r="K54" s="1"/>
      <c r="L54" s="1"/>
      <c r="M54" s="1"/>
      <c r="N54" s="17"/>
    </row>
    <row r="55" spans="2:14" ht="15" customHeight="1" x14ac:dyDescent="0.25">
      <c r="B55" s="19"/>
      <c r="C55" s="5" t="s">
        <v>84</v>
      </c>
      <c r="D55" s="6" t="s">
        <v>47</v>
      </c>
      <c r="E55" s="11">
        <v>2.5982999999999999E-2</v>
      </c>
      <c r="F55" s="1"/>
      <c r="G55" s="1"/>
      <c r="H55" s="1"/>
      <c r="I55" s="1"/>
      <c r="J55" s="1"/>
      <c r="K55" s="1"/>
      <c r="L55" s="1"/>
      <c r="M55" s="1"/>
      <c r="N55" s="17"/>
    </row>
    <row r="56" spans="2:14" ht="15.75" customHeight="1" x14ac:dyDescent="0.25">
      <c r="B56" s="19"/>
      <c r="C56" s="5" t="s">
        <v>80</v>
      </c>
      <c r="D56" s="6" t="s">
        <v>47</v>
      </c>
      <c r="E56" s="11">
        <v>1.9092999999999999E-2</v>
      </c>
      <c r="F56" s="1"/>
      <c r="G56" s="1"/>
      <c r="H56" s="1"/>
      <c r="I56" s="1"/>
      <c r="J56" s="1"/>
      <c r="K56" s="1"/>
      <c r="L56" s="1"/>
      <c r="M56" s="1"/>
      <c r="N56" s="17"/>
    </row>
    <row r="57" spans="2:14" ht="15" customHeight="1" x14ac:dyDescent="0.25">
      <c r="B57" s="19"/>
      <c r="C57" s="5" t="s">
        <v>85</v>
      </c>
      <c r="D57" s="6" t="s">
        <v>47</v>
      </c>
      <c r="E57" s="11">
        <v>1.5254999999999999E-2</v>
      </c>
      <c r="F57" s="1"/>
      <c r="G57" s="1"/>
      <c r="H57" s="1"/>
      <c r="I57" s="1"/>
      <c r="J57" s="1"/>
      <c r="K57" s="1"/>
      <c r="L57" s="1"/>
      <c r="M57" s="1"/>
      <c r="N57" s="17"/>
    </row>
    <row r="58" spans="2:14" ht="15" customHeight="1" x14ac:dyDescent="0.25">
      <c r="B58" s="19"/>
      <c r="C58" s="7" t="s">
        <v>59</v>
      </c>
      <c r="D58" s="8"/>
      <c r="E58" s="12">
        <v>0.11082699999999999</v>
      </c>
      <c r="F58" s="1"/>
      <c r="G58" s="1"/>
      <c r="H58" s="1"/>
      <c r="I58" s="1"/>
      <c r="J58" s="1"/>
      <c r="K58" s="1"/>
      <c r="L58" s="1"/>
      <c r="M58" s="1"/>
      <c r="N58" s="17"/>
    </row>
    <row r="59" spans="2:14" ht="15" customHeight="1" x14ac:dyDescent="0.25">
      <c r="B59" s="19"/>
      <c r="C59" s="5" t="s">
        <v>8</v>
      </c>
      <c r="D59" s="6"/>
      <c r="E59" s="11">
        <v>2.2945E-2</v>
      </c>
      <c r="F59" s="1"/>
      <c r="G59" s="1"/>
      <c r="H59" s="1"/>
      <c r="I59" s="1"/>
      <c r="J59" s="1"/>
      <c r="K59" s="1"/>
      <c r="L59" s="1"/>
      <c r="M59" s="1"/>
      <c r="N59" s="17"/>
    </row>
    <row r="60" spans="2:14" ht="15.75" customHeight="1" x14ac:dyDescent="0.25">
      <c r="B60" s="19"/>
      <c r="C60" s="7" t="s">
        <v>9</v>
      </c>
      <c r="D60" s="8"/>
      <c r="E60" s="12">
        <v>2.2945E-2</v>
      </c>
      <c r="F60" s="1"/>
      <c r="G60" s="1"/>
      <c r="H60" s="1"/>
      <c r="I60" s="1"/>
      <c r="J60" s="1"/>
      <c r="K60" s="1"/>
      <c r="L60" s="1"/>
      <c r="M60" s="1"/>
      <c r="N60" s="17"/>
    </row>
    <row r="61" spans="2:14" ht="15" customHeight="1" x14ac:dyDescent="0.25">
      <c r="B61" s="19"/>
      <c r="C61" s="5" t="s">
        <v>34</v>
      </c>
      <c r="D61" s="6" t="s">
        <v>27</v>
      </c>
      <c r="E61" s="11">
        <v>1.5657999999999998E-2</v>
      </c>
      <c r="F61" s="1"/>
      <c r="G61" s="1"/>
      <c r="H61" s="1"/>
      <c r="I61" s="1"/>
      <c r="J61" s="1"/>
      <c r="K61" s="1"/>
      <c r="L61" s="1"/>
      <c r="M61" s="1"/>
      <c r="N61" s="17"/>
    </row>
    <row r="62" spans="2:14" ht="15.75" customHeight="1" x14ac:dyDescent="0.25">
      <c r="B62" s="19"/>
      <c r="C62" s="5" t="s">
        <v>94</v>
      </c>
      <c r="D62" s="6" t="s">
        <v>27</v>
      </c>
      <c r="E62" s="11">
        <v>2.2330000000000002E-3</v>
      </c>
      <c r="F62" s="1"/>
      <c r="G62" s="1"/>
      <c r="H62" s="1"/>
      <c r="I62" s="1"/>
      <c r="J62" s="1"/>
      <c r="K62" s="1"/>
      <c r="L62" s="1"/>
      <c r="M62" s="1"/>
      <c r="N62" s="17"/>
    </row>
    <row r="63" spans="2:14" ht="15" customHeight="1" x14ac:dyDescent="0.25">
      <c r="B63" s="19"/>
      <c r="C63" s="5" t="s">
        <v>97</v>
      </c>
      <c r="D63" s="6" t="s">
        <v>27</v>
      </c>
      <c r="E63" s="11">
        <v>7.2599999999999997E-4</v>
      </c>
      <c r="F63" s="1"/>
      <c r="G63" s="1"/>
      <c r="H63" s="1"/>
      <c r="I63" s="1"/>
      <c r="J63" s="1"/>
      <c r="K63" s="1"/>
      <c r="L63" s="1"/>
      <c r="M63" s="1"/>
      <c r="N63" s="17"/>
    </row>
    <row r="64" spans="2:14" ht="15" customHeight="1" x14ac:dyDescent="0.25">
      <c r="B64" s="19"/>
      <c r="C64" s="7" t="s">
        <v>60</v>
      </c>
      <c r="D64" s="8"/>
      <c r="E64" s="12">
        <v>1.8617000000000002E-2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7" t="s">
        <v>10</v>
      </c>
      <c r="D66" s="8"/>
      <c r="E66" s="12">
        <v>1.5462999999999999E-2</v>
      </c>
      <c r="F66" s="1"/>
      <c r="G66" s="1"/>
      <c r="H66" s="1"/>
      <c r="I66" s="1"/>
      <c r="J66" s="1"/>
      <c r="K66" s="1"/>
      <c r="L66" s="1"/>
      <c r="M66" s="1"/>
      <c r="N66" s="17"/>
    </row>
    <row r="67" spans="2:14" ht="15" customHeight="1" x14ac:dyDescent="0.25">
      <c r="B67" s="19"/>
      <c r="C67" s="5"/>
      <c r="D67" s="6"/>
      <c r="E67" s="11"/>
      <c r="F67" s="1"/>
      <c r="G67" s="1"/>
      <c r="H67" s="1"/>
      <c r="I67" s="1"/>
      <c r="J67" s="1"/>
      <c r="K67" s="1"/>
      <c r="L67" s="1"/>
      <c r="M67" s="1"/>
      <c r="N67" s="17"/>
    </row>
    <row r="68" spans="2:14" ht="15" customHeight="1" x14ac:dyDescent="0.25">
      <c r="B68" s="19"/>
      <c r="C68" s="9" t="s">
        <v>11</v>
      </c>
      <c r="D68" s="10"/>
      <c r="E68" s="13">
        <v>1</v>
      </c>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x14ac:dyDescent="0.25">
      <c r="B70" s="19"/>
      <c r="C70" s="1"/>
      <c r="D70" s="1"/>
      <c r="E70" s="1"/>
      <c r="F70" s="1"/>
      <c r="G70" s="1"/>
      <c r="H70" s="1"/>
      <c r="I70" s="1"/>
      <c r="J70" s="1"/>
      <c r="K70" s="1"/>
      <c r="L70" s="1"/>
      <c r="M70" s="1"/>
      <c r="N70" s="17"/>
    </row>
    <row r="71" spans="2:14" ht="15" customHeight="1" x14ac:dyDescent="0.25">
      <c r="B71" s="19"/>
      <c r="C71" s="1"/>
      <c r="D71" s="1"/>
      <c r="E71" s="1"/>
      <c r="F71" s="1"/>
      <c r="G71" s="1"/>
      <c r="H71" s="1"/>
      <c r="I71" s="1"/>
      <c r="J71" s="1"/>
      <c r="K71" s="1"/>
      <c r="L71" s="1"/>
      <c r="M71" s="1"/>
      <c r="N71" s="17"/>
    </row>
    <row r="72" spans="2:14" ht="15" customHeight="1" thickBot="1" x14ac:dyDescent="0.3">
      <c r="B72" s="20"/>
      <c r="C72" s="21"/>
      <c r="D72" s="21"/>
      <c r="E72" s="21"/>
      <c r="F72" s="21"/>
      <c r="G72" s="21"/>
      <c r="H72" s="21"/>
      <c r="I72" s="21"/>
      <c r="J72" s="21"/>
      <c r="K72" s="21"/>
      <c r="L72" s="21"/>
      <c r="M72" s="21"/>
      <c r="N72" s="22"/>
    </row>
    <row r="73" spans="2:14" ht="15" customHeight="1" thickBot="1" x14ac:dyDescent="0.3"/>
    <row r="74" spans="2:14" ht="125.25" customHeight="1" thickBot="1" x14ac:dyDescent="0.3">
      <c r="B74" s="31" t="s">
        <v>198</v>
      </c>
      <c r="C74" s="32"/>
      <c r="D74" s="32"/>
      <c r="E74" s="32"/>
      <c r="F74" s="32"/>
      <c r="G74" s="32"/>
      <c r="H74" s="32"/>
      <c r="I74" s="32"/>
      <c r="J74" s="32"/>
      <c r="K74" s="32"/>
      <c r="L74" s="32"/>
      <c r="M74" s="32"/>
      <c r="N74" s="33"/>
    </row>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mergeCells count="4">
    <mergeCell ref="B74:N74"/>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131</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21</v>
      </c>
      <c r="D8" s="6" t="s">
        <v>20</v>
      </c>
      <c r="E8" s="11">
        <v>0.11393300000000001</v>
      </c>
      <c r="F8" s="1"/>
      <c r="G8" s="23" t="s">
        <v>15</v>
      </c>
      <c r="H8" s="24">
        <v>1</v>
      </c>
      <c r="I8" s="1"/>
      <c r="J8" s="23" t="s">
        <v>12</v>
      </c>
      <c r="K8" s="23" t="s">
        <v>3</v>
      </c>
      <c r="L8" s="1"/>
      <c r="M8" s="1"/>
      <c r="N8" s="17"/>
    </row>
    <row r="9" spans="2:14" ht="15" customHeight="1" x14ac:dyDescent="0.25">
      <c r="B9" s="19"/>
      <c r="C9" s="5" t="s">
        <v>24</v>
      </c>
      <c r="D9" s="6" t="s">
        <v>20</v>
      </c>
      <c r="E9" s="11">
        <v>6.3994999999999996E-2</v>
      </c>
      <c r="F9" s="1"/>
      <c r="G9" s="1"/>
      <c r="H9" s="1"/>
      <c r="I9" s="1"/>
      <c r="J9" s="23" t="s">
        <v>13</v>
      </c>
      <c r="K9" s="25">
        <v>0.12650600000000001</v>
      </c>
      <c r="L9" s="1"/>
      <c r="M9" s="1"/>
      <c r="N9" s="17"/>
    </row>
    <row r="10" spans="2:14" ht="15" customHeight="1" x14ac:dyDescent="0.25">
      <c r="B10" s="19"/>
      <c r="C10" s="5" t="s">
        <v>19</v>
      </c>
      <c r="D10" s="6" t="s">
        <v>20</v>
      </c>
      <c r="E10" s="11">
        <v>6.1282999999999997E-2</v>
      </c>
      <c r="F10" s="1"/>
      <c r="G10" s="1"/>
      <c r="H10" s="1"/>
      <c r="I10" s="1"/>
      <c r="J10" s="23" t="s">
        <v>61</v>
      </c>
      <c r="K10" s="25">
        <v>0.25690499999999999</v>
      </c>
      <c r="L10" s="1"/>
      <c r="M10" s="1"/>
      <c r="N10" s="17"/>
    </row>
    <row r="11" spans="2:14" ht="15" customHeight="1" x14ac:dyDescent="0.25">
      <c r="B11" s="19"/>
      <c r="C11" s="5" t="s">
        <v>22</v>
      </c>
      <c r="D11" s="6" t="s">
        <v>20</v>
      </c>
      <c r="E11" s="11">
        <v>1.7694000000000001E-2</v>
      </c>
      <c r="F11" s="1"/>
      <c r="G11" s="1"/>
      <c r="H11" s="1"/>
      <c r="I11" s="1"/>
      <c r="J11" s="23" t="s">
        <v>63</v>
      </c>
      <c r="K11" s="25">
        <v>0.47127200000000002</v>
      </c>
      <c r="L11" s="1"/>
      <c r="M11" s="1"/>
      <c r="N11" s="17"/>
    </row>
    <row r="12" spans="2:14" ht="15.75" customHeight="1" x14ac:dyDescent="0.25">
      <c r="B12" s="19"/>
      <c r="C12" s="7" t="s">
        <v>23</v>
      </c>
      <c r="D12" s="8"/>
      <c r="E12" s="12">
        <v>0.25690499999999999</v>
      </c>
      <c r="F12" s="1"/>
      <c r="G12" s="1"/>
      <c r="H12" s="1"/>
      <c r="I12" s="1"/>
      <c r="J12" s="23" t="s">
        <v>64</v>
      </c>
      <c r="K12" s="25">
        <v>7.3999999999999999E-4</v>
      </c>
      <c r="L12" s="1"/>
      <c r="M12" s="1"/>
      <c r="N12" s="17"/>
    </row>
    <row r="13" spans="2:14" ht="15" customHeight="1" x14ac:dyDescent="0.25">
      <c r="B13" s="19"/>
      <c r="C13" s="5" t="s">
        <v>31</v>
      </c>
      <c r="D13" s="6" t="s">
        <v>20</v>
      </c>
      <c r="E13" s="11">
        <v>0.11951000000000001</v>
      </c>
      <c r="F13" s="1"/>
      <c r="G13" s="1"/>
      <c r="H13" s="1"/>
      <c r="I13" s="1"/>
      <c r="J13" s="23" t="s">
        <v>65</v>
      </c>
      <c r="K13" s="25">
        <v>2.8077000000000001E-2</v>
      </c>
      <c r="L13" s="1"/>
      <c r="M13" s="1"/>
      <c r="N13" s="17"/>
    </row>
    <row r="14" spans="2:14" ht="15" customHeight="1" x14ac:dyDescent="0.25">
      <c r="B14" s="19"/>
      <c r="C14" s="5" t="s">
        <v>128</v>
      </c>
      <c r="D14" s="6" t="s">
        <v>20</v>
      </c>
      <c r="E14" s="11">
        <v>7.3135000000000006E-2</v>
      </c>
      <c r="F14" s="1"/>
      <c r="G14" s="1"/>
      <c r="H14" s="1"/>
      <c r="I14" s="1"/>
      <c r="J14" s="23" t="s">
        <v>66</v>
      </c>
      <c r="K14" s="25">
        <v>0.12066499999999999</v>
      </c>
      <c r="L14" s="1"/>
      <c r="M14" s="1"/>
      <c r="N14" s="17"/>
    </row>
    <row r="15" spans="2:14" ht="15" customHeight="1" x14ac:dyDescent="0.25">
      <c r="B15" s="19"/>
      <c r="C15" s="5" t="s">
        <v>100</v>
      </c>
      <c r="D15" s="6" t="s">
        <v>20</v>
      </c>
      <c r="E15" s="11">
        <v>7.2553000000000006E-2</v>
      </c>
      <c r="F15" s="1"/>
      <c r="G15" s="1"/>
      <c r="H15" s="1"/>
      <c r="I15" s="1"/>
      <c r="J15" s="23" t="s">
        <v>10</v>
      </c>
      <c r="K15" s="25">
        <v>-4.1650000000000003E-3</v>
      </c>
      <c r="L15" s="1"/>
      <c r="M15" s="1"/>
      <c r="N15" s="17"/>
    </row>
    <row r="16" spans="2:14" ht="15" customHeight="1" x14ac:dyDescent="0.25">
      <c r="B16" s="19"/>
      <c r="C16" s="5" t="s">
        <v>34</v>
      </c>
      <c r="D16" s="6" t="s">
        <v>20</v>
      </c>
      <c r="E16" s="11">
        <v>5.3685999999999998E-2</v>
      </c>
      <c r="F16" s="1"/>
      <c r="G16" s="1"/>
      <c r="H16" s="1"/>
      <c r="I16" s="1"/>
      <c r="J16" s="1"/>
      <c r="K16" s="1"/>
      <c r="L16" s="1"/>
      <c r="M16" s="1"/>
      <c r="N16" s="17"/>
    </row>
    <row r="17" spans="2:14" ht="15" customHeight="1" x14ac:dyDescent="0.25">
      <c r="B17" s="19"/>
      <c r="C17" s="5" t="s">
        <v>25</v>
      </c>
      <c r="D17" s="6" t="s">
        <v>20</v>
      </c>
      <c r="E17" s="11">
        <v>4.9189999999999998E-2</v>
      </c>
      <c r="F17" s="1"/>
      <c r="G17" s="1"/>
      <c r="H17" s="1"/>
      <c r="I17" s="1"/>
      <c r="J17" s="1"/>
      <c r="K17" s="1"/>
      <c r="L17" s="1"/>
      <c r="M17" s="1"/>
      <c r="N17" s="17"/>
    </row>
    <row r="18" spans="2:14" ht="15" customHeight="1" x14ac:dyDescent="0.25">
      <c r="B18" s="19"/>
      <c r="C18" s="5" t="s">
        <v>94</v>
      </c>
      <c r="D18" s="6" t="s">
        <v>20</v>
      </c>
      <c r="E18" s="11">
        <v>3.9505999999999999E-2</v>
      </c>
      <c r="F18" s="1"/>
      <c r="G18" s="1"/>
      <c r="H18" s="1"/>
      <c r="I18" s="1"/>
      <c r="J18" s="1"/>
      <c r="K18" s="1"/>
      <c r="L18" s="1"/>
      <c r="M18" s="1"/>
      <c r="N18" s="17"/>
    </row>
    <row r="19" spans="2:14" ht="15" customHeight="1" x14ac:dyDescent="0.25">
      <c r="B19" s="19"/>
      <c r="C19" s="5" t="s">
        <v>95</v>
      </c>
      <c r="D19" s="6" t="s">
        <v>20</v>
      </c>
      <c r="E19" s="11">
        <v>3.6547999999999997E-2</v>
      </c>
      <c r="F19" s="1"/>
      <c r="G19" s="1"/>
      <c r="H19" s="1"/>
      <c r="I19" s="1"/>
      <c r="J19" s="1"/>
      <c r="K19" s="1"/>
      <c r="L19" s="1"/>
      <c r="M19" s="1"/>
      <c r="N19" s="17"/>
    </row>
    <row r="20" spans="2:14" ht="15" customHeight="1" x14ac:dyDescent="0.25">
      <c r="B20" s="19"/>
      <c r="C20" s="5" t="s">
        <v>24</v>
      </c>
      <c r="D20" s="6" t="s">
        <v>20</v>
      </c>
      <c r="E20" s="11">
        <v>2.7144000000000001E-2</v>
      </c>
      <c r="F20" s="1"/>
      <c r="G20" s="1"/>
      <c r="H20" s="1"/>
      <c r="I20" s="1"/>
      <c r="J20" s="1"/>
      <c r="K20" s="1"/>
      <c r="L20" s="1"/>
      <c r="M20" s="1"/>
      <c r="N20" s="17"/>
    </row>
    <row r="21" spans="2:14" ht="15.75" customHeight="1" x14ac:dyDescent="0.25">
      <c r="B21" s="19"/>
      <c r="C21" s="7" t="s">
        <v>26</v>
      </c>
      <c r="D21" s="8"/>
      <c r="E21" s="12">
        <v>0.47127200000000002</v>
      </c>
      <c r="F21" s="1"/>
      <c r="G21" s="1"/>
      <c r="H21" s="1"/>
      <c r="I21" s="1"/>
      <c r="J21" s="1"/>
      <c r="K21" s="1"/>
      <c r="L21" s="1"/>
      <c r="M21" s="1"/>
      <c r="N21" s="17"/>
    </row>
    <row r="22" spans="2:14" ht="15" customHeight="1" x14ac:dyDescent="0.25">
      <c r="B22" s="19"/>
      <c r="C22" s="5" t="s">
        <v>55</v>
      </c>
      <c r="D22" s="6" t="s">
        <v>47</v>
      </c>
      <c r="E22" s="11">
        <v>7.3999999999999999E-4</v>
      </c>
      <c r="F22" s="1"/>
      <c r="G22" s="1"/>
      <c r="H22" s="1"/>
      <c r="I22" s="1"/>
      <c r="J22" s="1"/>
      <c r="K22" s="1"/>
      <c r="L22" s="1"/>
      <c r="M22" s="1"/>
      <c r="N22" s="17"/>
    </row>
    <row r="23" spans="2:14" ht="15.75" customHeight="1" x14ac:dyDescent="0.25">
      <c r="B23" s="19"/>
      <c r="C23" s="7" t="s">
        <v>56</v>
      </c>
      <c r="D23" s="8"/>
      <c r="E23" s="12">
        <v>7.3999999999999999E-4</v>
      </c>
      <c r="F23" s="1"/>
      <c r="G23" s="1"/>
      <c r="H23" s="1"/>
      <c r="I23" s="1"/>
      <c r="J23" s="1"/>
      <c r="K23" s="1"/>
      <c r="L23" s="1"/>
      <c r="M23" s="1"/>
      <c r="N23" s="17"/>
    </row>
    <row r="24" spans="2:14" ht="15" customHeight="1" x14ac:dyDescent="0.25">
      <c r="B24" s="19"/>
      <c r="C24" s="5" t="s">
        <v>142</v>
      </c>
      <c r="D24" s="6" t="s">
        <v>47</v>
      </c>
      <c r="E24" s="11">
        <v>1.8461999999999999E-2</v>
      </c>
      <c r="F24" s="1"/>
      <c r="G24" s="1"/>
      <c r="H24" s="1"/>
      <c r="I24" s="1"/>
      <c r="J24" s="1"/>
      <c r="K24" s="1"/>
      <c r="L24" s="1"/>
      <c r="M24" s="1"/>
      <c r="N24" s="17"/>
    </row>
    <row r="25" spans="2:14" ht="15.75" customHeight="1" x14ac:dyDescent="0.25">
      <c r="B25" s="19"/>
      <c r="C25" s="5" t="s">
        <v>143</v>
      </c>
      <c r="D25" s="6" t="s">
        <v>47</v>
      </c>
      <c r="E25" s="11">
        <v>5.5319999999999996E-3</v>
      </c>
      <c r="F25" s="1"/>
      <c r="G25" s="1"/>
      <c r="H25" s="1"/>
      <c r="I25" s="1"/>
      <c r="J25" s="1"/>
      <c r="K25" s="1"/>
      <c r="L25" s="1"/>
      <c r="M25" s="1"/>
      <c r="N25" s="17"/>
    </row>
    <row r="26" spans="2:14" ht="15" customHeight="1" x14ac:dyDescent="0.25">
      <c r="B26" s="19"/>
      <c r="C26" s="5" t="s">
        <v>144</v>
      </c>
      <c r="D26" s="6" t="s">
        <v>47</v>
      </c>
      <c r="E26" s="11">
        <v>1.8439999999999999E-3</v>
      </c>
      <c r="F26" s="1"/>
      <c r="G26" s="37" t="s">
        <v>17</v>
      </c>
      <c r="H26" s="38"/>
      <c r="I26" s="38"/>
      <c r="J26" s="38"/>
      <c r="K26" s="38"/>
      <c r="L26" s="38"/>
      <c r="M26" s="38"/>
      <c r="N26" s="39"/>
    </row>
    <row r="27" spans="2:14" ht="15" customHeight="1" x14ac:dyDescent="0.25">
      <c r="B27" s="19"/>
      <c r="C27" s="5" t="s">
        <v>145</v>
      </c>
      <c r="D27" s="6" t="s">
        <v>47</v>
      </c>
      <c r="E27" s="11">
        <v>1.8439999999999999E-3</v>
      </c>
      <c r="F27" s="1"/>
      <c r="G27" s="1"/>
      <c r="H27" s="1"/>
      <c r="I27" s="1"/>
      <c r="J27" s="1"/>
      <c r="K27" s="1"/>
      <c r="L27" s="1"/>
      <c r="M27" s="1"/>
      <c r="N27" s="17"/>
    </row>
    <row r="28" spans="2:14" ht="15" customHeight="1" x14ac:dyDescent="0.25">
      <c r="B28" s="19"/>
      <c r="C28" s="5" t="s">
        <v>146</v>
      </c>
      <c r="D28" s="6" t="s">
        <v>47</v>
      </c>
      <c r="E28" s="11">
        <v>3.9500000000000001E-4</v>
      </c>
      <c r="F28" s="1"/>
      <c r="G28" s="1"/>
      <c r="H28" s="1"/>
      <c r="I28" s="1"/>
      <c r="J28" s="1"/>
      <c r="K28" s="1"/>
      <c r="L28" s="1"/>
      <c r="M28" s="1"/>
      <c r="N28" s="17"/>
    </row>
    <row r="29" spans="2:14" ht="15" customHeight="1" x14ac:dyDescent="0.25">
      <c r="B29" s="19"/>
      <c r="C29" s="7" t="s">
        <v>57</v>
      </c>
      <c r="D29" s="8"/>
      <c r="E29" s="12">
        <v>2.8077000000000001E-2</v>
      </c>
      <c r="F29" s="1"/>
      <c r="G29" s="1"/>
      <c r="H29" s="1"/>
      <c r="I29" s="1"/>
      <c r="J29" s="1"/>
      <c r="K29" s="1"/>
      <c r="L29" s="1"/>
      <c r="M29" s="1"/>
      <c r="N29" s="17"/>
    </row>
    <row r="30" spans="2:14" ht="15" customHeight="1" x14ac:dyDescent="0.25">
      <c r="B30" s="19"/>
      <c r="C30" s="5" t="s">
        <v>84</v>
      </c>
      <c r="D30" s="6" t="s">
        <v>47</v>
      </c>
      <c r="E30" s="11">
        <v>3.1104E-2</v>
      </c>
      <c r="F30" s="1"/>
      <c r="G30" s="1"/>
      <c r="H30" s="1"/>
      <c r="I30" s="1"/>
      <c r="J30" s="1"/>
      <c r="K30" s="1"/>
      <c r="L30" s="1"/>
      <c r="M30" s="1"/>
      <c r="N30" s="17"/>
    </row>
    <row r="31" spans="2:14" ht="15.75" customHeight="1" x14ac:dyDescent="0.25">
      <c r="B31" s="19"/>
      <c r="C31" s="5" t="s">
        <v>80</v>
      </c>
      <c r="D31" s="6" t="s">
        <v>47</v>
      </c>
      <c r="E31" s="11">
        <v>2.7427E-2</v>
      </c>
      <c r="F31" s="1"/>
      <c r="G31" s="1"/>
      <c r="H31" s="1"/>
      <c r="I31" s="1"/>
      <c r="J31" s="1"/>
      <c r="K31" s="1"/>
      <c r="L31" s="1"/>
      <c r="M31" s="1"/>
      <c r="N31" s="17"/>
    </row>
    <row r="32" spans="2:14" ht="15" customHeight="1" x14ac:dyDescent="0.25">
      <c r="B32" s="19"/>
      <c r="C32" s="5" t="s">
        <v>86</v>
      </c>
      <c r="D32" s="6" t="s">
        <v>47</v>
      </c>
      <c r="E32" s="11">
        <v>2.741E-2</v>
      </c>
      <c r="F32" s="1"/>
      <c r="G32" s="1"/>
      <c r="H32" s="1"/>
      <c r="I32" s="1"/>
      <c r="J32" s="1"/>
      <c r="K32" s="1"/>
      <c r="L32" s="1"/>
      <c r="M32" s="1"/>
      <c r="N32" s="17"/>
    </row>
    <row r="33" spans="2:14" ht="15.75" customHeight="1" x14ac:dyDescent="0.25">
      <c r="B33" s="19"/>
      <c r="C33" s="5" t="s">
        <v>81</v>
      </c>
      <c r="D33" s="6" t="s">
        <v>47</v>
      </c>
      <c r="E33" s="11">
        <v>2.741E-2</v>
      </c>
      <c r="F33" s="1"/>
      <c r="G33" s="1"/>
      <c r="H33" s="1"/>
      <c r="I33" s="1"/>
      <c r="J33" s="1"/>
      <c r="K33" s="1"/>
      <c r="L33" s="1"/>
      <c r="M33" s="1"/>
      <c r="N33" s="17"/>
    </row>
    <row r="34" spans="2:14" ht="15" customHeight="1" x14ac:dyDescent="0.25">
      <c r="B34" s="19"/>
      <c r="C34" s="5" t="s">
        <v>132</v>
      </c>
      <c r="D34" s="6" t="s">
        <v>47</v>
      </c>
      <c r="E34" s="11">
        <v>7.3140000000000002E-3</v>
      </c>
      <c r="F34" s="1"/>
      <c r="G34" s="1"/>
      <c r="H34" s="1"/>
      <c r="I34" s="1"/>
      <c r="J34" s="1"/>
      <c r="K34" s="1"/>
      <c r="L34" s="1"/>
      <c r="M34" s="1"/>
      <c r="N34" s="17"/>
    </row>
    <row r="35" spans="2:14" ht="15.75" customHeight="1" x14ac:dyDescent="0.25">
      <c r="B35" s="19"/>
      <c r="C35" s="7" t="s">
        <v>59</v>
      </c>
      <c r="D35" s="8"/>
      <c r="E35" s="12">
        <v>0.12066499999999999</v>
      </c>
      <c r="F35" s="1"/>
      <c r="G35" s="1"/>
      <c r="H35" s="1"/>
      <c r="I35" s="1"/>
      <c r="J35" s="1"/>
      <c r="K35" s="1"/>
      <c r="L35" s="1"/>
      <c r="M35" s="1"/>
      <c r="N35" s="17"/>
    </row>
    <row r="36" spans="2:14" ht="15" customHeight="1" x14ac:dyDescent="0.25">
      <c r="B36" s="19"/>
      <c r="C36" s="5" t="s">
        <v>8</v>
      </c>
      <c r="D36" s="6"/>
      <c r="E36" s="11">
        <v>0.12650600000000001</v>
      </c>
      <c r="F36" s="1"/>
      <c r="G36" s="1"/>
      <c r="H36" s="1"/>
      <c r="I36" s="1"/>
      <c r="J36" s="1"/>
      <c r="K36" s="1"/>
      <c r="L36" s="1"/>
      <c r="M36" s="1"/>
      <c r="N36" s="17"/>
    </row>
    <row r="37" spans="2:14" ht="15" customHeight="1" x14ac:dyDescent="0.25">
      <c r="B37" s="19"/>
      <c r="C37" s="7" t="s">
        <v>9</v>
      </c>
      <c r="D37" s="8"/>
      <c r="E37" s="12">
        <v>0.12650600000000001</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7" t="s">
        <v>10</v>
      </c>
      <c r="D39" s="8"/>
      <c r="E39" s="12">
        <v>-4.1650000000000003E-3</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9" t="s">
        <v>11</v>
      </c>
      <c r="D41" s="10"/>
      <c r="E41" s="13">
        <v>1</v>
      </c>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thickBot="1" x14ac:dyDescent="0.3">
      <c r="B46" s="20"/>
      <c r="C46" s="21"/>
      <c r="D46" s="21"/>
      <c r="E46" s="21"/>
      <c r="F46" s="21"/>
      <c r="G46" s="21"/>
      <c r="H46" s="21"/>
      <c r="I46" s="21"/>
      <c r="J46" s="21"/>
      <c r="K46" s="21"/>
      <c r="L46" s="21"/>
      <c r="M46" s="21"/>
      <c r="N46" s="22"/>
    </row>
    <row r="47" spans="2:14" ht="15" customHeight="1" thickBot="1" x14ac:dyDescent="0.3"/>
    <row r="48" spans="2:14" ht="139.5" customHeight="1" thickBot="1" x14ac:dyDescent="0.3">
      <c r="B48" s="31" t="s">
        <v>198</v>
      </c>
      <c r="C48" s="32"/>
      <c r="D48" s="32"/>
      <c r="E48" s="32"/>
      <c r="F48" s="32"/>
      <c r="G48" s="32"/>
      <c r="H48" s="32"/>
      <c r="I48" s="32"/>
      <c r="J48" s="32"/>
      <c r="K48" s="32"/>
      <c r="L48" s="32"/>
      <c r="M48" s="32"/>
      <c r="N48" s="3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4">
    <mergeCell ref="B48:N48"/>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134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21</v>
      </c>
      <c r="D8" s="6" t="s">
        <v>20</v>
      </c>
      <c r="E8" s="11">
        <v>4.2777999999999997E-2</v>
      </c>
      <c r="F8" s="1"/>
      <c r="G8" s="23" t="s">
        <v>15</v>
      </c>
      <c r="H8" s="24">
        <v>1</v>
      </c>
      <c r="I8" s="1"/>
      <c r="J8" s="23" t="s">
        <v>12</v>
      </c>
      <c r="K8" s="23" t="s">
        <v>3</v>
      </c>
      <c r="L8" s="1"/>
      <c r="M8" s="1"/>
      <c r="N8" s="17"/>
    </row>
    <row r="9" spans="2:14" ht="15" customHeight="1" x14ac:dyDescent="0.25">
      <c r="B9" s="19"/>
      <c r="C9" s="5" t="s">
        <v>24</v>
      </c>
      <c r="D9" s="6" t="s">
        <v>20</v>
      </c>
      <c r="E9" s="11">
        <v>1.0756999999999999E-2</v>
      </c>
      <c r="F9" s="1"/>
      <c r="G9" s="1"/>
      <c r="H9" s="1"/>
      <c r="I9" s="1"/>
      <c r="J9" s="23" t="s">
        <v>13</v>
      </c>
      <c r="K9" s="25">
        <v>5.0518E-2</v>
      </c>
      <c r="L9" s="1"/>
      <c r="M9" s="1"/>
      <c r="N9" s="17"/>
    </row>
    <row r="10" spans="2:14" ht="15.75" customHeight="1" x14ac:dyDescent="0.25">
      <c r="B10" s="19"/>
      <c r="C10" s="7" t="s">
        <v>23</v>
      </c>
      <c r="D10" s="8"/>
      <c r="E10" s="12">
        <v>5.3534999999999999E-2</v>
      </c>
      <c r="F10" s="1"/>
      <c r="G10" s="1"/>
      <c r="H10" s="1"/>
      <c r="I10" s="1"/>
      <c r="J10" s="23" t="s">
        <v>61</v>
      </c>
      <c r="K10" s="25">
        <v>5.3534999999999999E-2</v>
      </c>
      <c r="L10" s="1"/>
      <c r="M10" s="1"/>
      <c r="N10" s="17"/>
    </row>
    <row r="11" spans="2:14" ht="15" customHeight="1" x14ac:dyDescent="0.25">
      <c r="B11" s="19"/>
      <c r="C11" s="5" t="s">
        <v>31</v>
      </c>
      <c r="D11" s="6" t="s">
        <v>20</v>
      </c>
      <c r="E11" s="11">
        <v>6.9027000000000005E-2</v>
      </c>
      <c r="F11" s="1"/>
      <c r="G11" s="1"/>
      <c r="H11" s="1"/>
      <c r="I11" s="1"/>
      <c r="J11" s="23" t="s">
        <v>62</v>
      </c>
      <c r="K11" s="25">
        <v>0.17438100000000001</v>
      </c>
      <c r="L11" s="1"/>
      <c r="M11" s="1"/>
      <c r="N11" s="17"/>
    </row>
    <row r="12" spans="2:14" ht="15" customHeight="1" x14ac:dyDescent="0.25">
      <c r="B12" s="19"/>
      <c r="C12" s="5" t="s">
        <v>24</v>
      </c>
      <c r="D12" s="6" t="s">
        <v>20</v>
      </c>
      <c r="E12" s="11">
        <v>6.4279000000000003E-2</v>
      </c>
      <c r="F12" s="1"/>
      <c r="G12" s="1"/>
      <c r="H12" s="1"/>
      <c r="I12" s="1"/>
      <c r="J12" s="23" t="s">
        <v>63</v>
      </c>
      <c r="K12" s="25">
        <v>0.30954700000000002</v>
      </c>
      <c r="L12" s="1"/>
      <c r="M12" s="1"/>
      <c r="N12" s="17"/>
    </row>
    <row r="13" spans="2:14" ht="15" customHeight="1" x14ac:dyDescent="0.25">
      <c r="B13" s="19"/>
      <c r="C13" s="5" t="s">
        <v>89</v>
      </c>
      <c r="D13" s="6" t="s">
        <v>20</v>
      </c>
      <c r="E13" s="11">
        <v>5.3827E-2</v>
      </c>
      <c r="F13" s="1"/>
      <c r="G13" s="1"/>
      <c r="H13" s="1"/>
      <c r="I13" s="1"/>
      <c r="J13" s="23" t="s">
        <v>65</v>
      </c>
      <c r="K13" s="25">
        <v>6.5335000000000004E-2</v>
      </c>
      <c r="L13" s="1"/>
      <c r="M13" s="1"/>
      <c r="N13" s="17"/>
    </row>
    <row r="14" spans="2:14" ht="15" customHeight="1" x14ac:dyDescent="0.25">
      <c r="B14" s="19"/>
      <c r="C14" s="5" t="s">
        <v>100</v>
      </c>
      <c r="D14" s="6" t="s">
        <v>20</v>
      </c>
      <c r="E14" s="11">
        <v>5.2818999999999998E-2</v>
      </c>
      <c r="F14" s="1"/>
      <c r="G14" s="1"/>
      <c r="H14" s="1"/>
      <c r="I14" s="1"/>
      <c r="J14" s="23" t="s">
        <v>66</v>
      </c>
      <c r="K14" s="25">
        <v>0.34105000000000002</v>
      </c>
      <c r="L14" s="1"/>
      <c r="M14" s="1"/>
      <c r="N14" s="17"/>
    </row>
    <row r="15" spans="2:14" ht="15" customHeight="1" x14ac:dyDescent="0.25">
      <c r="B15" s="19"/>
      <c r="C15" s="5" t="s">
        <v>25</v>
      </c>
      <c r="D15" s="6" t="s">
        <v>20</v>
      </c>
      <c r="E15" s="11">
        <v>4.8319000000000001E-2</v>
      </c>
      <c r="F15" s="1"/>
      <c r="G15" s="1"/>
      <c r="H15" s="1"/>
      <c r="I15" s="1"/>
      <c r="J15" s="23" t="s">
        <v>10</v>
      </c>
      <c r="K15" s="25">
        <v>5.6340000000000001E-3</v>
      </c>
      <c r="L15" s="1"/>
      <c r="M15" s="1"/>
      <c r="N15" s="17"/>
    </row>
    <row r="16" spans="2:14" ht="15" customHeight="1" x14ac:dyDescent="0.25">
      <c r="B16" s="19"/>
      <c r="C16" s="5" t="s">
        <v>34</v>
      </c>
      <c r="D16" s="6" t="s">
        <v>20</v>
      </c>
      <c r="E16" s="11">
        <v>2.1276E-2</v>
      </c>
      <c r="F16" s="1"/>
      <c r="G16" s="1"/>
      <c r="H16" s="1"/>
      <c r="I16" s="1"/>
      <c r="J16" s="1"/>
      <c r="K16" s="1"/>
      <c r="L16" s="1"/>
      <c r="M16" s="1"/>
      <c r="N16" s="17"/>
    </row>
    <row r="17" spans="2:14" ht="15.75" customHeight="1" x14ac:dyDescent="0.25">
      <c r="B17" s="19"/>
      <c r="C17" s="7" t="s">
        <v>26</v>
      </c>
      <c r="D17" s="8"/>
      <c r="E17" s="12">
        <v>0.30954700000000002</v>
      </c>
      <c r="F17" s="1"/>
      <c r="G17" s="1"/>
      <c r="H17" s="1"/>
      <c r="I17" s="1"/>
      <c r="J17" s="1"/>
      <c r="K17" s="1"/>
      <c r="L17" s="1"/>
      <c r="M17" s="1"/>
      <c r="N17" s="17"/>
    </row>
    <row r="18" spans="2:14" ht="15" customHeight="1" x14ac:dyDescent="0.25">
      <c r="B18" s="19"/>
      <c r="C18" s="5" t="s">
        <v>35</v>
      </c>
      <c r="D18" s="6" t="s">
        <v>27</v>
      </c>
      <c r="E18" s="11">
        <v>5.2725000000000001E-2</v>
      </c>
      <c r="F18" s="1"/>
      <c r="G18" s="1"/>
      <c r="H18" s="1"/>
      <c r="I18" s="1"/>
      <c r="J18" s="1"/>
      <c r="K18" s="1"/>
      <c r="L18" s="1"/>
      <c r="M18" s="1"/>
      <c r="N18" s="17"/>
    </row>
    <row r="19" spans="2:14" ht="15" customHeight="1" x14ac:dyDescent="0.25">
      <c r="B19" s="19"/>
      <c r="C19" s="5" t="s">
        <v>34</v>
      </c>
      <c r="D19" s="6" t="s">
        <v>27</v>
      </c>
      <c r="E19" s="11">
        <v>3.5081000000000001E-2</v>
      </c>
      <c r="F19" s="1"/>
      <c r="G19" s="1"/>
      <c r="H19" s="1"/>
      <c r="I19" s="1"/>
      <c r="J19" s="1"/>
      <c r="K19" s="1"/>
      <c r="L19" s="1"/>
      <c r="M19" s="1"/>
      <c r="N19" s="17"/>
    </row>
    <row r="20" spans="2:14" ht="15" customHeight="1" x14ac:dyDescent="0.25">
      <c r="B20" s="19"/>
      <c r="C20" s="5" t="s">
        <v>29</v>
      </c>
      <c r="D20" s="6" t="s">
        <v>27</v>
      </c>
      <c r="E20" s="11">
        <v>3.1905999999999997E-2</v>
      </c>
      <c r="F20" s="1"/>
      <c r="G20" s="1"/>
      <c r="H20" s="1"/>
      <c r="I20" s="1"/>
      <c r="J20" s="1"/>
      <c r="K20" s="1"/>
      <c r="L20" s="1"/>
      <c r="M20" s="1"/>
      <c r="N20" s="17"/>
    </row>
    <row r="21" spans="2:14" ht="15" customHeight="1" x14ac:dyDescent="0.25">
      <c r="B21" s="19"/>
      <c r="C21" s="5" t="s">
        <v>24</v>
      </c>
      <c r="D21" s="6" t="s">
        <v>27</v>
      </c>
      <c r="E21" s="11">
        <v>2.6072000000000001E-2</v>
      </c>
      <c r="F21" s="1"/>
      <c r="G21" s="1"/>
      <c r="H21" s="1"/>
      <c r="I21" s="1"/>
      <c r="J21" s="1"/>
      <c r="K21" s="1"/>
      <c r="L21" s="1"/>
      <c r="M21" s="1"/>
      <c r="N21" s="17"/>
    </row>
    <row r="22" spans="2:14" ht="15" customHeight="1" x14ac:dyDescent="0.25">
      <c r="B22" s="19"/>
      <c r="C22" s="5" t="s">
        <v>28</v>
      </c>
      <c r="D22" s="6" t="s">
        <v>27</v>
      </c>
      <c r="E22" s="11">
        <v>1.4352999999999999E-2</v>
      </c>
      <c r="F22" s="1"/>
      <c r="G22" s="1"/>
      <c r="H22" s="1"/>
      <c r="I22" s="1"/>
      <c r="J22" s="1"/>
      <c r="K22" s="1"/>
      <c r="L22" s="1"/>
      <c r="M22" s="1"/>
      <c r="N22" s="17"/>
    </row>
    <row r="23" spans="2:14" ht="15" customHeight="1" x14ac:dyDescent="0.25">
      <c r="B23" s="19"/>
      <c r="C23" s="5" t="s">
        <v>31</v>
      </c>
      <c r="D23" s="6" t="s">
        <v>27</v>
      </c>
      <c r="E23" s="11">
        <v>1.0867999999999999E-2</v>
      </c>
      <c r="F23" s="1"/>
      <c r="G23" s="1"/>
      <c r="H23" s="1"/>
      <c r="I23" s="1"/>
      <c r="J23" s="1"/>
      <c r="K23" s="1"/>
      <c r="L23" s="1"/>
      <c r="M23" s="1"/>
      <c r="N23" s="17"/>
    </row>
    <row r="24" spans="2:14" ht="15" customHeight="1" x14ac:dyDescent="0.25">
      <c r="B24" s="19"/>
      <c r="C24" s="5" t="s">
        <v>32</v>
      </c>
      <c r="D24" s="6" t="s">
        <v>27</v>
      </c>
      <c r="E24" s="11">
        <v>1.175E-3</v>
      </c>
      <c r="F24" s="1"/>
      <c r="G24" s="1"/>
      <c r="H24" s="1"/>
      <c r="I24" s="1"/>
      <c r="J24" s="1"/>
      <c r="K24" s="1"/>
      <c r="L24" s="1"/>
      <c r="M24" s="1"/>
      <c r="N24" s="17"/>
    </row>
    <row r="25" spans="2:14" ht="15" customHeight="1" x14ac:dyDescent="0.25">
      <c r="B25" s="19"/>
      <c r="C25" s="5" t="s">
        <v>90</v>
      </c>
      <c r="D25" s="6" t="s">
        <v>27</v>
      </c>
      <c r="E25" s="11">
        <v>1.1019999999999999E-3</v>
      </c>
      <c r="F25" s="1"/>
      <c r="G25" s="1"/>
      <c r="H25" s="1"/>
      <c r="I25" s="1"/>
      <c r="J25" s="1"/>
      <c r="K25" s="1"/>
      <c r="L25" s="1"/>
      <c r="M25" s="1"/>
      <c r="N25" s="17"/>
    </row>
    <row r="26" spans="2:14" ht="15" customHeight="1" x14ac:dyDescent="0.25">
      <c r="B26" s="19"/>
      <c r="C26" s="5" t="s">
        <v>25</v>
      </c>
      <c r="D26" s="6" t="s">
        <v>27</v>
      </c>
      <c r="E26" s="11">
        <v>1.0989999999999999E-3</v>
      </c>
      <c r="F26" s="1"/>
      <c r="G26" s="37" t="s">
        <v>17</v>
      </c>
      <c r="H26" s="38"/>
      <c r="I26" s="38"/>
      <c r="J26" s="38"/>
      <c r="K26" s="38"/>
      <c r="L26" s="38"/>
      <c r="M26" s="38"/>
      <c r="N26" s="39"/>
    </row>
    <row r="27" spans="2:14" ht="15.75" customHeight="1" x14ac:dyDescent="0.25">
      <c r="B27" s="19"/>
      <c r="C27" s="7" t="s">
        <v>45</v>
      </c>
      <c r="D27" s="8"/>
      <c r="E27" s="12">
        <v>0.17438100000000001</v>
      </c>
      <c r="F27" s="1"/>
      <c r="G27" s="1"/>
      <c r="H27" s="1"/>
      <c r="I27" s="1"/>
      <c r="J27" s="1"/>
      <c r="K27" s="1"/>
      <c r="L27" s="1"/>
      <c r="M27" s="1"/>
      <c r="N27" s="17"/>
    </row>
    <row r="28" spans="2:14" ht="15" customHeight="1" x14ac:dyDescent="0.25">
      <c r="B28" s="19"/>
      <c r="C28" s="5" t="s">
        <v>147</v>
      </c>
      <c r="D28" s="6" t="s">
        <v>47</v>
      </c>
      <c r="E28" s="11">
        <v>2.4317999999999999E-2</v>
      </c>
      <c r="F28" s="1"/>
      <c r="G28" s="1"/>
      <c r="H28" s="1"/>
      <c r="I28" s="1"/>
      <c r="J28" s="1"/>
      <c r="K28" s="1"/>
      <c r="L28" s="1"/>
      <c r="M28" s="1"/>
      <c r="N28" s="17"/>
    </row>
    <row r="29" spans="2:14" ht="15.75" customHeight="1" x14ac:dyDescent="0.25">
      <c r="B29" s="19"/>
      <c r="C29" s="5" t="s">
        <v>148</v>
      </c>
      <c r="D29" s="6" t="s">
        <v>47</v>
      </c>
      <c r="E29" s="11">
        <v>1.9476E-2</v>
      </c>
      <c r="F29" s="1"/>
      <c r="G29" s="1"/>
      <c r="H29" s="1"/>
      <c r="I29" s="1"/>
      <c r="J29" s="1"/>
      <c r="K29" s="1"/>
      <c r="L29" s="1"/>
      <c r="M29" s="1"/>
      <c r="N29" s="17"/>
    </row>
    <row r="30" spans="2:14" ht="15" customHeight="1" x14ac:dyDescent="0.25">
      <c r="B30" s="19"/>
      <c r="C30" s="5" t="s">
        <v>149</v>
      </c>
      <c r="D30" s="6" t="s">
        <v>47</v>
      </c>
      <c r="E30" s="11">
        <v>1.2604000000000001E-2</v>
      </c>
      <c r="F30" s="1"/>
      <c r="G30" s="1"/>
      <c r="H30" s="1"/>
      <c r="I30" s="1"/>
      <c r="J30" s="1"/>
      <c r="K30" s="1"/>
      <c r="L30" s="1"/>
      <c r="M30" s="1"/>
      <c r="N30" s="17"/>
    </row>
    <row r="31" spans="2:14" ht="15" customHeight="1" x14ac:dyDescent="0.25">
      <c r="B31" s="19"/>
      <c r="C31" s="5" t="s">
        <v>150</v>
      </c>
      <c r="D31" s="6" t="s">
        <v>47</v>
      </c>
      <c r="E31" s="11">
        <v>3.3340000000000002E-3</v>
      </c>
      <c r="F31" s="1"/>
      <c r="G31" s="1"/>
      <c r="H31" s="1"/>
      <c r="I31" s="1"/>
      <c r="J31" s="1"/>
      <c r="K31" s="1"/>
      <c r="L31" s="1"/>
      <c r="M31" s="1"/>
      <c r="N31" s="17"/>
    </row>
    <row r="32" spans="2:14" ht="15" customHeight="1" x14ac:dyDescent="0.25">
      <c r="B32" s="19"/>
      <c r="C32" s="5" t="s">
        <v>151</v>
      </c>
      <c r="D32" s="6" t="s">
        <v>47</v>
      </c>
      <c r="E32" s="11">
        <v>1.1529999999999999E-3</v>
      </c>
      <c r="F32" s="1"/>
      <c r="G32" s="1"/>
      <c r="H32" s="1"/>
      <c r="I32" s="1"/>
      <c r="J32" s="1"/>
      <c r="K32" s="1"/>
      <c r="L32" s="1"/>
      <c r="M32" s="1"/>
      <c r="N32" s="17"/>
    </row>
    <row r="33" spans="2:14" ht="15" customHeight="1" x14ac:dyDescent="0.25">
      <c r="B33" s="19"/>
      <c r="C33" s="5" t="s">
        <v>152</v>
      </c>
      <c r="D33" s="6" t="s">
        <v>47</v>
      </c>
      <c r="E33" s="11">
        <v>1.142E-3</v>
      </c>
      <c r="F33" s="1"/>
      <c r="G33" s="1"/>
      <c r="H33" s="1"/>
      <c r="I33" s="1"/>
      <c r="J33" s="1"/>
      <c r="K33" s="1"/>
      <c r="L33" s="1"/>
      <c r="M33" s="1"/>
      <c r="N33" s="17"/>
    </row>
    <row r="34" spans="2:14" ht="15" customHeight="1" x14ac:dyDescent="0.25">
      <c r="B34" s="19"/>
      <c r="C34" s="5" t="s">
        <v>153</v>
      </c>
      <c r="D34" s="6" t="s">
        <v>47</v>
      </c>
      <c r="E34" s="11">
        <v>1.122E-3</v>
      </c>
      <c r="F34" s="1"/>
      <c r="G34" s="1"/>
      <c r="H34" s="1"/>
      <c r="I34" s="1"/>
      <c r="J34" s="1"/>
      <c r="K34" s="1"/>
      <c r="L34" s="1"/>
      <c r="M34" s="1"/>
      <c r="N34" s="17"/>
    </row>
    <row r="35" spans="2:14" ht="15" customHeight="1" x14ac:dyDescent="0.25">
      <c r="B35" s="19"/>
      <c r="C35" s="5" t="s">
        <v>154</v>
      </c>
      <c r="D35" s="6" t="s">
        <v>47</v>
      </c>
      <c r="E35" s="11">
        <v>1.101E-3</v>
      </c>
      <c r="F35" s="1"/>
      <c r="G35" s="1"/>
      <c r="H35" s="1"/>
      <c r="I35" s="1"/>
      <c r="J35" s="1"/>
      <c r="K35" s="1"/>
      <c r="L35" s="1"/>
      <c r="M35" s="1"/>
      <c r="N35" s="17"/>
    </row>
    <row r="36" spans="2:14" ht="15" customHeight="1" x14ac:dyDescent="0.25">
      <c r="B36" s="19"/>
      <c r="C36" s="5" t="s">
        <v>155</v>
      </c>
      <c r="D36" s="6" t="s">
        <v>47</v>
      </c>
      <c r="E36" s="11">
        <v>1.085E-3</v>
      </c>
      <c r="F36" s="1"/>
      <c r="G36" s="1"/>
      <c r="H36" s="1"/>
      <c r="I36" s="1"/>
      <c r="J36" s="1"/>
      <c r="K36" s="1"/>
      <c r="L36" s="1"/>
      <c r="M36" s="1"/>
      <c r="N36" s="17"/>
    </row>
    <row r="37" spans="2:14" ht="15.75" customHeight="1" x14ac:dyDescent="0.25">
      <c r="B37" s="19"/>
      <c r="C37" s="7" t="s">
        <v>57</v>
      </c>
      <c r="D37" s="8"/>
      <c r="E37" s="12">
        <v>6.5335000000000004E-2</v>
      </c>
      <c r="F37" s="1"/>
      <c r="G37" s="1"/>
      <c r="H37" s="1"/>
      <c r="I37" s="1"/>
      <c r="J37" s="1"/>
      <c r="K37" s="1"/>
      <c r="L37" s="1"/>
      <c r="M37" s="1"/>
      <c r="N37" s="17"/>
    </row>
    <row r="38" spans="2:14" ht="15" customHeight="1" x14ac:dyDescent="0.25">
      <c r="B38" s="19"/>
      <c r="C38" s="5" t="s">
        <v>58</v>
      </c>
      <c r="D38" s="6" t="s">
        <v>47</v>
      </c>
      <c r="E38" s="11">
        <v>0.21504100000000001</v>
      </c>
      <c r="F38" s="1"/>
      <c r="G38" s="1"/>
      <c r="H38" s="1"/>
      <c r="I38" s="1"/>
      <c r="J38" s="1"/>
      <c r="K38" s="1"/>
      <c r="L38" s="1"/>
      <c r="M38" s="1"/>
      <c r="N38" s="17"/>
    </row>
    <row r="39" spans="2:14" ht="15.75" customHeight="1" x14ac:dyDescent="0.25">
      <c r="B39" s="19"/>
      <c r="C39" s="5" t="s">
        <v>135</v>
      </c>
      <c r="D39" s="6" t="s">
        <v>47</v>
      </c>
      <c r="E39" s="11">
        <v>5.3745000000000001E-2</v>
      </c>
      <c r="F39" s="1"/>
      <c r="G39" s="1"/>
      <c r="H39" s="1"/>
      <c r="I39" s="1"/>
      <c r="J39" s="1"/>
      <c r="K39" s="1"/>
      <c r="L39" s="1"/>
      <c r="M39" s="1"/>
      <c r="N39" s="17"/>
    </row>
    <row r="40" spans="2:14" ht="15" customHeight="1" x14ac:dyDescent="0.25">
      <c r="B40" s="19"/>
      <c r="C40" s="5" t="s">
        <v>81</v>
      </c>
      <c r="D40" s="6" t="s">
        <v>47</v>
      </c>
      <c r="E40" s="11">
        <v>2.6804999999999999E-2</v>
      </c>
      <c r="F40" s="1"/>
      <c r="G40" s="1"/>
      <c r="H40" s="1"/>
      <c r="I40" s="1"/>
      <c r="J40" s="1"/>
      <c r="K40" s="1"/>
      <c r="L40" s="1"/>
      <c r="M40" s="1"/>
      <c r="N40" s="17"/>
    </row>
    <row r="41" spans="2:14" ht="15.75" customHeight="1" x14ac:dyDescent="0.25">
      <c r="B41" s="19"/>
      <c r="C41" s="5" t="s">
        <v>85</v>
      </c>
      <c r="D41" s="6" t="s">
        <v>47</v>
      </c>
      <c r="E41" s="11">
        <v>1.6501999999999999E-2</v>
      </c>
      <c r="F41" s="1"/>
      <c r="G41" s="1"/>
      <c r="H41" s="1"/>
      <c r="I41" s="1"/>
      <c r="J41" s="1"/>
      <c r="K41" s="1"/>
      <c r="L41" s="1"/>
      <c r="M41" s="1"/>
      <c r="N41" s="17"/>
    </row>
    <row r="42" spans="2:14" ht="15" customHeight="1" x14ac:dyDescent="0.25">
      <c r="B42" s="19"/>
      <c r="C42" s="5" t="s">
        <v>136</v>
      </c>
      <c r="D42" s="6" t="s">
        <v>47</v>
      </c>
      <c r="E42" s="11">
        <v>1.2858E-2</v>
      </c>
      <c r="F42" s="1"/>
      <c r="G42" s="1"/>
      <c r="H42" s="1"/>
      <c r="I42" s="1"/>
      <c r="J42" s="1"/>
      <c r="K42" s="1"/>
      <c r="L42" s="1"/>
      <c r="M42" s="1"/>
      <c r="N42" s="17"/>
    </row>
    <row r="43" spans="2:14" ht="15" customHeight="1" x14ac:dyDescent="0.25">
      <c r="B43" s="19"/>
      <c r="C43" s="5" t="s">
        <v>82</v>
      </c>
      <c r="D43" s="6" t="s">
        <v>47</v>
      </c>
      <c r="E43" s="11">
        <v>9.6620000000000004E-3</v>
      </c>
      <c r="F43" s="1"/>
      <c r="G43" s="1"/>
      <c r="H43" s="1"/>
      <c r="I43" s="1"/>
      <c r="J43" s="1"/>
      <c r="K43" s="1"/>
      <c r="L43" s="1"/>
      <c r="M43" s="1"/>
      <c r="N43" s="17"/>
    </row>
    <row r="44" spans="2:14" ht="15" customHeight="1" x14ac:dyDescent="0.25">
      <c r="B44" s="19"/>
      <c r="C44" s="5" t="s">
        <v>132</v>
      </c>
      <c r="D44" s="6" t="s">
        <v>47</v>
      </c>
      <c r="E44" s="11">
        <v>6.437E-3</v>
      </c>
      <c r="F44" s="1"/>
      <c r="G44" s="1"/>
      <c r="H44" s="1"/>
      <c r="I44" s="1"/>
      <c r="J44" s="1"/>
      <c r="K44" s="1"/>
      <c r="L44" s="1"/>
      <c r="M44" s="1"/>
      <c r="N44" s="17"/>
    </row>
    <row r="45" spans="2:14" ht="15" customHeight="1" x14ac:dyDescent="0.25">
      <c r="B45" s="19"/>
      <c r="C45" s="7" t="s">
        <v>59</v>
      </c>
      <c r="D45" s="8"/>
      <c r="E45" s="12">
        <v>0.34105000000000002</v>
      </c>
      <c r="F45" s="1"/>
      <c r="G45" s="1"/>
      <c r="H45" s="1"/>
      <c r="I45" s="1"/>
      <c r="J45" s="1"/>
      <c r="K45" s="1"/>
      <c r="L45" s="1"/>
      <c r="M45" s="1"/>
      <c r="N45" s="17"/>
    </row>
    <row r="46" spans="2:14" ht="15" customHeight="1" x14ac:dyDescent="0.25">
      <c r="B46" s="19"/>
      <c r="C46" s="5" t="s">
        <v>8</v>
      </c>
      <c r="D46" s="6"/>
      <c r="E46" s="11">
        <v>5.0518E-2</v>
      </c>
      <c r="F46" s="1"/>
      <c r="G46" s="1"/>
      <c r="H46" s="1"/>
      <c r="I46" s="1"/>
      <c r="J46" s="1"/>
      <c r="K46" s="1"/>
      <c r="L46" s="1"/>
      <c r="M46" s="1"/>
      <c r="N46" s="17"/>
    </row>
    <row r="47" spans="2:14" ht="15" customHeight="1" x14ac:dyDescent="0.25">
      <c r="B47" s="19"/>
      <c r="C47" s="7" t="s">
        <v>9</v>
      </c>
      <c r="D47" s="8"/>
      <c r="E47" s="12">
        <v>5.0518E-2</v>
      </c>
      <c r="F47" s="1"/>
      <c r="G47" s="1"/>
      <c r="H47" s="1"/>
      <c r="I47" s="1"/>
      <c r="J47" s="1"/>
      <c r="K47" s="1"/>
      <c r="L47" s="1"/>
      <c r="M47" s="1"/>
      <c r="N47" s="17"/>
    </row>
    <row r="48" spans="2:14" ht="15" customHeight="1" x14ac:dyDescent="0.25">
      <c r="B48" s="19"/>
      <c r="C48" s="5"/>
      <c r="D48" s="6"/>
      <c r="E48" s="11"/>
      <c r="F48" s="1"/>
      <c r="G48" s="1"/>
      <c r="H48" s="1"/>
      <c r="I48" s="1"/>
      <c r="J48" s="1"/>
      <c r="K48" s="1"/>
      <c r="L48" s="1"/>
      <c r="M48" s="1"/>
      <c r="N48" s="17"/>
    </row>
    <row r="49" spans="2:14" ht="15" customHeight="1" x14ac:dyDescent="0.25">
      <c r="B49" s="19"/>
      <c r="C49" s="7" t="s">
        <v>10</v>
      </c>
      <c r="D49" s="8"/>
      <c r="E49" s="12">
        <v>5.6340000000000001E-3</v>
      </c>
      <c r="F49" s="1"/>
      <c r="G49" s="1"/>
      <c r="H49" s="1"/>
      <c r="I49" s="1"/>
      <c r="J49" s="1"/>
      <c r="K49" s="1"/>
      <c r="L49" s="1"/>
      <c r="M49" s="1"/>
      <c r="N49" s="17"/>
    </row>
    <row r="50" spans="2:14" ht="15" customHeight="1" x14ac:dyDescent="0.25">
      <c r="B50" s="19"/>
      <c r="C50" s="5"/>
      <c r="D50" s="6"/>
      <c r="E50" s="11"/>
      <c r="F50" s="1"/>
      <c r="G50" s="1"/>
      <c r="H50" s="1"/>
      <c r="I50" s="1"/>
      <c r="J50" s="1"/>
      <c r="K50" s="1"/>
      <c r="L50" s="1"/>
      <c r="M50" s="1"/>
      <c r="N50" s="17"/>
    </row>
    <row r="51" spans="2:14" ht="15" customHeight="1" x14ac:dyDescent="0.25">
      <c r="B51" s="19"/>
      <c r="C51" s="9" t="s">
        <v>11</v>
      </c>
      <c r="D51" s="10"/>
      <c r="E51" s="13">
        <v>1</v>
      </c>
      <c r="F51" s="1"/>
      <c r="G51" s="1"/>
      <c r="H51" s="1"/>
      <c r="I51" s="1"/>
      <c r="J51" s="1"/>
      <c r="K51" s="1"/>
      <c r="L51" s="1"/>
      <c r="M51" s="1"/>
      <c r="N51" s="17"/>
    </row>
    <row r="52" spans="2:14" ht="15" customHeight="1" x14ac:dyDescent="0.25">
      <c r="B52" s="19"/>
      <c r="F52" s="1"/>
      <c r="G52" s="1"/>
      <c r="H52" s="1"/>
      <c r="I52" s="1"/>
      <c r="J52" s="1"/>
      <c r="K52" s="1"/>
      <c r="L52" s="1"/>
      <c r="M52" s="1"/>
      <c r="N52" s="17"/>
    </row>
    <row r="53" spans="2:14" ht="15" customHeight="1" x14ac:dyDescent="0.25">
      <c r="B53" s="19"/>
      <c r="C53" s="1"/>
      <c r="D53" s="1"/>
      <c r="E53" s="1"/>
      <c r="F53" s="1"/>
      <c r="G53" s="1"/>
      <c r="H53" s="1"/>
      <c r="I53" s="1"/>
      <c r="J53" s="1"/>
      <c r="K53" s="1"/>
      <c r="L53" s="1"/>
      <c r="M53" s="1"/>
      <c r="N53" s="17"/>
    </row>
    <row r="54" spans="2:14" ht="15" customHeight="1" x14ac:dyDescent="0.25">
      <c r="B54" s="19"/>
      <c r="C54" s="1"/>
      <c r="D54" s="1"/>
      <c r="E54" s="1"/>
      <c r="F54" s="1"/>
      <c r="G54" s="1"/>
      <c r="H54" s="1"/>
      <c r="I54" s="1"/>
      <c r="J54" s="1"/>
      <c r="K54" s="1"/>
      <c r="L54" s="1"/>
      <c r="M54" s="1"/>
      <c r="N54" s="17"/>
    </row>
    <row r="55" spans="2:14" ht="15" customHeight="1" thickBot="1" x14ac:dyDescent="0.3">
      <c r="B55" s="20"/>
      <c r="C55" s="21"/>
      <c r="D55" s="21"/>
      <c r="E55" s="21"/>
      <c r="F55" s="21"/>
      <c r="G55" s="21"/>
      <c r="H55" s="21"/>
      <c r="I55" s="21"/>
      <c r="J55" s="21"/>
      <c r="K55" s="21"/>
      <c r="L55" s="21"/>
      <c r="M55" s="21"/>
      <c r="N55" s="22"/>
    </row>
    <row r="56" spans="2:14" ht="15" customHeight="1" thickBot="1" x14ac:dyDescent="0.3"/>
    <row r="57" spans="2:14" ht="121.5" customHeight="1" thickBot="1" x14ac:dyDescent="0.3">
      <c r="B57" s="31" t="s">
        <v>198</v>
      </c>
      <c r="C57" s="32"/>
      <c r="D57" s="32"/>
      <c r="E57" s="32"/>
      <c r="F57" s="32"/>
      <c r="G57" s="32"/>
      <c r="H57" s="32"/>
      <c r="I57" s="32"/>
      <c r="J57" s="32"/>
      <c r="K57" s="32"/>
      <c r="L57" s="32"/>
      <c r="M57" s="32"/>
      <c r="N57" s="33"/>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mergeCells count="4">
    <mergeCell ref="B57:N57"/>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7"/>
  <sheetViews>
    <sheetView showGridLines="0" zoomScale="75" zoomScaleNormal="75" workbookViewId="0"/>
  </sheetViews>
  <sheetFormatPr defaultRowHeight="15" x14ac:dyDescent="0.25"/>
  <cols>
    <col min="1" max="1" width="2.85546875" customWidth="1"/>
    <col min="2" max="2" width="3.85546875" customWidth="1"/>
    <col min="3" max="3" width="52.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121</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71</v>
      </c>
      <c r="D8" s="6" t="s">
        <v>47</v>
      </c>
      <c r="E8" s="11">
        <v>0.31663400000000003</v>
      </c>
      <c r="F8" s="1"/>
      <c r="G8" s="23" t="s">
        <v>15</v>
      </c>
      <c r="H8" s="24">
        <v>1</v>
      </c>
      <c r="I8" s="1"/>
      <c r="J8" s="23" t="s">
        <v>12</v>
      </c>
      <c r="K8" s="23" t="s">
        <v>3</v>
      </c>
      <c r="L8" s="1"/>
      <c r="M8" s="1"/>
      <c r="N8" s="17"/>
    </row>
    <row r="9" spans="2:14" ht="15" customHeight="1" x14ac:dyDescent="0.25">
      <c r="B9" s="19"/>
      <c r="C9" s="5" t="s">
        <v>70</v>
      </c>
      <c r="D9" s="6" t="s">
        <v>47</v>
      </c>
      <c r="E9" s="11">
        <v>0.232651</v>
      </c>
      <c r="F9" s="1"/>
      <c r="G9" s="1"/>
      <c r="H9" s="1"/>
      <c r="I9" s="1"/>
      <c r="J9" s="23" t="s">
        <v>13</v>
      </c>
      <c r="K9" s="25">
        <v>9.7400000000000004E-4</v>
      </c>
      <c r="L9" s="1"/>
      <c r="M9" s="1"/>
      <c r="N9" s="17"/>
    </row>
    <row r="10" spans="2:14" ht="15" customHeight="1" x14ac:dyDescent="0.25">
      <c r="B10" s="19"/>
      <c r="C10" s="5" t="s">
        <v>69</v>
      </c>
      <c r="D10" s="6" t="s">
        <v>47</v>
      </c>
      <c r="E10" s="11">
        <v>0.178676</v>
      </c>
      <c r="F10" s="1"/>
      <c r="G10" s="1"/>
      <c r="H10" s="1"/>
      <c r="I10" s="1"/>
      <c r="J10" s="23" t="s">
        <v>64</v>
      </c>
      <c r="K10" s="25">
        <v>0.98468500000000003</v>
      </c>
      <c r="L10" s="1"/>
      <c r="M10" s="1"/>
      <c r="N10" s="17"/>
    </row>
    <row r="11" spans="2:14" ht="15" customHeight="1" x14ac:dyDescent="0.25">
      <c r="B11" s="19"/>
      <c r="C11" s="5" t="s">
        <v>72</v>
      </c>
      <c r="D11" s="6" t="s">
        <v>47</v>
      </c>
      <c r="E11" s="11">
        <v>0.16933000000000001</v>
      </c>
      <c r="F11" s="1"/>
      <c r="G11" s="1"/>
      <c r="H11" s="1"/>
      <c r="I11" s="1"/>
      <c r="J11" s="23" t="s">
        <v>10</v>
      </c>
      <c r="K11" s="25">
        <v>1.4341E-2</v>
      </c>
      <c r="L11" s="1"/>
      <c r="M11" s="1"/>
      <c r="N11" s="17"/>
    </row>
    <row r="12" spans="2:14" ht="15" customHeight="1" x14ac:dyDescent="0.25">
      <c r="B12" s="19"/>
      <c r="C12" s="5" t="s">
        <v>76</v>
      </c>
      <c r="D12" s="6" t="s">
        <v>47</v>
      </c>
      <c r="E12" s="11">
        <v>4.5494E-2</v>
      </c>
      <c r="F12" s="1"/>
      <c r="G12" s="1"/>
      <c r="H12" s="1"/>
      <c r="I12" s="1"/>
      <c r="J12" s="1"/>
      <c r="K12" s="1"/>
      <c r="L12" s="1"/>
      <c r="M12" s="1"/>
      <c r="N12" s="17"/>
    </row>
    <row r="13" spans="2:14" ht="15" customHeight="1" x14ac:dyDescent="0.25">
      <c r="B13" s="19"/>
      <c r="C13" s="5" t="s">
        <v>75</v>
      </c>
      <c r="D13" s="6" t="s">
        <v>47</v>
      </c>
      <c r="E13" s="11">
        <v>4.1831E-2</v>
      </c>
      <c r="F13" s="1"/>
      <c r="G13" s="1"/>
      <c r="H13" s="1"/>
      <c r="I13" s="1"/>
      <c r="J13" s="1"/>
      <c r="K13" s="1"/>
      <c r="L13" s="1"/>
      <c r="M13" s="1"/>
      <c r="N13" s="17"/>
    </row>
    <row r="14" spans="2:14" ht="15" customHeight="1" x14ac:dyDescent="0.25">
      <c r="B14" s="19"/>
      <c r="C14" s="5" t="s">
        <v>122</v>
      </c>
      <c r="D14" s="6" t="s">
        <v>47</v>
      </c>
      <c r="E14" s="11">
        <v>3.4999999999999997E-5</v>
      </c>
      <c r="F14" s="1"/>
      <c r="G14" s="1"/>
      <c r="H14" s="1"/>
      <c r="I14" s="1"/>
      <c r="J14" s="1"/>
      <c r="K14" s="1"/>
      <c r="L14" s="1"/>
      <c r="M14" s="1"/>
      <c r="N14" s="17"/>
    </row>
    <row r="15" spans="2:14" ht="15" customHeight="1" x14ac:dyDescent="0.25">
      <c r="B15" s="19"/>
      <c r="C15" s="5" t="s">
        <v>115</v>
      </c>
      <c r="D15" s="6" t="s">
        <v>47</v>
      </c>
      <c r="E15" s="11">
        <v>3.4E-5</v>
      </c>
      <c r="F15" s="1"/>
      <c r="G15" s="1"/>
      <c r="H15" s="1"/>
      <c r="I15" s="1"/>
      <c r="J15" s="1"/>
      <c r="K15" s="1"/>
      <c r="L15" s="1"/>
      <c r="M15" s="1"/>
      <c r="N15" s="17"/>
    </row>
    <row r="16" spans="2:14" ht="15.75" customHeight="1" x14ac:dyDescent="0.25">
      <c r="B16" s="19"/>
      <c r="C16" s="7" t="s">
        <v>56</v>
      </c>
      <c r="D16" s="8"/>
      <c r="E16" s="12">
        <v>0.98468500000000003</v>
      </c>
      <c r="F16" s="1"/>
      <c r="G16" s="1"/>
      <c r="H16" s="1"/>
      <c r="I16" s="1"/>
      <c r="J16" s="1"/>
      <c r="K16" s="1"/>
      <c r="L16" s="1"/>
      <c r="M16" s="1"/>
      <c r="N16" s="17"/>
    </row>
    <row r="17" spans="2:14" ht="15" customHeight="1" x14ac:dyDescent="0.25">
      <c r="B17" s="19"/>
      <c r="C17" s="5" t="s">
        <v>8</v>
      </c>
      <c r="D17" s="6"/>
      <c r="E17" s="11">
        <v>9.7400000000000004E-4</v>
      </c>
      <c r="F17" s="1"/>
      <c r="G17" s="1"/>
      <c r="H17" s="1"/>
      <c r="I17" s="1"/>
      <c r="J17" s="1"/>
      <c r="K17" s="1"/>
      <c r="L17" s="1"/>
      <c r="M17" s="1"/>
      <c r="N17" s="17"/>
    </row>
    <row r="18" spans="2:14" ht="15.75" customHeight="1" x14ac:dyDescent="0.25">
      <c r="B18" s="19"/>
      <c r="C18" s="7" t="s">
        <v>9</v>
      </c>
      <c r="D18" s="8"/>
      <c r="E18" s="12">
        <v>9.7400000000000004E-4</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75" customHeight="1" x14ac:dyDescent="0.25">
      <c r="B20" s="19"/>
      <c r="C20" s="7" t="s">
        <v>10</v>
      </c>
      <c r="D20" s="8"/>
      <c r="E20" s="12">
        <v>1.4341E-2</v>
      </c>
      <c r="F20" s="1"/>
      <c r="G20" s="1"/>
      <c r="H20" s="1"/>
      <c r="I20" s="1"/>
      <c r="J20" s="1"/>
      <c r="K20" s="1"/>
      <c r="L20" s="1"/>
      <c r="M20" s="1"/>
      <c r="N20" s="17"/>
    </row>
    <row r="21" spans="2:14" ht="15" customHeight="1" x14ac:dyDescent="0.25">
      <c r="B21" s="19"/>
      <c r="C21" s="5"/>
      <c r="D21" s="6"/>
      <c r="E21" s="11"/>
      <c r="F21" s="1"/>
      <c r="G21" s="1"/>
      <c r="H21" s="1"/>
      <c r="I21" s="1"/>
      <c r="J21" s="1"/>
      <c r="K21" s="1"/>
      <c r="L21" s="1"/>
      <c r="M21" s="1"/>
      <c r="N21" s="17"/>
    </row>
    <row r="22" spans="2:14" ht="15" customHeight="1" x14ac:dyDescent="0.25">
      <c r="B22" s="19"/>
      <c r="C22" s="9" t="s">
        <v>11</v>
      </c>
      <c r="D22" s="10"/>
      <c r="E22" s="13">
        <v>1</v>
      </c>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75" thickBot="1" x14ac:dyDescent="0.3">
      <c r="B45" s="20"/>
      <c r="C45" s="21"/>
      <c r="D45" s="21"/>
      <c r="E45" s="21"/>
      <c r="F45" s="21"/>
      <c r="G45" s="21"/>
      <c r="H45" s="21"/>
      <c r="I45" s="21"/>
      <c r="J45" s="21"/>
      <c r="K45" s="21"/>
      <c r="L45" s="21"/>
      <c r="M45" s="21"/>
      <c r="N45" s="22"/>
    </row>
    <row r="46" spans="2:14" ht="15.75" thickBot="1" x14ac:dyDescent="0.3"/>
    <row r="47" spans="2:14" ht="124.5" customHeight="1" thickBot="1" x14ac:dyDescent="0.3">
      <c r="B47" s="31" t="s">
        <v>198</v>
      </c>
      <c r="C47" s="32"/>
      <c r="D47" s="32"/>
      <c r="E47" s="32"/>
      <c r="F47" s="32"/>
      <c r="G47" s="32"/>
      <c r="H47" s="32"/>
      <c r="I47" s="32"/>
      <c r="J47" s="32"/>
      <c r="K47" s="32"/>
      <c r="L47" s="32"/>
      <c r="M47" s="32"/>
      <c r="N47" s="33"/>
    </row>
  </sheetData>
  <mergeCells count="4">
    <mergeCell ref="B47:N47"/>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8"/>
  <sheetViews>
    <sheetView showGridLines="0" zoomScale="75" zoomScaleNormal="75" workbookViewId="0"/>
  </sheetViews>
  <sheetFormatPr defaultRowHeight="15" x14ac:dyDescent="0.25"/>
  <cols>
    <col min="1" max="1" width="2.85546875" customWidth="1"/>
    <col min="2" max="2" width="3.85546875" customWidth="1"/>
    <col min="3" max="3" width="52.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68</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29</v>
      </c>
      <c r="D8" s="6" t="s">
        <v>27</v>
      </c>
      <c r="E8" s="11">
        <v>8.0540000000000004E-3</v>
      </c>
      <c r="F8" s="1"/>
      <c r="G8" s="23" t="s">
        <v>15</v>
      </c>
      <c r="H8" s="24">
        <v>1</v>
      </c>
      <c r="I8" s="1"/>
      <c r="J8" s="23" t="s">
        <v>12</v>
      </c>
      <c r="K8" s="23" t="s">
        <v>3</v>
      </c>
      <c r="L8" s="1"/>
      <c r="M8" s="1"/>
      <c r="N8" s="17"/>
    </row>
    <row r="9" spans="2:14" ht="15.75" customHeight="1" x14ac:dyDescent="0.25">
      <c r="B9" s="19"/>
      <c r="C9" s="7" t="s">
        <v>45</v>
      </c>
      <c r="D9" s="8"/>
      <c r="E9" s="12">
        <v>8.0540000000000004E-3</v>
      </c>
      <c r="F9" s="1"/>
      <c r="G9" s="1"/>
      <c r="H9" s="1"/>
      <c r="I9" s="1"/>
      <c r="J9" s="23" t="s">
        <v>13</v>
      </c>
      <c r="K9" s="25">
        <v>5.5300000000000002E-3</v>
      </c>
      <c r="L9" s="1"/>
      <c r="M9" s="1"/>
      <c r="N9" s="17"/>
    </row>
    <row r="10" spans="2:14" ht="15" customHeight="1" x14ac:dyDescent="0.25">
      <c r="B10" s="19"/>
      <c r="C10" s="5" t="s">
        <v>69</v>
      </c>
      <c r="D10" s="6" t="s">
        <v>47</v>
      </c>
      <c r="E10" s="11">
        <v>0.38757999999999998</v>
      </c>
      <c r="F10" s="1"/>
      <c r="G10" s="1"/>
      <c r="H10" s="1"/>
      <c r="I10" s="1"/>
      <c r="J10" s="23" t="s">
        <v>62</v>
      </c>
      <c r="K10" s="25">
        <v>8.0540000000000004E-3</v>
      </c>
      <c r="L10" s="1"/>
      <c r="M10" s="1"/>
      <c r="N10" s="17"/>
    </row>
    <row r="11" spans="2:14" ht="15" customHeight="1" x14ac:dyDescent="0.25">
      <c r="B11" s="19"/>
      <c r="C11" s="5" t="s">
        <v>70</v>
      </c>
      <c r="D11" s="6" t="s">
        <v>47</v>
      </c>
      <c r="E11" s="11">
        <v>0.35435800000000001</v>
      </c>
      <c r="F11" s="1"/>
      <c r="G11" s="1"/>
      <c r="H11" s="1"/>
      <c r="I11" s="1"/>
      <c r="J11" s="23" t="s">
        <v>64</v>
      </c>
      <c r="K11" s="25">
        <v>0.96825700000000003</v>
      </c>
      <c r="L11" s="1"/>
      <c r="M11" s="1"/>
      <c r="N11" s="17"/>
    </row>
    <row r="12" spans="2:14" ht="15" customHeight="1" x14ac:dyDescent="0.25">
      <c r="B12" s="19"/>
      <c r="C12" s="5" t="s">
        <v>71</v>
      </c>
      <c r="D12" s="6" t="s">
        <v>47</v>
      </c>
      <c r="E12" s="11">
        <v>0.15103900000000001</v>
      </c>
      <c r="F12" s="1"/>
      <c r="G12" s="1"/>
      <c r="H12" s="1"/>
      <c r="I12" s="1"/>
      <c r="J12" s="23" t="s">
        <v>10</v>
      </c>
      <c r="K12" s="25">
        <v>1.8159000000000002E-2</v>
      </c>
      <c r="L12" s="1"/>
      <c r="M12" s="1"/>
      <c r="N12" s="17"/>
    </row>
    <row r="13" spans="2:14" ht="15" customHeight="1" x14ac:dyDescent="0.25">
      <c r="B13" s="19"/>
      <c r="C13" s="5" t="s">
        <v>72</v>
      </c>
      <c r="D13" s="6" t="s">
        <v>47</v>
      </c>
      <c r="E13" s="11">
        <v>7.4684E-2</v>
      </c>
      <c r="F13" s="1"/>
      <c r="G13" s="1"/>
      <c r="H13" s="1"/>
      <c r="I13" s="1"/>
      <c r="J13" s="1"/>
      <c r="K13" s="1"/>
      <c r="L13" s="1"/>
      <c r="M13" s="1"/>
      <c r="N13" s="17"/>
    </row>
    <row r="14" spans="2:14" ht="15" customHeight="1" x14ac:dyDescent="0.25">
      <c r="B14" s="19"/>
      <c r="C14" s="5" t="s">
        <v>73</v>
      </c>
      <c r="D14" s="6" t="s">
        <v>47</v>
      </c>
      <c r="E14" s="11">
        <v>5.9599999999999996E-4</v>
      </c>
      <c r="F14" s="1"/>
      <c r="G14" s="1"/>
      <c r="H14" s="1"/>
      <c r="I14" s="1"/>
      <c r="J14" s="1"/>
      <c r="K14" s="1"/>
      <c r="L14" s="1"/>
      <c r="M14" s="1"/>
      <c r="N14" s="17"/>
    </row>
    <row r="15" spans="2:14" ht="15.75" customHeight="1" x14ac:dyDescent="0.25">
      <c r="B15" s="19"/>
      <c r="C15" s="7" t="s">
        <v>56</v>
      </c>
      <c r="D15" s="8"/>
      <c r="E15" s="12">
        <v>0.96825700000000003</v>
      </c>
      <c r="F15" s="1"/>
      <c r="G15" s="1"/>
      <c r="H15" s="1"/>
      <c r="I15" s="1"/>
      <c r="J15" s="1"/>
      <c r="K15" s="1"/>
      <c r="L15" s="1"/>
      <c r="M15" s="1"/>
      <c r="N15" s="17"/>
    </row>
    <row r="16" spans="2:14" ht="15" customHeight="1" x14ac:dyDescent="0.25">
      <c r="B16" s="19"/>
      <c r="C16" s="5" t="s">
        <v>8</v>
      </c>
      <c r="D16" s="6"/>
      <c r="E16" s="11">
        <v>5.5300000000000002E-3</v>
      </c>
      <c r="F16" s="1"/>
      <c r="G16" s="1"/>
      <c r="H16" s="1"/>
      <c r="I16" s="1"/>
      <c r="J16" s="1"/>
      <c r="K16" s="1"/>
      <c r="L16" s="1"/>
      <c r="M16" s="1"/>
      <c r="N16" s="17"/>
    </row>
    <row r="17" spans="2:14" ht="15.75" customHeight="1" x14ac:dyDescent="0.25">
      <c r="B17" s="19"/>
      <c r="C17" s="7" t="s">
        <v>9</v>
      </c>
      <c r="D17" s="8"/>
      <c r="E17" s="12">
        <v>5.5300000000000002E-3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1.8159000000000002E-2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x14ac:dyDescent="0.25">
      <c r="B45" s="19"/>
      <c r="C45" s="1"/>
      <c r="D45" s="1"/>
      <c r="E45" s="1"/>
      <c r="F45" s="1"/>
      <c r="G45" s="1"/>
      <c r="H45" s="1"/>
      <c r="I45" s="1"/>
      <c r="J45" s="1"/>
      <c r="K45" s="1"/>
      <c r="L45" s="1"/>
      <c r="M45" s="1"/>
      <c r="N45" s="17"/>
    </row>
    <row r="46" spans="2:14" ht="15.75" thickBot="1" x14ac:dyDescent="0.3">
      <c r="B46" s="20"/>
      <c r="C46" s="21"/>
      <c r="D46" s="21"/>
      <c r="E46" s="21"/>
      <c r="F46" s="21"/>
      <c r="G46" s="21"/>
      <c r="H46" s="21"/>
      <c r="I46" s="21"/>
      <c r="J46" s="21"/>
      <c r="K46" s="21"/>
      <c r="L46" s="21"/>
      <c r="M46" s="21"/>
      <c r="N46" s="22"/>
    </row>
    <row r="47" spans="2:14" ht="15.75" thickBot="1" x14ac:dyDescent="0.3"/>
    <row r="48" spans="2:14" ht="114.75" customHeight="1" thickBot="1" x14ac:dyDescent="0.3">
      <c r="B48" s="31" t="s">
        <v>198</v>
      </c>
      <c r="C48" s="32"/>
      <c r="D48" s="32"/>
      <c r="E48" s="32"/>
      <c r="F48" s="32"/>
      <c r="G48" s="32"/>
      <c r="H48" s="32"/>
      <c r="I48" s="32"/>
      <c r="J48" s="32"/>
      <c r="K48" s="32"/>
      <c r="L48" s="32"/>
      <c r="M48" s="32"/>
      <c r="N48" s="33"/>
    </row>
  </sheetData>
  <mergeCells count="4">
    <mergeCell ref="B48:N48"/>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74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28</v>
      </c>
      <c r="D8" s="6" t="s">
        <v>27</v>
      </c>
      <c r="E8" s="11">
        <v>6.1987E-2</v>
      </c>
      <c r="F8" s="1"/>
      <c r="G8" s="23" t="s">
        <v>15</v>
      </c>
      <c r="H8" s="24">
        <v>1</v>
      </c>
      <c r="I8" s="1"/>
      <c r="J8" s="23" t="s">
        <v>12</v>
      </c>
      <c r="K8" s="23" t="s">
        <v>3</v>
      </c>
      <c r="L8" s="1"/>
      <c r="M8" s="1"/>
      <c r="N8" s="17"/>
    </row>
    <row r="9" spans="2:14" ht="15" customHeight="1" x14ac:dyDescent="0.25">
      <c r="B9" s="19"/>
      <c r="C9" s="5" t="s">
        <v>25</v>
      </c>
      <c r="D9" s="6" t="s">
        <v>27</v>
      </c>
      <c r="E9" s="11">
        <v>5.7507000000000003E-2</v>
      </c>
      <c r="F9" s="1"/>
      <c r="G9" s="1"/>
      <c r="H9" s="1"/>
      <c r="I9" s="1"/>
      <c r="J9" s="23" t="s">
        <v>13</v>
      </c>
      <c r="K9" s="25">
        <v>1.8183000000000001E-2</v>
      </c>
      <c r="L9" s="1"/>
      <c r="M9" s="1"/>
      <c r="N9" s="17"/>
    </row>
    <row r="10" spans="2:14" ht="15" customHeight="1" x14ac:dyDescent="0.25">
      <c r="B10" s="19"/>
      <c r="C10" s="5" t="s">
        <v>34</v>
      </c>
      <c r="D10" s="6" t="s">
        <v>27</v>
      </c>
      <c r="E10" s="11">
        <v>2.5874999999999999E-2</v>
      </c>
      <c r="F10" s="1"/>
      <c r="G10" s="1"/>
      <c r="H10" s="1"/>
      <c r="I10" s="1"/>
      <c r="J10" s="23" t="s">
        <v>62</v>
      </c>
      <c r="K10" s="25">
        <v>0.190136</v>
      </c>
      <c r="L10" s="1"/>
      <c r="M10" s="1"/>
      <c r="N10" s="17"/>
    </row>
    <row r="11" spans="2:14" ht="15" customHeight="1" x14ac:dyDescent="0.25">
      <c r="B11" s="19"/>
      <c r="C11" s="5" t="s">
        <v>31</v>
      </c>
      <c r="D11" s="6" t="s">
        <v>27</v>
      </c>
      <c r="E11" s="11">
        <v>2.0185000000000002E-2</v>
      </c>
      <c r="F11" s="1"/>
      <c r="G11" s="1"/>
      <c r="H11" s="1"/>
      <c r="I11" s="1"/>
      <c r="J11" s="23" t="s">
        <v>64</v>
      </c>
      <c r="K11" s="25">
        <v>0.68060699999999996</v>
      </c>
      <c r="L11" s="1"/>
      <c r="M11" s="1"/>
      <c r="N11" s="17"/>
    </row>
    <row r="12" spans="2:14" ht="15" customHeight="1" x14ac:dyDescent="0.25">
      <c r="B12" s="19"/>
      <c r="C12" s="5" t="s">
        <v>29</v>
      </c>
      <c r="D12" s="6" t="s">
        <v>27</v>
      </c>
      <c r="E12" s="11">
        <v>1.9119000000000001E-2</v>
      </c>
      <c r="F12" s="1"/>
      <c r="G12" s="1"/>
      <c r="H12" s="1"/>
      <c r="I12" s="1"/>
      <c r="J12" s="23" t="s">
        <v>87</v>
      </c>
      <c r="K12" s="25">
        <v>7.2709999999999997E-3</v>
      </c>
      <c r="L12" s="1"/>
      <c r="M12" s="1"/>
      <c r="N12" s="17"/>
    </row>
    <row r="13" spans="2:14" ht="15" customHeight="1" x14ac:dyDescent="0.25">
      <c r="B13" s="19"/>
      <c r="C13" s="5" t="s">
        <v>32</v>
      </c>
      <c r="D13" s="6" t="s">
        <v>27</v>
      </c>
      <c r="E13" s="11">
        <v>5.2449999999999997E-3</v>
      </c>
      <c r="F13" s="1"/>
      <c r="G13" s="1"/>
      <c r="H13" s="1"/>
      <c r="I13" s="1"/>
      <c r="J13" s="23" t="s">
        <v>65</v>
      </c>
      <c r="K13" s="25">
        <v>7.1919999999999996E-3</v>
      </c>
      <c r="L13" s="1"/>
      <c r="M13" s="1"/>
      <c r="N13" s="17"/>
    </row>
    <row r="14" spans="2:14" ht="15" customHeight="1" x14ac:dyDescent="0.25">
      <c r="B14" s="19"/>
      <c r="C14" s="5" t="s">
        <v>24</v>
      </c>
      <c r="D14" s="6" t="s">
        <v>27</v>
      </c>
      <c r="E14" s="11">
        <v>2.1800000000000001E-4</v>
      </c>
      <c r="F14" s="1"/>
      <c r="G14" s="1"/>
      <c r="H14" s="1"/>
      <c r="I14" s="1"/>
      <c r="J14" s="23" t="s">
        <v>66</v>
      </c>
      <c r="K14" s="25">
        <v>9.6423999999999996E-2</v>
      </c>
      <c r="L14" s="1"/>
      <c r="M14" s="1"/>
      <c r="N14" s="17"/>
    </row>
    <row r="15" spans="2:14" ht="15.75" customHeight="1" x14ac:dyDescent="0.25">
      <c r="B15" s="19"/>
      <c r="C15" s="7" t="s">
        <v>45</v>
      </c>
      <c r="D15" s="8"/>
      <c r="E15" s="12">
        <v>0.190136</v>
      </c>
      <c r="F15" s="1"/>
      <c r="G15" s="1"/>
      <c r="H15" s="1"/>
      <c r="I15" s="1"/>
      <c r="J15" s="23" t="s">
        <v>10</v>
      </c>
      <c r="K15" s="25">
        <v>1.8699999999999999E-4</v>
      </c>
      <c r="L15" s="1"/>
      <c r="M15" s="1"/>
      <c r="N15" s="17"/>
    </row>
    <row r="16" spans="2:14" ht="15" customHeight="1" x14ac:dyDescent="0.25">
      <c r="B16" s="19"/>
      <c r="C16" s="5" t="s">
        <v>70</v>
      </c>
      <c r="D16" s="6" t="s">
        <v>47</v>
      </c>
      <c r="E16" s="11">
        <v>0.26541599999999999</v>
      </c>
      <c r="F16" s="1"/>
      <c r="G16" s="1"/>
      <c r="H16" s="1"/>
      <c r="I16" s="1"/>
      <c r="J16" s="1"/>
      <c r="K16" s="1"/>
      <c r="L16" s="1"/>
      <c r="M16" s="1"/>
      <c r="N16" s="17"/>
    </row>
    <row r="17" spans="2:14" ht="15" customHeight="1" x14ac:dyDescent="0.25">
      <c r="B17" s="19"/>
      <c r="C17" s="5" t="s">
        <v>51</v>
      </c>
      <c r="D17" s="6" t="s">
        <v>47</v>
      </c>
      <c r="E17" s="11">
        <v>0.216192</v>
      </c>
      <c r="F17" s="1"/>
      <c r="G17" s="1"/>
      <c r="H17" s="1"/>
      <c r="I17" s="1"/>
      <c r="J17" s="1"/>
      <c r="K17" s="1"/>
      <c r="L17" s="1"/>
      <c r="M17" s="1"/>
      <c r="N17" s="17"/>
    </row>
    <row r="18" spans="2:14" ht="15" customHeight="1" x14ac:dyDescent="0.25">
      <c r="B18" s="19"/>
      <c r="C18" s="5" t="s">
        <v>69</v>
      </c>
      <c r="D18" s="6" t="s">
        <v>47</v>
      </c>
      <c r="E18" s="11">
        <v>6.8547999999999998E-2</v>
      </c>
      <c r="F18" s="1"/>
      <c r="G18" s="1"/>
      <c r="H18" s="1"/>
      <c r="I18" s="1"/>
      <c r="J18" s="1"/>
      <c r="K18" s="1"/>
      <c r="L18" s="1"/>
      <c r="M18" s="1"/>
      <c r="N18" s="17"/>
    </row>
    <row r="19" spans="2:14" ht="15" customHeight="1" x14ac:dyDescent="0.25">
      <c r="B19" s="19"/>
      <c r="C19" s="5" t="s">
        <v>75</v>
      </c>
      <c r="D19" s="6" t="s">
        <v>47</v>
      </c>
      <c r="E19" s="11">
        <v>3.6859000000000003E-2</v>
      </c>
      <c r="F19" s="1"/>
      <c r="G19" s="1"/>
      <c r="H19" s="1"/>
      <c r="I19" s="1"/>
      <c r="J19" s="1"/>
      <c r="K19" s="1"/>
      <c r="L19" s="1"/>
      <c r="M19" s="1"/>
      <c r="N19" s="17"/>
    </row>
    <row r="20" spans="2:14" ht="15" customHeight="1" x14ac:dyDescent="0.25">
      <c r="B20" s="19"/>
      <c r="C20" s="5" t="s">
        <v>71</v>
      </c>
      <c r="D20" s="6" t="s">
        <v>47</v>
      </c>
      <c r="E20" s="11">
        <v>3.4209000000000003E-2</v>
      </c>
      <c r="F20" s="1"/>
      <c r="G20" s="1"/>
      <c r="H20" s="1"/>
      <c r="I20" s="1"/>
      <c r="J20" s="1"/>
      <c r="K20" s="1"/>
      <c r="L20" s="1"/>
      <c r="M20" s="1"/>
      <c r="N20" s="17"/>
    </row>
    <row r="21" spans="2:14" ht="15" customHeight="1" x14ac:dyDescent="0.25">
      <c r="B21" s="19"/>
      <c r="C21" s="5" t="s">
        <v>72</v>
      </c>
      <c r="D21" s="6" t="s">
        <v>47</v>
      </c>
      <c r="E21" s="11">
        <v>2.5520000000000001E-2</v>
      </c>
      <c r="F21" s="1"/>
      <c r="G21" s="1"/>
      <c r="H21" s="1"/>
      <c r="I21" s="1"/>
      <c r="J21" s="1"/>
      <c r="K21" s="1"/>
      <c r="L21" s="1"/>
      <c r="M21" s="1"/>
      <c r="N21" s="17"/>
    </row>
    <row r="22" spans="2:14" ht="15" customHeight="1" x14ac:dyDescent="0.25">
      <c r="B22" s="19"/>
      <c r="C22" s="5" t="s">
        <v>76</v>
      </c>
      <c r="D22" s="6" t="s">
        <v>47</v>
      </c>
      <c r="E22" s="11">
        <v>2.3997999999999998E-2</v>
      </c>
      <c r="F22" s="1"/>
      <c r="G22" s="1"/>
      <c r="H22" s="1"/>
      <c r="I22" s="1"/>
      <c r="J22" s="1"/>
      <c r="K22" s="1"/>
      <c r="L22" s="1"/>
      <c r="M22" s="1"/>
      <c r="N22" s="17"/>
    </row>
    <row r="23" spans="2:14" ht="15" customHeight="1" x14ac:dyDescent="0.25">
      <c r="B23" s="19"/>
      <c r="C23" s="5" t="s">
        <v>77</v>
      </c>
      <c r="D23" s="6" t="s">
        <v>47</v>
      </c>
      <c r="E23" s="11">
        <v>9.8650000000000005E-3</v>
      </c>
      <c r="F23" s="1"/>
      <c r="G23" s="1"/>
      <c r="H23" s="1"/>
      <c r="I23" s="1"/>
      <c r="J23" s="1"/>
      <c r="K23" s="1"/>
      <c r="L23" s="1"/>
      <c r="M23" s="1"/>
      <c r="N23" s="17"/>
    </row>
    <row r="24" spans="2:14" ht="15.75" customHeight="1" x14ac:dyDescent="0.25">
      <c r="B24" s="19"/>
      <c r="C24" s="7" t="s">
        <v>56</v>
      </c>
      <c r="D24" s="8"/>
      <c r="E24" s="12">
        <v>0.68060699999999996</v>
      </c>
      <c r="F24" s="1"/>
      <c r="G24" s="1"/>
      <c r="H24" s="1"/>
      <c r="I24" s="1"/>
      <c r="J24" s="1"/>
      <c r="K24" s="1"/>
      <c r="L24" s="1"/>
      <c r="M24" s="1"/>
      <c r="N24" s="17"/>
    </row>
    <row r="25" spans="2:14" ht="15" customHeight="1" x14ac:dyDescent="0.25">
      <c r="B25" s="19"/>
      <c r="C25" s="5" t="s">
        <v>200</v>
      </c>
      <c r="D25" s="6" t="s">
        <v>78</v>
      </c>
      <c r="E25" s="11">
        <v>7.2709999999999997E-3</v>
      </c>
      <c r="F25" s="1"/>
      <c r="G25" s="1"/>
      <c r="H25" s="1"/>
      <c r="I25" s="1"/>
      <c r="J25" s="1"/>
      <c r="K25" s="1"/>
      <c r="L25" s="1"/>
      <c r="M25" s="1"/>
      <c r="N25" s="17"/>
    </row>
    <row r="26" spans="2:14" ht="15.75" customHeight="1" x14ac:dyDescent="0.25">
      <c r="B26" s="19"/>
      <c r="C26" s="7" t="s">
        <v>79</v>
      </c>
      <c r="D26" s="8"/>
      <c r="E26" s="12">
        <v>7.2709999999999997E-3</v>
      </c>
      <c r="F26" s="1"/>
      <c r="G26" s="37" t="s">
        <v>17</v>
      </c>
      <c r="H26" s="38"/>
      <c r="I26" s="38"/>
      <c r="J26" s="38"/>
      <c r="K26" s="38"/>
      <c r="L26" s="38"/>
      <c r="M26" s="38"/>
      <c r="N26" s="39"/>
    </row>
    <row r="27" spans="2:14" ht="15" customHeight="1" x14ac:dyDescent="0.25">
      <c r="B27" s="19"/>
      <c r="C27" s="5" t="s">
        <v>156</v>
      </c>
      <c r="D27" s="6" t="s">
        <v>47</v>
      </c>
      <c r="E27" s="11">
        <v>3.3730000000000001E-3</v>
      </c>
      <c r="F27" s="1"/>
      <c r="G27" s="1"/>
      <c r="H27" s="1"/>
      <c r="I27" s="1"/>
      <c r="J27" s="1"/>
      <c r="K27" s="1"/>
      <c r="L27" s="1"/>
      <c r="M27" s="1"/>
      <c r="N27" s="17"/>
    </row>
    <row r="28" spans="2:14" ht="15.75" customHeight="1" x14ac:dyDescent="0.25">
      <c r="B28" s="19"/>
      <c r="C28" s="5" t="s">
        <v>157</v>
      </c>
      <c r="D28" s="6" t="s">
        <v>47</v>
      </c>
      <c r="E28" s="11">
        <v>3.3709999999999999E-3</v>
      </c>
      <c r="F28" s="1"/>
      <c r="G28" s="1"/>
      <c r="H28" s="1"/>
      <c r="I28" s="1"/>
      <c r="J28" s="1"/>
      <c r="K28" s="1"/>
      <c r="L28" s="1"/>
      <c r="M28" s="1"/>
      <c r="N28" s="17"/>
    </row>
    <row r="29" spans="2:14" ht="15" customHeight="1" x14ac:dyDescent="0.25">
      <c r="B29" s="19"/>
      <c r="C29" s="5" t="s">
        <v>158</v>
      </c>
      <c r="D29" s="6" t="s">
        <v>47</v>
      </c>
      <c r="E29" s="11">
        <v>4.4200000000000001E-4</v>
      </c>
      <c r="F29" s="1"/>
      <c r="G29" s="1"/>
      <c r="H29" s="1"/>
      <c r="I29" s="1"/>
      <c r="J29" s="1"/>
      <c r="K29" s="1"/>
      <c r="L29" s="1"/>
      <c r="M29" s="1"/>
      <c r="N29" s="17"/>
    </row>
    <row r="30" spans="2:14" ht="15" customHeight="1" x14ac:dyDescent="0.25">
      <c r="B30" s="19"/>
      <c r="C30" s="5" t="s">
        <v>159</v>
      </c>
      <c r="D30" s="6" t="s">
        <v>47</v>
      </c>
      <c r="E30" s="26">
        <v>5.0000000000000004E-6</v>
      </c>
      <c r="F30" s="1"/>
      <c r="G30" s="1"/>
      <c r="H30" s="1"/>
      <c r="I30" s="1"/>
      <c r="J30" s="1"/>
      <c r="K30" s="1"/>
      <c r="L30" s="1"/>
      <c r="M30" s="1"/>
      <c r="N30" s="17"/>
    </row>
    <row r="31" spans="2:14" ht="15" customHeight="1" x14ac:dyDescent="0.25">
      <c r="B31" s="19"/>
      <c r="C31" s="5" t="s">
        <v>160</v>
      </c>
      <c r="D31" s="6" t="s">
        <v>47</v>
      </c>
      <c r="E31" s="26">
        <v>9.9999999999999995E-7</v>
      </c>
      <c r="F31" s="1"/>
      <c r="G31" s="1"/>
      <c r="H31" s="1"/>
      <c r="I31" s="1"/>
      <c r="J31" s="1"/>
      <c r="K31" s="1"/>
      <c r="L31" s="1"/>
      <c r="M31" s="1"/>
      <c r="N31" s="17"/>
    </row>
    <row r="32" spans="2:14" ht="15" customHeight="1" x14ac:dyDescent="0.25">
      <c r="B32" s="19"/>
      <c r="C32" s="7" t="s">
        <v>57</v>
      </c>
      <c r="D32" s="8"/>
      <c r="E32" s="12">
        <v>7.1919999999999996E-3</v>
      </c>
      <c r="F32" s="1"/>
      <c r="G32" s="1"/>
      <c r="H32" s="1"/>
      <c r="I32" s="1"/>
      <c r="J32" s="1"/>
      <c r="K32" s="1"/>
      <c r="L32" s="1"/>
      <c r="M32" s="1"/>
      <c r="N32" s="17"/>
    </row>
    <row r="33" spans="2:14" ht="15" customHeight="1" x14ac:dyDescent="0.25">
      <c r="B33" s="19"/>
      <c r="C33" s="5" t="s">
        <v>80</v>
      </c>
      <c r="D33" s="6" t="s">
        <v>47</v>
      </c>
      <c r="E33" s="11">
        <v>2.7415999999999999E-2</v>
      </c>
      <c r="F33" s="1"/>
      <c r="G33" s="1"/>
      <c r="H33" s="1"/>
      <c r="I33" s="1"/>
      <c r="J33" s="1"/>
      <c r="K33" s="1"/>
      <c r="L33" s="1"/>
      <c r="M33" s="1"/>
      <c r="N33" s="17"/>
    </row>
    <row r="34" spans="2:14" ht="15" customHeight="1" x14ac:dyDescent="0.25">
      <c r="B34" s="19"/>
      <c r="C34" s="5" t="s">
        <v>81</v>
      </c>
      <c r="D34" s="6" t="s">
        <v>47</v>
      </c>
      <c r="E34" s="11">
        <v>2.7397999999999999E-2</v>
      </c>
      <c r="F34" s="1"/>
      <c r="G34" s="1"/>
      <c r="H34" s="1"/>
      <c r="I34" s="1"/>
      <c r="J34" s="1"/>
      <c r="K34" s="1"/>
      <c r="L34" s="1"/>
      <c r="M34" s="1"/>
      <c r="N34" s="17"/>
    </row>
    <row r="35" spans="2:14" ht="15" customHeight="1" x14ac:dyDescent="0.25">
      <c r="B35" s="19"/>
      <c r="C35" s="5" t="s">
        <v>82</v>
      </c>
      <c r="D35" s="6" t="s">
        <v>47</v>
      </c>
      <c r="E35" s="11">
        <v>1.524E-2</v>
      </c>
      <c r="F35" s="1"/>
      <c r="G35" s="1"/>
      <c r="H35" s="1"/>
      <c r="I35" s="1"/>
      <c r="J35" s="1"/>
      <c r="K35" s="1"/>
      <c r="L35" s="1"/>
      <c r="M35" s="1"/>
      <c r="N35" s="17"/>
    </row>
    <row r="36" spans="2:14" ht="15.75" customHeight="1" x14ac:dyDescent="0.25">
      <c r="B36" s="19"/>
      <c r="C36" s="5" t="s">
        <v>83</v>
      </c>
      <c r="D36" s="6" t="s">
        <v>47</v>
      </c>
      <c r="E36" s="11">
        <v>1.5205E-2</v>
      </c>
      <c r="F36" s="1"/>
      <c r="G36" s="1"/>
      <c r="H36" s="1"/>
      <c r="I36" s="1"/>
      <c r="J36" s="1"/>
      <c r="K36" s="1"/>
      <c r="L36" s="1"/>
      <c r="M36" s="1"/>
      <c r="N36" s="17"/>
    </row>
    <row r="37" spans="2:14" ht="15" customHeight="1" x14ac:dyDescent="0.25">
      <c r="B37" s="19"/>
      <c r="C37" s="5" t="s">
        <v>84</v>
      </c>
      <c r="D37" s="6" t="s">
        <v>47</v>
      </c>
      <c r="E37" s="11">
        <v>5.0800000000000003E-3</v>
      </c>
      <c r="F37" s="1"/>
      <c r="G37" s="1"/>
      <c r="H37" s="1"/>
      <c r="I37" s="1"/>
      <c r="J37" s="1"/>
      <c r="K37" s="1"/>
      <c r="L37" s="1"/>
      <c r="M37" s="1"/>
      <c r="N37" s="17"/>
    </row>
    <row r="38" spans="2:14" ht="15.75" customHeight="1" x14ac:dyDescent="0.25">
      <c r="B38" s="19"/>
      <c r="C38" s="5" t="s">
        <v>85</v>
      </c>
      <c r="D38" s="6" t="s">
        <v>47</v>
      </c>
      <c r="E38" s="11">
        <v>5.0699999999999999E-3</v>
      </c>
      <c r="F38" s="1"/>
      <c r="G38" s="1"/>
      <c r="H38" s="1"/>
      <c r="I38" s="1"/>
      <c r="J38" s="1"/>
      <c r="K38" s="1"/>
      <c r="L38" s="1"/>
      <c r="M38" s="1"/>
      <c r="N38" s="17"/>
    </row>
    <row r="39" spans="2:14" ht="15" customHeight="1" x14ac:dyDescent="0.25">
      <c r="B39" s="19"/>
      <c r="C39" s="5" t="s">
        <v>86</v>
      </c>
      <c r="D39" s="6" t="s">
        <v>47</v>
      </c>
      <c r="E39" s="11">
        <v>1.0150000000000001E-3</v>
      </c>
      <c r="F39" s="1"/>
      <c r="G39" s="1"/>
      <c r="H39" s="1"/>
      <c r="I39" s="1"/>
      <c r="J39" s="1"/>
      <c r="K39" s="1"/>
      <c r="L39" s="1"/>
      <c r="M39" s="1"/>
      <c r="N39" s="17"/>
    </row>
    <row r="40" spans="2:14" ht="15.75" customHeight="1" x14ac:dyDescent="0.25">
      <c r="B40" s="19"/>
      <c r="C40" s="7" t="s">
        <v>59</v>
      </c>
      <c r="D40" s="8"/>
      <c r="E40" s="12">
        <v>9.6423999999999996E-2</v>
      </c>
      <c r="F40" s="1"/>
      <c r="G40" s="1"/>
      <c r="H40" s="1"/>
      <c r="I40" s="1"/>
      <c r="J40" s="1"/>
      <c r="K40" s="1"/>
      <c r="L40" s="1"/>
      <c r="M40" s="1"/>
      <c r="N40" s="17"/>
    </row>
    <row r="41" spans="2:14" ht="15" customHeight="1" x14ac:dyDescent="0.25">
      <c r="B41" s="19"/>
      <c r="C41" s="5" t="s">
        <v>8</v>
      </c>
      <c r="D41" s="6"/>
      <c r="E41" s="11">
        <v>1.8183000000000001E-2</v>
      </c>
      <c r="F41" s="1"/>
      <c r="G41" s="1"/>
      <c r="H41" s="1"/>
      <c r="I41" s="1"/>
      <c r="J41" s="1"/>
      <c r="K41" s="1"/>
      <c r="L41" s="1"/>
      <c r="M41" s="1"/>
      <c r="N41" s="17"/>
    </row>
    <row r="42" spans="2:14" ht="15" customHeight="1" x14ac:dyDescent="0.25">
      <c r="B42" s="19"/>
      <c r="C42" s="7" t="s">
        <v>9</v>
      </c>
      <c r="D42" s="8"/>
      <c r="E42" s="12">
        <v>1.8183000000000001E-2</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 customHeight="1" x14ac:dyDescent="0.25">
      <c r="B44" s="19"/>
      <c r="C44" s="7" t="s">
        <v>10</v>
      </c>
      <c r="D44" s="8"/>
      <c r="E44" s="12">
        <v>1.8699999999999999E-4</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F47" s="1"/>
      <c r="G47" s="1"/>
      <c r="H47" s="1"/>
      <c r="I47" s="1"/>
      <c r="J47" s="1"/>
      <c r="K47" s="1"/>
      <c r="L47" s="1"/>
      <c r="M47" s="1"/>
      <c r="N47" s="17"/>
    </row>
    <row r="48" spans="2:14" ht="15" customHeight="1" x14ac:dyDescent="0.25">
      <c r="B48" s="19"/>
      <c r="C48" s="1" t="s">
        <v>199</v>
      </c>
      <c r="F48" s="1"/>
      <c r="G48" s="1"/>
      <c r="H48" s="1"/>
      <c r="I48" s="1"/>
      <c r="J48" s="1"/>
      <c r="K48" s="1"/>
      <c r="L48" s="1"/>
      <c r="M48" s="1"/>
      <c r="N48" s="17"/>
    </row>
    <row r="49" spans="2:14" ht="15" customHeight="1" thickBot="1" x14ac:dyDescent="0.3">
      <c r="B49" s="20"/>
      <c r="C49" s="21"/>
      <c r="D49" s="21"/>
      <c r="E49" s="21"/>
      <c r="F49" s="21"/>
      <c r="G49" s="21"/>
      <c r="H49" s="21"/>
      <c r="I49" s="21"/>
      <c r="J49" s="21"/>
      <c r="K49" s="21"/>
      <c r="L49" s="21"/>
      <c r="M49" s="21"/>
      <c r="N49" s="22"/>
    </row>
    <row r="50" spans="2:14" ht="15" customHeight="1" thickBot="1" x14ac:dyDescent="0.3"/>
    <row r="51" spans="2:14" ht="126.75" customHeight="1" thickBot="1" x14ac:dyDescent="0.3">
      <c r="B51" s="31" t="s">
        <v>198</v>
      </c>
      <c r="C51" s="32"/>
      <c r="D51" s="32"/>
      <c r="E51" s="32"/>
      <c r="F51" s="32"/>
      <c r="G51" s="32"/>
      <c r="H51" s="32"/>
      <c r="I51" s="32"/>
      <c r="J51" s="32"/>
      <c r="K51" s="32"/>
      <c r="L51" s="32"/>
      <c r="M51" s="32"/>
      <c r="N51" s="33"/>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mergeCells count="4">
    <mergeCell ref="B51:N51"/>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88</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24</v>
      </c>
      <c r="D8" s="6" t="s">
        <v>27</v>
      </c>
      <c r="E8" s="11">
        <v>0.107458</v>
      </c>
      <c r="F8" s="1"/>
      <c r="G8" s="23" t="s">
        <v>15</v>
      </c>
      <c r="H8" s="24">
        <v>1</v>
      </c>
      <c r="I8" s="1"/>
      <c r="J8" s="23" t="s">
        <v>12</v>
      </c>
      <c r="K8" s="23" t="s">
        <v>3</v>
      </c>
      <c r="L8" s="1"/>
      <c r="M8" s="1"/>
      <c r="N8" s="17"/>
    </row>
    <row r="9" spans="2:14" ht="15" customHeight="1" x14ac:dyDescent="0.25">
      <c r="B9" s="19"/>
      <c r="C9" s="5" t="s">
        <v>25</v>
      </c>
      <c r="D9" s="6" t="s">
        <v>27</v>
      </c>
      <c r="E9" s="11">
        <v>0.101128</v>
      </c>
      <c r="F9" s="1"/>
      <c r="G9" s="1"/>
      <c r="H9" s="1"/>
      <c r="I9" s="1"/>
      <c r="J9" s="23" t="s">
        <v>13</v>
      </c>
      <c r="K9" s="25">
        <v>1.702E-3</v>
      </c>
      <c r="L9" s="1"/>
      <c r="M9" s="1"/>
      <c r="N9" s="17"/>
    </row>
    <row r="10" spans="2:14" ht="15" customHeight="1" x14ac:dyDescent="0.25">
      <c r="B10" s="19"/>
      <c r="C10" s="5" t="s">
        <v>34</v>
      </c>
      <c r="D10" s="6" t="s">
        <v>27</v>
      </c>
      <c r="E10" s="11">
        <v>8.3547999999999997E-2</v>
      </c>
      <c r="F10" s="1"/>
      <c r="G10" s="1"/>
      <c r="H10" s="1"/>
      <c r="I10" s="1"/>
      <c r="J10" s="23" t="s">
        <v>62</v>
      </c>
      <c r="K10" s="25">
        <v>0.74844999999999995</v>
      </c>
      <c r="L10" s="1"/>
      <c r="M10" s="1"/>
      <c r="N10" s="17"/>
    </row>
    <row r="11" spans="2:14" ht="15" customHeight="1" x14ac:dyDescent="0.25">
      <c r="B11" s="19"/>
      <c r="C11" s="5" t="s">
        <v>28</v>
      </c>
      <c r="D11" s="6" t="s">
        <v>27</v>
      </c>
      <c r="E11" s="11">
        <v>8.3107E-2</v>
      </c>
      <c r="F11" s="1"/>
      <c r="G11" s="1"/>
      <c r="H11" s="1"/>
      <c r="I11" s="1"/>
      <c r="J11" s="23" t="s">
        <v>64</v>
      </c>
      <c r="K11" s="25">
        <v>0.16269</v>
      </c>
      <c r="L11" s="1"/>
      <c r="M11" s="1"/>
      <c r="N11" s="17"/>
    </row>
    <row r="12" spans="2:14" ht="15" customHeight="1" x14ac:dyDescent="0.25">
      <c r="B12" s="19"/>
      <c r="C12" s="5" t="s">
        <v>31</v>
      </c>
      <c r="D12" s="6" t="s">
        <v>27</v>
      </c>
      <c r="E12" s="11">
        <v>6.5391000000000005E-2</v>
      </c>
      <c r="F12" s="1"/>
      <c r="G12" s="1"/>
      <c r="H12" s="1"/>
      <c r="I12" s="1"/>
      <c r="J12" s="23" t="s">
        <v>87</v>
      </c>
      <c r="K12" s="25">
        <v>5.47E-3</v>
      </c>
      <c r="L12" s="1"/>
      <c r="M12" s="1"/>
      <c r="N12" s="17"/>
    </row>
    <row r="13" spans="2:14" ht="15" customHeight="1" x14ac:dyDescent="0.25">
      <c r="B13" s="19"/>
      <c r="C13" s="5" t="s">
        <v>32</v>
      </c>
      <c r="D13" s="6" t="s">
        <v>27</v>
      </c>
      <c r="E13" s="11">
        <v>6.4259999999999998E-2</v>
      </c>
      <c r="F13" s="1"/>
      <c r="G13" s="1"/>
      <c r="H13" s="1"/>
      <c r="I13" s="1"/>
      <c r="J13" s="23" t="s">
        <v>66</v>
      </c>
      <c r="K13" s="25">
        <v>5.5012999999999999E-2</v>
      </c>
      <c r="L13" s="1"/>
      <c r="M13" s="1"/>
      <c r="N13" s="17"/>
    </row>
    <row r="14" spans="2:14" ht="15" customHeight="1" x14ac:dyDescent="0.25">
      <c r="B14" s="19"/>
      <c r="C14" s="5" t="s">
        <v>29</v>
      </c>
      <c r="D14" s="6" t="s">
        <v>27</v>
      </c>
      <c r="E14" s="11">
        <v>6.4037999999999998E-2</v>
      </c>
      <c r="F14" s="1"/>
      <c r="G14" s="1"/>
      <c r="H14" s="1"/>
      <c r="I14" s="1"/>
      <c r="J14" s="23" t="s">
        <v>10</v>
      </c>
      <c r="K14" s="25">
        <v>2.6675000000000001E-2</v>
      </c>
      <c r="L14" s="1"/>
      <c r="M14" s="1"/>
      <c r="N14" s="17"/>
    </row>
    <row r="15" spans="2:14" ht="15" customHeight="1" x14ac:dyDescent="0.25">
      <c r="B15" s="19"/>
      <c r="C15" s="5" t="s">
        <v>35</v>
      </c>
      <c r="D15" s="6" t="s">
        <v>27</v>
      </c>
      <c r="E15" s="11">
        <v>4.0332E-2</v>
      </c>
      <c r="F15" s="1"/>
      <c r="G15" s="1"/>
      <c r="H15" s="1"/>
      <c r="I15" s="1"/>
      <c r="J15" s="1"/>
      <c r="K15" s="1"/>
      <c r="L15" s="1"/>
      <c r="M15" s="1"/>
      <c r="N15" s="17"/>
    </row>
    <row r="16" spans="2:14" ht="15" customHeight="1" x14ac:dyDescent="0.25">
      <c r="B16" s="19"/>
      <c r="C16" s="5" t="s">
        <v>36</v>
      </c>
      <c r="D16" s="6" t="s">
        <v>27</v>
      </c>
      <c r="E16" s="11">
        <v>3.4854999999999997E-2</v>
      </c>
      <c r="F16" s="1"/>
      <c r="G16" s="1"/>
      <c r="H16" s="1"/>
      <c r="I16" s="1"/>
      <c r="J16" s="1"/>
      <c r="K16" s="1"/>
      <c r="L16" s="1"/>
      <c r="M16" s="1"/>
      <c r="N16" s="17"/>
    </row>
    <row r="17" spans="2:14" ht="15" customHeight="1" x14ac:dyDescent="0.25">
      <c r="B17" s="19"/>
      <c r="C17" s="5" t="s">
        <v>30</v>
      </c>
      <c r="D17" s="6" t="s">
        <v>27</v>
      </c>
      <c r="E17" s="11">
        <v>3.3753999999999999E-2</v>
      </c>
      <c r="F17" s="1"/>
      <c r="G17" s="1"/>
      <c r="H17" s="1"/>
      <c r="I17" s="1"/>
      <c r="J17" s="1"/>
      <c r="K17" s="1"/>
      <c r="L17" s="1"/>
      <c r="M17" s="1"/>
      <c r="N17" s="17"/>
    </row>
    <row r="18" spans="2:14" ht="15" customHeight="1" x14ac:dyDescent="0.25">
      <c r="B18" s="19"/>
      <c r="C18" s="5" t="s">
        <v>38</v>
      </c>
      <c r="D18" s="6" t="s">
        <v>27</v>
      </c>
      <c r="E18" s="11">
        <v>2.2152999999999999E-2</v>
      </c>
      <c r="F18" s="1"/>
      <c r="G18" s="1"/>
      <c r="H18" s="1"/>
      <c r="I18" s="1"/>
      <c r="J18" s="1"/>
      <c r="K18" s="1"/>
      <c r="L18" s="1"/>
      <c r="M18" s="1"/>
      <c r="N18" s="17"/>
    </row>
    <row r="19" spans="2:14" ht="15" customHeight="1" x14ac:dyDescent="0.25">
      <c r="B19" s="19"/>
      <c r="C19" s="5" t="s">
        <v>42</v>
      </c>
      <c r="D19" s="6" t="s">
        <v>27</v>
      </c>
      <c r="E19" s="11">
        <v>2.0759E-2</v>
      </c>
      <c r="F19" s="1"/>
      <c r="G19" s="1"/>
      <c r="H19" s="1"/>
      <c r="I19" s="1"/>
      <c r="J19" s="1"/>
      <c r="K19" s="1"/>
      <c r="L19" s="1"/>
      <c r="M19" s="1"/>
      <c r="N19" s="17"/>
    </row>
    <row r="20" spans="2:14" ht="15" customHeight="1" x14ac:dyDescent="0.25">
      <c r="B20" s="19"/>
      <c r="C20" s="5" t="s">
        <v>40</v>
      </c>
      <c r="D20" s="6" t="s">
        <v>27</v>
      </c>
      <c r="E20" s="11">
        <v>1.7242E-2</v>
      </c>
      <c r="F20" s="1"/>
      <c r="G20" s="1"/>
      <c r="H20" s="1"/>
      <c r="I20" s="1"/>
      <c r="J20" s="1"/>
      <c r="K20" s="1"/>
      <c r="L20" s="1"/>
      <c r="M20" s="1"/>
      <c r="N20" s="17"/>
    </row>
    <row r="21" spans="2:14" ht="15" customHeight="1" x14ac:dyDescent="0.25">
      <c r="B21" s="19"/>
      <c r="C21" s="5" t="s">
        <v>43</v>
      </c>
      <c r="D21" s="6" t="s">
        <v>27</v>
      </c>
      <c r="E21" s="11">
        <v>9.0240000000000008E-3</v>
      </c>
      <c r="F21" s="1"/>
      <c r="G21" s="1"/>
      <c r="H21" s="1"/>
      <c r="I21" s="1"/>
      <c r="J21" s="1"/>
      <c r="K21" s="1"/>
      <c r="L21" s="1"/>
      <c r="M21" s="1"/>
      <c r="N21" s="17"/>
    </row>
    <row r="22" spans="2:14" ht="15" customHeight="1" x14ac:dyDescent="0.25">
      <c r="B22" s="19"/>
      <c r="C22" s="5" t="s">
        <v>89</v>
      </c>
      <c r="D22" s="6" t="s">
        <v>27</v>
      </c>
      <c r="E22" s="11">
        <v>7.1199999999999996E-4</v>
      </c>
      <c r="F22" s="1"/>
      <c r="G22" s="1"/>
      <c r="H22" s="1"/>
      <c r="I22" s="1"/>
      <c r="J22" s="1"/>
      <c r="K22" s="1"/>
      <c r="L22" s="1"/>
      <c r="M22" s="1"/>
      <c r="N22" s="17"/>
    </row>
    <row r="23" spans="2:14" ht="15" customHeight="1" x14ac:dyDescent="0.25">
      <c r="B23" s="19"/>
      <c r="C23" s="5" t="s">
        <v>19</v>
      </c>
      <c r="D23" s="6" t="s">
        <v>27</v>
      </c>
      <c r="E23" s="11">
        <v>3.7399999999999998E-4</v>
      </c>
      <c r="F23" s="1"/>
      <c r="G23" s="1"/>
      <c r="H23" s="1"/>
      <c r="I23" s="1"/>
      <c r="J23" s="1"/>
      <c r="K23" s="1"/>
      <c r="L23" s="1"/>
      <c r="M23" s="1"/>
      <c r="N23" s="17"/>
    </row>
    <row r="24" spans="2:14" ht="15" customHeight="1" x14ac:dyDescent="0.25">
      <c r="B24" s="19"/>
      <c r="C24" s="5" t="s">
        <v>90</v>
      </c>
      <c r="D24" s="6" t="s">
        <v>27</v>
      </c>
      <c r="E24" s="11">
        <v>3.1500000000000001E-4</v>
      </c>
      <c r="F24" s="1"/>
      <c r="G24" s="1"/>
      <c r="H24" s="1"/>
      <c r="I24" s="1"/>
      <c r="J24" s="1"/>
      <c r="K24" s="1"/>
      <c r="L24" s="1"/>
      <c r="M24" s="1"/>
      <c r="N24" s="17"/>
    </row>
    <row r="25" spans="2:14" ht="15.75" customHeight="1" x14ac:dyDescent="0.25">
      <c r="B25" s="19"/>
      <c r="C25" s="7" t="s">
        <v>45</v>
      </c>
      <c r="D25" s="8"/>
      <c r="E25" s="12">
        <v>0.74844999999999995</v>
      </c>
      <c r="F25" s="1"/>
      <c r="G25" s="1"/>
      <c r="H25" s="1"/>
      <c r="I25" s="1"/>
      <c r="J25" s="1"/>
      <c r="K25" s="1"/>
      <c r="L25" s="1"/>
      <c r="M25" s="1"/>
      <c r="N25" s="17"/>
    </row>
    <row r="26" spans="2:14" ht="15" customHeight="1" x14ac:dyDescent="0.25">
      <c r="B26" s="19"/>
      <c r="C26" s="5" t="s">
        <v>51</v>
      </c>
      <c r="D26" s="6" t="s">
        <v>47</v>
      </c>
      <c r="E26" s="11">
        <v>9.7842999999999999E-2</v>
      </c>
      <c r="F26" s="1"/>
      <c r="G26" s="37" t="s">
        <v>17</v>
      </c>
      <c r="H26" s="38"/>
      <c r="I26" s="38"/>
      <c r="J26" s="38"/>
      <c r="K26" s="38"/>
      <c r="L26" s="38"/>
      <c r="M26" s="38"/>
      <c r="N26" s="39"/>
    </row>
    <row r="27" spans="2:14" ht="15" customHeight="1" x14ac:dyDescent="0.25">
      <c r="B27" s="19"/>
      <c r="C27" s="5" t="s">
        <v>77</v>
      </c>
      <c r="D27" s="6" t="s">
        <v>47</v>
      </c>
      <c r="E27" s="11">
        <v>1.8269000000000001E-2</v>
      </c>
      <c r="F27" s="1"/>
      <c r="G27" s="1"/>
      <c r="H27" s="1"/>
      <c r="I27" s="1"/>
      <c r="J27" s="1"/>
      <c r="K27" s="1"/>
      <c r="L27" s="1"/>
      <c r="M27" s="1"/>
      <c r="N27" s="17"/>
    </row>
    <row r="28" spans="2:14" ht="15" customHeight="1" x14ac:dyDescent="0.25">
      <c r="B28" s="19"/>
      <c r="C28" s="5" t="s">
        <v>72</v>
      </c>
      <c r="D28" s="6" t="s">
        <v>47</v>
      </c>
      <c r="E28" s="11">
        <v>1.5363999999999999E-2</v>
      </c>
      <c r="F28" s="1"/>
      <c r="G28" s="1"/>
      <c r="H28" s="1"/>
      <c r="I28" s="1"/>
      <c r="J28" s="1"/>
      <c r="K28" s="1"/>
      <c r="L28" s="1"/>
      <c r="M28" s="1"/>
      <c r="N28" s="17"/>
    </row>
    <row r="29" spans="2:14" ht="15" customHeight="1" x14ac:dyDescent="0.25">
      <c r="B29" s="19"/>
      <c r="C29" s="5" t="s">
        <v>69</v>
      </c>
      <c r="D29" s="6" t="s">
        <v>47</v>
      </c>
      <c r="E29" s="11">
        <v>1.4951000000000001E-2</v>
      </c>
      <c r="F29" s="1"/>
      <c r="G29" s="1"/>
      <c r="H29" s="1"/>
      <c r="I29" s="1"/>
      <c r="J29" s="1"/>
      <c r="K29" s="1"/>
      <c r="L29" s="1"/>
      <c r="M29" s="1"/>
      <c r="N29" s="17"/>
    </row>
    <row r="30" spans="2:14" ht="15" customHeight="1" x14ac:dyDescent="0.25">
      <c r="B30" s="19"/>
      <c r="C30" s="5" t="s">
        <v>76</v>
      </c>
      <c r="D30" s="6" t="s">
        <v>47</v>
      </c>
      <c r="E30" s="11">
        <v>8.6289999999999995E-3</v>
      </c>
      <c r="F30" s="1"/>
      <c r="G30" s="1"/>
      <c r="H30" s="1"/>
      <c r="I30" s="1"/>
      <c r="J30" s="1"/>
      <c r="K30" s="1"/>
      <c r="L30" s="1"/>
      <c r="M30" s="1"/>
      <c r="N30" s="17"/>
    </row>
    <row r="31" spans="2:14" ht="15" customHeight="1" x14ac:dyDescent="0.25">
      <c r="B31" s="19"/>
      <c r="C31" s="5" t="s">
        <v>91</v>
      </c>
      <c r="D31" s="6" t="s">
        <v>47</v>
      </c>
      <c r="E31" s="11">
        <v>7.6340000000000002E-3</v>
      </c>
      <c r="F31" s="1"/>
      <c r="G31" s="1"/>
      <c r="H31" s="1"/>
      <c r="I31" s="1"/>
      <c r="J31" s="1"/>
      <c r="K31" s="1"/>
      <c r="L31" s="1"/>
      <c r="M31" s="1"/>
      <c r="N31" s="17"/>
    </row>
    <row r="32" spans="2:14" ht="15.75" customHeight="1" x14ac:dyDescent="0.25">
      <c r="B32" s="19"/>
      <c r="C32" s="7" t="s">
        <v>56</v>
      </c>
      <c r="D32" s="8"/>
      <c r="E32" s="12">
        <v>0.16269</v>
      </c>
      <c r="F32" s="1"/>
      <c r="G32" s="1"/>
      <c r="H32" s="1"/>
      <c r="I32" s="1"/>
      <c r="J32" s="1"/>
      <c r="K32" s="1"/>
      <c r="L32" s="1"/>
      <c r="M32" s="1"/>
      <c r="N32" s="17"/>
    </row>
    <row r="33" spans="2:14" ht="15" customHeight="1" x14ac:dyDescent="0.25">
      <c r="B33" s="19"/>
      <c r="C33" s="5" t="s">
        <v>200</v>
      </c>
      <c r="D33" s="6" t="s">
        <v>78</v>
      </c>
      <c r="E33" s="11">
        <v>5.47E-3</v>
      </c>
      <c r="F33" s="1"/>
      <c r="G33" s="1"/>
      <c r="H33" s="1"/>
      <c r="I33" s="1"/>
      <c r="J33" s="1"/>
      <c r="K33" s="1"/>
      <c r="L33" s="1"/>
      <c r="M33" s="1"/>
      <c r="N33" s="17"/>
    </row>
    <row r="34" spans="2:14" ht="15.75" customHeight="1" x14ac:dyDescent="0.25">
      <c r="B34" s="19"/>
      <c r="C34" s="7" t="s">
        <v>79</v>
      </c>
      <c r="D34" s="8"/>
      <c r="E34" s="12">
        <v>5.47E-3</v>
      </c>
      <c r="F34" s="1"/>
      <c r="G34" s="1"/>
      <c r="H34" s="1"/>
      <c r="I34" s="1"/>
      <c r="J34" s="1"/>
      <c r="K34" s="1"/>
      <c r="L34" s="1"/>
      <c r="M34" s="1"/>
      <c r="N34" s="17"/>
    </row>
    <row r="35" spans="2:14" ht="15" customHeight="1" x14ac:dyDescent="0.25">
      <c r="B35" s="19"/>
      <c r="C35" s="5" t="s">
        <v>81</v>
      </c>
      <c r="D35" s="6" t="s">
        <v>47</v>
      </c>
      <c r="E35" s="11">
        <v>2.3335000000000002E-2</v>
      </c>
      <c r="F35" s="1"/>
      <c r="G35" s="1"/>
      <c r="H35" s="1"/>
      <c r="I35" s="1"/>
      <c r="J35" s="1"/>
      <c r="K35" s="1"/>
      <c r="L35" s="1"/>
      <c r="M35" s="1"/>
      <c r="N35" s="17"/>
    </row>
    <row r="36" spans="2:14" ht="15" customHeight="1" x14ac:dyDescent="0.25">
      <c r="B36" s="19"/>
      <c r="C36" s="5" t="s">
        <v>83</v>
      </c>
      <c r="D36" s="6" t="s">
        <v>47</v>
      </c>
      <c r="E36" s="11">
        <v>2.0527E-2</v>
      </c>
      <c r="F36" s="1"/>
      <c r="G36" s="1"/>
      <c r="H36" s="1"/>
      <c r="I36" s="1"/>
      <c r="J36" s="1"/>
      <c r="K36" s="1"/>
      <c r="L36" s="1"/>
      <c r="M36" s="1"/>
      <c r="N36" s="17"/>
    </row>
    <row r="37" spans="2:14" ht="15" customHeight="1" x14ac:dyDescent="0.25">
      <c r="B37" s="19"/>
      <c r="C37" s="5" t="s">
        <v>84</v>
      </c>
      <c r="D37" s="6" t="s">
        <v>47</v>
      </c>
      <c r="E37" s="11">
        <v>5.2310000000000004E-3</v>
      </c>
      <c r="F37" s="1"/>
      <c r="G37" s="1"/>
      <c r="H37" s="1"/>
      <c r="I37" s="1"/>
      <c r="J37" s="1"/>
      <c r="K37" s="1"/>
      <c r="L37" s="1"/>
      <c r="M37" s="1"/>
      <c r="N37" s="17"/>
    </row>
    <row r="38" spans="2:14" ht="15" customHeight="1" x14ac:dyDescent="0.25">
      <c r="B38" s="19"/>
      <c r="C38" s="5" t="s">
        <v>86</v>
      </c>
      <c r="D38" s="6" t="s">
        <v>47</v>
      </c>
      <c r="E38" s="11">
        <v>4.1790000000000004E-3</v>
      </c>
      <c r="F38" s="1"/>
      <c r="G38" s="1"/>
      <c r="H38" s="1"/>
      <c r="I38" s="1"/>
      <c r="J38" s="1"/>
      <c r="K38" s="1"/>
      <c r="L38" s="1"/>
      <c r="M38" s="1"/>
      <c r="N38" s="17"/>
    </row>
    <row r="39" spans="2:14" ht="15" customHeight="1" x14ac:dyDescent="0.25">
      <c r="B39" s="19"/>
      <c r="C39" s="5" t="s">
        <v>92</v>
      </c>
      <c r="D39" s="6" t="s">
        <v>47</v>
      </c>
      <c r="E39" s="11">
        <v>1.7409999999999999E-3</v>
      </c>
      <c r="F39" s="1"/>
      <c r="G39" s="1"/>
      <c r="H39" s="1"/>
      <c r="I39" s="1"/>
      <c r="J39" s="1"/>
      <c r="K39" s="1"/>
      <c r="L39" s="1"/>
      <c r="M39" s="1"/>
      <c r="N39" s="17"/>
    </row>
    <row r="40" spans="2:14" ht="15.75" customHeight="1" x14ac:dyDescent="0.25">
      <c r="B40" s="19"/>
      <c r="C40" s="7" t="s">
        <v>59</v>
      </c>
      <c r="D40" s="8"/>
      <c r="E40" s="12">
        <v>5.5012999999999999E-2</v>
      </c>
      <c r="F40" s="1"/>
      <c r="G40" s="1"/>
      <c r="H40" s="1"/>
      <c r="I40" s="1"/>
      <c r="J40" s="1"/>
      <c r="K40" s="1"/>
      <c r="L40" s="1"/>
      <c r="M40" s="1"/>
      <c r="N40" s="17"/>
    </row>
    <row r="41" spans="2:14" ht="15" customHeight="1" x14ac:dyDescent="0.25">
      <c r="B41" s="19"/>
      <c r="C41" s="5" t="s">
        <v>8</v>
      </c>
      <c r="D41" s="6"/>
      <c r="E41" s="11">
        <v>1.702E-3</v>
      </c>
      <c r="F41" s="1"/>
      <c r="G41" s="1"/>
      <c r="H41" s="1"/>
      <c r="I41" s="1"/>
      <c r="J41" s="1"/>
      <c r="K41" s="1"/>
      <c r="L41" s="1"/>
      <c r="M41" s="1"/>
      <c r="N41" s="17"/>
    </row>
    <row r="42" spans="2:14" ht="15.75" customHeight="1" x14ac:dyDescent="0.25">
      <c r="B42" s="19"/>
      <c r="C42" s="7" t="s">
        <v>9</v>
      </c>
      <c r="D42" s="8"/>
      <c r="E42" s="12">
        <v>1.702E-3</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75" customHeight="1" x14ac:dyDescent="0.25">
      <c r="B44" s="19"/>
      <c r="C44" s="7" t="s">
        <v>10</v>
      </c>
      <c r="D44" s="8"/>
      <c r="E44" s="12">
        <v>2.6675000000000001E-2</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t="s">
        <v>199</v>
      </c>
      <c r="D48" s="1"/>
      <c r="E48" s="1"/>
      <c r="F48" s="1"/>
      <c r="G48" s="1"/>
      <c r="H48" s="1"/>
      <c r="I48" s="1"/>
      <c r="J48" s="1"/>
      <c r="K48" s="1"/>
      <c r="L48" s="1"/>
      <c r="M48" s="1"/>
      <c r="N48" s="17"/>
    </row>
    <row r="49" spans="2:14" ht="15" customHeight="1" thickBot="1" x14ac:dyDescent="0.3">
      <c r="B49" s="20"/>
      <c r="C49" s="21"/>
      <c r="D49" s="21"/>
      <c r="E49" s="21"/>
      <c r="F49" s="21"/>
      <c r="G49" s="21"/>
      <c r="H49" s="21"/>
      <c r="I49" s="21"/>
      <c r="J49" s="21"/>
      <c r="K49" s="21"/>
      <c r="L49" s="21"/>
      <c r="M49" s="21"/>
      <c r="N49" s="22"/>
    </row>
    <row r="50" spans="2:14" ht="15" customHeight="1" thickBot="1" x14ac:dyDescent="0.3"/>
    <row r="51" spans="2:14" ht="126" customHeight="1" thickBot="1" x14ac:dyDescent="0.3">
      <c r="B51" s="31" t="s">
        <v>198</v>
      </c>
      <c r="C51" s="32"/>
      <c r="D51" s="32"/>
      <c r="E51" s="32"/>
      <c r="F51" s="32"/>
      <c r="G51" s="32"/>
      <c r="H51" s="32"/>
      <c r="I51" s="32"/>
      <c r="J51" s="32"/>
      <c r="K51" s="32"/>
      <c r="L51" s="32"/>
      <c r="M51" s="32"/>
      <c r="N51" s="33"/>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4">
    <mergeCell ref="B51:N51"/>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18</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8.6770000000000007E-3</v>
      </c>
      <c r="F8" s="1"/>
      <c r="G8" s="23" t="s">
        <v>15</v>
      </c>
      <c r="H8" s="24">
        <v>1</v>
      </c>
      <c r="I8" s="1"/>
      <c r="J8" s="23" t="s">
        <v>12</v>
      </c>
      <c r="K8" s="23" t="s">
        <v>3</v>
      </c>
      <c r="L8" s="1"/>
      <c r="M8" s="1"/>
      <c r="N8" s="17"/>
    </row>
    <row r="9" spans="2:14" ht="15" customHeight="1" x14ac:dyDescent="0.25">
      <c r="B9" s="19"/>
      <c r="C9" s="5" t="s">
        <v>21</v>
      </c>
      <c r="D9" s="6" t="s">
        <v>20</v>
      </c>
      <c r="E9" s="11">
        <v>7.6909999999999999E-3</v>
      </c>
      <c r="F9" s="1"/>
      <c r="G9" s="1"/>
      <c r="H9" s="1"/>
      <c r="I9" s="1"/>
      <c r="J9" s="23" t="s">
        <v>13</v>
      </c>
      <c r="K9" s="25">
        <v>7.5370000000000003E-3</v>
      </c>
      <c r="L9" s="1"/>
      <c r="M9" s="1"/>
      <c r="N9" s="17"/>
    </row>
    <row r="10" spans="2:14" ht="15" customHeight="1" x14ac:dyDescent="0.25">
      <c r="B10" s="19"/>
      <c r="C10" s="5" t="s">
        <v>22</v>
      </c>
      <c r="D10" s="6" t="s">
        <v>20</v>
      </c>
      <c r="E10" s="11">
        <v>1.3910000000000001E-3</v>
      </c>
      <c r="F10" s="1"/>
      <c r="G10" s="1"/>
      <c r="H10" s="1"/>
      <c r="I10" s="1"/>
      <c r="J10" s="23" t="s">
        <v>61</v>
      </c>
      <c r="K10" s="25">
        <v>1.7759E-2</v>
      </c>
      <c r="L10" s="1"/>
      <c r="M10" s="1"/>
      <c r="N10" s="17"/>
    </row>
    <row r="11" spans="2:14" ht="15.75" customHeight="1" x14ac:dyDescent="0.25">
      <c r="B11" s="19"/>
      <c r="C11" s="7" t="s">
        <v>23</v>
      </c>
      <c r="D11" s="8"/>
      <c r="E11" s="12">
        <v>1.7759E-2</v>
      </c>
      <c r="F11" s="1"/>
      <c r="G11" s="1"/>
      <c r="H11" s="1"/>
      <c r="I11" s="1"/>
      <c r="J11" s="23" t="s">
        <v>62</v>
      </c>
      <c r="K11" s="25">
        <v>0.83190799999999998</v>
      </c>
      <c r="L11" s="1"/>
      <c r="M11" s="1"/>
      <c r="N11" s="17"/>
    </row>
    <row r="12" spans="2:14" ht="15" customHeight="1" x14ac:dyDescent="0.25">
      <c r="B12" s="19"/>
      <c r="C12" s="5" t="s">
        <v>19</v>
      </c>
      <c r="D12" s="6" t="s">
        <v>20</v>
      </c>
      <c r="E12" s="11">
        <v>5.5589999999999997E-3</v>
      </c>
      <c r="F12" s="1"/>
      <c r="G12" s="1"/>
      <c r="H12" s="1"/>
      <c r="I12" s="1"/>
      <c r="J12" s="23" t="s">
        <v>63</v>
      </c>
      <c r="K12" s="25">
        <v>8.5550000000000001E-3</v>
      </c>
      <c r="L12" s="1"/>
      <c r="M12" s="1"/>
      <c r="N12" s="17"/>
    </row>
    <row r="13" spans="2:14" ht="15" customHeight="1" x14ac:dyDescent="0.25">
      <c r="B13" s="19"/>
      <c r="C13" s="5" t="s">
        <v>24</v>
      </c>
      <c r="D13" s="6" t="s">
        <v>20</v>
      </c>
      <c r="E13" s="11">
        <v>2.7720000000000002E-3</v>
      </c>
      <c r="F13" s="1"/>
      <c r="G13" s="1"/>
      <c r="H13" s="1"/>
      <c r="I13" s="1"/>
      <c r="J13" s="23" t="s">
        <v>64</v>
      </c>
      <c r="K13" s="25">
        <v>8.7672E-2</v>
      </c>
      <c r="L13" s="1"/>
      <c r="M13" s="1"/>
      <c r="N13" s="17"/>
    </row>
    <row r="14" spans="2:14" ht="15" customHeight="1" x14ac:dyDescent="0.25">
      <c r="B14" s="19"/>
      <c r="C14" s="5" t="s">
        <v>25</v>
      </c>
      <c r="D14" s="6" t="s">
        <v>20</v>
      </c>
      <c r="E14" s="11">
        <v>2.24E-4</v>
      </c>
      <c r="F14" s="1"/>
      <c r="G14" s="1"/>
      <c r="H14" s="1"/>
      <c r="I14" s="1"/>
      <c r="J14" s="23" t="s">
        <v>65</v>
      </c>
      <c r="K14" s="25">
        <v>7.2360000000000002E-3</v>
      </c>
      <c r="L14" s="1"/>
      <c r="M14" s="1"/>
      <c r="N14" s="17"/>
    </row>
    <row r="15" spans="2:14" ht="15.75" customHeight="1" x14ac:dyDescent="0.25">
      <c r="B15" s="19"/>
      <c r="C15" s="7" t="s">
        <v>26</v>
      </c>
      <c r="D15" s="8"/>
      <c r="E15" s="12">
        <v>8.5550000000000001E-3</v>
      </c>
      <c r="F15" s="1"/>
      <c r="G15" s="1"/>
      <c r="H15" s="1"/>
      <c r="I15" s="1"/>
      <c r="J15" s="23" t="s">
        <v>66</v>
      </c>
      <c r="K15" s="25">
        <v>1.684E-3</v>
      </c>
      <c r="L15" s="1"/>
      <c r="M15" s="1"/>
      <c r="N15" s="17"/>
    </row>
    <row r="16" spans="2:14" ht="15" customHeight="1" x14ac:dyDescent="0.25">
      <c r="B16" s="19"/>
      <c r="C16" s="5" t="s">
        <v>24</v>
      </c>
      <c r="D16" s="6" t="s">
        <v>27</v>
      </c>
      <c r="E16" s="11">
        <v>9.4025999999999998E-2</v>
      </c>
      <c r="F16" s="1"/>
      <c r="G16" s="1"/>
      <c r="H16" s="1"/>
      <c r="I16" s="1"/>
      <c r="J16" s="23" t="s">
        <v>67</v>
      </c>
      <c r="K16" s="25">
        <v>6.2189999999999997E-3</v>
      </c>
      <c r="L16" s="1"/>
      <c r="M16" s="1"/>
      <c r="N16" s="17"/>
    </row>
    <row r="17" spans="2:14" ht="15" customHeight="1" x14ac:dyDescent="0.25">
      <c r="B17" s="19"/>
      <c r="C17" s="5" t="s">
        <v>28</v>
      </c>
      <c r="D17" s="6" t="s">
        <v>27</v>
      </c>
      <c r="E17" s="11">
        <v>7.9018000000000005E-2</v>
      </c>
      <c r="F17" s="1"/>
      <c r="G17" s="1"/>
      <c r="H17" s="1"/>
      <c r="I17" s="1"/>
      <c r="J17" s="23" t="s">
        <v>10</v>
      </c>
      <c r="K17" s="25">
        <v>3.143E-2</v>
      </c>
      <c r="L17" s="1"/>
      <c r="M17" s="1"/>
      <c r="N17" s="17"/>
    </row>
    <row r="18" spans="2:14" ht="15" customHeight="1" x14ac:dyDescent="0.25">
      <c r="B18" s="19"/>
      <c r="C18" s="5" t="s">
        <v>29</v>
      </c>
      <c r="D18" s="6" t="s">
        <v>27</v>
      </c>
      <c r="E18" s="11">
        <v>5.9726000000000001E-2</v>
      </c>
      <c r="F18" s="1"/>
      <c r="G18" s="1"/>
      <c r="H18" s="1"/>
      <c r="I18" s="1"/>
      <c r="J18" s="1"/>
      <c r="K18" s="1"/>
      <c r="L18" s="1"/>
      <c r="M18" s="1"/>
      <c r="N18" s="17"/>
    </row>
    <row r="19" spans="2:14" ht="15" customHeight="1" x14ac:dyDescent="0.25">
      <c r="B19" s="19"/>
      <c r="C19" s="5" t="s">
        <v>30</v>
      </c>
      <c r="D19" s="6" t="s">
        <v>27</v>
      </c>
      <c r="E19" s="11">
        <v>5.7987999999999998E-2</v>
      </c>
      <c r="F19" s="1"/>
      <c r="G19" s="1"/>
      <c r="H19" s="1"/>
      <c r="I19" s="1"/>
      <c r="J19" s="1"/>
      <c r="K19" s="1"/>
      <c r="L19" s="1"/>
      <c r="M19" s="1"/>
      <c r="N19" s="17"/>
    </row>
    <row r="20" spans="2:14" ht="15" customHeight="1" x14ac:dyDescent="0.25">
      <c r="B20" s="19"/>
      <c r="C20" s="5" t="s">
        <v>21</v>
      </c>
      <c r="D20" s="6" t="s">
        <v>27</v>
      </c>
      <c r="E20" s="11">
        <v>5.7223000000000003E-2</v>
      </c>
      <c r="F20" s="1"/>
      <c r="G20" s="1"/>
      <c r="H20" s="1"/>
      <c r="I20" s="1"/>
      <c r="J20" s="1"/>
      <c r="K20" s="1"/>
      <c r="L20" s="1"/>
      <c r="M20" s="1"/>
      <c r="N20" s="17"/>
    </row>
    <row r="21" spans="2:14" ht="15" customHeight="1" x14ac:dyDescent="0.25">
      <c r="B21" s="19"/>
      <c r="C21" s="5" t="s">
        <v>31</v>
      </c>
      <c r="D21" s="6" t="s">
        <v>27</v>
      </c>
      <c r="E21" s="11">
        <v>5.6583000000000001E-2</v>
      </c>
      <c r="F21" s="1"/>
      <c r="G21" s="1"/>
      <c r="H21" s="1"/>
      <c r="I21" s="1"/>
      <c r="J21" s="1"/>
      <c r="K21" s="1"/>
      <c r="L21" s="1"/>
      <c r="M21" s="1"/>
      <c r="N21" s="17"/>
    </row>
    <row r="22" spans="2:14" ht="15" customHeight="1" x14ac:dyDescent="0.25">
      <c r="B22" s="19"/>
      <c r="C22" s="5" t="s">
        <v>32</v>
      </c>
      <c r="D22" s="6" t="s">
        <v>27</v>
      </c>
      <c r="E22" s="11">
        <v>5.6277000000000001E-2</v>
      </c>
      <c r="F22" s="1"/>
      <c r="G22" s="1"/>
      <c r="H22" s="1"/>
      <c r="I22" s="1"/>
      <c r="J22" s="1"/>
      <c r="K22" s="1"/>
      <c r="L22" s="1"/>
      <c r="M22" s="1"/>
      <c r="N22" s="17"/>
    </row>
    <row r="23" spans="2:14" ht="15" customHeight="1" x14ac:dyDescent="0.25">
      <c r="B23" s="19"/>
      <c r="C23" s="5" t="s">
        <v>33</v>
      </c>
      <c r="D23" s="6" t="s">
        <v>27</v>
      </c>
      <c r="E23" s="11">
        <v>5.5803999999999999E-2</v>
      </c>
      <c r="F23" s="1"/>
      <c r="G23" s="1"/>
      <c r="H23" s="1"/>
      <c r="I23" s="1"/>
      <c r="J23" s="1"/>
      <c r="K23" s="1"/>
      <c r="L23" s="1"/>
      <c r="M23" s="1"/>
      <c r="N23" s="17"/>
    </row>
    <row r="24" spans="2:14" ht="15" customHeight="1" x14ac:dyDescent="0.25">
      <c r="B24" s="19"/>
      <c r="C24" s="5" t="s">
        <v>34</v>
      </c>
      <c r="D24" s="6" t="s">
        <v>27</v>
      </c>
      <c r="E24" s="11">
        <v>5.2507999999999999E-2</v>
      </c>
      <c r="F24" s="1"/>
      <c r="G24" s="1"/>
      <c r="H24" s="1"/>
      <c r="I24" s="1"/>
      <c r="J24" s="1"/>
      <c r="K24" s="1"/>
      <c r="L24" s="1"/>
      <c r="M24" s="1"/>
      <c r="N24" s="17"/>
    </row>
    <row r="25" spans="2:14" ht="15" customHeight="1" x14ac:dyDescent="0.25">
      <c r="B25" s="19"/>
      <c r="C25" s="5" t="s">
        <v>35</v>
      </c>
      <c r="D25" s="6" t="s">
        <v>27</v>
      </c>
      <c r="E25" s="11">
        <v>4.9973999999999998E-2</v>
      </c>
      <c r="F25" s="1"/>
      <c r="G25" s="1"/>
      <c r="H25" s="1"/>
      <c r="I25" s="1"/>
      <c r="J25" s="1"/>
      <c r="K25" s="1"/>
      <c r="L25" s="1"/>
      <c r="M25" s="1"/>
      <c r="N25" s="17"/>
    </row>
    <row r="26" spans="2:14" ht="15" customHeight="1" x14ac:dyDescent="0.25">
      <c r="B26" s="19"/>
      <c r="C26" s="5" t="s">
        <v>25</v>
      </c>
      <c r="D26" s="6" t="s">
        <v>27</v>
      </c>
      <c r="E26" s="11">
        <v>3.9891999999999997E-2</v>
      </c>
      <c r="F26" s="1"/>
      <c r="G26" s="37" t="s">
        <v>17</v>
      </c>
      <c r="H26" s="38"/>
      <c r="I26" s="38"/>
      <c r="J26" s="38"/>
      <c r="K26" s="38"/>
      <c r="L26" s="38"/>
      <c r="M26" s="38"/>
      <c r="N26" s="39"/>
    </row>
    <row r="27" spans="2:14" ht="15" customHeight="1" x14ac:dyDescent="0.25">
      <c r="B27" s="19"/>
      <c r="C27" s="5" t="s">
        <v>36</v>
      </c>
      <c r="D27" s="6" t="s">
        <v>27</v>
      </c>
      <c r="E27" s="11">
        <v>3.8967000000000002E-2</v>
      </c>
      <c r="F27" s="1"/>
      <c r="G27" s="1"/>
      <c r="H27" s="1"/>
      <c r="I27" s="1"/>
      <c r="J27" s="1"/>
      <c r="K27" s="1"/>
      <c r="L27" s="1"/>
      <c r="M27" s="1"/>
      <c r="N27" s="17"/>
    </row>
    <row r="28" spans="2:14" ht="15" customHeight="1" x14ac:dyDescent="0.25">
      <c r="B28" s="19"/>
      <c r="C28" s="5" t="s">
        <v>19</v>
      </c>
      <c r="D28" s="6" t="s">
        <v>27</v>
      </c>
      <c r="E28" s="11">
        <v>2.8857000000000001E-2</v>
      </c>
      <c r="F28" s="1"/>
      <c r="G28" s="1"/>
      <c r="H28" s="1"/>
      <c r="I28" s="1"/>
      <c r="J28" s="1"/>
      <c r="K28" s="1"/>
      <c r="L28" s="1"/>
      <c r="M28" s="1"/>
      <c r="N28" s="17"/>
    </row>
    <row r="29" spans="2:14" ht="15" customHeight="1" x14ac:dyDescent="0.25">
      <c r="B29" s="19"/>
      <c r="C29" s="5" t="s">
        <v>37</v>
      </c>
      <c r="D29" s="6" t="s">
        <v>27</v>
      </c>
      <c r="E29" s="11">
        <v>2.6966E-2</v>
      </c>
      <c r="F29" s="1"/>
      <c r="G29" s="1"/>
      <c r="H29" s="1"/>
      <c r="I29" s="1"/>
      <c r="J29" s="1"/>
      <c r="K29" s="1"/>
      <c r="L29" s="1"/>
      <c r="M29" s="1"/>
      <c r="N29" s="17"/>
    </row>
    <row r="30" spans="2:14" ht="15" customHeight="1" x14ac:dyDescent="0.25">
      <c r="B30" s="19"/>
      <c r="C30" s="5" t="s">
        <v>38</v>
      </c>
      <c r="D30" s="6" t="s">
        <v>27</v>
      </c>
      <c r="E30" s="11">
        <v>2.2598E-2</v>
      </c>
      <c r="F30" s="1"/>
      <c r="G30" s="1"/>
      <c r="H30" s="1"/>
      <c r="I30" s="1"/>
      <c r="J30" s="1"/>
      <c r="K30" s="1"/>
      <c r="L30" s="1"/>
      <c r="M30" s="1"/>
      <c r="N30" s="17"/>
    </row>
    <row r="31" spans="2:14" ht="15" customHeight="1" x14ac:dyDescent="0.25">
      <c r="B31" s="19"/>
      <c r="C31" s="5" t="s">
        <v>39</v>
      </c>
      <c r="D31" s="6" t="s">
        <v>27</v>
      </c>
      <c r="E31" s="11">
        <v>1.7693E-2</v>
      </c>
      <c r="F31" s="1"/>
      <c r="G31" s="1"/>
      <c r="H31" s="1"/>
      <c r="I31" s="1"/>
      <c r="J31" s="1"/>
      <c r="K31" s="1"/>
      <c r="L31" s="1"/>
      <c r="M31" s="1"/>
      <c r="N31" s="17"/>
    </row>
    <row r="32" spans="2:14" ht="15" customHeight="1" x14ac:dyDescent="0.25">
      <c r="B32" s="19"/>
      <c r="C32" s="5" t="s">
        <v>40</v>
      </c>
      <c r="D32" s="6" t="s">
        <v>27</v>
      </c>
      <c r="E32" s="11">
        <v>1.4053E-2</v>
      </c>
      <c r="F32" s="1"/>
      <c r="G32" s="1"/>
      <c r="H32" s="1"/>
      <c r="I32" s="1"/>
      <c r="J32" s="1"/>
      <c r="K32" s="1"/>
      <c r="L32" s="1"/>
      <c r="M32" s="1"/>
      <c r="N32" s="17"/>
    </row>
    <row r="33" spans="2:14" ht="15" customHeight="1" x14ac:dyDescent="0.25">
      <c r="B33" s="19"/>
      <c r="C33" s="5" t="s">
        <v>41</v>
      </c>
      <c r="D33" s="6" t="s">
        <v>27</v>
      </c>
      <c r="E33" s="11">
        <v>9.8729999999999998E-3</v>
      </c>
      <c r="F33" s="1"/>
      <c r="G33" s="1"/>
      <c r="H33" s="1"/>
      <c r="I33" s="1"/>
      <c r="J33" s="1"/>
      <c r="K33" s="1"/>
      <c r="L33" s="1"/>
      <c r="M33" s="1"/>
      <c r="N33" s="17"/>
    </row>
    <row r="34" spans="2:14" ht="15" customHeight="1" x14ac:dyDescent="0.25">
      <c r="B34" s="19"/>
      <c r="C34" s="5" t="s">
        <v>42</v>
      </c>
      <c r="D34" s="6" t="s">
        <v>27</v>
      </c>
      <c r="E34" s="11">
        <v>8.8269999999999998E-3</v>
      </c>
      <c r="F34" s="1"/>
      <c r="G34" s="1"/>
      <c r="H34" s="1"/>
      <c r="I34" s="1"/>
      <c r="J34" s="1"/>
      <c r="K34" s="1"/>
      <c r="L34" s="1"/>
      <c r="M34" s="1"/>
      <c r="N34" s="17"/>
    </row>
    <row r="35" spans="2:14" ht="15" customHeight="1" x14ac:dyDescent="0.25">
      <c r="B35" s="19"/>
      <c r="C35" s="5" t="s">
        <v>43</v>
      </c>
      <c r="D35" s="6" t="s">
        <v>27</v>
      </c>
      <c r="E35" s="11">
        <v>4.8240000000000002E-3</v>
      </c>
      <c r="F35" s="1"/>
      <c r="G35" s="1"/>
      <c r="H35" s="1"/>
      <c r="I35" s="1"/>
      <c r="J35" s="1"/>
      <c r="K35" s="1"/>
      <c r="L35" s="1"/>
      <c r="M35" s="1"/>
      <c r="N35" s="17"/>
    </row>
    <row r="36" spans="2:14" ht="15" customHeight="1" x14ac:dyDescent="0.25">
      <c r="B36" s="19"/>
      <c r="C36" s="5" t="s">
        <v>44</v>
      </c>
      <c r="D36" s="6" t="s">
        <v>27</v>
      </c>
      <c r="E36" s="11">
        <v>2.31E-4</v>
      </c>
      <c r="F36" s="1"/>
      <c r="G36" s="1"/>
      <c r="H36" s="1"/>
      <c r="I36" s="1"/>
      <c r="J36" s="1"/>
      <c r="K36" s="1"/>
      <c r="L36" s="1"/>
      <c r="M36" s="1"/>
      <c r="N36" s="17"/>
    </row>
    <row r="37" spans="2:14" ht="15.75" customHeight="1" x14ac:dyDescent="0.25">
      <c r="B37" s="19"/>
      <c r="C37" s="7" t="s">
        <v>45</v>
      </c>
      <c r="D37" s="8"/>
      <c r="E37" s="12">
        <v>0.83190799999999998</v>
      </c>
      <c r="F37" s="1"/>
      <c r="G37" s="1"/>
      <c r="H37" s="1"/>
      <c r="I37" s="1"/>
      <c r="J37" s="1"/>
      <c r="K37" s="1"/>
      <c r="L37" s="1"/>
      <c r="M37" s="1"/>
      <c r="N37" s="17"/>
    </row>
    <row r="38" spans="2:14" ht="15" customHeight="1" x14ac:dyDescent="0.25">
      <c r="B38" s="19"/>
      <c r="C38" s="5" t="s">
        <v>46</v>
      </c>
      <c r="D38" s="6" t="s">
        <v>47</v>
      </c>
      <c r="E38" s="11">
        <v>2.6564000000000001E-2</v>
      </c>
      <c r="F38" s="1"/>
      <c r="G38" s="1"/>
      <c r="H38" s="1"/>
      <c r="I38" s="1"/>
      <c r="J38" s="1"/>
      <c r="K38" s="1"/>
      <c r="L38" s="1"/>
      <c r="M38" s="1"/>
      <c r="N38" s="17"/>
    </row>
    <row r="39" spans="2:14" ht="15" customHeight="1" x14ac:dyDescent="0.25">
      <c r="B39" s="19"/>
      <c r="C39" s="5" t="s">
        <v>48</v>
      </c>
      <c r="D39" s="6" t="s">
        <v>47</v>
      </c>
      <c r="E39" s="11">
        <v>1.6369999999999999E-2</v>
      </c>
      <c r="F39" s="1"/>
      <c r="G39" s="1"/>
      <c r="H39" s="1"/>
      <c r="I39" s="1"/>
      <c r="J39" s="1"/>
      <c r="K39" s="1"/>
      <c r="L39" s="1"/>
      <c r="M39" s="1"/>
      <c r="N39" s="17"/>
    </row>
    <row r="40" spans="2:14" ht="15" customHeight="1" x14ac:dyDescent="0.25">
      <c r="B40" s="19"/>
      <c r="C40" s="5" t="s">
        <v>49</v>
      </c>
      <c r="D40" s="6" t="s">
        <v>47</v>
      </c>
      <c r="E40" s="11">
        <v>1.3270000000000001E-2</v>
      </c>
      <c r="F40" s="1"/>
      <c r="G40" s="1"/>
      <c r="H40" s="1"/>
      <c r="I40" s="1"/>
      <c r="J40" s="1"/>
      <c r="K40" s="1"/>
      <c r="L40" s="1"/>
      <c r="M40" s="1"/>
      <c r="N40" s="17"/>
    </row>
    <row r="41" spans="2:14" ht="15" customHeight="1" x14ac:dyDescent="0.25">
      <c r="B41" s="19"/>
      <c r="C41" s="5" t="s">
        <v>50</v>
      </c>
      <c r="D41" s="6" t="s">
        <v>47</v>
      </c>
      <c r="E41" s="11">
        <v>1.2671E-2</v>
      </c>
      <c r="F41" s="1"/>
      <c r="G41" s="1"/>
      <c r="H41" s="1"/>
      <c r="I41" s="1"/>
      <c r="J41" s="1"/>
      <c r="K41" s="1"/>
      <c r="L41" s="1"/>
      <c r="M41" s="1"/>
      <c r="N41" s="17"/>
    </row>
    <row r="42" spans="2:14" ht="15" customHeight="1" x14ac:dyDescent="0.25">
      <c r="B42" s="19"/>
      <c r="C42" s="5" t="s">
        <v>51</v>
      </c>
      <c r="D42" s="6" t="s">
        <v>47</v>
      </c>
      <c r="E42" s="11">
        <v>9.8460000000000006E-3</v>
      </c>
      <c r="F42" s="1"/>
      <c r="G42" s="1"/>
      <c r="H42" s="1"/>
      <c r="I42" s="1"/>
      <c r="J42" s="1"/>
      <c r="K42" s="1"/>
      <c r="L42" s="1"/>
      <c r="M42" s="1"/>
      <c r="N42" s="17"/>
    </row>
    <row r="43" spans="2:14" ht="15" customHeight="1" x14ac:dyDescent="0.25">
      <c r="B43" s="19"/>
      <c r="C43" s="5" t="s">
        <v>52</v>
      </c>
      <c r="D43" s="6" t="s">
        <v>47</v>
      </c>
      <c r="E43" s="11">
        <v>3.516E-3</v>
      </c>
      <c r="F43" s="1"/>
      <c r="G43" s="1"/>
      <c r="H43" s="1"/>
      <c r="I43" s="1"/>
      <c r="J43" s="1"/>
      <c r="K43" s="1"/>
      <c r="L43" s="1"/>
      <c r="M43" s="1"/>
      <c r="N43" s="17"/>
    </row>
    <row r="44" spans="2:14" ht="15" customHeight="1" x14ac:dyDescent="0.25">
      <c r="B44" s="19"/>
      <c r="C44" s="5" t="s">
        <v>53</v>
      </c>
      <c r="D44" s="6" t="s">
        <v>47</v>
      </c>
      <c r="E44" s="11">
        <v>2.99E-3</v>
      </c>
      <c r="F44" s="1"/>
      <c r="G44" s="1"/>
      <c r="H44" s="1"/>
      <c r="I44" s="1"/>
      <c r="J44" s="1"/>
      <c r="K44" s="1"/>
      <c r="L44" s="1"/>
      <c r="M44" s="1"/>
      <c r="N44" s="17"/>
    </row>
    <row r="45" spans="2:14" ht="15" customHeight="1" x14ac:dyDescent="0.25">
      <c r="B45" s="19"/>
      <c r="C45" s="5" t="s">
        <v>54</v>
      </c>
      <c r="D45" s="6" t="s">
        <v>47</v>
      </c>
      <c r="E45" s="11">
        <v>1.8209999999999999E-3</v>
      </c>
      <c r="F45" s="1"/>
      <c r="G45" s="1"/>
      <c r="H45" s="1"/>
      <c r="I45" s="1"/>
      <c r="J45" s="1"/>
      <c r="K45" s="1"/>
      <c r="L45" s="1"/>
      <c r="M45" s="1"/>
      <c r="N45" s="17"/>
    </row>
    <row r="46" spans="2:14" ht="15" customHeight="1" x14ac:dyDescent="0.25">
      <c r="B46" s="19"/>
      <c r="C46" s="5" t="s">
        <v>55</v>
      </c>
      <c r="D46" s="6" t="s">
        <v>47</v>
      </c>
      <c r="E46" s="11">
        <v>6.2399999999999999E-4</v>
      </c>
      <c r="F46" s="1"/>
      <c r="G46" s="1"/>
      <c r="H46" s="1"/>
      <c r="I46" s="1"/>
      <c r="J46" s="1"/>
      <c r="K46" s="1"/>
      <c r="L46" s="1"/>
      <c r="M46" s="1"/>
      <c r="N46" s="17"/>
    </row>
    <row r="47" spans="2:14" ht="15.75" customHeight="1" x14ac:dyDescent="0.25">
      <c r="B47" s="19"/>
      <c r="C47" s="7" t="s">
        <v>56</v>
      </c>
      <c r="D47" s="8"/>
      <c r="E47" s="12">
        <v>8.7672E-2</v>
      </c>
      <c r="F47" s="1"/>
      <c r="G47" s="1"/>
      <c r="H47" s="1"/>
      <c r="I47" s="1"/>
      <c r="J47" s="1"/>
      <c r="K47" s="1"/>
      <c r="L47" s="1"/>
      <c r="M47" s="1"/>
      <c r="N47" s="17"/>
    </row>
    <row r="48" spans="2:14" ht="15" customHeight="1" x14ac:dyDescent="0.25">
      <c r="B48" s="19"/>
      <c r="C48" s="5" t="s">
        <v>162</v>
      </c>
      <c r="D48" s="6" t="s">
        <v>47</v>
      </c>
      <c r="E48" s="11">
        <v>3.1199999999999999E-3</v>
      </c>
      <c r="F48" s="1"/>
      <c r="G48" s="1"/>
      <c r="H48" s="1"/>
      <c r="I48" s="1"/>
      <c r="J48" s="1"/>
      <c r="K48" s="1"/>
      <c r="L48" s="1"/>
      <c r="M48" s="1"/>
      <c r="N48" s="17"/>
    </row>
    <row r="49" spans="2:14" ht="15.75" customHeight="1" x14ac:dyDescent="0.25">
      <c r="B49" s="19"/>
      <c r="C49" s="5" t="s">
        <v>163</v>
      </c>
      <c r="D49" s="6" t="s">
        <v>47</v>
      </c>
      <c r="E49" s="11">
        <v>1.4109999999999999E-3</v>
      </c>
      <c r="F49" s="1"/>
      <c r="G49" s="1"/>
      <c r="H49" s="1"/>
      <c r="I49" s="1"/>
      <c r="J49" s="1"/>
      <c r="K49" s="1"/>
      <c r="L49" s="1"/>
      <c r="M49" s="1"/>
      <c r="N49" s="17"/>
    </row>
    <row r="50" spans="2:14" ht="15" customHeight="1" x14ac:dyDescent="0.25">
      <c r="B50" s="19"/>
      <c r="C50" s="5" t="s">
        <v>164</v>
      </c>
      <c r="D50" s="6" t="s">
        <v>47</v>
      </c>
      <c r="E50" s="11">
        <v>8.5599999999999999E-4</v>
      </c>
      <c r="F50" s="1"/>
      <c r="G50" s="1"/>
      <c r="H50" s="1"/>
      <c r="I50" s="1"/>
      <c r="J50" s="1"/>
      <c r="K50" s="1"/>
      <c r="L50" s="1"/>
      <c r="M50" s="1"/>
      <c r="N50" s="17"/>
    </row>
    <row r="51" spans="2:14" ht="15.75" customHeight="1" x14ac:dyDescent="0.25">
      <c r="B51" s="19"/>
      <c r="C51" s="5" t="s">
        <v>165</v>
      </c>
      <c r="D51" s="6" t="s">
        <v>47</v>
      </c>
      <c r="E51" s="11">
        <v>6.0700000000000001E-4</v>
      </c>
      <c r="F51" s="1"/>
      <c r="G51" s="1"/>
      <c r="H51" s="1"/>
      <c r="I51" s="1"/>
      <c r="J51" s="1"/>
      <c r="K51" s="1"/>
      <c r="L51" s="1"/>
      <c r="M51" s="1"/>
      <c r="N51" s="17"/>
    </row>
    <row r="52" spans="2:14" ht="15" customHeight="1" x14ac:dyDescent="0.25">
      <c r="B52" s="19"/>
      <c r="C52" s="5" t="s">
        <v>166</v>
      </c>
      <c r="D52" s="6" t="s">
        <v>47</v>
      </c>
      <c r="E52" s="11">
        <v>6.0700000000000001E-4</v>
      </c>
      <c r="F52" s="1"/>
      <c r="G52" s="1"/>
      <c r="H52" s="1"/>
      <c r="I52" s="1"/>
      <c r="J52" s="1"/>
      <c r="K52" s="1"/>
      <c r="L52" s="1"/>
      <c r="M52" s="1"/>
      <c r="N52" s="17"/>
    </row>
    <row r="53" spans="2:14" ht="15.75" customHeight="1" x14ac:dyDescent="0.25">
      <c r="B53" s="19"/>
      <c r="C53" s="5" t="s">
        <v>167</v>
      </c>
      <c r="D53" s="6" t="s">
        <v>47</v>
      </c>
      <c r="E53" s="11">
        <v>3.01E-4</v>
      </c>
      <c r="F53" s="1"/>
      <c r="G53" s="1"/>
      <c r="H53" s="1"/>
      <c r="I53" s="1"/>
      <c r="J53" s="1"/>
      <c r="K53" s="1"/>
      <c r="L53" s="1"/>
      <c r="M53" s="1"/>
      <c r="N53" s="17"/>
    </row>
    <row r="54" spans="2:14" ht="15" customHeight="1" x14ac:dyDescent="0.25">
      <c r="B54" s="19"/>
      <c r="C54" s="5" t="s">
        <v>168</v>
      </c>
      <c r="D54" s="6" t="s">
        <v>47</v>
      </c>
      <c r="E54" s="11">
        <v>1.7200000000000001E-4</v>
      </c>
      <c r="F54" s="1"/>
      <c r="G54" s="1"/>
      <c r="H54" s="1"/>
      <c r="I54" s="1"/>
      <c r="J54" s="1"/>
      <c r="K54" s="1"/>
      <c r="L54" s="1"/>
      <c r="M54" s="1"/>
      <c r="N54" s="17"/>
    </row>
    <row r="55" spans="2:14" ht="15.75" customHeight="1" x14ac:dyDescent="0.25">
      <c r="B55" s="19"/>
      <c r="C55" s="5" t="s">
        <v>169</v>
      </c>
      <c r="D55" s="6" t="s">
        <v>47</v>
      </c>
      <c r="E55" s="11">
        <v>1.3300000000000001E-4</v>
      </c>
      <c r="F55" s="1"/>
      <c r="G55" s="1"/>
      <c r="H55" s="1"/>
      <c r="I55" s="1"/>
      <c r="J55" s="1"/>
      <c r="K55" s="1"/>
      <c r="L55" s="1"/>
      <c r="M55" s="1"/>
      <c r="N55" s="17"/>
    </row>
    <row r="56" spans="2:14" ht="15" customHeight="1" x14ac:dyDescent="0.25">
      <c r="B56" s="19"/>
      <c r="C56" s="5" t="s">
        <v>161</v>
      </c>
      <c r="D56" s="6" t="s">
        <v>47</v>
      </c>
      <c r="E56" s="26">
        <v>2.9E-5</v>
      </c>
      <c r="F56" s="1"/>
      <c r="G56" s="1"/>
      <c r="H56" s="1"/>
      <c r="I56" s="1"/>
      <c r="J56" s="1"/>
      <c r="K56" s="1"/>
      <c r="L56" s="1"/>
      <c r="M56" s="1"/>
      <c r="N56" s="17"/>
    </row>
    <row r="57" spans="2:14" ht="15.75" customHeight="1" x14ac:dyDescent="0.25">
      <c r="B57" s="19"/>
      <c r="C57" s="7" t="s">
        <v>57</v>
      </c>
      <c r="D57" s="8"/>
      <c r="E57" s="12">
        <v>7.2360000000000002E-3</v>
      </c>
      <c r="F57" s="1"/>
      <c r="G57" s="1"/>
      <c r="H57" s="1"/>
      <c r="I57" s="1"/>
      <c r="J57" s="1"/>
      <c r="K57" s="1"/>
      <c r="L57" s="1"/>
      <c r="M57" s="1"/>
      <c r="N57" s="17"/>
    </row>
    <row r="58" spans="2:14" ht="15" customHeight="1" x14ac:dyDescent="0.25">
      <c r="B58" s="19"/>
      <c r="C58" s="5" t="s">
        <v>58</v>
      </c>
      <c r="D58" s="6" t="s">
        <v>47</v>
      </c>
      <c r="E58" s="11">
        <v>1.684E-3</v>
      </c>
      <c r="F58" s="1"/>
      <c r="G58" s="1"/>
      <c r="H58" s="1"/>
      <c r="I58" s="1"/>
      <c r="J58" s="1"/>
      <c r="K58" s="1"/>
      <c r="L58" s="1"/>
      <c r="M58" s="1"/>
      <c r="N58" s="17"/>
    </row>
    <row r="59" spans="2:14" ht="15" customHeight="1" x14ac:dyDescent="0.25">
      <c r="B59" s="19"/>
      <c r="C59" s="7" t="s">
        <v>59</v>
      </c>
      <c r="D59" s="8"/>
      <c r="E59" s="12">
        <v>1.684E-3</v>
      </c>
      <c r="F59" s="1"/>
      <c r="G59" s="1"/>
      <c r="H59" s="1"/>
      <c r="I59" s="1"/>
      <c r="J59" s="1"/>
      <c r="K59" s="1"/>
      <c r="L59" s="1"/>
      <c r="M59" s="1"/>
      <c r="N59" s="17"/>
    </row>
    <row r="60" spans="2:14" ht="15" customHeight="1" x14ac:dyDescent="0.25">
      <c r="B60" s="19"/>
      <c r="C60" s="5" t="s">
        <v>8</v>
      </c>
      <c r="D60" s="6"/>
      <c r="E60" s="11">
        <v>7.5370000000000003E-3</v>
      </c>
      <c r="F60" s="1"/>
      <c r="G60" s="1"/>
      <c r="H60" s="1"/>
      <c r="I60" s="1"/>
      <c r="J60" s="1"/>
      <c r="K60" s="1"/>
      <c r="L60" s="1"/>
      <c r="M60" s="1"/>
      <c r="N60" s="17"/>
    </row>
    <row r="61" spans="2:14" ht="15" customHeight="1" x14ac:dyDescent="0.25">
      <c r="B61" s="19"/>
      <c r="C61" s="7" t="s">
        <v>9</v>
      </c>
      <c r="D61" s="8"/>
      <c r="E61" s="12">
        <v>7.5370000000000003E-3</v>
      </c>
      <c r="F61" s="1"/>
      <c r="G61" s="1"/>
      <c r="H61" s="1"/>
      <c r="I61" s="1"/>
      <c r="J61" s="1"/>
      <c r="K61" s="1"/>
      <c r="L61" s="1"/>
      <c r="M61" s="1"/>
      <c r="N61" s="17"/>
    </row>
    <row r="62" spans="2:14" ht="15" customHeight="1" x14ac:dyDescent="0.25">
      <c r="B62" s="19"/>
      <c r="C62" s="5" t="s">
        <v>34</v>
      </c>
      <c r="D62" s="6" t="s">
        <v>27</v>
      </c>
      <c r="E62" s="11">
        <v>6.2189999999999997E-3</v>
      </c>
      <c r="F62" s="1"/>
      <c r="G62" s="1"/>
      <c r="H62" s="1"/>
      <c r="I62" s="1"/>
      <c r="J62" s="1"/>
      <c r="K62" s="1"/>
      <c r="L62" s="1"/>
      <c r="M62" s="1"/>
      <c r="N62" s="17"/>
    </row>
    <row r="63" spans="2:14" ht="15" customHeight="1" x14ac:dyDescent="0.25">
      <c r="B63" s="19"/>
      <c r="C63" s="7" t="s">
        <v>60</v>
      </c>
      <c r="D63" s="8"/>
      <c r="E63" s="12">
        <v>6.2189999999999997E-3</v>
      </c>
      <c r="F63" s="1"/>
      <c r="G63" s="1"/>
      <c r="H63" s="1"/>
      <c r="I63" s="1"/>
      <c r="J63" s="1"/>
      <c r="K63" s="1"/>
      <c r="L63" s="1"/>
      <c r="M63" s="1"/>
      <c r="N63" s="17"/>
    </row>
    <row r="64" spans="2:14" ht="15" customHeight="1" x14ac:dyDescent="0.25">
      <c r="B64" s="19"/>
      <c r="C64" s="5"/>
      <c r="D64" s="6"/>
      <c r="E64" s="11"/>
      <c r="F64" s="1"/>
      <c r="G64" s="1"/>
      <c r="H64" s="1"/>
      <c r="I64" s="1"/>
      <c r="J64" s="1"/>
      <c r="K64" s="1"/>
      <c r="L64" s="1"/>
      <c r="M64" s="1"/>
      <c r="N64" s="17"/>
    </row>
    <row r="65" spans="2:14" ht="15" customHeight="1" x14ac:dyDescent="0.25">
      <c r="B65" s="19"/>
      <c r="C65" s="7" t="s">
        <v>10</v>
      </c>
      <c r="D65" s="8"/>
      <c r="E65" s="12">
        <v>3.143E-2</v>
      </c>
      <c r="F65" s="1"/>
      <c r="G65" s="1"/>
      <c r="H65" s="1"/>
      <c r="I65" s="1"/>
      <c r="J65" s="1"/>
      <c r="K65" s="1"/>
      <c r="L65" s="1"/>
      <c r="M65" s="1"/>
      <c r="N65" s="17"/>
    </row>
    <row r="66" spans="2:14" ht="15" customHeight="1" x14ac:dyDescent="0.25">
      <c r="B66" s="19"/>
      <c r="C66" s="5"/>
      <c r="D66" s="6"/>
      <c r="E66" s="11"/>
      <c r="F66" s="1"/>
      <c r="G66" s="1"/>
      <c r="H66" s="1"/>
      <c r="I66" s="1"/>
      <c r="J66" s="1"/>
      <c r="K66" s="1"/>
      <c r="L66" s="1"/>
      <c r="M66" s="1"/>
      <c r="N66" s="17"/>
    </row>
    <row r="67" spans="2:14" ht="15" customHeight="1" x14ac:dyDescent="0.25">
      <c r="B67" s="19"/>
      <c r="C67" s="9" t="s">
        <v>11</v>
      </c>
      <c r="D67" s="10"/>
      <c r="E67" s="13">
        <v>1</v>
      </c>
      <c r="F67" s="1"/>
      <c r="G67" s="1"/>
      <c r="H67" s="1"/>
      <c r="I67" s="1"/>
      <c r="J67" s="1"/>
      <c r="K67" s="1"/>
      <c r="L67" s="1"/>
      <c r="M67" s="1"/>
      <c r="N67" s="17"/>
    </row>
    <row r="68" spans="2:14" ht="15" customHeight="1" x14ac:dyDescent="0.25">
      <c r="B68" s="19"/>
      <c r="F68" s="1"/>
      <c r="G68" s="1"/>
      <c r="H68" s="1"/>
      <c r="I68" s="1"/>
      <c r="J68" s="1"/>
      <c r="K68" s="1"/>
      <c r="L68" s="1"/>
      <c r="M68" s="1"/>
      <c r="N68" s="17"/>
    </row>
    <row r="69" spans="2:14" ht="15" customHeight="1" thickBot="1" x14ac:dyDescent="0.3">
      <c r="B69" s="20"/>
      <c r="C69" s="21"/>
      <c r="D69" s="21"/>
      <c r="E69" s="21"/>
      <c r="F69" s="21"/>
      <c r="G69" s="21"/>
      <c r="H69" s="21"/>
      <c r="I69" s="21"/>
      <c r="J69" s="21"/>
      <c r="K69" s="21"/>
      <c r="L69" s="21"/>
      <c r="M69" s="21"/>
      <c r="N69" s="22"/>
    </row>
    <row r="70" spans="2:14" ht="15" customHeight="1" thickBot="1" x14ac:dyDescent="0.3"/>
    <row r="71" spans="2:14" ht="117" customHeight="1" thickBot="1" x14ac:dyDescent="0.3">
      <c r="B71" s="31" t="s">
        <v>198</v>
      </c>
      <c r="C71" s="32"/>
      <c r="D71" s="32"/>
      <c r="E71" s="32"/>
      <c r="F71" s="32"/>
      <c r="G71" s="32"/>
      <c r="H71" s="32"/>
      <c r="I71" s="32"/>
      <c r="J71" s="32"/>
      <c r="K71" s="32"/>
      <c r="L71" s="32"/>
      <c r="M71" s="32"/>
      <c r="N71" s="33"/>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mergeCells count="4">
    <mergeCell ref="B71:N71"/>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104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21</v>
      </c>
      <c r="D8" s="6" t="s">
        <v>20</v>
      </c>
      <c r="E8" s="11">
        <v>2.147E-3</v>
      </c>
      <c r="F8" s="1"/>
      <c r="G8" s="23" t="s">
        <v>15</v>
      </c>
      <c r="H8" s="24">
        <v>1</v>
      </c>
      <c r="I8" s="1"/>
      <c r="J8" s="23" t="s">
        <v>12</v>
      </c>
      <c r="K8" s="23" t="s">
        <v>3</v>
      </c>
      <c r="L8" s="1"/>
      <c r="M8" s="1"/>
      <c r="N8" s="17"/>
    </row>
    <row r="9" spans="2:14" ht="15.75" customHeight="1" x14ac:dyDescent="0.25">
      <c r="B9" s="19"/>
      <c r="C9" s="7" t="s">
        <v>23</v>
      </c>
      <c r="D9" s="8"/>
      <c r="E9" s="12">
        <v>2.147E-3</v>
      </c>
      <c r="F9" s="1"/>
      <c r="G9" s="1"/>
      <c r="H9" s="1"/>
      <c r="I9" s="1"/>
      <c r="J9" s="23" t="s">
        <v>13</v>
      </c>
      <c r="K9" s="25">
        <v>2.594E-3</v>
      </c>
      <c r="L9" s="1"/>
      <c r="M9" s="1"/>
      <c r="N9" s="17"/>
    </row>
    <row r="10" spans="2:14" ht="15" customHeight="1" x14ac:dyDescent="0.25">
      <c r="B10" s="19"/>
      <c r="C10" s="5" t="s">
        <v>90</v>
      </c>
      <c r="D10" s="6" t="s">
        <v>20</v>
      </c>
      <c r="E10" s="11">
        <v>3.1470000000000001E-3</v>
      </c>
      <c r="F10" s="1"/>
      <c r="G10" s="1"/>
      <c r="H10" s="1"/>
      <c r="I10" s="1"/>
      <c r="J10" s="23" t="s">
        <v>61</v>
      </c>
      <c r="K10" s="25">
        <v>2.147E-3</v>
      </c>
      <c r="L10" s="1"/>
      <c r="M10" s="1"/>
      <c r="N10" s="17"/>
    </row>
    <row r="11" spans="2:14" ht="15" customHeight="1" x14ac:dyDescent="0.25">
      <c r="B11" s="19"/>
      <c r="C11" s="5" t="s">
        <v>31</v>
      </c>
      <c r="D11" s="6" t="s">
        <v>20</v>
      </c>
      <c r="E11" s="11">
        <v>2.101E-3</v>
      </c>
      <c r="F11" s="1"/>
      <c r="G11" s="1"/>
      <c r="H11" s="1"/>
      <c r="I11" s="1"/>
      <c r="J11" s="23" t="s">
        <v>62</v>
      </c>
      <c r="K11" s="25">
        <v>0.692438</v>
      </c>
      <c r="L11" s="1"/>
      <c r="M11" s="1"/>
      <c r="N11" s="17"/>
    </row>
    <row r="12" spans="2:14" ht="15.75" customHeight="1" x14ac:dyDescent="0.25">
      <c r="B12" s="19"/>
      <c r="C12" s="7" t="s">
        <v>26</v>
      </c>
      <c r="D12" s="8"/>
      <c r="E12" s="12">
        <v>5.2480000000000001E-3</v>
      </c>
      <c r="F12" s="1"/>
      <c r="G12" s="1"/>
      <c r="H12" s="1"/>
      <c r="I12" s="1"/>
      <c r="J12" s="23" t="s">
        <v>63</v>
      </c>
      <c r="K12" s="25">
        <v>5.2480000000000001E-3</v>
      </c>
      <c r="L12" s="1"/>
      <c r="M12" s="1"/>
      <c r="N12" s="17"/>
    </row>
    <row r="13" spans="2:14" ht="15" customHeight="1" x14ac:dyDescent="0.25">
      <c r="B13" s="19"/>
      <c r="C13" s="5" t="s">
        <v>24</v>
      </c>
      <c r="D13" s="6" t="s">
        <v>27</v>
      </c>
      <c r="E13" s="11">
        <v>9.1585E-2</v>
      </c>
      <c r="F13" s="1"/>
      <c r="G13" s="1"/>
      <c r="H13" s="1"/>
      <c r="I13" s="1"/>
      <c r="J13" s="23" t="s">
        <v>64</v>
      </c>
      <c r="K13" s="25">
        <v>0.194825</v>
      </c>
      <c r="L13" s="1"/>
      <c r="M13" s="1"/>
      <c r="N13" s="17"/>
    </row>
    <row r="14" spans="2:14" ht="15" customHeight="1" x14ac:dyDescent="0.25">
      <c r="B14" s="19"/>
      <c r="C14" s="5" t="s">
        <v>31</v>
      </c>
      <c r="D14" s="6" t="s">
        <v>27</v>
      </c>
      <c r="E14" s="11">
        <v>8.8947999999999999E-2</v>
      </c>
      <c r="F14" s="1"/>
      <c r="G14" s="1"/>
      <c r="H14" s="1"/>
      <c r="I14" s="1"/>
      <c r="J14" s="23" t="s">
        <v>65</v>
      </c>
      <c r="K14" s="25">
        <v>7.4545E-2</v>
      </c>
      <c r="L14" s="1"/>
      <c r="M14" s="1"/>
      <c r="N14" s="17"/>
    </row>
    <row r="15" spans="2:14" ht="15" customHeight="1" x14ac:dyDescent="0.25">
      <c r="B15" s="19"/>
      <c r="C15" s="5" t="s">
        <v>34</v>
      </c>
      <c r="D15" s="6" t="s">
        <v>27</v>
      </c>
      <c r="E15" s="11">
        <v>8.5953000000000002E-2</v>
      </c>
      <c r="F15" s="1"/>
      <c r="G15" s="1"/>
      <c r="H15" s="1"/>
      <c r="I15" s="1"/>
      <c r="J15" s="23" t="s">
        <v>10</v>
      </c>
      <c r="K15" s="25">
        <v>2.8202999999999999E-2</v>
      </c>
      <c r="L15" s="1"/>
      <c r="M15" s="1"/>
      <c r="N15" s="17"/>
    </row>
    <row r="16" spans="2:14" ht="15" customHeight="1" x14ac:dyDescent="0.25">
      <c r="B16" s="19"/>
      <c r="C16" s="5" t="s">
        <v>29</v>
      </c>
      <c r="D16" s="6" t="s">
        <v>27</v>
      </c>
      <c r="E16" s="11">
        <v>8.5652000000000006E-2</v>
      </c>
      <c r="F16" s="1"/>
      <c r="G16" s="1"/>
      <c r="H16" s="1"/>
      <c r="I16" s="1"/>
      <c r="J16" s="1"/>
      <c r="K16" s="1"/>
      <c r="L16" s="1"/>
      <c r="M16" s="1"/>
      <c r="N16" s="17"/>
    </row>
    <row r="17" spans="2:14" ht="15" customHeight="1" x14ac:dyDescent="0.25">
      <c r="B17" s="19"/>
      <c r="C17" s="5" t="s">
        <v>25</v>
      </c>
      <c r="D17" s="6" t="s">
        <v>27</v>
      </c>
      <c r="E17" s="11">
        <v>8.1797999999999996E-2</v>
      </c>
      <c r="F17" s="1"/>
      <c r="G17" s="1"/>
      <c r="H17" s="1"/>
      <c r="I17" s="1"/>
      <c r="J17" s="1"/>
      <c r="K17" s="1"/>
      <c r="L17" s="1"/>
      <c r="M17" s="1"/>
      <c r="N17" s="17"/>
    </row>
    <row r="18" spans="2:14" ht="15" customHeight="1" x14ac:dyDescent="0.25">
      <c r="B18" s="19"/>
      <c r="C18" s="5" t="s">
        <v>28</v>
      </c>
      <c r="D18" s="6" t="s">
        <v>27</v>
      </c>
      <c r="E18" s="11">
        <v>5.3053999999999997E-2</v>
      </c>
      <c r="F18" s="1"/>
      <c r="G18" s="1"/>
      <c r="H18" s="1"/>
      <c r="I18" s="1"/>
      <c r="J18" s="1"/>
      <c r="K18" s="1"/>
      <c r="L18" s="1"/>
      <c r="M18" s="1"/>
      <c r="N18" s="17"/>
    </row>
    <row r="19" spans="2:14" ht="15" customHeight="1" x14ac:dyDescent="0.25">
      <c r="B19" s="19"/>
      <c r="C19" s="5" t="s">
        <v>42</v>
      </c>
      <c r="D19" s="6" t="s">
        <v>27</v>
      </c>
      <c r="E19" s="11">
        <v>4.7947999999999998E-2</v>
      </c>
      <c r="F19" s="1"/>
      <c r="G19" s="1"/>
      <c r="H19" s="1"/>
      <c r="I19" s="1"/>
      <c r="J19" s="1"/>
      <c r="K19" s="1"/>
      <c r="L19" s="1"/>
      <c r="M19" s="1"/>
      <c r="N19" s="17"/>
    </row>
    <row r="20" spans="2:14" ht="15" customHeight="1" x14ac:dyDescent="0.25">
      <c r="B20" s="19"/>
      <c r="C20" s="5" t="s">
        <v>36</v>
      </c>
      <c r="D20" s="6" t="s">
        <v>27</v>
      </c>
      <c r="E20" s="11">
        <v>4.3223999999999999E-2</v>
      </c>
      <c r="F20" s="1"/>
      <c r="G20" s="1"/>
      <c r="H20" s="1"/>
      <c r="I20" s="1"/>
      <c r="J20" s="1"/>
      <c r="K20" s="1"/>
      <c r="L20" s="1"/>
      <c r="M20" s="1"/>
      <c r="N20" s="17"/>
    </row>
    <row r="21" spans="2:14" ht="15" customHeight="1" x14ac:dyDescent="0.25">
      <c r="B21" s="19"/>
      <c r="C21" s="5" t="s">
        <v>33</v>
      </c>
      <c r="D21" s="6" t="s">
        <v>27</v>
      </c>
      <c r="E21" s="11">
        <v>2.7297999999999999E-2</v>
      </c>
      <c r="F21" s="1"/>
      <c r="G21" s="1"/>
      <c r="H21" s="1"/>
      <c r="I21" s="1"/>
      <c r="J21" s="1"/>
      <c r="K21" s="1"/>
      <c r="L21" s="1"/>
      <c r="M21" s="1"/>
      <c r="N21" s="17"/>
    </row>
    <row r="22" spans="2:14" ht="15" customHeight="1" x14ac:dyDescent="0.25">
      <c r="B22" s="19"/>
      <c r="C22" s="5" t="s">
        <v>32</v>
      </c>
      <c r="D22" s="6" t="s">
        <v>27</v>
      </c>
      <c r="E22" s="11">
        <v>1.3952000000000001E-2</v>
      </c>
      <c r="F22" s="1"/>
      <c r="G22" s="1"/>
      <c r="H22" s="1"/>
      <c r="I22" s="1"/>
      <c r="J22" s="1"/>
      <c r="K22" s="1"/>
      <c r="L22" s="1"/>
      <c r="M22" s="1"/>
      <c r="N22" s="17"/>
    </row>
    <row r="23" spans="2:14" ht="15" customHeight="1" x14ac:dyDescent="0.25">
      <c r="B23" s="19"/>
      <c r="C23" s="5" t="s">
        <v>43</v>
      </c>
      <c r="D23" s="6" t="s">
        <v>27</v>
      </c>
      <c r="E23" s="11">
        <v>1.3391999999999999E-2</v>
      </c>
      <c r="F23" s="1"/>
      <c r="G23" s="1"/>
      <c r="H23" s="1"/>
      <c r="I23" s="1"/>
      <c r="J23" s="1"/>
      <c r="K23" s="1"/>
      <c r="L23" s="1"/>
      <c r="M23" s="1"/>
      <c r="N23" s="17"/>
    </row>
    <row r="24" spans="2:14" ht="15" customHeight="1" x14ac:dyDescent="0.25">
      <c r="B24" s="19"/>
      <c r="C24" s="5" t="s">
        <v>21</v>
      </c>
      <c r="D24" s="6" t="s">
        <v>27</v>
      </c>
      <c r="E24" s="11">
        <v>1.286E-2</v>
      </c>
      <c r="F24" s="1"/>
      <c r="G24" s="1"/>
      <c r="H24" s="1"/>
      <c r="I24" s="1"/>
      <c r="J24" s="1"/>
      <c r="K24" s="1"/>
      <c r="L24" s="1"/>
      <c r="M24" s="1"/>
      <c r="N24" s="17"/>
    </row>
    <row r="25" spans="2:14" ht="15" customHeight="1" x14ac:dyDescent="0.25">
      <c r="B25" s="19"/>
      <c r="C25" s="5" t="s">
        <v>96</v>
      </c>
      <c r="D25" s="6" t="s">
        <v>27</v>
      </c>
      <c r="E25" s="11">
        <v>1.2763E-2</v>
      </c>
      <c r="F25" s="1"/>
      <c r="G25" s="1"/>
      <c r="H25" s="1"/>
      <c r="I25" s="1"/>
      <c r="J25" s="1"/>
      <c r="K25" s="1"/>
      <c r="L25" s="1"/>
      <c r="M25" s="1"/>
      <c r="N25" s="17"/>
    </row>
    <row r="26" spans="2:14" ht="15" customHeight="1" x14ac:dyDescent="0.25">
      <c r="B26" s="19"/>
      <c r="C26" s="5" t="s">
        <v>37</v>
      </c>
      <c r="D26" s="6" t="s">
        <v>27</v>
      </c>
      <c r="E26" s="11">
        <v>1.1110999999999999E-2</v>
      </c>
      <c r="F26" s="1"/>
      <c r="G26" s="37" t="s">
        <v>17</v>
      </c>
      <c r="H26" s="38"/>
      <c r="I26" s="38"/>
      <c r="J26" s="38"/>
      <c r="K26" s="38"/>
      <c r="L26" s="38"/>
      <c r="M26" s="38"/>
      <c r="N26" s="39"/>
    </row>
    <row r="27" spans="2:14" ht="15" customHeight="1" x14ac:dyDescent="0.25">
      <c r="B27" s="19"/>
      <c r="C27" s="5" t="s">
        <v>105</v>
      </c>
      <c r="D27" s="6" t="s">
        <v>27</v>
      </c>
      <c r="E27" s="11">
        <v>9.0310000000000008E-3</v>
      </c>
      <c r="F27" s="1"/>
      <c r="G27" s="1"/>
      <c r="H27" s="1"/>
      <c r="I27" s="1"/>
      <c r="J27" s="1"/>
      <c r="K27" s="1"/>
      <c r="L27" s="1"/>
      <c r="M27" s="1"/>
      <c r="N27" s="17"/>
    </row>
    <row r="28" spans="2:14" ht="15" customHeight="1" x14ac:dyDescent="0.25">
      <c r="B28" s="19"/>
      <c r="C28" s="5" t="s">
        <v>35</v>
      </c>
      <c r="D28" s="6" t="s">
        <v>27</v>
      </c>
      <c r="E28" s="11">
        <v>4.9030000000000002E-3</v>
      </c>
      <c r="F28" s="1"/>
      <c r="G28" s="1"/>
      <c r="H28" s="1"/>
      <c r="I28" s="1"/>
      <c r="J28" s="1"/>
      <c r="K28" s="1"/>
      <c r="L28" s="1"/>
      <c r="M28" s="1"/>
      <c r="N28" s="17"/>
    </row>
    <row r="29" spans="2:14" ht="15" customHeight="1" x14ac:dyDescent="0.25">
      <c r="B29" s="19"/>
      <c r="C29" s="5" t="s">
        <v>38</v>
      </c>
      <c r="D29" s="6" t="s">
        <v>27</v>
      </c>
      <c r="E29" s="11">
        <v>3.571E-3</v>
      </c>
      <c r="F29" s="1"/>
      <c r="G29" s="1"/>
      <c r="H29" s="1"/>
      <c r="I29" s="1"/>
      <c r="J29" s="1"/>
      <c r="K29" s="1"/>
      <c r="L29" s="1"/>
      <c r="M29" s="1"/>
      <c r="N29" s="17"/>
    </row>
    <row r="30" spans="2:14" ht="15" customHeight="1" x14ac:dyDescent="0.25">
      <c r="B30" s="19"/>
      <c r="C30" s="5" t="s">
        <v>19</v>
      </c>
      <c r="D30" s="6" t="s">
        <v>27</v>
      </c>
      <c r="E30" s="11">
        <v>2.9260000000000002E-3</v>
      </c>
      <c r="F30" s="1"/>
      <c r="G30" s="1"/>
      <c r="H30" s="1"/>
      <c r="I30" s="1"/>
      <c r="J30" s="1"/>
      <c r="K30" s="1"/>
      <c r="L30" s="1"/>
      <c r="M30" s="1"/>
      <c r="N30" s="17"/>
    </row>
    <row r="31" spans="2:14" ht="15" customHeight="1" x14ac:dyDescent="0.25">
      <c r="B31" s="19"/>
      <c r="C31" s="5" t="s">
        <v>40</v>
      </c>
      <c r="D31" s="6" t="s">
        <v>27</v>
      </c>
      <c r="E31" s="11">
        <v>1.351E-3</v>
      </c>
      <c r="F31" s="1"/>
      <c r="G31" s="1"/>
      <c r="H31" s="1"/>
      <c r="I31" s="1"/>
      <c r="J31" s="1"/>
      <c r="K31" s="1"/>
      <c r="L31" s="1"/>
      <c r="M31" s="1"/>
      <c r="N31" s="17"/>
    </row>
    <row r="32" spans="2:14" ht="15" customHeight="1" x14ac:dyDescent="0.25">
      <c r="B32" s="19"/>
      <c r="C32" s="5" t="s">
        <v>30</v>
      </c>
      <c r="D32" s="6" t="s">
        <v>27</v>
      </c>
      <c r="E32" s="11">
        <v>6.7599999999999995E-4</v>
      </c>
      <c r="F32" s="1"/>
      <c r="G32" s="1"/>
      <c r="H32" s="1"/>
      <c r="I32" s="1"/>
      <c r="J32" s="1"/>
      <c r="K32" s="1"/>
      <c r="L32" s="1"/>
      <c r="M32" s="1"/>
      <c r="N32" s="17"/>
    </row>
    <row r="33" spans="2:14" ht="15" customHeight="1" x14ac:dyDescent="0.25">
      <c r="B33" s="19"/>
      <c r="C33" s="5" t="s">
        <v>90</v>
      </c>
      <c r="D33" s="6" t="s">
        <v>27</v>
      </c>
      <c r="E33" s="11">
        <v>4.4200000000000001E-4</v>
      </c>
      <c r="F33" s="1"/>
      <c r="G33" s="1"/>
      <c r="H33" s="1"/>
      <c r="I33" s="1"/>
      <c r="J33" s="1"/>
      <c r="K33" s="1"/>
      <c r="L33" s="1"/>
      <c r="M33" s="1"/>
      <c r="N33" s="17"/>
    </row>
    <row r="34" spans="2:14" ht="15.75" customHeight="1" x14ac:dyDescent="0.25">
      <c r="B34" s="19"/>
      <c r="C34" s="7" t="s">
        <v>45</v>
      </c>
      <c r="D34" s="8"/>
      <c r="E34" s="12">
        <v>0.692438</v>
      </c>
      <c r="F34" s="1"/>
      <c r="G34" s="1"/>
      <c r="H34" s="1"/>
      <c r="I34" s="1"/>
      <c r="J34" s="1"/>
      <c r="K34" s="1"/>
      <c r="L34" s="1"/>
      <c r="M34" s="1"/>
      <c r="N34" s="17"/>
    </row>
    <row r="35" spans="2:14" ht="15" customHeight="1" x14ac:dyDescent="0.25">
      <c r="B35" s="19"/>
      <c r="C35" s="5" t="s">
        <v>51</v>
      </c>
      <c r="D35" s="6" t="s">
        <v>47</v>
      </c>
      <c r="E35" s="11">
        <v>0.14544299999999999</v>
      </c>
      <c r="F35" s="1"/>
      <c r="G35" s="1"/>
      <c r="H35" s="1"/>
      <c r="I35" s="1"/>
      <c r="J35" s="1"/>
      <c r="K35" s="1"/>
      <c r="L35" s="1"/>
      <c r="M35" s="1"/>
      <c r="N35" s="17"/>
    </row>
    <row r="36" spans="2:14" ht="15" customHeight="1" x14ac:dyDescent="0.25">
      <c r="B36" s="19"/>
      <c r="C36" s="5" t="s">
        <v>49</v>
      </c>
      <c r="D36" s="6" t="s">
        <v>47</v>
      </c>
      <c r="E36" s="11">
        <v>4.7081999999999999E-2</v>
      </c>
      <c r="F36" s="1"/>
      <c r="G36" s="1"/>
      <c r="H36" s="1"/>
      <c r="I36" s="1"/>
      <c r="J36" s="1"/>
      <c r="K36" s="1"/>
      <c r="L36" s="1"/>
      <c r="M36" s="1"/>
      <c r="N36" s="17"/>
    </row>
    <row r="37" spans="2:14" ht="15" customHeight="1" x14ac:dyDescent="0.25">
      <c r="B37" s="19"/>
      <c r="C37" s="5" t="s">
        <v>48</v>
      </c>
      <c r="D37" s="6" t="s">
        <v>47</v>
      </c>
      <c r="E37" s="11">
        <v>2.3E-3</v>
      </c>
      <c r="F37" s="1"/>
      <c r="G37" s="1"/>
      <c r="H37" s="1"/>
      <c r="I37" s="1"/>
      <c r="J37" s="1"/>
      <c r="K37" s="1"/>
      <c r="L37" s="1"/>
      <c r="M37" s="1"/>
      <c r="N37" s="17"/>
    </row>
    <row r="38" spans="2:14" ht="15.75" customHeight="1" x14ac:dyDescent="0.25">
      <c r="B38" s="19"/>
      <c r="C38" s="7" t="s">
        <v>56</v>
      </c>
      <c r="D38" s="8"/>
      <c r="E38" s="12">
        <v>0.194825</v>
      </c>
      <c r="F38" s="1"/>
      <c r="G38" s="1"/>
      <c r="H38" s="1"/>
      <c r="I38" s="1"/>
      <c r="J38" s="1"/>
      <c r="K38" s="1"/>
      <c r="L38" s="1"/>
      <c r="M38" s="1"/>
      <c r="N38" s="17"/>
    </row>
    <row r="39" spans="2:14" ht="15" customHeight="1" x14ac:dyDescent="0.25">
      <c r="B39" s="19"/>
      <c r="C39" s="5" t="s">
        <v>166</v>
      </c>
      <c r="D39" s="6" t="s">
        <v>47</v>
      </c>
      <c r="E39" s="11">
        <v>1.008E-2</v>
      </c>
      <c r="F39" s="1"/>
      <c r="G39" s="1"/>
      <c r="H39" s="1"/>
      <c r="I39" s="1"/>
      <c r="J39" s="1"/>
      <c r="K39" s="1"/>
      <c r="L39" s="1"/>
      <c r="M39" s="1"/>
      <c r="N39" s="17"/>
    </row>
    <row r="40" spans="2:14" ht="15.75" customHeight="1" x14ac:dyDescent="0.25">
      <c r="B40" s="19"/>
      <c r="C40" s="5" t="s">
        <v>170</v>
      </c>
      <c r="D40" s="6" t="s">
        <v>47</v>
      </c>
      <c r="E40" s="11">
        <v>7.1349999999999998E-3</v>
      </c>
      <c r="F40" s="1"/>
      <c r="G40" s="1"/>
      <c r="H40" s="1"/>
      <c r="I40" s="1"/>
      <c r="J40" s="1"/>
      <c r="K40" s="1"/>
      <c r="L40" s="1"/>
      <c r="M40" s="1"/>
      <c r="N40" s="17"/>
    </row>
    <row r="41" spans="2:14" ht="15" customHeight="1" x14ac:dyDescent="0.25">
      <c r="B41" s="19"/>
      <c r="C41" s="5" t="s">
        <v>171</v>
      </c>
      <c r="D41" s="6" t="s">
        <v>47</v>
      </c>
      <c r="E41" s="11">
        <v>6.7479999999999997E-3</v>
      </c>
      <c r="F41" s="1"/>
      <c r="G41" s="1"/>
      <c r="H41" s="1"/>
      <c r="I41" s="1"/>
      <c r="J41" s="1"/>
      <c r="K41" s="1"/>
      <c r="L41" s="1"/>
      <c r="M41" s="1"/>
      <c r="N41" s="17"/>
    </row>
    <row r="42" spans="2:14" ht="15.75" customHeight="1" x14ac:dyDescent="0.25">
      <c r="B42" s="19"/>
      <c r="C42" s="5" t="s">
        <v>172</v>
      </c>
      <c r="D42" s="6" t="s">
        <v>47</v>
      </c>
      <c r="E42" s="11">
        <v>6.234E-3</v>
      </c>
      <c r="F42" s="1"/>
      <c r="G42" s="1"/>
      <c r="H42" s="1"/>
      <c r="I42" s="1"/>
      <c r="J42" s="1"/>
      <c r="K42" s="1"/>
      <c r="L42" s="1"/>
      <c r="M42" s="1"/>
      <c r="N42" s="17"/>
    </row>
    <row r="43" spans="2:14" ht="15" customHeight="1" x14ac:dyDescent="0.25">
      <c r="B43" s="19"/>
      <c r="C43" s="5" t="s">
        <v>173</v>
      </c>
      <c r="D43" s="6" t="s">
        <v>47</v>
      </c>
      <c r="E43" s="11">
        <v>4.0480000000000004E-3</v>
      </c>
      <c r="F43" s="1"/>
      <c r="G43" s="1"/>
      <c r="H43" s="1"/>
      <c r="I43" s="1"/>
      <c r="J43" s="1"/>
      <c r="K43" s="1"/>
      <c r="L43" s="1"/>
      <c r="M43" s="1"/>
      <c r="N43" s="17"/>
    </row>
    <row r="44" spans="2:14" ht="15.75" customHeight="1" x14ac:dyDescent="0.25">
      <c r="B44" s="19"/>
      <c r="C44" s="5" t="s">
        <v>174</v>
      </c>
      <c r="D44" s="6" t="s">
        <v>47</v>
      </c>
      <c r="E44" s="11">
        <v>3.392E-3</v>
      </c>
      <c r="F44" s="1"/>
      <c r="G44" s="1"/>
      <c r="H44" s="1"/>
      <c r="I44" s="1"/>
      <c r="J44" s="1"/>
      <c r="K44" s="1"/>
      <c r="L44" s="1"/>
      <c r="M44" s="1"/>
      <c r="N44" s="17"/>
    </row>
    <row r="45" spans="2:14" ht="15" customHeight="1" x14ac:dyDescent="0.25">
      <c r="B45" s="19"/>
      <c r="C45" s="5" t="s">
        <v>175</v>
      </c>
      <c r="D45" s="6" t="s">
        <v>47</v>
      </c>
      <c r="E45" s="11">
        <v>3.3310000000000002E-3</v>
      </c>
      <c r="F45" s="1"/>
      <c r="G45" s="1"/>
      <c r="H45" s="1"/>
      <c r="I45" s="1"/>
      <c r="J45" s="1"/>
      <c r="K45" s="1"/>
      <c r="L45" s="1"/>
      <c r="M45" s="1"/>
      <c r="N45" s="17"/>
    </row>
    <row r="46" spans="2:14" ht="15" customHeight="1" x14ac:dyDescent="0.25">
      <c r="B46" s="19"/>
      <c r="C46" s="5" t="s">
        <v>176</v>
      </c>
      <c r="D46" s="6" t="s">
        <v>47</v>
      </c>
      <c r="E46" s="11">
        <v>3.1710000000000002E-3</v>
      </c>
      <c r="F46" s="1"/>
      <c r="G46" s="1"/>
      <c r="H46" s="1"/>
      <c r="I46" s="1"/>
      <c r="J46" s="1"/>
      <c r="K46" s="1"/>
      <c r="L46" s="1"/>
      <c r="M46" s="1"/>
      <c r="N46" s="17"/>
    </row>
    <row r="47" spans="2:14" ht="15" customHeight="1" x14ac:dyDescent="0.25">
      <c r="B47" s="19"/>
      <c r="C47" s="5" t="s">
        <v>177</v>
      </c>
      <c r="D47" s="6" t="s">
        <v>47</v>
      </c>
      <c r="E47" s="11">
        <v>3.1710000000000002E-3</v>
      </c>
      <c r="F47" s="1"/>
      <c r="G47" s="1"/>
      <c r="H47" s="1"/>
      <c r="I47" s="1"/>
      <c r="J47" s="1"/>
      <c r="K47" s="1"/>
      <c r="L47" s="1"/>
      <c r="M47" s="1"/>
      <c r="N47" s="17"/>
    </row>
    <row r="48" spans="2:14" ht="15" customHeight="1" x14ac:dyDescent="0.25">
      <c r="B48" s="19"/>
      <c r="C48" s="5" t="s">
        <v>162</v>
      </c>
      <c r="D48" s="6" t="s">
        <v>47</v>
      </c>
      <c r="E48" s="11">
        <v>2.4109999999999999E-3</v>
      </c>
      <c r="F48" s="1"/>
      <c r="G48" s="1"/>
      <c r="H48" s="1"/>
      <c r="I48" s="1"/>
      <c r="J48" s="1"/>
      <c r="K48" s="1"/>
      <c r="L48" s="1"/>
      <c r="M48" s="1"/>
      <c r="N48" s="17"/>
    </row>
    <row r="49" spans="2:14" ht="15" customHeight="1" x14ac:dyDescent="0.25">
      <c r="B49" s="19"/>
      <c r="C49" s="5" t="s">
        <v>178</v>
      </c>
      <c r="D49" s="6" t="s">
        <v>47</v>
      </c>
      <c r="E49" s="11">
        <v>2.4069999999999999E-3</v>
      </c>
      <c r="F49" s="1"/>
      <c r="G49" s="1"/>
      <c r="H49" s="1"/>
      <c r="I49" s="1"/>
      <c r="J49" s="1"/>
      <c r="K49" s="1"/>
      <c r="L49" s="1"/>
      <c r="M49" s="1"/>
      <c r="N49" s="17"/>
    </row>
    <row r="50" spans="2:14" ht="15" customHeight="1" x14ac:dyDescent="0.25">
      <c r="B50" s="19"/>
      <c r="C50" s="5" t="s">
        <v>179</v>
      </c>
      <c r="D50" s="6" t="s">
        <v>47</v>
      </c>
      <c r="E50" s="11">
        <v>2.3809999999999999E-3</v>
      </c>
      <c r="F50" s="1"/>
      <c r="G50" s="1"/>
      <c r="H50" s="1"/>
      <c r="I50" s="1"/>
      <c r="J50" s="1"/>
      <c r="K50" s="1"/>
      <c r="L50" s="1"/>
      <c r="M50" s="1"/>
      <c r="N50" s="17"/>
    </row>
    <row r="51" spans="2:14" ht="15" customHeight="1" x14ac:dyDescent="0.25">
      <c r="B51" s="19"/>
      <c r="C51" s="5" t="s">
        <v>180</v>
      </c>
      <c r="D51" s="6" t="s">
        <v>47</v>
      </c>
      <c r="E51" s="11">
        <v>2.2920000000000002E-3</v>
      </c>
      <c r="F51" s="1"/>
      <c r="G51" s="1"/>
      <c r="H51" s="1"/>
      <c r="I51" s="1"/>
      <c r="J51" s="1"/>
      <c r="K51" s="1"/>
      <c r="L51" s="1"/>
      <c r="M51" s="1"/>
      <c r="N51" s="17"/>
    </row>
    <row r="52" spans="2:14" ht="15" customHeight="1" x14ac:dyDescent="0.25">
      <c r="B52" s="19"/>
      <c r="C52" s="5" t="s">
        <v>181</v>
      </c>
      <c r="D52" s="6" t="s">
        <v>47</v>
      </c>
      <c r="E52" s="11">
        <v>2.2659999999999998E-3</v>
      </c>
      <c r="F52" s="1"/>
      <c r="G52" s="1"/>
      <c r="H52" s="1"/>
      <c r="I52" s="1"/>
      <c r="J52" s="1"/>
      <c r="K52" s="1"/>
      <c r="L52" s="1"/>
      <c r="M52" s="1"/>
      <c r="N52" s="17"/>
    </row>
    <row r="53" spans="2:14" ht="15" customHeight="1" x14ac:dyDescent="0.25">
      <c r="B53" s="19"/>
      <c r="C53" s="5" t="s">
        <v>182</v>
      </c>
      <c r="D53" s="6" t="s">
        <v>47</v>
      </c>
      <c r="E53" s="11">
        <v>1.951E-3</v>
      </c>
      <c r="F53" s="1"/>
      <c r="G53" s="1"/>
      <c r="H53" s="1"/>
      <c r="I53" s="1"/>
      <c r="J53" s="1"/>
      <c r="K53" s="1"/>
      <c r="L53" s="1"/>
      <c r="M53" s="1"/>
      <c r="N53" s="17"/>
    </row>
    <row r="54" spans="2:14" ht="15" customHeight="1" x14ac:dyDescent="0.25">
      <c r="B54" s="19"/>
      <c r="C54" s="5" t="s">
        <v>183</v>
      </c>
      <c r="D54" s="6" t="s">
        <v>47</v>
      </c>
      <c r="E54" s="11">
        <v>1.8779999999999999E-3</v>
      </c>
      <c r="F54" s="1"/>
      <c r="G54" s="1"/>
      <c r="H54" s="1"/>
      <c r="I54" s="1"/>
      <c r="J54" s="1"/>
      <c r="K54" s="1"/>
      <c r="L54" s="1"/>
      <c r="M54" s="1"/>
      <c r="N54" s="17"/>
    </row>
    <row r="55" spans="2:14" ht="15" customHeight="1" x14ac:dyDescent="0.25">
      <c r="B55" s="19"/>
      <c r="C55" s="5" t="s">
        <v>184</v>
      </c>
      <c r="D55" s="6" t="s">
        <v>47</v>
      </c>
      <c r="E55" s="11">
        <v>1.7099999999999999E-3</v>
      </c>
      <c r="F55" s="1"/>
      <c r="G55" s="1"/>
      <c r="H55" s="1"/>
      <c r="I55" s="1"/>
      <c r="J55" s="1"/>
      <c r="K55" s="1"/>
      <c r="L55" s="1"/>
      <c r="M55" s="1"/>
      <c r="N55" s="17"/>
    </row>
    <row r="56" spans="2:14" ht="15" customHeight="1" x14ac:dyDescent="0.25">
      <c r="B56" s="19"/>
      <c r="C56" s="5" t="s">
        <v>185</v>
      </c>
      <c r="D56" s="6" t="s">
        <v>47</v>
      </c>
      <c r="E56" s="11">
        <v>1.4660000000000001E-3</v>
      </c>
      <c r="F56" s="1"/>
      <c r="G56" s="1"/>
      <c r="H56" s="1"/>
      <c r="I56" s="1"/>
      <c r="J56" s="1"/>
      <c r="K56" s="1"/>
      <c r="L56" s="1"/>
      <c r="M56" s="1"/>
      <c r="N56" s="17"/>
    </row>
    <row r="57" spans="2:14" ht="15" customHeight="1" x14ac:dyDescent="0.25">
      <c r="B57" s="19"/>
      <c r="C57" s="5" t="s">
        <v>186</v>
      </c>
      <c r="D57" s="6" t="s">
        <v>47</v>
      </c>
      <c r="E57" s="11">
        <v>1.2279999999999999E-3</v>
      </c>
      <c r="F57" s="1"/>
      <c r="G57" s="1"/>
      <c r="H57" s="1"/>
      <c r="I57" s="1"/>
      <c r="J57" s="1"/>
      <c r="K57" s="1"/>
      <c r="L57" s="1"/>
      <c r="M57" s="1"/>
      <c r="N57" s="17"/>
    </row>
    <row r="58" spans="2:14" ht="15" customHeight="1" x14ac:dyDescent="0.25">
      <c r="B58" s="19"/>
      <c r="C58" s="5" t="s">
        <v>187</v>
      </c>
      <c r="D58" s="6" t="s">
        <v>47</v>
      </c>
      <c r="E58" s="11">
        <v>1.2099999999999999E-3</v>
      </c>
      <c r="F58" s="1"/>
      <c r="G58" s="1"/>
      <c r="H58" s="1"/>
      <c r="I58" s="1"/>
      <c r="J58" s="1"/>
      <c r="K58" s="1"/>
      <c r="L58" s="1"/>
      <c r="M58" s="1"/>
      <c r="N58" s="17"/>
    </row>
    <row r="59" spans="2:14" ht="15" customHeight="1" x14ac:dyDescent="0.25">
      <c r="B59" s="19"/>
      <c r="C59" s="5" t="s">
        <v>188</v>
      </c>
      <c r="D59" s="6" t="s">
        <v>47</v>
      </c>
      <c r="E59" s="11">
        <v>1.0989999999999999E-3</v>
      </c>
      <c r="F59" s="1"/>
      <c r="G59" s="1"/>
      <c r="H59" s="1"/>
      <c r="I59" s="1"/>
      <c r="J59" s="1"/>
      <c r="K59" s="1"/>
      <c r="L59" s="1"/>
      <c r="M59" s="1"/>
      <c r="N59" s="17"/>
    </row>
    <row r="60" spans="2:14" ht="15" customHeight="1" x14ac:dyDescent="0.25">
      <c r="B60" s="19"/>
      <c r="C60" s="5" t="s">
        <v>189</v>
      </c>
      <c r="D60" s="6" t="s">
        <v>47</v>
      </c>
      <c r="E60" s="11">
        <v>9.77E-4</v>
      </c>
      <c r="F60" s="1"/>
      <c r="G60" s="1"/>
      <c r="H60" s="1"/>
      <c r="I60" s="1"/>
      <c r="J60" s="1"/>
      <c r="K60" s="1"/>
      <c r="L60" s="1"/>
      <c r="M60" s="1"/>
      <c r="N60" s="17"/>
    </row>
    <row r="61" spans="2:14" ht="15" customHeight="1" x14ac:dyDescent="0.25">
      <c r="B61" s="19"/>
      <c r="C61" s="5" t="s">
        <v>190</v>
      </c>
      <c r="D61" s="6" t="s">
        <v>47</v>
      </c>
      <c r="E61" s="11">
        <v>9.5100000000000002E-4</v>
      </c>
      <c r="F61" s="1"/>
      <c r="G61" s="1"/>
      <c r="H61" s="1"/>
      <c r="I61" s="1"/>
      <c r="J61" s="1"/>
      <c r="K61" s="1"/>
      <c r="L61" s="1"/>
      <c r="M61" s="1"/>
      <c r="N61" s="17"/>
    </row>
    <row r="62" spans="2:14" ht="15" customHeight="1" x14ac:dyDescent="0.25">
      <c r="B62" s="19"/>
      <c r="C62" s="5" t="s">
        <v>191</v>
      </c>
      <c r="D62" s="6" t="s">
        <v>47</v>
      </c>
      <c r="E62" s="11">
        <v>7.2499999999999995E-4</v>
      </c>
      <c r="F62" s="1"/>
      <c r="G62" s="1"/>
      <c r="H62" s="1"/>
      <c r="I62" s="1"/>
      <c r="J62" s="1"/>
      <c r="K62" s="1"/>
      <c r="L62" s="1"/>
      <c r="M62" s="1"/>
      <c r="N62" s="17"/>
    </row>
    <row r="63" spans="2:14" ht="15" customHeight="1" x14ac:dyDescent="0.25">
      <c r="B63" s="19"/>
      <c r="C63" s="5" t="s">
        <v>192</v>
      </c>
      <c r="D63" s="6" t="s">
        <v>47</v>
      </c>
      <c r="E63" s="11">
        <v>4.9100000000000001E-4</v>
      </c>
      <c r="F63" s="1"/>
      <c r="G63" s="1"/>
      <c r="H63" s="1"/>
      <c r="I63" s="1"/>
      <c r="J63" s="1"/>
      <c r="K63" s="1"/>
      <c r="L63" s="1"/>
      <c r="M63" s="1"/>
      <c r="N63" s="17"/>
    </row>
    <row r="64" spans="2:14" ht="15" customHeight="1" x14ac:dyDescent="0.25">
      <c r="B64" s="19"/>
      <c r="C64" s="5" t="s">
        <v>193</v>
      </c>
      <c r="D64" s="6" t="s">
        <v>47</v>
      </c>
      <c r="E64" s="11">
        <v>4.8299999999999998E-4</v>
      </c>
      <c r="F64" s="1"/>
      <c r="G64" s="1"/>
      <c r="H64" s="1"/>
      <c r="I64" s="1"/>
      <c r="J64" s="1"/>
      <c r="K64" s="1"/>
      <c r="L64" s="1"/>
      <c r="M64" s="1"/>
      <c r="N64" s="17"/>
    </row>
    <row r="65" spans="2:14" ht="15" customHeight="1" x14ac:dyDescent="0.25">
      <c r="B65" s="19"/>
      <c r="C65" s="5" t="s">
        <v>138</v>
      </c>
      <c r="D65" s="6" t="s">
        <v>47</v>
      </c>
      <c r="E65" s="11">
        <v>4.7600000000000002E-4</v>
      </c>
      <c r="F65" s="1"/>
      <c r="G65" s="1"/>
      <c r="H65" s="1"/>
      <c r="I65" s="1"/>
      <c r="J65" s="1"/>
      <c r="K65" s="1"/>
      <c r="L65" s="1"/>
      <c r="M65" s="1"/>
      <c r="N65" s="17"/>
    </row>
    <row r="66" spans="2:14" ht="15" customHeight="1" x14ac:dyDescent="0.25">
      <c r="B66" s="19"/>
      <c r="C66" s="5" t="s">
        <v>194</v>
      </c>
      <c r="D66" s="6" t="s">
        <v>47</v>
      </c>
      <c r="E66" s="11">
        <v>2.43E-4</v>
      </c>
      <c r="F66" s="1"/>
      <c r="G66" s="1"/>
      <c r="H66" s="1"/>
      <c r="I66" s="1"/>
      <c r="J66" s="1"/>
      <c r="K66" s="1"/>
      <c r="L66" s="1"/>
      <c r="M66" s="1"/>
      <c r="N66" s="17"/>
    </row>
    <row r="67" spans="2:14" ht="15" customHeight="1" x14ac:dyDescent="0.25">
      <c r="B67" s="19"/>
      <c r="C67" s="5" t="s">
        <v>195</v>
      </c>
      <c r="D67" s="6" t="s">
        <v>47</v>
      </c>
      <c r="E67" s="11">
        <v>2.42E-4</v>
      </c>
      <c r="F67" s="1"/>
      <c r="G67" s="1"/>
      <c r="H67" s="1"/>
      <c r="I67" s="1"/>
      <c r="J67" s="1"/>
      <c r="K67" s="1"/>
      <c r="L67" s="1"/>
      <c r="M67" s="1"/>
      <c r="N67" s="17"/>
    </row>
    <row r="68" spans="2:14" ht="15" customHeight="1" x14ac:dyDescent="0.25">
      <c r="B68" s="19"/>
      <c r="C68" s="5" t="s">
        <v>196</v>
      </c>
      <c r="D68" s="6" t="s">
        <v>47</v>
      </c>
      <c r="E68" s="11">
        <v>2.3800000000000001E-4</v>
      </c>
      <c r="F68" s="1"/>
      <c r="G68" s="1"/>
      <c r="H68" s="1"/>
      <c r="I68" s="1"/>
      <c r="J68" s="1"/>
      <c r="K68" s="1"/>
      <c r="L68" s="1"/>
      <c r="M68" s="1"/>
      <c r="N68" s="17"/>
    </row>
    <row r="69" spans="2:14" ht="15" customHeight="1" x14ac:dyDescent="0.25">
      <c r="B69" s="19"/>
      <c r="C69" s="5" t="s">
        <v>197</v>
      </c>
      <c r="D69" s="6" t="s">
        <v>47</v>
      </c>
      <c r="E69" s="11">
        <v>1.1E-4</v>
      </c>
      <c r="F69" s="1"/>
      <c r="G69" s="1"/>
      <c r="H69" s="1"/>
      <c r="I69" s="1"/>
      <c r="J69" s="1"/>
      <c r="K69" s="1"/>
      <c r="L69" s="1"/>
      <c r="M69" s="1"/>
      <c r="N69" s="17"/>
    </row>
    <row r="70" spans="2:14" ht="15" customHeight="1" x14ac:dyDescent="0.25">
      <c r="B70" s="19"/>
      <c r="C70" s="7" t="s">
        <v>57</v>
      </c>
      <c r="D70" s="8"/>
      <c r="E70" s="12">
        <v>7.4545E-2</v>
      </c>
      <c r="F70" s="1"/>
      <c r="G70" s="1"/>
      <c r="H70" s="1"/>
      <c r="I70" s="1"/>
      <c r="J70" s="1"/>
      <c r="K70" s="1"/>
      <c r="L70" s="1"/>
      <c r="M70" s="1"/>
      <c r="N70" s="17"/>
    </row>
    <row r="71" spans="2:14" ht="15" customHeight="1" x14ac:dyDescent="0.25">
      <c r="B71" s="19"/>
      <c r="C71" s="5" t="s">
        <v>8</v>
      </c>
      <c r="D71" s="6"/>
      <c r="E71" s="11">
        <v>2.594E-3</v>
      </c>
      <c r="F71" s="1"/>
      <c r="G71" s="1"/>
      <c r="H71" s="1"/>
      <c r="I71" s="1"/>
      <c r="J71" s="1"/>
      <c r="K71" s="1"/>
      <c r="L71" s="1"/>
      <c r="M71" s="1"/>
      <c r="N71" s="17"/>
    </row>
    <row r="72" spans="2:14" ht="15" customHeight="1" x14ac:dyDescent="0.25">
      <c r="B72" s="19"/>
      <c r="C72" s="7" t="s">
        <v>9</v>
      </c>
      <c r="D72" s="8"/>
      <c r="E72" s="12">
        <v>2.594E-3</v>
      </c>
      <c r="F72" s="1"/>
      <c r="G72" s="1"/>
      <c r="H72" s="1"/>
      <c r="I72" s="1"/>
      <c r="J72" s="1"/>
      <c r="K72" s="1"/>
      <c r="L72" s="1"/>
      <c r="M72" s="1"/>
      <c r="N72" s="17"/>
    </row>
    <row r="73" spans="2:14" ht="15" customHeight="1" x14ac:dyDescent="0.25">
      <c r="B73" s="19"/>
      <c r="C73" s="5"/>
      <c r="D73" s="6"/>
      <c r="E73" s="11"/>
      <c r="F73" s="1"/>
      <c r="G73" s="1"/>
      <c r="H73" s="1"/>
      <c r="I73" s="1"/>
      <c r="J73" s="1"/>
      <c r="K73" s="1"/>
      <c r="L73" s="1"/>
      <c r="M73" s="1"/>
      <c r="N73" s="17"/>
    </row>
    <row r="74" spans="2:14" ht="15" customHeight="1" x14ac:dyDescent="0.25">
      <c r="B74" s="19"/>
      <c r="C74" s="7" t="s">
        <v>10</v>
      </c>
      <c r="D74" s="8"/>
      <c r="E74" s="12">
        <v>2.8202999999999999E-2</v>
      </c>
      <c r="F74" s="1"/>
      <c r="G74" s="1"/>
      <c r="H74" s="1"/>
      <c r="I74" s="1"/>
      <c r="J74" s="1"/>
      <c r="K74" s="1"/>
      <c r="L74" s="1"/>
      <c r="M74" s="1"/>
      <c r="N74" s="17"/>
    </row>
    <row r="75" spans="2:14" ht="15" customHeight="1" x14ac:dyDescent="0.25">
      <c r="B75" s="19"/>
      <c r="C75" s="5"/>
      <c r="D75" s="6"/>
      <c r="E75" s="11"/>
      <c r="F75" s="1"/>
      <c r="G75" s="1"/>
      <c r="H75" s="1"/>
      <c r="I75" s="1"/>
      <c r="J75" s="1"/>
      <c r="K75" s="1"/>
      <c r="L75" s="1"/>
      <c r="M75" s="1"/>
      <c r="N75" s="17"/>
    </row>
    <row r="76" spans="2:14" ht="15" customHeight="1" x14ac:dyDescent="0.25">
      <c r="B76" s="19"/>
      <c r="C76" s="9" t="s">
        <v>11</v>
      </c>
      <c r="D76" s="10"/>
      <c r="E76" s="13">
        <v>1</v>
      </c>
      <c r="F76" s="1"/>
      <c r="G76" s="1"/>
      <c r="H76" s="1"/>
      <c r="I76" s="1"/>
      <c r="J76" s="1"/>
      <c r="K76" s="1"/>
      <c r="L76" s="1"/>
      <c r="M76" s="1"/>
      <c r="N76" s="17"/>
    </row>
    <row r="77" spans="2:14" ht="15" customHeight="1" x14ac:dyDescent="0.25">
      <c r="B77" s="19"/>
      <c r="C77" s="1"/>
      <c r="D77" s="1"/>
      <c r="E77" s="1"/>
      <c r="F77" s="1"/>
      <c r="G77" s="1"/>
      <c r="H77" s="1"/>
      <c r="I77" s="1"/>
      <c r="J77" s="1"/>
      <c r="K77" s="1"/>
      <c r="L77" s="1"/>
      <c r="M77" s="1"/>
      <c r="N77" s="17"/>
    </row>
    <row r="78" spans="2:14" ht="15" customHeight="1" x14ac:dyDescent="0.25">
      <c r="B78" s="19"/>
      <c r="F78" s="1"/>
      <c r="G78" s="1"/>
      <c r="H78" s="1"/>
      <c r="I78" s="1"/>
      <c r="J78" s="1"/>
      <c r="K78" s="1"/>
      <c r="L78" s="1"/>
      <c r="M78" s="1"/>
      <c r="N78" s="17"/>
    </row>
    <row r="79" spans="2:14" ht="15" customHeight="1" x14ac:dyDescent="0.25">
      <c r="B79" s="19"/>
      <c r="C79" s="1"/>
      <c r="D79" s="1"/>
      <c r="E79" s="1"/>
      <c r="F79" s="1"/>
      <c r="G79" s="1"/>
      <c r="H79" s="1"/>
      <c r="I79" s="1"/>
      <c r="J79" s="1"/>
      <c r="K79" s="1"/>
      <c r="L79" s="1"/>
      <c r="M79" s="1"/>
      <c r="N79" s="17"/>
    </row>
    <row r="80" spans="2:14" ht="15" customHeight="1" thickBot="1" x14ac:dyDescent="0.3">
      <c r="B80" s="20"/>
      <c r="C80" s="21"/>
      <c r="D80" s="21"/>
      <c r="E80" s="21"/>
      <c r="F80" s="21"/>
      <c r="G80" s="21"/>
      <c r="H80" s="21"/>
      <c r="I80" s="21"/>
      <c r="J80" s="21"/>
      <c r="K80" s="21"/>
      <c r="L80" s="21"/>
      <c r="M80" s="21"/>
      <c r="N80" s="22"/>
    </row>
    <row r="81" spans="2:14" ht="15" customHeight="1" thickBot="1" x14ac:dyDescent="0.3"/>
    <row r="82" spans="2:14" ht="125.25" customHeight="1" thickBot="1" x14ac:dyDescent="0.3">
      <c r="B82" s="31" t="s">
        <v>198</v>
      </c>
      <c r="C82" s="32"/>
      <c r="D82" s="32"/>
      <c r="E82" s="32"/>
      <c r="F82" s="32"/>
      <c r="G82" s="32"/>
      <c r="H82" s="32"/>
      <c r="I82" s="32"/>
      <c r="J82" s="32"/>
      <c r="K82" s="32"/>
      <c r="L82" s="32"/>
      <c r="M82" s="32"/>
      <c r="N82" s="33"/>
    </row>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sheetData>
  <mergeCells count="4">
    <mergeCell ref="B82:N82"/>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7"/>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106</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25</v>
      </c>
      <c r="D8" s="6" t="s">
        <v>27</v>
      </c>
      <c r="E8" s="11">
        <v>6.1928999999999998E-2</v>
      </c>
      <c r="F8" s="1"/>
      <c r="G8" s="29" t="s">
        <v>15</v>
      </c>
      <c r="H8" s="30">
        <f>68.9733%-E9-E10</f>
        <v>0.56604599999999994</v>
      </c>
      <c r="I8" s="28"/>
      <c r="J8" s="23" t="s">
        <v>12</v>
      </c>
      <c r="K8" s="23" t="s">
        <v>3</v>
      </c>
      <c r="L8" s="1"/>
      <c r="M8" s="1"/>
      <c r="N8" s="17"/>
    </row>
    <row r="9" spans="2:14" ht="15" customHeight="1" x14ac:dyDescent="0.25">
      <c r="B9" s="19"/>
      <c r="C9" s="5" t="s">
        <v>107</v>
      </c>
      <c r="D9" s="6" t="s">
        <v>108</v>
      </c>
      <c r="E9" s="11">
        <v>6.1892999999999997E-2</v>
      </c>
      <c r="F9" s="1"/>
      <c r="G9" s="29" t="s">
        <v>118</v>
      </c>
      <c r="H9" s="30">
        <f>23.7294%+E10</f>
        <v>0.29908799999999996</v>
      </c>
      <c r="I9" s="28"/>
      <c r="J9" s="23" t="s">
        <v>13</v>
      </c>
      <c r="K9" s="25">
        <v>9.8895999999999998E-2</v>
      </c>
      <c r="L9" s="1"/>
      <c r="M9" s="1"/>
      <c r="N9" s="17"/>
    </row>
    <row r="10" spans="2:14" ht="15" customHeight="1" x14ac:dyDescent="0.25">
      <c r="B10" s="19"/>
      <c r="C10" s="5" t="s">
        <v>203</v>
      </c>
      <c r="D10" s="6" t="s">
        <v>109</v>
      </c>
      <c r="E10" s="11">
        <v>6.1794000000000002E-2</v>
      </c>
      <c r="F10" s="1"/>
      <c r="G10" s="29" t="s">
        <v>119</v>
      </c>
      <c r="H10" s="30">
        <v>4.2556999999999998E-2</v>
      </c>
      <c r="I10" s="28"/>
      <c r="J10" s="23" t="s">
        <v>62</v>
      </c>
      <c r="K10" s="25">
        <v>0.48536000000000001</v>
      </c>
      <c r="L10" s="1"/>
      <c r="M10" s="1"/>
      <c r="N10" s="17"/>
    </row>
    <row r="11" spans="2:14" ht="15" customHeight="1" x14ac:dyDescent="0.25">
      <c r="B11" s="19"/>
      <c r="C11" s="5" t="s">
        <v>30</v>
      </c>
      <c r="D11" s="6" t="s">
        <v>27</v>
      </c>
      <c r="E11" s="11">
        <v>5.8401000000000002E-2</v>
      </c>
      <c r="F11" s="1"/>
      <c r="G11" s="29" t="s">
        <v>120</v>
      </c>
      <c r="H11" s="30">
        <v>3.0415999999999999E-2</v>
      </c>
      <c r="I11" s="28"/>
      <c r="J11" s="23" t="s">
        <v>64</v>
      </c>
      <c r="K11" s="25">
        <v>0.22111</v>
      </c>
      <c r="L11" s="1"/>
      <c r="M11" s="1"/>
      <c r="N11" s="17"/>
    </row>
    <row r="12" spans="2:14" ht="15" customHeight="1" x14ac:dyDescent="0.25">
      <c r="B12" s="19"/>
      <c r="C12" s="5" t="s">
        <v>207</v>
      </c>
      <c r="D12" s="6" t="s">
        <v>110</v>
      </c>
      <c r="E12" s="11">
        <v>5.7766999999999999E-2</v>
      </c>
      <c r="F12" s="1"/>
      <c r="G12" s="29" t="s">
        <v>208</v>
      </c>
      <c r="H12" s="30">
        <f>E9</f>
        <v>6.1892999999999997E-2</v>
      </c>
      <c r="I12" s="28"/>
      <c r="J12" s="23" t="s">
        <v>87</v>
      </c>
      <c r="K12" s="25">
        <v>8.4923999999999999E-2</v>
      </c>
      <c r="L12" s="1"/>
      <c r="M12" s="1"/>
      <c r="N12" s="17"/>
    </row>
    <row r="13" spans="2:14" ht="15" customHeight="1" x14ac:dyDescent="0.25">
      <c r="B13" s="19"/>
      <c r="C13" s="5" t="s">
        <v>204</v>
      </c>
      <c r="D13" s="6" t="s">
        <v>110</v>
      </c>
      <c r="E13" s="11">
        <v>5.3946000000000001E-2</v>
      </c>
      <c r="F13" s="1"/>
      <c r="G13" s="28"/>
      <c r="H13" s="28"/>
      <c r="I13" s="28"/>
      <c r="J13" s="23" t="s">
        <v>67</v>
      </c>
      <c r="K13" s="25">
        <v>8.8716000000000003E-2</v>
      </c>
      <c r="L13" s="1"/>
      <c r="M13" s="1"/>
      <c r="N13" s="17"/>
    </row>
    <row r="14" spans="2:14" ht="15" customHeight="1" x14ac:dyDescent="0.25">
      <c r="B14" s="19"/>
      <c r="C14" s="5" t="s">
        <v>205</v>
      </c>
      <c r="D14" s="6" t="s">
        <v>111</v>
      </c>
      <c r="E14" s="11">
        <v>3.6399000000000001E-2</v>
      </c>
      <c r="F14" s="1"/>
      <c r="G14" s="28"/>
      <c r="H14" s="28"/>
      <c r="I14" s="28"/>
      <c r="J14" s="23" t="s">
        <v>10</v>
      </c>
      <c r="K14" s="25">
        <v>2.0993999999999999E-2</v>
      </c>
      <c r="L14" s="1"/>
      <c r="M14" s="1"/>
      <c r="N14" s="17"/>
    </row>
    <row r="15" spans="2:14" ht="15" customHeight="1" x14ac:dyDescent="0.25">
      <c r="B15" s="19"/>
      <c r="C15" s="5" t="s">
        <v>205</v>
      </c>
      <c r="D15" s="6" t="s">
        <v>110</v>
      </c>
      <c r="E15" s="11">
        <v>3.0654000000000001E-2</v>
      </c>
      <c r="F15" s="1"/>
      <c r="G15" s="28"/>
      <c r="H15" s="28"/>
      <c r="I15" s="28"/>
      <c r="J15" s="1"/>
      <c r="K15" s="1"/>
      <c r="L15" s="1"/>
      <c r="M15" s="1"/>
      <c r="N15" s="17"/>
    </row>
    <row r="16" spans="2:14" ht="15" customHeight="1" x14ac:dyDescent="0.25">
      <c r="B16" s="19"/>
      <c r="C16" s="5" t="s">
        <v>112</v>
      </c>
      <c r="D16" s="6" t="s">
        <v>113</v>
      </c>
      <c r="E16" s="11">
        <v>3.0415999999999999E-2</v>
      </c>
      <c r="F16" s="1"/>
      <c r="G16" s="28"/>
      <c r="H16" s="28"/>
      <c r="I16" s="28"/>
      <c r="J16" s="1"/>
      <c r="K16" s="1"/>
      <c r="L16" s="1"/>
      <c r="M16" s="1"/>
      <c r="N16" s="17"/>
    </row>
    <row r="17" spans="2:14" ht="15" customHeight="1" x14ac:dyDescent="0.25">
      <c r="B17" s="19"/>
      <c r="C17" s="5" t="s">
        <v>32</v>
      </c>
      <c r="D17" s="6" t="s">
        <v>27</v>
      </c>
      <c r="E17" s="11">
        <v>1.3213000000000001E-2</v>
      </c>
      <c r="F17" s="1"/>
      <c r="G17" s="28"/>
      <c r="H17" s="28"/>
      <c r="I17" s="28"/>
      <c r="J17" s="1"/>
      <c r="K17" s="1"/>
      <c r="L17" s="1"/>
      <c r="M17" s="1"/>
      <c r="N17" s="17"/>
    </row>
    <row r="18" spans="2:14" ht="15" customHeight="1" x14ac:dyDescent="0.25">
      <c r="B18" s="19"/>
      <c r="C18" s="5" t="s">
        <v>31</v>
      </c>
      <c r="D18" s="6" t="s">
        <v>27</v>
      </c>
      <c r="E18" s="11">
        <v>6.5789999999999998E-3</v>
      </c>
      <c r="F18" s="1"/>
      <c r="G18" s="1"/>
      <c r="H18" s="1"/>
      <c r="I18" s="1"/>
      <c r="J18" s="1"/>
      <c r="K18" s="1"/>
      <c r="L18" s="1"/>
      <c r="M18" s="1"/>
      <c r="N18" s="17"/>
    </row>
    <row r="19" spans="2:14" ht="15" customHeight="1" x14ac:dyDescent="0.25">
      <c r="B19" s="19"/>
      <c r="C19" s="5" t="s">
        <v>114</v>
      </c>
      <c r="D19" s="6" t="s">
        <v>110</v>
      </c>
      <c r="E19" s="11">
        <v>6.2110000000000004E-3</v>
      </c>
      <c r="F19" s="1"/>
      <c r="G19" s="1"/>
      <c r="H19" s="1"/>
      <c r="I19" s="1"/>
      <c r="J19" s="1"/>
      <c r="K19" s="1"/>
      <c r="L19" s="1"/>
      <c r="M19" s="1"/>
      <c r="N19" s="17"/>
    </row>
    <row r="20" spans="2:14" ht="15" customHeight="1" x14ac:dyDescent="0.25">
      <c r="B20" s="19"/>
      <c r="C20" s="5" t="s">
        <v>206</v>
      </c>
      <c r="D20" s="6" t="s">
        <v>111</v>
      </c>
      <c r="E20" s="11">
        <v>6.1580000000000003E-3</v>
      </c>
      <c r="F20" s="1"/>
      <c r="G20" s="1"/>
      <c r="H20" s="1"/>
      <c r="I20" s="1"/>
      <c r="J20" s="1"/>
      <c r="K20" s="1"/>
      <c r="L20" s="1"/>
      <c r="M20" s="1"/>
      <c r="N20" s="17"/>
    </row>
    <row r="21" spans="2:14" ht="15.75" customHeight="1" x14ac:dyDescent="0.25">
      <c r="B21" s="19"/>
      <c r="C21" s="7" t="s">
        <v>45</v>
      </c>
      <c r="D21" s="8"/>
      <c r="E21" s="12">
        <v>0.48536000000000001</v>
      </c>
      <c r="F21" s="1"/>
      <c r="G21" s="1"/>
      <c r="H21" s="1"/>
      <c r="I21" s="1"/>
      <c r="J21" s="1"/>
      <c r="K21" s="1"/>
      <c r="L21" s="1"/>
      <c r="M21" s="1"/>
      <c r="N21" s="17"/>
    </row>
    <row r="22" spans="2:14" ht="15" customHeight="1" x14ac:dyDescent="0.25">
      <c r="B22" s="19"/>
      <c r="C22" s="5" t="s">
        <v>115</v>
      </c>
      <c r="D22" s="6" t="s">
        <v>47</v>
      </c>
      <c r="E22" s="11">
        <v>0.15309300000000001</v>
      </c>
      <c r="F22" s="1"/>
      <c r="G22" s="1"/>
      <c r="H22" s="1"/>
      <c r="I22" s="1"/>
      <c r="J22" s="1"/>
      <c r="K22" s="1"/>
      <c r="L22" s="1"/>
      <c r="M22" s="1"/>
      <c r="N22" s="17"/>
    </row>
    <row r="23" spans="2:14" ht="15" customHeight="1" x14ac:dyDescent="0.25">
      <c r="B23" s="19"/>
      <c r="C23" s="5" t="s">
        <v>51</v>
      </c>
      <c r="D23" s="6" t="s">
        <v>47</v>
      </c>
      <c r="E23" s="11">
        <v>3.5943999999999997E-2</v>
      </c>
      <c r="F23" s="1"/>
      <c r="G23" s="1"/>
      <c r="H23" s="1"/>
      <c r="I23" s="1"/>
      <c r="J23" s="1"/>
      <c r="K23" s="1"/>
      <c r="L23" s="1"/>
      <c r="M23" s="1"/>
      <c r="N23" s="17"/>
    </row>
    <row r="24" spans="2:14" ht="15" customHeight="1" x14ac:dyDescent="0.25">
      <c r="B24" s="19"/>
      <c r="C24" s="5" t="s">
        <v>116</v>
      </c>
      <c r="D24" s="6" t="s">
        <v>47</v>
      </c>
      <c r="E24" s="11">
        <v>2.6117999999999999E-2</v>
      </c>
      <c r="F24" s="1"/>
      <c r="G24" s="1"/>
      <c r="H24" s="1"/>
      <c r="I24" s="1"/>
      <c r="J24" s="1"/>
      <c r="K24" s="1"/>
      <c r="L24" s="1"/>
      <c r="M24" s="1"/>
      <c r="N24" s="17"/>
    </row>
    <row r="25" spans="2:14" ht="15" customHeight="1" x14ac:dyDescent="0.25">
      <c r="B25" s="19"/>
      <c r="C25" s="5" t="s">
        <v>72</v>
      </c>
      <c r="D25" s="6" t="s">
        <v>47</v>
      </c>
      <c r="E25" s="11">
        <v>5.9550000000000002E-3</v>
      </c>
      <c r="F25" s="1"/>
      <c r="G25" s="1"/>
      <c r="H25" s="1"/>
      <c r="I25" s="1"/>
      <c r="J25" s="1"/>
      <c r="K25" s="1"/>
      <c r="L25" s="1"/>
      <c r="M25" s="1"/>
      <c r="N25" s="17"/>
    </row>
    <row r="26" spans="2:14" ht="15.75" customHeight="1" x14ac:dyDescent="0.25">
      <c r="B26" s="19"/>
      <c r="C26" s="7" t="s">
        <v>56</v>
      </c>
      <c r="D26" s="8"/>
      <c r="E26" s="12">
        <v>0.22111</v>
      </c>
      <c r="F26" s="1"/>
      <c r="G26" s="37" t="s">
        <v>17</v>
      </c>
      <c r="H26" s="38"/>
      <c r="I26" s="38"/>
      <c r="J26" s="38"/>
      <c r="K26" s="38"/>
      <c r="L26" s="38"/>
      <c r="M26" s="38"/>
      <c r="N26" s="39"/>
    </row>
    <row r="27" spans="2:14" ht="15" customHeight="1" x14ac:dyDescent="0.25">
      <c r="B27" s="19"/>
      <c r="C27" s="5" t="s">
        <v>200</v>
      </c>
      <c r="D27" s="6" t="s">
        <v>78</v>
      </c>
      <c r="E27" s="11">
        <v>8.4923999999999999E-2</v>
      </c>
      <c r="F27" s="1"/>
      <c r="G27" s="1"/>
      <c r="H27" s="1"/>
      <c r="I27" s="1"/>
      <c r="J27" s="1"/>
      <c r="K27" s="1"/>
      <c r="L27" s="1"/>
      <c r="M27" s="1"/>
      <c r="N27" s="17"/>
    </row>
    <row r="28" spans="2:14" ht="15.75" customHeight="1" x14ac:dyDescent="0.25">
      <c r="B28" s="19"/>
      <c r="C28" s="7" t="s">
        <v>79</v>
      </c>
      <c r="D28" s="8"/>
      <c r="E28" s="12">
        <v>8.4923999999999999E-2</v>
      </c>
      <c r="F28" s="1"/>
      <c r="G28" s="1"/>
      <c r="H28" s="1"/>
      <c r="I28" s="1"/>
      <c r="J28" s="1"/>
      <c r="K28" s="1"/>
      <c r="L28" s="1"/>
      <c r="M28" s="1"/>
      <c r="N28" s="17"/>
    </row>
    <row r="29" spans="2:14" ht="15" customHeight="1" x14ac:dyDescent="0.25">
      <c r="B29" s="19"/>
      <c r="C29" s="5" t="s">
        <v>8</v>
      </c>
      <c r="D29" s="6"/>
      <c r="E29" s="11">
        <v>9.8895999999999998E-2</v>
      </c>
      <c r="F29" s="1"/>
      <c r="G29" s="1"/>
      <c r="H29" s="1"/>
      <c r="I29" s="1"/>
      <c r="J29" s="1"/>
      <c r="K29" s="1"/>
      <c r="L29" s="1"/>
      <c r="M29" s="1"/>
      <c r="N29" s="17"/>
    </row>
    <row r="30" spans="2:14" ht="15.75" customHeight="1" x14ac:dyDescent="0.25">
      <c r="B30" s="19"/>
      <c r="C30" s="7" t="s">
        <v>9</v>
      </c>
      <c r="D30" s="8"/>
      <c r="E30" s="12">
        <v>9.8895999999999998E-2</v>
      </c>
      <c r="F30" s="1"/>
      <c r="G30" s="1"/>
      <c r="H30" s="1"/>
      <c r="I30" s="1"/>
      <c r="J30" s="1"/>
      <c r="K30" s="1"/>
      <c r="L30" s="1"/>
      <c r="M30" s="1"/>
      <c r="N30" s="17"/>
    </row>
    <row r="31" spans="2:14" ht="15" customHeight="1" x14ac:dyDescent="0.25">
      <c r="B31" s="19"/>
      <c r="C31" s="5" t="s">
        <v>117</v>
      </c>
      <c r="D31" s="6" t="s">
        <v>110</v>
      </c>
      <c r="E31" s="11">
        <v>8.8716000000000003E-2</v>
      </c>
      <c r="F31" s="1"/>
      <c r="G31" s="1"/>
      <c r="H31" s="1"/>
      <c r="I31" s="1"/>
      <c r="J31" s="1"/>
      <c r="K31" s="1"/>
      <c r="L31" s="1"/>
      <c r="M31" s="1"/>
      <c r="N31" s="17"/>
    </row>
    <row r="32" spans="2:14" ht="15.75" customHeight="1" x14ac:dyDescent="0.25">
      <c r="B32" s="19"/>
      <c r="C32" s="7" t="s">
        <v>60</v>
      </c>
      <c r="D32" s="8"/>
      <c r="E32" s="12">
        <v>8.8716000000000003E-2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75" customHeight="1" x14ac:dyDescent="0.25">
      <c r="B34" s="19"/>
      <c r="C34" s="7" t="s">
        <v>10</v>
      </c>
      <c r="D34" s="8"/>
      <c r="E34" s="12">
        <v>2.0993999999999999E-2</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 customHeight="1" x14ac:dyDescent="0.25">
      <c r="B36" s="19"/>
      <c r="C36" s="9" t="s">
        <v>11</v>
      </c>
      <c r="D36" s="10"/>
      <c r="E36" s="13">
        <v>1</v>
      </c>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t="s">
        <v>201</v>
      </c>
      <c r="D38" s="1"/>
      <c r="E38" s="1"/>
      <c r="F38" s="1"/>
      <c r="G38" s="1"/>
      <c r="H38" s="1"/>
      <c r="I38" s="1"/>
      <c r="J38" s="1"/>
      <c r="K38" s="1"/>
      <c r="L38" s="1"/>
      <c r="M38" s="1"/>
      <c r="N38" s="17"/>
    </row>
    <row r="39" spans="2:14" ht="15" customHeight="1" x14ac:dyDescent="0.25">
      <c r="B39" s="19"/>
      <c r="C39" s="1" t="s">
        <v>199</v>
      </c>
      <c r="D39" s="1"/>
      <c r="E39" s="1"/>
      <c r="F39" s="1"/>
      <c r="G39" s="1"/>
      <c r="H39" s="1"/>
      <c r="I39" s="1"/>
      <c r="J39" s="1"/>
      <c r="K39" s="1"/>
      <c r="L39" s="1"/>
      <c r="M39" s="1"/>
      <c r="N39" s="17"/>
    </row>
    <row r="40" spans="2:14" ht="15" customHeight="1" x14ac:dyDescent="0.25">
      <c r="B40" s="19"/>
      <c r="C40" s="27" t="s">
        <v>202</v>
      </c>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35" customHeight="1" thickBot="1" x14ac:dyDescent="0.3">
      <c r="B46" s="31" t="s">
        <v>198</v>
      </c>
      <c r="C46" s="32"/>
      <c r="D46" s="32"/>
      <c r="E46" s="32"/>
      <c r="F46" s="32"/>
      <c r="G46" s="32"/>
      <c r="H46" s="32"/>
      <c r="I46" s="32"/>
      <c r="J46" s="32"/>
      <c r="K46" s="32"/>
      <c r="L46" s="32"/>
      <c r="M46" s="32"/>
      <c r="N46" s="33"/>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4">
    <mergeCell ref="B46:N46"/>
    <mergeCell ref="C3:N3"/>
    <mergeCell ref="G7:N7"/>
    <mergeCell ref="G26:N2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123</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71</v>
      </c>
      <c r="D8" s="6" t="s">
        <v>47</v>
      </c>
      <c r="E8" s="11">
        <v>0.33609600000000001</v>
      </c>
      <c r="F8" s="1"/>
      <c r="G8" s="23" t="s">
        <v>15</v>
      </c>
      <c r="H8" s="24">
        <v>1</v>
      </c>
      <c r="I8" s="1"/>
      <c r="J8" s="23" t="s">
        <v>12</v>
      </c>
      <c r="K8" s="23" t="s">
        <v>3</v>
      </c>
      <c r="L8" s="1"/>
      <c r="M8" s="1"/>
      <c r="N8" s="17"/>
    </row>
    <row r="9" spans="2:14" ht="15" customHeight="1" x14ac:dyDescent="0.25">
      <c r="B9" s="19"/>
      <c r="C9" s="5" t="s">
        <v>70</v>
      </c>
      <c r="D9" s="6" t="s">
        <v>47</v>
      </c>
      <c r="E9" s="11">
        <v>0.27508100000000002</v>
      </c>
      <c r="F9" s="1"/>
      <c r="G9" s="1"/>
      <c r="H9" s="1"/>
      <c r="I9" s="1"/>
      <c r="J9" s="23" t="s">
        <v>13</v>
      </c>
      <c r="K9" s="25">
        <v>7.18E-4</v>
      </c>
      <c r="L9" s="1"/>
      <c r="M9" s="1"/>
      <c r="N9" s="17"/>
    </row>
    <row r="10" spans="2:14" ht="15" customHeight="1" x14ac:dyDescent="0.25">
      <c r="B10" s="19"/>
      <c r="C10" s="5" t="s">
        <v>69</v>
      </c>
      <c r="D10" s="6" t="s">
        <v>47</v>
      </c>
      <c r="E10" s="11">
        <v>0.19420299999999999</v>
      </c>
      <c r="F10" s="1"/>
      <c r="G10" s="1"/>
      <c r="H10" s="1"/>
      <c r="I10" s="1"/>
      <c r="J10" s="23" t="s">
        <v>64</v>
      </c>
      <c r="K10" s="25">
        <v>0.98581099999999999</v>
      </c>
      <c r="L10" s="1"/>
      <c r="M10" s="1"/>
      <c r="N10" s="17"/>
    </row>
    <row r="11" spans="2:14" ht="15" customHeight="1" x14ac:dyDescent="0.25">
      <c r="B11" s="19"/>
      <c r="C11" s="5" t="s">
        <v>72</v>
      </c>
      <c r="D11" s="6" t="s">
        <v>47</v>
      </c>
      <c r="E11" s="11">
        <v>0.167379</v>
      </c>
      <c r="F11" s="1"/>
      <c r="G11" s="1"/>
      <c r="H11" s="1"/>
      <c r="I11" s="1"/>
      <c r="J11" s="23" t="s">
        <v>10</v>
      </c>
      <c r="K11" s="25">
        <v>1.3471E-2</v>
      </c>
      <c r="L11" s="1"/>
      <c r="M11" s="1"/>
      <c r="N11" s="17"/>
    </row>
    <row r="12" spans="2:14" ht="15" customHeight="1" x14ac:dyDescent="0.25">
      <c r="B12" s="19"/>
      <c r="C12" s="5" t="s">
        <v>75</v>
      </c>
      <c r="D12" s="6" t="s">
        <v>47</v>
      </c>
      <c r="E12" s="11">
        <v>1.3023E-2</v>
      </c>
      <c r="F12" s="1"/>
      <c r="G12" s="1"/>
      <c r="H12" s="1"/>
      <c r="I12" s="1"/>
      <c r="J12" s="1"/>
      <c r="K12" s="1"/>
      <c r="L12" s="1"/>
      <c r="M12" s="1"/>
      <c r="N12" s="17"/>
    </row>
    <row r="13" spans="2:14" ht="15" customHeight="1" x14ac:dyDescent="0.25">
      <c r="B13" s="19"/>
      <c r="C13" s="5" t="s">
        <v>115</v>
      </c>
      <c r="D13" s="6" t="s">
        <v>47</v>
      </c>
      <c r="E13" s="11">
        <v>2.9E-5</v>
      </c>
      <c r="F13" s="1"/>
      <c r="G13" s="1"/>
      <c r="H13" s="1"/>
      <c r="I13" s="1"/>
      <c r="J13" s="1"/>
      <c r="K13" s="1"/>
      <c r="L13" s="1"/>
      <c r="M13" s="1"/>
      <c r="N13" s="17"/>
    </row>
    <row r="14" spans="2:14" ht="15.75" customHeight="1" x14ac:dyDescent="0.25">
      <c r="B14" s="19"/>
      <c r="C14" s="7" t="s">
        <v>56</v>
      </c>
      <c r="D14" s="8"/>
      <c r="E14" s="12">
        <v>0.98581099999999999</v>
      </c>
      <c r="F14" s="1"/>
      <c r="G14" s="1"/>
      <c r="H14" s="1"/>
      <c r="I14" s="1"/>
      <c r="J14" s="1"/>
      <c r="K14" s="1"/>
      <c r="L14" s="1"/>
      <c r="M14" s="1"/>
      <c r="N14" s="17"/>
    </row>
    <row r="15" spans="2:14" ht="15" customHeight="1" x14ac:dyDescent="0.25">
      <c r="B15" s="19"/>
      <c r="C15" s="5" t="s">
        <v>8</v>
      </c>
      <c r="D15" s="6"/>
      <c r="E15" s="11">
        <v>7.18E-4</v>
      </c>
      <c r="F15" s="1"/>
      <c r="G15" s="1"/>
      <c r="H15" s="1"/>
      <c r="I15" s="1"/>
      <c r="J15" s="1"/>
      <c r="K15" s="1"/>
      <c r="L15" s="1"/>
      <c r="M15" s="1"/>
      <c r="N15" s="17"/>
    </row>
    <row r="16" spans="2:14" ht="15.75" customHeight="1" x14ac:dyDescent="0.25">
      <c r="B16" s="19"/>
      <c r="C16" s="7" t="s">
        <v>9</v>
      </c>
      <c r="D16" s="8"/>
      <c r="E16" s="12">
        <v>7.18E-4</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1.3471E-2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23.75" customHeight="1" thickBot="1" x14ac:dyDescent="0.3">
      <c r="B45" s="31" t="s">
        <v>198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6"/>
  <sheetViews>
    <sheetView showGridLines="0" zoomScale="75" zoomScaleNormal="75" workbookViewId="0"/>
  </sheetViews>
  <sheetFormatPr defaultRowHeight="15" x14ac:dyDescent="0.25"/>
  <cols>
    <col min="1" max="1" width="2.85546875" customWidth="1"/>
    <col min="2" max="2" width="3.85546875" customWidth="1"/>
    <col min="3" max="3" width="52.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71</v>
      </c>
      <c r="D8" s="6" t="s">
        <v>47</v>
      </c>
      <c r="E8" s="11">
        <v>0.71850999999999998</v>
      </c>
      <c r="F8" s="1"/>
      <c r="G8" s="23" t="s">
        <v>15</v>
      </c>
      <c r="H8" s="24">
        <v>1</v>
      </c>
      <c r="I8" s="1"/>
      <c r="J8" s="23" t="s">
        <v>12</v>
      </c>
      <c r="K8" s="23" t="s">
        <v>3</v>
      </c>
      <c r="L8" s="1"/>
      <c r="M8" s="1"/>
      <c r="N8" s="17"/>
    </row>
    <row r="9" spans="2:14" ht="15" customHeight="1" x14ac:dyDescent="0.25">
      <c r="B9" s="19"/>
      <c r="C9" s="5" t="s">
        <v>125</v>
      </c>
      <c r="D9" s="6" t="s">
        <v>47</v>
      </c>
      <c r="E9" s="11">
        <v>0.149705</v>
      </c>
      <c r="F9" s="1"/>
      <c r="G9" s="1"/>
      <c r="H9" s="1"/>
      <c r="I9" s="1"/>
      <c r="J9" s="23" t="s">
        <v>13</v>
      </c>
      <c r="K9" s="25">
        <v>1.1313999999999999E-2</v>
      </c>
      <c r="L9" s="1"/>
      <c r="M9" s="1"/>
      <c r="N9" s="17"/>
    </row>
    <row r="10" spans="2:14" ht="15" customHeight="1" x14ac:dyDescent="0.25">
      <c r="B10" s="19"/>
      <c r="C10" s="5" t="s">
        <v>126</v>
      </c>
      <c r="D10" s="6" t="s">
        <v>47</v>
      </c>
      <c r="E10" s="11">
        <v>8.5620000000000002E-2</v>
      </c>
      <c r="F10" s="1"/>
      <c r="G10" s="1"/>
      <c r="H10" s="1"/>
      <c r="I10" s="1"/>
      <c r="J10" s="23" t="s">
        <v>64</v>
      </c>
      <c r="K10" s="25">
        <v>0.97808200000000001</v>
      </c>
      <c r="L10" s="1"/>
      <c r="M10" s="1"/>
      <c r="N10" s="17"/>
    </row>
    <row r="11" spans="2:14" ht="15" customHeight="1" x14ac:dyDescent="0.25">
      <c r="B11" s="19"/>
      <c r="C11" s="5" t="s">
        <v>73</v>
      </c>
      <c r="D11" s="6" t="s">
        <v>47</v>
      </c>
      <c r="E11" s="11">
        <v>1.5465E-2</v>
      </c>
      <c r="F11" s="1"/>
      <c r="G11" s="1"/>
      <c r="H11" s="1"/>
      <c r="I11" s="1"/>
      <c r="J11" s="23" t="s">
        <v>10</v>
      </c>
      <c r="K11" s="25">
        <v>1.0604000000000001E-2</v>
      </c>
      <c r="L11" s="1"/>
      <c r="M11" s="1"/>
      <c r="N11" s="17"/>
    </row>
    <row r="12" spans="2:14" ht="15" customHeight="1" x14ac:dyDescent="0.25">
      <c r="B12" s="19"/>
      <c r="C12" s="5" t="s">
        <v>70</v>
      </c>
      <c r="D12" s="6" t="s">
        <v>47</v>
      </c>
      <c r="E12" s="11">
        <v>5.8199999999999997E-3</v>
      </c>
      <c r="F12" s="1"/>
      <c r="G12" s="1"/>
      <c r="H12" s="1"/>
      <c r="I12" s="1"/>
      <c r="J12" s="1"/>
      <c r="K12" s="1"/>
      <c r="L12" s="1"/>
      <c r="M12" s="1"/>
      <c r="N12" s="17"/>
    </row>
    <row r="13" spans="2:14" ht="15" customHeight="1" x14ac:dyDescent="0.25">
      <c r="B13" s="19"/>
      <c r="C13" s="5" t="s">
        <v>115</v>
      </c>
      <c r="D13" s="6" t="s">
        <v>47</v>
      </c>
      <c r="E13" s="11">
        <v>2.9619999999999998E-3</v>
      </c>
      <c r="F13" s="1"/>
      <c r="G13" s="1"/>
      <c r="H13" s="1"/>
      <c r="I13" s="1"/>
      <c r="J13" s="1"/>
      <c r="K13" s="1"/>
      <c r="L13" s="1"/>
      <c r="M13" s="1"/>
      <c r="N13" s="17"/>
    </row>
    <row r="14" spans="2:14" ht="15.75" customHeight="1" x14ac:dyDescent="0.25">
      <c r="B14" s="19"/>
      <c r="C14" s="7" t="s">
        <v>56</v>
      </c>
      <c r="D14" s="8"/>
      <c r="E14" s="12">
        <v>0.97808200000000001</v>
      </c>
      <c r="F14" s="1"/>
      <c r="G14" s="1"/>
      <c r="H14" s="1"/>
      <c r="I14" s="1"/>
      <c r="J14" s="1"/>
      <c r="K14" s="1"/>
      <c r="L14" s="1"/>
      <c r="M14" s="1"/>
      <c r="N14" s="17"/>
    </row>
    <row r="15" spans="2:14" ht="15" customHeight="1" x14ac:dyDescent="0.25">
      <c r="B15" s="19"/>
      <c r="C15" s="5" t="s">
        <v>8</v>
      </c>
      <c r="D15" s="6"/>
      <c r="E15" s="11">
        <v>1.1313999999999999E-2</v>
      </c>
      <c r="F15" s="1"/>
      <c r="G15" s="1"/>
      <c r="H15" s="1"/>
      <c r="I15" s="1"/>
      <c r="J15" s="1"/>
      <c r="K15" s="1"/>
      <c r="L15" s="1"/>
      <c r="M15" s="1"/>
      <c r="N15" s="17"/>
    </row>
    <row r="16" spans="2:14" ht="15.75" customHeight="1" x14ac:dyDescent="0.25">
      <c r="B16" s="19"/>
      <c r="C16" s="7" t="s">
        <v>9</v>
      </c>
      <c r="D16" s="8"/>
      <c r="E16" s="12">
        <v>1.1313999999999999E-2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1.0604000000000001E-2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row r="45" spans="2:14" ht="15.75" thickBot="1" x14ac:dyDescent="0.3"/>
    <row r="46" spans="2:14" ht="123" customHeight="1" thickBot="1" x14ac:dyDescent="0.3">
      <c r="B46" s="31" t="s">
        <v>198</v>
      </c>
      <c r="C46" s="32"/>
      <c r="D46" s="32"/>
      <c r="E46" s="32"/>
      <c r="F46" s="32"/>
      <c r="G46" s="32"/>
      <c r="H46" s="32"/>
      <c r="I46" s="32"/>
      <c r="J46" s="32"/>
      <c r="K46" s="32"/>
      <c r="L46" s="32"/>
      <c r="M46" s="32"/>
      <c r="N46" s="33"/>
    </row>
  </sheetData>
  <mergeCells count="4">
    <mergeCell ref="B46:N46"/>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0</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4</v>
      </c>
      <c r="D8" s="6"/>
      <c r="E8" s="11">
        <v>0.60803499999999999</v>
      </c>
      <c r="F8" s="1"/>
      <c r="G8" s="23" t="s">
        <v>15</v>
      </c>
      <c r="H8" s="24">
        <v>1</v>
      </c>
      <c r="I8" s="1"/>
      <c r="J8" s="23" t="s">
        <v>12</v>
      </c>
      <c r="K8" s="23" t="s">
        <v>3</v>
      </c>
      <c r="L8" s="1"/>
      <c r="M8" s="1"/>
      <c r="N8" s="17"/>
    </row>
    <row r="9" spans="2:14" ht="15" customHeight="1" x14ac:dyDescent="0.25">
      <c r="B9" s="19"/>
      <c r="C9" s="5" t="s">
        <v>5</v>
      </c>
      <c r="D9" s="6"/>
      <c r="E9" s="11">
        <v>0.32277299999999998</v>
      </c>
      <c r="F9" s="1"/>
      <c r="G9" s="1"/>
      <c r="H9" s="1"/>
      <c r="I9" s="1"/>
      <c r="J9" s="23" t="s">
        <v>13</v>
      </c>
      <c r="K9" s="25">
        <v>7.4310000000000001E-3</v>
      </c>
      <c r="L9" s="1"/>
      <c r="M9" s="1"/>
      <c r="N9" s="17"/>
    </row>
    <row r="10" spans="2:14" ht="15" customHeight="1" x14ac:dyDescent="0.25">
      <c r="B10" s="19"/>
      <c r="C10" s="5" t="s">
        <v>6</v>
      </c>
      <c r="D10" s="6"/>
      <c r="E10" s="11">
        <v>6.4423999999999995E-2</v>
      </c>
      <c r="F10" s="1"/>
      <c r="G10" s="1"/>
      <c r="H10" s="1"/>
      <c r="I10" s="1"/>
      <c r="J10" s="23" t="s">
        <v>14</v>
      </c>
      <c r="K10" s="25">
        <v>0.99523200000000001</v>
      </c>
      <c r="L10" s="1"/>
      <c r="M10" s="1"/>
      <c r="N10" s="17"/>
    </row>
    <row r="11" spans="2:14" ht="15.75" customHeight="1" x14ac:dyDescent="0.25">
      <c r="B11" s="19"/>
      <c r="C11" s="7" t="s">
        <v>7</v>
      </c>
      <c r="D11" s="8"/>
      <c r="E11" s="12">
        <v>0.99523200000000001</v>
      </c>
      <c r="F11" s="1"/>
      <c r="G11" s="1"/>
      <c r="H11" s="1"/>
      <c r="I11" s="1"/>
      <c r="J11" s="23" t="s">
        <v>10</v>
      </c>
      <c r="K11" s="25">
        <v>-2.663E-3</v>
      </c>
      <c r="L11" s="1"/>
      <c r="M11" s="1"/>
      <c r="N11" s="17"/>
    </row>
    <row r="12" spans="2:14" ht="15" customHeight="1" x14ac:dyDescent="0.25">
      <c r="B12" s="19"/>
      <c r="C12" s="5" t="s">
        <v>8</v>
      </c>
      <c r="D12" s="6"/>
      <c r="E12" s="11">
        <v>7.4310000000000001E-3</v>
      </c>
      <c r="F12" s="1"/>
      <c r="G12" s="1"/>
      <c r="H12" s="1"/>
      <c r="I12" s="1"/>
      <c r="J12" s="1"/>
      <c r="K12" s="1"/>
      <c r="L12" s="1"/>
      <c r="M12" s="1"/>
      <c r="N12" s="17"/>
    </row>
    <row r="13" spans="2:14" ht="15.75" customHeight="1" x14ac:dyDescent="0.25">
      <c r="B13" s="19"/>
      <c r="C13" s="7" t="s">
        <v>9</v>
      </c>
      <c r="D13" s="8"/>
      <c r="E13" s="12">
        <v>7.4310000000000001E-3</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-2.663E-3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23" customHeight="1" thickBot="1" x14ac:dyDescent="0.3">
      <c r="B45" s="31" t="s">
        <v>198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CRF</vt:lpstr>
      <vt:lpstr>IDFC GSF-IP</vt:lpstr>
      <vt:lpstr>IDFC GSF - CMP</vt:lpstr>
      <vt:lpstr>IDFC ASBF</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2021-01-31T09:09:02Z</dcterms:created>
  <dcterms:modified xsi:type="dcterms:W3CDTF">2021-02-01T03:37:15Z</dcterms:modified>
</cp:coreProperties>
</file>