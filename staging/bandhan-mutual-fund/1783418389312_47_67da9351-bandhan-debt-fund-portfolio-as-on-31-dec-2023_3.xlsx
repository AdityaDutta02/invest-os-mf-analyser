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0.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1.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2.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drawings/drawing13.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drawings/drawing14.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drawings/drawing15.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drawings/drawing16.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drawings/drawing17.xml" ContentType="application/vnd.openxmlformats-officedocument.drawing+xml"/>
  <Override PartName="/xl/charts/chart33.xml" ContentType="application/vnd.openxmlformats-officedocument.drawingml.chart+xml"/>
  <Override PartName="/xl/charts/chart34.xml" ContentType="application/vnd.openxmlformats-officedocument.drawingml.chart+xml"/>
  <Override PartName="/xl/drawings/drawing18.xml" ContentType="application/vnd.openxmlformats-officedocument.drawing+xml"/>
  <Override PartName="/xl/charts/chart35.xml" ContentType="application/vnd.openxmlformats-officedocument.drawingml.chart+xml"/>
  <Override PartName="/xl/charts/chart36.xml" ContentType="application/vnd.openxmlformats-officedocument.drawingml.chart+xml"/>
  <Override PartName="/xl/drawings/drawing19.xml" ContentType="application/vnd.openxmlformats-officedocument.drawing+xml"/>
  <Override PartName="/xl/charts/chart37.xml" ContentType="application/vnd.openxmlformats-officedocument.drawingml.chart+xml"/>
  <Override PartName="/xl/charts/chart38.xml" ContentType="application/vnd.openxmlformats-officedocument.drawingml.chart+xml"/>
  <Override PartName="/xl/drawings/drawing20.xml" ContentType="application/vnd.openxmlformats-officedocument.drawing+xml"/>
  <Override PartName="/xl/charts/chart39.xml" ContentType="application/vnd.openxmlformats-officedocument.drawingml.chart+xml"/>
  <Override PartName="/xl/charts/chart40.xml" ContentType="application/vnd.openxmlformats-officedocument.drawingml.chart+xml"/>
  <Override PartName="/xl/drawings/drawing21.xml" ContentType="application/vnd.openxmlformats-officedocument.drawing+xml"/>
  <Override PartName="/xl/charts/chart41.xml" ContentType="application/vnd.openxmlformats-officedocument.drawingml.chart+xml"/>
  <Override PartName="/xl/charts/chart42.xml" ContentType="application/vnd.openxmlformats-officedocument.drawingml.chart+xml"/>
  <Override PartName="/xl/drawings/drawing22.xml" ContentType="application/vnd.openxmlformats-officedocument.drawing+xml"/>
  <Override PartName="/xl/charts/chart43.xml" ContentType="application/vnd.openxmlformats-officedocument.drawingml.chart+xml"/>
  <Override PartName="/xl/charts/chart44.xml" ContentType="application/vnd.openxmlformats-officedocument.drawingml.chart+xml"/>
  <Override PartName="/xl/drawings/drawing23.xml" ContentType="application/vnd.openxmlformats-officedocument.drawing+xml"/>
  <Override PartName="/xl/charts/chart45.xml" ContentType="application/vnd.openxmlformats-officedocument.drawingml.chart+xml"/>
  <Override PartName="/xl/charts/chart46.xml" ContentType="application/vnd.openxmlformats-officedocument.drawingml.chart+xml"/>
  <Override PartName="/xl/drawings/drawing24.xml" ContentType="application/vnd.openxmlformats-officedocument.drawing+xml"/>
  <Override PartName="/xl/charts/chart4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3"/>
  <workbookPr defaultThemeVersion="166925"/>
  <mc:AlternateContent xmlns:mc="http://schemas.openxmlformats.org/markup-compatibility/2006">
    <mc:Choice Requires="x15">
      <x15ac:absPath xmlns:x15ac="http://schemas.microsoft.com/office/spreadsheetml/2010/11/ac" url="Z:\MONTH END DELIVERABLES-1\Portfolios_All\2024\Jan 2024\"/>
    </mc:Choice>
  </mc:AlternateContent>
  <xr:revisionPtr revIDLastSave="0" documentId="13_ncr:1_{12A6406E-9D9A-49BA-B903-54771235C272}" xr6:coauthVersionLast="36" xr6:coauthVersionMax="36" xr10:uidLastSave="{00000000-0000-0000-0000-000000000000}"/>
  <bookViews>
    <workbookView xWindow="0" yWindow="0" windowWidth="15345" windowHeight="4170" tabRatio="928" xr2:uid="{1AC40EB9-78FA-4109-825A-4A23A9E0B549}"/>
  </bookViews>
  <sheets>
    <sheet name="BANDHAN OF" sheetId="23" r:id="rId1"/>
    <sheet name="BANDHAN CF" sheetId="20" r:id="rId2"/>
    <sheet name="BANDHAN LDF" sheetId="21" r:id="rId3"/>
    <sheet name="BANDHAN MMF" sheetId="22" r:id="rId4"/>
    <sheet name="BANDHAN USTF" sheetId="24" r:id="rId5"/>
    <sheet name="BANDHAN DBF" sheetId="16" r:id="rId6"/>
    <sheet name="BANDHAN BOND IP" sheetId="4" r:id="rId7"/>
    <sheet name="BANDHAN BOND MT" sheetId="5" r:id="rId8"/>
    <sheet name="BANDHAN BOND ST" sheetId="6" r:id="rId9"/>
    <sheet name="BANDHAN BPDF" sheetId="3" r:id="rId10"/>
    <sheet name="BANDHAN CBF" sheetId="7" r:id="rId11"/>
    <sheet name="BANDHAN FRF" sheetId="25" r:id="rId12"/>
    <sheet name="BANDHAN CRF" sheetId="8" r:id="rId13"/>
    <sheet name="BANDHAN GSF-IP" sheetId="19" r:id="rId14"/>
    <sheet name="BANDHAN CMP" sheetId="18" r:id="rId15"/>
    <sheet name="BANDHAN GIF26" sheetId="12" r:id="rId16"/>
    <sheet name="BANDHAN GIF2027" sheetId="15" r:id="rId17"/>
    <sheet name="BANDHAN GIF2028" sheetId="13" r:id="rId18"/>
    <sheet name="BANDHAN GIF32" sheetId="14" r:id="rId19"/>
    <sheet name="BANDHAN SDLGIF26" sheetId="10" r:id="rId20"/>
    <sheet name="BANDHAN SDLGIF27" sheetId="11" r:id="rId21"/>
    <sheet name="BANDHAN SDLGIF32" sheetId="9" r:id="rId22"/>
    <sheet name="BANDHAN ASBF" sheetId="2" r:id="rId23"/>
    <sheet name="BANDHAN US TB 0-1yr FOF" sheetId="26" r:id="rId24"/>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5" i="26" l="1"/>
  <c r="J10" i="26"/>
  <c r="J9" i="26"/>
  <c r="J8" i="26"/>
  <c r="H8" i="25" l="1"/>
  <c r="E33" i="25"/>
</calcChain>
</file>

<file path=xl/sharedStrings.xml><?xml version="1.0" encoding="utf-8"?>
<sst xmlns="http://schemas.openxmlformats.org/spreadsheetml/2006/main" count="1400" uniqueCount="315">
  <si>
    <t>Bandhan All Seasons Bond Fund (31 December, 2023 )</t>
  </si>
  <si>
    <t>Net Assets as on 31 December, 2023</t>
  </si>
  <si>
    <t>123.29 crs</t>
  </si>
  <si>
    <t>Name</t>
  </si>
  <si>
    <t>Rating</t>
  </si>
  <si>
    <t>Total</t>
  </si>
  <si>
    <t>Bandhan Bond Fund -Short Term Pl Direct Pl-Growth</t>
  </si>
  <si>
    <t>Mutual Fund Units Total</t>
  </si>
  <si>
    <t>Clearing Corporation of India Ltd</t>
  </si>
  <si>
    <t>TRI Party Repo Total</t>
  </si>
  <si>
    <t>Net Current Asset</t>
  </si>
  <si>
    <t>Grand Total</t>
  </si>
  <si>
    <t>Company</t>
  </si>
  <si>
    <t>TRI Party Repo</t>
  </si>
  <si>
    <t>Mutual Fund Units</t>
  </si>
  <si>
    <t>AAA EQUIVALENT</t>
  </si>
  <si>
    <t>Asset Quality</t>
  </si>
  <si>
    <t>Average Maturity Years</t>
  </si>
  <si>
    <t>Asset Allocation</t>
  </si>
  <si>
    <t>Bandhan Banking &amp; PSU Debt Fund (31 December, 2023 )</t>
  </si>
  <si>
    <t>14580.48 crs</t>
  </si>
  <si>
    <t>State Bank of India</t>
  </si>
  <si>
    <t xml:space="preserve"> A1+</t>
  </si>
  <si>
    <t>Axis Bank Limited</t>
  </si>
  <si>
    <t>Export Import Bank of India</t>
  </si>
  <si>
    <t>Canara Bank</t>
  </si>
  <si>
    <t>Kotak Mahindra Bank Limited</t>
  </si>
  <si>
    <t>Certificate of Deposit Total</t>
  </si>
  <si>
    <t>Commercial Paper Total</t>
  </si>
  <si>
    <t>HDFC Bank Limited</t>
  </si>
  <si>
    <t xml:space="preserve"> AAA</t>
  </si>
  <si>
    <t>Indian Railway Finance Corporation Limited</t>
  </si>
  <si>
    <t>National Bank For Agriculture and Rural Development</t>
  </si>
  <si>
    <t>Small Industries Dev Bank of India</t>
  </si>
  <si>
    <t>Power Finance Corporation Limited</t>
  </si>
  <si>
    <t>REC Limited</t>
  </si>
  <si>
    <t>Bajaj Housing Finance Limited</t>
  </si>
  <si>
    <t>Hindustan Petroleum Corporation Limited</t>
  </si>
  <si>
    <t>NTPC Limited</t>
  </si>
  <si>
    <t>Indian Oil Corporation Limited</t>
  </si>
  <si>
    <t>Nuclear Power Corporation Of India Limited</t>
  </si>
  <si>
    <t>National Housing Bank</t>
  </si>
  <si>
    <t>ICICI Bank Limited</t>
  </si>
  <si>
    <t>Power Grid Corporation of India Limited</t>
  </si>
  <si>
    <t>NHPC Limited</t>
  </si>
  <si>
    <t>Reliance Jio Infocomm Limited</t>
  </si>
  <si>
    <t>Corporate Bond Total</t>
  </si>
  <si>
    <t>Corporate Debt Market Development Fund</t>
  </si>
  <si>
    <t>Corporate Debt Market Development Fund Total</t>
  </si>
  <si>
    <t>7.38% GOI (MD 20/06/2027)</t>
  </si>
  <si>
    <t>Government Bond Total</t>
  </si>
  <si>
    <t>State Government Bond Total</t>
  </si>
  <si>
    <t>Certificate of Deposit</t>
  </si>
  <si>
    <t>Corporate Bond</t>
  </si>
  <si>
    <t>Commercial Paper</t>
  </si>
  <si>
    <t>Government Bond</t>
  </si>
  <si>
    <t>State Government Bond</t>
  </si>
  <si>
    <t>Bandhan Bond Fund - Income Plan (31 December, 2023 )</t>
  </si>
  <si>
    <t>490.99 crs</t>
  </si>
  <si>
    <t>7.18% GOI (MD 24/07/2037)</t>
  </si>
  <si>
    <t>7.1% GOI (MD 18/04/2029)</t>
  </si>
  <si>
    <t>7.06% GOI (MD 10/04/2028)</t>
  </si>
  <si>
    <t>6.1% GOI (MD 12/07/2031)</t>
  </si>
  <si>
    <t>7.18% GOI (MD 14/08/2033)</t>
  </si>
  <si>
    <t>6.79% GOI (MD 15/05/2027)</t>
  </si>
  <si>
    <t>7.73% GOI (MD 19/12/2034)</t>
  </si>
  <si>
    <t>Bandhan Bond Fund - Medium Term Plan (31 December, 2023 )</t>
  </si>
  <si>
    <t>1621.98 crs</t>
  </si>
  <si>
    <t>7.32% GOI (MD 13/11/2030)</t>
  </si>
  <si>
    <t>7.26% GOI (MD 06/02/2033)</t>
  </si>
  <si>
    <t>8.24% GOI (MD 15/02/2027)</t>
  </si>
  <si>
    <t xml:space="preserve"> AAA(SO)</t>
  </si>
  <si>
    <t>PTC Total</t>
  </si>
  <si>
    <t>PTC</t>
  </si>
  <si>
    <t>Bandhan Bond Fund - Short Term Plan (31 December, 2023 )</t>
  </si>
  <si>
    <t>8621.33 crs</t>
  </si>
  <si>
    <t>Bajaj Finance Limited</t>
  </si>
  <si>
    <t>Sundaram Finance Limited</t>
  </si>
  <si>
    <t>Kotak Mahindra Prime Limited</t>
  </si>
  <si>
    <t>7.17% GOI (MD 17/04/2030)</t>
  </si>
  <si>
    <t>5.63% GOI (MD 12/04/2026)</t>
  </si>
  <si>
    <t>Bandhan Corporate Bond Fund (31 December, 2023 )</t>
  </si>
  <si>
    <t>14022.82 crs</t>
  </si>
  <si>
    <t>Larsen &amp; Toubro Limited</t>
  </si>
  <si>
    <t>Grasim Industries Limited</t>
  </si>
  <si>
    <t>Oil &amp; Natural Gas Corporation Limited</t>
  </si>
  <si>
    <t>Tata Capital Financial Services Limited</t>
  </si>
  <si>
    <t>UltraTech Cement Limited</t>
  </si>
  <si>
    <t>Reliance Industries Limited</t>
  </si>
  <si>
    <t>364 Days Tbill (MD 14/03/2024)</t>
  </si>
  <si>
    <t>364 Days Tbill (MD 07/03/2024)</t>
  </si>
  <si>
    <t>364 Days Tbill (MD 22/03/2024)</t>
  </si>
  <si>
    <t>Treasury Bill Total</t>
  </si>
  <si>
    <t>Zero Coupon Bond Total</t>
  </si>
  <si>
    <t>Treasury Bill</t>
  </si>
  <si>
    <t>Zero Coupon Bond</t>
  </si>
  <si>
    <t>Bandhan Credit Risk Fund (31 December, 2023 )</t>
  </si>
  <si>
    <t>385.36 crs</t>
  </si>
  <si>
    <t>Century Textiles &amp; Industries Limited</t>
  </si>
  <si>
    <t xml:space="preserve"> AA</t>
  </si>
  <si>
    <t>Godrej Industries Limited</t>
  </si>
  <si>
    <t>Tata Power Company Limited</t>
  </si>
  <si>
    <t>Tata Projects Limited</t>
  </si>
  <si>
    <t>AU Small Finance Bank Limited</t>
  </si>
  <si>
    <t>Aadhar Housing Finance Limited</t>
  </si>
  <si>
    <t>Punjab National Bank</t>
  </si>
  <si>
    <t xml:space="preserve"> AA+</t>
  </si>
  <si>
    <t>Godrej Housing Finance Limited</t>
  </si>
  <si>
    <t>TVS Credit Services Limited</t>
  </si>
  <si>
    <t>Union Bank of India</t>
  </si>
  <si>
    <t>Bharti Telecom Limited</t>
  </si>
  <si>
    <t>Tata Motors Limited</t>
  </si>
  <si>
    <t>AA</t>
  </si>
  <si>
    <t>AA+</t>
  </si>
  <si>
    <t>Bandhan CRISIL IBX 90:10 SDL+Gilt Apr32 Index Fund (31 December, 2023 )</t>
  </si>
  <si>
    <t>331.46 crs</t>
  </si>
  <si>
    <t>6.54% GOI (MD 17/01/2032)</t>
  </si>
  <si>
    <t>Bandhan CRISIL IBX 90:10 SDL+Gilt Nov26 Index Fund (31 December, 2023 )</t>
  </si>
  <si>
    <t>109.88 crs</t>
  </si>
  <si>
    <t>5.74% GOI (MD 15/11/2026)</t>
  </si>
  <si>
    <t>Bandhan CRISIL IBX 90:10 SDL+Gilt Sep27 Index Fund (31 December, 2023 )</t>
  </si>
  <si>
    <t>165.07 crs</t>
  </si>
  <si>
    <t>Bandhan CRISIL IBX Gilt April 2026 Index Fund (31 December, 2023 )</t>
  </si>
  <si>
    <t>476.47 crs</t>
  </si>
  <si>
    <t>6.99% GOI (MD 17/04/2026)</t>
  </si>
  <si>
    <t>7.59% GOI(MD 11/01/2026)</t>
  </si>
  <si>
    <t>5.15% GOI (MD 09/11/2025)</t>
  </si>
  <si>
    <t>7.27% GOI (MD 08/04/2026)</t>
  </si>
  <si>
    <t>Bandhan CRISIL IBX Gilt April 2028 Index Fund (31 December, 2023 )</t>
  </si>
  <si>
    <t>4898.28 crs</t>
  </si>
  <si>
    <t>7.17% GOI (MD 08/01/2028)</t>
  </si>
  <si>
    <t>8.28% GOI (M/D 21/09/2027)</t>
  </si>
  <si>
    <t>Bandhan CRISIL IBX GILT APRIL 2032 INDEX FUND (31 December, 2023 )</t>
  </si>
  <si>
    <t>335.31 crs</t>
  </si>
  <si>
    <t>Average Maturity in Days</t>
  </si>
  <si>
    <t>Bandhan CRISIL IBX Gilt June 2027 Index Fund (31 December, 2023 )</t>
  </si>
  <si>
    <t>8325.71 crs</t>
  </si>
  <si>
    <t>Bandhan Dynamic Bond Fund (31 December, 2023 )</t>
  </si>
  <si>
    <t>2101.55 crs</t>
  </si>
  <si>
    <t>7.3% GOI (MD 19/06/2053)</t>
  </si>
  <si>
    <t>8.20% GOI (MD 24/09/2025)</t>
  </si>
  <si>
    <t>210.16 crs</t>
  </si>
  <si>
    <t>Bandhan Government Sec Fund-Constant Maturity Plan (31 December, 2023 )</t>
  </si>
  <si>
    <t>316.83 crs</t>
  </si>
  <si>
    <t>Bandhan Government Securities Fund-Investment Plan (31 December, 2023 )</t>
  </si>
  <si>
    <t>1465.71 crs</t>
  </si>
  <si>
    <t>Bandhan Liquid Fund (31 December, 2023 )</t>
  </si>
  <si>
    <t>10259.69 crs</t>
  </si>
  <si>
    <t>Bank of Baroda</t>
  </si>
  <si>
    <t>Indian Bank</t>
  </si>
  <si>
    <t>Reliance Retail Ventures Limited</t>
  </si>
  <si>
    <t>HDFC Securities Limited</t>
  </si>
  <si>
    <t>Kotak Securities Limited</t>
  </si>
  <si>
    <t>Tata Capital Housing Finance Limited</t>
  </si>
  <si>
    <t>L&amp;T Finance Holdings Limited</t>
  </si>
  <si>
    <t>ICICI Securities Limited</t>
  </si>
  <si>
    <t>7.32% GOI (MD 28/01/2024)</t>
  </si>
  <si>
    <t>91 Days Tbill (MD 01/02/2024)</t>
  </si>
  <si>
    <t>91 Days Tbill (MD 14/03/2024)</t>
  </si>
  <si>
    <t>91 Days Tbill (MD 07/03/2024)</t>
  </si>
  <si>
    <t>91 Days Tbill (MD 18/01/2024)</t>
  </si>
  <si>
    <t>91 Days Tbill (MD 25/01/2024)</t>
  </si>
  <si>
    <t>Bandhan Low Duration Fund (31 December, 2023 )</t>
  </si>
  <si>
    <t>5186.18 crs</t>
  </si>
  <si>
    <t>182 Days Tbill (MD 29/02/2024)</t>
  </si>
  <si>
    <t>Bandhan Money Manager Fund (31 December, 2023 )</t>
  </si>
  <si>
    <t>3216.35 crs</t>
  </si>
  <si>
    <t>The Federal Bank Limited</t>
  </si>
  <si>
    <t>Kotak Mahindra Investments Limited</t>
  </si>
  <si>
    <t>Mahindra &amp; Mahindra Financial Services Limited</t>
  </si>
  <si>
    <t>Bandhan Overnight Fund (31 December, 2023 )</t>
  </si>
  <si>
    <t>1461.51 crs</t>
  </si>
  <si>
    <t>REPO Total</t>
  </si>
  <si>
    <t>364 Days Tbill (MD 11/01/2024)</t>
  </si>
  <si>
    <t>REPO</t>
  </si>
  <si>
    <t>Bandhan Ultra Short Term Fund (31 December, 2023 )</t>
  </si>
  <si>
    <t>3669.11 crs</t>
  </si>
  <si>
    <t>IndusInd Bank Limited</t>
  </si>
  <si>
    <t xml:space="preserve">SOV </t>
  </si>
  <si>
    <t>8.07% Gujrat SDL (MD 11/02/2025)</t>
  </si>
  <si>
    <t>8.05% Karnataka SDL (MD 25/02/2025)</t>
  </si>
  <si>
    <t>8.25% Gujarat SDL  ( MD 24/12/2024)</t>
  </si>
  <si>
    <t>8.05% Maharashtra SDL (MD 28/01/2025)</t>
  </si>
  <si>
    <t>8.24% Maharashtra SDL (MD 24/12/2024)</t>
  </si>
  <si>
    <t>8.27% Haryana SDL (MD 13/05/2025)</t>
  </si>
  <si>
    <t>8.08% Haryana SDL (MD 28/01/2025)</t>
  </si>
  <si>
    <t>8.15% Haryana SDL (MD 27/05/2025)</t>
  </si>
  <si>
    <t>8.05% Haryana SDL (MD 25/02/2025)</t>
  </si>
  <si>
    <t>8.08% Uttar Pradesh SDL (MD 25/02/2025)</t>
  </si>
  <si>
    <t>5.8% Maharashtra SDL (MD 02/02/2025)</t>
  </si>
  <si>
    <t>7.88% Madhya Pradesh SDL (MD 24/01/2028)</t>
  </si>
  <si>
    <t>7.41% Uttar Pradesh SDL (MD 09/11/2026)</t>
  </si>
  <si>
    <t>8.05% Gujarat SDL (MD 28/01/2025)</t>
  </si>
  <si>
    <t>8.08% Madhya Pradesh SDL (MD 11/02/2025)</t>
  </si>
  <si>
    <t>5.41% Andhra Pradesh SDL (MD 12/08/2024)</t>
  </si>
  <si>
    <t>5.6% Maharashtra SDL (MD 09/09/2024)</t>
  </si>
  <si>
    <t>5.46% Tamilnadu SDL (MD 03/06/2024)</t>
  </si>
  <si>
    <t>8.96% Maharashtra SDL  (MD 09/07/2024)</t>
  </si>
  <si>
    <t>8.99% Madhya Pradesh SDL  (MD 09/07/2024)</t>
  </si>
  <si>
    <t>8.25% Maharastra SDL  ( MD 13/05/2025)</t>
  </si>
  <si>
    <t>8.2% Gujarat SDL (MD 24/06/2025)</t>
  </si>
  <si>
    <t>8.37% Tamil Nadu SDL (MD 05/12/2028)</t>
  </si>
  <si>
    <t>8.26% Maharashtra SDL (MD 12/08/2025)</t>
  </si>
  <si>
    <t>7.96% Gujarat SDL (14/10/2025)</t>
  </si>
  <si>
    <t>8.27% Tamilnadu SDL (MD 13/01/2026)</t>
  </si>
  <si>
    <t>8.27% Gujarat SDL (MD 13/01/2026)</t>
  </si>
  <si>
    <t>8.36% Maharashtra SDL (MD 27/01/2026)</t>
  </si>
  <si>
    <t>8.51% Maharashtra SDL (MD 09/03/2026)</t>
  </si>
  <si>
    <t>8.53% Tamil Nadu SDL (MD 09/03/2026)</t>
  </si>
  <si>
    <t>8.3% Madhya Pradesh SDL (MD  13/01/2026)</t>
  </si>
  <si>
    <t>8.20% GUJARAT SDL (MD 09/12/2025)</t>
  </si>
  <si>
    <t>7.99% Karnatak SDL (MD 28/10/2025)</t>
  </si>
  <si>
    <t>7.18% Tamilnadu SDL (MD 26/07/2027)</t>
  </si>
  <si>
    <t>7.93% Chattisgarh SDL (MD 13/02/2024)</t>
  </si>
  <si>
    <t>8.03% Gujarat SDL (MD 16/04/2025)</t>
  </si>
  <si>
    <t>8.27% Haryana SDL (MD 09/12/2025)</t>
  </si>
  <si>
    <t>8.27% Haryana SDL (MD 23/12/2025)</t>
  </si>
  <si>
    <t>6.18% Gujarat SDL (MD 25/01/2026)</t>
  </si>
  <si>
    <t>7.47% Gujarat SDL (MD 27/10/2025)</t>
  </si>
  <si>
    <t>9.37% Gujarat SDL (MD 30/01/2024)</t>
  </si>
  <si>
    <t>9.55% Karnataka SDL (MD 12/02/2024)</t>
  </si>
  <si>
    <t>9.63% Andhra Pradesh SDL (MD 12/02/2024)</t>
  </si>
  <si>
    <t>9.71% Haryana SDL (MD 12/03/2024)</t>
  </si>
  <si>
    <t>9.47% Tamilnadu SDL (MD 26/03/2024)</t>
  </si>
  <si>
    <t>9.45% Rahasthan SDL (MD 26/03/2024)</t>
  </si>
  <si>
    <t>9.47% Haryana SDL (MD 26/03/2024)</t>
  </si>
  <si>
    <t>9.11% Maharashtra SDL (MD 28/05/2024)</t>
  </si>
  <si>
    <t>9.24% Haryana SDL (MD 16/01/2024)</t>
  </si>
  <si>
    <t>8.83% Tamilnadu SDL (MD 11/06/2024)</t>
  </si>
  <si>
    <t>8.83% Maharashtra SDL (MD 11/06/2024)</t>
  </si>
  <si>
    <t>9.48% Andhra Pradesh SDL (MD 26/03/2024)</t>
  </si>
  <si>
    <t>5.6% Haryana SDL (MD 20/05/2024)</t>
  </si>
  <si>
    <t>5.75% Tamilnadu SDL (MD 27/05/2025)</t>
  </si>
  <si>
    <t>8.72% Tamilnadu SDL (MD 19/09/2026)</t>
  </si>
  <si>
    <t>7.04% Gujarat SDL (MD 07/08/2026)</t>
  </si>
  <si>
    <t>7.22% Maharashtra SDL (MD 26/10/2026)</t>
  </si>
  <si>
    <t>6.82% Maharashtra SDL (MD 23/11/2026)</t>
  </si>
  <si>
    <t>6.24% Maharashtra SDL (MD 11/08/2026)</t>
  </si>
  <si>
    <t>7.38% Rajasthan SDL (MD 14/09/2026)</t>
  </si>
  <si>
    <t>7.4% Madhya Pradesh SDL (MD 09/11/2026)</t>
  </si>
  <si>
    <t>7.17% Rajasthan SDL (MD 28/09/2026)</t>
  </si>
  <si>
    <t>7.69% Uttar Pradesh SDL (MD 27/07/2026)</t>
  </si>
  <si>
    <t>7.57% Gujarat SDL (MD 09/11/2026)</t>
  </si>
  <si>
    <t>7.59% Kerala SDL (MD 24/08/2026)</t>
  </si>
  <si>
    <t>7.16% Madhya Pradesh SDL (MD 28/09/2026)</t>
  </si>
  <si>
    <t>7.49% Gujarat SDL (MD 28/09/2026)</t>
  </si>
  <si>
    <t>7.69% Tamilnadu SDL (MD 27/07/2026)</t>
  </si>
  <si>
    <t>7.18% Haryana SDL (MD 28/09/2026)</t>
  </si>
  <si>
    <t>7.19% West Bangal SDL (MD 28/09/2026)</t>
  </si>
  <si>
    <t>7.15% Madhya Pradesh SDL (MD 13/10/2026)</t>
  </si>
  <si>
    <t>7.2% Maharashtra SDL (MD 09/08/2027)</t>
  </si>
  <si>
    <t>7.47% Chhattisgarh SDL (MD 27/09/2027)</t>
  </si>
  <si>
    <t>7.33% Maharashtra SDL (MD 13/09/2027)</t>
  </si>
  <si>
    <t>6.2% Rajasthan SDL (MD 29/07/2027)</t>
  </si>
  <si>
    <t>7.27% Tamilnadu SDL (MD 12/07/2027)</t>
  </si>
  <si>
    <t>7.25% Gujarat SDL (MD 12/07/2027)</t>
  </si>
  <si>
    <t>8.49% Andhra Pradesh SDL (MD 21/08/2027)</t>
  </si>
  <si>
    <t>7.21% Tamilnadu SDL (MD 09/08/2027)</t>
  </si>
  <si>
    <t>7.28% Madhya Pradesh SDL (MD 23/08/2027)</t>
  </si>
  <si>
    <t>7.93% Karnataka SDL (MD 08/04/2031)</t>
  </si>
  <si>
    <t>6.84% Gujarat SDL (MD 24/03/2031)</t>
  </si>
  <si>
    <t>6.85% Madhya Pradesh SDL (MD 15/09/2031)</t>
  </si>
  <si>
    <t>6.83% Tamilnadu SDL (MD 15/12/2031)</t>
  </si>
  <si>
    <t>7.12% Gujarat SDL (MD 02/03/2032)</t>
  </si>
  <si>
    <t>7.17% Kerala SDL (MD 02/03/2032)</t>
  </si>
  <si>
    <t>7.09% Rajasthan SDL (MD 16/02/2032)</t>
  </si>
  <si>
    <t>7.22% Rajasthan SDL (MD 16/03/2032)</t>
  </si>
  <si>
    <t>7.23% Tamilnadu SDL (MD 23/03/2032)</t>
  </si>
  <si>
    <t>7.29% Gujarat SDL (MD 30/03/2032)</t>
  </si>
  <si>
    <t>7.3% Tamilnadu SDL (MD 30/03/2032)</t>
  </si>
  <si>
    <t>7.8% Andhra Pradesh SDL (MD 22/06/2031)</t>
  </si>
  <si>
    <t>7.68% Karnataka SDL (MD 16/11/2031)</t>
  </si>
  <si>
    <t>7.68% Haryana SDL (MD 23/11/2031)</t>
  </si>
  <si>
    <t>6.9% Andhra Pradesh SDL (MD 03/02/2032)</t>
  </si>
  <si>
    <t>7.57% Gujarat SDL (MD 28/12/2031)</t>
  </si>
  <si>
    <t>7.57% Gujarat SDL (MD 18/01/2032)</t>
  </si>
  <si>
    <t>7.63% Gujarat SDL (MD 25/01/2032)</t>
  </si>
  <si>
    <t>7.74% Andhra Pradesh SDL (MD 01/03/2032)</t>
  </si>
  <si>
    <t>7.72% Maharashtra SDL (MD 23/03/2032)</t>
  </si>
  <si>
    <t>7.73% Maharashtra SDL (MD 29/03/2032)</t>
  </si>
  <si>
    <t>7.73% Andhra Pradesh SDL (MD 23/03/2032)</t>
  </si>
  <si>
    <t>7.72% Haryana SDL (MD 23/03/2032)</t>
  </si>
  <si>
    <t>Bandhan Banking &amp; PSU Debt Fund -Direct Gr</t>
  </si>
  <si>
    <t>^PTC originated by Reliance Industries Limited</t>
  </si>
  <si>
    <t>First Business Receivables Trust^</t>
  </si>
  <si>
    <t>^^AT1 Bonds under Basel III</t>
  </si>
  <si>
    <t>Union Bank of India^^</t>
  </si>
  <si>
    <t>Punjab National Bank^^</t>
  </si>
  <si>
    <t>As per the requirement of regulation 43A of SEBI (Mutual Funds) Regulations, 1996, SEBI circular no. SEBI/HO/IMD/PoD2/P/CIR/2023/128 dated July 27, 2023 on framework for Corporate Debt Market Development Fund and SEBI circular no. SEBI/HO/IMD/PoD2 /P/CIR/2023/129 dated July 27, 2023 on investment by mutual fund schemes and Asset Management Companies (AMCs) in units of Corporate Debt Market Development Fund (“CDMDF”), specified open ended debt-oriented schemes of Bandhan Mutual Fund and Bandhan AMC Limited (‘AMC’) shall invest  percentage of net assets in the units of the CDMDF.</t>
  </si>
  <si>
    <t>Interest Rate Swaps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</si>
  <si>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</si>
  <si>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Bandhan Mutual Fund (formerly known as IDFC Mutual Fund)/ Bandhan Mutual Fund Trustee Limited (formerly IDFC AMC Trustee Company Limited) / Bandhan AMC Limited (formerly IDFC Asset Management Company Limited). The Scheme may or may not have any present or future positions in the above securities. Investors are advised to consult their own investment advisor before making any investment decision in light of their risk appetite, investment goals and horizon.”</t>
  </si>
  <si>
    <t>Bandhan Floating Rate Fund (31st December 2023)</t>
  </si>
  <si>
    <t xml:space="preserve">Pursuant to SEBI circular no. SEBI/HO/IMD/DF2/CIR/P/2021/683 dated December 10, 2021 (“the Circular”), SEBI has notified that with respect to the margin or collateral requirement for execution of
certain transactions, overnight funds can deploy not exceeding 5% of the net assets of the scheme in Government Securities and/or Treasury bills with a residual maturity of upto 30 days for the purpose of placing the same as margin and collateral for certain transactions. </t>
  </si>
  <si>
    <t>BANDHAN US TREASURY BOND 0-1 YEAR FUND OF FUND</t>
  </si>
  <si>
    <t>JPMorgan ETFs BetaBuilders US Tre Bond0-1 yr UCITS</t>
  </si>
  <si>
    <t>International Mutual Fund Units</t>
  </si>
  <si>
    <t>Banks</t>
  </si>
  <si>
    <t>Software</t>
  </si>
  <si>
    <t>Power</t>
  </si>
  <si>
    <t>Consumer Non Durables</t>
  </si>
  <si>
    <t>Retailing</t>
  </si>
  <si>
    <t>Construction Project</t>
  </si>
  <si>
    <t>Gas</t>
  </si>
  <si>
    <t>Chemicals</t>
  </si>
  <si>
    <t>Hotels, Resorts And Other Recreational Activities</t>
  </si>
  <si>
    <t>Telecom - Services</t>
  </si>
  <si>
    <t>Petroleum Products</t>
  </si>
  <si>
    <t>Auto</t>
  </si>
  <si>
    <t>Ferrous Metals</t>
  </si>
  <si>
    <t>Industrial Capital Goods</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</si>
  <si>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Bandhan Mutual Fund (formerly known as IDFC Mutual Fund)/ Bandhan Mutual Fund Trustee Limited (formerly IDFC AMC Trustee Company Limited) / Bandhan AMC Limited (formerly IDFC Asset Management Company Limited), . The Scheme may or may not have any present or future positions in the above securities. Investors are advised to consult their own investment advisor before making any investment decision in light of their risk appetite, investment goals and horizon.”</t>
  </si>
  <si>
    <t>“Disclaimer: MUTUAL FUND INVESTMENTS ARE SUBJECT TO MARKET RISKS, READ ALL SCHEME RELATED DOCUMENTS CAREFULLY.                                                                                                                                                                                                                           The identity of the issuer of the Promotion Material and the investment product which is the subject of the Promotion Material and the content of the Promotion Material has been verified by the issuer thereof; The Promotion Material is not issued by J.P. Morgan Asset Management (Singapore) Limited (JPMAMSL), any of its Affiliates or a JPMorgan Fund and the Promotion Material does not relate to a direct investment in any JPMorgan Fund; neither JPMAMSL, any of its Affiliates or a JPMorgan Fund has reviewed the contents of the Promotion Material and accordingly takes no responsibility for the accuracy of the contents of the Promotion Material or any liability for any statement or misstatement in the Promotion Material; and an investor would be investing into an investment product which is established, offered and sold by the Company or its Affiliates and would not be investing in any JPMorgan Fund, and accordingly there is no contractual relationship between the Investor and JPMAMSL, any of its Affiliates or a JPMorgan Fund.</t>
  </si>
  <si>
    <t>157.43 crs</t>
  </si>
  <si>
    <t>Portfolio as on - (31st December,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</si>
</sst>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Black]\(0.00%\)"/>
    <numFmt numFmtId="165" formatCode="0.000%;[Black]\(0.000%\)"/>
    <numFmt numFmtId="166" formatCode="#0.00%;\(#0.00%\)"/>
    <numFmt numFmtId="167" formatCode="#,##0.00%_);\(#,##0.00%\)"/>
  </numFmts>
  <fonts count="14" x14ac:knownFonts="1">
    <font>
      <sz val="11"/>
      <color theme="1"/>
      <name val="Calibri"/>
      <family val="2"/>
      <scheme val="minor"/>
    </font>
    <font>
      <sz val="12"/>
      <color theme="1"/>
      <name val="Arial"/>
      <family val="2"/>
    </font>
    <font>
      <b/>
      <sz val="12"/>
      <color theme="1"/>
      <name val="Arial"/>
      <family val="2"/>
    </font>
    <font>
      <b/>
      <sz val="16"/>
      <color theme="1"/>
      <name val="Arial"/>
      <family val="2"/>
    </font>
    <font>
      <b/>
      <sz val="12"/>
      <color indexed="8"/>
      <name val="Arial"/>
      <family val="2"/>
    </font>
    <font>
      <b/>
      <sz val="11"/>
      <color theme="1"/>
      <name val="Arial"/>
      <family val="2"/>
    </font>
    <font>
      <sz val="11"/>
      <color indexed="9"/>
      <name val="Calibri"/>
      <family val="2"/>
      <scheme val="minor"/>
    </font>
    <font>
      <sz val="11"/>
      <color rgb="FFFF0000"/>
      <name val="Calibri"/>
      <family val="2"/>
      <scheme val="minor"/>
    </font>
    <font>
      <sz val="11"/>
      <color theme="1"/>
      <name val="Calibri"/>
      <family val="2"/>
      <scheme val="minor"/>
    </font>
    <font>
      <sz val="12"/>
      <name val="Arial"/>
      <family val="2"/>
    </font>
    <font>
      <b/>
      <sz val="16"/>
      <name val="Arial"/>
      <family val="2"/>
    </font>
    <font>
      <b/>
      <sz val="12"/>
      <name val="Arial"/>
      <family val="2"/>
    </font>
    <font>
      <sz val="11"/>
      <name val="Calibri"/>
      <family val="2"/>
      <scheme val="minor"/>
    </font>
    <font>
      <b/>
      <sz val="11"/>
      <name val="Arial"/>
      <family val="2"/>
    </font>
  </fonts>
  <fills count="4">
    <fill>
      <patternFill patternType="none"/>
    </fill>
    <fill>
      <patternFill patternType="gray125"/>
    </fill>
    <fill>
      <patternFill patternType="solid">
        <fgColor rgb="FFD8D8D8"/>
        <bgColor indexed="64"/>
      </patternFill>
    </fill>
    <fill>
      <patternFill patternType="solid">
        <fgColor theme="0" tint="-0.14999847407452621"/>
        <bgColor indexed="64"/>
      </patternFill>
    </fill>
  </fills>
  <borders count="35">
    <border>
      <left/>
      <right/>
      <top/>
      <bottom/>
      <diagonal/>
    </border>
    <border>
      <left/>
      <right style="thin">
        <color indexed="8"/>
      </right>
      <top style="thin">
        <color indexed="8"/>
      </top>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9" fontId="8" fillId="0" borderId="0" applyFont="0" applyFill="0" applyBorder="0" applyAlignment="0" applyProtection="0"/>
  </cellStyleXfs>
  <cellXfs count="105">
    <xf numFmtId="0" fontId="0" fillId="0" borderId="0" xfId="0"/>
    <xf numFmtId="0" fontId="0" fillId="0" borderId="0" xfId="0" applyBorder="1"/>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7" xfId="0" applyFont="1" applyFill="1" applyBorder="1" applyAlignment="1">
      <alignment horizontal="center" vertical="center"/>
    </xf>
    <xf numFmtId="0" fontId="1" fillId="0" borderId="8" xfId="0" applyFont="1" applyBorder="1" applyAlignment="1">
      <alignment vertical="center"/>
    </xf>
    <xf numFmtId="0" fontId="1" fillId="0" borderId="4" xfId="0" applyFont="1" applyBorder="1" applyAlignment="1">
      <alignment vertical="center"/>
    </xf>
    <xf numFmtId="0" fontId="2" fillId="2" borderId="8" xfId="0" applyFont="1" applyFill="1" applyBorder="1" applyAlignment="1">
      <alignment horizontal="left" vertical="center"/>
    </xf>
    <xf numFmtId="0" fontId="2" fillId="2" borderId="4" xfId="0" applyFont="1" applyFill="1" applyBorder="1" applyAlignment="1">
      <alignment horizontal="right" vertical="center"/>
    </xf>
    <xf numFmtId="0" fontId="2" fillId="2" borderId="9" xfId="0" applyFont="1" applyFill="1" applyBorder="1" applyAlignment="1">
      <alignment horizontal="left" vertical="center"/>
    </xf>
    <xf numFmtId="0" fontId="2" fillId="2" borderId="5" xfId="0" applyFont="1" applyFill="1" applyBorder="1" applyAlignment="1">
      <alignment horizontal="right" vertical="center"/>
    </xf>
    <xf numFmtId="164" fontId="1" fillId="0" borderId="2" xfId="0" applyNumberFormat="1" applyFont="1" applyBorder="1" applyAlignment="1">
      <alignment vertical="center"/>
    </xf>
    <xf numFmtId="164" fontId="2" fillId="2" borderId="2" xfId="0" applyNumberFormat="1" applyFont="1" applyFill="1" applyBorder="1" applyAlignment="1">
      <alignment horizontal="right" vertical="center"/>
    </xf>
    <xf numFmtId="164" fontId="2" fillId="2" borderId="6" xfId="0" applyNumberFormat="1" applyFont="1" applyFill="1" applyBorder="1" applyAlignment="1">
      <alignment horizontal="right" vertical="center"/>
    </xf>
    <xf numFmtId="0" fontId="4" fillId="0" borderId="0" xfId="0" applyFont="1" applyBorder="1" applyAlignment="1">
      <alignment horizontal="left"/>
    </xf>
    <xf numFmtId="0" fontId="3" fillId="2" borderId="0" xfId="0" applyFont="1" applyFill="1" applyBorder="1" applyAlignment="1">
      <alignment horizontal="left" vertic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6" fillId="0" borderId="0" xfId="0" applyFont="1" applyBorder="1"/>
    <xf numFmtId="9" fontId="6" fillId="0" borderId="0" xfId="0" applyNumberFormat="1" applyFont="1" applyBorder="1"/>
    <xf numFmtId="0" fontId="0" fillId="2" borderId="0" xfId="0" applyFill="1" applyBorder="1"/>
    <xf numFmtId="0" fontId="0" fillId="2" borderId="12" xfId="0" applyFill="1" applyBorder="1"/>
    <xf numFmtId="10" fontId="6" fillId="0" borderId="0" xfId="0" applyNumberFormat="1" applyFont="1" applyBorder="1"/>
    <xf numFmtId="165" fontId="1" fillId="0" borderId="2" xfId="0" applyNumberFormat="1" applyFont="1" applyBorder="1" applyAlignment="1">
      <alignment vertical="center"/>
    </xf>
    <xf numFmtId="0" fontId="7" fillId="0" borderId="0" xfId="0" applyFont="1" applyBorder="1"/>
    <xf numFmtId="0" fontId="1" fillId="0" borderId="26" xfId="0" applyFont="1" applyBorder="1" applyAlignment="1">
      <alignment vertical="center"/>
    </xf>
    <xf numFmtId="164" fontId="1" fillId="0" borderId="26" xfId="0" applyNumberFormat="1" applyFont="1" applyBorder="1" applyAlignment="1">
      <alignment vertical="center"/>
    </xf>
    <xf numFmtId="10" fontId="7" fillId="0" borderId="0" xfId="0" applyNumberFormat="1" applyFont="1" applyBorder="1"/>
    <xf numFmtId="0" fontId="0" fillId="0" borderId="0" xfId="0" applyAlignment="1"/>
    <xf numFmtId="0" fontId="9" fillId="0" borderId="0" xfId="0" applyFont="1"/>
    <xf numFmtId="0" fontId="9" fillId="0" borderId="18" xfId="0" applyFont="1" applyBorder="1"/>
    <xf numFmtId="0" fontId="9" fillId="0" borderId="19" xfId="0" applyFont="1" applyBorder="1"/>
    <xf numFmtId="0" fontId="9" fillId="0" borderId="20" xfId="0" applyFont="1" applyBorder="1"/>
    <xf numFmtId="0" fontId="9" fillId="0" borderId="21" xfId="0" applyFont="1" applyBorder="1"/>
    <xf numFmtId="0" fontId="11" fillId="0" borderId="0" xfId="0" applyFont="1" applyBorder="1" applyAlignment="1">
      <alignment horizontal="left"/>
    </xf>
    <xf numFmtId="0" fontId="12" fillId="0" borderId="0" xfId="0" applyFont="1" applyBorder="1"/>
    <xf numFmtId="0" fontId="9" fillId="0" borderId="0" xfId="0" applyFont="1" applyBorder="1"/>
    <xf numFmtId="0" fontId="9" fillId="0" borderId="22" xfId="0" applyFont="1" applyBorder="1"/>
    <xf numFmtId="0" fontId="10" fillId="3" borderId="0" xfId="0" applyFont="1" applyFill="1" applyBorder="1" applyAlignment="1">
      <alignment vertical="center"/>
    </xf>
    <xf numFmtId="0" fontId="12" fillId="0" borderId="0" xfId="0" applyFont="1"/>
    <xf numFmtId="0" fontId="11" fillId="3" borderId="30" xfId="0" applyFont="1" applyFill="1" applyBorder="1" applyAlignment="1">
      <alignment horizontal="center" vertical="center" wrapText="1"/>
    </xf>
    <xf numFmtId="0" fontId="11" fillId="3" borderId="31" xfId="0" applyFont="1" applyFill="1" applyBorder="1" applyAlignment="1">
      <alignment horizontal="center" vertical="center" wrapText="1"/>
    </xf>
    <xf numFmtId="0" fontId="9" fillId="0" borderId="32" xfId="0" applyFont="1" applyBorder="1" applyAlignment="1">
      <alignment horizontal="left" vertical="center" wrapText="1"/>
    </xf>
    <xf numFmtId="166" fontId="9" fillId="0" borderId="33" xfId="1" applyNumberFormat="1" applyFont="1" applyBorder="1" applyAlignment="1">
      <alignment horizontal="right"/>
    </xf>
    <xf numFmtId="10" fontId="9" fillId="0" borderId="0" xfId="0" applyNumberFormat="1" applyFont="1" applyBorder="1"/>
    <xf numFmtId="10" fontId="9" fillId="0" borderId="0" xfId="1" applyNumberFormat="1" applyFont="1" applyBorder="1"/>
    <xf numFmtId="14" fontId="9" fillId="0" borderId="0" xfId="0" applyNumberFormat="1" applyFont="1"/>
    <xf numFmtId="0" fontId="11" fillId="3" borderId="32" xfId="0" applyFont="1" applyFill="1" applyBorder="1" applyAlignment="1">
      <alignment horizontal="left"/>
    </xf>
    <xf numFmtId="166" fontId="11" fillId="3" borderId="33" xfId="0" applyNumberFormat="1" applyFont="1" applyFill="1" applyBorder="1" applyAlignment="1">
      <alignment horizontal="right"/>
    </xf>
    <xf numFmtId="0" fontId="9" fillId="0" borderId="8" xfId="0" applyFont="1" applyBorder="1" applyAlignment="1">
      <alignment vertical="center"/>
    </xf>
    <xf numFmtId="166" fontId="9" fillId="0" borderId="33" xfId="0" applyNumberFormat="1" applyFont="1" applyBorder="1" applyAlignment="1">
      <alignment vertical="center"/>
    </xf>
    <xf numFmtId="0" fontId="11" fillId="2" borderId="8" xfId="0" applyFont="1" applyFill="1" applyBorder="1" applyAlignment="1">
      <alignment horizontal="left" vertical="center"/>
    </xf>
    <xf numFmtId="166" fontId="11" fillId="2" borderId="33" xfId="0" applyNumberFormat="1" applyFont="1" applyFill="1" applyBorder="1" applyAlignment="1">
      <alignment horizontal="right" vertical="center"/>
    </xf>
    <xf numFmtId="164" fontId="9" fillId="0" borderId="33" xfId="0" applyNumberFormat="1" applyFont="1" applyBorder="1" applyAlignment="1">
      <alignment vertical="center"/>
    </xf>
    <xf numFmtId="0" fontId="11" fillId="2" borderId="9" xfId="0" applyFont="1" applyFill="1" applyBorder="1" applyAlignment="1">
      <alignment horizontal="left" vertical="center"/>
    </xf>
    <xf numFmtId="164" fontId="11" fillId="2" borderId="34" xfId="0" applyNumberFormat="1" applyFont="1" applyFill="1" applyBorder="1" applyAlignment="1">
      <alignment horizontal="right" vertical="center"/>
    </xf>
    <xf numFmtId="0" fontId="11" fillId="0" borderId="0" xfId="0" applyFont="1" applyFill="1" applyBorder="1" applyAlignment="1">
      <alignment horizontal="left"/>
    </xf>
    <xf numFmtId="167" fontId="11" fillId="0" borderId="0" xfId="0" applyNumberFormat="1" applyFont="1" applyFill="1" applyBorder="1" applyAlignment="1">
      <alignment horizontal="right"/>
    </xf>
    <xf numFmtId="0" fontId="9" fillId="0" borderId="0" xfId="0" applyFont="1" applyFill="1" applyBorder="1"/>
    <xf numFmtId="10" fontId="11" fillId="0" borderId="0" xfId="1" applyNumberFormat="1" applyFont="1" applyFill="1" applyBorder="1" applyAlignment="1">
      <alignment horizontal="right"/>
    </xf>
    <xf numFmtId="0" fontId="9" fillId="0" borderId="23" xfId="0" applyFont="1" applyBorder="1"/>
    <xf numFmtId="0" fontId="0" fillId="0" borderId="27" xfId="0" applyBorder="1" applyAlignment="1">
      <alignment horizontal="left" vertical="top" wrapText="1"/>
    </xf>
    <xf numFmtId="0" fontId="0" fillId="0" borderId="28" xfId="0" applyBorder="1" applyAlignment="1">
      <alignment horizontal="left" vertical="top" wrapText="1"/>
    </xf>
    <xf numFmtId="0" fontId="0" fillId="0" borderId="29" xfId="0" applyBorder="1" applyAlignment="1">
      <alignment horizontal="left" vertical="top" wrapText="1"/>
    </xf>
    <xf numFmtId="0" fontId="0" fillId="0" borderId="18" xfId="0" applyBorder="1" applyAlignment="1">
      <alignment horizontal="left" vertical="top" wrapText="1"/>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0" xfId="0" applyBorder="1" applyAlignment="1">
      <alignment horizontal="left" vertical="top" wrapText="1"/>
    </xf>
    <xf numFmtId="0" fontId="0" fillId="0" borderId="22" xfId="0" applyBorder="1" applyAlignment="1">
      <alignment horizontal="left" vertical="top" wrapText="1"/>
    </xf>
    <xf numFmtId="0" fontId="0" fillId="0" borderId="23" xfId="0" applyBorder="1" applyAlignment="1">
      <alignment horizontal="left" vertical="top" wrapText="1"/>
    </xf>
    <xf numFmtId="0" fontId="0" fillId="0" borderId="24" xfId="0" applyBorder="1" applyAlignment="1">
      <alignment horizontal="left" vertical="top" wrapText="1"/>
    </xf>
    <xf numFmtId="0" fontId="0" fillId="0" borderId="25" xfId="0" applyBorder="1" applyAlignment="1">
      <alignment horizontal="left" vertical="top" wrapText="1"/>
    </xf>
    <xf numFmtId="0" fontId="3" fillId="2" borderId="0" xfId="0" applyFont="1" applyFill="1" applyBorder="1" applyAlignment="1">
      <alignment horizontal="center" vertical="center"/>
    </xf>
    <xf numFmtId="0" fontId="0" fillId="0" borderId="0" xfId="0" applyBorder="1" applyAlignment="1">
      <alignment horizontal="center" vertical="center"/>
    </xf>
    <xf numFmtId="0" fontId="0" fillId="0" borderId="12" xfId="0" applyBorder="1" applyAlignment="1">
      <alignment horizontal="center" vertical="center"/>
    </xf>
    <xf numFmtId="0" fontId="3" fillId="2" borderId="0" xfId="0" applyFont="1" applyFill="1" applyBorder="1" applyAlignment="1">
      <alignment horizontal="right" vertical="center"/>
    </xf>
    <xf numFmtId="0" fontId="0" fillId="0" borderId="0" xfId="0" applyBorder="1" applyAlignment="1">
      <alignment horizontal="right"/>
    </xf>
    <xf numFmtId="0" fontId="5" fillId="2" borderId="0" xfId="0" applyFont="1" applyFill="1" applyBorder="1" applyAlignment="1">
      <alignment vertical="center"/>
    </xf>
    <xf numFmtId="0" fontId="0" fillId="0" borderId="0" xfId="0" applyBorder="1" applyAlignment="1">
      <alignment vertical="center"/>
    </xf>
    <xf numFmtId="0" fontId="0" fillId="0" borderId="12" xfId="0" applyBorder="1" applyAlignment="1">
      <alignment vertical="center"/>
    </xf>
    <xf numFmtId="0" fontId="10" fillId="3" borderId="0" xfId="0" applyFont="1" applyFill="1" applyBorder="1" applyAlignment="1">
      <alignment horizontal="center" vertical="center" wrapText="1"/>
    </xf>
    <xf numFmtId="0" fontId="10" fillId="3" borderId="22" xfId="0" applyFont="1" applyFill="1" applyBorder="1" applyAlignment="1">
      <alignment horizontal="center" vertical="center" wrapText="1"/>
    </xf>
    <xf numFmtId="0" fontId="13" fillId="3" borderId="0" xfId="0" applyFont="1" applyFill="1" applyBorder="1" applyAlignment="1">
      <alignment vertical="center" wrapText="1"/>
    </xf>
    <xf numFmtId="0" fontId="13" fillId="3" borderId="22" xfId="0" applyFont="1" applyFill="1" applyBorder="1" applyAlignment="1">
      <alignment vertical="center" wrapText="1"/>
    </xf>
    <xf numFmtId="0" fontId="11" fillId="0" borderId="24" xfId="0" applyFont="1" applyBorder="1" applyAlignment="1"/>
    <xf numFmtId="0" fontId="11" fillId="0" borderId="25" xfId="0" applyFont="1" applyBorder="1" applyAlignment="1"/>
    <xf numFmtId="0" fontId="12" fillId="0" borderId="18" xfId="0" applyFont="1" applyBorder="1" applyAlignment="1">
      <alignment horizontal="left" vertical="top" wrapText="1"/>
    </xf>
    <xf numFmtId="0" fontId="12" fillId="0" borderId="19" xfId="0" applyFont="1" applyBorder="1" applyAlignment="1">
      <alignment horizontal="left" vertical="top" wrapText="1"/>
    </xf>
    <xf numFmtId="0" fontId="12" fillId="0" borderId="20" xfId="0" applyFont="1" applyBorder="1" applyAlignment="1">
      <alignment horizontal="left" vertical="top" wrapText="1"/>
    </xf>
    <xf numFmtId="0" fontId="12" fillId="0" borderId="21" xfId="0" applyFont="1" applyBorder="1" applyAlignment="1">
      <alignment horizontal="left" vertical="top" wrapText="1"/>
    </xf>
    <xf numFmtId="0" fontId="12" fillId="0" borderId="0" xfId="0" applyFont="1" applyBorder="1" applyAlignment="1">
      <alignment horizontal="left" vertical="top" wrapText="1"/>
    </xf>
    <xf numFmtId="0" fontId="12" fillId="0" borderId="22" xfId="0" applyFont="1" applyBorder="1" applyAlignment="1">
      <alignment horizontal="left" vertical="top" wrapText="1"/>
    </xf>
    <xf numFmtId="0" fontId="12" fillId="0" borderId="23" xfId="0" applyFont="1" applyBorder="1" applyAlignment="1">
      <alignment horizontal="left" vertical="top" wrapText="1"/>
    </xf>
    <xf numFmtId="0" fontId="12" fillId="0" borderId="24" xfId="0" applyFont="1" applyBorder="1" applyAlignment="1">
      <alignment horizontal="left" vertical="top" wrapText="1"/>
    </xf>
    <xf numFmtId="0" fontId="12" fillId="0" borderId="25" xfId="0" applyFont="1" applyBorder="1" applyAlignment="1">
      <alignment horizontal="left" vertical="top" wrapText="1"/>
    </xf>
    <xf numFmtId="3" fontId="5" fillId="2" borderId="0" xfId="0" applyNumberFormat="1" applyFont="1" applyFill="1" applyBorder="1" applyAlignment="1">
      <alignment horizontal="center" vertical="center"/>
    </xf>
    <xf numFmtId="4" fontId="5" fillId="2" borderId="0" xfId="0" applyNumberFormat="1" applyFont="1" applyFill="1" applyBorder="1" applyAlignment="1">
      <alignment horizontal="center" vertical="center"/>
    </xf>
    <xf numFmtId="2" fontId="5" fillId="2" borderId="0" xfId="0" applyNumberFormat="1" applyFont="1" applyFill="1" applyBorder="1" applyAlignment="1">
      <alignment horizontal="center"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064163954880373"/>
                  <c:y val="-1.419213973799126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985-4974-9BA1-9D88735DD2B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OF'!$G$8</c:f>
              <c:strCache>
                <c:ptCount val="1"/>
                <c:pt idx="0">
                  <c:v>AAA EQUIVALENT</c:v>
                </c:pt>
              </c:strCache>
            </c:strRef>
          </c:cat>
          <c:val>
            <c:numRef>
              <c:f>'BANDHAN OF'!$H$8</c:f>
              <c:numCache>
                <c:formatCode>0%</c:formatCode>
                <c:ptCount val="1"/>
                <c:pt idx="0">
                  <c:v>1</c:v>
                </c:pt>
              </c:numCache>
            </c:numRef>
          </c:val>
          <c:extLst>
            <c:ext xmlns:c16="http://schemas.microsoft.com/office/drawing/2014/chart" uri="{C3380CC4-5D6E-409C-BE32-E72D297353CC}">
              <c16:uniqueId val="{0000000C-8985-4974-9BA1-9D88735DD2B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OF'!$K$8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357-4087-9EB7-B217E38BB638}"/>
                </c:ext>
              </c:extLst>
            </c:dLbl>
            <c:dLbl>
              <c:idx val="1"/>
              <c:layout>
                <c:manualLayout>
                  <c:x val="-5.9987185755956018E-2"/>
                  <c:y val="-0.1092136482939632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B357-4087-9EB7-B217E38BB638}"/>
                </c:ext>
              </c:extLst>
            </c:dLbl>
            <c:dLbl>
              <c:idx val="2"/>
              <c:layout>
                <c:manualLayout>
                  <c:x val="6.869648788548112E-2"/>
                  <c:y val="8.703027121609799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B357-4087-9EB7-B217E38BB638}"/>
                </c:ext>
              </c:extLst>
            </c:dLbl>
            <c:dLbl>
              <c:idx val="3"/>
              <c:layout>
                <c:manualLayout>
                  <c:x val="-0.19929850444283329"/>
                  <c:y val="-4.030306211723534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B357-4087-9EB7-B217E38BB63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OF'!$J$9:$J$12</c:f>
              <c:strCache>
                <c:ptCount val="4"/>
                <c:pt idx="0">
                  <c:v>Net Current Asset</c:v>
                </c:pt>
                <c:pt idx="1">
                  <c:v>TRI Party Repo</c:v>
                </c:pt>
                <c:pt idx="2">
                  <c:v>REPO</c:v>
                </c:pt>
                <c:pt idx="3">
                  <c:v>Treasury Bill</c:v>
                </c:pt>
              </c:strCache>
            </c:strRef>
          </c:cat>
          <c:val>
            <c:numRef>
              <c:f>'BANDHAN OF'!$K$9:$K$12</c:f>
              <c:numCache>
                <c:formatCode>0.00%</c:formatCode>
                <c:ptCount val="4"/>
                <c:pt idx="0">
                  <c:v>-3.88E-4</c:v>
                </c:pt>
                <c:pt idx="1">
                  <c:v>0.26497199999999999</c:v>
                </c:pt>
                <c:pt idx="2">
                  <c:v>0.68421799999999999</c:v>
                </c:pt>
                <c:pt idx="3">
                  <c:v>5.1198E-2</c:v>
                </c:pt>
              </c:numCache>
            </c:numRef>
          </c:val>
          <c:extLst>
            <c:ext xmlns:c16="http://schemas.microsoft.com/office/drawing/2014/chart" uri="{C3380CC4-5D6E-409C-BE32-E72D297353CC}">
              <c16:uniqueId val="{0000000C-B357-4087-9EB7-B217E38BB63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56309329106881"/>
                  <c:y val="-3.318584070796460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8DD-4D97-BC54-D6D6B9676DD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CF'!$G$8</c:f>
              <c:strCache>
                <c:ptCount val="1"/>
                <c:pt idx="0">
                  <c:v>AAA EQUIVALENT</c:v>
                </c:pt>
              </c:strCache>
            </c:strRef>
          </c:cat>
          <c:val>
            <c:numRef>
              <c:f>'BANDHAN CF'!$H$8</c:f>
              <c:numCache>
                <c:formatCode>0%</c:formatCode>
                <c:ptCount val="1"/>
                <c:pt idx="0">
                  <c:v>1</c:v>
                </c:pt>
              </c:numCache>
            </c:numRef>
          </c:val>
          <c:extLst>
            <c:ext xmlns:c16="http://schemas.microsoft.com/office/drawing/2014/chart" uri="{C3380CC4-5D6E-409C-BE32-E72D297353CC}">
              <c16:uniqueId val="{0000000C-A8DD-4D97-BC54-D6D6B9676DD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CF'!$K$8</c:f>
              <c:strCache>
                <c:ptCount val="1"/>
                <c:pt idx="0">
                  <c:v>Total</c:v>
                </c:pt>
              </c:strCache>
            </c:strRef>
          </c:tx>
          <c:dLbls>
            <c:dLbl>
              <c:idx val="0"/>
              <c:layout>
                <c:manualLayout>
                  <c:x val="2.539749447807239E-2"/>
                  <c:y val="-4.68734312141113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11E-4B34-B707-F93A0BB5E8D4}"/>
                </c:ext>
              </c:extLst>
            </c:dLbl>
            <c:dLbl>
              <c:idx val="1"/>
              <c:layout>
                <c:manualLayout>
                  <c:x val="7.4456237670505326E-2"/>
                  <c:y val="-8.907162259739366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411E-4B34-B707-F93A0BB5E8D4}"/>
                </c:ext>
              </c:extLst>
            </c:dLbl>
            <c:dLbl>
              <c:idx val="2"/>
              <c:layout>
                <c:manualLayout>
                  <c:x val="-4.3471648485052861E-2"/>
                  <c:y val="0.1770976171646666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411E-4B34-B707-F93A0BB5E8D4}"/>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411E-4B34-B707-F93A0BB5E8D4}"/>
                </c:ext>
              </c:extLst>
            </c:dLbl>
            <c:dLbl>
              <c:idx val="4"/>
              <c:layout>
                <c:manualLayout>
                  <c:x val="6.6458800519314104E-2"/>
                  <c:y val="0.2175136677784272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411E-4B34-B707-F93A0BB5E8D4}"/>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411E-4B34-B707-F93A0BB5E8D4}"/>
                </c:ext>
              </c:extLst>
            </c:dLbl>
            <c:dLbl>
              <c:idx val="6"/>
              <c:layout>
                <c:manualLayout>
                  <c:x val="0.14056365812945759"/>
                  <c:y val="-9.818313103875116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411E-4B34-B707-F93A0BB5E8D4}"/>
                </c:ext>
              </c:extLst>
            </c:dLbl>
            <c:dLbl>
              <c:idx val="7"/>
              <c:layout>
                <c:manualLayout>
                  <c:x val="0.2498156266333946"/>
                  <c:y val="-5.261527352749028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411E-4B34-B707-F93A0BB5E8D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CF'!$J$9:$J$16</c:f>
              <c:strCache>
                <c:ptCount val="8"/>
                <c:pt idx="0">
                  <c:v>Net Current Asset</c:v>
                </c:pt>
                <c:pt idx="1">
                  <c:v>TRI Party Repo</c:v>
                </c:pt>
                <c:pt idx="2">
                  <c:v>Certificate of Deposit</c:v>
                </c:pt>
                <c:pt idx="3">
                  <c:v>Corporate Bond</c:v>
                </c:pt>
                <c:pt idx="4">
                  <c:v>Commercial Paper</c:v>
                </c:pt>
                <c:pt idx="5">
                  <c:v>Corporate Debt Market Development Fund</c:v>
                </c:pt>
                <c:pt idx="6">
                  <c:v>Government Bond</c:v>
                </c:pt>
                <c:pt idx="7">
                  <c:v>Treasury Bill</c:v>
                </c:pt>
              </c:strCache>
            </c:strRef>
          </c:cat>
          <c:val>
            <c:numRef>
              <c:f>'BANDHAN CF'!$K$9:$K$16</c:f>
              <c:numCache>
                <c:formatCode>0.00%</c:formatCode>
                <c:ptCount val="8"/>
                <c:pt idx="0">
                  <c:v>-0.14082600000000001</c:v>
                </c:pt>
                <c:pt idx="1">
                  <c:v>8.0421000000000006E-2</c:v>
                </c:pt>
                <c:pt idx="2">
                  <c:v>0.36003099999999999</c:v>
                </c:pt>
                <c:pt idx="3">
                  <c:v>6.2692999999999999E-2</c:v>
                </c:pt>
                <c:pt idx="4">
                  <c:v>0.434006</c:v>
                </c:pt>
                <c:pt idx="5">
                  <c:v>2.7430000000000002E-3</c:v>
                </c:pt>
                <c:pt idx="6">
                  <c:v>6.8250000000000003E-3</c:v>
                </c:pt>
                <c:pt idx="7">
                  <c:v>0.194107</c:v>
                </c:pt>
              </c:numCache>
            </c:numRef>
          </c:val>
          <c:extLst>
            <c:ext xmlns:c16="http://schemas.microsoft.com/office/drawing/2014/chart" uri="{C3380CC4-5D6E-409C-BE32-E72D297353CC}">
              <c16:uniqueId val="{0000000C-411E-4B34-B707-F93A0BB5E8D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205491578006711"/>
                  <c:y val="-5.286343612334801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176-41CA-A5F4-465C3D830BF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LDF'!$G$8</c:f>
              <c:strCache>
                <c:ptCount val="1"/>
                <c:pt idx="0">
                  <c:v>AAA EQUIVALENT</c:v>
                </c:pt>
              </c:strCache>
            </c:strRef>
          </c:cat>
          <c:val>
            <c:numRef>
              <c:f>'BANDHAN LDF'!$H$8</c:f>
              <c:numCache>
                <c:formatCode>0%</c:formatCode>
                <c:ptCount val="1"/>
                <c:pt idx="0">
                  <c:v>1</c:v>
                </c:pt>
              </c:numCache>
            </c:numRef>
          </c:val>
          <c:extLst>
            <c:ext xmlns:c16="http://schemas.microsoft.com/office/drawing/2014/chart" uri="{C3380CC4-5D6E-409C-BE32-E72D297353CC}">
              <c16:uniqueId val="{0000000C-6176-41CA-A5F4-465C3D830BF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LDF'!$K$8</c:f>
              <c:strCache>
                <c:ptCount val="1"/>
                <c:pt idx="0">
                  <c:v>Total</c:v>
                </c:pt>
              </c:strCache>
            </c:strRef>
          </c:tx>
          <c:dLbls>
            <c:dLbl>
              <c:idx val="0"/>
              <c:layout>
                <c:manualLayout>
                  <c:x val="2.9784181152944747E-2"/>
                  <c:y val="7.5184480596480353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036-4516-B9DE-B3CA97BC3B3D}"/>
                </c:ext>
              </c:extLst>
            </c:dLbl>
            <c:dLbl>
              <c:idx val="1"/>
              <c:layout>
                <c:manualLayout>
                  <c:x val="0.15159023082500125"/>
                  <c:y val="-8.226171078561009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2036-4516-B9DE-B3CA97BC3B3D}"/>
                </c:ext>
              </c:extLst>
            </c:dLbl>
            <c:dLbl>
              <c:idx val="2"/>
              <c:layout>
                <c:manualLayout>
                  <c:x val="3.8360451196277123E-2"/>
                  <c:y val="-4.925465573574700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2036-4516-B9DE-B3CA97BC3B3D}"/>
                </c:ext>
              </c:extLst>
            </c:dLbl>
            <c:dLbl>
              <c:idx val="3"/>
              <c:layout>
                <c:manualLayout>
                  <c:x val="-0.1405462914566086"/>
                  <c:y val="-1.350918350807449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2036-4516-B9DE-B3CA97BC3B3D}"/>
                </c:ext>
              </c:extLst>
            </c:dLbl>
            <c:dLbl>
              <c:idx val="4"/>
              <c:layout>
                <c:manualLayout>
                  <c:x val="-6.4631506179500586E-2"/>
                  <c:y val="-9.259160048114245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2036-4516-B9DE-B3CA97BC3B3D}"/>
                </c:ext>
              </c:extLst>
            </c:dLbl>
            <c:dLbl>
              <c:idx val="5"/>
              <c:layout>
                <c:manualLayout>
                  <c:x val="0.23222192247382353"/>
                  <c:y val="0.6177128671483778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9425584649884506"/>
                      <c:h val="0.21235102925243771"/>
                    </c:manualLayout>
                  </c15:layout>
                </c:ext>
                <c:ext xmlns:c16="http://schemas.microsoft.com/office/drawing/2014/chart" uri="{C3380CC4-5D6E-409C-BE32-E72D297353CC}">
                  <c16:uniqueId val="{00000012-2036-4516-B9DE-B3CA97BC3B3D}"/>
                </c:ext>
              </c:extLst>
            </c:dLbl>
            <c:dLbl>
              <c:idx val="6"/>
              <c:layout>
                <c:manualLayout>
                  <c:x val="-2.844897064526463E-2"/>
                  <c:y val="-0.10131699951373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2036-4516-B9DE-B3CA97BC3B3D}"/>
                </c:ext>
              </c:extLst>
            </c:dLbl>
            <c:dLbl>
              <c:idx val="7"/>
              <c:layout>
                <c:manualLayout>
                  <c:x val="-5.2731035761857392E-2"/>
                  <c:y val="-4.881958010936606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2036-4516-B9DE-B3CA97BC3B3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LDF'!$J$9:$J$16</c:f>
              <c:strCache>
                <c:ptCount val="8"/>
                <c:pt idx="0">
                  <c:v>Net Current Asset</c:v>
                </c:pt>
                <c:pt idx="1">
                  <c:v>TRI Party Repo</c:v>
                </c:pt>
                <c:pt idx="2">
                  <c:v>Certificate of Deposit</c:v>
                </c:pt>
                <c:pt idx="3">
                  <c:v>Corporate Bond</c:v>
                </c:pt>
                <c:pt idx="4">
                  <c:v>Commercial Paper</c:v>
                </c:pt>
                <c:pt idx="5">
                  <c:v>Corporate Debt Market Development Fund</c:v>
                </c:pt>
                <c:pt idx="6">
                  <c:v>State Government Bond</c:v>
                </c:pt>
                <c:pt idx="7">
                  <c:v>Treasury Bill</c:v>
                </c:pt>
              </c:strCache>
            </c:strRef>
          </c:cat>
          <c:val>
            <c:numRef>
              <c:f>'BANDHAN LDF'!$K$9:$K$16</c:f>
              <c:numCache>
                <c:formatCode>0.00%</c:formatCode>
                <c:ptCount val="8"/>
                <c:pt idx="0">
                  <c:v>2.0171999999999999E-2</c:v>
                </c:pt>
                <c:pt idx="1">
                  <c:v>1.5771E-2</c:v>
                </c:pt>
                <c:pt idx="2">
                  <c:v>0.20846300000000001</c:v>
                </c:pt>
                <c:pt idx="3">
                  <c:v>0.59961699999999996</c:v>
                </c:pt>
                <c:pt idx="4">
                  <c:v>3.2016999999999997E-2</c:v>
                </c:pt>
                <c:pt idx="5">
                  <c:v>2.9329999999999998E-3</c:v>
                </c:pt>
                <c:pt idx="6">
                  <c:v>0.120847</c:v>
                </c:pt>
                <c:pt idx="7">
                  <c:v>1.8000000000000001E-4</c:v>
                </c:pt>
              </c:numCache>
            </c:numRef>
          </c:val>
          <c:extLst>
            <c:ext xmlns:c16="http://schemas.microsoft.com/office/drawing/2014/chart" uri="{C3380CC4-5D6E-409C-BE32-E72D297353CC}">
              <c16:uniqueId val="{0000000C-2036-4516-B9DE-B3CA97BC3B3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110202498777591"/>
                  <c:y val="-3.761061946902655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E82-4038-90E1-C890794C295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MMF'!$G$8</c:f>
              <c:strCache>
                <c:ptCount val="1"/>
                <c:pt idx="0">
                  <c:v>AAA EQUIVALENT</c:v>
                </c:pt>
              </c:strCache>
            </c:strRef>
          </c:cat>
          <c:val>
            <c:numRef>
              <c:f>'BANDHAN MMF'!$H$8</c:f>
              <c:numCache>
                <c:formatCode>0%</c:formatCode>
                <c:ptCount val="1"/>
                <c:pt idx="0">
                  <c:v>1</c:v>
                </c:pt>
              </c:numCache>
            </c:numRef>
          </c:val>
          <c:extLst>
            <c:ext xmlns:c16="http://schemas.microsoft.com/office/drawing/2014/chart" uri="{C3380CC4-5D6E-409C-BE32-E72D297353CC}">
              <c16:uniqueId val="{0000000C-4E82-4038-90E1-C890794C295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MMF'!$K$8</c:f>
              <c:strCache>
                <c:ptCount val="1"/>
                <c:pt idx="0">
                  <c:v>Total</c:v>
                </c:pt>
              </c:strCache>
            </c:strRef>
          </c:tx>
          <c:dLbls>
            <c:dLbl>
              <c:idx val="0"/>
              <c:layout>
                <c:manualLayout>
                  <c:x val="5.2997015630005563E-2"/>
                  <c:y val="2.9262954508536597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BE4-4E02-9275-19E5F9EF2DA5}"/>
                </c:ext>
              </c:extLst>
            </c:dLbl>
            <c:dLbl>
              <c:idx val="1"/>
              <c:layout>
                <c:manualLayout>
                  <c:x val="0.16807331096460909"/>
                  <c:y val="-3.3103353937435345E-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2BE4-4E02-9275-19E5F9EF2DA5}"/>
                </c:ext>
              </c:extLst>
            </c:dLbl>
            <c:dLbl>
              <c:idx val="2"/>
              <c:layout>
                <c:manualLayout>
                  <c:x val="-0.11895344720025644"/>
                  <c:y val="0.2227298297810493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2BE4-4E02-9275-19E5F9EF2DA5}"/>
                </c:ext>
              </c:extLst>
            </c:dLbl>
            <c:dLbl>
              <c:idx val="3"/>
              <c:layout>
                <c:manualLayout>
                  <c:x val="-3.9373450909642718E-3"/>
                  <c:y val="0.3099441722879102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2BE4-4E02-9275-19E5F9EF2DA5}"/>
                </c:ext>
              </c:extLst>
            </c:dLbl>
            <c:dLbl>
              <c:idx val="4"/>
              <c:layout>
                <c:manualLayout>
                  <c:x val="0.14217766274932978"/>
                  <c:y val="0.6236788153923755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34564770945387713"/>
                      <c:h val="0.21281216069489686"/>
                    </c:manualLayout>
                  </c15:layout>
                </c:ext>
                <c:ext xmlns:c16="http://schemas.microsoft.com/office/drawing/2014/chart" uri="{C3380CC4-5D6E-409C-BE32-E72D297353CC}">
                  <c16:uniqueId val="{00000011-2BE4-4E02-9275-19E5F9EF2DA5}"/>
                </c:ext>
              </c:extLst>
            </c:dLbl>
            <c:dLbl>
              <c:idx val="5"/>
              <c:layout>
                <c:manualLayout>
                  <c:x val="2.7685511473806674E-2"/>
                  <c:y val="-6.922431113048979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2BE4-4E02-9275-19E5F9EF2DA5}"/>
                </c:ext>
              </c:extLst>
            </c:dLbl>
            <c:dLbl>
              <c:idx val="6"/>
              <c:layout>
                <c:manualLayout>
                  <c:x val="-0.14414389047193513"/>
                  <c:y val="-0.1408551129805842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2BE4-4E02-9275-19E5F9EF2DA5}"/>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2BE4-4E02-9275-19E5F9EF2DA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MMF'!$J$9:$J$16</c:f>
              <c:strCache>
                <c:ptCount val="8"/>
                <c:pt idx="0">
                  <c:v>Net Current Asset</c:v>
                </c:pt>
                <c:pt idx="1">
                  <c:v>TRI Party Repo</c:v>
                </c:pt>
                <c:pt idx="2">
                  <c:v>Certificate of Deposit</c:v>
                </c:pt>
                <c:pt idx="3">
                  <c:v>Commercial Paper</c:v>
                </c:pt>
                <c:pt idx="4">
                  <c:v>Corporate Debt Market Development Fund</c:v>
                </c:pt>
                <c:pt idx="5">
                  <c:v>Government Bond</c:v>
                </c:pt>
                <c:pt idx="6">
                  <c:v>State Government Bond</c:v>
                </c:pt>
                <c:pt idx="7">
                  <c:v>Treasury Bill</c:v>
                </c:pt>
              </c:strCache>
            </c:strRef>
          </c:cat>
          <c:val>
            <c:numRef>
              <c:f>'BANDHAN MMF'!$K$9:$K$16</c:f>
              <c:numCache>
                <c:formatCode>0.00%</c:formatCode>
                <c:ptCount val="8"/>
                <c:pt idx="0">
                  <c:v>1.65E-4</c:v>
                </c:pt>
                <c:pt idx="1">
                  <c:v>1.5099E-2</c:v>
                </c:pt>
                <c:pt idx="2">
                  <c:v>0.58546600000000004</c:v>
                </c:pt>
                <c:pt idx="3">
                  <c:v>0.28306399999999998</c:v>
                </c:pt>
                <c:pt idx="4">
                  <c:v>2.091E-3</c:v>
                </c:pt>
                <c:pt idx="5">
                  <c:v>2.4879999999999999E-2</c:v>
                </c:pt>
                <c:pt idx="6">
                  <c:v>3.0811999999999999E-2</c:v>
                </c:pt>
                <c:pt idx="7">
                  <c:v>5.8423000000000003E-2</c:v>
                </c:pt>
              </c:numCache>
            </c:numRef>
          </c:val>
          <c:extLst>
            <c:ext xmlns:c16="http://schemas.microsoft.com/office/drawing/2014/chart" uri="{C3380CC4-5D6E-409C-BE32-E72D297353CC}">
              <c16:uniqueId val="{0000000C-2BE4-4E02-9275-19E5F9EF2DA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89392840884183"/>
                  <c:y val="-4.646017699115044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43A-4393-9438-689D69211E3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USTF'!$G$8</c:f>
              <c:strCache>
                <c:ptCount val="1"/>
                <c:pt idx="0">
                  <c:v>AAA EQUIVALENT</c:v>
                </c:pt>
              </c:strCache>
            </c:strRef>
          </c:cat>
          <c:val>
            <c:numRef>
              <c:f>'BANDHAN USTF'!$H$8</c:f>
              <c:numCache>
                <c:formatCode>0%</c:formatCode>
                <c:ptCount val="1"/>
                <c:pt idx="0">
                  <c:v>1</c:v>
                </c:pt>
              </c:numCache>
            </c:numRef>
          </c:val>
          <c:extLst>
            <c:ext xmlns:c16="http://schemas.microsoft.com/office/drawing/2014/chart" uri="{C3380CC4-5D6E-409C-BE32-E72D297353CC}">
              <c16:uniqueId val="{0000000C-143A-4393-9438-689D69211E3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USTF'!$K$8</c:f>
              <c:strCache>
                <c:ptCount val="1"/>
                <c:pt idx="0">
                  <c:v>Total</c:v>
                </c:pt>
              </c:strCache>
            </c:strRef>
          </c:tx>
          <c:dLbls>
            <c:dLbl>
              <c:idx val="0"/>
              <c:layout>
                <c:manualLayout>
                  <c:x val="0.1753711915560876"/>
                  <c:y val="-8.462359423615094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FA8-4B4A-87BB-C59E24609415}"/>
                </c:ext>
              </c:extLst>
            </c:dLbl>
            <c:dLbl>
              <c:idx val="1"/>
              <c:layout>
                <c:manualLayout>
                  <c:x val="0.25921799389637323"/>
                  <c:y val="-8.837461542472753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CFA8-4B4A-87BB-C59E24609415}"/>
                </c:ext>
              </c:extLst>
            </c:dLbl>
            <c:dLbl>
              <c:idx val="2"/>
              <c:layout>
                <c:manualLayout>
                  <c:x val="-7.9874218078200762E-2"/>
                  <c:y val="0.5376304948636387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CFA8-4B4A-87BB-C59E24609415}"/>
                </c:ext>
              </c:extLst>
            </c:dLbl>
            <c:dLbl>
              <c:idx val="3"/>
              <c:layout>
                <c:manualLayout>
                  <c:x val="6.3600128142440426E-2"/>
                  <c:y val="8.837461542472753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CFA8-4B4A-87BB-C59E24609415}"/>
                </c:ext>
              </c:extLst>
            </c:dLbl>
            <c:dLbl>
              <c:idx val="4"/>
              <c:layout>
                <c:manualLayout>
                  <c:x val="-9.3808696825102428E-2"/>
                  <c:y val="-2.92193773791521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CFA8-4B4A-87BB-C59E24609415}"/>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CFA8-4B4A-87BB-C59E24609415}"/>
                </c:ext>
              </c:extLst>
            </c:dLbl>
            <c:dLbl>
              <c:idx val="6"/>
              <c:layout>
                <c:manualLayout>
                  <c:x val="0.20051020924311655"/>
                  <c:y val="-4.186751490500773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CFA8-4B4A-87BB-C59E24609415}"/>
                </c:ext>
              </c:extLst>
            </c:dLbl>
            <c:dLbl>
              <c:idx val="7"/>
              <c:layout>
                <c:manualLayout>
                  <c:x val="0.46098787705070049"/>
                  <c:y val="2.04001321026924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CFA8-4B4A-87BB-C59E2460941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USTF'!$J$9:$J$16</c:f>
              <c:strCache>
                <c:ptCount val="8"/>
                <c:pt idx="0">
                  <c:v>Net Current Asset</c:v>
                </c:pt>
                <c:pt idx="1">
                  <c:v>TRI Party Repo</c:v>
                </c:pt>
                <c:pt idx="2">
                  <c:v>Certificate of Deposit</c:v>
                </c:pt>
                <c:pt idx="3">
                  <c:v>Corporate Bond</c:v>
                </c:pt>
                <c:pt idx="4">
                  <c:v>Commercial Paper</c:v>
                </c:pt>
                <c:pt idx="5">
                  <c:v>Corporate Debt Market Development Fund</c:v>
                </c:pt>
                <c:pt idx="6">
                  <c:v>State Government Bond</c:v>
                </c:pt>
                <c:pt idx="7">
                  <c:v>Treasury Bill</c:v>
                </c:pt>
              </c:strCache>
            </c:strRef>
          </c:cat>
          <c:val>
            <c:numRef>
              <c:f>'BANDHAN USTF'!$K$9:$K$16</c:f>
              <c:numCache>
                <c:formatCode>0.00%</c:formatCode>
                <c:ptCount val="8"/>
                <c:pt idx="0">
                  <c:v>5.6140000000000001E-3</c:v>
                </c:pt>
                <c:pt idx="1">
                  <c:v>6.1532999999999997E-2</c:v>
                </c:pt>
                <c:pt idx="2">
                  <c:v>0.33188200000000001</c:v>
                </c:pt>
                <c:pt idx="3">
                  <c:v>0.43710500000000002</c:v>
                </c:pt>
                <c:pt idx="4">
                  <c:v>7.4862999999999999E-2</c:v>
                </c:pt>
                <c:pt idx="5">
                  <c:v>2.7030000000000001E-3</c:v>
                </c:pt>
                <c:pt idx="6">
                  <c:v>4.0278000000000001E-2</c:v>
                </c:pt>
                <c:pt idx="7">
                  <c:v>4.6022E-2</c:v>
                </c:pt>
              </c:numCache>
            </c:numRef>
          </c:val>
          <c:extLst>
            <c:ext xmlns:c16="http://schemas.microsoft.com/office/drawing/2014/chart" uri="{C3380CC4-5D6E-409C-BE32-E72D297353CC}">
              <c16:uniqueId val="{0000000C-CFA8-4B4A-87BB-C59E2460941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348960528756175"/>
                  <c:y val="-4.039301310043667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EAB-45B3-B42F-B9E3523479E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DBF'!$G$8</c:f>
              <c:strCache>
                <c:ptCount val="1"/>
                <c:pt idx="0">
                  <c:v>AAA EQUIVALENT</c:v>
                </c:pt>
              </c:strCache>
            </c:strRef>
          </c:cat>
          <c:val>
            <c:numRef>
              <c:f>'BANDHAN DBF'!$H$8</c:f>
              <c:numCache>
                <c:formatCode>0%</c:formatCode>
                <c:ptCount val="1"/>
                <c:pt idx="0">
                  <c:v>1</c:v>
                </c:pt>
              </c:numCache>
            </c:numRef>
          </c:val>
          <c:extLst>
            <c:ext xmlns:c16="http://schemas.microsoft.com/office/drawing/2014/chart" uri="{C3380CC4-5D6E-409C-BE32-E72D297353CC}">
              <c16:uniqueId val="{0000000C-7EAB-45B3-B42F-B9E3523479E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DBF'!$K$8</c:f>
              <c:strCache>
                <c:ptCount val="1"/>
                <c:pt idx="0">
                  <c:v>Total</c:v>
                </c:pt>
              </c:strCache>
            </c:strRef>
          </c:tx>
          <c:dLbls>
            <c:dLbl>
              <c:idx val="0"/>
              <c:layout>
                <c:manualLayout>
                  <c:x val="-0.25871756394476386"/>
                  <c:y val="-1.492248468941382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38B-4B24-8CEC-49E7282DD8E3}"/>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E38B-4B24-8CEC-49E7282DD8E3}"/>
                </c:ext>
              </c:extLst>
            </c:dLbl>
            <c:dLbl>
              <c:idx val="2"/>
              <c:layout>
                <c:manualLayout>
                  <c:x val="0.11309902375693394"/>
                  <c:y val="1.285529308836395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7355460385438973"/>
                      <c:h val="0.21666666666666667"/>
                    </c:manualLayout>
                  </c15:layout>
                </c:ext>
                <c:ext xmlns:c16="http://schemas.microsoft.com/office/drawing/2014/chart" uri="{C3380CC4-5D6E-409C-BE32-E72D297353CC}">
                  <c16:uniqueId val="{0000000F-E38B-4B24-8CEC-49E7282DD8E3}"/>
                </c:ext>
              </c:extLst>
            </c:dLbl>
            <c:dLbl>
              <c:idx val="3"/>
              <c:layout>
                <c:manualLayout>
                  <c:x val="-0.19672064947984286"/>
                  <c:y val="-2.581907261592300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E38B-4B24-8CEC-49E7282DD8E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DBF'!$J$9:$J$12</c:f>
              <c:strCache>
                <c:ptCount val="4"/>
                <c:pt idx="0">
                  <c:v>Net Current Asset</c:v>
                </c:pt>
                <c:pt idx="1">
                  <c:v>TRI Party Repo</c:v>
                </c:pt>
                <c:pt idx="2">
                  <c:v>Corporate Debt Market Development Fund</c:v>
                </c:pt>
                <c:pt idx="3">
                  <c:v>Government Bond</c:v>
                </c:pt>
              </c:strCache>
            </c:strRef>
          </c:cat>
          <c:val>
            <c:numRef>
              <c:f>'BANDHAN DBF'!$K$9:$K$12</c:f>
              <c:numCache>
                <c:formatCode>0.00%</c:formatCode>
                <c:ptCount val="4"/>
                <c:pt idx="0">
                  <c:v>1.6553999999999999E-2</c:v>
                </c:pt>
                <c:pt idx="1">
                  <c:v>4.5779999999999996E-3</c:v>
                </c:pt>
                <c:pt idx="2">
                  <c:v>2.65E-3</c:v>
                </c:pt>
                <c:pt idx="3">
                  <c:v>0.97621800000000003</c:v>
                </c:pt>
              </c:numCache>
            </c:numRef>
          </c:val>
          <c:extLst>
            <c:ext xmlns:c16="http://schemas.microsoft.com/office/drawing/2014/chart" uri="{C3380CC4-5D6E-409C-BE32-E72D297353CC}">
              <c16:uniqueId val="{0000000C-E38B-4B24-8CEC-49E7282DD8E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278296717193008"/>
                  <c:y val="-3.165938864628820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505-45FD-856B-D095DDF5400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IP'!$G$8</c:f>
              <c:strCache>
                <c:ptCount val="1"/>
                <c:pt idx="0">
                  <c:v>AAA EQUIVALENT</c:v>
                </c:pt>
              </c:strCache>
            </c:strRef>
          </c:cat>
          <c:val>
            <c:numRef>
              <c:f>'BANDHAN BOND IP'!$H$8</c:f>
              <c:numCache>
                <c:formatCode>0%</c:formatCode>
                <c:ptCount val="1"/>
                <c:pt idx="0">
                  <c:v>1</c:v>
                </c:pt>
              </c:numCache>
            </c:numRef>
          </c:val>
          <c:extLst>
            <c:ext xmlns:c16="http://schemas.microsoft.com/office/drawing/2014/chart" uri="{C3380CC4-5D6E-409C-BE32-E72D297353CC}">
              <c16:uniqueId val="{0000000C-C505-45FD-856B-D095DDF5400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IP'!$K$8</c:f>
              <c:strCache>
                <c:ptCount val="1"/>
                <c:pt idx="0">
                  <c:v>Total</c:v>
                </c:pt>
              </c:strCache>
            </c:strRef>
          </c:tx>
          <c:dLbls>
            <c:dLbl>
              <c:idx val="0"/>
              <c:layout>
                <c:manualLayout>
                  <c:x val="-0.29267176988315435"/>
                  <c:y val="-2.936692913385826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275-4F6F-A094-37EF07E66002}"/>
                </c:ext>
              </c:extLst>
            </c:dLbl>
            <c:dLbl>
              <c:idx val="1"/>
              <c:layout>
                <c:manualLayout>
                  <c:x val="-9.7357567991367244E-2"/>
                  <c:y val="-2.030306211723534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D275-4F6F-A094-37EF07E66002}"/>
                </c:ext>
              </c:extLst>
            </c:dLbl>
            <c:dLbl>
              <c:idx val="2"/>
              <c:layout>
                <c:manualLayout>
                  <c:x val="6.953160565850032E-2"/>
                  <c:y val="7.449868766404199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3554603854389722"/>
                      <c:h val="0.21666666666666667"/>
                    </c:manualLayout>
                  </c15:layout>
                </c:ext>
                <c:ext xmlns:c16="http://schemas.microsoft.com/office/drawing/2014/chart" uri="{C3380CC4-5D6E-409C-BE32-E72D297353CC}">
                  <c16:uniqueId val="{0000000F-D275-4F6F-A094-37EF07E66002}"/>
                </c:ext>
              </c:extLst>
            </c:dLbl>
            <c:dLbl>
              <c:idx val="3"/>
              <c:layout>
                <c:manualLayout>
                  <c:x val="-0.22411463690165068"/>
                  <c:y val="-2.470796150481189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D275-4F6F-A094-37EF07E6600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IP'!$J$9:$J$12</c:f>
              <c:strCache>
                <c:ptCount val="4"/>
                <c:pt idx="0">
                  <c:v>Net Current Asset</c:v>
                </c:pt>
                <c:pt idx="1">
                  <c:v>TRI Party Repo</c:v>
                </c:pt>
                <c:pt idx="2">
                  <c:v>Corporate Debt Market Development Fund</c:v>
                </c:pt>
                <c:pt idx="3">
                  <c:v>Government Bond</c:v>
                </c:pt>
              </c:strCache>
            </c:strRef>
          </c:cat>
          <c:val>
            <c:numRef>
              <c:f>'BANDHAN BOND IP'!$K$9:$K$12</c:f>
              <c:numCache>
                <c:formatCode>0.00%</c:formatCode>
                <c:ptCount val="4"/>
                <c:pt idx="0">
                  <c:v>2.3251000000000001E-2</c:v>
                </c:pt>
                <c:pt idx="1">
                  <c:v>3.375E-3</c:v>
                </c:pt>
                <c:pt idx="2">
                  <c:v>2.5760000000000002E-3</c:v>
                </c:pt>
                <c:pt idx="3">
                  <c:v>0.97079800000000005</c:v>
                </c:pt>
              </c:numCache>
            </c:numRef>
          </c:val>
          <c:extLst>
            <c:ext xmlns:c16="http://schemas.microsoft.com/office/drawing/2014/chart" uri="{C3380CC4-5D6E-409C-BE32-E72D297353CC}">
              <c16:uniqueId val="{0000000C-D275-4F6F-A094-37EF07E6600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136969094066665"/>
                  <c:y val="-2.741228070175438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0C0-4FAD-A762-B5B9185A188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MT'!$G$8</c:f>
              <c:strCache>
                <c:ptCount val="1"/>
                <c:pt idx="0">
                  <c:v>AAA EQUIVALENT</c:v>
                </c:pt>
              </c:strCache>
            </c:strRef>
          </c:cat>
          <c:val>
            <c:numRef>
              <c:f>'BANDHAN BOND MT'!$H$8</c:f>
              <c:numCache>
                <c:formatCode>0%</c:formatCode>
                <c:ptCount val="1"/>
                <c:pt idx="0">
                  <c:v>1</c:v>
                </c:pt>
              </c:numCache>
            </c:numRef>
          </c:val>
          <c:extLst>
            <c:ext xmlns:c16="http://schemas.microsoft.com/office/drawing/2014/chart" uri="{C3380CC4-5D6E-409C-BE32-E72D297353CC}">
              <c16:uniqueId val="{0000000C-70C0-4FAD-A762-B5B9185A188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MT'!$K$8</c:f>
              <c:strCache>
                <c:ptCount val="1"/>
                <c:pt idx="0">
                  <c:v>Total</c:v>
                </c:pt>
              </c:strCache>
            </c:strRef>
          </c:tx>
          <c:dLbls>
            <c:dLbl>
              <c:idx val="0"/>
              <c:layout>
                <c:manualLayout>
                  <c:x val="-0.23862128850596032"/>
                  <c:y val="-8.389186581436620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DDB-4B2C-B715-A7258D85A905}"/>
                </c:ext>
              </c:extLst>
            </c:dLbl>
            <c:dLbl>
              <c:idx val="1"/>
              <c:layout>
                <c:manualLayout>
                  <c:x val="-0.13096191134566423"/>
                  <c:y val="-1.495373800375609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EDDB-4B2C-B715-A7258D85A905}"/>
                </c:ext>
              </c:extLst>
            </c:dLbl>
            <c:dLbl>
              <c:idx val="2"/>
              <c:layout>
                <c:manualLayout>
                  <c:x val="-0.15959601409566845"/>
                  <c:y val="-8.890745877771842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EDDB-4B2C-B715-A7258D85A905}"/>
                </c:ext>
              </c:extLst>
            </c:dLbl>
            <c:dLbl>
              <c:idx val="3"/>
              <c:layout>
                <c:manualLayout>
                  <c:x val="-1.5586167360771553E-2"/>
                  <c:y val="-0.2005727183445614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2162740899357602"/>
                      <c:h val="0.21334792122538293"/>
                    </c:manualLayout>
                  </c15:layout>
                </c:ext>
                <c:ext xmlns:c16="http://schemas.microsoft.com/office/drawing/2014/chart" uri="{C3380CC4-5D6E-409C-BE32-E72D297353CC}">
                  <c16:uniqueId val="{00000010-EDDB-4B2C-B715-A7258D85A905}"/>
                </c:ext>
              </c:extLst>
            </c:dLbl>
            <c:dLbl>
              <c:idx val="4"/>
              <c:layout>
                <c:manualLayout>
                  <c:x val="2.6495557166703199E-2"/>
                  <c:y val="9.408639018590947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EDDB-4B2C-B715-A7258D85A905}"/>
                </c:ext>
              </c:extLst>
            </c:dLbl>
            <c:dLbl>
              <c:idx val="5"/>
              <c:layout>
                <c:manualLayout>
                  <c:x val="-0.20960764808039253"/>
                  <c:y val="2.568341976946535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EDDB-4B2C-B715-A7258D85A905}"/>
                </c:ext>
              </c:extLst>
            </c:dLbl>
            <c:dLbl>
              <c:idx val="6"/>
              <c:layout>
                <c:manualLayout>
                  <c:x val="-0.2663830110101334"/>
                  <c:y val="-9.919881459018935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EDDB-4B2C-B715-A7258D85A90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MT'!$J$9:$J$15</c:f>
              <c:strCache>
                <c:ptCount val="7"/>
                <c:pt idx="0">
                  <c:v>Net Current Asset</c:v>
                </c:pt>
                <c:pt idx="1">
                  <c:v>TRI Party Repo</c:v>
                </c:pt>
                <c:pt idx="2">
                  <c:v>Corporate Bond</c:v>
                </c:pt>
                <c:pt idx="3">
                  <c:v>Corporate Debt Market Development Fund</c:v>
                </c:pt>
                <c:pt idx="4">
                  <c:v>Government Bond</c:v>
                </c:pt>
                <c:pt idx="5">
                  <c:v>PTC</c:v>
                </c:pt>
                <c:pt idx="6">
                  <c:v>State Government Bond</c:v>
                </c:pt>
              </c:strCache>
            </c:strRef>
          </c:cat>
          <c:val>
            <c:numRef>
              <c:f>'BANDHAN BOND MT'!$K$9:$K$15</c:f>
              <c:numCache>
                <c:formatCode>0.00%</c:formatCode>
                <c:ptCount val="7"/>
                <c:pt idx="0">
                  <c:v>1.2596E-2</c:v>
                </c:pt>
                <c:pt idx="1">
                  <c:v>1.3010000000000001E-3</c:v>
                </c:pt>
                <c:pt idx="2">
                  <c:v>0.21537400000000001</c:v>
                </c:pt>
                <c:pt idx="3">
                  <c:v>3.1619999999999999E-3</c:v>
                </c:pt>
                <c:pt idx="4">
                  <c:v>0.73816199999999998</c:v>
                </c:pt>
                <c:pt idx="5">
                  <c:v>9.4649999999999995E-3</c:v>
                </c:pt>
                <c:pt idx="6">
                  <c:v>1.9939999999999999E-2</c:v>
                </c:pt>
              </c:numCache>
            </c:numRef>
          </c:val>
          <c:extLst>
            <c:ext xmlns:c16="http://schemas.microsoft.com/office/drawing/2014/chart" uri="{C3380CC4-5D6E-409C-BE32-E72D297353CC}">
              <c16:uniqueId val="{0000000C-EDDB-4B2C-B715-A7258D85A90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207632905629837"/>
                  <c:y val="-8.810572687224670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6F3-4D91-9084-A2AB697FF03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ST'!$G$8</c:f>
              <c:strCache>
                <c:ptCount val="1"/>
                <c:pt idx="0">
                  <c:v>AAA EQUIVALENT</c:v>
                </c:pt>
              </c:strCache>
            </c:strRef>
          </c:cat>
          <c:val>
            <c:numRef>
              <c:f>'BANDHAN BOND ST'!$H$8</c:f>
              <c:numCache>
                <c:formatCode>0%</c:formatCode>
                <c:ptCount val="1"/>
                <c:pt idx="0">
                  <c:v>1</c:v>
                </c:pt>
              </c:numCache>
            </c:numRef>
          </c:val>
          <c:extLst>
            <c:ext xmlns:c16="http://schemas.microsoft.com/office/drawing/2014/chart" uri="{C3380CC4-5D6E-409C-BE32-E72D297353CC}">
              <c16:uniqueId val="{0000000C-A6F3-4D91-9084-A2AB697FF03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ST'!$K$8</c:f>
              <c:strCache>
                <c:ptCount val="1"/>
                <c:pt idx="0">
                  <c:v>Total</c:v>
                </c:pt>
              </c:strCache>
            </c:strRef>
          </c:tx>
          <c:dLbls>
            <c:dLbl>
              <c:idx val="0"/>
              <c:layout>
                <c:manualLayout>
                  <c:x val="-0.35178741843565059"/>
                  <c:y val="8.275281092046879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184-4C50-A3A9-198E9932B0C0}"/>
                </c:ext>
              </c:extLst>
            </c:dLbl>
            <c:dLbl>
              <c:idx val="1"/>
              <c:layout>
                <c:manualLayout>
                  <c:x val="-0.20007477785833513"/>
                  <c:y val="-1.901729532716707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9184-4C50-A3A9-198E9932B0C0}"/>
                </c:ext>
              </c:extLst>
            </c:dLbl>
            <c:dLbl>
              <c:idx val="2"/>
              <c:layout>
                <c:manualLayout>
                  <c:x val="-2.5507933028714024E-2"/>
                  <c:y val="-4.085135646253824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9184-4C50-A3A9-198E9932B0C0}"/>
                </c:ext>
              </c:extLst>
            </c:dLbl>
            <c:dLbl>
              <c:idx val="3"/>
              <c:layout>
                <c:manualLayout>
                  <c:x val="-0.15049199952789635"/>
                  <c:y val="-0.1509933638207887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9184-4C50-A3A9-198E9932B0C0}"/>
                </c:ext>
              </c:extLst>
            </c:dLbl>
            <c:dLbl>
              <c:idx val="4"/>
              <c:layout>
                <c:manualLayout>
                  <c:x val="-0.24985196175959803"/>
                  <c:y val="0.1379304060791527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9184-4C50-A3A9-198E9932B0C0}"/>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9184-4C50-A3A9-198E9932B0C0}"/>
                </c:ext>
              </c:extLst>
            </c:dLbl>
            <c:dLbl>
              <c:idx val="6"/>
              <c:layout>
                <c:manualLayout>
                  <c:x val="3.1747879748436153E-2"/>
                  <c:y val="0.2619905099198844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9184-4C50-A3A9-198E9932B0C0}"/>
                </c:ext>
              </c:extLst>
            </c:dLbl>
            <c:dLbl>
              <c:idx val="7"/>
              <c:layout>
                <c:manualLayout>
                  <c:x val="-0.37297593957072284"/>
                  <c:y val="-0.127095897947254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9184-4C50-A3A9-198E9932B0C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ST'!$J$9:$J$16</c:f>
              <c:strCache>
                <c:ptCount val="8"/>
                <c:pt idx="0">
                  <c:v>Net Current Asset</c:v>
                </c:pt>
                <c:pt idx="1">
                  <c:v>TRI Party Repo</c:v>
                </c:pt>
                <c:pt idx="2">
                  <c:v>Certificate of Deposit</c:v>
                </c:pt>
                <c:pt idx="3">
                  <c:v>Corporate Bond</c:v>
                </c:pt>
                <c:pt idx="4">
                  <c:v>Commercial Paper</c:v>
                </c:pt>
                <c:pt idx="5">
                  <c:v>Corporate Debt Market Development Fund</c:v>
                </c:pt>
                <c:pt idx="6">
                  <c:v>Government Bond</c:v>
                </c:pt>
                <c:pt idx="7">
                  <c:v>PTC</c:v>
                </c:pt>
              </c:strCache>
            </c:strRef>
          </c:cat>
          <c:val>
            <c:numRef>
              <c:f>'BANDHAN BOND ST'!$K$9:$K$16</c:f>
              <c:numCache>
                <c:formatCode>0.00%</c:formatCode>
                <c:ptCount val="8"/>
                <c:pt idx="0">
                  <c:v>1.0619999999999999E-2</c:v>
                </c:pt>
                <c:pt idx="1">
                  <c:v>1.637E-3</c:v>
                </c:pt>
                <c:pt idx="2">
                  <c:v>5.11E-3</c:v>
                </c:pt>
                <c:pt idx="3">
                  <c:v>0.33511000000000002</c:v>
                </c:pt>
                <c:pt idx="4">
                  <c:v>8.8249999999999995E-2</c:v>
                </c:pt>
                <c:pt idx="5">
                  <c:v>2.7829999999999999E-3</c:v>
                </c:pt>
                <c:pt idx="6">
                  <c:v>0.55303599999999997</c:v>
                </c:pt>
                <c:pt idx="7">
                  <c:v>3.454E-3</c:v>
                </c:pt>
              </c:numCache>
            </c:numRef>
          </c:val>
          <c:extLst>
            <c:ext xmlns:c16="http://schemas.microsoft.com/office/drawing/2014/chart" uri="{C3380CC4-5D6E-409C-BE32-E72D297353CC}">
              <c16:uniqueId val="{0000000C-9184-4C50-A3A9-198E9932B0C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993500143317201"/>
                  <c:y val="-1.321585903083700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066-44FC-9A10-30C034EF03C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BPDF'!$G$8</c:f>
              <c:strCache>
                <c:ptCount val="1"/>
                <c:pt idx="0">
                  <c:v>AAA EQUIVALENT</c:v>
                </c:pt>
              </c:strCache>
            </c:strRef>
          </c:cat>
          <c:val>
            <c:numRef>
              <c:f>'BANDHAN BPDF'!$H$8</c:f>
              <c:numCache>
                <c:formatCode>0%</c:formatCode>
                <c:ptCount val="1"/>
                <c:pt idx="0">
                  <c:v>1</c:v>
                </c:pt>
              </c:numCache>
            </c:numRef>
          </c:val>
          <c:extLst>
            <c:ext xmlns:c16="http://schemas.microsoft.com/office/drawing/2014/chart" uri="{C3380CC4-5D6E-409C-BE32-E72D297353CC}">
              <c16:uniqueId val="{0000000C-0066-44FC-9A10-30C034EF03C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BPDF'!$K$8</c:f>
              <c:strCache>
                <c:ptCount val="1"/>
                <c:pt idx="0">
                  <c:v>Total</c:v>
                </c:pt>
              </c:strCache>
            </c:strRef>
          </c:tx>
          <c:dLbls>
            <c:dLbl>
              <c:idx val="0"/>
              <c:layout>
                <c:manualLayout>
                  <c:x val="0.14162732468933889"/>
                  <c:y val="-1.236798302731326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E11-4F32-BD0C-6AB155AB5EAE}"/>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CE11-4F32-BD0C-6AB155AB5EAE}"/>
                </c:ext>
              </c:extLst>
            </c:dLbl>
            <c:dLbl>
              <c:idx val="2"/>
              <c:layout>
                <c:manualLayout>
                  <c:x val="0.19506702186851896"/>
                  <c:y val="-9.506463937352847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CE11-4F32-BD0C-6AB155AB5EAE}"/>
                </c:ext>
              </c:extLst>
            </c:dLbl>
            <c:dLbl>
              <c:idx val="3"/>
              <c:layout>
                <c:manualLayout>
                  <c:x val="5.9703586302247549E-2"/>
                  <c:y val="-7.56974929064863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CE11-4F32-BD0C-6AB155AB5EAE}"/>
                </c:ext>
              </c:extLst>
            </c:dLbl>
            <c:dLbl>
              <c:idx val="4"/>
              <c:layout>
                <c:manualLayout>
                  <c:x val="-4.4009509517948374E-2"/>
                  <c:y val="-4.094695172960992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CE11-4F32-BD0C-6AB155AB5EAE}"/>
                </c:ext>
              </c:extLst>
            </c:dLbl>
            <c:dLbl>
              <c:idx val="5"/>
              <c:layout>
                <c:manualLayout>
                  <c:x val="-9.3752212986224631E-3"/>
                  <c:y val="0.6012695017723003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9853850174509772"/>
                      <c:h val="0.21467688937568455"/>
                    </c:manualLayout>
                  </c15:layout>
                </c:ext>
                <c:ext xmlns:c16="http://schemas.microsoft.com/office/drawing/2014/chart" uri="{C3380CC4-5D6E-409C-BE32-E72D297353CC}">
                  <c16:uniqueId val="{00000012-CE11-4F32-BD0C-6AB155AB5EAE}"/>
                </c:ext>
              </c:extLst>
            </c:dLbl>
            <c:dLbl>
              <c:idx val="6"/>
              <c:layout>
                <c:manualLayout>
                  <c:x val="0.10256259589606974"/>
                  <c:y val="-5.924054126311976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CE11-4F32-BD0C-6AB155AB5EAE}"/>
                </c:ext>
              </c:extLst>
            </c:dLbl>
            <c:dLbl>
              <c:idx val="7"/>
              <c:layout>
                <c:manualLayout>
                  <c:x val="-0.16490920433660997"/>
                  <c:y val="-9.122888116531983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CE11-4F32-BD0C-6AB155AB5EA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BPDF'!$J$9:$J$16</c:f>
              <c:strCache>
                <c:ptCount val="8"/>
                <c:pt idx="0">
                  <c:v>Net Current Asset</c:v>
                </c:pt>
                <c:pt idx="1">
                  <c:v>TRI Party Repo</c:v>
                </c:pt>
                <c:pt idx="2">
                  <c:v>Certificate of Deposit</c:v>
                </c:pt>
                <c:pt idx="3">
                  <c:v>Corporate Bond</c:v>
                </c:pt>
                <c:pt idx="4">
                  <c:v>Commercial Paper</c:v>
                </c:pt>
                <c:pt idx="5">
                  <c:v>Corporate Debt Market Development Fund</c:v>
                </c:pt>
                <c:pt idx="6">
                  <c:v>Government Bond</c:v>
                </c:pt>
                <c:pt idx="7">
                  <c:v>State Government Bond</c:v>
                </c:pt>
              </c:strCache>
            </c:strRef>
          </c:cat>
          <c:val>
            <c:numRef>
              <c:f>'BANDHAN BPDF'!$K$9:$K$16</c:f>
              <c:numCache>
                <c:formatCode>0.00%</c:formatCode>
                <c:ptCount val="8"/>
                <c:pt idx="0">
                  <c:v>2.0844999999999999E-2</c:v>
                </c:pt>
                <c:pt idx="1">
                  <c:v>7.2259999999999998E-3</c:v>
                </c:pt>
                <c:pt idx="2">
                  <c:v>6.7718E-2</c:v>
                </c:pt>
                <c:pt idx="3">
                  <c:v>0.73315699999999995</c:v>
                </c:pt>
                <c:pt idx="4">
                  <c:v>1.9599999999999999E-2</c:v>
                </c:pt>
                <c:pt idx="5">
                  <c:v>2.4910000000000002E-3</c:v>
                </c:pt>
                <c:pt idx="6">
                  <c:v>0.104481</c:v>
                </c:pt>
                <c:pt idx="7">
                  <c:v>4.4482000000000001E-2</c:v>
                </c:pt>
              </c:numCache>
            </c:numRef>
          </c:val>
          <c:extLst>
            <c:ext xmlns:c16="http://schemas.microsoft.com/office/drawing/2014/chart" uri="{C3380CC4-5D6E-409C-BE32-E72D297353CC}">
              <c16:uniqueId val="{0000000C-CE11-4F32-BD0C-6AB155AB5EA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064163954880373"/>
                  <c:y val="-2.64317180616740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251-4968-A928-DBBB1BA4473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CBF'!$G$8</c:f>
              <c:strCache>
                <c:ptCount val="1"/>
                <c:pt idx="0">
                  <c:v>AAA EQUIVALENT</c:v>
                </c:pt>
              </c:strCache>
            </c:strRef>
          </c:cat>
          <c:val>
            <c:numRef>
              <c:f>'BANDHAN CBF'!$H$8</c:f>
              <c:numCache>
                <c:formatCode>0%</c:formatCode>
                <c:ptCount val="1"/>
                <c:pt idx="0">
                  <c:v>1</c:v>
                </c:pt>
              </c:numCache>
            </c:numRef>
          </c:val>
          <c:extLst>
            <c:ext xmlns:c16="http://schemas.microsoft.com/office/drawing/2014/chart" uri="{C3380CC4-5D6E-409C-BE32-E72D297353CC}">
              <c16:uniqueId val="{0000000C-F251-4968-A928-DBBB1BA4473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CBF'!$K$8</c:f>
              <c:strCache>
                <c:ptCount val="1"/>
                <c:pt idx="0">
                  <c:v>Total</c:v>
                </c:pt>
              </c:strCache>
            </c:strRef>
          </c:tx>
          <c:dLbls>
            <c:dLbl>
              <c:idx val="0"/>
              <c:layout>
                <c:manualLayout>
                  <c:x val="6.3953531504493413E-2"/>
                  <c:y val="8.41084864391951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029-493A-A786-72F42DA0A941}"/>
                </c:ext>
              </c:extLst>
            </c:dLbl>
            <c:dLbl>
              <c:idx val="1"/>
              <c:layout>
                <c:manualLayout>
                  <c:x val="0.1384278945859819"/>
                  <c:y val="-0.122824146981627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4029-493A-A786-72F42DA0A941}"/>
                </c:ext>
              </c:extLst>
            </c:dLbl>
            <c:dLbl>
              <c:idx val="2"/>
              <c:layout>
                <c:manualLayout>
                  <c:x val="0.17525620057664099"/>
                  <c:y val="-8.719160104986876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4029-493A-A786-72F42DA0A941}"/>
                </c:ext>
              </c:extLst>
            </c:dLbl>
            <c:dLbl>
              <c:idx val="3"/>
              <c:layout>
                <c:manualLayout>
                  <c:x val="9.6741135409465676E-2"/>
                  <c:y val="-1.556710411198600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4029-493A-A786-72F42DA0A941}"/>
                </c:ext>
              </c:extLst>
            </c:dLbl>
            <c:dLbl>
              <c:idx val="4"/>
              <c:layout>
                <c:manualLayout>
                  <c:x val="-6.4201385961658433E-2"/>
                  <c:y val="2.377637795275590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4029-493A-A786-72F42DA0A941}"/>
                </c:ext>
              </c:extLst>
            </c:dLbl>
            <c:dLbl>
              <c:idx val="5"/>
              <c:layout>
                <c:manualLayout>
                  <c:x val="-7.2703383972078428E-2"/>
                  <c:y val="0.6345077865266841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9211451887571871"/>
                      <c:h val="0.21777777777777776"/>
                    </c:manualLayout>
                  </c15:layout>
                </c:ext>
                <c:ext xmlns:c16="http://schemas.microsoft.com/office/drawing/2014/chart" uri="{C3380CC4-5D6E-409C-BE32-E72D297353CC}">
                  <c16:uniqueId val="{00000012-4029-493A-A786-72F42DA0A941}"/>
                </c:ext>
              </c:extLst>
            </c:dLbl>
            <c:dLbl>
              <c:idx val="6"/>
              <c:layout>
                <c:manualLayout>
                  <c:x val="-0.11757321822994823"/>
                  <c:y val="-0.1233669291338582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4029-493A-A786-72F42DA0A941}"/>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4029-493A-A786-72F42DA0A941}"/>
                </c:ext>
              </c:extLst>
            </c:dLbl>
            <c:dLbl>
              <c:idx val="8"/>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5-4029-493A-A786-72F42DA0A94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CBF'!$J$9:$J$17</c:f>
              <c:strCache>
                <c:ptCount val="9"/>
                <c:pt idx="0">
                  <c:v>Net Current Asset</c:v>
                </c:pt>
                <c:pt idx="1">
                  <c:v>TRI Party Repo</c:v>
                </c:pt>
                <c:pt idx="2">
                  <c:v>Certificate of Deposit</c:v>
                </c:pt>
                <c:pt idx="3">
                  <c:v>Corporate Bond</c:v>
                </c:pt>
                <c:pt idx="4">
                  <c:v>Commercial Paper</c:v>
                </c:pt>
                <c:pt idx="5">
                  <c:v>Corporate Debt Market Development Fund</c:v>
                </c:pt>
                <c:pt idx="6">
                  <c:v>State Government Bond</c:v>
                </c:pt>
                <c:pt idx="7">
                  <c:v>Treasury Bill</c:v>
                </c:pt>
                <c:pt idx="8">
                  <c:v>Zero Coupon Bond</c:v>
                </c:pt>
              </c:strCache>
            </c:strRef>
          </c:cat>
          <c:val>
            <c:numRef>
              <c:f>'BANDHAN CBF'!$K$9:$K$17</c:f>
              <c:numCache>
                <c:formatCode>0.00%</c:formatCode>
                <c:ptCount val="9"/>
                <c:pt idx="0">
                  <c:v>3.2045999999999998E-2</c:v>
                </c:pt>
                <c:pt idx="1">
                  <c:v>1.3231E-2</c:v>
                </c:pt>
                <c:pt idx="2">
                  <c:v>5.7355000000000003E-2</c:v>
                </c:pt>
                <c:pt idx="3">
                  <c:v>0.70523199999999997</c:v>
                </c:pt>
                <c:pt idx="4">
                  <c:v>8.7924000000000002E-2</c:v>
                </c:pt>
                <c:pt idx="5">
                  <c:v>2.7690000000000002E-3</c:v>
                </c:pt>
                <c:pt idx="6">
                  <c:v>2.6501E-2</c:v>
                </c:pt>
                <c:pt idx="7">
                  <c:v>7.2099999999999997E-2</c:v>
                </c:pt>
                <c:pt idx="8">
                  <c:v>2.8419999999999999E-3</c:v>
                </c:pt>
              </c:numCache>
            </c:numRef>
          </c:val>
          <c:extLst>
            <c:ext xmlns:c16="http://schemas.microsoft.com/office/drawing/2014/chart" uri="{C3380CC4-5D6E-409C-BE32-E72D297353CC}">
              <c16:uniqueId val="{0000000C-4029-493A-A786-72F42DA0A94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2.2118987000286621E-2"/>
                  <c:y val="-1.2432656444260256E-4"/>
                </c:manualLayout>
              </c:layout>
              <c:tx>
                <c:rich>
                  <a:bodyPr wrap="square" lIns="38100" tIns="19050" rIns="38100" bIns="19050" anchor="ctr">
                    <a:spAutoFit/>
                  </a:bodyPr>
                  <a:lstStyle/>
                  <a:p>
                    <a:pPr>
                      <a:defRPr b="0">
                        <a:latin typeface="Arial"/>
                        <a:ea typeface="Arial"/>
                        <a:cs typeface="Arial"/>
                      </a:defRPr>
                    </a:pPr>
                    <a:fld id="{237A605E-1B12-454A-ADE9-ED3EBA1D25BA}" type="CATEGORYNAME">
                      <a:rPr lang="en-US"/>
                      <a:pPr>
                        <a:defRPr b="0">
                          <a:latin typeface="Arial"/>
                          <a:ea typeface="Arial"/>
                          <a:cs typeface="Arial"/>
                        </a:defRPr>
                      </a:pPr>
                      <a:t>[CATEGORY NAME]</a:t>
                    </a:fld>
                    <a:r>
                      <a:rPr lang="en-US" baseline="0"/>
                      <a:t>, 90.50%</a:t>
                    </a:r>
                  </a:p>
                </c:rich>
              </c:tx>
              <c:spPr>
                <a:noFill/>
                <a:ln>
                  <a:noFill/>
                </a:ln>
                <a:effectLst/>
              </c:sp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6476976512839534"/>
                      <c:h val="0.16447368421052633"/>
                    </c:manualLayout>
                  </c15:layout>
                  <c15:dlblFieldTable/>
                  <c15:showDataLabelsRange val="0"/>
                </c:ext>
                <c:ext xmlns:c16="http://schemas.microsoft.com/office/drawing/2014/chart" uri="{C3380CC4-5D6E-409C-BE32-E72D297353CC}">
                  <c16:uniqueId val="{00000000-C919-41C1-9C5D-3D3E011A4B81}"/>
                </c:ext>
              </c:extLst>
            </c:dLbl>
            <c:dLbl>
              <c:idx val="1"/>
              <c:layout>
                <c:manualLayout>
                  <c:x val="-1.551560471429294E-2"/>
                  <c:y val="-4.385654095869593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1-C919-41C1-9C5D-3D3E011A4B8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FRF'!$G$8:$G$9</c:f>
              <c:strCache>
                <c:ptCount val="2"/>
                <c:pt idx="0">
                  <c:v>AAA EQUIVALENT</c:v>
                </c:pt>
                <c:pt idx="1">
                  <c:v>AA+</c:v>
                </c:pt>
              </c:strCache>
            </c:strRef>
          </c:cat>
          <c:val>
            <c:numRef>
              <c:f>'BANDHAN FRF'!$H$8:$H$9</c:f>
              <c:numCache>
                <c:formatCode>0.00%</c:formatCode>
                <c:ptCount val="2"/>
                <c:pt idx="0">
                  <c:v>0.90497899999999998</c:v>
                </c:pt>
                <c:pt idx="1">
                  <c:v>9.5020999999999994E-2</c:v>
                </c:pt>
              </c:numCache>
            </c:numRef>
          </c:val>
          <c:extLst>
            <c:ext xmlns:c16="http://schemas.microsoft.com/office/drawing/2014/chart" uri="{C3380CC4-5D6E-409C-BE32-E72D297353CC}">
              <c16:uniqueId val="{00000002-C919-41C1-9C5D-3D3E011A4B8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FRF'!$K$8</c:f>
              <c:strCache>
                <c:ptCount val="1"/>
                <c:pt idx="0">
                  <c:v>Total</c:v>
                </c:pt>
              </c:strCache>
            </c:strRef>
          </c:tx>
          <c:dLbls>
            <c:dLbl>
              <c:idx val="0"/>
              <c:layout>
                <c:manualLayout>
                  <c:x val="9.5874751324874205E-2"/>
                  <c:y val="7.183578035278341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B741-4BF0-B4D9-9744A8A56DBA}"/>
                </c:ext>
              </c:extLst>
            </c:dLbl>
            <c:dLbl>
              <c:idx val="1"/>
              <c:layout>
                <c:manualLayout>
                  <c:x val="0.24167778390758479"/>
                  <c:y val="1.045868720558399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1-B741-4BF0-B4D9-9744A8A56DBA}"/>
                </c:ext>
              </c:extLst>
            </c:dLbl>
            <c:dLbl>
              <c:idx val="2"/>
              <c:layout>
                <c:manualLayout>
                  <c:x val="-5.0912114246588744E-2"/>
                  <c:y val="0.5796069868995633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2-B741-4BF0-B4D9-9744A8A56DBA}"/>
                </c:ext>
              </c:extLst>
            </c:dLbl>
            <c:dLbl>
              <c:idx val="3"/>
              <c:layout>
                <c:manualLayout>
                  <c:x val="-0.10844762177747054"/>
                  <c:y val="9.489736272048963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3-B741-4BF0-B4D9-9744A8A56DBA}"/>
                </c:ext>
              </c:extLst>
            </c:dLbl>
            <c:dLbl>
              <c:idx val="4"/>
              <c:layout>
                <c:manualLayout>
                  <c:x val="-5.1006486450340206E-2"/>
                  <c:y val="-6.175463329092596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4-B741-4BF0-B4D9-9744A8A56DBA}"/>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5-B741-4BF0-B4D9-9744A8A56DBA}"/>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6-B741-4BF0-B4D9-9744A8A56DBA}"/>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7-B741-4BF0-B4D9-9744A8A56DB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FRF'!$J$9:$J$16</c:f>
              <c:strCache>
                <c:ptCount val="7"/>
                <c:pt idx="0">
                  <c:v>Net Current Asset</c:v>
                </c:pt>
                <c:pt idx="1">
                  <c:v>TRI Party Repo</c:v>
                </c:pt>
                <c:pt idx="2">
                  <c:v>Certificate of Deposit</c:v>
                </c:pt>
                <c:pt idx="3">
                  <c:v>Corporate Bond</c:v>
                </c:pt>
                <c:pt idx="4">
                  <c:v>Commercial Paper</c:v>
                </c:pt>
                <c:pt idx="5">
                  <c:v>Corporate Debt Market Development Fund</c:v>
                </c:pt>
                <c:pt idx="6">
                  <c:v>Government Bond</c:v>
                </c:pt>
              </c:strCache>
            </c:strRef>
          </c:cat>
          <c:val>
            <c:numRef>
              <c:f>'BANDHAN FRF'!$K$9:$K$16</c:f>
              <c:numCache>
                <c:formatCode>0.00%</c:formatCode>
                <c:ptCount val="8"/>
                <c:pt idx="0">
                  <c:v>1.023E-2</c:v>
                </c:pt>
                <c:pt idx="1">
                  <c:v>1.5027E-2</c:v>
                </c:pt>
                <c:pt idx="2">
                  <c:v>0.279831</c:v>
                </c:pt>
                <c:pt idx="3">
                  <c:v>0.491004</c:v>
                </c:pt>
                <c:pt idx="4">
                  <c:v>9.4452999999999995E-2</c:v>
                </c:pt>
                <c:pt idx="5">
                  <c:v>4.1859999999999996E-3</c:v>
                </c:pt>
                <c:pt idx="6">
                  <c:v>0.105269</c:v>
                </c:pt>
              </c:numCache>
            </c:numRef>
          </c:val>
          <c:extLst>
            <c:ext xmlns:c16="http://schemas.microsoft.com/office/drawing/2014/chart" uri="{C3380CC4-5D6E-409C-BE32-E72D297353CC}">
              <c16:uniqueId val="{00000008-B741-4BF0-B4D9-9744A8A56DB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15060226947006355"/>
                  <c:y val="-0.4149835235353290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462-474E-8F2D-552A7FBBD4D1}"/>
                </c:ext>
              </c:extLst>
            </c:dLbl>
            <c:dLbl>
              <c:idx val="1"/>
              <c:layout>
                <c:manualLayout>
                  <c:x val="2.7144025358714519E-2"/>
                  <c:y val="-0.2040844288737035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4763914414338464"/>
                      <c:h val="0.16519823788546256"/>
                    </c:manualLayout>
                  </c15:layout>
                </c:ext>
                <c:ext xmlns:c16="http://schemas.microsoft.com/office/drawing/2014/chart" uri="{C3380CC4-5D6E-409C-BE32-E72D297353CC}">
                  <c16:uniqueId val="{0000000E-1462-474E-8F2D-552A7FBBD4D1}"/>
                </c:ext>
              </c:extLst>
            </c:dLbl>
            <c:dLbl>
              <c:idx val="2"/>
              <c:layout>
                <c:manualLayout>
                  <c:x val="0.13208796304102244"/>
                  <c:y val="-2.918484858996149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1462-474E-8F2D-552A7FBBD4D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CRF'!$G$8:$G$10</c:f>
              <c:strCache>
                <c:ptCount val="3"/>
                <c:pt idx="0">
                  <c:v>AA</c:v>
                </c:pt>
                <c:pt idx="1">
                  <c:v>AAA EQUIVALENT</c:v>
                </c:pt>
                <c:pt idx="2">
                  <c:v>AA+</c:v>
                </c:pt>
              </c:strCache>
            </c:strRef>
          </c:cat>
          <c:val>
            <c:numRef>
              <c:f>'BANDHAN CRF'!$H$8:$H$10</c:f>
              <c:numCache>
                <c:formatCode>0.00%</c:formatCode>
                <c:ptCount val="3"/>
                <c:pt idx="0">
                  <c:v>0.59456699999999996</c:v>
                </c:pt>
                <c:pt idx="1">
                  <c:v>0.33809699999999998</c:v>
                </c:pt>
                <c:pt idx="2">
                  <c:v>6.7335999999999993E-2</c:v>
                </c:pt>
              </c:numCache>
            </c:numRef>
          </c:val>
          <c:extLst>
            <c:ext xmlns:c16="http://schemas.microsoft.com/office/drawing/2014/chart" uri="{C3380CC4-5D6E-409C-BE32-E72D297353CC}">
              <c16:uniqueId val="{0000000C-1462-474E-8F2D-552A7FBBD4D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CRF'!$K$8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183-485A-931F-28171016F887}"/>
                </c:ext>
              </c:extLst>
            </c:dLbl>
            <c:dLbl>
              <c:idx val="1"/>
              <c:layout>
                <c:manualLayout>
                  <c:x val="9.93573488003507E-2"/>
                  <c:y val="1.977883912051979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4183-485A-931F-28171016F887}"/>
                </c:ext>
              </c:extLst>
            </c:dLbl>
            <c:dLbl>
              <c:idx val="2"/>
              <c:layout>
                <c:manualLayout>
                  <c:x val="-0.10910334013387513"/>
                  <c:y val="0.1802831203476614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4183-485A-931F-28171016F887}"/>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4183-485A-931F-28171016F887}"/>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4183-485A-931F-28171016F887}"/>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4183-485A-931F-28171016F88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CRF'!$J$9:$J$14</c:f>
              <c:strCache>
                <c:ptCount val="6"/>
                <c:pt idx="0">
                  <c:v>Net Current Asset</c:v>
                </c:pt>
                <c:pt idx="1">
                  <c:v>TRI Party Repo</c:v>
                </c:pt>
                <c:pt idx="2">
                  <c:v>Corporate Bond</c:v>
                </c:pt>
                <c:pt idx="3">
                  <c:v>Corporate Debt Market Development Fund</c:v>
                </c:pt>
                <c:pt idx="4">
                  <c:v>Government Bond</c:v>
                </c:pt>
                <c:pt idx="5">
                  <c:v>PTC</c:v>
                </c:pt>
              </c:strCache>
            </c:strRef>
          </c:cat>
          <c:val>
            <c:numRef>
              <c:f>'BANDHAN CRF'!$K$9:$K$14</c:f>
              <c:numCache>
                <c:formatCode>0.00%</c:formatCode>
                <c:ptCount val="6"/>
                <c:pt idx="0">
                  <c:v>2.3529000000000001E-2</c:v>
                </c:pt>
                <c:pt idx="1">
                  <c:v>7.2110000000000004E-3</c:v>
                </c:pt>
                <c:pt idx="2">
                  <c:v>0.66190300000000002</c:v>
                </c:pt>
                <c:pt idx="3">
                  <c:v>3.6960000000000001E-3</c:v>
                </c:pt>
                <c:pt idx="4">
                  <c:v>0.22898199999999999</c:v>
                </c:pt>
                <c:pt idx="5">
                  <c:v>7.4678999999999995E-2</c:v>
                </c:pt>
              </c:numCache>
            </c:numRef>
          </c:val>
          <c:extLst>
            <c:ext xmlns:c16="http://schemas.microsoft.com/office/drawing/2014/chart" uri="{C3380CC4-5D6E-409C-BE32-E72D297353CC}">
              <c16:uniqueId val="{0000000C-4183-485A-931F-28171016F88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993500143317201"/>
                  <c:y val="-2.741228070175438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80C-44F2-A2AE-1E0379BCA15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GSF-IP'!$G$8</c:f>
              <c:strCache>
                <c:ptCount val="1"/>
                <c:pt idx="0">
                  <c:v>AAA EQUIVALENT</c:v>
                </c:pt>
              </c:strCache>
            </c:strRef>
          </c:cat>
          <c:val>
            <c:numRef>
              <c:f>'BANDHAN GSF-IP'!$H$8</c:f>
              <c:numCache>
                <c:formatCode>0%</c:formatCode>
                <c:ptCount val="1"/>
                <c:pt idx="0">
                  <c:v>1</c:v>
                </c:pt>
              </c:numCache>
            </c:numRef>
          </c:val>
          <c:extLst>
            <c:ext xmlns:c16="http://schemas.microsoft.com/office/drawing/2014/chart" uri="{C3380CC4-5D6E-409C-BE32-E72D297353CC}">
              <c16:uniqueId val="{0000000C-280C-44F2-A2AE-1E0379BCA15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GSF-IP'!$K$8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9C5-4565-8487-3F86BC2F49C3}"/>
                </c:ext>
              </c:extLst>
            </c:dLbl>
            <c:dLbl>
              <c:idx val="1"/>
              <c:layout>
                <c:manualLayout>
                  <c:x val="8.9830717091840956E-2"/>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29C5-4565-8487-3F86BC2F49C3}"/>
                </c:ext>
              </c:extLst>
            </c:dLbl>
            <c:dLbl>
              <c:idx val="2"/>
              <c:layout>
                <c:manualLayout>
                  <c:x val="-0.20314463234922187"/>
                  <c:y val="-3.026351706036745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29C5-4565-8487-3F86BC2F49C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GSF-IP'!$J$9:$J$11</c:f>
              <c:strCache>
                <c:ptCount val="3"/>
                <c:pt idx="0">
                  <c:v>Net Current Asset</c:v>
                </c:pt>
                <c:pt idx="1">
                  <c:v>TRI Party Repo</c:v>
                </c:pt>
                <c:pt idx="2">
                  <c:v>Government Bond</c:v>
                </c:pt>
              </c:strCache>
            </c:strRef>
          </c:cat>
          <c:val>
            <c:numRef>
              <c:f>'BANDHAN GSF-IP'!$K$9:$K$11</c:f>
              <c:numCache>
                <c:formatCode>0.00%</c:formatCode>
                <c:ptCount val="3"/>
                <c:pt idx="0">
                  <c:v>1.6938000000000002E-2</c:v>
                </c:pt>
                <c:pt idx="1">
                  <c:v>6.7349999999999997E-3</c:v>
                </c:pt>
                <c:pt idx="2">
                  <c:v>0.97632699999999994</c:v>
                </c:pt>
              </c:numCache>
            </c:numRef>
          </c:val>
          <c:extLst>
            <c:ext xmlns:c16="http://schemas.microsoft.com/office/drawing/2014/chart" uri="{C3380CC4-5D6E-409C-BE32-E72D297353CC}">
              <c16:uniqueId val="{0000000C-29C5-4565-8487-3F86BC2F49C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922836331754035"/>
                  <c:y val="-2.302631578947368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DEB-4FCB-ADC6-9B8B75414C9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CMP'!$G$8</c:f>
              <c:strCache>
                <c:ptCount val="1"/>
                <c:pt idx="0">
                  <c:v>AAA EQUIVALENT</c:v>
                </c:pt>
              </c:strCache>
            </c:strRef>
          </c:cat>
          <c:val>
            <c:numRef>
              <c:f>'BANDHAN CMP'!$H$8</c:f>
              <c:numCache>
                <c:formatCode>0%</c:formatCode>
                <c:ptCount val="1"/>
                <c:pt idx="0">
                  <c:v>1</c:v>
                </c:pt>
              </c:numCache>
            </c:numRef>
          </c:val>
          <c:extLst>
            <c:ext xmlns:c16="http://schemas.microsoft.com/office/drawing/2014/chart" uri="{C3380CC4-5D6E-409C-BE32-E72D297353CC}">
              <c16:uniqueId val="{0000000C-8DEB-4FCB-ADC6-9B8B75414C9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CMP'!$K$8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B4C-423A-A3F6-FADF567F7053}"/>
                </c:ext>
              </c:extLst>
            </c:dLbl>
            <c:dLbl>
              <c:idx val="1"/>
              <c:layout>
                <c:manualLayout>
                  <c:x val="8.7380498743866789E-2"/>
                  <c:y val="-8.580227471566054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EB4C-423A-A3F6-FADF567F7053}"/>
                </c:ext>
              </c:extLst>
            </c:dLbl>
            <c:dLbl>
              <c:idx val="2"/>
              <c:layout>
                <c:manualLayout>
                  <c:x val="-0.17853251614426141"/>
                  <c:y val="-2.915240594925634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EB4C-423A-A3F6-FADF567F705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CMP'!$J$9:$J$11</c:f>
              <c:strCache>
                <c:ptCount val="3"/>
                <c:pt idx="0">
                  <c:v>Net Current Asset</c:v>
                </c:pt>
                <c:pt idx="1">
                  <c:v>TRI Party Repo</c:v>
                </c:pt>
                <c:pt idx="2">
                  <c:v>Government Bond</c:v>
                </c:pt>
              </c:strCache>
            </c:strRef>
          </c:cat>
          <c:val>
            <c:numRef>
              <c:f>'BANDHAN CMP'!$K$9:$K$11</c:f>
              <c:numCache>
                <c:formatCode>0.00%</c:formatCode>
                <c:ptCount val="3"/>
                <c:pt idx="0">
                  <c:v>2.8434999999999998E-2</c:v>
                </c:pt>
                <c:pt idx="1">
                  <c:v>5.3210000000000002E-3</c:v>
                </c:pt>
                <c:pt idx="2">
                  <c:v>0.96624399999999999</c:v>
                </c:pt>
              </c:numCache>
            </c:numRef>
          </c:val>
          <c:extLst>
            <c:ext xmlns:c16="http://schemas.microsoft.com/office/drawing/2014/chart" uri="{C3380CC4-5D6E-409C-BE32-E72D297353CC}">
              <c16:uniqueId val="{0000000C-EB4C-423A-A3F6-FADF567F705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278296717193008"/>
                  <c:y val="-2.741228070175438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38E-4BCB-836E-5C3C969E4FB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GIF26'!$G$8</c:f>
              <c:strCache>
                <c:ptCount val="1"/>
                <c:pt idx="0">
                  <c:v>AAA EQUIVALENT</c:v>
                </c:pt>
              </c:strCache>
            </c:strRef>
          </c:cat>
          <c:val>
            <c:numRef>
              <c:f>'BANDHAN GIF26'!$H$8</c:f>
              <c:numCache>
                <c:formatCode>0%</c:formatCode>
                <c:ptCount val="1"/>
                <c:pt idx="0">
                  <c:v>1</c:v>
                </c:pt>
              </c:numCache>
            </c:numRef>
          </c:val>
          <c:extLst>
            <c:ext xmlns:c16="http://schemas.microsoft.com/office/drawing/2014/chart" uri="{C3380CC4-5D6E-409C-BE32-E72D297353CC}">
              <c16:uniqueId val="{0000000C-738E-4BCB-836E-5C3C969E4FB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GIF26'!$K$8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D86-4205-94D7-C87A4120B035}"/>
                </c:ext>
              </c:extLst>
            </c:dLbl>
            <c:dLbl>
              <c:idx val="1"/>
              <c:layout>
                <c:manualLayout>
                  <c:x val="0.10480483569104192"/>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8D86-4205-94D7-C87A4120B035}"/>
                </c:ext>
              </c:extLst>
            </c:dLbl>
            <c:dLbl>
              <c:idx val="2"/>
              <c:layout>
                <c:manualLayout>
                  <c:x val="-0.20404036486873831"/>
                  <c:y val="-2.470796150481189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8D86-4205-94D7-C87A4120B03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GIF26'!$J$9:$J$11</c:f>
              <c:strCache>
                <c:ptCount val="3"/>
                <c:pt idx="0">
                  <c:v>Net Current Asset</c:v>
                </c:pt>
                <c:pt idx="1">
                  <c:v>TRI Party Repo</c:v>
                </c:pt>
                <c:pt idx="2">
                  <c:v>Government Bond</c:v>
                </c:pt>
              </c:strCache>
            </c:strRef>
          </c:cat>
          <c:val>
            <c:numRef>
              <c:f>'BANDHAN GIF26'!$K$9:$K$11</c:f>
              <c:numCache>
                <c:formatCode>0.00%</c:formatCode>
                <c:ptCount val="3"/>
                <c:pt idx="0">
                  <c:v>1.6560999999999999E-2</c:v>
                </c:pt>
                <c:pt idx="1">
                  <c:v>1.0093E-2</c:v>
                </c:pt>
                <c:pt idx="2">
                  <c:v>0.97334600000000004</c:v>
                </c:pt>
              </c:numCache>
            </c:numRef>
          </c:val>
          <c:extLst>
            <c:ext xmlns:c16="http://schemas.microsoft.com/office/drawing/2014/chart" uri="{C3380CC4-5D6E-409C-BE32-E72D297353CC}">
              <c16:uniqueId val="{0000000C-8D86-4205-94D7-C87A4120B03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207632905629837"/>
                  <c:y val="-3.179824561403508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2BE-4E7F-8BEF-1941DF91654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GIF2027'!$G$8</c:f>
              <c:strCache>
                <c:ptCount val="1"/>
                <c:pt idx="0">
                  <c:v>AAA EQUIVALENT</c:v>
                </c:pt>
              </c:strCache>
            </c:strRef>
          </c:cat>
          <c:val>
            <c:numRef>
              <c:f>'BANDHAN GIF2027'!$H$8</c:f>
              <c:numCache>
                <c:formatCode>0%</c:formatCode>
                <c:ptCount val="1"/>
                <c:pt idx="0">
                  <c:v>1</c:v>
                </c:pt>
              </c:numCache>
            </c:numRef>
          </c:val>
          <c:extLst>
            <c:ext xmlns:c16="http://schemas.microsoft.com/office/drawing/2014/chart" uri="{C3380CC4-5D6E-409C-BE32-E72D297353CC}">
              <c16:uniqueId val="{0000000C-92BE-4E7F-8BEF-1941DF91654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GIF2027'!$K$8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16D-43CE-B822-67832DE41265}"/>
                </c:ext>
              </c:extLst>
            </c:dLbl>
            <c:dLbl>
              <c:idx val="1"/>
              <c:layout>
                <c:manualLayout>
                  <c:x val="0.16330489470400783"/>
                  <c:y val="-6.033595800524934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716D-43CE-B822-67832DE41265}"/>
                </c:ext>
              </c:extLst>
            </c:dLbl>
            <c:dLbl>
              <c:idx val="2"/>
              <c:layout>
                <c:manualLayout>
                  <c:x val="-0.26361741051105231"/>
                  <c:y val="-2.581907261592300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716D-43CE-B822-67832DE4126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GIF2027'!$J$9:$J$11</c:f>
              <c:strCache>
                <c:ptCount val="3"/>
                <c:pt idx="0">
                  <c:v>Net Current Asset</c:v>
                </c:pt>
                <c:pt idx="1">
                  <c:v>TRI Party Repo</c:v>
                </c:pt>
                <c:pt idx="2">
                  <c:v>Government Bond</c:v>
                </c:pt>
              </c:strCache>
            </c:strRef>
          </c:cat>
          <c:val>
            <c:numRef>
              <c:f>'BANDHAN GIF2027'!$K$9:$K$11</c:f>
              <c:numCache>
                <c:formatCode>0.00%</c:formatCode>
                <c:ptCount val="3"/>
                <c:pt idx="0">
                  <c:v>6.4799999999999996E-3</c:v>
                </c:pt>
                <c:pt idx="1">
                  <c:v>1.0429000000000001E-2</c:v>
                </c:pt>
                <c:pt idx="2">
                  <c:v>0.98309100000000005</c:v>
                </c:pt>
              </c:numCache>
            </c:numRef>
          </c:val>
          <c:extLst>
            <c:ext xmlns:c16="http://schemas.microsoft.com/office/drawing/2014/chart" uri="{C3380CC4-5D6E-409C-BE32-E72D297353CC}">
              <c16:uniqueId val="{0000000C-716D-43CE-B822-67832DE4126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0139110421689785"/>
                  <c:y val="-5.482456140350876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742-4B47-B966-1CED041CF3A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GIF2028'!$G$8</c:f>
              <c:strCache>
                <c:ptCount val="1"/>
                <c:pt idx="0">
                  <c:v>AAA EQUIVALENT</c:v>
                </c:pt>
              </c:strCache>
            </c:strRef>
          </c:cat>
          <c:val>
            <c:numRef>
              <c:f>'BANDHAN GIF2028'!$H$8</c:f>
              <c:numCache>
                <c:formatCode>0%</c:formatCode>
                <c:ptCount val="1"/>
                <c:pt idx="0">
                  <c:v>1</c:v>
                </c:pt>
              </c:numCache>
            </c:numRef>
          </c:val>
          <c:extLst>
            <c:ext xmlns:c16="http://schemas.microsoft.com/office/drawing/2014/chart" uri="{C3380CC4-5D6E-409C-BE32-E72D297353CC}">
              <c16:uniqueId val="{0000000C-8742-4B47-B966-1CED041CF3A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GIF2028'!$K$8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F11-40E6-A720-99C35654E836}"/>
                </c:ext>
              </c:extLst>
            </c:dLbl>
            <c:dLbl>
              <c:idx val="1"/>
              <c:layout>
                <c:manualLayout>
                  <c:x val="9.6481141142153726E-2"/>
                  <c:y val="-5.246894138232720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BF11-40E6-A720-99C35654E836}"/>
                </c:ext>
              </c:extLst>
            </c:dLbl>
            <c:dLbl>
              <c:idx val="2"/>
              <c:layout>
                <c:manualLayout>
                  <c:x val="-0.17077020351042843"/>
                  <c:y val="-4.693018372703412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BF11-40E6-A720-99C35654E83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GIF2028'!$J$9:$J$11</c:f>
              <c:strCache>
                <c:ptCount val="3"/>
                <c:pt idx="0">
                  <c:v>Net Current Asset</c:v>
                </c:pt>
                <c:pt idx="1">
                  <c:v>TRI Party Repo</c:v>
                </c:pt>
                <c:pt idx="2">
                  <c:v>Government Bond</c:v>
                </c:pt>
              </c:strCache>
            </c:strRef>
          </c:cat>
          <c:val>
            <c:numRef>
              <c:f>'BANDHAN GIF2028'!$K$9:$K$11</c:f>
              <c:numCache>
                <c:formatCode>0.00%</c:formatCode>
                <c:ptCount val="3"/>
                <c:pt idx="0">
                  <c:v>2.7855999999999999E-2</c:v>
                </c:pt>
                <c:pt idx="1">
                  <c:v>6.4980000000000003E-3</c:v>
                </c:pt>
                <c:pt idx="2">
                  <c:v>0.965646</c:v>
                </c:pt>
              </c:numCache>
            </c:numRef>
          </c:val>
          <c:extLst>
            <c:ext xmlns:c16="http://schemas.microsoft.com/office/drawing/2014/chart" uri="{C3380CC4-5D6E-409C-BE32-E72D297353CC}">
              <c16:uniqueId val="{0000000C-BF11-40E6-A720-99C35654E83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3511018563793"/>
                  <c:y val="-1.864035087719298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27B-4957-9B25-C375A9DE259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GIF32'!$G$8</c:f>
              <c:strCache>
                <c:ptCount val="1"/>
                <c:pt idx="0">
                  <c:v>AAA EQUIVALENT</c:v>
                </c:pt>
              </c:strCache>
            </c:strRef>
          </c:cat>
          <c:val>
            <c:numRef>
              <c:f>'BANDHAN GIF32'!$H$8</c:f>
              <c:numCache>
                <c:formatCode>0%</c:formatCode>
                <c:ptCount val="1"/>
                <c:pt idx="0">
                  <c:v>1</c:v>
                </c:pt>
              </c:numCache>
            </c:numRef>
          </c:val>
          <c:extLst>
            <c:ext xmlns:c16="http://schemas.microsoft.com/office/drawing/2014/chart" uri="{C3380CC4-5D6E-409C-BE32-E72D297353CC}">
              <c16:uniqueId val="{0000000C-327B-4957-9B25-C375A9DE259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GIF32'!$K$8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0DB-4AEF-8836-839D2F279D7E}"/>
                </c:ext>
              </c:extLst>
            </c:dLbl>
            <c:dLbl>
              <c:idx val="1"/>
              <c:layout>
                <c:manualLayout>
                  <c:x val="9.5293294440978601E-2"/>
                  <c:y val="-4.559160104986876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90DB-4AEF-8836-839D2F279D7E}"/>
                </c:ext>
              </c:extLst>
            </c:dLbl>
            <c:dLbl>
              <c:idx val="2"/>
              <c:layout>
                <c:manualLayout>
                  <c:x val="-0.20149758046839433"/>
                  <c:y val="-3.701907261592300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90DB-4AEF-8836-839D2F279D7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GIF32'!$J$9:$J$11</c:f>
              <c:strCache>
                <c:ptCount val="3"/>
                <c:pt idx="0">
                  <c:v>Net Current Asset</c:v>
                </c:pt>
                <c:pt idx="1">
                  <c:v>TRI Party Repo</c:v>
                </c:pt>
                <c:pt idx="2">
                  <c:v>Government Bond</c:v>
                </c:pt>
              </c:strCache>
            </c:strRef>
          </c:cat>
          <c:val>
            <c:numRef>
              <c:f>'BANDHAN GIF32'!$K$9:$K$11</c:f>
              <c:numCache>
                <c:formatCode>0.00%</c:formatCode>
                <c:ptCount val="3"/>
                <c:pt idx="0">
                  <c:v>2.8920999999999999E-2</c:v>
                </c:pt>
                <c:pt idx="1">
                  <c:v>1.7887E-2</c:v>
                </c:pt>
                <c:pt idx="2">
                  <c:v>0.95319200000000004</c:v>
                </c:pt>
              </c:numCache>
            </c:numRef>
          </c:val>
          <c:extLst>
            <c:ext xmlns:c16="http://schemas.microsoft.com/office/drawing/2014/chart" uri="{C3380CC4-5D6E-409C-BE32-E72D297353CC}">
              <c16:uniqueId val="{0000000C-90DB-4AEF-8836-839D2F279D7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993500143317201"/>
                  <c:y val="-2.729257641921397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EFA-4DD5-9629-3A9EDD52176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SDLGIF26'!$G$8</c:f>
              <c:strCache>
                <c:ptCount val="1"/>
                <c:pt idx="0">
                  <c:v>AAA EQUIVALENT</c:v>
                </c:pt>
              </c:strCache>
            </c:strRef>
          </c:cat>
          <c:val>
            <c:numRef>
              <c:f>'BANDHAN SDLGIF26'!$H$8</c:f>
              <c:numCache>
                <c:formatCode>0%</c:formatCode>
                <c:ptCount val="1"/>
                <c:pt idx="0">
                  <c:v>1</c:v>
                </c:pt>
              </c:numCache>
            </c:numRef>
          </c:val>
          <c:extLst>
            <c:ext xmlns:c16="http://schemas.microsoft.com/office/drawing/2014/chart" uri="{C3380CC4-5D6E-409C-BE32-E72D297353CC}">
              <c16:uniqueId val="{0000000C-AEFA-4DD5-9629-3A9EDD52176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SDLGIF26'!$K$8</c:f>
              <c:strCache>
                <c:ptCount val="1"/>
                <c:pt idx="0">
                  <c:v>Total</c:v>
                </c:pt>
              </c:strCache>
            </c:strRef>
          </c:tx>
          <c:dLbls>
            <c:dLbl>
              <c:idx val="0"/>
              <c:layout>
                <c:manualLayout>
                  <c:x val="-0.20841179247668987"/>
                  <c:y val="-1.936692913385826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C3D-45F2-A729-2B96D6386FAC}"/>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8C3D-45F2-A729-2B96D6386FAC}"/>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8C3D-45F2-A729-2B96D6386FAC}"/>
                </c:ext>
              </c:extLst>
            </c:dLbl>
            <c:dLbl>
              <c:idx val="3"/>
              <c:layout>
                <c:manualLayout>
                  <c:x val="1.1019828356573202E-2"/>
                  <c:y val="6.829641294838145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8C3D-45F2-A729-2B96D6386FA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SDLGIF26'!$J$9:$J$12</c:f>
              <c:strCache>
                <c:ptCount val="4"/>
                <c:pt idx="0">
                  <c:v>Net Current Asset</c:v>
                </c:pt>
                <c:pt idx="1">
                  <c:v>TRI Party Repo</c:v>
                </c:pt>
                <c:pt idx="2">
                  <c:v>Government Bond</c:v>
                </c:pt>
                <c:pt idx="3">
                  <c:v>State Government Bond</c:v>
                </c:pt>
              </c:strCache>
            </c:strRef>
          </c:cat>
          <c:val>
            <c:numRef>
              <c:f>'BANDHAN SDLGIF26'!$K$9:$K$12</c:f>
              <c:numCache>
                <c:formatCode>0.00%</c:formatCode>
                <c:ptCount val="4"/>
                <c:pt idx="0">
                  <c:v>1.5845999999999999E-2</c:v>
                </c:pt>
                <c:pt idx="1">
                  <c:v>3.5958999999999998E-2</c:v>
                </c:pt>
                <c:pt idx="2">
                  <c:v>0.131912</c:v>
                </c:pt>
                <c:pt idx="3">
                  <c:v>0.81628299999999998</c:v>
                </c:pt>
              </c:numCache>
            </c:numRef>
          </c:val>
          <c:extLst>
            <c:ext xmlns:c16="http://schemas.microsoft.com/office/drawing/2014/chart" uri="{C3380CC4-5D6E-409C-BE32-E72D297353CC}">
              <c16:uniqueId val="{0000000C-8C3D-45F2-A729-2B96D6386FA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1852172520190863"/>
                  <c:y val="-1.419213973799126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1CB-4A3A-B9D2-C6950BBEA22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SDLGIF27'!$G$8</c:f>
              <c:strCache>
                <c:ptCount val="1"/>
                <c:pt idx="0">
                  <c:v>AAA EQUIVALENT</c:v>
                </c:pt>
              </c:strCache>
            </c:strRef>
          </c:cat>
          <c:val>
            <c:numRef>
              <c:f>'BANDHAN SDLGIF27'!$H$8</c:f>
              <c:numCache>
                <c:formatCode>0%</c:formatCode>
                <c:ptCount val="1"/>
                <c:pt idx="0">
                  <c:v>1</c:v>
                </c:pt>
              </c:numCache>
            </c:numRef>
          </c:val>
          <c:extLst>
            <c:ext xmlns:c16="http://schemas.microsoft.com/office/drawing/2014/chart" uri="{C3380CC4-5D6E-409C-BE32-E72D297353CC}">
              <c16:uniqueId val="{0000000C-C1CB-4A3A-B9D2-C6950BBEA22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SDLGIF27'!$K$8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3E6-43B5-8413-CD0BA3D0221A}"/>
                </c:ext>
              </c:extLst>
            </c:dLbl>
            <c:dLbl>
              <c:idx val="1"/>
              <c:layout>
                <c:manualLayout>
                  <c:x val="4.7143772446003138E-2"/>
                  <c:y val="-1.216797900262467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23E6-43B5-8413-CD0BA3D0221A}"/>
                </c:ext>
              </c:extLst>
            </c:dLbl>
            <c:dLbl>
              <c:idx val="2"/>
              <c:layout>
                <c:manualLayout>
                  <c:x val="3.9792611576657845E-2"/>
                  <c:y val="-6.815258092738406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23E6-43B5-8413-CD0BA3D0221A}"/>
                </c:ext>
              </c:extLst>
            </c:dLbl>
            <c:dLbl>
              <c:idx val="3"/>
              <c:layout>
                <c:manualLayout>
                  <c:x val="4.367507460924986E-2"/>
                  <c:y val="0.1326743657042869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23E6-43B5-8413-CD0BA3D0221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SDLGIF27'!$J$9:$J$12</c:f>
              <c:strCache>
                <c:ptCount val="4"/>
                <c:pt idx="0">
                  <c:v>Net Current Asset</c:v>
                </c:pt>
                <c:pt idx="1">
                  <c:v>TRI Party Repo</c:v>
                </c:pt>
                <c:pt idx="2">
                  <c:v>Government Bond</c:v>
                </c:pt>
                <c:pt idx="3">
                  <c:v>State Government Bond</c:v>
                </c:pt>
              </c:strCache>
            </c:strRef>
          </c:cat>
          <c:val>
            <c:numRef>
              <c:f>'BANDHAN SDLGIF27'!$K$9:$K$12</c:f>
              <c:numCache>
                <c:formatCode>0.00%</c:formatCode>
                <c:ptCount val="4"/>
                <c:pt idx="0">
                  <c:v>2.1101000000000002E-2</c:v>
                </c:pt>
                <c:pt idx="1">
                  <c:v>3.0166999999999999E-2</c:v>
                </c:pt>
                <c:pt idx="2">
                  <c:v>0.182222</c:v>
                </c:pt>
                <c:pt idx="3">
                  <c:v>0.76651000000000002</c:v>
                </c:pt>
              </c:numCache>
            </c:numRef>
          </c:val>
          <c:extLst>
            <c:ext xmlns:c16="http://schemas.microsoft.com/office/drawing/2014/chart" uri="{C3380CC4-5D6E-409C-BE32-E72D297353CC}">
              <c16:uniqueId val="{0000000C-23E6-43B5-8413-CD0BA3D0221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280438044816134"/>
                  <c:y val="-4.912663755458514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D1E-4AF5-939D-20E23C4A68E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SDLGIF32'!$G$8</c:f>
              <c:strCache>
                <c:ptCount val="1"/>
                <c:pt idx="0">
                  <c:v>AAA EQUIVALENT</c:v>
                </c:pt>
              </c:strCache>
            </c:strRef>
          </c:cat>
          <c:val>
            <c:numRef>
              <c:f>'BANDHAN SDLGIF32'!$H$8</c:f>
              <c:numCache>
                <c:formatCode>0%</c:formatCode>
                <c:ptCount val="1"/>
                <c:pt idx="0">
                  <c:v>1</c:v>
                </c:pt>
              </c:numCache>
            </c:numRef>
          </c:val>
          <c:extLst>
            <c:ext xmlns:c16="http://schemas.microsoft.com/office/drawing/2014/chart" uri="{C3380CC4-5D6E-409C-BE32-E72D297353CC}">
              <c16:uniqueId val="{0000000C-5D1E-4AF5-939D-20E23C4A68E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SDLGIF32'!$K$8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264-4B0F-91C3-2644FDCA46F2}"/>
                </c:ext>
              </c:extLst>
            </c:dLbl>
            <c:dLbl>
              <c:idx val="1"/>
              <c:layout>
                <c:manualLayout>
                  <c:x val="0.24182232038982279"/>
                  <c:y val="2.747471566054245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E264-4B0F-91C3-2644FDCA46F2}"/>
                </c:ext>
              </c:extLst>
            </c:dLbl>
            <c:dLbl>
              <c:idx val="2"/>
              <c:layout>
                <c:manualLayout>
                  <c:x val="-3.324200374310813E-2"/>
                  <c:y val="-5.340927384076990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E264-4B0F-91C3-2644FDCA46F2}"/>
                </c:ext>
              </c:extLst>
            </c:dLbl>
            <c:dLbl>
              <c:idx val="3"/>
              <c:layout>
                <c:manualLayout>
                  <c:x val="-6.71651857222344E-2"/>
                  <c:y val="4.931058617672790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E264-4B0F-91C3-2644FDCA46F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SDLGIF32'!$J$9:$J$12</c:f>
              <c:strCache>
                <c:ptCount val="4"/>
                <c:pt idx="0">
                  <c:v>Net Current Asset</c:v>
                </c:pt>
                <c:pt idx="1">
                  <c:v>TRI Party Repo</c:v>
                </c:pt>
                <c:pt idx="2">
                  <c:v>Government Bond</c:v>
                </c:pt>
                <c:pt idx="3">
                  <c:v>State Government Bond</c:v>
                </c:pt>
              </c:strCache>
            </c:strRef>
          </c:cat>
          <c:val>
            <c:numRef>
              <c:f>'BANDHAN SDLGIF32'!$K$9:$K$12</c:f>
              <c:numCache>
                <c:formatCode>0.00%</c:formatCode>
                <c:ptCount val="4"/>
                <c:pt idx="0">
                  <c:v>1.9663E-2</c:v>
                </c:pt>
                <c:pt idx="1">
                  <c:v>1.2178E-2</c:v>
                </c:pt>
                <c:pt idx="2">
                  <c:v>9.0861999999999998E-2</c:v>
                </c:pt>
                <c:pt idx="3">
                  <c:v>0.87729699999999999</c:v>
                </c:pt>
              </c:numCache>
            </c:numRef>
          </c:val>
          <c:extLst>
            <c:ext xmlns:c16="http://schemas.microsoft.com/office/drawing/2014/chart" uri="{C3380CC4-5D6E-409C-BE32-E72D297353CC}">
              <c16:uniqueId val="{0000000C-E264-4B0F-91C3-2644FDCA46F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565234618691936"/>
                  <c:y val="-2.302631578947368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ED4-41B8-9E0D-D9723C117D9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ASBF'!$G$8</c:f>
              <c:strCache>
                <c:ptCount val="1"/>
                <c:pt idx="0">
                  <c:v>AAA EQUIVALENT</c:v>
                </c:pt>
              </c:strCache>
            </c:strRef>
          </c:cat>
          <c:val>
            <c:numRef>
              <c:f>'BANDHAN ASBF'!$H$8</c:f>
              <c:numCache>
                <c:formatCode>0%</c:formatCode>
                <c:ptCount val="1"/>
                <c:pt idx="0">
                  <c:v>1</c:v>
                </c:pt>
              </c:numCache>
            </c:numRef>
          </c:val>
          <c:extLst>
            <c:ext xmlns:c16="http://schemas.microsoft.com/office/drawing/2014/chart" uri="{C3380CC4-5D6E-409C-BE32-E72D297353CC}">
              <c16:uniqueId val="{0000000C-5ED4-41B8-9E0D-D9723C117D9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ASBF'!$K$8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0AB-4341-A91F-9C07312A9346}"/>
                </c:ext>
              </c:extLst>
            </c:dLbl>
            <c:dLbl>
              <c:idx val="1"/>
              <c:layout>
                <c:manualLayout>
                  <c:x val="0.19476529700382733"/>
                  <c:y val="-6.033595800524934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60AB-4341-A91F-9C07312A9346}"/>
                </c:ext>
              </c:extLst>
            </c:dLbl>
            <c:dLbl>
              <c:idx val="2"/>
              <c:layout>
                <c:manualLayout>
                  <c:x val="-0.26810011971201675"/>
                  <c:y val="-4.7079615048118981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60AB-4341-A91F-9C07312A934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ASBF'!$J$9:$J$11</c:f>
              <c:strCache>
                <c:ptCount val="3"/>
                <c:pt idx="0">
                  <c:v>Net Current Asset</c:v>
                </c:pt>
                <c:pt idx="1">
                  <c:v>TRI Party Repo</c:v>
                </c:pt>
                <c:pt idx="2">
                  <c:v>Mutual Fund Units</c:v>
                </c:pt>
              </c:strCache>
            </c:strRef>
          </c:cat>
          <c:val>
            <c:numRef>
              <c:f>'BANDHAN ASBF'!$K$9:$K$11</c:f>
              <c:numCache>
                <c:formatCode>0.00%</c:formatCode>
                <c:ptCount val="3"/>
                <c:pt idx="0">
                  <c:v>-6.9099999999999999E-4</c:v>
                </c:pt>
                <c:pt idx="1">
                  <c:v>6.8440000000000003E-3</c:v>
                </c:pt>
                <c:pt idx="2">
                  <c:v>0.99384700000000004</c:v>
                </c:pt>
              </c:numCache>
            </c:numRef>
          </c:val>
          <c:extLst>
            <c:ext xmlns:c16="http://schemas.microsoft.com/office/drawing/2014/chart" uri="{C3380CC4-5D6E-409C-BE32-E72D297353CC}">
              <c16:uniqueId val="{0000000C-60AB-4341-A91F-9C07312A934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22728572931869853"/>
                  <c:y val="-0.5378728130180753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D872-40E3-8315-51067D544E56}"/>
                </c:ext>
              </c:extLst>
            </c:dLbl>
            <c:dLbl>
              <c:idx val="1"/>
              <c:layout>
                <c:manualLayout>
                  <c:x val="-0.26921172912653785"/>
                  <c:y val="2.941818061107865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D872-40E3-8315-51067D544E56}"/>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D872-40E3-8315-51067D544E56}"/>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D872-40E3-8315-51067D544E56}"/>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 US TB 0-1yr FOF'!$I$8:$I$10</c:f>
              <c:strCache>
                <c:ptCount val="3"/>
                <c:pt idx="0">
                  <c:v>International Mutual Fund Units</c:v>
                </c:pt>
                <c:pt idx="1">
                  <c:v>Net Current Asset</c:v>
                </c:pt>
                <c:pt idx="2">
                  <c:v>TRI Party Repo Total</c:v>
                </c:pt>
              </c:strCache>
            </c:strRef>
          </c:cat>
          <c:val>
            <c:numRef>
              <c:f>'BANDHAN US TB 0-1yr FOF'!$J$8:$J$10</c:f>
              <c:numCache>
                <c:formatCode>0.00%</c:formatCode>
                <c:ptCount val="3"/>
                <c:pt idx="0">
                  <c:v>0.98105200000000004</c:v>
                </c:pt>
                <c:pt idx="1">
                  <c:v>-1.8568000000000001E-2</c:v>
                </c:pt>
                <c:pt idx="2">
                  <c:v>3.7516000000000001E-2</c:v>
                </c:pt>
              </c:numCache>
            </c:numRef>
          </c:val>
          <c:extLst>
            <c:ext xmlns:c16="http://schemas.microsoft.com/office/drawing/2014/chart" uri="{C3380CC4-5D6E-409C-BE32-E72D297353CC}">
              <c16:uniqueId val="{00000004-D872-40E3-8315-51067D544E56}"/>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34.xml"/><Relationship Id="rId1" Type="http://schemas.openxmlformats.org/officeDocument/2006/relationships/chart" Target="../charts/chart33.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36.xml"/><Relationship Id="rId1" Type="http://schemas.openxmlformats.org/officeDocument/2006/relationships/chart" Target="../charts/chart35.xml"/></Relationships>
</file>

<file path=xl/drawings/_rels/drawing19.xml.rels><?xml version="1.0" encoding="UTF-8" standalone="yes"?>
<Relationships xmlns="http://schemas.openxmlformats.org/package/2006/relationships"><Relationship Id="rId2" Type="http://schemas.openxmlformats.org/officeDocument/2006/relationships/chart" Target="../charts/chart38.xml"/><Relationship Id="rId1" Type="http://schemas.openxmlformats.org/officeDocument/2006/relationships/chart" Target="../charts/chart37.xml"/></Relationships>
</file>

<file path=xl/drawings/_rels/drawing20.xml.rels><?xml version="1.0" encoding="UTF-8" standalone="yes"?>
<Relationships xmlns="http://schemas.openxmlformats.org/package/2006/relationships"><Relationship Id="rId2" Type="http://schemas.openxmlformats.org/officeDocument/2006/relationships/chart" Target="../charts/chart40.xml"/><Relationship Id="rId1" Type="http://schemas.openxmlformats.org/officeDocument/2006/relationships/chart" Target="../charts/chart39.xml"/></Relationships>
</file>

<file path=xl/drawings/_rels/drawing21.xml.rels><?xml version="1.0" encoding="UTF-8" standalone="yes"?>
<Relationships xmlns="http://schemas.openxmlformats.org/package/2006/relationships"><Relationship Id="rId2" Type="http://schemas.openxmlformats.org/officeDocument/2006/relationships/chart" Target="../charts/chart42.xml"/><Relationship Id="rId1" Type="http://schemas.openxmlformats.org/officeDocument/2006/relationships/chart" Target="../charts/chart41.xml"/></Relationships>
</file>

<file path=xl/drawings/_rels/drawing22.xml.rels><?xml version="1.0" encoding="UTF-8" standalone="yes"?>
<Relationships xmlns="http://schemas.openxmlformats.org/package/2006/relationships"><Relationship Id="rId2" Type="http://schemas.openxmlformats.org/officeDocument/2006/relationships/chart" Target="../charts/chart44.xml"/><Relationship Id="rId1" Type="http://schemas.openxmlformats.org/officeDocument/2006/relationships/chart" Target="../charts/chart43.xml"/></Relationships>
</file>

<file path=xl/drawings/_rels/drawing23.xml.rels><?xml version="1.0" encoding="UTF-8" standalone="yes"?>
<Relationships xmlns="http://schemas.openxmlformats.org/package/2006/relationships"><Relationship Id="rId2" Type="http://schemas.openxmlformats.org/officeDocument/2006/relationships/chart" Target="../charts/chart46.xml"/><Relationship Id="rId1" Type="http://schemas.openxmlformats.org/officeDocument/2006/relationships/chart" Target="../charts/chart45.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47.xml"/></Relationships>
</file>

<file path=xl/drawings/drawing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0F76043E-4DA3-494F-B9E5-DDD9D12AA3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378F0C03-4B8A-4D1A-8B11-FA0DF9C84F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F13F6E50-650F-4DFC-8ADF-EEC1BBAE1B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EAF3750C-A66A-400A-9D24-12DF960131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84B8E2A0-9797-476F-A20E-F0A37944E3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47625</xdr:rowOff>
    </xdr:to>
    <xdr:graphicFrame macro="">
      <xdr:nvGraphicFramePr>
        <xdr:cNvPr id="3" name="Chart 2">
          <a:extLst>
            <a:ext uri="{FF2B5EF4-FFF2-40B4-BE49-F238E27FC236}">
              <a16:creationId xmlns:a16="http://schemas.microsoft.com/office/drawing/2014/main" id="{7BC51519-3089-46EA-B091-E4863BD92A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6B4574F8-4C31-43D0-A03B-E4E02E2336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67721F1A-4943-4D4F-A863-11A73B7F6F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CFE14C37-1BCA-46D7-BB84-35C9CCCED1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19051</xdr:rowOff>
    </xdr:to>
    <xdr:graphicFrame macro="">
      <xdr:nvGraphicFramePr>
        <xdr:cNvPr id="3" name="Chart 2">
          <a:extLst>
            <a:ext uri="{FF2B5EF4-FFF2-40B4-BE49-F238E27FC236}">
              <a16:creationId xmlns:a16="http://schemas.microsoft.com/office/drawing/2014/main" id="{C49A93AD-1DA2-471D-8C06-02A572DE66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2B70595F-21EB-40D0-9E66-DAEA90D3C7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D1DF1D0F-4473-409F-96E6-FA136AE8BA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2F1C9911-59AF-4384-BA8D-7E6803453D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2D4018EB-195F-4F27-8CE6-F149F5213A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B60C35D7-6CFE-4CAB-BE62-715AB79E3F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57150</xdr:rowOff>
    </xdr:to>
    <xdr:graphicFrame macro="">
      <xdr:nvGraphicFramePr>
        <xdr:cNvPr id="3" name="Chart 2">
          <a:extLst>
            <a:ext uri="{FF2B5EF4-FFF2-40B4-BE49-F238E27FC236}">
              <a16:creationId xmlns:a16="http://schemas.microsoft.com/office/drawing/2014/main" id="{F04AA8B2-5183-4611-BD5B-7A0F1EB65F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0B2B7398-3707-4133-A24E-330BCD57A7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276B944B-023E-4EDF-93CB-375C4DF6BA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DCA09CF3-9E34-4B64-8052-47C3676315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EFB2E4C3-11BA-455E-92C3-277CC31DF8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F1EBF3D9-393B-4533-A37B-4B84F282C4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CB02C744-BB19-498B-9CC0-38DA772942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584200</xdr:colOff>
      <xdr:row>7</xdr:row>
      <xdr:rowOff>1</xdr:rowOff>
    </xdr:from>
    <xdr:to>
      <xdr:col>13</xdr:col>
      <xdr:colOff>317500</xdr:colOff>
      <xdr:row>22</xdr:row>
      <xdr:rowOff>1</xdr:rowOff>
    </xdr:to>
    <xdr:graphicFrame macro="">
      <xdr:nvGraphicFramePr>
        <xdr:cNvPr id="2" name="Chart 1">
          <a:extLst>
            <a:ext uri="{FF2B5EF4-FFF2-40B4-BE49-F238E27FC236}">
              <a16:creationId xmlns:a16="http://schemas.microsoft.com/office/drawing/2014/main" id="{3FB16EC8-DAF6-4814-8F55-7FA072D7E5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CF924829-A4E8-4B82-B98A-00EC5BD9B3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5</xdr:col>
      <xdr:colOff>596900</xdr:colOff>
      <xdr:row>7</xdr:row>
      <xdr:rowOff>38100</xdr:rowOff>
    </xdr:from>
    <xdr:to>
      <xdr:col>13</xdr:col>
      <xdr:colOff>533400</xdr:colOff>
      <xdr:row>22</xdr:row>
      <xdr:rowOff>38100</xdr:rowOff>
    </xdr:to>
    <xdr:graphicFrame macro="">
      <xdr:nvGraphicFramePr>
        <xdr:cNvPr id="2" name="Chart 1">
          <a:extLst>
            <a:ext uri="{FF2B5EF4-FFF2-40B4-BE49-F238E27FC236}">
              <a16:creationId xmlns:a16="http://schemas.microsoft.com/office/drawing/2014/main" id="{C5B3E5FC-9FD2-45FA-85FA-E69E8DFD24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47625</xdr:rowOff>
    </xdr:to>
    <xdr:graphicFrame macro="">
      <xdr:nvGraphicFramePr>
        <xdr:cNvPr id="3" name="Chart 2">
          <a:extLst>
            <a:ext uri="{FF2B5EF4-FFF2-40B4-BE49-F238E27FC236}">
              <a16:creationId xmlns:a16="http://schemas.microsoft.com/office/drawing/2014/main" id="{6637F203-C1BF-47EA-BAF8-178F0BCE71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5E8446FC-DF42-4625-A191-9E4F37705D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9A44D527-8E3F-4FCF-A797-E4D7062A6E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79EFC102-CA45-48DF-9D8A-B2C704EE45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D652665B-27A8-4772-A063-CC189E1D3B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D530FFB2-F643-48E6-B90C-A9F54530A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D2C50546-7478-4F34-8DBA-A0D5BAA848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A8ED25DF-0B5E-4868-BC15-84A46D69EA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37B0814D-7D9B-462A-A4E7-00E9EC61D5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F773BEC5-93D8-4794-8791-0E7E38F29C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6CCF2B7C-F947-48C7-9A6F-ECA3B9D1F6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5A119727-9EDC-48F1-B03B-08DD64FC07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E1726C2A-CC2C-4A56-AB4A-2F22ACBA8F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E523A2AA-57E6-4147-8662-CA67101442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23074A60-175A-4785-AB3F-26420332C9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8CE5C84E-A06C-4B40-9D86-4008C8B51B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C93D9611-5FD7-440C-AE01-B3B8BEF768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A4607ED8-DC1D-481F-BF6B-EB3AA3BE36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7F118F58-1C27-4C79-9EED-081A65CFF6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AE85FF3C-1983-4500-B010-06D4437DB0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D2032D09-1D27-44C0-AD91-E14F80CE29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4</xdr:col>
      <xdr:colOff>555625</xdr:colOff>
      <xdr:row>7</xdr:row>
      <xdr:rowOff>34925</xdr:rowOff>
    </xdr:from>
    <xdr:to>
      <xdr:col>11</xdr:col>
      <xdr:colOff>584200</xdr:colOff>
      <xdr:row>20</xdr:row>
      <xdr:rowOff>25401</xdr:rowOff>
    </xdr:to>
    <xdr:graphicFrame macro="">
      <xdr:nvGraphicFramePr>
        <xdr:cNvPr id="2" name="Chart 2">
          <a:extLst>
            <a:ext uri="{FF2B5EF4-FFF2-40B4-BE49-F238E27FC236}">
              <a16:creationId xmlns:a16="http://schemas.microsoft.com/office/drawing/2014/main" id="{7751E4F4-6048-4FC8-8FF1-C3663720CE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3.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AF137-C665-4936-B894-770B3658DCDB}">
  <dimension ref="B1:O49"/>
  <sheetViews>
    <sheetView showGridLines="0" tabSelected="1" zoomScale="75" zoomScaleNormal="75" workbookViewId="0"/>
  </sheetViews>
  <sheetFormatPr defaultRowHeight="15" x14ac:dyDescent="0.25"/>
  <cols>
    <col min="1" max="1" width="2.85546875" customWidth="1"/>
    <col min="2" max="2" width="3.85546875" customWidth="1"/>
    <col min="3" max="3" width="56"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9" t="s">
        <v>170</v>
      </c>
      <c r="D3" s="80"/>
      <c r="E3" s="80"/>
      <c r="F3" s="80"/>
      <c r="G3" s="80"/>
      <c r="H3" s="80"/>
      <c r="I3" s="80"/>
      <c r="J3" s="80"/>
      <c r="K3" s="80"/>
      <c r="L3" s="80"/>
      <c r="M3" s="80"/>
      <c r="N3" s="81"/>
    </row>
    <row r="4" spans="2:14" ht="15.75" customHeight="1" x14ac:dyDescent="0.25">
      <c r="B4" s="20"/>
      <c r="C4" s="14"/>
      <c r="D4" s="1"/>
      <c r="E4" s="1"/>
      <c r="F4" s="1"/>
      <c r="G4" s="1"/>
      <c r="H4" s="1"/>
      <c r="I4" s="1"/>
      <c r="J4" s="1"/>
      <c r="K4" s="1"/>
      <c r="L4" s="1"/>
      <c r="M4" s="1"/>
      <c r="N4" s="18"/>
    </row>
    <row r="5" spans="2:14" ht="18" customHeight="1" x14ac:dyDescent="0.25">
      <c r="B5" s="20"/>
      <c r="C5" s="15" t="s">
        <v>1</v>
      </c>
      <c r="D5" s="82" t="s">
        <v>171</v>
      </c>
      <c r="E5" s="8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4" t="s">
        <v>16</v>
      </c>
      <c r="H7" s="85"/>
      <c r="I7" s="85"/>
      <c r="J7" s="85"/>
      <c r="K7" s="85"/>
      <c r="L7" s="85"/>
      <c r="M7" s="85"/>
      <c r="N7" s="86"/>
    </row>
    <row r="8" spans="2:14" ht="15" customHeight="1" x14ac:dyDescent="0.25">
      <c r="B8" s="20"/>
      <c r="C8" s="5" t="s">
        <v>8</v>
      </c>
      <c r="D8" s="6"/>
      <c r="E8" s="11">
        <v>0.68421799999999999</v>
      </c>
      <c r="F8" s="1"/>
      <c r="G8" s="24" t="s">
        <v>15</v>
      </c>
      <c r="H8" s="25">
        <v>1</v>
      </c>
      <c r="I8" s="1"/>
      <c r="J8" s="24" t="s">
        <v>12</v>
      </c>
      <c r="K8" s="24" t="s">
        <v>5</v>
      </c>
      <c r="L8" s="1"/>
      <c r="M8" s="1"/>
      <c r="N8" s="18"/>
    </row>
    <row r="9" spans="2:14" ht="15.75" customHeight="1" x14ac:dyDescent="0.25">
      <c r="B9" s="20"/>
      <c r="C9" s="7" t="s">
        <v>172</v>
      </c>
      <c r="D9" s="8"/>
      <c r="E9" s="12">
        <v>0.68421799999999999</v>
      </c>
      <c r="F9" s="1"/>
      <c r="G9" s="1"/>
      <c r="H9" s="1"/>
      <c r="I9" s="1"/>
      <c r="J9" s="24" t="s">
        <v>10</v>
      </c>
      <c r="K9" s="28">
        <v>-3.88E-4</v>
      </c>
      <c r="L9" s="1"/>
      <c r="M9" s="1"/>
      <c r="N9" s="18"/>
    </row>
    <row r="10" spans="2:14" ht="15" customHeight="1" x14ac:dyDescent="0.25">
      <c r="B10" s="20"/>
      <c r="C10" s="5" t="s">
        <v>173</v>
      </c>
      <c r="D10" s="6" t="s">
        <v>178</v>
      </c>
      <c r="E10" s="11">
        <v>3.4146999999999997E-2</v>
      </c>
      <c r="F10" s="1"/>
      <c r="G10" s="1"/>
      <c r="H10" s="1"/>
      <c r="I10" s="1"/>
      <c r="J10" s="24" t="s">
        <v>13</v>
      </c>
      <c r="K10" s="28">
        <v>0.26497199999999999</v>
      </c>
      <c r="L10" s="1"/>
      <c r="M10" s="1"/>
      <c r="N10" s="18"/>
    </row>
    <row r="11" spans="2:14" ht="15" customHeight="1" x14ac:dyDescent="0.25">
      <c r="B11" s="20"/>
      <c r="C11" s="5" t="s">
        <v>160</v>
      </c>
      <c r="D11" s="6" t="s">
        <v>178</v>
      </c>
      <c r="E11" s="11">
        <v>1.7051E-2</v>
      </c>
      <c r="F11" s="1"/>
      <c r="G11" s="1"/>
      <c r="H11" s="1"/>
      <c r="I11" s="1"/>
      <c r="J11" s="24" t="s">
        <v>174</v>
      </c>
      <c r="K11" s="28">
        <v>0.68421799999999999</v>
      </c>
      <c r="L11" s="1"/>
      <c r="M11" s="1"/>
      <c r="N11" s="18"/>
    </row>
    <row r="12" spans="2:14" ht="15.75" customHeight="1" x14ac:dyDescent="0.25">
      <c r="B12" s="20"/>
      <c r="C12" s="7" t="s">
        <v>92</v>
      </c>
      <c r="D12" s="8"/>
      <c r="E12" s="12">
        <v>5.1198E-2</v>
      </c>
      <c r="F12" s="1"/>
      <c r="G12" s="1"/>
      <c r="H12" s="1"/>
      <c r="I12" s="1"/>
      <c r="J12" s="24" t="s">
        <v>94</v>
      </c>
      <c r="K12" s="28">
        <v>5.1198E-2</v>
      </c>
      <c r="L12" s="1"/>
      <c r="M12" s="1"/>
      <c r="N12" s="18"/>
    </row>
    <row r="13" spans="2:14" ht="15" customHeight="1" x14ac:dyDescent="0.25">
      <c r="B13" s="20"/>
      <c r="C13" s="5" t="s">
        <v>8</v>
      </c>
      <c r="D13" s="6"/>
      <c r="E13" s="11">
        <v>0.26497199999999999</v>
      </c>
      <c r="F13" s="1"/>
      <c r="G13" s="1"/>
      <c r="H13" s="1"/>
      <c r="I13" s="1"/>
      <c r="J13" s="1"/>
      <c r="K13" s="1"/>
      <c r="L13" s="1"/>
      <c r="M13" s="1"/>
      <c r="N13" s="18"/>
    </row>
    <row r="14" spans="2:14" ht="15.75" customHeight="1" x14ac:dyDescent="0.25">
      <c r="B14" s="20"/>
      <c r="C14" s="7" t="s">
        <v>9</v>
      </c>
      <c r="D14" s="8"/>
      <c r="E14" s="12">
        <v>0.26497199999999999</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75" customHeight="1" x14ac:dyDescent="0.25">
      <c r="B16" s="20"/>
      <c r="C16" s="7" t="s">
        <v>10</v>
      </c>
      <c r="D16" s="8"/>
      <c r="E16" s="12">
        <v>-3.88E-4</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 customHeight="1" x14ac:dyDescent="0.25">
      <c r="B18" s="20"/>
      <c r="C18" s="9" t="s">
        <v>11</v>
      </c>
      <c r="D18" s="10"/>
      <c r="E18" s="13">
        <v>1</v>
      </c>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4" t="s">
        <v>134</v>
      </c>
      <c r="H24" s="85"/>
      <c r="I24" s="85"/>
      <c r="J24" s="85"/>
      <c r="K24" s="85"/>
      <c r="L24" s="102">
        <v>1.6321182711645401</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4" t="s">
        <v>18</v>
      </c>
      <c r="H26" s="85"/>
      <c r="I26" s="85"/>
      <c r="J26" s="85"/>
      <c r="K26" s="85"/>
      <c r="L26" s="85"/>
      <c r="M26" s="85"/>
      <c r="N26" s="86"/>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5" ht="15" customHeight="1" x14ac:dyDescent="0.25">
      <c r="B33" s="20"/>
      <c r="C33" s="1"/>
      <c r="D33" s="1"/>
      <c r="E33" s="1"/>
      <c r="F33" s="1"/>
      <c r="G33" s="1"/>
      <c r="H33" s="1"/>
      <c r="I33" s="1"/>
      <c r="J33" s="1"/>
      <c r="K33" s="1"/>
      <c r="L33" s="1"/>
      <c r="M33" s="1"/>
      <c r="N33" s="18"/>
    </row>
    <row r="34" spans="2:15" ht="15" customHeight="1" x14ac:dyDescent="0.25">
      <c r="B34" s="20"/>
      <c r="C34" s="1"/>
      <c r="D34" s="1"/>
      <c r="E34" s="1"/>
      <c r="F34" s="1"/>
      <c r="G34" s="1"/>
      <c r="H34" s="1"/>
      <c r="I34" s="1"/>
      <c r="J34" s="1"/>
      <c r="K34" s="1"/>
      <c r="L34" s="1"/>
      <c r="M34" s="1"/>
      <c r="N34" s="18"/>
    </row>
    <row r="35" spans="2:15" ht="15" customHeight="1" x14ac:dyDescent="0.25">
      <c r="B35" s="20"/>
      <c r="C35" s="1"/>
      <c r="D35" s="1"/>
      <c r="E35" s="1"/>
      <c r="F35" s="1"/>
      <c r="G35" s="1"/>
      <c r="H35" s="1"/>
      <c r="I35" s="1"/>
      <c r="J35" s="1"/>
      <c r="K35" s="1"/>
      <c r="L35" s="1"/>
      <c r="M35" s="1"/>
      <c r="N35" s="18"/>
    </row>
    <row r="36" spans="2:15" ht="15" customHeight="1" x14ac:dyDescent="0.25">
      <c r="B36" s="20"/>
      <c r="C36" s="1"/>
      <c r="D36" s="1"/>
      <c r="E36" s="1"/>
      <c r="F36" s="1"/>
      <c r="G36" s="1"/>
      <c r="H36" s="1"/>
      <c r="I36" s="1"/>
      <c r="J36" s="1"/>
      <c r="K36" s="1"/>
      <c r="L36" s="1"/>
      <c r="M36" s="1"/>
      <c r="N36" s="18"/>
    </row>
    <row r="37" spans="2:15" ht="15" customHeight="1" x14ac:dyDescent="0.25">
      <c r="B37" s="20"/>
      <c r="C37" s="1"/>
      <c r="D37" s="1"/>
      <c r="E37" s="1"/>
      <c r="F37" s="1"/>
      <c r="G37" s="1"/>
      <c r="H37" s="1"/>
      <c r="I37" s="1"/>
      <c r="J37" s="1"/>
      <c r="K37" s="1"/>
      <c r="L37" s="1"/>
      <c r="M37" s="1"/>
      <c r="N37" s="18"/>
    </row>
    <row r="38" spans="2:15" ht="15" customHeight="1" x14ac:dyDescent="0.25">
      <c r="B38" s="20"/>
      <c r="C38" s="1"/>
      <c r="D38" s="1"/>
      <c r="E38" s="1"/>
      <c r="F38" s="1"/>
      <c r="G38" s="1"/>
      <c r="H38" s="1"/>
      <c r="I38" s="1"/>
      <c r="J38" s="1"/>
      <c r="K38" s="1"/>
      <c r="L38" s="1"/>
      <c r="M38" s="1"/>
      <c r="N38" s="18"/>
    </row>
    <row r="39" spans="2:15" ht="15" customHeight="1" x14ac:dyDescent="0.25">
      <c r="B39" s="20"/>
      <c r="C39" s="1"/>
      <c r="D39" s="1"/>
      <c r="E39" s="1"/>
      <c r="F39" s="1"/>
      <c r="G39" s="1"/>
      <c r="H39" s="1"/>
      <c r="I39" s="1"/>
      <c r="J39" s="1"/>
      <c r="K39" s="1"/>
      <c r="L39" s="1"/>
      <c r="M39" s="1"/>
      <c r="N39" s="18"/>
    </row>
    <row r="40" spans="2:15" ht="15" customHeight="1" x14ac:dyDescent="0.25">
      <c r="B40" s="20"/>
      <c r="C40" s="1"/>
      <c r="D40" s="1"/>
      <c r="E40" s="1"/>
      <c r="F40" s="1"/>
      <c r="G40" s="1"/>
      <c r="H40" s="1"/>
      <c r="I40" s="1"/>
      <c r="J40" s="1"/>
      <c r="K40" s="1"/>
      <c r="L40" s="1"/>
      <c r="M40" s="1"/>
      <c r="N40" s="18"/>
    </row>
    <row r="41" spans="2:15" ht="15" customHeight="1" x14ac:dyDescent="0.25">
      <c r="B41" s="20"/>
      <c r="C41" s="1"/>
      <c r="D41" s="1"/>
      <c r="E41" s="1"/>
      <c r="F41" s="1"/>
      <c r="G41" s="1"/>
      <c r="H41" s="1"/>
      <c r="I41" s="1"/>
      <c r="J41" s="1"/>
      <c r="K41" s="1"/>
      <c r="L41" s="1"/>
      <c r="M41" s="1"/>
      <c r="N41" s="18"/>
    </row>
    <row r="42" spans="2:15" ht="15" customHeight="1" x14ac:dyDescent="0.25">
      <c r="B42" s="20"/>
      <c r="C42" s="1"/>
      <c r="D42" s="1"/>
      <c r="E42" s="1"/>
      <c r="F42" s="1"/>
      <c r="G42" s="1"/>
      <c r="H42" s="1"/>
      <c r="I42" s="1"/>
      <c r="J42" s="1"/>
      <c r="K42" s="1"/>
      <c r="L42" s="1"/>
      <c r="M42" s="1"/>
      <c r="N42" s="18"/>
    </row>
    <row r="43" spans="2:15" ht="15.75" thickBot="1" x14ac:dyDescent="0.3">
      <c r="B43" s="21"/>
      <c r="C43" s="22"/>
      <c r="D43" s="22"/>
      <c r="E43" s="22"/>
      <c r="F43" s="22"/>
      <c r="G43" s="22"/>
      <c r="H43" s="22"/>
      <c r="I43" s="22"/>
      <c r="J43" s="22"/>
      <c r="K43" s="22"/>
      <c r="L43" s="22"/>
      <c r="M43" s="22"/>
      <c r="N43" s="23"/>
    </row>
    <row r="44" spans="2:15" ht="15.75" thickBot="1" x14ac:dyDescent="0.3"/>
    <row r="45" spans="2:15" s="34" customFormat="1" ht="15" customHeight="1" x14ac:dyDescent="0.25">
      <c r="B45" s="70" t="s">
        <v>293</v>
      </c>
      <c r="C45" s="71"/>
      <c r="D45" s="71"/>
      <c r="E45" s="71"/>
      <c r="F45" s="71"/>
      <c r="G45" s="71"/>
      <c r="H45" s="71"/>
      <c r="I45" s="71"/>
      <c r="J45" s="71"/>
      <c r="K45" s="71"/>
      <c r="L45" s="71"/>
      <c r="M45" s="71"/>
      <c r="N45" s="72"/>
      <c r="O45"/>
    </row>
    <row r="46" spans="2:15" s="34" customFormat="1" x14ac:dyDescent="0.25">
      <c r="B46" s="73"/>
      <c r="C46" s="74"/>
      <c r="D46" s="74"/>
      <c r="E46" s="74"/>
      <c r="F46" s="74"/>
      <c r="G46" s="74"/>
      <c r="H46" s="74"/>
      <c r="I46" s="74"/>
      <c r="J46" s="74"/>
      <c r="K46" s="74"/>
      <c r="L46" s="74"/>
      <c r="M46" s="74"/>
      <c r="N46" s="75"/>
      <c r="O46"/>
    </row>
    <row r="47" spans="2:15" s="34" customFormat="1" ht="15.75" thickBot="1" x14ac:dyDescent="0.3">
      <c r="B47" s="76"/>
      <c r="C47" s="77"/>
      <c r="D47" s="77"/>
      <c r="E47" s="77"/>
      <c r="F47" s="77"/>
      <c r="G47" s="77"/>
      <c r="H47" s="77"/>
      <c r="I47" s="77"/>
      <c r="J47" s="77"/>
      <c r="K47" s="77"/>
      <c r="L47" s="77"/>
      <c r="M47" s="77"/>
      <c r="N47" s="78"/>
      <c r="O47"/>
    </row>
    <row r="48" spans="2:15" ht="15.75" thickBot="1" x14ac:dyDescent="0.3"/>
    <row r="49" spans="2:14" ht="118.5" customHeight="1" thickBot="1" x14ac:dyDescent="0.3">
      <c r="B49" s="67" t="s">
        <v>291</v>
      </c>
      <c r="C49" s="68"/>
      <c r="D49" s="68"/>
      <c r="E49" s="68"/>
      <c r="F49" s="68"/>
      <c r="G49" s="68"/>
      <c r="H49" s="68"/>
      <c r="I49" s="68"/>
      <c r="J49" s="68"/>
      <c r="K49" s="68"/>
      <c r="L49" s="68"/>
      <c r="M49" s="68"/>
      <c r="N49" s="69"/>
    </row>
  </sheetData>
  <mergeCells count="7">
    <mergeCell ref="B49:N49"/>
    <mergeCell ref="B45:N47"/>
    <mergeCell ref="C3:N3"/>
    <mergeCell ref="D5:E5"/>
    <mergeCell ref="G7:N7"/>
    <mergeCell ref="G24:K24"/>
    <mergeCell ref="G26:N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EC20A-BCE1-4ACB-B367-216CF1F150D5}">
  <dimension ref="B1:N72"/>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9" t="s">
        <v>146</v>
      </c>
      <c r="D3" s="80"/>
      <c r="E3" s="80"/>
      <c r="F3" s="80"/>
      <c r="G3" s="80"/>
      <c r="H3" s="80"/>
      <c r="I3" s="80"/>
      <c r="J3" s="80"/>
      <c r="K3" s="80"/>
      <c r="L3" s="80"/>
      <c r="M3" s="80"/>
      <c r="N3" s="81"/>
    </row>
    <row r="4" spans="2:14" ht="15.75" customHeight="1" x14ac:dyDescent="0.25">
      <c r="B4" s="20"/>
      <c r="C4" s="14"/>
      <c r="D4" s="1"/>
      <c r="E4" s="1"/>
      <c r="F4" s="1"/>
      <c r="G4" s="1"/>
      <c r="H4" s="1"/>
      <c r="I4" s="1"/>
      <c r="J4" s="1"/>
      <c r="K4" s="1"/>
      <c r="L4" s="1"/>
      <c r="M4" s="1"/>
      <c r="N4" s="18"/>
    </row>
    <row r="5" spans="2:14" ht="18" customHeight="1" x14ac:dyDescent="0.25">
      <c r="B5" s="20"/>
      <c r="C5" s="15" t="s">
        <v>1</v>
      </c>
      <c r="D5" s="82" t="s">
        <v>147</v>
      </c>
      <c r="E5" s="8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4" t="s">
        <v>16</v>
      </c>
      <c r="H7" s="85"/>
      <c r="I7" s="85"/>
      <c r="J7" s="85"/>
      <c r="K7" s="85"/>
      <c r="L7" s="85"/>
      <c r="M7" s="85"/>
      <c r="N7" s="86"/>
    </row>
    <row r="8" spans="2:14" ht="15" customHeight="1" x14ac:dyDescent="0.25">
      <c r="B8" s="20"/>
      <c r="C8" s="5" t="s">
        <v>29</v>
      </c>
      <c r="D8" s="6" t="s">
        <v>22</v>
      </c>
      <c r="E8" s="11">
        <v>8.9053999999999994E-2</v>
      </c>
      <c r="F8" s="1"/>
      <c r="G8" s="24" t="s">
        <v>15</v>
      </c>
      <c r="H8" s="25">
        <v>1</v>
      </c>
      <c r="I8" s="1"/>
      <c r="J8" s="24" t="s">
        <v>12</v>
      </c>
      <c r="K8" s="24" t="s">
        <v>5</v>
      </c>
      <c r="L8" s="1"/>
      <c r="M8" s="1"/>
      <c r="N8" s="18"/>
    </row>
    <row r="9" spans="2:14" ht="15" customHeight="1" x14ac:dyDescent="0.25">
      <c r="B9" s="20"/>
      <c r="C9" s="5" t="s">
        <v>148</v>
      </c>
      <c r="D9" s="6" t="s">
        <v>22</v>
      </c>
      <c r="E9" s="11">
        <v>8.6933999999999997E-2</v>
      </c>
      <c r="F9" s="1"/>
      <c r="G9" s="1"/>
      <c r="H9" s="1"/>
      <c r="I9" s="1"/>
      <c r="J9" s="24" t="s">
        <v>10</v>
      </c>
      <c r="K9" s="28">
        <v>-0.14082600000000001</v>
      </c>
      <c r="L9" s="1"/>
      <c r="M9" s="1"/>
      <c r="N9" s="18"/>
    </row>
    <row r="10" spans="2:14" ht="15" customHeight="1" x14ac:dyDescent="0.25">
      <c r="B10" s="20"/>
      <c r="C10" s="5" t="s">
        <v>25</v>
      </c>
      <c r="D10" s="6" t="s">
        <v>22</v>
      </c>
      <c r="E10" s="11">
        <v>4.8108999999999999E-2</v>
      </c>
      <c r="F10" s="1"/>
      <c r="G10" s="1"/>
      <c r="H10" s="1"/>
      <c r="I10" s="1"/>
      <c r="J10" s="24" t="s">
        <v>13</v>
      </c>
      <c r="K10" s="28">
        <v>8.0421000000000006E-2</v>
      </c>
      <c r="L10" s="1"/>
      <c r="M10" s="1"/>
      <c r="N10" s="18"/>
    </row>
    <row r="11" spans="2:14" ht="15" customHeight="1" x14ac:dyDescent="0.25">
      <c r="B11" s="20"/>
      <c r="C11" s="5" t="s">
        <v>105</v>
      </c>
      <c r="D11" s="6" t="s">
        <v>22</v>
      </c>
      <c r="E11" s="11">
        <v>3.3681000000000003E-2</v>
      </c>
      <c r="F11" s="1"/>
      <c r="G11" s="1"/>
      <c r="H11" s="1"/>
      <c r="I11" s="1"/>
      <c r="J11" s="24" t="s">
        <v>52</v>
      </c>
      <c r="K11" s="28">
        <v>0.36003099999999999</v>
      </c>
      <c r="L11" s="1"/>
      <c r="M11" s="1"/>
      <c r="N11" s="18"/>
    </row>
    <row r="12" spans="2:14" ht="15" customHeight="1" x14ac:dyDescent="0.25">
      <c r="B12" s="20"/>
      <c r="C12" s="5" t="s">
        <v>33</v>
      </c>
      <c r="D12" s="6" t="s">
        <v>22</v>
      </c>
      <c r="E12" s="11">
        <v>2.6178E-2</v>
      </c>
      <c r="F12" s="1"/>
      <c r="G12" s="1"/>
      <c r="H12" s="1"/>
      <c r="I12" s="1"/>
      <c r="J12" s="24" t="s">
        <v>53</v>
      </c>
      <c r="K12" s="28">
        <v>6.2692999999999999E-2</v>
      </c>
      <c r="L12" s="1"/>
      <c r="M12" s="1"/>
      <c r="N12" s="18"/>
    </row>
    <row r="13" spans="2:14" ht="15" customHeight="1" x14ac:dyDescent="0.25">
      <c r="B13" s="20"/>
      <c r="C13" s="5" t="s">
        <v>149</v>
      </c>
      <c r="D13" s="6" t="s">
        <v>22</v>
      </c>
      <c r="E13" s="11">
        <v>2.4056000000000001E-2</v>
      </c>
      <c r="F13" s="1"/>
      <c r="G13" s="1"/>
      <c r="H13" s="1"/>
      <c r="I13" s="1"/>
      <c r="J13" s="24" t="s">
        <v>54</v>
      </c>
      <c r="K13" s="28">
        <v>0.434006</v>
      </c>
      <c r="L13" s="1"/>
      <c r="M13" s="1"/>
      <c r="N13" s="18"/>
    </row>
    <row r="14" spans="2:14" ht="15" customHeight="1" x14ac:dyDescent="0.25">
      <c r="B14" s="20"/>
      <c r="C14" s="5" t="s">
        <v>26</v>
      </c>
      <c r="D14" s="6" t="s">
        <v>22</v>
      </c>
      <c r="E14" s="11">
        <v>2.1194000000000001E-2</v>
      </c>
      <c r="F14" s="1"/>
      <c r="G14" s="1"/>
      <c r="H14" s="1"/>
      <c r="I14" s="1"/>
      <c r="J14" s="24" t="s">
        <v>47</v>
      </c>
      <c r="K14" s="28">
        <v>2.7430000000000002E-3</v>
      </c>
      <c r="L14" s="1"/>
      <c r="M14" s="1"/>
      <c r="N14" s="18"/>
    </row>
    <row r="15" spans="2:14" ht="15" customHeight="1" x14ac:dyDescent="0.25">
      <c r="B15" s="20"/>
      <c r="C15" s="5" t="s">
        <v>23</v>
      </c>
      <c r="D15" s="6" t="s">
        <v>22</v>
      </c>
      <c r="E15" s="11">
        <v>1.4428E-2</v>
      </c>
      <c r="F15" s="1"/>
      <c r="G15" s="1"/>
      <c r="H15" s="1"/>
      <c r="I15" s="1"/>
      <c r="J15" s="24" t="s">
        <v>55</v>
      </c>
      <c r="K15" s="28">
        <v>6.8250000000000003E-3</v>
      </c>
      <c r="L15" s="1"/>
      <c r="M15" s="1"/>
      <c r="N15" s="18"/>
    </row>
    <row r="16" spans="2:14" ht="15" customHeight="1" x14ac:dyDescent="0.25">
      <c r="B16" s="20"/>
      <c r="C16" s="5" t="s">
        <v>109</v>
      </c>
      <c r="D16" s="6" t="s">
        <v>22</v>
      </c>
      <c r="E16" s="11">
        <v>9.6229999999999996E-3</v>
      </c>
      <c r="F16" s="1"/>
      <c r="G16" s="1"/>
      <c r="H16" s="1"/>
      <c r="I16" s="1"/>
      <c r="J16" s="24" t="s">
        <v>94</v>
      </c>
      <c r="K16" s="28">
        <v>0.194107</v>
      </c>
      <c r="L16" s="1"/>
      <c r="M16" s="1"/>
      <c r="N16" s="18"/>
    </row>
    <row r="17" spans="2:14" ht="15" customHeight="1" x14ac:dyDescent="0.25">
      <c r="B17" s="20"/>
      <c r="C17" s="5" t="s">
        <v>32</v>
      </c>
      <c r="D17" s="6" t="s">
        <v>22</v>
      </c>
      <c r="E17" s="11">
        <v>6.7739999999999996E-3</v>
      </c>
      <c r="F17" s="1"/>
      <c r="G17" s="1"/>
      <c r="H17" s="1"/>
      <c r="I17" s="1"/>
      <c r="J17" s="1"/>
      <c r="K17" s="1"/>
      <c r="L17" s="1"/>
      <c r="M17" s="1"/>
      <c r="N17" s="18"/>
    </row>
    <row r="18" spans="2:14" ht="15.75" customHeight="1" x14ac:dyDescent="0.25">
      <c r="B18" s="20"/>
      <c r="C18" s="7" t="s">
        <v>27</v>
      </c>
      <c r="D18" s="8"/>
      <c r="E18" s="12">
        <v>0.36003099999999999</v>
      </c>
      <c r="F18" s="1"/>
      <c r="G18" s="1"/>
      <c r="H18" s="1"/>
      <c r="I18" s="1"/>
      <c r="J18" s="1"/>
      <c r="K18" s="1"/>
      <c r="L18" s="1"/>
      <c r="M18" s="1"/>
      <c r="N18" s="18"/>
    </row>
    <row r="19" spans="2:14" ht="15" customHeight="1" x14ac:dyDescent="0.25">
      <c r="B19" s="20"/>
      <c r="C19" s="5" t="s">
        <v>76</v>
      </c>
      <c r="D19" s="6" t="s">
        <v>22</v>
      </c>
      <c r="E19" s="11">
        <v>0.11823500000000001</v>
      </c>
      <c r="F19" s="1"/>
      <c r="G19" s="1"/>
      <c r="H19" s="1"/>
      <c r="I19" s="1"/>
      <c r="J19" s="1"/>
      <c r="K19" s="1"/>
      <c r="L19" s="1"/>
      <c r="M19" s="1"/>
      <c r="N19" s="18"/>
    </row>
    <row r="20" spans="2:14" ht="15" customHeight="1" x14ac:dyDescent="0.25">
      <c r="B20" s="20"/>
      <c r="C20" s="5" t="s">
        <v>150</v>
      </c>
      <c r="D20" s="6" t="s">
        <v>22</v>
      </c>
      <c r="E20" s="11">
        <v>8.6772000000000002E-2</v>
      </c>
      <c r="F20" s="1"/>
      <c r="G20" s="1"/>
      <c r="H20" s="1"/>
      <c r="I20" s="1"/>
      <c r="J20" s="1"/>
      <c r="K20" s="1"/>
      <c r="L20" s="1"/>
      <c r="M20" s="1"/>
      <c r="N20" s="18"/>
    </row>
    <row r="21" spans="2:14" ht="15" customHeight="1" x14ac:dyDescent="0.25">
      <c r="B21" s="20"/>
      <c r="C21" s="5" t="s">
        <v>32</v>
      </c>
      <c r="D21" s="6" t="s">
        <v>22</v>
      </c>
      <c r="E21" s="11">
        <v>5.5509999999999997E-2</v>
      </c>
      <c r="F21" s="1"/>
      <c r="G21" s="1"/>
      <c r="H21" s="1"/>
      <c r="I21" s="1"/>
      <c r="J21" s="1"/>
      <c r="K21" s="1"/>
      <c r="L21" s="1"/>
      <c r="M21" s="1"/>
      <c r="N21" s="18"/>
    </row>
    <row r="22" spans="2:14" ht="15" customHeight="1" x14ac:dyDescent="0.25">
      <c r="B22" s="20"/>
      <c r="C22" s="5" t="s">
        <v>151</v>
      </c>
      <c r="D22" s="6" t="s">
        <v>22</v>
      </c>
      <c r="E22" s="11">
        <v>4.3563999999999999E-2</v>
      </c>
      <c r="F22" s="1"/>
      <c r="G22" s="1"/>
      <c r="H22" s="1"/>
      <c r="I22" s="1"/>
      <c r="J22" s="1"/>
      <c r="K22" s="1"/>
      <c r="L22" s="1"/>
      <c r="M22" s="1"/>
      <c r="N22" s="18"/>
    </row>
    <row r="23" spans="2:14" ht="15" customHeight="1" x14ac:dyDescent="0.25">
      <c r="B23" s="20"/>
      <c r="C23" s="5" t="s">
        <v>29</v>
      </c>
      <c r="D23" s="6" t="s">
        <v>22</v>
      </c>
      <c r="E23" s="11">
        <v>4.0624E-2</v>
      </c>
      <c r="F23" s="1"/>
      <c r="G23" s="1"/>
      <c r="H23" s="1"/>
      <c r="I23" s="1"/>
      <c r="J23" s="1"/>
      <c r="K23" s="1"/>
      <c r="L23" s="1"/>
      <c r="M23" s="1"/>
      <c r="N23" s="18"/>
    </row>
    <row r="24" spans="2:14" ht="15" customHeight="1" x14ac:dyDescent="0.25">
      <c r="B24" s="20"/>
      <c r="C24" s="5" t="s">
        <v>152</v>
      </c>
      <c r="D24" s="6" t="s">
        <v>22</v>
      </c>
      <c r="E24" s="11">
        <v>2.6599000000000001E-2</v>
      </c>
      <c r="F24" s="1"/>
      <c r="G24" s="84" t="s">
        <v>134</v>
      </c>
      <c r="H24" s="85"/>
      <c r="I24" s="85"/>
      <c r="J24" s="85"/>
      <c r="K24" s="85"/>
      <c r="L24" s="102">
        <v>53.280325269431678</v>
      </c>
      <c r="M24" s="26"/>
      <c r="N24" s="27"/>
    </row>
    <row r="25" spans="2:14" ht="15" customHeight="1" x14ac:dyDescent="0.25">
      <c r="B25" s="20"/>
      <c r="C25" s="5" t="s">
        <v>153</v>
      </c>
      <c r="D25" s="6" t="s">
        <v>22</v>
      </c>
      <c r="E25" s="11">
        <v>1.9268E-2</v>
      </c>
      <c r="F25" s="1"/>
      <c r="G25" s="1"/>
      <c r="H25" s="1"/>
      <c r="I25" s="1"/>
      <c r="J25" s="1"/>
      <c r="K25" s="1"/>
      <c r="L25" s="1"/>
      <c r="M25" s="1"/>
      <c r="N25" s="18"/>
    </row>
    <row r="26" spans="2:14" ht="15" customHeight="1" x14ac:dyDescent="0.25">
      <c r="B26" s="20"/>
      <c r="C26" s="5" t="s">
        <v>154</v>
      </c>
      <c r="D26" s="6" t="s">
        <v>22</v>
      </c>
      <c r="E26" s="11">
        <v>1.6868000000000001E-2</v>
      </c>
      <c r="F26" s="1"/>
      <c r="G26" s="84" t="s">
        <v>18</v>
      </c>
      <c r="H26" s="85"/>
      <c r="I26" s="85"/>
      <c r="J26" s="85"/>
      <c r="K26" s="85"/>
      <c r="L26" s="85"/>
      <c r="M26" s="85"/>
      <c r="N26" s="86"/>
    </row>
    <row r="27" spans="2:14" ht="15" customHeight="1" x14ac:dyDescent="0.25">
      <c r="B27" s="20"/>
      <c r="C27" s="5" t="s">
        <v>155</v>
      </c>
      <c r="D27" s="6" t="s">
        <v>22</v>
      </c>
      <c r="E27" s="11">
        <v>1.4505000000000001E-2</v>
      </c>
      <c r="F27" s="1"/>
      <c r="G27" s="1"/>
      <c r="H27" s="1"/>
      <c r="I27" s="1"/>
      <c r="J27" s="1"/>
      <c r="K27" s="1"/>
      <c r="L27" s="1"/>
      <c r="M27" s="1"/>
      <c r="N27" s="18"/>
    </row>
    <row r="28" spans="2:14" ht="15" customHeight="1" x14ac:dyDescent="0.25">
      <c r="B28" s="20"/>
      <c r="C28" s="5" t="s">
        <v>33</v>
      </c>
      <c r="D28" s="6" t="s">
        <v>22</v>
      </c>
      <c r="E28" s="11">
        <v>1.2061000000000001E-2</v>
      </c>
      <c r="F28" s="1"/>
      <c r="G28" s="1"/>
      <c r="H28" s="1"/>
      <c r="I28" s="1"/>
      <c r="J28" s="1"/>
      <c r="K28" s="1"/>
      <c r="L28" s="1"/>
      <c r="M28" s="1"/>
      <c r="N28" s="18"/>
    </row>
    <row r="29" spans="2:14" ht="15.75" customHeight="1" x14ac:dyDescent="0.25">
      <c r="B29" s="20"/>
      <c r="C29" s="7" t="s">
        <v>28</v>
      </c>
      <c r="D29" s="8"/>
      <c r="E29" s="12">
        <v>0.434006</v>
      </c>
      <c r="F29" s="1"/>
      <c r="G29" s="1"/>
      <c r="H29" s="1"/>
      <c r="I29" s="1"/>
      <c r="J29" s="1"/>
      <c r="K29" s="1"/>
      <c r="L29" s="1"/>
      <c r="M29" s="1"/>
      <c r="N29" s="18"/>
    </row>
    <row r="30" spans="2:14" ht="15" customHeight="1" x14ac:dyDescent="0.25">
      <c r="B30" s="20"/>
      <c r="C30" s="5" t="s">
        <v>32</v>
      </c>
      <c r="D30" s="6" t="s">
        <v>30</v>
      </c>
      <c r="E30" s="11">
        <v>5.5892999999999998E-2</v>
      </c>
      <c r="F30" s="1"/>
      <c r="G30" s="1"/>
      <c r="H30" s="1"/>
      <c r="I30" s="1"/>
      <c r="J30" s="1"/>
      <c r="K30" s="1"/>
      <c r="L30" s="1"/>
      <c r="M30" s="1"/>
      <c r="N30" s="18"/>
    </row>
    <row r="31" spans="2:14" ht="15" customHeight="1" x14ac:dyDescent="0.25">
      <c r="B31" s="20"/>
      <c r="C31" s="5" t="s">
        <v>78</v>
      </c>
      <c r="D31" s="6" t="s">
        <v>30</v>
      </c>
      <c r="E31" s="11">
        <v>6.7999999999999996E-3</v>
      </c>
      <c r="F31" s="1"/>
      <c r="G31" s="1"/>
      <c r="H31" s="1"/>
      <c r="I31" s="1"/>
      <c r="J31" s="1"/>
      <c r="K31" s="1"/>
      <c r="L31" s="1"/>
      <c r="M31" s="1"/>
      <c r="N31" s="18"/>
    </row>
    <row r="32" spans="2:14" ht="15.75" customHeight="1" x14ac:dyDescent="0.25">
      <c r="B32" s="20"/>
      <c r="C32" s="7" t="s">
        <v>46</v>
      </c>
      <c r="D32" s="8"/>
      <c r="E32" s="12">
        <v>6.2692999999999999E-2</v>
      </c>
      <c r="F32" s="1"/>
      <c r="G32" s="1"/>
      <c r="H32" s="1"/>
      <c r="I32" s="1"/>
      <c r="J32" s="1"/>
      <c r="K32" s="1"/>
      <c r="L32" s="1"/>
      <c r="M32" s="1"/>
      <c r="N32" s="18"/>
    </row>
    <row r="33" spans="2:14" ht="15" customHeight="1" x14ac:dyDescent="0.25">
      <c r="B33" s="20"/>
      <c r="C33" s="5" t="s">
        <v>47</v>
      </c>
      <c r="D33" s="6"/>
      <c r="E33" s="11">
        <v>2.7430000000000002E-3</v>
      </c>
      <c r="F33" s="1"/>
      <c r="G33" s="1"/>
      <c r="H33" s="1"/>
      <c r="I33" s="1"/>
      <c r="J33" s="1"/>
      <c r="K33" s="1"/>
      <c r="L33" s="1"/>
      <c r="M33" s="1"/>
      <c r="N33" s="18"/>
    </row>
    <row r="34" spans="2:14" ht="15.75" customHeight="1" x14ac:dyDescent="0.25">
      <c r="B34" s="20"/>
      <c r="C34" s="7" t="s">
        <v>48</v>
      </c>
      <c r="D34" s="8"/>
      <c r="E34" s="12">
        <v>2.7430000000000002E-3</v>
      </c>
      <c r="F34" s="1"/>
      <c r="G34" s="1"/>
      <c r="H34" s="1"/>
      <c r="I34" s="1"/>
      <c r="J34" s="1"/>
      <c r="K34" s="1"/>
      <c r="L34" s="1"/>
      <c r="M34" s="1"/>
      <c r="N34" s="18"/>
    </row>
    <row r="35" spans="2:14" ht="15" customHeight="1" x14ac:dyDescent="0.25">
      <c r="B35" s="20"/>
      <c r="C35" s="5" t="s">
        <v>156</v>
      </c>
      <c r="D35" s="6" t="s">
        <v>178</v>
      </c>
      <c r="E35" s="11">
        <v>6.8250000000000003E-3</v>
      </c>
      <c r="F35" s="1"/>
      <c r="G35" s="1"/>
      <c r="H35" s="1"/>
      <c r="I35" s="1"/>
      <c r="J35" s="1"/>
      <c r="K35" s="1"/>
      <c r="L35" s="1"/>
      <c r="M35" s="1"/>
      <c r="N35" s="18"/>
    </row>
    <row r="36" spans="2:14" ht="15.75" customHeight="1" x14ac:dyDescent="0.25">
      <c r="B36" s="20"/>
      <c r="C36" s="7" t="s">
        <v>50</v>
      </c>
      <c r="D36" s="8"/>
      <c r="E36" s="12">
        <v>6.8250000000000003E-3</v>
      </c>
      <c r="F36" s="1"/>
      <c r="G36" s="1"/>
      <c r="H36" s="1"/>
      <c r="I36" s="1"/>
      <c r="J36" s="1"/>
      <c r="K36" s="1"/>
      <c r="L36" s="1"/>
      <c r="M36" s="1"/>
      <c r="N36" s="18"/>
    </row>
    <row r="37" spans="2:14" ht="15" customHeight="1" x14ac:dyDescent="0.25">
      <c r="B37" s="20"/>
      <c r="C37" s="5" t="s">
        <v>157</v>
      </c>
      <c r="D37" s="6" t="s">
        <v>178</v>
      </c>
      <c r="E37" s="11">
        <v>8.4791000000000005E-2</v>
      </c>
      <c r="F37" s="1"/>
      <c r="G37" s="1"/>
      <c r="H37" s="1"/>
      <c r="I37" s="1"/>
      <c r="J37" s="1"/>
      <c r="K37" s="1"/>
      <c r="L37" s="1"/>
      <c r="M37" s="1"/>
      <c r="N37" s="18"/>
    </row>
    <row r="38" spans="2:14" ht="15" customHeight="1" x14ac:dyDescent="0.25">
      <c r="B38" s="20"/>
      <c r="C38" s="5" t="s">
        <v>158</v>
      </c>
      <c r="D38" s="6" t="s">
        <v>178</v>
      </c>
      <c r="E38" s="11">
        <v>6.7297999999999997E-2</v>
      </c>
      <c r="F38" s="1"/>
      <c r="G38" s="1"/>
      <c r="H38" s="1"/>
      <c r="I38" s="1"/>
      <c r="J38" s="1"/>
      <c r="K38" s="1"/>
      <c r="L38" s="1"/>
      <c r="M38" s="1"/>
      <c r="N38" s="18"/>
    </row>
    <row r="39" spans="2:14" ht="15" customHeight="1" x14ac:dyDescent="0.25">
      <c r="B39" s="20"/>
      <c r="C39" s="5" t="s">
        <v>159</v>
      </c>
      <c r="D39" s="6" t="s">
        <v>178</v>
      </c>
      <c r="E39" s="11">
        <v>2.4067000000000002E-2</v>
      </c>
      <c r="F39" s="1"/>
      <c r="G39" s="1"/>
      <c r="H39" s="1"/>
      <c r="I39" s="1"/>
      <c r="J39" s="1"/>
      <c r="K39" s="1"/>
      <c r="L39" s="1"/>
      <c r="M39" s="1"/>
      <c r="N39" s="18"/>
    </row>
    <row r="40" spans="2:14" ht="15" customHeight="1" x14ac:dyDescent="0.25">
      <c r="B40" s="20"/>
      <c r="C40" s="5" t="s">
        <v>160</v>
      </c>
      <c r="D40" s="6" t="s">
        <v>178</v>
      </c>
      <c r="E40" s="11">
        <v>1.2145E-2</v>
      </c>
      <c r="F40" s="1"/>
      <c r="G40" s="1"/>
      <c r="H40" s="1"/>
      <c r="I40" s="1"/>
      <c r="J40" s="1"/>
      <c r="K40" s="1"/>
      <c r="L40" s="1"/>
      <c r="M40" s="1"/>
      <c r="N40" s="18"/>
    </row>
    <row r="41" spans="2:14" ht="15" customHeight="1" x14ac:dyDescent="0.25">
      <c r="B41" s="20"/>
      <c r="C41" s="5" t="s">
        <v>161</v>
      </c>
      <c r="D41" s="6" t="s">
        <v>178</v>
      </c>
      <c r="E41" s="11">
        <v>5.8060000000000004E-3</v>
      </c>
      <c r="F41" s="1"/>
      <c r="G41" s="1"/>
      <c r="H41" s="1"/>
      <c r="I41" s="1"/>
      <c r="J41" s="1"/>
      <c r="K41" s="1"/>
      <c r="L41" s="1"/>
      <c r="M41" s="1"/>
      <c r="N41" s="18"/>
    </row>
    <row r="42" spans="2:14" ht="15.75" customHeight="1" x14ac:dyDescent="0.25">
      <c r="B42" s="20"/>
      <c r="C42" s="7" t="s">
        <v>92</v>
      </c>
      <c r="D42" s="8"/>
      <c r="E42" s="12">
        <v>0.194107</v>
      </c>
      <c r="F42" s="1"/>
      <c r="G42" s="1"/>
      <c r="H42" s="1"/>
      <c r="I42" s="1"/>
      <c r="J42" s="1"/>
      <c r="K42" s="1"/>
      <c r="L42" s="1"/>
      <c r="M42" s="1"/>
      <c r="N42" s="18"/>
    </row>
    <row r="43" spans="2:14" ht="15" customHeight="1" x14ac:dyDescent="0.25">
      <c r="B43" s="20"/>
      <c r="C43" s="5" t="s">
        <v>8</v>
      </c>
      <c r="D43" s="6"/>
      <c r="E43" s="11">
        <v>8.0421000000000006E-2</v>
      </c>
      <c r="F43" s="1"/>
      <c r="G43" s="1"/>
      <c r="H43" s="1"/>
      <c r="I43" s="1"/>
      <c r="J43" s="1"/>
      <c r="K43" s="1"/>
      <c r="L43" s="1"/>
      <c r="M43" s="1"/>
      <c r="N43" s="18"/>
    </row>
    <row r="44" spans="2:14" ht="15.75" customHeight="1" x14ac:dyDescent="0.25">
      <c r="B44" s="20"/>
      <c r="C44" s="7" t="s">
        <v>9</v>
      </c>
      <c r="D44" s="8"/>
      <c r="E44" s="12">
        <v>8.0421000000000006E-2</v>
      </c>
      <c r="F44" s="1"/>
      <c r="G44" s="1"/>
      <c r="H44" s="1"/>
      <c r="I44" s="1"/>
      <c r="J44" s="1"/>
      <c r="K44" s="1"/>
      <c r="L44" s="1"/>
      <c r="M44" s="1"/>
      <c r="N44" s="18"/>
    </row>
    <row r="45" spans="2:14" ht="15" customHeight="1" x14ac:dyDescent="0.25">
      <c r="B45" s="20"/>
      <c r="C45" s="5"/>
      <c r="D45" s="6"/>
      <c r="E45" s="11"/>
      <c r="F45" s="1"/>
      <c r="G45" s="1"/>
      <c r="H45" s="1"/>
      <c r="I45" s="1"/>
      <c r="J45" s="1"/>
      <c r="K45" s="1"/>
      <c r="L45" s="1"/>
      <c r="M45" s="1"/>
      <c r="N45" s="18"/>
    </row>
    <row r="46" spans="2:14" ht="15.75" customHeight="1" x14ac:dyDescent="0.25">
      <c r="B46" s="20"/>
      <c r="C46" s="7" t="s">
        <v>10</v>
      </c>
      <c r="D46" s="8"/>
      <c r="E46" s="12">
        <v>-0.14082600000000001</v>
      </c>
      <c r="F46" s="1"/>
      <c r="G46" s="1"/>
      <c r="H46" s="1"/>
      <c r="I46" s="1"/>
      <c r="J46" s="1"/>
      <c r="K46" s="1"/>
      <c r="L46" s="1"/>
      <c r="M46" s="1"/>
      <c r="N46" s="18"/>
    </row>
    <row r="47" spans="2:14" ht="15" customHeight="1" x14ac:dyDescent="0.25">
      <c r="B47" s="20"/>
      <c r="C47" s="5"/>
      <c r="D47" s="6"/>
      <c r="E47" s="11"/>
      <c r="F47" s="1"/>
      <c r="G47" s="1"/>
      <c r="H47" s="1"/>
      <c r="I47" s="1"/>
      <c r="J47" s="1"/>
      <c r="K47" s="1"/>
      <c r="L47" s="1"/>
      <c r="M47" s="1"/>
      <c r="N47" s="18"/>
    </row>
    <row r="48" spans="2:14" ht="15" customHeight="1" x14ac:dyDescent="0.25">
      <c r="B48" s="20"/>
      <c r="C48" s="9" t="s">
        <v>11</v>
      </c>
      <c r="D48" s="10"/>
      <c r="E48" s="13">
        <v>1</v>
      </c>
      <c r="F48" s="1"/>
      <c r="G48" s="1"/>
      <c r="H48" s="1"/>
      <c r="I48" s="1"/>
      <c r="J48" s="1"/>
      <c r="K48" s="1"/>
      <c r="L48" s="1"/>
      <c r="M48" s="1"/>
      <c r="N48" s="18"/>
    </row>
    <row r="49" spans="2:14" ht="15" customHeight="1" x14ac:dyDescent="0.25">
      <c r="B49" s="20"/>
      <c r="C49" s="1"/>
      <c r="D49" s="1"/>
      <c r="E49" s="1"/>
      <c r="F49" s="1"/>
      <c r="G49" s="1"/>
      <c r="H49" s="1"/>
      <c r="I49" s="1"/>
      <c r="J49" s="1"/>
      <c r="K49" s="1"/>
      <c r="L49" s="1"/>
      <c r="M49" s="1"/>
      <c r="N49" s="18"/>
    </row>
    <row r="50" spans="2:14" ht="15" customHeight="1" thickBot="1" x14ac:dyDescent="0.3">
      <c r="B50" s="21"/>
      <c r="C50" s="22"/>
      <c r="D50" s="22"/>
      <c r="E50" s="22"/>
      <c r="F50" s="22"/>
      <c r="G50" s="22"/>
      <c r="H50" s="22"/>
      <c r="I50" s="22"/>
      <c r="J50" s="22"/>
      <c r="K50" s="22"/>
      <c r="L50" s="22"/>
      <c r="M50" s="22"/>
      <c r="N50" s="23"/>
    </row>
    <row r="51" spans="2:14" ht="15" customHeight="1" thickBot="1" x14ac:dyDescent="0.3"/>
    <row r="52" spans="2:14" ht="15" customHeight="1" x14ac:dyDescent="0.25">
      <c r="B52" s="70" t="s">
        <v>288</v>
      </c>
      <c r="C52" s="71"/>
      <c r="D52" s="71"/>
      <c r="E52" s="71"/>
      <c r="F52" s="71"/>
      <c r="G52" s="71"/>
      <c r="H52" s="71"/>
      <c r="I52" s="71"/>
      <c r="J52" s="71"/>
      <c r="K52" s="71"/>
      <c r="L52" s="71"/>
      <c r="M52" s="71"/>
      <c r="N52" s="72"/>
    </row>
    <row r="53" spans="2:14" ht="15" customHeight="1" x14ac:dyDescent="0.25">
      <c r="B53" s="73"/>
      <c r="C53" s="74"/>
      <c r="D53" s="74"/>
      <c r="E53" s="74"/>
      <c r="F53" s="74"/>
      <c r="G53" s="74"/>
      <c r="H53" s="74"/>
      <c r="I53" s="74"/>
      <c r="J53" s="74"/>
      <c r="K53" s="74"/>
      <c r="L53" s="74"/>
      <c r="M53" s="74"/>
      <c r="N53" s="75"/>
    </row>
    <row r="54" spans="2:14" ht="15" customHeight="1" x14ac:dyDescent="0.25">
      <c r="B54" s="73"/>
      <c r="C54" s="74"/>
      <c r="D54" s="74"/>
      <c r="E54" s="74"/>
      <c r="F54" s="74"/>
      <c r="G54" s="74"/>
      <c r="H54" s="74"/>
      <c r="I54" s="74"/>
      <c r="J54" s="74"/>
      <c r="K54" s="74"/>
      <c r="L54" s="74"/>
      <c r="M54" s="74"/>
      <c r="N54" s="75"/>
    </row>
    <row r="55" spans="2:14" ht="15" customHeight="1" thickBot="1" x14ac:dyDescent="0.3">
      <c r="B55" s="76"/>
      <c r="C55" s="77"/>
      <c r="D55" s="77"/>
      <c r="E55" s="77"/>
      <c r="F55" s="77"/>
      <c r="G55" s="77"/>
      <c r="H55" s="77"/>
      <c r="I55" s="77"/>
      <c r="J55" s="77"/>
      <c r="K55" s="77"/>
      <c r="L55" s="77"/>
      <c r="M55" s="77"/>
      <c r="N55" s="78"/>
    </row>
    <row r="56" spans="2:14" ht="15" customHeight="1" thickBot="1" x14ac:dyDescent="0.3"/>
    <row r="57" spans="2:14" ht="133.5" customHeight="1" thickBot="1" x14ac:dyDescent="0.3">
      <c r="B57" s="67" t="s">
        <v>291</v>
      </c>
      <c r="C57" s="68"/>
      <c r="D57" s="68"/>
      <c r="E57" s="68"/>
      <c r="F57" s="68"/>
      <c r="G57" s="68"/>
      <c r="H57" s="68"/>
      <c r="I57" s="68"/>
      <c r="J57" s="68"/>
      <c r="K57" s="68"/>
      <c r="L57" s="68"/>
      <c r="M57" s="68"/>
      <c r="N57" s="69"/>
    </row>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sheetData>
  <mergeCells count="7">
    <mergeCell ref="B52:N55"/>
    <mergeCell ref="B57:N57"/>
    <mergeCell ref="C3:N3"/>
    <mergeCell ref="D5:E5"/>
    <mergeCell ref="G7:N7"/>
    <mergeCell ref="G24:K24"/>
    <mergeCell ref="G26:N2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C6CC5-6C70-45F2-BFD2-C74CB9CA3EB3}">
  <dimension ref="B1:N69"/>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9" t="s">
        <v>162</v>
      </c>
      <c r="D3" s="80"/>
      <c r="E3" s="80"/>
      <c r="F3" s="80"/>
      <c r="G3" s="80"/>
      <c r="H3" s="80"/>
      <c r="I3" s="80"/>
      <c r="J3" s="80"/>
      <c r="K3" s="80"/>
      <c r="L3" s="80"/>
      <c r="M3" s="80"/>
      <c r="N3" s="81"/>
    </row>
    <row r="4" spans="2:14" ht="15.75" customHeight="1" x14ac:dyDescent="0.25">
      <c r="B4" s="20"/>
      <c r="C4" s="14"/>
      <c r="D4" s="1"/>
      <c r="E4" s="1"/>
      <c r="F4" s="1"/>
      <c r="G4" s="1"/>
      <c r="H4" s="1"/>
      <c r="I4" s="1"/>
      <c r="J4" s="1"/>
      <c r="K4" s="1"/>
      <c r="L4" s="1"/>
      <c r="M4" s="1"/>
      <c r="N4" s="18"/>
    </row>
    <row r="5" spans="2:14" ht="18" customHeight="1" x14ac:dyDescent="0.25">
      <c r="B5" s="20"/>
      <c r="C5" s="15" t="s">
        <v>1</v>
      </c>
      <c r="D5" s="82" t="s">
        <v>163</v>
      </c>
      <c r="E5" s="8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4" t="s">
        <v>16</v>
      </c>
      <c r="H7" s="85"/>
      <c r="I7" s="85"/>
      <c r="J7" s="85"/>
      <c r="K7" s="85"/>
      <c r="L7" s="85"/>
      <c r="M7" s="85"/>
      <c r="N7" s="86"/>
    </row>
    <row r="8" spans="2:14" ht="15" customHeight="1" x14ac:dyDescent="0.25">
      <c r="B8" s="20"/>
      <c r="C8" s="5" t="s">
        <v>23</v>
      </c>
      <c r="D8" s="6" t="s">
        <v>22</v>
      </c>
      <c r="E8" s="11">
        <v>0.12094100000000001</v>
      </c>
      <c r="F8" s="1"/>
      <c r="G8" s="24" t="s">
        <v>15</v>
      </c>
      <c r="H8" s="25">
        <v>1</v>
      </c>
      <c r="I8" s="1"/>
      <c r="J8" s="24" t="s">
        <v>12</v>
      </c>
      <c r="K8" s="24" t="s">
        <v>5</v>
      </c>
      <c r="L8" s="1"/>
      <c r="M8" s="1"/>
      <c r="N8" s="18"/>
    </row>
    <row r="9" spans="2:14" ht="15" customHeight="1" x14ac:dyDescent="0.25">
      <c r="B9" s="20"/>
      <c r="C9" s="5" t="s">
        <v>33</v>
      </c>
      <c r="D9" s="6" t="s">
        <v>22</v>
      </c>
      <c r="E9" s="11">
        <v>4.8418000000000003E-2</v>
      </c>
      <c r="F9" s="1"/>
      <c r="G9" s="1"/>
      <c r="H9" s="1"/>
      <c r="I9" s="1"/>
      <c r="J9" s="24" t="s">
        <v>10</v>
      </c>
      <c r="K9" s="28">
        <v>2.0171999999999999E-2</v>
      </c>
      <c r="L9" s="1"/>
      <c r="M9" s="1"/>
      <c r="N9" s="18"/>
    </row>
    <row r="10" spans="2:14" ht="15" customHeight="1" x14ac:dyDescent="0.25">
      <c r="B10" s="20"/>
      <c r="C10" s="5" t="s">
        <v>29</v>
      </c>
      <c r="D10" s="6" t="s">
        <v>22</v>
      </c>
      <c r="E10" s="11">
        <v>3.7280000000000001E-2</v>
      </c>
      <c r="F10" s="1"/>
      <c r="G10" s="1"/>
      <c r="H10" s="1"/>
      <c r="I10" s="1"/>
      <c r="J10" s="24" t="s">
        <v>13</v>
      </c>
      <c r="K10" s="28">
        <v>1.5771E-2</v>
      </c>
      <c r="L10" s="1"/>
      <c r="M10" s="1"/>
      <c r="N10" s="18"/>
    </row>
    <row r="11" spans="2:14" ht="15" customHeight="1" x14ac:dyDescent="0.25">
      <c r="B11" s="20"/>
      <c r="C11" s="5" t="s">
        <v>26</v>
      </c>
      <c r="D11" s="6" t="s">
        <v>22</v>
      </c>
      <c r="E11" s="11">
        <v>1.8240000000000001E-3</v>
      </c>
      <c r="F11" s="1"/>
      <c r="G11" s="1"/>
      <c r="H11" s="1"/>
      <c r="I11" s="1"/>
      <c r="J11" s="24" t="s">
        <v>52</v>
      </c>
      <c r="K11" s="28">
        <v>0.20846300000000001</v>
      </c>
      <c r="L11" s="1"/>
      <c r="M11" s="1"/>
      <c r="N11" s="18"/>
    </row>
    <row r="12" spans="2:14" ht="15.75" customHeight="1" x14ac:dyDescent="0.25">
      <c r="B12" s="20"/>
      <c r="C12" s="7" t="s">
        <v>27</v>
      </c>
      <c r="D12" s="8"/>
      <c r="E12" s="12">
        <v>0.20846300000000001</v>
      </c>
      <c r="F12" s="1"/>
      <c r="G12" s="1"/>
      <c r="H12" s="1"/>
      <c r="I12" s="1"/>
      <c r="J12" s="24" t="s">
        <v>53</v>
      </c>
      <c r="K12" s="28">
        <v>0.59961699999999996</v>
      </c>
      <c r="L12" s="1"/>
      <c r="M12" s="1"/>
      <c r="N12" s="18"/>
    </row>
    <row r="13" spans="2:14" ht="15" customHeight="1" x14ac:dyDescent="0.25">
      <c r="B13" s="20"/>
      <c r="C13" s="5" t="s">
        <v>29</v>
      </c>
      <c r="D13" s="6" t="s">
        <v>22</v>
      </c>
      <c r="E13" s="11">
        <v>2.7508000000000001E-2</v>
      </c>
      <c r="F13" s="1"/>
      <c r="G13" s="1"/>
      <c r="H13" s="1"/>
      <c r="I13" s="1"/>
      <c r="J13" s="24" t="s">
        <v>54</v>
      </c>
      <c r="K13" s="28">
        <v>3.2016999999999997E-2</v>
      </c>
      <c r="L13" s="1"/>
      <c r="M13" s="1"/>
      <c r="N13" s="18"/>
    </row>
    <row r="14" spans="2:14" ht="15" customHeight="1" x14ac:dyDescent="0.25">
      <c r="B14" s="20"/>
      <c r="C14" s="5" t="s">
        <v>78</v>
      </c>
      <c r="D14" s="6" t="s">
        <v>22</v>
      </c>
      <c r="E14" s="11">
        <v>4.509E-3</v>
      </c>
      <c r="F14" s="1"/>
      <c r="G14" s="1"/>
      <c r="H14" s="1"/>
      <c r="I14" s="1"/>
      <c r="J14" s="24" t="s">
        <v>47</v>
      </c>
      <c r="K14" s="28">
        <v>2.9329999999999998E-3</v>
      </c>
      <c r="L14" s="1"/>
      <c r="M14" s="1"/>
      <c r="N14" s="18"/>
    </row>
    <row r="15" spans="2:14" ht="15.75" customHeight="1" x14ac:dyDescent="0.25">
      <c r="B15" s="20"/>
      <c r="C15" s="7" t="s">
        <v>28</v>
      </c>
      <c r="D15" s="8"/>
      <c r="E15" s="12">
        <v>3.2016999999999997E-2</v>
      </c>
      <c r="F15" s="1"/>
      <c r="G15" s="1"/>
      <c r="H15" s="1"/>
      <c r="I15" s="1"/>
      <c r="J15" s="24" t="s">
        <v>56</v>
      </c>
      <c r="K15" s="28">
        <v>0.120847</v>
      </c>
      <c r="L15" s="1"/>
      <c r="M15" s="1"/>
      <c r="N15" s="18"/>
    </row>
    <row r="16" spans="2:14" ht="15" customHeight="1" x14ac:dyDescent="0.25">
      <c r="B16" s="20"/>
      <c r="C16" s="5" t="s">
        <v>32</v>
      </c>
      <c r="D16" s="6" t="s">
        <v>30</v>
      </c>
      <c r="E16" s="11">
        <v>0.11536100000000001</v>
      </c>
      <c r="F16" s="1"/>
      <c r="G16" s="1"/>
      <c r="H16" s="1"/>
      <c r="I16" s="1"/>
      <c r="J16" s="24" t="s">
        <v>94</v>
      </c>
      <c r="K16" s="28">
        <v>1.8000000000000001E-4</v>
      </c>
      <c r="L16" s="1"/>
      <c r="M16" s="1"/>
      <c r="N16" s="18"/>
    </row>
    <row r="17" spans="2:14" ht="15" customHeight="1" x14ac:dyDescent="0.25">
      <c r="B17" s="20"/>
      <c r="C17" s="5" t="s">
        <v>34</v>
      </c>
      <c r="D17" s="6" t="s">
        <v>30</v>
      </c>
      <c r="E17" s="11">
        <v>0.109101</v>
      </c>
      <c r="F17" s="1"/>
      <c r="G17" s="1"/>
      <c r="H17" s="1"/>
      <c r="I17" s="1"/>
      <c r="J17" s="1"/>
      <c r="K17" s="1"/>
      <c r="L17" s="1"/>
      <c r="M17" s="1"/>
      <c r="N17" s="18"/>
    </row>
    <row r="18" spans="2:14" ht="15" customHeight="1" x14ac:dyDescent="0.25">
      <c r="B18" s="20"/>
      <c r="C18" s="5" t="s">
        <v>35</v>
      </c>
      <c r="D18" s="6" t="s">
        <v>30</v>
      </c>
      <c r="E18" s="11">
        <v>0.100066</v>
      </c>
      <c r="F18" s="1"/>
      <c r="G18" s="1"/>
      <c r="H18" s="1"/>
      <c r="I18" s="1"/>
      <c r="J18" s="1"/>
      <c r="K18" s="1"/>
      <c r="L18" s="1"/>
      <c r="M18" s="1"/>
      <c r="N18" s="18"/>
    </row>
    <row r="19" spans="2:14" ht="15" customHeight="1" x14ac:dyDescent="0.25">
      <c r="B19" s="20"/>
      <c r="C19" s="5" t="s">
        <v>76</v>
      </c>
      <c r="D19" s="6" t="s">
        <v>30</v>
      </c>
      <c r="E19" s="11">
        <v>7.2775999999999993E-2</v>
      </c>
      <c r="F19" s="1"/>
      <c r="G19" s="1"/>
      <c r="H19" s="1"/>
      <c r="I19" s="1"/>
      <c r="J19" s="1"/>
      <c r="K19" s="1"/>
      <c r="L19" s="1"/>
      <c r="M19" s="1"/>
      <c r="N19" s="18"/>
    </row>
    <row r="20" spans="2:14" ht="15" customHeight="1" x14ac:dyDescent="0.25">
      <c r="B20" s="20"/>
      <c r="C20" s="5" t="s">
        <v>33</v>
      </c>
      <c r="D20" s="6" t="s">
        <v>30</v>
      </c>
      <c r="E20" s="11">
        <v>5.7391999999999999E-2</v>
      </c>
      <c r="F20" s="1"/>
      <c r="G20" s="1"/>
      <c r="H20" s="1"/>
      <c r="I20" s="1"/>
      <c r="J20" s="1"/>
      <c r="K20" s="1"/>
      <c r="L20" s="1"/>
      <c r="M20" s="1"/>
      <c r="N20" s="18"/>
    </row>
    <row r="21" spans="2:14" ht="15" customHeight="1" x14ac:dyDescent="0.25">
      <c r="B21" s="20"/>
      <c r="C21" s="5" t="s">
        <v>83</v>
      </c>
      <c r="D21" s="6" t="s">
        <v>30</v>
      </c>
      <c r="E21" s="11">
        <v>4.8015000000000002E-2</v>
      </c>
      <c r="F21" s="1"/>
      <c r="G21" s="1"/>
      <c r="H21" s="1"/>
      <c r="I21" s="1"/>
      <c r="J21" s="1"/>
      <c r="K21" s="1"/>
      <c r="L21" s="1"/>
      <c r="M21" s="1"/>
      <c r="N21" s="18"/>
    </row>
    <row r="22" spans="2:14" ht="15" customHeight="1" x14ac:dyDescent="0.25">
      <c r="B22" s="20"/>
      <c r="C22" s="5" t="s">
        <v>29</v>
      </c>
      <c r="D22" s="6" t="s">
        <v>30</v>
      </c>
      <c r="E22" s="11">
        <v>4.6188E-2</v>
      </c>
      <c r="F22" s="1"/>
      <c r="G22" s="1"/>
      <c r="H22" s="1"/>
      <c r="I22" s="1"/>
      <c r="J22" s="1"/>
      <c r="K22" s="1"/>
      <c r="L22" s="1"/>
      <c r="M22" s="1"/>
      <c r="N22" s="18"/>
    </row>
    <row r="23" spans="2:14" ht="15" customHeight="1" x14ac:dyDescent="0.25">
      <c r="B23" s="20"/>
      <c r="C23" s="5" t="s">
        <v>78</v>
      </c>
      <c r="D23" s="6" t="s">
        <v>30</v>
      </c>
      <c r="E23" s="11">
        <v>2.6769000000000001E-2</v>
      </c>
      <c r="F23" s="1"/>
      <c r="G23" s="1"/>
      <c r="H23" s="1"/>
      <c r="I23" s="1"/>
      <c r="J23" s="1"/>
      <c r="K23" s="1"/>
      <c r="L23" s="1"/>
      <c r="M23" s="1"/>
      <c r="N23" s="18"/>
    </row>
    <row r="24" spans="2:14" ht="15" customHeight="1" x14ac:dyDescent="0.25">
      <c r="B24" s="20"/>
      <c r="C24" s="5" t="s">
        <v>24</v>
      </c>
      <c r="D24" s="6" t="s">
        <v>30</v>
      </c>
      <c r="E24" s="11">
        <v>1.4395E-2</v>
      </c>
      <c r="F24" s="1"/>
      <c r="G24" s="84" t="s">
        <v>134</v>
      </c>
      <c r="H24" s="85"/>
      <c r="I24" s="85"/>
      <c r="J24" s="85"/>
      <c r="K24" s="85"/>
      <c r="L24" s="102">
        <v>326.48102627601372</v>
      </c>
      <c r="M24" s="26"/>
      <c r="N24" s="27"/>
    </row>
    <row r="25" spans="2:14" ht="15" customHeight="1" x14ac:dyDescent="0.25">
      <c r="B25" s="20"/>
      <c r="C25" s="5" t="s">
        <v>77</v>
      </c>
      <c r="D25" s="6" t="s">
        <v>30</v>
      </c>
      <c r="E25" s="11">
        <v>9.554E-3</v>
      </c>
      <c r="F25" s="1"/>
      <c r="G25" s="1"/>
      <c r="H25" s="1"/>
      <c r="I25" s="1"/>
      <c r="J25" s="1"/>
      <c r="K25" s="1"/>
      <c r="L25" s="1"/>
      <c r="M25" s="1"/>
      <c r="N25" s="18"/>
    </row>
    <row r="26" spans="2:14" ht="15.75" customHeight="1" x14ac:dyDescent="0.25">
      <c r="B26" s="20"/>
      <c r="C26" s="7" t="s">
        <v>46</v>
      </c>
      <c r="D26" s="8"/>
      <c r="E26" s="12">
        <v>0.59961699999999996</v>
      </c>
      <c r="F26" s="1"/>
      <c r="G26" s="84" t="s">
        <v>18</v>
      </c>
      <c r="H26" s="85"/>
      <c r="I26" s="85"/>
      <c r="J26" s="85"/>
      <c r="K26" s="85"/>
      <c r="L26" s="85"/>
      <c r="M26" s="85"/>
      <c r="N26" s="86"/>
    </row>
    <row r="27" spans="2:14" ht="15" customHeight="1" x14ac:dyDescent="0.25">
      <c r="B27" s="20"/>
      <c r="C27" s="5" t="s">
        <v>47</v>
      </c>
      <c r="D27" s="6"/>
      <c r="E27" s="11">
        <v>2.9329999999999998E-3</v>
      </c>
      <c r="F27" s="1"/>
      <c r="G27" s="1"/>
      <c r="H27" s="1"/>
      <c r="I27" s="1"/>
      <c r="J27" s="1"/>
      <c r="K27" s="1"/>
      <c r="L27" s="1"/>
      <c r="M27" s="1"/>
      <c r="N27" s="18"/>
    </row>
    <row r="28" spans="2:14" ht="15.75" customHeight="1" x14ac:dyDescent="0.25">
      <c r="B28" s="20"/>
      <c r="C28" s="7" t="s">
        <v>48</v>
      </c>
      <c r="D28" s="8"/>
      <c r="E28" s="12">
        <v>2.9329999999999998E-3</v>
      </c>
      <c r="F28" s="1"/>
      <c r="G28" s="1"/>
      <c r="H28" s="1"/>
      <c r="I28" s="1"/>
      <c r="J28" s="1"/>
      <c r="K28" s="1"/>
      <c r="L28" s="1"/>
      <c r="M28" s="1"/>
      <c r="N28" s="18"/>
    </row>
    <row r="29" spans="2:14" ht="15" customHeight="1" x14ac:dyDescent="0.25">
      <c r="B29" s="20"/>
      <c r="C29" s="5" t="s">
        <v>189</v>
      </c>
      <c r="D29" s="6" t="s">
        <v>178</v>
      </c>
      <c r="E29" s="11">
        <v>3.7953000000000001E-2</v>
      </c>
      <c r="F29" s="1"/>
      <c r="G29" s="1"/>
      <c r="H29" s="1"/>
      <c r="I29" s="1"/>
      <c r="J29" s="1"/>
      <c r="K29" s="1"/>
      <c r="L29" s="1"/>
      <c r="M29" s="1"/>
      <c r="N29" s="18"/>
    </row>
    <row r="30" spans="2:14" ht="15.75" customHeight="1" x14ac:dyDescent="0.25">
      <c r="B30" s="20"/>
      <c r="C30" s="5" t="s">
        <v>181</v>
      </c>
      <c r="D30" s="6" t="s">
        <v>178</v>
      </c>
      <c r="E30" s="11">
        <v>9.7269999999999995E-3</v>
      </c>
      <c r="F30" s="1"/>
      <c r="G30" s="1"/>
      <c r="H30" s="1"/>
      <c r="I30" s="1"/>
      <c r="J30" s="1"/>
      <c r="K30" s="1"/>
      <c r="L30" s="1"/>
      <c r="M30" s="1"/>
      <c r="N30" s="18"/>
    </row>
    <row r="31" spans="2:14" ht="15" customHeight="1" x14ac:dyDescent="0.25">
      <c r="B31" s="20"/>
      <c r="C31" s="5" t="s">
        <v>188</v>
      </c>
      <c r="D31" s="6" t="s">
        <v>178</v>
      </c>
      <c r="E31" s="11">
        <v>9.7109999999999991E-3</v>
      </c>
      <c r="F31" s="1"/>
      <c r="G31" s="1"/>
      <c r="H31" s="1"/>
      <c r="I31" s="1"/>
      <c r="J31" s="1"/>
      <c r="K31" s="1"/>
      <c r="L31" s="1"/>
      <c r="M31" s="1"/>
      <c r="N31" s="18"/>
    </row>
    <row r="32" spans="2:14" ht="15.75" customHeight="1" x14ac:dyDescent="0.25">
      <c r="B32" s="20"/>
      <c r="C32" s="5" t="s">
        <v>193</v>
      </c>
      <c r="D32" s="6" t="s">
        <v>178</v>
      </c>
      <c r="E32" s="11">
        <v>9.7099999999999999E-3</v>
      </c>
      <c r="F32" s="1"/>
      <c r="G32" s="1"/>
      <c r="H32" s="1"/>
      <c r="I32" s="1"/>
      <c r="J32" s="1"/>
      <c r="K32" s="1"/>
      <c r="L32" s="1"/>
      <c r="M32" s="1"/>
      <c r="N32" s="18"/>
    </row>
    <row r="33" spans="2:14" ht="15" customHeight="1" x14ac:dyDescent="0.25">
      <c r="B33" s="20"/>
      <c r="C33" s="5" t="s">
        <v>179</v>
      </c>
      <c r="D33" s="6" t="s">
        <v>178</v>
      </c>
      <c r="E33" s="11">
        <v>9.7070000000000004E-3</v>
      </c>
      <c r="F33" s="1"/>
      <c r="G33" s="1"/>
      <c r="H33" s="1"/>
      <c r="I33" s="1"/>
      <c r="J33" s="1"/>
      <c r="K33" s="1"/>
      <c r="L33" s="1"/>
      <c r="M33" s="1"/>
      <c r="N33" s="18"/>
    </row>
    <row r="34" spans="2:14" ht="15.75" customHeight="1" x14ac:dyDescent="0.25">
      <c r="B34" s="20"/>
      <c r="C34" s="5" t="s">
        <v>190</v>
      </c>
      <c r="D34" s="6" t="s">
        <v>178</v>
      </c>
      <c r="E34" s="11">
        <v>6.8370000000000002E-3</v>
      </c>
      <c r="F34" s="1"/>
      <c r="G34" s="1"/>
      <c r="H34" s="1"/>
      <c r="I34" s="1"/>
      <c r="J34" s="1"/>
      <c r="K34" s="1"/>
      <c r="L34" s="1"/>
      <c r="M34" s="1"/>
      <c r="N34" s="18"/>
    </row>
    <row r="35" spans="2:14" ht="15" customHeight="1" x14ac:dyDescent="0.25">
      <c r="B35" s="20"/>
      <c r="C35" s="5" t="s">
        <v>180</v>
      </c>
      <c r="D35" s="6" t="s">
        <v>178</v>
      </c>
      <c r="E35" s="11">
        <v>6.796E-3</v>
      </c>
      <c r="F35" s="1"/>
      <c r="G35" s="1"/>
      <c r="H35" s="1"/>
      <c r="I35" s="1"/>
      <c r="J35" s="1"/>
      <c r="K35" s="1"/>
      <c r="L35" s="1"/>
      <c r="M35" s="1"/>
      <c r="N35" s="18"/>
    </row>
    <row r="36" spans="2:14" ht="15.75" customHeight="1" x14ac:dyDescent="0.25">
      <c r="B36" s="20"/>
      <c r="C36" s="5" t="s">
        <v>185</v>
      </c>
      <c r="D36" s="6" t="s">
        <v>178</v>
      </c>
      <c r="E36" s="11">
        <v>6.7949999999999998E-3</v>
      </c>
      <c r="F36" s="1"/>
      <c r="G36" s="1"/>
      <c r="H36" s="1"/>
      <c r="I36" s="1"/>
      <c r="J36" s="1"/>
      <c r="K36" s="1"/>
      <c r="L36" s="1"/>
      <c r="M36" s="1"/>
      <c r="N36" s="18"/>
    </row>
    <row r="37" spans="2:14" ht="15" customHeight="1" x14ac:dyDescent="0.25">
      <c r="B37" s="20"/>
      <c r="C37" s="5" t="s">
        <v>187</v>
      </c>
      <c r="D37" s="6" t="s">
        <v>178</v>
      </c>
      <c r="E37" s="11">
        <v>6.7949999999999998E-3</v>
      </c>
      <c r="F37" s="1"/>
      <c r="G37" s="1"/>
      <c r="H37" s="1"/>
      <c r="I37" s="1"/>
      <c r="J37" s="1"/>
      <c r="K37" s="1"/>
      <c r="L37" s="1"/>
      <c r="M37" s="1"/>
      <c r="N37" s="18"/>
    </row>
    <row r="38" spans="2:14" ht="15" customHeight="1" x14ac:dyDescent="0.25">
      <c r="B38" s="20"/>
      <c r="C38" s="5" t="s">
        <v>186</v>
      </c>
      <c r="D38" s="6" t="s">
        <v>178</v>
      </c>
      <c r="E38" s="11">
        <v>4.8659999999999997E-3</v>
      </c>
      <c r="F38" s="1"/>
      <c r="G38" s="1"/>
      <c r="H38" s="1"/>
      <c r="I38" s="1"/>
      <c r="J38" s="1"/>
      <c r="K38" s="1"/>
      <c r="L38" s="1"/>
      <c r="M38" s="1"/>
      <c r="N38" s="18"/>
    </row>
    <row r="39" spans="2:14" ht="15" customHeight="1" x14ac:dyDescent="0.25">
      <c r="B39" s="20"/>
      <c r="C39" s="5" t="s">
        <v>192</v>
      </c>
      <c r="D39" s="6" t="s">
        <v>178</v>
      </c>
      <c r="E39" s="11">
        <v>4.8520000000000004E-3</v>
      </c>
      <c r="F39" s="1"/>
      <c r="G39" s="1"/>
      <c r="H39" s="1"/>
      <c r="I39" s="1"/>
      <c r="J39" s="1"/>
      <c r="K39" s="1"/>
      <c r="L39" s="1"/>
      <c r="M39" s="1"/>
      <c r="N39" s="18"/>
    </row>
    <row r="40" spans="2:14" ht="15" customHeight="1" x14ac:dyDescent="0.25">
      <c r="B40" s="20"/>
      <c r="C40" s="5" t="s">
        <v>184</v>
      </c>
      <c r="D40" s="6" t="s">
        <v>178</v>
      </c>
      <c r="E40" s="11">
        <v>2.9229999999999998E-3</v>
      </c>
      <c r="F40" s="1"/>
      <c r="G40" s="1"/>
      <c r="H40" s="1"/>
      <c r="I40" s="1"/>
      <c r="J40" s="1"/>
      <c r="K40" s="1"/>
      <c r="L40" s="1"/>
      <c r="M40" s="1"/>
      <c r="N40" s="18"/>
    </row>
    <row r="41" spans="2:14" ht="15" customHeight="1" x14ac:dyDescent="0.25">
      <c r="B41" s="20"/>
      <c r="C41" s="5" t="s">
        <v>183</v>
      </c>
      <c r="D41" s="6" t="s">
        <v>178</v>
      </c>
      <c r="E41" s="11">
        <v>1.9449999999999999E-3</v>
      </c>
      <c r="F41" s="1"/>
      <c r="G41" s="1"/>
      <c r="H41" s="1"/>
      <c r="I41" s="1"/>
      <c r="J41" s="1"/>
      <c r="K41" s="1"/>
      <c r="L41" s="1"/>
      <c r="M41" s="1"/>
      <c r="N41" s="18"/>
    </row>
    <row r="42" spans="2:14" ht="15" customHeight="1" x14ac:dyDescent="0.25">
      <c r="B42" s="20"/>
      <c r="C42" s="5" t="s">
        <v>182</v>
      </c>
      <c r="D42" s="6" t="s">
        <v>178</v>
      </c>
      <c r="E42" s="11">
        <v>1.941E-3</v>
      </c>
      <c r="F42" s="1"/>
      <c r="G42" s="1"/>
      <c r="H42" s="1"/>
      <c r="I42" s="1"/>
      <c r="J42" s="1"/>
      <c r="K42" s="1"/>
      <c r="L42" s="1"/>
      <c r="M42" s="1"/>
      <c r="N42" s="18"/>
    </row>
    <row r="43" spans="2:14" ht="15" customHeight="1" x14ac:dyDescent="0.25">
      <c r="B43" s="20"/>
      <c r="C43" s="5" t="s">
        <v>191</v>
      </c>
      <c r="D43" s="6" t="s">
        <v>178</v>
      </c>
      <c r="E43" s="11">
        <v>2.8899999999999998E-4</v>
      </c>
      <c r="F43" s="1"/>
      <c r="G43" s="1"/>
      <c r="H43" s="1"/>
      <c r="I43" s="1"/>
      <c r="J43" s="1"/>
      <c r="K43" s="1"/>
      <c r="L43" s="1"/>
      <c r="M43" s="1"/>
      <c r="N43" s="18"/>
    </row>
    <row r="44" spans="2:14" ht="15" customHeight="1" x14ac:dyDescent="0.25">
      <c r="B44" s="20"/>
      <c r="C44" s="7" t="s">
        <v>51</v>
      </c>
      <c r="D44" s="8"/>
      <c r="E44" s="12">
        <v>0.120847</v>
      </c>
      <c r="F44" s="1"/>
      <c r="G44" s="1"/>
      <c r="H44" s="1"/>
      <c r="I44" s="1"/>
      <c r="J44" s="1"/>
      <c r="K44" s="1"/>
      <c r="L44" s="1"/>
      <c r="M44" s="1"/>
      <c r="N44" s="18"/>
    </row>
    <row r="45" spans="2:14" ht="15" customHeight="1" x14ac:dyDescent="0.25">
      <c r="B45" s="20"/>
      <c r="C45" s="5" t="s">
        <v>164</v>
      </c>
      <c r="D45" s="6" t="s">
        <v>178</v>
      </c>
      <c r="E45" s="11">
        <v>1.8000000000000001E-4</v>
      </c>
      <c r="F45" s="1"/>
      <c r="G45" s="1"/>
      <c r="H45" s="1"/>
      <c r="I45" s="1"/>
      <c r="J45" s="1"/>
      <c r="K45" s="1"/>
      <c r="L45" s="1"/>
      <c r="M45" s="1"/>
      <c r="N45" s="18"/>
    </row>
    <row r="46" spans="2:14" ht="15" customHeight="1" x14ac:dyDescent="0.25">
      <c r="B46" s="20"/>
      <c r="C46" s="7" t="s">
        <v>92</v>
      </c>
      <c r="D46" s="8"/>
      <c r="E46" s="12">
        <v>1.8000000000000001E-4</v>
      </c>
      <c r="F46" s="1"/>
      <c r="G46" s="1"/>
      <c r="H46" s="1"/>
      <c r="I46" s="1"/>
      <c r="J46" s="1"/>
      <c r="K46" s="1"/>
      <c r="L46" s="1"/>
      <c r="M46" s="1"/>
      <c r="N46" s="18"/>
    </row>
    <row r="47" spans="2:14" ht="15" customHeight="1" x14ac:dyDescent="0.25">
      <c r="B47" s="20"/>
      <c r="C47" s="5" t="s">
        <v>8</v>
      </c>
      <c r="D47" s="6"/>
      <c r="E47" s="11">
        <v>1.5771E-2</v>
      </c>
      <c r="F47" s="1"/>
      <c r="G47" s="1"/>
      <c r="H47" s="1"/>
      <c r="I47" s="1"/>
      <c r="J47" s="1"/>
      <c r="K47" s="1"/>
      <c r="L47" s="1"/>
      <c r="M47" s="1"/>
      <c r="N47" s="18"/>
    </row>
    <row r="48" spans="2:14" ht="15" customHeight="1" x14ac:dyDescent="0.25">
      <c r="B48" s="20"/>
      <c r="C48" s="7" t="s">
        <v>9</v>
      </c>
      <c r="D48" s="8"/>
      <c r="E48" s="12">
        <v>1.5771E-2</v>
      </c>
      <c r="F48" s="1"/>
      <c r="G48" s="1"/>
      <c r="H48" s="1"/>
      <c r="I48" s="1"/>
      <c r="J48" s="1"/>
      <c r="K48" s="1"/>
      <c r="L48" s="1"/>
      <c r="M48" s="1"/>
      <c r="N48" s="18"/>
    </row>
    <row r="49" spans="2:14" ht="15" customHeight="1" x14ac:dyDescent="0.25">
      <c r="B49" s="20"/>
      <c r="C49" s="5"/>
      <c r="D49" s="6"/>
      <c r="E49" s="11"/>
      <c r="F49" s="1"/>
      <c r="G49" s="1"/>
      <c r="H49" s="1"/>
      <c r="I49" s="1"/>
      <c r="J49" s="1"/>
      <c r="K49" s="1"/>
      <c r="L49" s="1"/>
      <c r="M49" s="1"/>
      <c r="N49" s="18"/>
    </row>
    <row r="50" spans="2:14" ht="15" customHeight="1" x14ac:dyDescent="0.25">
      <c r="B50" s="20"/>
      <c r="C50" s="7" t="s">
        <v>10</v>
      </c>
      <c r="D50" s="8"/>
      <c r="E50" s="12">
        <v>2.0171999999999999E-2</v>
      </c>
      <c r="F50" s="1"/>
      <c r="G50" s="1"/>
      <c r="H50" s="1"/>
      <c r="I50" s="1"/>
      <c r="J50" s="1"/>
      <c r="K50" s="1"/>
      <c r="L50" s="1"/>
      <c r="M50" s="1"/>
      <c r="N50" s="18"/>
    </row>
    <row r="51" spans="2:14" ht="15" customHeight="1" x14ac:dyDescent="0.25">
      <c r="B51" s="20"/>
      <c r="C51" s="5"/>
      <c r="D51" s="6"/>
      <c r="E51" s="11"/>
      <c r="F51" s="1"/>
      <c r="G51" s="1"/>
      <c r="H51" s="1"/>
      <c r="I51" s="1"/>
      <c r="J51" s="1"/>
      <c r="K51" s="1"/>
      <c r="L51" s="1"/>
      <c r="M51" s="1"/>
      <c r="N51" s="18"/>
    </row>
    <row r="52" spans="2:14" ht="15" customHeight="1" x14ac:dyDescent="0.25">
      <c r="B52" s="20"/>
      <c r="C52" s="9" t="s">
        <v>11</v>
      </c>
      <c r="D52" s="10"/>
      <c r="E52" s="13">
        <v>1</v>
      </c>
      <c r="F52" s="1"/>
      <c r="G52" s="1"/>
      <c r="H52" s="1"/>
      <c r="I52" s="1"/>
      <c r="J52" s="1"/>
      <c r="K52" s="1"/>
      <c r="L52" s="1"/>
      <c r="M52" s="1"/>
      <c r="N52" s="18"/>
    </row>
    <row r="53" spans="2:14" ht="15" customHeight="1" x14ac:dyDescent="0.25">
      <c r="B53" s="20"/>
      <c r="C53" s="1"/>
      <c r="D53" s="1"/>
      <c r="E53" s="1"/>
      <c r="F53" s="1"/>
      <c r="G53" s="1"/>
      <c r="H53" s="1"/>
      <c r="I53" s="1"/>
      <c r="J53" s="1"/>
      <c r="K53" s="1"/>
      <c r="L53" s="1"/>
      <c r="M53" s="1"/>
      <c r="N53" s="18"/>
    </row>
    <row r="54" spans="2:14" ht="15" customHeight="1" thickBot="1" x14ac:dyDescent="0.3">
      <c r="B54" s="21"/>
      <c r="C54" s="22"/>
      <c r="D54" s="22"/>
      <c r="E54" s="22"/>
      <c r="F54" s="22"/>
      <c r="G54" s="22"/>
      <c r="H54" s="22"/>
      <c r="I54" s="22"/>
      <c r="J54" s="22"/>
      <c r="K54" s="22"/>
      <c r="L54" s="22"/>
      <c r="M54" s="22"/>
      <c r="N54" s="23"/>
    </row>
    <row r="55" spans="2:14" ht="15" customHeight="1" thickBot="1" x14ac:dyDescent="0.3"/>
    <row r="56" spans="2:14" ht="15" customHeight="1" x14ac:dyDescent="0.25">
      <c r="B56" s="70" t="s">
        <v>288</v>
      </c>
      <c r="C56" s="71"/>
      <c r="D56" s="71"/>
      <c r="E56" s="71"/>
      <c r="F56" s="71"/>
      <c r="G56" s="71"/>
      <c r="H56" s="71"/>
      <c r="I56" s="71"/>
      <c r="J56" s="71"/>
      <c r="K56" s="71"/>
      <c r="L56" s="71"/>
      <c r="M56" s="71"/>
      <c r="N56" s="72"/>
    </row>
    <row r="57" spans="2:14" ht="15" customHeight="1" x14ac:dyDescent="0.25">
      <c r="B57" s="73"/>
      <c r="C57" s="74"/>
      <c r="D57" s="74"/>
      <c r="E57" s="74"/>
      <c r="F57" s="74"/>
      <c r="G57" s="74"/>
      <c r="H57" s="74"/>
      <c r="I57" s="74"/>
      <c r="J57" s="74"/>
      <c r="K57" s="74"/>
      <c r="L57" s="74"/>
      <c r="M57" s="74"/>
      <c r="N57" s="75"/>
    </row>
    <row r="58" spans="2:14" ht="15" customHeight="1" x14ac:dyDescent="0.25">
      <c r="B58" s="73"/>
      <c r="C58" s="74"/>
      <c r="D58" s="74"/>
      <c r="E58" s="74"/>
      <c r="F58" s="74"/>
      <c r="G58" s="74"/>
      <c r="H58" s="74"/>
      <c r="I58" s="74"/>
      <c r="J58" s="74"/>
      <c r="K58" s="74"/>
      <c r="L58" s="74"/>
      <c r="M58" s="74"/>
      <c r="N58" s="75"/>
    </row>
    <row r="59" spans="2:14" ht="15" customHeight="1" thickBot="1" x14ac:dyDescent="0.3">
      <c r="B59" s="76"/>
      <c r="C59" s="77"/>
      <c r="D59" s="77"/>
      <c r="E59" s="77"/>
      <c r="F59" s="77"/>
      <c r="G59" s="77"/>
      <c r="H59" s="77"/>
      <c r="I59" s="77"/>
      <c r="J59" s="77"/>
      <c r="K59" s="77"/>
      <c r="L59" s="77"/>
      <c r="M59" s="77"/>
      <c r="N59" s="78"/>
    </row>
    <row r="60" spans="2:14" ht="15" customHeight="1" thickBot="1" x14ac:dyDescent="0.3"/>
    <row r="61" spans="2:14" ht="138.75" customHeight="1" thickBot="1" x14ac:dyDescent="0.3">
      <c r="B61" s="67" t="s">
        <v>291</v>
      </c>
      <c r="C61" s="68"/>
      <c r="D61" s="68"/>
      <c r="E61" s="68"/>
      <c r="F61" s="68"/>
      <c r="G61" s="68"/>
      <c r="H61" s="68"/>
      <c r="I61" s="68"/>
      <c r="J61" s="68"/>
      <c r="K61" s="68"/>
      <c r="L61" s="68"/>
      <c r="M61" s="68"/>
      <c r="N61" s="69"/>
    </row>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sheetData>
  <sortState ref="C29:E43">
    <sortCondition descending="1" ref="E29"/>
  </sortState>
  <mergeCells count="7">
    <mergeCell ref="B56:N59"/>
    <mergeCell ref="B61:N61"/>
    <mergeCell ref="C3:N3"/>
    <mergeCell ref="D5:E5"/>
    <mergeCell ref="G7:N7"/>
    <mergeCell ref="G24:K24"/>
    <mergeCell ref="G26:N2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C3D6D-48BC-4C46-B0BB-CDDC3EECDD01}">
  <dimension ref="B1:N69"/>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9" t="s">
        <v>165</v>
      </c>
      <c r="D3" s="80"/>
      <c r="E3" s="80"/>
      <c r="F3" s="80"/>
      <c r="G3" s="80"/>
      <c r="H3" s="80"/>
      <c r="I3" s="80"/>
      <c r="J3" s="80"/>
      <c r="K3" s="80"/>
      <c r="L3" s="80"/>
      <c r="M3" s="80"/>
      <c r="N3" s="81"/>
    </row>
    <row r="4" spans="2:14" ht="15.75" customHeight="1" x14ac:dyDescent="0.25">
      <c r="B4" s="20"/>
      <c r="C4" s="14"/>
      <c r="D4" s="1"/>
      <c r="E4" s="1"/>
      <c r="F4" s="1"/>
      <c r="G4" s="1"/>
      <c r="H4" s="1"/>
      <c r="I4" s="1"/>
      <c r="J4" s="1"/>
      <c r="K4" s="1"/>
      <c r="L4" s="1"/>
      <c r="M4" s="1"/>
      <c r="N4" s="18"/>
    </row>
    <row r="5" spans="2:14" ht="18" customHeight="1" x14ac:dyDescent="0.25">
      <c r="B5" s="20"/>
      <c r="C5" s="15" t="s">
        <v>1</v>
      </c>
      <c r="D5" s="82" t="s">
        <v>166</v>
      </c>
      <c r="E5" s="8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4" t="s">
        <v>16</v>
      </c>
      <c r="H7" s="85"/>
      <c r="I7" s="85"/>
      <c r="J7" s="85"/>
      <c r="K7" s="85"/>
      <c r="L7" s="85"/>
      <c r="M7" s="85"/>
      <c r="N7" s="86"/>
    </row>
    <row r="8" spans="2:14" ht="15" customHeight="1" x14ac:dyDescent="0.25">
      <c r="B8" s="20"/>
      <c r="C8" s="5" t="s">
        <v>23</v>
      </c>
      <c r="D8" s="6" t="s">
        <v>22</v>
      </c>
      <c r="E8" s="11">
        <v>0.11296399999999999</v>
      </c>
      <c r="F8" s="1"/>
      <c r="G8" s="24" t="s">
        <v>15</v>
      </c>
      <c r="H8" s="25">
        <v>1</v>
      </c>
      <c r="I8" s="1"/>
      <c r="J8" s="24" t="s">
        <v>12</v>
      </c>
      <c r="K8" s="24" t="s">
        <v>5</v>
      </c>
      <c r="L8" s="1"/>
      <c r="M8" s="1"/>
      <c r="N8" s="18"/>
    </row>
    <row r="9" spans="2:14" ht="15" customHeight="1" x14ac:dyDescent="0.25">
      <c r="B9" s="20"/>
      <c r="C9" s="5" t="s">
        <v>33</v>
      </c>
      <c r="D9" s="6" t="s">
        <v>22</v>
      </c>
      <c r="E9" s="11">
        <v>7.9065999999999997E-2</v>
      </c>
      <c r="F9" s="1"/>
      <c r="G9" s="1"/>
      <c r="H9" s="1"/>
      <c r="I9" s="1"/>
      <c r="J9" s="24" t="s">
        <v>10</v>
      </c>
      <c r="K9" s="28">
        <v>1.65E-4</v>
      </c>
      <c r="L9" s="1"/>
      <c r="M9" s="1"/>
      <c r="N9" s="18"/>
    </row>
    <row r="10" spans="2:14" ht="15" customHeight="1" x14ac:dyDescent="0.25">
      <c r="B10" s="20"/>
      <c r="C10" s="5" t="s">
        <v>21</v>
      </c>
      <c r="D10" s="6" t="s">
        <v>22</v>
      </c>
      <c r="E10" s="11">
        <v>6.8220000000000003E-2</v>
      </c>
      <c r="F10" s="1"/>
      <c r="G10" s="1"/>
      <c r="H10" s="1"/>
      <c r="I10" s="1"/>
      <c r="J10" s="24" t="s">
        <v>13</v>
      </c>
      <c r="K10" s="28">
        <v>1.5099E-2</v>
      </c>
      <c r="L10" s="1"/>
      <c r="M10" s="1"/>
      <c r="N10" s="18"/>
    </row>
    <row r="11" spans="2:14" ht="15" customHeight="1" x14ac:dyDescent="0.25">
      <c r="B11" s="20"/>
      <c r="C11" s="5" t="s">
        <v>109</v>
      </c>
      <c r="D11" s="6" t="s">
        <v>22</v>
      </c>
      <c r="E11" s="11">
        <v>5.8666000000000003E-2</v>
      </c>
      <c r="F11" s="1"/>
      <c r="G11" s="1"/>
      <c r="H11" s="1"/>
      <c r="I11" s="1"/>
      <c r="J11" s="24" t="s">
        <v>52</v>
      </c>
      <c r="K11" s="28">
        <v>0.58546600000000004</v>
      </c>
      <c r="L11" s="1"/>
      <c r="M11" s="1"/>
      <c r="N11" s="18"/>
    </row>
    <row r="12" spans="2:14" ht="15" customHeight="1" x14ac:dyDescent="0.25">
      <c r="B12" s="20"/>
      <c r="C12" s="5" t="s">
        <v>26</v>
      </c>
      <c r="D12" s="6" t="s">
        <v>22</v>
      </c>
      <c r="E12" s="11">
        <v>5.4917000000000001E-2</v>
      </c>
      <c r="F12" s="1"/>
      <c r="G12" s="1"/>
      <c r="H12" s="1"/>
      <c r="I12" s="1"/>
      <c r="J12" s="24" t="s">
        <v>54</v>
      </c>
      <c r="K12" s="28">
        <v>0.28306399999999998</v>
      </c>
      <c r="L12" s="1"/>
      <c r="M12" s="1"/>
      <c r="N12" s="18"/>
    </row>
    <row r="13" spans="2:14" ht="15" customHeight="1" x14ac:dyDescent="0.25">
      <c r="B13" s="20"/>
      <c r="C13" s="5" t="s">
        <v>32</v>
      </c>
      <c r="D13" s="6" t="s">
        <v>22</v>
      </c>
      <c r="E13" s="11">
        <v>4.5985999999999999E-2</v>
      </c>
      <c r="F13" s="1"/>
      <c r="G13" s="1"/>
      <c r="H13" s="1"/>
      <c r="I13" s="1"/>
      <c r="J13" s="24" t="s">
        <v>47</v>
      </c>
      <c r="K13" s="28">
        <v>2.091E-3</v>
      </c>
      <c r="L13" s="1"/>
      <c r="M13" s="1"/>
      <c r="N13" s="18"/>
    </row>
    <row r="14" spans="2:14" ht="15" customHeight="1" x14ac:dyDescent="0.25">
      <c r="B14" s="20"/>
      <c r="C14" s="5" t="s">
        <v>42</v>
      </c>
      <c r="D14" s="6" t="s">
        <v>22</v>
      </c>
      <c r="E14" s="11">
        <v>4.5490000000000003E-2</v>
      </c>
      <c r="F14" s="1"/>
      <c r="G14" s="1"/>
      <c r="H14" s="1"/>
      <c r="I14" s="1"/>
      <c r="J14" s="24" t="s">
        <v>55</v>
      </c>
      <c r="K14" s="28">
        <v>2.4879999999999999E-2</v>
      </c>
      <c r="L14" s="1"/>
      <c r="M14" s="1"/>
      <c r="N14" s="18"/>
    </row>
    <row r="15" spans="2:14" ht="15" customHeight="1" x14ac:dyDescent="0.25">
      <c r="B15" s="20"/>
      <c r="C15" s="5" t="s">
        <v>25</v>
      </c>
      <c r="D15" s="6" t="s">
        <v>22</v>
      </c>
      <c r="E15" s="11">
        <v>4.4505999999999997E-2</v>
      </c>
      <c r="F15" s="1"/>
      <c r="G15" s="1"/>
      <c r="H15" s="1"/>
      <c r="I15" s="1"/>
      <c r="J15" s="24" t="s">
        <v>56</v>
      </c>
      <c r="K15" s="28">
        <v>3.0811999999999999E-2</v>
      </c>
      <c r="L15" s="1"/>
      <c r="M15" s="1"/>
      <c r="N15" s="18"/>
    </row>
    <row r="16" spans="2:14" ht="15" customHeight="1" x14ac:dyDescent="0.25">
      <c r="B16" s="20"/>
      <c r="C16" s="5" t="s">
        <v>29</v>
      </c>
      <c r="D16" s="6" t="s">
        <v>22</v>
      </c>
      <c r="E16" s="11">
        <v>3.0658999999999999E-2</v>
      </c>
      <c r="F16" s="1"/>
      <c r="G16" s="1"/>
      <c r="H16" s="1"/>
      <c r="I16" s="1"/>
      <c r="J16" s="24" t="s">
        <v>94</v>
      </c>
      <c r="K16" s="28">
        <v>5.8423000000000003E-2</v>
      </c>
      <c r="L16" s="1"/>
      <c r="M16" s="1"/>
      <c r="N16" s="18"/>
    </row>
    <row r="17" spans="2:14" ht="15" customHeight="1" x14ac:dyDescent="0.25">
      <c r="B17" s="20"/>
      <c r="C17" s="5" t="s">
        <v>24</v>
      </c>
      <c r="D17" s="6" t="s">
        <v>22</v>
      </c>
      <c r="E17" s="11">
        <v>3.0502999999999999E-2</v>
      </c>
      <c r="F17" s="1"/>
      <c r="G17" s="1"/>
      <c r="H17" s="1"/>
      <c r="I17" s="1"/>
      <c r="J17" s="1"/>
      <c r="K17" s="1"/>
      <c r="L17" s="1"/>
      <c r="M17" s="1"/>
      <c r="N17" s="18"/>
    </row>
    <row r="18" spans="2:14" ht="15" customHeight="1" x14ac:dyDescent="0.25">
      <c r="B18" s="20"/>
      <c r="C18" s="5" t="s">
        <v>167</v>
      </c>
      <c r="D18" s="6" t="s">
        <v>22</v>
      </c>
      <c r="E18" s="11">
        <v>1.4489E-2</v>
      </c>
      <c r="F18" s="1"/>
      <c r="G18" s="1"/>
      <c r="H18" s="1"/>
      <c r="I18" s="1"/>
      <c r="J18" s="1"/>
      <c r="K18" s="1"/>
      <c r="L18" s="1"/>
      <c r="M18" s="1"/>
      <c r="N18" s="18"/>
    </row>
    <row r="19" spans="2:14" ht="15.75" customHeight="1" x14ac:dyDescent="0.25">
      <c r="B19" s="20"/>
      <c r="C19" s="7" t="s">
        <v>27</v>
      </c>
      <c r="D19" s="8"/>
      <c r="E19" s="12">
        <v>0.58546600000000004</v>
      </c>
      <c r="F19" s="1"/>
      <c r="G19" s="1"/>
      <c r="H19" s="1"/>
      <c r="I19" s="1"/>
      <c r="J19" s="1"/>
      <c r="K19" s="1"/>
      <c r="L19" s="1"/>
      <c r="M19" s="1"/>
      <c r="N19" s="18"/>
    </row>
    <row r="20" spans="2:14" ht="15" customHeight="1" x14ac:dyDescent="0.25">
      <c r="B20" s="20"/>
      <c r="C20" s="5" t="s">
        <v>29</v>
      </c>
      <c r="D20" s="6" t="s">
        <v>22</v>
      </c>
      <c r="E20" s="11">
        <v>6.1294000000000001E-2</v>
      </c>
      <c r="F20" s="1"/>
      <c r="G20" s="1"/>
      <c r="H20" s="1"/>
      <c r="I20" s="1"/>
      <c r="J20" s="1"/>
      <c r="K20" s="1"/>
      <c r="L20" s="1"/>
      <c r="M20" s="1"/>
      <c r="N20" s="18"/>
    </row>
    <row r="21" spans="2:14" ht="15" customHeight="1" x14ac:dyDescent="0.25">
      <c r="B21" s="20"/>
      <c r="C21" s="5" t="s">
        <v>155</v>
      </c>
      <c r="D21" s="6" t="s">
        <v>22</v>
      </c>
      <c r="E21" s="11">
        <v>5.3577E-2</v>
      </c>
      <c r="F21" s="1"/>
      <c r="G21" s="1"/>
      <c r="H21" s="1"/>
      <c r="I21" s="1"/>
      <c r="J21" s="1"/>
      <c r="K21" s="1"/>
      <c r="L21" s="1"/>
      <c r="M21" s="1"/>
      <c r="N21" s="18"/>
    </row>
    <row r="22" spans="2:14" ht="15" customHeight="1" x14ac:dyDescent="0.25">
      <c r="B22" s="20"/>
      <c r="C22" s="5" t="s">
        <v>154</v>
      </c>
      <c r="D22" s="6" t="s">
        <v>22</v>
      </c>
      <c r="E22" s="11">
        <v>5.3573000000000003E-2</v>
      </c>
      <c r="F22" s="1"/>
      <c r="G22" s="1"/>
      <c r="H22" s="1"/>
      <c r="I22" s="1"/>
      <c r="J22" s="1"/>
      <c r="K22" s="1"/>
      <c r="L22" s="1"/>
      <c r="M22" s="1"/>
      <c r="N22" s="18"/>
    </row>
    <row r="23" spans="2:14" ht="15" customHeight="1" x14ac:dyDescent="0.25">
      <c r="B23" s="20"/>
      <c r="C23" s="5" t="s">
        <v>36</v>
      </c>
      <c r="D23" s="6" t="s">
        <v>22</v>
      </c>
      <c r="E23" s="11">
        <v>3.0549E-2</v>
      </c>
      <c r="F23" s="1"/>
      <c r="G23" s="1"/>
      <c r="H23" s="1"/>
      <c r="I23" s="1"/>
      <c r="J23" s="1"/>
      <c r="K23" s="1"/>
      <c r="L23" s="1"/>
      <c r="M23" s="1"/>
      <c r="N23" s="18"/>
    </row>
    <row r="24" spans="2:14" ht="15" customHeight="1" x14ac:dyDescent="0.25">
      <c r="B24" s="20"/>
      <c r="C24" s="5" t="s">
        <v>33</v>
      </c>
      <c r="D24" s="6" t="s">
        <v>22</v>
      </c>
      <c r="E24" s="11">
        <v>2.3108E-2</v>
      </c>
      <c r="F24" s="1"/>
      <c r="G24" s="84" t="s">
        <v>134</v>
      </c>
      <c r="H24" s="85"/>
      <c r="I24" s="85"/>
      <c r="J24" s="85"/>
      <c r="K24" s="85"/>
      <c r="L24" s="102">
        <v>89.77170215753938</v>
      </c>
      <c r="M24" s="26"/>
      <c r="N24" s="27"/>
    </row>
    <row r="25" spans="2:14" ht="15" customHeight="1" x14ac:dyDescent="0.25">
      <c r="B25" s="20"/>
      <c r="C25" s="5" t="s">
        <v>168</v>
      </c>
      <c r="D25" s="6" t="s">
        <v>22</v>
      </c>
      <c r="E25" s="11">
        <v>2.2633E-2</v>
      </c>
      <c r="F25" s="1"/>
      <c r="G25" s="1"/>
      <c r="H25" s="1"/>
      <c r="I25" s="1"/>
      <c r="J25" s="1"/>
      <c r="K25" s="1"/>
      <c r="L25" s="1"/>
      <c r="M25" s="1"/>
      <c r="N25" s="18"/>
    </row>
    <row r="26" spans="2:14" ht="15" customHeight="1" x14ac:dyDescent="0.25">
      <c r="B26" s="20"/>
      <c r="C26" s="5" t="s">
        <v>24</v>
      </c>
      <c r="D26" s="6" t="s">
        <v>22</v>
      </c>
      <c r="E26" s="11">
        <v>1.5318999999999999E-2</v>
      </c>
      <c r="F26" s="1"/>
      <c r="G26" s="84" t="s">
        <v>18</v>
      </c>
      <c r="H26" s="85"/>
      <c r="I26" s="85"/>
      <c r="J26" s="85"/>
      <c r="K26" s="85"/>
      <c r="L26" s="85"/>
      <c r="M26" s="85"/>
      <c r="N26" s="86"/>
    </row>
    <row r="27" spans="2:14" ht="15" customHeight="1" x14ac:dyDescent="0.25">
      <c r="B27" s="20"/>
      <c r="C27" s="5" t="s">
        <v>150</v>
      </c>
      <c r="D27" s="6" t="s">
        <v>22</v>
      </c>
      <c r="E27" s="11">
        <v>7.7039999999999999E-3</v>
      </c>
      <c r="F27" s="1"/>
      <c r="G27" s="1"/>
      <c r="H27" s="1"/>
      <c r="I27" s="1"/>
      <c r="J27" s="1"/>
      <c r="K27" s="1"/>
      <c r="L27" s="1"/>
      <c r="M27" s="1"/>
      <c r="N27" s="18"/>
    </row>
    <row r="28" spans="2:14" ht="15" customHeight="1" x14ac:dyDescent="0.25">
      <c r="B28" s="20"/>
      <c r="C28" s="5" t="s">
        <v>169</v>
      </c>
      <c r="D28" s="6" t="s">
        <v>22</v>
      </c>
      <c r="E28" s="11">
        <v>7.6639999999999998E-3</v>
      </c>
      <c r="F28" s="1"/>
      <c r="G28" s="1"/>
      <c r="H28" s="1"/>
      <c r="I28" s="1"/>
      <c r="J28" s="1"/>
      <c r="K28" s="1"/>
      <c r="L28" s="1"/>
      <c r="M28" s="1"/>
      <c r="N28" s="18"/>
    </row>
    <row r="29" spans="2:14" ht="15" customHeight="1" x14ac:dyDescent="0.25">
      <c r="B29" s="20"/>
      <c r="C29" s="5" t="s">
        <v>76</v>
      </c>
      <c r="D29" s="6" t="s">
        <v>22</v>
      </c>
      <c r="E29" s="11">
        <v>7.6429999999999996E-3</v>
      </c>
      <c r="F29" s="1"/>
      <c r="G29" s="1"/>
      <c r="H29" s="1"/>
      <c r="I29" s="1"/>
      <c r="J29" s="1"/>
      <c r="K29" s="1"/>
      <c r="L29" s="1"/>
      <c r="M29" s="1"/>
      <c r="N29" s="18"/>
    </row>
    <row r="30" spans="2:14" ht="15.75" customHeight="1" x14ac:dyDescent="0.25">
      <c r="B30" s="20"/>
      <c r="C30" s="7" t="s">
        <v>28</v>
      </c>
      <c r="D30" s="8"/>
      <c r="E30" s="12">
        <v>0.28306399999999998</v>
      </c>
      <c r="F30" s="1"/>
      <c r="G30" s="1"/>
      <c r="H30" s="1"/>
      <c r="I30" s="1"/>
      <c r="J30" s="1"/>
      <c r="K30" s="1"/>
      <c r="L30" s="1"/>
      <c r="M30" s="1"/>
      <c r="N30" s="18"/>
    </row>
    <row r="31" spans="2:14" ht="15" customHeight="1" x14ac:dyDescent="0.25">
      <c r="B31" s="20"/>
      <c r="C31" s="5" t="s">
        <v>47</v>
      </c>
      <c r="D31" s="6"/>
      <c r="E31" s="11">
        <v>2.091E-3</v>
      </c>
      <c r="F31" s="1"/>
      <c r="G31" s="1"/>
      <c r="H31" s="1"/>
      <c r="I31" s="1"/>
      <c r="J31" s="1"/>
      <c r="K31" s="1"/>
      <c r="L31" s="1"/>
      <c r="M31" s="1"/>
      <c r="N31" s="18"/>
    </row>
    <row r="32" spans="2:14" ht="15.75" customHeight="1" x14ac:dyDescent="0.25">
      <c r="B32" s="20"/>
      <c r="C32" s="7" t="s">
        <v>48</v>
      </c>
      <c r="D32" s="8"/>
      <c r="E32" s="12">
        <v>2.091E-3</v>
      </c>
      <c r="F32" s="1"/>
      <c r="G32" s="1"/>
      <c r="H32" s="1"/>
      <c r="I32" s="1"/>
      <c r="J32" s="1"/>
      <c r="K32" s="1"/>
      <c r="L32" s="1"/>
      <c r="M32" s="1"/>
      <c r="N32" s="18"/>
    </row>
    <row r="33" spans="2:14" ht="15" customHeight="1" x14ac:dyDescent="0.25">
      <c r="B33" s="20"/>
      <c r="C33" s="5" t="s">
        <v>156</v>
      </c>
      <c r="D33" s="6" t="s">
        <v>178</v>
      </c>
      <c r="E33" s="11">
        <v>2.4879999999999999E-2</v>
      </c>
      <c r="F33" s="1"/>
      <c r="G33" s="1"/>
      <c r="H33" s="1"/>
      <c r="I33" s="1"/>
      <c r="J33" s="1"/>
      <c r="K33" s="1"/>
      <c r="L33" s="1"/>
      <c r="M33" s="1"/>
      <c r="N33" s="18"/>
    </row>
    <row r="34" spans="2:14" ht="15.75" customHeight="1" x14ac:dyDescent="0.25">
      <c r="B34" s="20"/>
      <c r="C34" s="7" t="s">
        <v>50</v>
      </c>
      <c r="D34" s="8"/>
      <c r="E34" s="12">
        <v>2.4879999999999999E-2</v>
      </c>
      <c r="F34" s="1"/>
      <c r="G34" s="1"/>
      <c r="H34" s="1"/>
      <c r="I34" s="1"/>
      <c r="J34" s="1"/>
      <c r="K34" s="1"/>
      <c r="L34" s="1"/>
      <c r="M34" s="1"/>
      <c r="N34" s="18"/>
    </row>
    <row r="35" spans="2:14" ht="15" customHeight="1" x14ac:dyDescent="0.25">
      <c r="B35" s="20"/>
      <c r="C35" s="5" t="s">
        <v>196</v>
      </c>
      <c r="D35" s="6" t="s">
        <v>178</v>
      </c>
      <c r="E35" s="11">
        <v>1.5434E-2</v>
      </c>
      <c r="F35" s="1"/>
      <c r="G35" s="1"/>
      <c r="H35" s="1"/>
      <c r="I35" s="1"/>
      <c r="J35" s="1"/>
      <c r="K35" s="1"/>
      <c r="L35" s="1"/>
      <c r="M35" s="1"/>
      <c r="N35" s="18"/>
    </row>
    <row r="36" spans="2:14" ht="15.75" customHeight="1" x14ac:dyDescent="0.25">
      <c r="B36" s="20"/>
      <c r="C36" s="5" t="s">
        <v>194</v>
      </c>
      <c r="D36" s="6" t="s">
        <v>178</v>
      </c>
      <c r="E36" s="11">
        <v>7.6889999999999997E-3</v>
      </c>
      <c r="F36" s="1"/>
      <c r="G36" s="1"/>
      <c r="H36" s="1"/>
      <c r="I36" s="1"/>
      <c r="J36" s="1"/>
      <c r="K36" s="1"/>
      <c r="L36" s="1"/>
      <c r="M36" s="1"/>
      <c r="N36" s="18"/>
    </row>
    <row r="37" spans="2:14" ht="15" customHeight="1" x14ac:dyDescent="0.25">
      <c r="B37" s="20"/>
      <c r="C37" s="5" t="s">
        <v>195</v>
      </c>
      <c r="D37" s="6" t="s">
        <v>178</v>
      </c>
      <c r="E37" s="11">
        <v>7.6889999999999997E-3</v>
      </c>
      <c r="F37" s="1"/>
      <c r="G37" s="1"/>
      <c r="H37" s="1"/>
      <c r="I37" s="1"/>
      <c r="J37" s="1"/>
      <c r="K37" s="1"/>
      <c r="L37" s="1"/>
      <c r="M37" s="1"/>
      <c r="N37" s="18"/>
    </row>
    <row r="38" spans="2:14" ht="15.75" customHeight="1" x14ac:dyDescent="0.25">
      <c r="B38" s="20"/>
      <c r="C38" s="7" t="s">
        <v>51</v>
      </c>
      <c r="D38" s="8"/>
      <c r="E38" s="12">
        <v>3.0811999999999999E-2</v>
      </c>
      <c r="F38" s="1"/>
      <c r="G38" s="1"/>
      <c r="H38" s="1"/>
      <c r="I38" s="1"/>
      <c r="J38" s="1"/>
      <c r="K38" s="1"/>
      <c r="L38" s="1"/>
      <c r="M38" s="1"/>
      <c r="N38" s="18"/>
    </row>
    <row r="39" spans="2:14" ht="15" customHeight="1" x14ac:dyDescent="0.25">
      <c r="B39" s="20"/>
      <c r="C39" s="5" t="s">
        <v>164</v>
      </c>
      <c r="D39" s="6" t="s">
        <v>178</v>
      </c>
      <c r="E39" s="11">
        <v>5.8423000000000003E-2</v>
      </c>
      <c r="F39" s="1"/>
      <c r="G39" s="1"/>
      <c r="H39" s="1"/>
      <c r="I39" s="1"/>
      <c r="J39" s="1"/>
      <c r="K39" s="1"/>
      <c r="L39" s="1"/>
      <c r="M39" s="1"/>
      <c r="N39" s="18"/>
    </row>
    <row r="40" spans="2:14" ht="15.75" customHeight="1" x14ac:dyDescent="0.25">
      <c r="B40" s="20"/>
      <c r="C40" s="7" t="s">
        <v>92</v>
      </c>
      <c r="D40" s="8"/>
      <c r="E40" s="12">
        <v>5.8423000000000003E-2</v>
      </c>
      <c r="F40" s="1"/>
      <c r="G40" s="1"/>
      <c r="H40" s="1"/>
      <c r="I40" s="1"/>
      <c r="J40" s="1"/>
      <c r="K40" s="1"/>
      <c r="L40" s="1"/>
      <c r="M40" s="1"/>
      <c r="N40" s="18"/>
    </row>
    <row r="41" spans="2:14" ht="15" customHeight="1" x14ac:dyDescent="0.25">
      <c r="B41" s="20"/>
      <c r="C41" s="5" t="s">
        <v>8</v>
      </c>
      <c r="D41" s="6"/>
      <c r="E41" s="11">
        <v>1.5099E-2</v>
      </c>
      <c r="F41" s="1"/>
      <c r="G41" s="1"/>
      <c r="H41" s="1"/>
      <c r="I41" s="1"/>
      <c r="J41" s="1"/>
      <c r="K41" s="1"/>
      <c r="L41" s="1"/>
      <c r="M41" s="1"/>
      <c r="N41" s="18"/>
    </row>
    <row r="42" spans="2:14" ht="15.75" customHeight="1" x14ac:dyDescent="0.25">
      <c r="B42" s="20"/>
      <c r="C42" s="7" t="s">
        <v>9</v>
      </c>
      <c r="D42" s="8"/>
      <c r="E42" s="12">
        <v>1.5099E-2</v>
      </c>
      <c r="F42" s="1"/>
      <c r="G42" s="1"/>
      <c r="H42" s="1"/>
      <c r="I42" s="1"/>
      <c r="J42" s="1"/>
      <c r="K42" s="1"/>
      <c r="L42" s="1"/>
      <c r="M42" s="1"/>
      <c r="N42" s="18"/>
    </row>
    <row r="43" spans="2:14" ht="15" customHeight="1" x14ac:dyDescent="0.25">
      <c r="B43" s="20"/>
      <c r="C43" s="5"/>
      <c r="D43" s="6"/>
      <c r="E43" s="11"/>
      <c r="F43" s="1"/>
      <c r="G43" s="1"/>
      <c r="H43" s="1"/>
      <c r="I43" s="1"/>
      <c r="J43" s="1"/>
      <c r="K43" s="1"/>
      <c r="L43" s="1"/>
      <c r="M43" s="1"/>
      <c r="N43" s="18"/>
    </row>
    <row r="44" spans="2:14" ht="15" customHeight="1" x14ac:dyDescent="0.25">
      <c r="B44" s="20"/>
      <c r="C44" s="7" t="s">
        <v>10</v>
      </c>
      <c r="D44" s="8"/>
      <c r="E44" s="12">
        <v>1.65E-4</v>
      </c>
      <c r="F44" s="1"/>
      <c r="G44" s="1"/>
      <c r="H44" s="1"/>
      <c r="I44" s="1"/>
      <c r="J44" s="1"/>
      <c r="K44" s="1"/>
      <c r="L44" s="1"/>
      <c r="M44" s="1"/>
      <c r="N44" s="18"/>
    </row>
    <row r="45" spans="2:14" ht="15" customHeight="1" x14ac:dyDescent="0.25">
      <c r="B45" s="20"/>
      <c r="C45" s="5"/>
      <c r="D45" s="6"/>
      <c r="E45" s="11"/>
      <c r="F45" s="1"/>
      <c r="G45" s="1"/>
      <c r="H45" s="1"/>
      <c r="I45" s="1"/>
      <c r="J45" s="1"/>
      <c r="K45" s="1"/>
      <c r="L45" s="1"/>
      <c r="M45" s="1"/>
      <c r="N45" s="18"/>
    </row>
    <row r="46" spans="2:14" ht="15" customHeight="1" x14ac:dyDescent="0.25">
      <c r="B46" s="20"/>
      <c r="C46" s="9" t="s">
        <v>11</v>
      </c>
      <c r="D46" s="10"/>
      <c r="E46" s="13">
        <v>1</v>
      </c>
      <c r="F46" s="1"/>
      <c r="G46" s="1"/>
      <c r="H46" s="1"/>
      <c r="I46" s="1"/>
      <c r="J46" s="1"/>
      <c r="K46" s="1"/>
      <c r="L46" s="1"/>
      <c r="M46" s="1"/>
      <c r="N46" s="18"/>
    </row>
    <row r="47" spans="2:14" ht="15" customHeight="1" x14ac:dyDescent="0.25">
      <c r="B47" s="20"/>
      <c r="C47" s="1"/>
      <c r="D47" s="1"/>
      <c r="E47" s="1"/>
      <c r="F47" s="1"/>
      <c r="G47" s="1"/>
      <c r="H47" s="1"/>
      <c r="I47" s="1"/>
      <c r="J47" s="1"/>
      <c r="K47" s="1"/>
      <c r="L47" s="1"/>
      <c r="M47" s="1"/>
      <c r="N47" s="18"/>
    </row>
    <row r="48" spans="2:14" ht="15" customHeight="1" thickBot="1" x14ac:dyDescent="0.3">
      <c r="B48" s="21"/>
      <c r="C48" s="22"/>
      <c r="D48" s="22"/>
      <c r="E48" s="22"/>
      <c r="F48" s="22"/>
      <c r="G48" s="22"/>
      <c r="H48" s="22"/>
      <c r="I48" s="22"/>
      <c r="J48" s="22"/>
      <c r="K48" s="22"/>
      <c r="L48" s="22"/>
      <c r="M48" s="22"/>
      <c r="N48" s="23"/>
    </row>
    <row r="49" spans="2:14" ht="15" customHeight="1" thickBot="1" x14ac:dyDescent="0.3"/>
    <row r="50" spans="2:14" ht="15" customHeight="1" x14ac:dyDescent="0.25">
      <c r="B50" s="70" t="s">
        <v>288</v>
      </c>
      <c r="C50" s="71"/>
      <c r="D50" s="71"/>
      <c r="E50" s="71"/>
      <c r="F50" s="71"/>
      <c r="G50" s="71"/>
      <c r="H50" s="71"/>
      <c r="I50" s="71"/>
      <c r="J50" s="71"/>
      <c r="K50" s="71"/>
      <c r="L50" s="71"/>
      <c r="M50" s="71"/>
      <c r="N50" s="72"/>
    </row>
    <row r="51" spans="2:14" ht="15" customHeight="1" x14ac:dyDescent="0.25">
      <c r="B51" s="73"/>
      <c r="C51" s="74"/>
      <c r="D51" s="74"/>
      <c r="E51" s="74"/>
      <c r="F51" s="74"/>
      <c r="G51" s="74"/>
      <c r="H51" s="74"/>
      <c r="I51" s="74"/>
      <c r="J51" s="74"/>
      <c r="K51" s="74"/>
      <c r="L51" s="74"/>
      <c r="M51" s="74"/>
      <c r="N51" s="75"/>
    </row>
    <row r="52" spans="2:14" ht="15" customHeight="1" x14ac:dyDescent="0.25">
      <c r="B52" s="73"/>
      <c r="C52" s="74"/>
      <c r="D52" s="74"/>
      <c r="E52" s="74"/>
      <c r="F52" s="74"/>
      <c r="G52" s="74"/>
      <c r="H52" s="74"/>
      <c r="I52" s="74"/>
      <c r="J52" s="74"/>
      <c r="K52" s="74"/>
      <c r="L52" s="74"/>
      <c r="M52" s="74"/>
      <c r="N52" s="75"/>
    </row>
    <row r="53" spans="2:14" ht="15" customHeight="1" thickBot="1" x14ac:dyDescent="0.3">
      <c r="B53" s="76"/>
      <c r="C53" s="77"/>
      <c r="D53" s="77"/>
      <c r="E53" s="77"/>
      <c r="F53" s="77"/>
      <c r="G53" s="77"/>
      <c r="H53" s="77"/>
      <c r="I53" s="77"/>
      <c r="J53" s="77"/>
      <c r="K53" s="77"/>
      <c r="L53" s="77"/>
      <c r="M53" s="77"/>
      <c r="N53" s="78"/>
    </row>
    <row r="54" spans="2:14" ht="15" customHeight="1" thickBot="1" x14ac:dyDescent="0.3"/>
    <row r="55" spans="2:14" ht="118.5" customHeight="1" thickBot="1" x14ac:dyDescent="0.3">
      <c r="B55" s="67" t="s">
        <v>291</v>
      </c>
      <c r="C55" s="68"/>
      <c r="D55" s="68"/>
      <c r="E55" s="68"/>
      <c r="F55" s="68"/>
      <c r="G55" s="68"/>
      <c r="H55" s="68"/>
      <c r="I55" s="68"/>
      <c r="J55" s="68"/>
      <c r="K55" s="68"/>
      <c r="L55" s="68"/>
      <c r="M55" s="68"/>
      <c r="N55" s="69"/>
    </row>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sheetData>
  <sortState ref="C35:E37">
    <sortCondition descending="1" ref="E35"/>
  </sortState>
  <mergeCells count="7">
    <mergeCell ref="B50:N53"/>
    <mergeCell ref="B55:N55"/>
    <mergeCell ref="C3:N3"/>
    <mergeCell ref="D5:E5"/>
    <mergeCell ref="G7:N7"/>
    <mergeCell ref="G24:K24"/>
    <mergeCell ref="G26:N2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5A465-2FDD-4C69-A467-046447AB85A9}">
  <dimension ref="B1:N77"/>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9" t="s">
        <v>175</v>
      </c>
      <c r="D3" s="80"/>
      <c r="E3" s="80"/>
      <c r="F3" s="80"/>
      <c r="G3" s="80"/>
      <c r="H3" s="80"/>
      <c r="I3" s="80"/>
      <c r="J3" s="80"/>
      <c r="K3" s="80"/>
      <c r="L3" s="80"/>
      <c r="M3" s="80"/>
      <c r="N3" s="81"/>
    </row>
    <row r="4" spans="2:14" ht="15.75" customHeight="1" x14ac:dyDescent="0.25">
      <c r="B4" s="20"/>
      <c r="C4" s="14"/>
      <c r="D4" s="1"/>
      <c r="E4" s="1"/>
      <c r="F4" s="1"/>
      <c r="G4" s="1"/>
      <c r="H4" s="1"/>
      <c r="I4" s="1"/>
      <c r="J4" s="1"/>
      <c r="K4" s="1"/>
      <c r="L4" s="1"/>
      <c r="M4" s="1"/>
      <c r="N4" s="18"/>
    </row>
    <row r="5" spans="2:14" ht="18" customHeight="1" x14ac:dyDescent="0.25">
      <c r="B5" s="20"/>
      <c r="C5" s="15" t="s">
        <v>1</v>
      </c>
      <c r="D5" s="82" t="s">
        <v>176</v>
      </c>
      <c r="E5" s="8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4" t="s">
        <v>16</v>
      </c>
      <c r="H7" s="85"/>
      <c r="I7" s="85"/>
      <c r="J7" s="85"/>
      <c r="K7" s="85"/>
      <c r="L7" s="85"/>
      <c r="M7" s="85"/>
      <c r="N7" s="86"/>
    </row>
    <row r="8" spans="2:14" ht="15" customHeight="1" x14ac:dyDescent="0.25">
      <c r="B8" s="20"/>
      <c r="C8" s="5" t="s">
        <v>33</v>
      </c>
      <c r="D8" s="6" t="s">
        <v>22</v>
      </c>
      <c r="E8" s="11">
        <v>9.2961000000000002E-2</v>
      </c>
      <c r="F8" s="1"/>
      <c r="G8" s="24" t="s">
        <v>15</v>
      </c>
      <c r="H8" s="25">
        <v>1</v>
      </c>
      <c r="I8" s="1"/>
      <c r="J8" s="24" t="s">
        <v>12</v>
      </c>
      <c r="K8" s="24" t="s">
        <v>5</v>
      </c>
      <c r="L8" s="1"/>
      <c r="M8" s="1"/>
      <c r="N8" s="18"/>
    </row>
    <row r="9" spans="2:14" ht="15" customHeight="1" x14ac:dyDescent="0.25">
      <c r="B9" s="20"/>
      <c r="C9" s="5" t="s">
        <v>23</v>
      </c>
      <c r="D9" s="6" t="s">
        <v>22</v>
      </c>
      <c r="E9" s="11">
        <v>9.2093999999999995E-2</v>
      </c>
      <c r="F9" s="1"/>
      <c r="G9" s="1"/>
      <c r="H9" s="1"/>
      <c r="I9" s="1"/>
      <c r="J9" s="24" t="s">
        <v>10</v>
      </c>
      <c r="K9" s="28">
        <v>5.6140000000000001E-3</v>
      </c>
      <c r="L9" s="1"/>
      <c r="M9" s="1"/>
      <c r="N9" s="18"/>
    </row>
    <row r="10" spans="2:14" ht="15" customHeight="1" x14ac:dyDescent="0.25">
      <c r="B10" s="20"/>
      <c r="C10" s="5" t="s">
        <v>105</v>
      </c>
      <c r="D10" s="6" t="s">
        <v>22</v>
      </c>
      <c r="E10" s="11">
        <v>2.7004E-2</v>
      </c>
      <c r="F10" s="1"/>
      <c r="G10" s="1"/>
      <c r="H10" s="1"/>
      <c r="I10" s="1"/>
      <c r="J10" s="24" t="s">
        <v>13</v>
      </c>
      <c r="K10" s="28">
        <v>6.1532999999999997E-2</v>
      </c>
      <c r="L10" s="1"/>
      <c r="M10" s="1"/>
      <c r="N10" s="18"/>
    </row>
    <row r="11" spans="2:14" ht="15" customHeight="1" x14ac:dyDescent="0.25">
      <c r="B11" s="20"/>
      <c r="C11" s="5" t="s">
        <v>109</v>
      </c>
      <c r="D11" s="6" t="s">
        <v>22</v>
      </c>
      <c r="E11" s="11">
        <v>2.6841E-2</v>
      </c>
      <c r="F11" s="1"/>
      <c r="G11" s="1"/>
      <c r="H11" s="1"/>
      <c r="I11" s="1"/>
      <c r="J11" s="24" t="s">
        <v>52</v>
      </c>
      <c r="K11" s="28">
        <v>0.33188200000000001</v>
      </c>
      <c r="L11" s="1"/>
      <c r="M11" s="1"/>
      <c r="N11" s="18"/>
    </row>
    <row r="12" spans="2:14" ht="15" customHeight="1" x14ac:dyDescent="0.25">
      <c r="B12" s="20"/>
      <c r="C12" s="5" t="s">
        <v>21</v>
      </c>
      <c r="D12" s="6" t="s">
        <v>22</v>
      </c>
      <c r="E12" s="11">
        <v>2.6499000000000002E-2</v>
      </c>
      <c r="F12" s="1"/>
      <c r="G12" s="1"/>
      <c r="H12" s="1"/>
      <c r="I12" s="1"/>
      <c r="J12" s="24" t="s">
        <v>53</v>
      </c>
      <c r="K12" s="28">
        <v>0.43710500000000002</v>
      </c>
      <c r="L12" s="1"/>
      <c r="M12" s="1"/>
      <c r="N12" s="18"/>
    </row>
    <row r="13" spans="2:14" ht="15" customHeight="1" x14ac:dyDescent="0.25">
      <c r="B13" s="20"/>
      <c r="C13" s="5" t="s">
        <v>29</v>
      </c>
      <c r="D13" s="6" t="s">
        <v>22</v>
      </c>
      <c r="E13" s="11">
        <v>1.976E-2</v>
      </c>
      <c r="F13" s="1"/>
      <c r="G13" s="1"/>
      <c r="H13" s="1"/>
      <c r="I13" s="1"/>
      <c r="J13" s="24" t="s">
        <v>54</v>
      </c>
      <c r="K13" s="28">
        <v>7.4862999999999999E-2</v>
      </c>
      <c r="L13" s="1"/>
      <c r="M13" s="1"/>
      <c r="N13" s="18"/>
    </row>
    <row r="14" spans="2:14" ht="15" customHeight="1" x14ac:dyDescent="0.25">
      <c r="B14" s="20"/>
      <c r="C14" s="5" t="s">
        <v>148</v>
      </c>
      <c r="D14" s="6" t="s">
        <v>22</v>
      </c>
      <c r="E14" s="11">
        <v>1.3505E-2</v>
      </c>
      <c r="F14" s="1"/>
      <c r="G14" s="1"/>
      <c r="H14" s="1"/>
      <c r="I14" s="1"/>
      <c r="J14" s="24" t="s">
        <v>47</v>
      </c>
      <c r="K14" s="28">
        <v>2.7030000000000001E-3</v>
      </c>
      <c r="L14" s="1"/>
      <c r="M14" s="1"/>
      <c r="N14" s="18"/>
    </row>
    <row r="15" spans="2:14" ht="15" customHeight="1" x14ac:dyDescent="0.25">
      <c r="B15" s="20"/>
      <c r="C15" s="5" t="s">
        <v>42</v>
      </c>
      <c r="D15" s="6" t="s">
        <v>22</v>
      </c>
      <c r="E15" s="11">
        <v>1.299E-2</v>
      </c>
      <c r="F15" s="1"/>
      <c r="G15" s="1"/>
      <c r="H15" s="1"/>
      <c r="I15" s="1"/>
      <c r="J15" s="24" t="s">
        <v>56</v>
      </c>
      <c r="K15" s="28">
        <v>4.0278000000000001E-2</v>
      </c>
      <c r="L15" s="1"/>
      <c r="M15" s="1"/>
      <c r="N15" s="18"/>
    </row>
    <row r="16" spans="2:14" ht="15" customHeight="1" x14ac:dyDescent="0.25">
      <c r="B16" s="20"/>
      <c r="C16" s="5" t="s">
        <v>177</v>
      </c>
      <c r="D16" s="6" t="s">
        <v>22</v>
      </c>
      <c r="E16" s="11">
        <v>6.7510000000000001E-3</v>
      </c>
      <c r="F16" s="1"/>
      <c r="G16" s="1"/>
      <c r="H16" s="1"/>
      <c r="I16" s="1"/>
      <c r="J16" s="24" t="s">
        <v>94</v>
      </c>
      <c r="K16" s="28">
        <v>4.6022E-2</v>
      </c>
      <c r="L16" s="1"/>
      <c r="M16" s="1"/>
      <c r="N16" s="18"/>
    </row>
    <row r="17" spans="2:14" ht="15" customHeight="1" x14ac:dyDescent="0.25">
      <c r="B17" s="20"/>
      <c r="C17" s="5" t="s">
        <v>149</v>
      </c>
      <c r="D17" s="6" t="s">
        <v>22</v>
      </c>
      <c r="E17" s="11">
        <v>6.7429999999999999E-3</v>
      </c>
      <c r="F17" s="1"/>
      <c r="G17" s="1"/>
      <c r="H17" s="1"/>
      <c r="I17" s="1"/>
      <c r="J17" s="1"/>
      <c r="K17" s="1"/>
      <c r="L17" s="1"/>
      <c r="M17" s="1"/>
      <c r="N17" s="18"/>
    </row>
    <row r="18" spans="2:14" ht="15" customHeight="1" x14ac:dyDescent="0.25">
      <c r="B18" s="20"/>
      <c r="C18" s="5" t="s">
        <v>26</v>
      </c>
      <c r="D18" s="6" t="s">
        <v>22</v>
      </c>
      <c r="E18" s="11">
        <v>6.7340000000000004E-3</v>
      </c>
      <c r="F18" s="1"/>
      <c r="G18" s="1"/>
      <c r="H18" s="1"/>
      <c r="I18" s="1"/>
      <c r="J18" s="1"/>
      <c r="K18" s="1"/>
      <c r="L18" s="1"/>
      <c r="M18" s="1"/>
      <c r="N18" s="18"/>
    </row>
    <row r="19" spans="2:14" ht="15.75" customHeight="1" x14ac:dyDescent="0.25">
      <c r="B19" s="20"/>
      <c r="C19" s="7" t="s">
        <v>27</v>
      </c>
      <c r="D19" s="8"/>
      <c r="E19" s="12">
        <v>0.33188200000000001</v>
      </c>
      <c r="F19" s="1"/>
      <c r="G19" s="1"/>
      <c r="H19" s="1"/>
      <c r="I19" s="1"/>
      <c r="J19" s="1"/>
      <c r="K19" s="1"/>
      <c r="L19" s="1"/>
      <c r="M19" s="1"/>
      <c r="N19" s="18"/>
    </row>
    <row r="20" spans="2:14" ht="15" customHeight="1" x14ac:dyDescent="0.25">
      <c r="B20" s="20"/>
      <c r="C20" s="5" t="s">
        <v>29</v>
      </c>
      <c r="D20" s="6" t="s">
        <v>22</v>
      </c>
      <c r="E20" s="11">
        <v>3.4972000000000003E-2</v>
      </c>
      <c r="F20" s="1"/>
      <c r="G20" s="1"/>
      <c r="H20" s="1"/>
      <c r="I20" s="1"/>
      <c r="J20" s="1"/>
      <c r="K20" s="1"/>
      <c r="L20" s="1"/>
      <c r="M20" s="1"/>
      <c r="N20" s="18"/>
    </row>
    <row r="21" spans="2:14" ht="15" customHeight="1" x14ac:dyDescent="0.25">
      <c r="B21" s="20"/>
      <c r="C21" s="5" t="s">
        <v>155</v>
      </c>
      <c r="D21" s="6" t="s">
        <v>22</v>
      </c>
      <c r="E21" s="11">
        <v>3.3516999999999998E-2</v>
      </c>
      <c r="F21" s="1"/>
      <c r="G21" s="1"/>
      <c r="H21" s="1"/>
      <c r="I21" s="1"/>
      <c r="J21" s="1"/>
      <c r="K21" s="1"/>
      <c r="L21" s="1"/>
      <c r="M21" s="1"/>
      <c r="N21" s="18"/>
    </row>
    <row r="22" spans="2:14" ht="15" customHeight="1" x14ac:dyDescent="0.25">
      <c r="B22" s="20"/>
      <c r="C22" s="5" t="s">
        <v>78</v>
      </c>
      <c r="D22" s="6" t="s">
        <v>22</v>
      </c>
      <c r="E22" s="11">
        <v>6.3740000000000003E-3</v>
      </c>
      <c r="F22" s="1"/>
      <c r="G22" s="1"/>
      <c r="H22" s="1"/>
      <c r="I22" s="1"/>
      <c r="J22" s="1"/>
      <c r="K22" s="1"/>
      <c r="L22" s="1"/>
      <c r="M22" s="1"/>
      <c r="N22" s="18"/>
    </row>
    <row r="23" spans="2:14" ht="15.75" customHeight="1" x14ac:dyDescent="0.25">
      <c r="B23" s="20"/>
      <c r="C23" s="7" t="s">
        <v>28</v>
      </c>
      <c r="D23" s="8"/>
      <c r="E23" s="12">
        <v>7.4862999999999999E-2</v>
      </c>
      <c r="F23" s="1"/>
      <c r="G23" s="1"/>
      <c r="H23" s="1"/>
      <c r="I23" s="1"/>
      <c r="J23" s="1"/>
      <c r="K23" s="1"/>
      <c r="L23" s="1"/>
      <c r="M23" s="1"/>
      <c r="N23" s="18"/>
    </row>
    <row r="24" spans="2:14" ht="15" customHeight="1" x14ac:dyDescent="0.25">
      <c r="B24" s="20"/>
      <c r="C24" s="5" t="s">
        <v>32</v>
      </c>
      <c r="D24" s="6" t="s">
        <v>30</v>
      </c>
      <c r="E24" s="11">
        <v>8.7637999999999994E-2</v>
      </c>
      <c r="F24" s="1"/>
      <c r="G24" s="84" t="s">
        <v>134</v>
      </c>
      <c r="H24" s="85"/>
      <c r="I24" s="85"/>
      <c r="J24" s="85"/>
      <c r="K24" s="85"/>
      <c r="L24" s="102">
        <v>165.67788965696428</v>
      </c>
      <c r="M24" s="26"/>
      <c r="N24" s="27"/>
    </row>
    <row r="25" spans="2:14" ht="15" customHeight="1" x14ac:dyDescent="0.25">
      <c r="B25" s="20"/>
      <c r="C25" s="5" t="s">
        <v>35</v>
      </c>
      <c r="D25" s="6" t="s">
        <v>30</v>
      </c>
      <c r="E25" s="11">
        <v>7.7521999999999994E-2</v>
      </c>
      <c r="F25" s="1"/>
      <c r="G25" s="1"/>
      <c r="H25" s="1"/>
      <c r="I25" s="1"/>
      <c r="J25" s="1"/>
      <c r="K25" s="1"/>
      <c r="L25" s="1"/>
      <c r="M25" s="1"/>
      <c r="N25" s="18"/>
    </row>
    <row r="26" spans="2:14" ht="15" customHeight="1" x14ac:dyDescent="0.25">
      <c r="B26" s="20"/>
      <c r="C26" s="5" t="s">
        <v>34</v>
      </c>
      <c r="D26" s="6" t="s">
        <v>30</v>
      </c>
      <c r="E26" s="11">
        <v>5.1434000000000001E-2</v>
      </c>
      <c r="F26" s="1"/>
      <c r="G26" s="84" t="s">
        <v>18</v>
      </c>
      <c r="H26" s="85"/>
      <c r="I26" s="85"/>
      <c r="J26" s="85"/>
      <c r="K26" s="85"/>
      <c r="L26" s="85"/>
      <c r="M26" s="85"/>
      <c r="N26" s="86"/>
    </row>
    <row r="27" spans="2:14" ht="15" customHeight="1" x14ac:dyDescent="0.25">
      <c r="B27" s="20"/>
      <c r="C27" s="5" t="s">
        <v>153</v>
      </c>
      <c r="D27" s="6" t="s">
        <v>30</v>
      </c>
      <c r="E27" s="11">
        <v>3.6406000000000001E-2</v>
      </c>
      <c r="F27" s="1"/>
      <c r="G27" s="1"/>
      <c r="H27" s="1"/>
      <c r="I27" s="1"/>
      <c r="J27" s="1"/>
      <c r="K27" s="1"/>
      <c r="L27" s="1"/>
      <c r="M27" s="1"/>
      <c r="N27" s="18"/>
    </row>
    <row r="28" spans="2:14" ht="15" customHeight="1" x14ac:dyDescent="0.25">
      <c r="B28" s="20"/>
      <c r="C28" s="5" t="s">
        <v>41</v>
      </c>
      <c r="D28" s="6" t="s">
        <v>30</v>
      </c>
      <c r="E28" s="11">
        <v>3.5423999999999997E-2</v>
      </c>
      <c r="F28" s="1"/>
      <c r="G28" s="1"/>
      <c r="H28" s="1"/>
      <c r="I28" s="1"/>
      <c r="J28" s="1"/>
      <c r="K28" s="1"/>
      <c r="L28" s="1"/>
      <c r="M28" s="1"/>
      <c r="N28" s="18"/>
    </row>
    <row r="29" spans="2:14" ht="15" customHeight="1" x14ac:dyDescent="0.25">
      <c r="B29" s="20"/>
      <c r="C29" s="5" t="s">
        <v>76</v>
      </c>
      <c r="D29" s="6" t="s">
        <v>30</v>
      </c>
      <c r="E29" s="11">
        <v>3.5229000000000003E-2</v>
      </c>
      <c r="F29" s="1"/>
      <c r="G29" s="1"/>
      <c r="H29" s="1"/>
      <c r="I29" s="1"/>
      <c r="J29" s="1"/>
      <c r="K29" s="1"/>
      <c r="L29" s="1"/>
      <c r="M29" s="1"/>
      <c r="N29" s="18"/>
    </row>
    <row r="30" spans="2:14" ht="15" customHeight="1" x14ac:dyDescent="0.25">
      <c r="B30" s="20"/>
      <c r="C30" s="5" t="s">
        <v>77</v>
      </c>
      <c r="D30" s="6" t="s">
        <v>30</v>
      </c>
      <c r="E30" s="11">
        <v>2.7008000000000001E-2</v>
      </c>
      <c r="F30" s="1"/>
      <c r="G30" s="1"/>
      <c r="H30" s="1"/>
      <c r="I30" s="1"/>
      <c r="J30" s="1"/>
      <c r="K30" s="1"/>
      <c r="L30" s="1"/>
      <c r="M30" s="1"/>
      <c r="N30" s="18"/>
    </row>
    <row r="31" spans="2:14" ht="15" customHeight="1" x14ac:dyDescent="0.25">
      <c r="B31" s="20"/>
      <c r="C31" s="5" t="s">
        <v>78</v>
      </c>
      <c r="D31" s="6" t="s">
        <v>30</v>
      </c>
      <c r="E31" s="11">
        <v>2.6837E-2</v>
      </c>
      <c r="F31" s="1"/>
      <c r="G31" s="1"/>
      <c r="H31" s="1"/>
      <c r="I31" s="1"/>
      <c r="J31" s="1"/>
      <c r="K31" s="1"/>
      <c r="L31" s="1"/>
      <c r="M31" s="1"/>
      <c r="N31" s="18"/>
    </row>
    <row r="32" spans="2:14" ht="15" customHeight="1" x14ac:dyDescent="0.25">
      <c r="B32" s="20"/>
      <c r="C32" s="5" t="s">
        <v>29</v>
      </c>
      <c r="D32" s="6" t="s">
        <v>30</v>
      </c>
      <c r="E32" s="11">
        <v>1.8793000000000001E-2</v>
      </c>
      <c r="F32" s="1"/>
      <c r="G32" s="1"/>
      <c r="H32" s="1"/>
      <c r="I32" s="1"/>
      <c r="J32" s="1"/>
      <c r="K32" s="1"/>
      <c r="L32" s="1"/>
      <c r="M32" s="1"/>
      <c r="N32" s="18"/>
    </row>
    <row r="33" spans="2:14" ht="15" customHeight="1" x14ac:dyDescent="0.25">
      <c r="B33" s="20"/>
      <c r="C33" s="5" t="s">
        <v>88</v>
      </c>
      <c r="D33" s="6" t="s">
        <v>30</v>
      </c>
      <c r="E33" s="11">
        <v>1.3694E-2</v>
      </c>
      <c r="F33" s="1"/>
      <c r="G33" s="1"/>
      <c r="H33" s="1"/>
      <c r="I33" s="1"/>
      <c r="J33" s="1"/>
      <c r="K33" s="1"/>
      <c r="L33" s="1"/>
      <c r="M33" s="1"/>
      <c r="N33" s="18"/>
    </row>
    <row r="34" spans="2:14" ht="15" customHeight="1" x14ac:dyDescent="0.25">
      <c r="B34" s="20"/>
      <c r="C34" s="5" t="s">
        <v>83</v>
      </c>
      <c r="D34" s="6" t="s">
        <v>30</v>
      </c>
      <c r="E34" s="11">
        <v>1.3592999999999999E-2</v>
      </c>
      <c r="F34" s="1"/>
      <c r="G34" s="1"/>
      <c r="H34" s="1"/>
      <c r="I34" s="1"/>
      <c r="J34" s="1"/>
      <c r="K34" s="1"/>
      <c r="L34" s="1"/>
      <c r="M34" s="1"/>
      <c r="N34" s="18"/>
    </row>
    <row r="35" spans="2:14" ht="15" customHeight="1" x14ac:dyDescent="0.25">
      <c r="B35" s="20"/>
      <c r="C35" s="5" t="s">
        <v>24</v>
      </c>
      <c r="D35" s="6" t="s">
        <v>30</v>
      </c>
      <c r="E35" s="11">
        <v>6.7819999999999998E-3</v>
      </c>
      <c r="F35" s="1"/>
      <c r="G35" s="1"/>
      <c r="H35" s="1"/>
      <c r="I35" s="1"/>
      <c r="J35" s="1"/>
      <c r="K35" s="1"/>
      <c r="L35" s="1"/>
      <c r="M35" s="1"/>
      <c r="N35" s="18"/>
    </row>
    <row r="36" spans="2:14" ht="15" customHeight="1" x14ac:dyDescent="0.25">
      <c r="B36" s="20"/>
      <c r="C36" s="5" t="s">
        <v>36</v>
      </c>
      <c r="D36" s="6" t="s">
        <v>30</v>
      </c>
      <c r="E36" s="11">
        <v>6.7450000000000001E-3</v>
      </c>
      <c r="F36" s="1"/>
      <c r="G36" s="1"/>
      <c r="H36" s="1"/>
      <c r="I36" s="1"/>
      <c r="J36" s="1"/>
      <c r="K36" s="1"/>
      <c r="L36" s="1"/>
      <c r="M36" s="1"/>
      <c r="N36" s="18"/>
    </row>
    <row r="37" spans="2:14" ht="15.75" customHeight="1" x14ac:dyDescent="0.25">
      <c r="B37" s="20"/>
      <c r="C37" s="7" t="s">
        <v>46</v>
      </c>
      <c r="D37" s="8"/>
      <c r="E37" s="12">
        <v>0.43710500000000002</v>
      </c>
      <c r="F37" s="1"/>
      <c r="G37" s="1"/>
      <c r="H37" s="1"/>
      <c r="I37" s="1"/>
      <c r="J37" s="1"/>
      <c r="K37" s="1"/>
      <c r="L37" s="1"/>
      <c r="M37" s="1"/>
      <c r="N37" s="18"/>
    </row>
    <row r="38" spans="2:14" ht="15" customHeight="1" x14ac:dyDescent="0.25">
      <c r="B38" s="20"/>
      <c r="C38" s="5" t="s">
        <v>47</v>
      </c>
      <c r="D38" s="6"/>
      <c r="E38" s="11">
        <v>2.7030000000000001E-3</v>
      </c>
      <c r="F38" s="1"/>
      <c r="G38" s="1"/>
      <c r="H38" s="1"/>
      <c r="I38" s="1"/>
      <c r="J38" s="1"/>
      <c r="K38" s="1"/>
      <c r="L38" s="1"/>
      <c r="M38" s="1"/>
      <c r="N38" s="18"/>
    </row>
    <row r="39" spans="2:14" ht="15.75" customHeight="1" x14ac:dyDescent="0.25">
      <c r="B39" s="20"/>
      <c r="C39" s="7" t="s">
        <v>48</v>
      </c>
      <c r="D39" s="8"/>
      <c r="E39" s="12">
        <v>2.7030000000000001E-3</v>
      </c>
      <c r="F39" s="1"/>
      <c r="G39" s="1"/>
      <c r="H39" s="1"/>
      <c r="I39" s="1"/>
      <c r="J39" s="1"/>
      <c r="K39" s="1"/>
      <c r="L39" s="1"/>
      <c r="M39" s="1"/>
      <c r="N39" s="18"/>
    </row>
    <row r="40" spans="2:14" ht="15" customHeight="1" x14ac:dyDescent="0.25">
      <c r="B40" s="20"/>
      <c r="C40" s="5" t="s">
        <v>185</v>
      </c>
      <c r="D40" s="6" t="s">
        <v>178</v>
      </c>
      <c r="E40" s="11">
        <v>2.1953E-2</v>
      </c>
      <c r="F40" s="1"/>
      <c r="G40" s="1"/>
      <c r="H40" s="1"/>
      <c r="I40" s="1"/>
      <c r="J40" s="1"/>
      <c r="K40" s="1"/>
      <c r="L40" s="1"/>
      <c r="M40" s="1"/>
      <c r="N40" s="18"/>
    </row>
    <row r="41" spans="2:14" ht="15.75" customHeight="1" x14ac:dyDescent="0.25">
      <c r="B41" s="20"/>
      <c r="C41" s="5" t="s">
        <v>179</v>
      </c>
      <c r="D41" s="6" t="s">
        <v>178</v>
      </c>
      <c r="E41" s="11">
        <v>7.1349999999999998E-3</v>
      </c>
      <c r="F41" s="1"/>
      <c r="G41" s="1"/>
      <c r="H41" s="1"/>
      <c r="I41" s="1"/>
      <c r="J41" s="1"/>
      <c r="K41" s="1"/>
      <c r="L41" s="1"/>
      <c r="M41" s="1"/>
      <c r="N41" s="18"/>
    </row>
    <row r="42" spans="2:14" ht="15" customHeight="1" x14ac:dyDescent="0.25">
      <c r="B42" s="20"/>
      <c r="C42" s="5" t="s">
        <v>197</v>
      </c>
      <c r="D42" s="6" t="s">
        <v>178</v>
      </c>
      <c r="E42" s="11">
        <v>7.0670000000000004E-3</v>
      </c>
      <c r="F42" s="1"/>
      <c r="G42" s="1"/>
      <c r="H42" s="1"/>
      <c r="I42" s="1"/>
      <c r="J42" s="1"/>
      <c r="K42" s="1"/>
      <c r="L42" s="1"/>
      <c r="M42" s="1"/>
      <c r="N42" s="18"/>
    </row>
    <row r="43" spans="2:14" ht="15" customHeight="1" x14ac:dyDescent="0.25">
      <c r="B43" s="20"/>
      <c r="C43" s="5" t="s">
        <v>198</v>
      </c>
      <c r="D43" s="6" t="s">
        <v>178</v>
      </c>
      <c r="E43" s="11">
        <v>4.1229999999999999E-3</v>
      </c>
      <c r="F43" s="1"/>
      <c r="G43" s="1"/>
      <c r="H43" s="1"/>
      <c r="I43" s="1"/>
      <c r="J43" s="1"/>
      <c r="K43" s="1"/>
      <c r="L43" s="1"/>
      <c r="M43" s="1"/>
      <c r="N43" s="18"/>
    </row>
    <row r="44" spans="2:14" ht="15.75" customHeight="1" x14ac:dyDescent="0.25">
      <c r="B44" s="20"/>
      <c r="C44" s="7" t="s">
        <v>51</v>
      </c>
      <c r="D44" s="8"/>
      <c r="E44" s="12">
        <v>4.0278000000000001E-2</v>
      </c>
      <c r="F44" s="1"/>
      <c r="G44" s="1"/>
      <c r="H44" s="1"/>
      <c r="I44" s="1"/>
      <c r="J44" s="1"/>
      <c r="K44" s="1"/>
      <c r="L44" s="1"/>
      <c r="M44" s="1"/>
      <c r="N44" s="18"/>
    </row>
    <row r="45" spans="2:14" ht="15" customHeight="1" x14ac:dyDescent="0.25">
      <c r="B45" s="20"/>
      <c r="C45" s="5" t="s">
        <v>159</v>
      </c>
      <c r="D45" s="6" t="s">
        <v>178</v>
      </c>
      <c r="E45" s="11">
        <v>4.0377000000000003E-2</v>
      </c>
      <c r="F45" s="1"/>
      <c r="G45" s="1"/>
      <c r="H45" s="1"/>
      <c r="I45" s="1"/>
      <c r="J45" s="1"/>
      <c r="K45" s="1"/>
      <c r="L45" s="1"/>
      <c r="M45" s="1"/>
      <c r="N45" s="18"/>
    </row>
    <row r="46" spans="2:14" ht="15.75" customHeight="1" x14ac:dyDescent="0.25">
      <c r="B46" s="20"/>
      <c r="C46" s="5" t="s">
        <v>164</v>
      </c>
      <c r="D46" s="6" t="s">
        <v>178</v>
      </c>
      <c r="E46" s="11">
        <v>5.6449999999999998E-3</v>
      </c>
      <c r="F46" s="1"/>
      <c r="G46" s="1"/>
      <c r="H46" s="1"/>
      <c r="I46" s="1"/>
      <c r="J46" s="1"/>
      <c r="K46" s="1"/>
      <c r="L46" s="1"/>
      <c r="M46" s="1"/>
      <c r="N46" s="18"/>
    </row>
    <row r="47" spans="2:14" ht="15" customHeight="1" x14ac:dyDescent="0.25">
      <c r="B47" s="20"/>
      <c r="C47" s="7" t="s">
        <v>92</v>
      </c>
      <c r="D47" s="8"/>
      <c r="E47" s="12">
        <v>4.6022E-2</v>
      </c>
      <c r="F47" s="1"/>
      <c r="G47" s="1"/>
      <c r="H47" s="1"/>
      <c r="I47" s="1"/>
      <c r="J47" s="1"/>
      <c r="K47" s="1"/>
      <c r="L47" s="1"/>
      <c r="M47" s="1"/>
      <c r="N47" s="18"/>
    </row>
    <row r="48" spans="2:14" ht="15.75" customHeight="1" x14ac:dyDescent="0.25">
      <c r="B48" s="20"/>
      <c r="C48" s="5" t="s">
        <v>8</v>
      </c>
      <c r="D48" s="6"/>
      <c r="E48" s="11">
        <v>6.1532999999999997E-2</v>
      </c>
      <c r="F48" s="1"/>
      <c r="G48" s="1"/>
      <c r="H48" s="1"/>
      <c r="I48" s="1"/>
      <c r="J48" s="1"/>
      <c r="K48" s="1"/>
      <c r="L48" s="1"/>
      <c r="M48" s="1"/>
      <c r="N48" s="18"/>
    </row>
    <row r="49" spans="2:14" ht="15" customHeight="1" x14ac:dyDescent="0.25">
      <c r="B49" s="20"/>
      <c r="C49" s="7" t="s">
        <v>9</v>
      </c>
      <c r="D49" s="8"/>
      <c r="E49" s="12">
        <v>6.1532999999999997E-2</v>
      </c>
      <c r="F49" s="1"/>
      <c r="G49" s="1"/>
      <c r="H49" s="1"/>
      <c r="I49" s="1"/>
      <c r="J49" s="1"/>
      <c r="K49" s="1"/>
      <c r="L49" s="1"/>
      <c r="M49" s="1"/>
      <c r="N49" s="18"/>
    </row>
    <row r="50" spans="2:14" ht="15" customHeight="1" x14ac:dyDescent="0.25">
      <c r="B50" s="20"/>
      <c r="C50" s="5"/>
      <c r="D50" s="6"/>
      <c r="E50" s="11"/>
      <c r="F50" s="1"/>
      <c r="G50" s="1"/>
      <c r="H50" s="1"/>
      <c r="I50" s="1"/>
      <c r="J50" s="1"/>
      <c r="K50" s="1"/>
      <c r="L50" s="1"/>
      <c r="M50" s="1"/>
      <c r="N50" s="18"/>
    </row>
    <row r="51" spans="2:14" ht="15" customHeight="1" x14ac:dyDescent="0.25">
      <c r="B51" s="20"/>
      <c r="C51" s="7" t="s">
        <v>10</v>
      </c>
      <c r="D51" s="8"/>
      <c r="E51" s="12">
        <v>5.6140000000000001E-3</v>
      </c>
      <c r="F51" s="1"/>
      <c r="G51" s="1"/>
      <c r="H51" s="1"/>
      <c r="I51" s="1"/>
      <c r="J51" s="1"/>
      <c r="K51" s="1"/>
      <c r="L51" s="1"/>
      <c r="M51" s="1"/>
      <c r="N51" s="18"/>
    </row>
    <row r="52" spans="2:14" ht="15" customHeight="1" x14ac:dyDescent="0.25">
      <c r="B52" s="20"/>
      <c r="C52" s="5"/>
      <c r="D52" s="6"/>
      <c r="E52" s="11"/>
      <c r="F52" s="1"/>
      <c r="G52" s="1"/>
      <c r="H52" s="1"/>
      <c r="I52" s="1"/>
      <c r="J52" s="1"/>
      <c r="K52" s="1"/>
      <c r="L52" s="1"/>
      <c r="M52" s="1"/>
      <c r="N52" s="18"/>
    </row>
    <row r="53" spans="2:14" ht="15" customHeight="1" x14ac:dyDescent="0.25">
      <c r="B53" s="20"/>
      <c r="C53" s="9" t="s">
        <v>11</v>
      </c>
      <c r="D53" s="10"/>
      <c r="E53" s="13">
        <v>1</v>
      </c>
      <c r="F53" s="1"/>
      <c r="G53" s="1"/>
      <c r="H53" s="1"/>
      <c r="I53" s="1"/>
      <c r="J53" s="1"/>
      <c r="K53" s="1"/>
      <c r="L53" s="1"/>
      <c r="M53" s="1"/>
      <c r="N53" s="18"/>
    </row>
    <row r="54" spans="2:14" ht="15" customHeight="1" x14ac:dyDescent="0.25">
      <c r="B54" s="20"/>
      <c r="C54" s="1"/>
      <c r="D54" s="1"/>
      <c r="E54" s="1"/>
      <c r="F54" s="1"/>
      <c r="G54" s="1"/>
      <c r="H54" s="1"/>
      <c r="I54" s="1"/>
      <c r="J54" s="1"/>
      <c r="K54" s="1"/>
      <c r="L54" s="1"/>
      <c r="M54" s="1"/>
      <c r="N54" s="18"/>
    </row>
    <row r="55" spans="2:14" ht="15" customHeight="1" thickBot="1" x14ac:dyDescent="0.3">
      <c r="B55" s="21"/>
      <c r="C55" s="22"/>
      <c r="D55" s="22"/>
      <c r="E55" s="22"/>
      <c r="F55" s="22"/>
      <c r="G55" s="22"/>
      <c r="H55" s="22"/>
      <c r="I55" s="22"/>
      <c r="J55" s="22"/>
      <c r="K55" s="22"/>
      <c r="L55" s="22"/>
      <c r="M55" s="22"/>
      <c r="N55" s="23"/>
    </row>
    <row r="56" spans="2:14" ht="15" customHeight="1" thickBot="1" x14ac:dyDescent="0.3"/>
    <row r="57" spans="2:14" ht="15" customHeight="1" x14ac:dyDescent="0.25">
      <c r="B57" s="70" t="s">
        <v>288</v>
      </c>
      <c r="C57" s="71"/>
      <c r="D57" s="71"/>
      <c r="E57" s="71"/>
      <c r="F57" s="71"/>
      <c r="G57" s="71"/>
      <c r="H57" s="71"/>
      <c r="I57" s="71"/>
      <c r="J57" s="71"/>
      <c r="K57" s="71"/>
      <c r="L57" s="71"/>
      <c r="M57" s="71"/>
      <c r="N57" s="72"/>
    </row>
    <row r="58" spans="2:14" ht="15" customHeight="1" x14ac:dyDescent="0.25">
      <c r="B58" s="73"/>
      <c r="C58" s="74"/>
      <c r="D58" s="74"/>
      <c r="E58" s="74"/>
      <c r="F58" s="74"/>
      <c r="G58" s="74"/>
      <c r="H58" s="74"/>
      <c r="I58" s="74"/>
      <c r="J58" s="74"/>
      <c r="K58" s="74"/>
      <c r="L58" s="74"/>
      <c r="M58" s="74"/>
      <c r="N58" s="75"/>
    </row>
    <row r="59" spans="2:14" ht="15" customHeight="1" x14ac:dyDescent="0.25">
      <c r="B59" s="73"/>
      <c r="C59" s="74"/>
      <c r="D59" s="74"/>
      <c r="E59" s="74"/>
      <c r="F59" s="74"/>
      <c r="G59" s="74"/>
      <c r="H59" s="74"/>
      <c r="I59" s="74"/>
      <c r="J59" s="74"/>
      <c r="K59" s="74"/>
      <c r="L59" s="74"/>
      <c r="M59" s="74"/>
      <c r="N59" s="75"/>
    </row>
    <row r="60" spans="2:14" ht="15" customHeight="1" thickBot="1" x14ac:dyDescent="0.3">
      <c r="B60" s="76"/>
      <c r="C60" s="77"/>
      <c r="D60" s="77"/>
      <c r="E60" s="77"/>
      <c r="F60" s="77"/>
      <c r="G60" s="77"/>
      <c r="H60" s="77"/>
      <c r="I60" s="77"/>
      <c r="J60" s="77"/>
      <c r="K60" s="77"/>
      <c r="L60" s="77"/>
      <c r="M60" s="77"/>
      <c r="N60" s="78"/>
    </row>
    <row r="61" spans="2:14" ht="15" customHeight="1" thickBot="1" x14ac:dyDescent="0.3"/>
    <row r="62" spans="2:14" ht="131.25" customHeight="1" thickBot="1" x14ac:dyDescent="0.3">
      <c r="B62" s="67" t="s">
        <v>291</v>
      </c>
      <c r="C62" s="68"/>
      <c r="D62" s="68"/>
      <c r="E62" s="68"/>
      <c r="F62" s="68"/>
      <c r="G62" s="68"/>
      <c r="H62" s="68"/>
      <c r="I62" s="68"/>
      <c r="J62" s="68"/>
      <c r="K62" s="68"/>
      <c r="L62" s="68"/>
      <c r="M62" s="68"/>
      <c r="N62" s="69"/>
    </row>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sheetData>
  <sortState ref="C40:E43">
    <sortCondition descending="1" ref="E40"/>
  </sortState>
  <mergeCells count="7">
    <mergeCell ref="B57:N60"/>
    <mergeCell ref="B62:N62"/>
    <mergeCell ref="C3:N3"/>
    <mergeCell ref="D5:E5"/>
    <mergeCell ref="G7:N7"/>
    <mergeCell ref="G24:K24"/>
    <mergeCell ref="G26:N2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36C41-0720-4733-A6D2-DC62739AD396}">
  <dimension ref="B1:N50"/>
  <sheetViews>
    <sheetView showGridLines="0" zoomScale="75" zoomScaleNormal="75" workbookViewId="0"/>
  </sheetViews>
  <sheetFormatPr defaultRowHeight="15" x14ac:dyDescent="0.25"/>
  <cols>
    <col min="1" max="1" width="2.85546875" customWidth="1"/>
    <col min="2" max="2" width="3.85546875" customWidth="1"/>
    <col min="3" max="3" width="56"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9" t="s">
        <v>137</v>
      </c>
      <c r="D3" s="80"/>
      <c r="E3" s="80"/>
      <c r="F3" s="80"/>
      <c r="G3" s="80"/>
      <c r="H3" s="80"/>
      <c r="I3" s="80"/>
      <c r="J3" s="80"/>
      <c r="K3" s="80"/>
      <c r="L3" s="80"/>
      <c r="M3" s="80"/>
      <c r="N3" s="81"/>
    </row>
    <row r="4" spans="2:14" ht="15.75" customHeight="1" x14ac:dyDescent="0.25">
      <c r="B4" s="20"/>
      <c r="C4" s="14"/>
      <c r="D4" s="1"/>
      <c r="E4" s="1"/>
      <c r="F4" s="1"/>
      <c r="G4" s="1"/>
      <c r="H4" s="1"/>
      <c r="I4" s="1"/>
      <c r="J4" s="1"/>
      <c r="K4" s="1"/>
      <c r="L4" s="1"/>
      <c r="M4" s="1"/>
      <c r="N4" s="18"/>
    </row>
    <row r="5" spans="2:14" ht="18" customHeight="1" x14ac:dyDescent="0.25">
      <c r="B5" s="20"/>
      <c r="C5" s="15" t="s">
        <v>1</v>
      </c>
      <c r="D5" s="82" t="s">
        <v>138</v>
      </c>
      <c r="E5" s="8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4" t="s">
        <v>16</v>
      </c>
      <c r="H7" s="85"/>
      <c r="I7" s="85"/>
      <c r="J7" s="85"/>
      <c r="K7" s="85"/>
      <c r="L7" s="85"/>
      <c r="M7" s="85"/>
      <c r="N7" s="86"/>
    </row>
    <row r="8" spans="2:14" ht="15" customHeight="1" x14ac:dyDescent="0.25">
      <c r="B8" s="20"/>
      <c r="C8" s="5" t="s">
        <v>47</v>
      </c>
      <c r="D8" s="6"/>
      <c r="E8" s="11">
        <v>2.65E-3</v>
      </c>
      <c r="F8" s="1"/>
      <c r="G8" s="24" t="s">
        <v>15</v>
      </c>
      <c r="H8" s="25">
        <v>1</v>
      </c>
      <c r="I8" s="1"/>
      <c r="J8" s="24" t="s">
        <v>12</v>
      </c>
      <c r="K8" s="24" t="s">
        <v>5</v>
      </c>
      <c r="L8" s="1"/>
      <c r="M8" s="1"/>
      <c r="N8" s="18"/>
    </row>
    <row r="9" spans="2:14" ht="15.75" customHeight="1" x14ac:dyDescent="0.25">
      <c r="B9" s="20"/>
      <c r="C9" s="7" t="s">
        <v>48</v>
      </c>
      <c r="D9" s="8"/>
      <c r="E9" s="12">
        <v>2.65E-3</v>
      </c>
      <c r="F9" s="1"/>
      <c r="G9" s="1"/>
      <c r="H9" s="1"/>
      <c r="I9" s="1"/>
      <c r="J9" s="24" t="s">
        <v>10</v>
      </c>
      <c r="K9" s="28">
        <v>1.6553999999999999E-2</v>
      </c>
      <c r="L9" s="1"/>
      <c r="M9" s="1"/>
      <c r="N9" s="18"/>
    </row>
    <row r="10" spans="2:14" ht="15" customHeight="1" x14ac:dyDescent="0.25">
      <c r="B10" s="20"/>
      <c r="C10" s="5" t="s">
        <v>59</v>
      </c>
      <c r="D10" s="6" t="s">
        <v>178</v>
      </c>
      <c r="E10" s="11">
        <v>0.59468799999999999</v>
      </c>
      <c r="F10" s="1"/>
      <c r="G10" s="1"/>
      <c r="H10" s="1"/>
      <c r="I10" s="1"/>
      <c r="J10" s="24" t="s">
        <v>13</v>
      </c>
      <c r="K10" s="28">
        <v>4.5779999999999996E-3</v>
      </c>
      <c r="L10" s="1"/>
      <c r="M10" s="1"/>
      <c r="N10" s="18"/>
    </row>
    <row r="11" spans="2:14" ht="15" customHeight="1" x14ac:dyDescent="0.25">
      <c r="B11" s="20"/>
      <c r="C11" s="5" t="s">
        <v>139</v>
      </c>
      <c r="D11" s="6" t="s">
        <v>178</v>
      </c>
      <c r="E11" s="11">
        <v>0.381434</v>
      </c>
      <c r="F11" s="1"/>
      <c r="G11" s="1"/>
      <c r="H11" s="1"/>
      <c r="I11" s="1"/>
      <c r="J11" s="24" t="s">
        <v>47</v>
      </c>
      <c r="K11" s="28">
        <v>2.65E-3</v>
      </c>
      <c r="L11" s="1"/>
      <c r="M11" s="1"/>
      <c r="N11" s="18"/>
    </row>
    <row r="12" spans="2:14" ht="15" customHeight="1" x14ac:dyDescent="0.25">
      <c r="B12" s="20"/>
      <c r="C12" s="5" t="s">
        <v>130</v>
      </c>
      <c r="D12" s="6" t="s">
        <v>178</v>
      </c>
      <c r="E12" s="29">
        <v>4.8000000000000001E-5</v>
      </c>
      <c r="F12" s="1"/>
      <c r="G12" s="1"/>
      <c r="H12" s="1"/>
      <c r="I12" s="1"/>
      <c r="J12" s="24" t="s">
        <v>55</v>
      </c>
      <c r="K12" s="28">
        <v>0.97621800000000003</v>
      </c>
      <c r="L12" s="1"/>
      <c r="M12" s="1"/>
      <c r="N12" s="18"/>
    </row>
    <row r="13" spans="2:14" ht="15" customHeight="1" x14ac:dyDescent="0.25">
      <c r="B13" s="20"/>
      <c r="C13" s="5" t="s">
        <v>140</v>
      </c>
      <c r="D13" s="6" t="s">
        <v>178</v>
      </c>
      <c r="E13" s="29">
        <v>4.8000000000000001E-5</v>
      </c>
      <c r="F13" s="1"/>
      <c r="G13" s="1"/>
      <c r="H13" s="1"/>
      <c r="I13" s="1"/>
      <c r="J13" s="1"/>
      <c r="K13" s="1"/>
      <c r="L13" s="1"/>
      <c r="M13" s="1"/>
      <c r="N13" s="18"/>
    </row>
    <row r="14" spans="2:14" ht="15.75" customHeight="1" x14ac:dyDescent="0.25">
      <c r="B14" s="20"/>
      <c r="C14" s="7" t="s">
        <v>50</v>
      </c>
      <c r="D14" s="8"/>
      <c r="E14" s="12">
        <v>0.97621800000000003</v>
      </c>
      <c r="F14" s="1"/>
      <c r="G14" s="1"/>
      <c r="H14" s="1"/>
      <c r="I14" s="1"/>
      <c r="J14" s="1"/>
      <c r="K14" s="1"/>
      <c r="L14" s="1"/>
      <c r="M14" s="1"/>
      <c r="N14" s="18"/>
    </row>
    <row r="15" spans="2:14" ht="15" customHeight="1" x14ac:dyDescent="0.25">
      <c r="B15" s="20"/>
      <c r="C15" s="5" t="s">
        <v>8</v>
      </c>
      <c r="D15" s="6"/>
      <c r="E15" s="11">
        <v>4.5779999999999996E-3</v>
      </c>
      <c r="F15" s="1"/>
      <c r="G15" s="1"/>
      <c r="H15" s="1"/>
      <c r="I15" s="1"/>
      <c r="J15" s="1"/>
      <c r="K15" s="1"/>
      <c r="L15" s="1"/>
      <c r="M15" s="1"/>
      <c r="N15" s="18"/>
    </row>
    <row r="16" spans="2:14" ht="15.75" customHeight="1" x14ac:dyDescent="0.25">
      <c r="B16" s="20"/>
      <c r="C16" s="7" t="s">
        <v>9</v>
      </c>
      <c r="D16" s="8"/>
      <c r="E16" s="12">
        <v>4.5779999999999996E-3</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75" customHeight="1" x14ac:dyDescent="0.25">
      <c r="B18" s="20"/>
      <c r="C18" s="7" t="s">
        <v>10</v>
      </c>
      <c r="D18" s="8"/>
      <c r="E18" s="12">
        <v>1.6553999999999999E-2</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 customHeight="1" x14ac:dyDescent="0.25">
      <c r="B20" s="20"/>
      <c r="C20" s="9" t="s">
        <v>11</v>
      </c>
      <c r="D20" s="10"/>
      <c r="E20" s="13">
        <v>1</v>
      </c>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4" t="s">
        <v>17</v>
      </c>
      <c r="H24" s="85"/>
      <c r="I24" s="85"/>
      <c r="J24" s="85"/>
      <c r="K24" s="85"/>
      <c r="L24" s="103">
        <v>19.654388346642342</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4" t="s">
        <v>18</v>
      </c>
      <c r="H26" s="85"/>
      <c r="I26" s="85"/>
      <c r="J26" s="85"/>
      <c r="K26" s="85"/>
      <c r="L26" s="85"/>
      <c r="M26" s="85"/>
      <c r="N26" s="86"/>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x14ac:dyDescent="0.25">
      <c r="B45" s="70" t="s">
        <v>288</v>
      </c>
      <c r="C45" s="71"/>
      <c r="D45" s="71"/>
      <c r="E45" s="71"/>
      <c r="F45" s="71"/>
      <c r="G45" s="71"/>
      <c r="H45" s="71"/>
      <c r="I45" s="71"/>
      <c r="J45" s="71"/>
      <c r="K45" s="71"/>
      <c r="L45" s="71"/>
      <c r="M45" s="71"/>
      <c r="N45" s="72"/>
    </row>
    <row r="46" spans="2:14" x14ac:dyDescent="0.25">
      <c r="B46" s="73"/>
      <c r="C46" s="74"/>
      <c r="D46" s="74"/>
      <c r="E46" s="74"/>
      <c r="F46" s="74"/>
      <c r="G46" s="74"/>
      <c r="H46" s="74"/>
      <c r="I46" s="74"/>
      <c r="J46" s="74"/>
      <c r="K46" s="74"/>
      <c r="L46" s="74"/>
      <c r="M46" s="74"/>
      <c r="N46" s="75"/>
    </row>
    <row r="47" spans="2:14" x14ac:dyDescent="0.25">
      <c r="B47" s="73"/>
      <c r="C47" s="74"/>
      <c r="D47" s="74"/>
      <c r="E47" s="74"/>
      <c r="F47" s="74"/>
      <c r="G47" s="74"/>
      <c r="H47" s="74"/>
      <c r="I47" s="74"/>
      <c r="J47" s="74"/>
      <c r="K47" s="74"/>
      <c r="L47" s="74"/>
      <c r="M47" s="74"/>
      <c r="N47" s="75"/>
    </row>
    <row r="48" spans="2:14" ht="15.75" thickBot="1" x14ac:dyDescent="0.3">
      <c r="B48" s="76"/>
      <c r="C48" s="77"/>
      <c r="D48" s="77"/>
      <c r="E48" s="77"/>
      <c r="F48" s="77"/>
      <c r="G48" s="77"/>
      <c r="H48" s="77"/>
      <c r="I48" s="77"/>
      <c r="J48" s="77"/>
      <c r="K48" s="77"/>
      <c r="L48" s="77"/>
      <c r="M48" s="77"/>
      <c r="N48" s="78"/>
    </row>
    <row r="49" spans="2:14" ht="15.75" thickBot="1" x14ac:dyDescent="0.3"/>
    <row r="50" spans="2:14" ht="135" customHeight="1" thickBot="1" x14ac:dyDescent="0.3">
      <c r="B50" s="67" t="s">
        <v>291</v>
      </c>
      <c r="C50" s="68"/>
      <c r="D50" s="68"/>
      <c r="E50" s="68"/>
      <c r="F50" s="68"/>
      <c r="G50" s="68"/>
      <c r="H50" s="68"/>
      <c r="I50" s="68"/>
      <c r="J50" s="68"/>
      <c r="K50" s="68"/>
      <c r="L50" s="68"/>
      <c r="M50" s="68"/>
      <c r="N50" s="69"/>
    </row>
  </sheetData>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95BE9-4712-4558-8E58-65DDFB793AF0}">
  <dimension ref="B1:N50"/>
  <sheetViews>
    <sheetView showGridLines="0" zoomScale="75" zoomScaleNormal="75" workbookViewId="0"/>
  </sheetViews>
  <sheetFormatPr defaultRowHeight="15" x14ac:dyDescent="0.25"/>
  <cols>
    <col min="1" max="1" width="2.85546875" customWidth="1"/>
    <col min="2" max="2" width="3.85546875" customWidth="1"/>
    <col min="3" max="3" width="56"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9" t="s">
        <v>57</v>
      </c>
      <c r="D3" s="80"/>
      <c r="E3" s="80"/>
      <c r="F3" s="80"/>
      <c r="G3" s="80"/>
      <c r="H3" s="80"/>
      <c r="I3" s="80"/>
      <c r="J3" s="80"/>
      <c r="K3" s="80"/>
      <c r="L3" s="80"/>
      <c r="M3" s="80"/>
      <c r="N3" s="81"/>
    </row>
    <row r="4" spans="2:14" ht="15.75" customHeight="1" x14ac:dyDescent="0.25">
      <c r="B4" s="20"/>
      <c r="C4" s="14"/>
      <c r="D4" s="1"/>
      <c r="E4" s="1"/>
      <c r="F4" s="1"/>
      <c r="G4" s="1"/>
      <c r="H4" s="1"/>
      <c r="I4" s="1"/>
      <c r="J4" s="1"/>
      <c r="K4" s="1"/>
      <c r="L4" s="1"/>
      <c r="M4" s="1"/>
      <c r="N4" s="18"/>
    </row>
    <row r="5" spans="2:14" ht="18" customHeight="1" x14ac:dyDescent="0.25">
      <c r="B5" s="20"/>
      <c r="C5" s="15" t="s">
        <v>1</v>
      </c>
      <c r="D5" s="82" t="s">
        <v>58</v>
      </c>
      <c r="E5" s="8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4" t="s">
        <v>16</v>
      </c>
      <c r="H7" s="85"/>
      <c r="I7" s="85"/>
      <c r="J7" s="85"/>
      <c r="K7" s="85"/>
      <c r="L7" s="85"/>
      <c r="M7" s="85"/>
      <c r="N7" s="86"/>
    </row>
    <row r="8" spans="2:14" ht="15" customHeight="1" x14ac:dyDescent="0.25">
      <c r="B8" s="20"/>
      <c r="C8" s="5" t="s">
        <v>47</v>
      </c>
      <c r="D8" s="6"/>
      <c r="E8" s="11">
        <v>2.5760000000000002E-3</v>
      </c>
      <c r="F8" s="1"/>
      <c r="G8" s="24" t="s">
        <v>15</v>
      </c>
      <c r="H8" s="25">
        <v>1</v>
      </c>
      <c r="I8" s="1"/>
      <c r="J8" s="24" t="s">
        <v>12</v>
      </c>
      <c r="K8" s="24" t="s">
        <v>5</v>
      </c>
      <c r="L8" s="1"/>
      <c r="M8" s="1"/>
      <c r="N8" s="18"/>
    </row>
    <row r="9" spans="2:14" ht="15.75" customHeight="1" x14ac:dyDescent="0.25">
      <c r="B9" s="20"/>
      <c r="C9" s="7" t="s">
        <v>48</v>
      </c>
      <c r="D9" s="8"/>
      <c r="E9" s="12">
        <v>2.5760000000000002E-3</v>
      </c>
      <c r="F9" s="1"/>
      <c r="G9" s="1"/>
      <c r="H9" s="1"/>
      <c r="I9" s="1"/>
      <c r="J9" s="24" t="s">
        <v>10</v>
      </c>
      <c r="K9" s="28">
        <v>2.3251000000000001E-2</v>
      </c>
      <c r="L9" s="1"/>
      <c r="M9" s="1"/>
      <c r="N9" s="18"/>
    </row>
    <row r="10" spans="2:14" ht="15" customHeight="1" x14ac:dyDescent="0.25">
      <c r="B10" s="20"/>
      <c r="C10" s="5" t="s">
        <v>59</v>
      </c>
      <c r="D10" s="6" t="s">
        <v>178</v>
      </c>
      <c r="E10" s="11">
        <v>0.59701800000000005</v>
      </c>
      <c r="F10" s="1"/>
      <c r="G10" s="1"/>
      <c r="H10" s="1"/>
      <c r="I10" s="1"/>
      <c r="J10" s="24" t="s">
        <v>13</v>
      </c>
      <c r="K10" s="28">
        <v>3.375E-3</v>
      </c>
      <c r="L10" s="1"/>
      <c r="M10" s="1"/>
      <c r="N10" s="18"/>
    </row>
    <row r="11" spans="2:14" ht="15" customHeight="1" x14ac:dyDescent="0.25">
      <c r="B11" s="20"/>
      <c r="C11" s="5" t="s">
        <v>60</v>
      </c>
      <c r="D11" s="6" t="s">
        <v>178</v>
      </c>
      <c r="E11" s="11">
        <v>0.28267999999999999</v>
      </c>
      <c r="F11" s="1"/>
      <c r="G11" s="1"/>
      <c r="H11" s="1"/>
      <c r="I11" s="1"/>
      <c r="J11" s="24" t="s">
        <v>47</v>
      </c>
      <c r="K11" s="28">
        <v>2.5760000000000002E-3</v>
      </c>
      <c r="L11" s="1"/>
      <c r="M11" s="1"/>
      <c r="N11" s="18"/>
    </row>
    <row r="12" spans="2:14" ht="15" customHeight="1" x14ac:dyDescent="0.25">
      <c r="B12" s="20"/>
      <c r="C12" s="5" t="s">
        <v>61</v>
      </c>
      <c r="D12" s="6" t="s">
        <v>178</v>
      </c>
      <c r="E12" s="11">
        <v>6.3072000000000003E-2</v>
      </c>
      <c r="F12" s="1"/>
      <c r="G12" s="1"/>
      <c r="H12" s="1"/>
      <c r="I12" s="1"/>
      <c r="J12" s="24" t="s">
        <v>55</v>
      </c>
      <c r="K12" s="28">
        <v>0.97079800000000005</v>
      </c>
      <c r="L12" s="1"/>
      <c r="M12" s="1"/>
      <c r="N12" s="18"/>
    </row>
    <row r="13" spans="2:14" ht="15" customHeight="1" x14ac:dyDescent="0.25">
      <c r="B13" s="20"/>
      <c r="C13" s="5" t="s">
        <v>62</v>
      </c>
      <c r="D13" s="6" t="s">
        <v>178</v>
      </c>
      <c r="E13" s="11">
        <v>1.9109000000000001E-2</v>
      </c>
      <c r="F13" s="1"/>
      <c r="G13" s="1"/>
      <c r="H13" s="1"/>
      <c r="I13" s="1"/>
      <c r="J13" s="1"/>
      <c r="K13" s="1"/>
      <c r="L13" s="1"/>
      <c r="M13" s="1"/>
      <c r="N13" s="18"/>
    </row>
    <row r="14" spans="2:14" ht="15" customHeight="1" x14ac:dyDescent="0.25">
      <c r="B14" s="20"/>
      <c r="C14" s="5" t="s">
        <v>63</v>
      </c>
      <c r="D14" s="6" t="s">
        <v>178</v>
      </c>
      <c r="E14" s="11">
        <v>6.1110000000000001E-3</v>
      </c>
      <c r="F14" s="1"/>
      <c r="G14" s="1"/>
      <c r="H14" s="1"/>
      <c r="I14" s="1"/>
      <c r="J14" s="1"/>
      <c r="K14" s="1"/>
      <c r="L14" s="1"/>
      <c r="M14" s="1"/>
      <c r="N14" s="18"/>
    </row>
    <row r="15" spans="2:14" ht="15" customHeight="1" x14ac:dyDescent="0.25">
      <c r="B15" s="20"/>
      <c r="C15" s="5" t="s">
        <v>64</v>
      </c>
      <c r="D15" s="6" t="s">
        <v>178</v>
      </c>
      <c r="E15" s="11">
        <v>2.0179999999999998E-3</v>
      </c>
      <c r="F15" s="1"/>
      <c r="G15" s="1"/>
      <c r="H15" s="1"/>
      <c r="I15" s="1"/>
      <c r="J15" s="1"/>
      <c r="K15" s="1"/>
      <c r="L15" s="1"/>
      <c r="M15" s="1"/>
      <c r="N15" s="18"/>
    </row>
    <row r="16" spans="2:14" ht="15" customHeight="1" x14ac:dyDescent="0.25">
      <c r="B16" s="20"/>
      <c r="C16" s="5" t="s">
        <v>65</v>
      </c>
      <c r="D16" s="6" t="s">
        <v>178</v>
      </c>
      <c r="E16" s="11">
        <v>7.9000000000000001E-4</v>
      </c>
      <c r="F16" s="1"/>
      <c r="G16" s="1"/>
      <c r="H16" s="1"/>
      <c r="I16" s="1"/>
      <c r="J16" s="1"/>
      <c r="K16" s="1"/>
      <c r="L16" s="1"/>
      <c r="M16" s="1"/>
      <c r="N16" s="18"/>
    </row>
    <row r="17" spans="2:14" ht="15.75" customHeight="1" x14ac:dyDescent="0.25">
      <c r="B17" s="20"/>
      <c r="C17" s="7" t="s">
        <v>50</v>
      </c>
      <c r="D17" s="8"/>
      <c r="E17" s="12">
        <v>0.97079800000000005</v>
      </c>
      <c r="F17" s="1"/>
      <c r="G17" s="1"/>
      <c r="H17" s="1"/>
      <c r="I17" s="1"/>
      <c r="J17" s="1"/>
      <c r="K17" s="1"/>
      <c r="L17" s="1"/>
      <c r="M17" s="1"/>
      <c r="N17" s="18"/>
    </row>
    <row r="18" spans="2:14" ht="15" customHeight="1" x14ac:dyDescent="0.25">
      <c r="B18" s="20"/>
      <c r="C18" s="5" t="s">
        <v>8</v>
      </c>
      <c r="D18" s="6"/>
      <c r="E18" s="11">
        <v>3.375E-3</v>
      </c>
      <c r="F18" s="1"/>
      <c r="G18" s="1"/>
      <c r="H18" s="1"/>
      <c r="I18" s="1"/>
      <c r="J18" s="1"/>
      <c r="K18" s="1"/>
      <c r="L18" s="1"/>
      <c r="M18" s="1"/>
      <c r="N18" s="18"/>
    </row>
    <row r="19" spans="2:14" ht="15.75" customHeight="1" x14ac:dyDescent="0.25">
      <c r="B19" s="20"/>
      <c r="C19" s="7" t="s">
        <v>9</v>
      </c>
      <c r="D19" s="8"/>
      <c r="E19" s="12">
        <v>3.375E-3</v>
      </c>
      <c r="F19" s="1"/>
      <c r="G19" s="1"/>
      <c r="H19" s="1"/>
      <c r="I19" s="1"/>
      <c r="J19" s="1"/>
      <c r="K19" s="1"/>
      <c r="L19" s="1"/>
      <c r="M19" s="1"/>
      <c r="N19" s="18"/>
    </row>
    <row r="20" spans="2:14" ht="15" customHeight="1" x14ac:dyDescent="0.25">
      <c r="B20" s="20"/>
      <c r="C20" s="5"/>
      <c r="D20" s="6"/>
      <c r="E20" s="11"/>
      <c r="F20" s="1"/>
      <c r="G20" s="1"/>
      <c r="H20" s="1"/>
      <c r="I20" s="1"/>
      <c r="J20" s="1"/>
      <c r="K20" s="1"/>
      <c r="L20" s="1"/>
      <c r="M20" s="1"/>
      <c r="N20" s="18"/>
    </row>
    <row r="21" spans="2:14" ht="15.75" customHeight="1" x14ac:dyDescent="0.25">
      <c r="B21" s="20"/>
      <c r="C21" s="7" t="s">
        <v>10</v>
      </c>
      <c r="D21" s="8"/>
      <c r="E21" s="12">
        <v>2.3251000000000001E-2</v>
      </c>
      <c r="F21" s="1"/>
      <c r="G21" s="1"/>
      <c r="H21" s="1"/>
      <c r="I21" s="1"/>
      <c r="J21" s="1"/>
      <c r="K21" s="1"/>
      <c r="L21" s="1"/>
      <c r="M21" s="1"/>
      <c r="N21" s="18"/>
    </row>
    <row r="22" spans="2:14" ht="15" customHeight="1" x14ac:dyDescent="0.25">
      <c r="B22" s="20"/>
      <c r="C22" s="5"/>
      <c r="D22" s="6"/>
      <c r="E22" s="11"/>
      <c r="F22" s="1"/>
      <c r="G22" s="1"/>
      <c r="H22" s="1"/>
      <c r="I22" s="1"/>
      <c r="J22" s="1"/>
      <c r="K22" s="1"/>
      <c r="L22" s="1"/>
      <c r="M22" s="1"/>
      <c r="N22" s="18"/>
    </row>
    <row r="23" spans="2:14" ht="15" customHeight="1" x14ac:dyDescent="0.25">
      <c r="B23" s="20"/>
      <c r="C23" s="9" t="s">
        <v>11</v>
      </c>
      <c r="D23" s="10"/>
      <c r="E23" s="13">
        <v>1</v>
      </c>
      <c r="F23" s="1"/>
      <c r="G23" s="1"/>
      <c r="H23" s="1"/>
      <c r="I23" s="1"/>
      <c r="J23" s="1"/>
      <c r="K23" s="1"/>
      <c r="L23" s="1"/>
      <c r="M23" s="1"/>
      <c r="N23" s="18"/>
    </row>
    <row r="24" spans="2:14" ht="15" customHeight="1" x14ac:dyDescent="0.25">
      <c r="B24" s="20"/>
      <c r="C24" s="1"/>
      <c r="D24" s="1"/>
      <c r="E24" s="1"/>
      <c r="F24" s="1"/>
      <c r="G24" s="84" t="s">
        <v>17</v>
      </c>
      <c r="H24" s="85"/>
      <c r="I24" s="85"/>
      <c r="J24" s="85"/>
      <c r="K24" s="85"/>
      <c r="L24" s="103">
        <v>10.404879769628334</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4" t="s">
        <v>18</v>
      </c>
      <c r="H26" s="85"/>
      <c r="I26" s="85"/>
      <c r="J26" s="85"/>
      <c r="K26" s="85"/>
      <c r="L26" s="85"/>
      <c r="M26" s="85"/>
      <c r="N26" s="86"/>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75" thickBot="1" x14ac:dyDescent="0.3"/>
    <row r="45" spans="2:14" x14ac:dyDescent="0.25">
      <c r="B45" s="70" t="s">
        <v>288</v>
      </c>
      <c r="C45" s="71"/>
      <c r="D45" s="71"/>
      <c r="E45" s="71"/>
      <c r="F45" s="71"/>
      <c r="G45" s="71"/>
      <c r="H45" s="71"/>
      <c r="I45" s="71"/>
      <c r="J45" s="71"/>
      <c r="K45" s="71"/>
      <c r="L45" s="71"/>
      <c r="M45" s="71"/>
      <c r="N45" s="72"/>
    </row>
    <row r="46" spans="2:14" x14ac:dyDescent="0.25">
      <c r="B46" s="73"/>
      <c r="C46" s="74"/>
      <c r="D46" s="74"/>
      <c r="E46" s="74"/>
      <c r="F46" s="74"/>
      <c r="G46" s="74"/>
      <c r="H46" s="74"/>
      <c r="I46" s="74"/>
      <c r="J46" s="74"/>
      <c r="K46" s="74"/>
      <c r="L46" s="74"/>
      <c r="M46" s="74"/>
      <c r="N46" s="75"/>
    </row>
    <row r="47" spans="2:14" x14ac:dyDescent="0.25">
      <c r="B47" s="73"/>
      <c r="C47" s="74"/>
      <c r="D47" s="74"/>
      <c r="E47" s="74"/>
      <c r="F47" s="74"/>
      <c r="G47" s="74"/>
      <c r="H47" s="74"/>
      <c r="I47" s="74"/>
      <c r="J47" s="74"/>
      <c r="K47" s="74"/>
      <c r="L47" s="74"/>
      <c r="M47" s="74"/>
      <c r="N47" s="75"/>
    </row>
    <row r="48" spans="2:14" ht="15.75" thickBot="1" x14ac:dyDescent="0.3">
      <c r="B48" s="76"/>
      <c r="C48" s="77"/>
      <c r="D48" s="77"/>
      <c r="E48" s="77"/>
      <c r="F48" s="77"/>
      <c r="G48" s="77"/>
      <c r="H48" s="77"/>
      <c r="I48" s="77"/>
      <c r="J48" s="77"/>
      <c r="K48" s="77"/>
      <c r="L48" s="77"/>
      <c r="M48" s="77"/>
      <c r="N48" s="78"/>
    </row>
    <row r="49" spans="2:14" ht="15.75" thickBot="1" x14ac:dyDescent="0.3"/>
    <row r="50" spans="2:14" ht="122.25" customHeight="1" thickBot="1" x14ac:dyDescent="0.3">
      <c r="B50" s="67" t="s">
        <v>291</v>
      </c>
      <c r="C50" s="68"/>
      <c r="D50" s="68"/>
      <c r="E50" s="68"/>
      <c r="F50" s="68"/>
      <c r="G50" s="68"/>
      <c r="H50" s="68"/>
      <c r="I50" s="68"/>
      <c r="J50" s="68"/>
      <c r="K50" s="68"/>
      <c r="L50" s="68"/>
      <c r="M50" s="68"/>
      <c r="N50" s="69"/>
    </row>
  </sheetData>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5C6A6-4D8C-4DE2-A077-C6F28C2B98BD}">
  <dimension ref="B1:N52"/>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9" t="s">
        <v>66</v>
      </c>
      <c r="D3" s="80"/>
      <c r="E3" s="80"/>
      <c r="F3" s="80"/>
      <c r="G3" s="80"/>
      <c r="H3" s="80"/>
      <c r="I3" s="80"/>
      <c r="J3" s="80"/>
      <c r="K3" s="80"/>
      <c r="L3" s="80"/>
      <c r="M3" s="80"/>
      <c r="N3" s="81"/>
    </row>
    <row r="4" spans="2:14" ht="15.75" customHeight="1" x14ac:dyDescent="0.25">
      <c r="B4" s="20"/>
      <c r="C4" s="14"/>
      <c r="D4" s="1"/>
      <c r="E4" s="1"/>
      <c r="F4" s="1"/>
      <c r="G4" s="1"/>
      <c r="H4" s="1"/>
      <c r="I4" s="1"/>
      <c r="J4" s="1"/>
      <c r="K4" s="1"/>
      <c r="L4" s="1"/>
      <c r="M4" s="1"/>
      <c r="N4" s="18"/>
    </row>
    <row r="5" spans="2:14" ht="18" customHeight="1" x14ac:dyDescent="0.25">
      <c r="B5" s="20"/>
      <c r="C5" s="15" t="s">
        <v>1</v>
      </c>
      <c r="D5" s="82" t="s">
        <v>67</v>
      </c>
      <c r="E5" s="8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4" t="s">
        <v>16</v>
      </c>
      <c r="H7" s="85"/>
      <c r="I7" s="85"/>
      <c r="J7" s="85"/>
      <c r="K7" s="85"/>
      <c r="L7" s="85"/>
      <c r="M7" s="85"/>
      <c r="N7" s="86"/>
    </row>
    <row r="8" spans="2:14" ht="15" customHeight="1" x14ac:dyDescent="0.25">
      <c r="B8" s="20"/>
      <c r="C8" s="5" t="s">
        <v>35</v>
      </c>
      <c r="D8" s="6" t="s">
        <v>30</v>
      </c>
      <c r="E8" s="11">
        <v>8.9477000000000001E-2</v>
      </c>
      <c r="F8" s="1"/>
      <c r="G8" s="24" t="s">
        <v>15</v>
      </c>
      <c r="H8" s="25">
        <v>1</v>
      </c>
      <c r="I8" s="1"/>
      <c r="J8" s="24" t="s">
        <v>12</v>
      </c>
      <c r="K8" s="24" t="s">
        <v>5</v>
      </c>
      <c r="L8" s="1"/>
      <c r="M8" s="1"/>
      <c r="N8" s="18"/>
    </row>
    <row r="9" spans="2:14" ht="15" customHeight="1" x14ac:dyDescent="0.25">
      <c r="B9" s="20"/>
      <c r="C9" s="5" t="s">
        <v>31</v>
      </c>
      <c r="D9" s="6" t="s">
        <v>30</v>
      </c>
      <c r="E9" s="11">
        <v>6.1790999999999999E-2</v>
      </c>
      <c r="F9" s="1"/>
      <c r="G9" s="1"/>
      <c r="H9" s="1"/>
      <c r="I9" s="1"/>
      <c r="J9" s="24" t="s">
        <v>10</v>
      </c>
      <c r="K9" s="28">
        <v>1.2596E-2</v>
      </c>
      <c r="L9" s="1"/>
      <c r="M9" s="1"/>
      <c r="N9" s="18"/>
    </row>
    <row r="10" spans="2:14" ht="15" customHeight="1" x14ac:dyDescent="0.25">
      <c r="B10" s="20"/>
      <c r="C10" s="5" t="s">
        <v>33</v>
      </c>
      <c r="D10" s="6" t="s">
        <v>30</v>
      </c>
      <c r="E10" s="11">
        <v>6.1046000000000003E-2</v>
      </c>
      <c r="F10" s="1"/>
      <c r="G10" s="1"/>
      <c r="H10" s="1"/>
      <c r="I10" s="1"/>
      <c r="J10" s="24" t="s">
        <v>13</v>
      </c>
      <c r="K10" s="28">
        <v>1.3010000000000001E-3</v>
      </c>
      <c r="L10" s="1"/>
      <c r="M10" s="1"/>
      <c r="N10" s="18"/>
    </row>
    <row r="11" spans="2:14" ht="15" customHeight="1" x14ac:dyDescent="0.25">
      <c r="B11" s="20"/>
      <c r="C11" s="5" t="s">
        <v>32</v>
      </c>
      <c r="D11" s="6" t="s">
        <v>30</v>
      </c>
      <c r="E11" s="11">
        <v>3.0599999999999998E-3</v>
      </c>
      <c r="F11" s="1"/>
      <c r="G11" s="1"/>
      <c r="H11" s="1"/>
      <c r="I11" s="1"/>
      <c r="J11" s="24" t="s">
        <v>53</v>
      </c>
      <c r="K11" s="28">
        <v>0.21537400000000001</v>
      </c>
      <c r="L11" s="1"/>
      <c r="M11" s="1"/>
      <c r="N11" s="18"/>
    </row>
    <row r="12" spans="2:14" ht="15.75" customHeight="1" x14ac:dyDescent="0.25">
      <c r="B12" s="20"/>
      <c r="C12" s="7" t="s">
        <v>46</v>
      </c>
      <c r="D12" s="8"/>
      <c r="E12" s="12">
        <v>0.21537400000000001</v>
      </c>
      <c r="F12" s="1"/>
      <c r="G12" s="1"/>
      <c r="H12" s="1"/>
      <c r="I12" s="1"/>
      <c r="J12" s="24" t="s">
        <v>47</v>
      </c>
      <c r="K12" s="28">
        <v>3.1619999999999999E-3</v>
      </c>
      <c r="L12" s="1"/>
      <c r="M12" s="1"/>
      <c r="N12" s="18"/>
    </row>
    <row r="13" spans="2:14" ht="15" customHeight="1" x14ac:dyDescent="0.25">
      <c r="B13" s="20"/>
      <c r="C13" s="5" t="s">
        <v>47</v>
      </c>
      <c r="D13" s="6"/>
      <c r="E13" s="11">
        <v>3.1619999999999999E-3</v>
      </c>
      <c r="F13" s="1"/>
      <c r="G13" s="1"/>
      <c r="H13" s="1"/>
      <c r="I13" s="1"/>
      <c r="J13" s="24" t="s">
        <v>55</v>
      </c>
      <c r="K13" s="28">
        <v>0.73816199999999998</v>
      </c>
      <c r="L13" s="1"/>
      <c r="M13" s="1"/>
      <c r="N13" s="18"/>
    </row>
    <row r="14" spans="2:14" ht="15.75" customHeight="1" x14ac:dyDescent="0.25">
      <c r="B14" s="20"/>
      <c r="C14" s="7" t="s">
        <v>48</v>
      </c>
      <c r="D14" s="8"/>
      <c r="E14" s="12">
        <v>3.1619999999999999E-3</v>
      </c>
      <c r="F14" s="1"/>
      <c r="G14" s="1"/>
      <c r="H14" s="1"/>
      <c r="I14" s="1"/>
      <c r="J14" s="24" t="s">
        <v>73</v>
      </c>
      <c r="K14" s="28">
        <v>9.4649999999999995E-3</v>
      </c>
      <c r="L14" s="1"/>
      <c r="M14" s="1"/>
      <c r="N14" s="18"/>
    </row>
    <row r="15" spans="2:14" ht="15" customHeight="1" x14ac:dyDescent="0.25">
      <c r="B15" s="20"/>
      <c r="C15" s="5" t="s">
        <v>60</v>
      </c>
      <c r="D15" s="6" t="s">
        <v>178</v>
      </c>
      <c r="E15" s="11">
        <v>0.68333299999999997</v>
      </c>
      <c r="F15" s="1"/>
      <c r="G15" s="1"/>
      <c r="H15" s="1"/>
      <c r="I15" s="1"/>
      <c r="J15" s="24" t="s">
        <v>56</v>
      </c>
      <c r="K15" s="28">
        <v>1.9939999999999999E-2</v>
      </c>
      <c r="L15" s="1"/>
      <c r="M15" s="1"/>
      <c r="N15" s="18"/>
    </row>
    <row r="16" spans="2:14" ht="15" customHeight="1" x14ac:dyDescent="0.25">
      <c r="B16" s="20"/>
      <c r="C16" s="5" t="s">
        <v>68</v>
      </c>
      <c r="D16" s="6" t="s">
        <v>178</v>
      </c>
      <c r="E16" s="11">
        <v>2.8011000000000001E-2</v>
      </c>
      <c r="F16" s="1"/>
      <c r="G16" s="1"/>
      <c r="H16" s="1"/>
      <c r="I16" s="1"/>
      <c r="J16" s="1"/>
      <c r="K16" s="1"/>
      <c r="L16" s="1"/>
      <c r="M16" s="1"/>
      <c r="N16" s="18"/>
    </row>
    <row r="17" spans="2:14" ht="15" customHeight="1" x14ac:dyDescent="0.25">
      <c r="B17" s="20"/>
      <c r="C17" s="5" t="s">
        <v>69</v>
      </c>
      <c r="D17" s="6" t="s">
        <v>178</v>
      </c>
      <c r="E17" s="11">
        <v>2.4771999999999999E-2</v>
      </c>
      <c r="F17" s="1"/>
      <c r="G17" s="1"/>
      <c r="H17" s="1"/>
      <c r="I17" s="1"/>
      <c r="J17" s="1"/>
      <c r="K17" s="1"/>
      <c r="L17" s="1"/>
      <c r="M17" s="1"/>
      <c r="N17" s="18"/>
    </row>
    <row r="18" spans="2:14" ht="15" customHeight="1" x14ac:dyDescent="0.25">
      <c r="B18" s="20"/>
      <c r="C18" s="5" t="s">
        <v>61</v>
      </c>
      <c r="D18" s="6" t="s">
        <v>178</v>
      </c>
      <c r="E18" s="11">
        <v>1.232E-3</v>
      </c>
      <c r="F18" s="1"/>
      <c r="G18" s="1"/>
      <c r="H18" s="1"/>
      <c r="I18" s="1"/>
      <c r="J18" s="1"/>
      <c r="K18" s="1"/>
      <c r="L18" s="1"/>
      <c r="M18" s="1"/>
      <c r="N18" s="18"/>
    </row>
    <row r="19" spans="2:14" ht="15" customHeight="1" x14ac:dyDescent="0.25">
      <c r="B19" s="20"/>
      <c r="C19" s="5" t="s">
        <v>49</v>
      </c>
      <c r="D19" s="6" t="s">
        <v>178</v>
      </c>
      <c r="E19" s="11">
        <v>6.2200000000000005E-4</v>
      </c>
      <c r="F19" s="1"/>
      <c r="G19" s="1"/>
      <c r="H19" s="1"/>
      <c r="I19" s="1"/>
      <c r="J19" s="1"/>
      <c r="K19" s="1"/>
      <c r="L19" s="1"/>
      <c r="M19" s="1"/>
      <c r="N19" s="18"/>
    </row>
    <row r="20" spans="2:14" ht="15" customHeight="1" x14ac:dyDescent="0.25">
      <c r="B20" s="20"/>
      <c r="C20" s="5" t="s">
        <v>64</v>
      </c>
      <c r="D20" s="6" t="s">
        <v>178</v>
      </c>
      <c r="E20" s="11">
        <v>1.22E-4</v>
      </c>
      <c r="F20" s="1"/>
      <c r="G20" s="1"/>
      <c r="H20" s="1"/>
      <c r="I20" s="1"/>
      <c r="J20" s="1"/>
      <c r="K20" s="1"/>
      <c r="L20" s="1"/>
      <c r="M20" s="1"/>
      <c r="N20" s="18"/>
    </row>
    <row r="21" spans="2:14" ht="15" customHeight="1" x14ac:dyDescent="0.25">
      <c r="B21" s="20"/>
      <c r="C21" s="5" t="s">
        <v>70</v>
      </c>
      <c r="D21" s="6" t="s">
        <v>178</v>
      </c>
      <c r="E21" s="11">
        <v>6.9999999999999994E-5</v>
      </c>
      <c r="F21" s="1"/>
      <c r="G21" s="1"/>
      <c r="H21" s="1"/>
      <c r="I21" s="1"/>
      <c r="J21" s="1"/>
      <c r="K21" s="1"/>
      <c r="L21" s="1"/>
      <c r="M21" s="1"/>
      <c r="N21" s="18"/>
    </row>
    <row r="22" spans="2:14" ht="15.75" customHeight="1" x14ac:dyDescent="0.25">
      <c r="B22" s="20"/>
      <c r="C22" s="7" t="s">
        <v>50</v>
      </c>
      <c r="D22" s="8"/>
      <c r="E22" s="12">
        <v>0.73816199999999998</v>
      </c>
      <c r="F22" s="1"/>
      <c r="G22" s="1"/>
      <c r="H22" s="1"/>
      <c r="I22" s="1"/>
      <c r="J22" s="1"/>
      <c r="K22" s="1"/>
      <c r="L22" s="1"/>
      <c r="M22" s="1"/>
      <c r="N22" s="18"/>
    </row>
    <row r="23" spans="2:14" ht="15" customHeight="1" x14ac:dyDescent="0.25">
      <c r="B23" s="20"/>
      <c r="C23" s="5" t="s">
        <v>284</v>
      </c>
      <c r="D23" s="6" t="s">
        <v>71</v>
      </c>
      <c r="E23" s="11">
        <v>9.4649999999999995E-3</v>
      </c>
      <c r="F23" s="1"/>
      <c r="G23" s="1"/>
      <c r="H23" s="1"/>
      <c r="I23" s="1"/>
      <c r="J23" s="1"/>
      <c r="K23" s="1"/>
      <c r="L23" s="1"/>
      <c r="M23" s="1"/>
      <c r="N23" s="18"/>
    </row>
    <row r="24" spans="2:14" ht="15.75" customHeight="1" x14ac:dyDescent="0.25">
      <c r="B24" s="20"/>
      <c r="C24" s="7" t="s">
        <v>72</v>
      </c>
      <c r="D24" s="8"/>
      <c r="E24" s="12">
        <v>9.4649999999999995E-3</v>
      </c>
      <c r="F24" s="1"/>
      <c r="G24" s="84" t="s">
        <v>17</v>
      </c>
      <c r="H24" s="85"/>
      <c r="I24" s="85"/>
      <c r="J24" s="85"/>
      <c r="K24" s="85"/>
      <c r="L24" s="103">
        <v>4.741850961776124</v>
      </c>
      <c r="M24" s="26"/>
      <c r="N24" s="27"/>
    </row>
    <row r="25" spans="2:14" ht="15" customHeight="1" x14ac:dyDescent="0.25">
      <c r="B25" s="20"/>
      <c r="C25" s="5" t="s">
        <v>200</v>
      </c>
      <c r="D25" s="6" t="s">
        <v>178</v>
      </c>
      <c r="E25" s="11">
        <v>9.3489999999999997E-3</v>
      </c>
      <c r="F25" s="1"/>
      <c r="G25" s="1"/>
      <c r="H25" s="1"/>
      <c r="I25" s="1"/>
      <c r="J25" s="1"/>
      <c r="K25" s="1"/>
      <c r="L25" s="1"/>
      <c r="M25" s="1"/>
      <c r="N25" s="18"/>
    </row>
    <row r="26" spans="2:14" ht="15.75" customHeight="1" x14ac:dyDescent="0.25">
      <c r="B26" s="20"/>
      <c r="C26" s="5" t="s">
        <v>199</v>
      </c>
      <c r="D26" s="6" t="s">
        <v>178</v>
      </c>
      <c r="E26" s="11">
        <v>9.3460000000000001E-3</v>
      </c>
      <c r="F26" s="1"/>
      <c r="G26" s="84" t="s">
        <v>18</v>
      </c>
      <c r="H26" s="85"/>
      <c r="I26" s="85"/>
      <c r="J26" s="85"/>
      <c r="K26" s="85"/>
      <c r="L26" s="85"/>
      <c r="M26" s="85"/>
      <c r="N26" s="86"/>
    </row>
    <row r="27" spans="2:14" ht="15" customHeight="1" x14ac:dyDescent="0.25">
      <c r="B27" s="20"/>
      <c r="C27" s="5" t="s">
        <v>201</v>
      </c>
      <c r="D27" s="6" t="s">
        <v>178</v>
      </c>
      <c r="E27" s="11">
        <v>1.245E-3</v>
      </c>
      <c r="F27" s="1"/>
      <c r="G27" s="1"/>
      <c r="H27" s="1"/>
      <c r="I27" s="1"/>
      <c r="J27" s="1"/>
      <c r="K27" s="1"/>
      <c r="L27" s="1"/>
      <c r="M27" s="1"/>
      <c r="N27" s="18"/>
    </row>
    <row r="28" spans="2:14" ht="15.75" customHeight="1" x14ac:dyDescent="0.25">
      <c r="B28" s="20"/>
      <c r="C28" s="7" t="s">
        <v>51</v>
      </c>
      <c r="D28" s="8"/>
      <c r="E28" s="12">
        <v>1.9939999999999999E-2</v>
      </c>
      <c r="F28" s="1"/>
      <c r="G28" s="1"/>
      <c r="H28" s="1"/>
      <c r="I28" s="1"/>
      <c r="J28" s="1"/>
      <c r="K28" s="1"/>
      <c r="L28" s="1"/>
      <c r="M28" s="1"/>
      <c r="N28" s="18"/>
    </row>
    <row r="29" spans="2:14" ht="15" customHeight="1" x14ac:dyDescent="0.25">
      <c r="B29" s="20"/>
      <c r="C29" s="5" t="s">
        <v>8</v>
      </c>
      <c r="D29" s="6"/>
      <c r="E29" s="11">
        <v>1.3010000000000001E-3</v>
      </c>
      <c r="F29" s="1"/>
      <c r="G29" s="1"/>
      <c r="H29" s="1"/>
      <c r="I29" s="1"/>
      <c r="J29" s="1"/>
      <c r="K29" s="1"/>
      <c r="L29" s="1"/>
      <c r="M29" s="1"/>
      <c r="N29" s="18"/>
    </row>
    <row r="30" spans="2:14" ht="15.75" customHeight="1" x14ac:dyDescent="0.25">
      <c r="B30" s="20"/>
      <c r="C30" s="7" t="s">
        <v>9</v>
      </c>
      <c r="D30" s="8"/>
      <c r="E30" s="12">
        <v>1.3010000000000001E-3</v>
      </c>
      <c r="F30" s="1"/>
      <c r="G30" s="1"/>
      <c r="H30" s="1"/>
      <c r="I30" s="1"/>
      <c r="J30" s="1"/>
      <c r="K30" s="1"/>
      <c r="L30" s="1"/>
      <c r="M30" s="1"/>
      <c r="N30" s="18"/>
    </row>
    <row r="31" spans="2:14" ht="15" customHeight="1" x14ac:dyDescent="0.25">
      <c r="B31" s="20"/>
      <c r="C31" s="5"/>
      <c r="D31" s="6"/>
      <c r="E31" s="11"/>
      <c r="F31" s="1"/>
      <c r="G31" s="1"/>
      <c r="H31" s="1"/>
      <c r="I31" s="1"/>
      <c r="J31" s="1"/>
      <c r="K31" s="1"/>
      <c r="L31" s="1"/>
      <c r="M31" s="1"/>
      <c r="N31" s="18"/>
    </row>
    <row r="32" spans="2:14" ht="15" customHeight="1" x14ac:dyDescent="0.25">
      <c r="B32" s="20"/>
      <c r="C32" s="7" t="s">
        <v>10</v>
      </c>
      <c r="D32" s="8"/>
      <c r="E32" s="12">
        <v>1.2596E-2</v>
      </c>
      <c r="F32" s="1"/>
      <c r="G32" s="1"/>
      <c r="H32" s="1"/>
      <c r="I32" s="1"/>
      <c r="J32" s="1"/>
      <c r="K32" s="1"/>
      <c r="L32" s="1"/>
      <c r="M32" s="1"/>
      <c r="N32" s="18"/>
    </row>
    <row r="33" spans="2:14" ht="15" customHeight="1" x14ac:dyDescent="0.25">
      <c r="B33" s="20"/>
      <c r="C33" s="5"/>
      <c r="D33" s="6"/>
      <c r="E33" s="11"/>
      <c r="F33" s="1"/>
      <c r="G33" s="1"/>
      <c r="H33" s="1"/>
      <c r="I33" s="1"/>
      <c r="J33" s="1"/>
      <c r="K33" s="1"/>
      <c r="L33" s="1"/>
      <c r="M33" s="1"/>
      <c r="N33" s="18"/>
    </row>
    <row r="34" spans="2:14" ht="15" customHeight="1" x14ac:dyDescent="0.25">
      <c r="B34" s="20"/>
      <c r="C34" s="9" t="s">
        <v>11</v>
      </c>
      <c r="D34" s="10"/>
      <c r="E34" s="13">
        <v>1</v>
      </c>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t="s">
        <v>283</v>
      </c>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70" t="s">
        <v>288</v>
      </c>
      <c r="C45" s="71"/>
      <c r="D45" s="71"/>
      <c r="E45" s="71"/>
      <c r="F45" s="71"/>
      <c r="G45" s="71"/>
      <c r="H45" s="71"/>
      <c r="I45" s="71"/>
      <c r="J45" s="71"/>
      <c r="K45" s="71"/>
      <c r="L45" s="71"/>
      <c r="M45" s="71"/>
      <c r="N45" s="72"/>
    </row>
    <row r="46" spans="2:14" ht="15" customHeight="1" x14ac:dyDescent="0.25">
      <c r="B46" s="73"/>
      <c r="C46" s="74"/>
      <c r="D46" s="74"/>
      <c r="E46" s="74"/>
      <c r="F46" s="74"/>
      <c r="G46" s="74"/>
      <c r="H46" s="74"/>
      <c r="I46" s="74"/>
      <c r="J46" s="74"/>
      <c r="K46" s="74"/>
      <c r="L46" s="74"/>
      <c r="M46" s="74"/>
      <c r="N46" s="75"/>
    </row>
    <row r="47" spans="2:14" ht="15" customHeight="1" x14ac:dyDescent="0.25">
      <c r="B47" s="73"/>
      <c r="C47" s="74"/>
      <c r="D47" s="74"/>
      <c r="E47" s="74"/>
      <c r="F47" s="74"/>
      <c r="G47" s="74"/>
      <c r="H47" s="74"/>
      <c r="I47" s="74"/>
      <c r="J47" s="74"/>
      <c r="K47" s="74"/>
      <c r="L47" s="74"/>
      <c r="M47" s="74"/>
      <c r="N47" s="75"/>
    </row>
    <row r="48" spans="2:14" ht="15" customHeight="1" thickBot="1" x14ac:dyDescent="0.3">
      <c r="B48" s="76"/>
      <c r="C48" s="77"/>
      <c r="D48" s="77"/>
      <c r="E48" s="77"/>
      <c r="F48" s="77"/>
      <c r="G48" s="77"/>
      <c r="H48" s="77"/>
      <c r="I48" s="77"/>
      <c r="J48" s="77"/>
      <c r="K48" s="77"/>
      <c r="L48" s="77"/>
      <c r="M48" s="77"/>
      <c r="N48" s="78"/>
    </row>
    <row r="49" spans="2:14" ht="15" customHeight="1" thickBot="1" x14ac:dyDescent="0.3"/>
    <row r="50" spans="2:14" ht="132.75" customHeight="1" thickBot="1" x14ac:dyDescent="0.3">
      <c r="B50" s="67" t="s">
        <v>291</v>
      </c>
      <c r="C50" s="68"/>
      <c r="D50" s="68"/>
      <c r="E50" s="68"/>
      <c r="F50" s="68"/>
      <c r="G50" s="68"/>
      <c r="H50" s="68"/>
      <c r="I50" s="68"/>
      <c r="J50" s="68"/>
      <c r="K50" s="68"/>
      <c r="L50" s="68"/>
      <c r="M50" s="68"/>
      <c r="N50" s="69"/>
    </row>
    <row r="51" spans="2:14" ht="15" customHeight="1" x14ac:dyDescent="0.25"/>
    <row r="52" spans="2:14" ht="15" customHeight="1" x14ac:dyDescent="0.25"/>
  </sheetData>
  <sortState ref="C25:E27">
    <sortCondition descending="1" ref="E25"/>
  </sortState>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57961-F5CB-48BD-BB7B-C48E4C1EC773}">
  <dimension ref="B1:N62"/>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9" t="s">
        <v>74</v>
      </c>
      <c r="D3" s="80"/>
      <c r="E3" s="80"/>
      <c r="F3" s="80"/>
      <c r="G3" s="80"/>
      <c r="H3" s="80"/>
      <c r="I3" s="80"/>
      <c r="J3" s="80"/>
      <c r="K3" s="80"/>
      <c r="L3" s="80"/>
      <c r="M3" s="80"/>
      <c r="N3" s="81"/>
    </row>
    <row r="4" spans="2:14" ht="15.75" customHeight="1" x14ac:dyDescent="0.25">
      <c r="B4" s="20"/>
      <c r="C4" s="14"/>
      <c r="D4" s="1"/>
      <c r="E4" s="1"/>
      <c r="F4" s="1"/>
      <c r="G4" s="1"/>
      <c r="H4" s="1"/>
      <c r="I4" s="1"/>
      <c r="J4" s="1"/>
      <c r="K4" s="1"/>
      <c r="L4" s="1"/>
      <c r="M4" s="1"/>
      <c r="N4" s="18"/>
    </row>
    <row r="5" spans="2:14" ht="18" customHeight="1" x14ac:dyDescent="0.25">
      <c r="B5" s="20"/>
      <c r="C5" s="15" t="s">
        <v>1</v>
      </c>
      <c r="D5" s="82" t="s">
        <v>75</v>
      </c>
      <c r="E5" s="8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4" t="s">
        <v>16</v>
      </c>
      <c r="H7" s="85"/>
      <c r="I7" s="85"/>
      <c r="J7" s="85"/>
      <c r="K7" s="85"/>
      <c r="L7" s="85"/>
      <c r="M7" s="85"/>
      <c r="N7" s="86"/>
    </row>
    <row r="8" spans="2:14" ht="15" customHeight="1" x14ac:dyDescent="0.25">
      <c r="B8" s="20"/>
      <c r="C8" s="5" t="s">
        <v>33</v>
      </c>
      <c r="D8" s="6" t="s">
        <v>22</v>
      </c>
      <c r="E8" s="11">
        <v>3.3930000000000002E-3</v>
      </c>
      <c r="F8" s="1"/>
      <c r="G8" s="24" t="s">
        <v>15</v>
      </c>
      <c r="H8" s="25">
        <v>1</v>
      </c>
      <c r="I8" s="1"/>
      <c r="J8" s="24" t="s">
        <v>12</v>
      </c>
      <c r="K8" s="24" t="s">
        <v>5</v>
      </c>
      <c r="L8" s="1"/>
      <c r="M8" s="1"/>
      <c r="N8" s="18"/>
    </row>
    <row r="9" spans="2:14" ht="15" customHeight="1" x14ac:dyDescent="0.25">
      <c r="B9" s="20"/>
      <c r="C9" s="5" t="s">
        <v>25</v>
      </c>
      <c r="D9" s="6" t="s">
        <v>22</v>
      </c>
      <c r="E9" s="11">
        <v>1.717E-3</v>
      </c>
      <c r="F9" s="1"/>
      <c r="G9" s="1"/>
      <c r="H9" s="1"/>
      <c r="I9" s="1"/>
      <c r="J9" s="24" t="s">
        <v>10</v>
      </c>
      <c r="K9" s="28">
        <v>1.0619999999999999E-2</v>
      </c>
      <c r="L9" s="1"/>
      <c r="M9" s="1"/>
      <c r="N9" s="18"/>
    </row>
    <row r="10" spans="2:14" ht="15.75" customHeight="1" x14ac:dyDescent="0.25">
      <c r="B10" s="20"/>
      <c r="C10" s="7" t="s">
        <v>27</v>
      </c>
      <c r="D10" s="8"/>
      <c r="E10" s="12">
        <v>5.11E-3</v>
      </c>
      <c r="F10" s="1"/>
      <c r="G10" s="1"/>
      <c r="H10" s="1"/>
      <c r="I10" s="1"/>
      <c r="J10" s="24" t="s">
        <v>13</v>
      </c>
      <c r="K10" s="28">
        <v>1.637E-3</v>
      </c>
      <c r="L10" s="1"/>
      <c r="M10" s="1"/>
      <c r="N10" s="18"/>
    </row>
    <row r="11" spans="2:14" ht="15" customHeight="1" x14ac:dyDescent="0.25">
      <c r="B11" s="20"/>
      <c r="C11" s="5" t="s">
        <v>29</v>
      </c>
      <c r="D11" s="6" t="s">
        <v>22</v>
      </c>
      <c r="E11" s="11">
        <v>7.1141999999999997E-2</v>
      </c>
      <c r="F11" s="1"/>
      <c r="G11" s="1"/>
      <c r="H11" s="1"/>
      <c r="I11" s="1"/>
      <c r="J11" s="24" t="s">
        <v>52</v>
      </c>
      <c r="K11" s="28">
        <v>5.11E-3</v>
      </c>
      <c r="L11" s="1"/>
      <c r="M11" s="1"/>
      <c r="N11" s="18"/>
    </row>
    <row r="12" spans="2:14" ht="15" customHeight="1" x14ac:dyDescent="0.25">
      <c r="B12" s="20"/>
      <c r="C12" s="5" t="s">
        <v>76</v>
      </c>
      <c r="D12" s="6" t="s">
        <v>22</v>
      </c>
      <c r="E12" s="11">
        <v>1.7108000000000002E-2</v>
      </c>
      <c r="F12" s="1"/>
      <c r="G12" s="1"/>
      <c r="H12" s="1"/>
      <c r="I12" s="1"/>
      <c r="J12" s="24" t="s">
        <v>53</v>
      </c>
      <c r="K12" s="28">
        <v>0.33511000000000002</v>
      </c>
      <c r="L12" s="1"/>
      <c r="M12" s="1"/>
      <c r="N12" s="18"/>
    </row>
    <row r="13" spans="2:14" ht="15.75" customHeight="1" x14ac:dyDescent="0.25">
      <c r="B13" s="20"/>
      <c r="C13" s="7" t="s">
        <v>28</v>
      </c>
      <c r="D13" s="8"/>
      <c r="E13" s="12">
        <v>8.8249999999999995E-2</v>
      </c>
      <c r="F13" s="1"/>
      <c r="G13" s="1"/>
      <c r="H13" s="1"/>
      <c r="I13" s="1"/>
      <c r="J13" s="24" t="s">
        <v>54</v>
      </c>
      <c r="K13" s="28">
        <v>8.8249999999999995E-2</v>
      </c>
      <c r="L13" s="1"/>
      <c r="M13" s="1"/>
      <c r="N13" s="18"/>
    </row>
    <row r="14" spans="2:14" ht="15" customHeight="1" x14ac:dyDescent="0.25">
      <c r="B14" s="20"/>
      <c r="C14" s="5" t="s">
        <v>32</v>
      </c>
      <c r="D14" s="6" t="s">
        <v>30</v>
      </c>
      <c r="E14" s="11">
        <v>0.113112</v>
      </c>
      <c r="F14" s="1"/>
      <c r="G14" s="1"/>
      <c r="H14" s="1"/>
      <c r="I14" s="1"/>
      <c r="J14" s="24" t="s">
        <v>47</v>
      </c>
      <c r="K14" s="28">
        <v>2.7829999999999999E-3</v>
      </c>
      <c r="L14" s="1"/>
      <c r="M14" s="1"/>
      <c r="N14" s="18"/>
    </row>
    <row r="15" spans="2:14" ht="15" customHeight="1" x14ac:dyDescent="0.25">
      <c r="B15" s="20"/>
      <c r="C15" s="5" t="s">
        <v>76</v>
      </c>
      <c r="D15" s="6" t="s">
        <v>30</v>
      </c>
      <c r="E15" s="11">
        <v>6.3448000000000004E-2</v>
      </c>
      <c r="F15" s="1"/>
      <c r="G15" s="1"/>
      <c r="H15" s="1"/>
      <c r="I15" s="1"/>
      <c r="J15" s="24" t="s">
        <v>55</v>
      </c>
      <c r="K15" s="28">
        <v>0.55303599999999997</v>
      </c>
      <c r="L15" s="1"/>
      <c r="M15" s="1"/>
      <c r="N15" s="18"/>
    </row>
    <row r="16" spans="2:14" ht="15" customHeight="1" x14ac:dyDescent="0.25">
      <c r="B16" s="20"/>
      <c r="C16" s="5" t="s">
        <v>33</v>
      </c>
      <c r="D16" s="6" t="s">
        <v>30</v>
      </c>
      <c r="E16" s="11">
        <v>4.0164999999999999E-2</v>
      </c>
      <c r="F16" s="1"/>
      <c r="G16" s="1"/>
      <c r="H16" s="1"/>
      <c r="I16" s="1"/>
      <c r="J16" s="24" t="s">
        <v>73</v>
      </c>
      <c r="K16" s="28">
        <v>3.454E-3</v>
      </c>
      <c r="L16" s="1"/>
      <c r="M16" s="1"/>
      <c r="N16" s="18"/>
    </row>
    <row r="17" spans="2:14" ht="15" customHeight="1" x14ac:dyDescent="0.25">
      <c r="B17" s="20"/>
      <c r="C17" s="5" t="s">
        <v>35</v>
      </c>
      <c r="D17" s="6" t="s">
        <v>30</v>
      </c>
      <c r="E17" s="11">
        <v>3.8831999999999998E-2</v>
      </c>
      <c r="F17" s="1"/>
      <c r="G17" s="1"/>
      <c r="H17" s="1"/>
      <c r="I17" s="1"/>
      <c r="J17" s="1"/>
      <c r="K17" s="1"/>
      <c r="L17" s="1"/>
      <c r="M17" s="1"/>
      <c r="N17" s="18"/>
    </row>
    <row r="18" spans="2:14" ht="15" customHeight="1" x14ac:dyDescent="0.25">
      <c r="B18" s="20"/>
      <c r="C18" s="5" t="s">
        <v>34</v>
      </c>
      <c r="D18" s="6" t="s">
        <v>30</v>
      </c>
      <c r="E18" s="11">
        <v>3.1595999999999999E-2</v>
      </c>
      <c r="F18" s="1"/>
      <c r="G18" s="1"/>
      <c r="H18" s="1"/>
      <c r="I18" s="1"/>
      <c r="J18" s="1"/>
      <c r="K18" s="1"/>
      <c r="L18" s="1"/>
      <c r="M18" s="1"/>
      <c r="N18" s="18"/>
    </row>
    <row r="19" spans="2:14" ht="15" customHeight="1" x14ac:dyDescent="0.25">
      <c r="B19" s="20"/>
      <c r="C19" s="5" t="s">
        <v>29</v>
      </c>
      <c r="D19" s="6" t="s">
        <v>30</v>
      </c>
      <c r="E19" s="11">
        <v>2.2401000000000001E-2</v>
      </c>
      <c r="F19" s="1"/>
      <c r="G19" s="1"/>
      <c r="H19" s="1"/>
      <c r="I19" s="1"/>
      <c r="J19" s="1"/>
      <c r="K19" s="1"/>
      <c r="L19" s="1"/>
      <c r="M19" s="1"/>
      <c r="N19" s="18"/>
    </row>
    <row r="20" spans="2:14" ht="15" customHeight="1" x14ac:dyDescent="0.25">
      <c r="B20" s="20"/>
      <c r="C20" s="5" t="s">
        <v>77</v>
      </c>
      <c r="D20" s="6" t="s">
        <v>30</v>
      </c>
      <c r="E20" s="11">
        <v>1.7401E-2</v>
      </c>
      <c r="F20" s="1"/>
      <c r="G20" s="1"/>
      <c r="H20" s="1"/>
      <c r="I20" s="1"/>
      <c r="J20" s="1"/>
      <c r="K20" s="1"/>
      <c r="L20" s="1"/>
      <c r="M20" s="1"/>
      <c r="N20" s="18"/>
    </row>
    <row r="21" spans="2:14" ht="15" customHeight="1" x14ac:dyDescent="0.25">
      <c r="B21" s="20"/>
      <c r="C21" s="5" t="s">
        <v>31</v>
      </c>
      <c r="D21" s="6" t="s">
        <v>30</v>
      </c>
      <c r="E21" s="11">
        <v>7.5810000000000001E-3</v>
      </c>
      <c r="F21" s="1"/>
      <c r="G21" s="1"/>
      <c r="H21" s="1"/>
      <c r="I21" s="1"/>
      <c r="J21" s="1"/>
      <c r="K21" s="1"/>
      <c r="L21" s="1"/>
      <c r="M21" s="1"/>
      <c r="N21" s="18"/>
    </row>
    <row r="22" spans="2:14" ht="15" customHeight="1" x14ac:dyDescent="0.25">
      <c r="B22" s="20"/>
      <c r="C22" s="5" t="s">
        <v>78</v>
      </c>
      <c r="D22" s="6" t="s">
        <v>30</v>
      </c>
      <c r="E22" s="11">
        <v>5.7399999999999997E-4</v>
      </c>
      <c r="F22" s="1"/>
      <c r="G22" s="1"/>
      <c r="H22" s="1"/>
      <c r="I22" s="1"/>
      <c r="J22" s="1"/>
      <c r="K22" s="1"/>
      <c r="L22" s="1"/>
      <c r="M22" s="1"/>
      <c r="N22" s="18"/>
    </row>
    <row r="23" spans="2:14" ht="15.75" customHeight="1" x14ac:dyDescent="0.25">
      <c r="B23" s="20"/>
      <c r="C23" s="7" t="s">
        <v>46</v>
      </c>
      <c r="D23" s="8"/>
      <c r="E23" s="12">
        <v>0.33511000000000002</v>
      </c>
      <c r="F23" s="1"/>
      <c r="G23" s="1"/>
      <c r="H23" s="1"/>
      <c r="I23" s="1"/>
      <c r="J23" s="1"/>
      <c r="K23" s="1"/>
      <c r="L23" s="1"/>
      <c r="M23" s="1"/>
      <c r="N23" s="18"/>
    </row>
    <row r="24" spans="2:14" ht="15" customHeight="1" x14ac:dyDescent="0.25">
      <c r="B24" s="20"/>
      <c r="C24" s="5" t="s">
        <v>47</v>
      </c>
      <c r="D24" s="6"/>
      <c r="E24" s="11">
        <v>2.7829999999999999E-3</v>
      </c>
      <c r="F24" s="1"/>
      <c r="G24" s="84" t="s">
        <v>17</v>
      </c>
      <c r="H24" s="85"/>
      <c r="I24" s="85"/>
      <c r="J24" s="85"/>
      <c r="K24" s="85"/>
      <c r="L24" s="103">
        <v>3.0122060469152276</v>
      </c>
      <c r="M24" s="26"/>
      <c r="N24" s="27"/>
    </row>
    <row r="25" spans="2:14" ht="15.75" customHeight="1" x14ac:dyDescent="0.25">
      <c r="B25" s="20"/>
      <c r="C25" s="7" t="s">
        <v>48</v>
      </c>
      <c r="D25" s="8"/>
      <c r="E25" s="12">
        <v>2.7829999999999999E-3</v>
      </c>
      <c r="F25" s="1"/>
      <c r="G25" s="1"/>
      <c r="H25" s="1"/>
      <c r="I25" s="1"/>
      <c r="J25" s="1"/>
      <c r="K25" s="1"/>
      <c r="L25" s="1"/>
      <c r="M25" s="1"/>
      <c r="N25" s="18"/>
    </row>
    <row r="26" spans="2:14" ht="15" customHeight="1" x14ac:dyDescent="0.25">
      <c r="B26" s="20"/>
      <c r="C26" s="5" t="s">
        <v>49</v>
      </c>
      <c r="D26" s="6" t="s">
        <v>178</v>
      </c>
      <c r="E26" s="11">
        <v>0.39388800000000002</v>
      </c>
      <c r="F26" s="1"/>
      <c r="G26" s="84" t="s">
        <v>18</v>
      </c>
      <c r="H26" s="85"/>
      <c r="I26" s="85"/>
      <c r="J26" s="85"/>
      <c r="K26" s="85"/>
      <c r="L26" s="85"/>
      <c r="M26" s="85"/>
      <c r="N26" s="86"/>
    </row>
    <row r="27" spans="2:14" ht="15" customHeight="1" x14ac:dyDescent="0.25">
      <c r="B27" s="20"/>
      <c r="C27" s="5" t="s">
        <v>60</v>
      </c>
      <c r="D27" s="6" t="s">
        <v>178</v>
      </c>
      <c r="E27" s="11">
        <v>9.9141000000000007E-2</v>
      </c>
      <c r="F27" s="1"/>
      <c r="G27" s="1"/>
      <c r="H27" s="1"/>
      <c r="I27" s="1"/>
      <c r="J27" s="1"/>
      <c r="K27" s="1"/>
      <c r="L27" s="1"/>
      <c r="M27" s="1"/>
      <c r="N27" s="18"/>
    </row>
    <row r="28" spans="2:14" ht="15" customHeight="1" x14ac:dyDescent="0.25">
      <c r="B28" s="20"/>
      <c r="C28" s="5" t="s">
        <v>68</v>
      </c>
      <c r="D28" s="6" t="s">
        <v>178</v>
      </c>
      <c r="E28" s="11">
        <v>5.3869E-2</v>
      </c>
      <c r="F28" s="1"/>
      <c r="G28" s="1"/>
      <c r="H28" s="1"/>
      <c r="I28" s="1"/>
      <c r="J28" s="1"/>
      <c r="K28" s="1"/>
      <c r="L28" s="1"/>
      <c r="M28" s="1"/>
      <c r="N28" s="18"/>
    </row>
    <row r="29" spans="2:14" ht="15" customHeight="1" x14ac:dyDescent="0.25">
      <c r="B29" s="20"/>
      <c r="C29" s="5" t="s">
        <v>79</v>
      </c>
      <c r="D29" s="6" t="s">
        <v>178</v>
      </c>
      <c r="E29" s="11">
        <v>5.8079999999999998E-3</v>
      </c>
      <c r="F29" s="1"/>
      <c r="G29" s="1"/>
      <c r="H29" s="1"/>
      <c r="I29" s="1"/>
      <c r="J29" s="1"/>
      <c r="K29" s="1"/>
      <c r="L29" s="1"/>
      <c r="M29" s="1"/>
      <c r="N29" s="18"/>
    </row>
    <row r="30" spans="2:14" ht="15" customHeight="1" x14ac:dyDescent="0.25">
      <c r="B30" s="20"/>
      <c r="C30" s="5" t="s">
        <v>70</v>
      </c>
      <c r="D30" s="6" t="s">
        <v>178</v>
      </c>
      <c r="E30" s="11">
        <v>1.2E-4</v>
      </c>
      <c r="F30" s="1"/>
      <c r="G30" s="1"/>
      <c r="H30" s="1"/>
      <c r="I30" s="1"/>
      <c r="J30" s="1"/>
      <c r="K30" s="1"/>
      <c r="L30" s="1"/>
      <c r="M30" s="1"/>
      <c r="N30" s="18"/>
    </row>
    <row r="31" spans="2:14" ht="15" customHeight="1" x14ac:dyDescent="0.25">
      <c r="B31" s="20"/>
      <c r="C31" s="5" t="s">
        <v>80</v>
      </c>
      <c r="D31" s="6" t="s">
        <v>178</v>
      </c>
      <c r="E31" s="11">
        <v>1.12E-4</v>
      </c>
      <c r="F31" s="1"/>
      <c r="G31" s="1"/>
      <c r="H31" s="1"/>
      <c r="I31" s="1"/>
      <c r="J31" s="1"/>
      <c r="K31" s="1"/>
      <c r="L31" s="1"/>
      <c r="M31" s="1"/>
      <c r="N31" s="18"/>
    </row>
    <row r="32" spans="2:14" ht="15" customHeight="1" x14ac:dyDescent="0.25">
      <c r="B32" s="20"/>
      <c r="C32" s="5" t="s">
        <v>64</v>
      </c>
      <c r="D32" s="6" t="s">
        <v>178</v>
      </c>
      <c r="E32" s="11">
        <v>9.7999999999999997E-5</v>
      </c>
      <c r="F32" s="1"/>
      <c r="G32" s="1"/>
      <c r="H32" s="1"/>
      <c r="I32" s="1"/>
      <c r="J32" s="1"/>
      <c r="K32" s="1"/>
      <c r="L32" s="1"/>
      <c r="M32" s="1"/>
      <c r="N32" s="18"/>
    </row>
    <row r="33" spans="2:14" ht="15.75" customHeight="1" x14ac:dyDescent="0.25">
      <c r="B33" s="20"/>
      <c r="C33" s="7" t="s">
        <v>50</v>
      </c>
      <c r="D33" s="8"/>
      <c r="E33" s="12">
        <v>0.55303599999999997</v>
      </c>
      <c r="F33" s="1"/>
      <c r="G33" s="1"/>
      <c r="H33" s="1"/>
      <c r="I33" s="1"/>
      <c r="J33" s="1"/>
      <c r="K33" s="1"/>
      <c r="L33" s="1"/>
      <c r="M33" s="1"/>
      <c r="N33" s="18"/>
    </row>
    <row r="34" spans="2:14" ht="15" customHeight="1" x14ac:dyDescent="0.25">
      <c r="B34" s="20"/>
      <c r="C34" s="5" t="s">
        <v>284</v>
      </c>
      <c r="D34" s="6" t="s">
        <v>71</v>
      </c>
      <c r="E34" s="11">
        <v>3.454E-3</v>
      </c>
      <c r="F34" s="1"/>
      <c r="G34" s="1"/>
      <c r="H34" s="1"/>
      <c r="I34" s="1"/>
      <c r="J34" s="1"/>
      <c r="K34" s="1"/>
      <c r="L34" s="1"/>
      <c r="M34" s="1"/>
      <c r="N34" s="18"/>
    </row>
    <row r="35" spans="2:14" ht="15.75" customHeight="1" x14ac:dyDescent="0.25">
      <c r="B35" s="20"/>
      <c r="C35" s="7" t="s">
        <v>72</v>
      </c>
      <c r="D35" s="8"/>
      <c r="E35" s="12">
        <v>3.454E-3</v>
      </c>
      <c r="F35" s="1"/>
      <c r="G35" s="1"/>
      <c r="H35" s="1"/>
      <c r="I35" s="1"/>
      <c r="J35" s="1"/>
      <c r="K35" s="1"/>
      <c r="L35" s="1"/>
      <c r="M35" s="1"/>
      <c r="N35" s="18"/>
    </row>
    <row r="36" spans="2:14" ht="15" customHeight="1" x14ac:dyDescent="0.25">
      <c r="B36" s="20"/>
      <c r="C36" s="5" t="s">
        <v>8</v>
      </c>
      <c r="D36" s="6"/>
      <c r="E36" s="11">
        <v>1.637E-3</v>
      </c>
      <c r="F36" s="1"/>
      <c r="G36" s="1"/>
      <c r="H36" s="1"/>
      <c r="I36" s="1"/>
      <c r="J36" s="1"/>
      <c r="K36" s="1"/>
      <c r="L36" s="1"/>
      <c r="M36" s="1"/>
      <c r="N36" s="18"/>
    </row>
    <row r="37" spans="2:14" ht="15.75" customHeight="1" x14ac:dyDescent="0.25">
      <c r="B37" s="20"/>
      <c r="C37" s="7" t="s">
        <v>9</v>
      </c>
      <c r="D37" s="8"/>
      <c r="E37" s="12">
        <v>1.637E-3</v>
      </c>
      <c r="F37" s="1"/>
      <c r="G37" s="1"/>
      <c r="H37" s="1"/>
      <c r="I37" s="1"/>
      <c r="J37" s="1"/>
      <c r="K37" s="1"/>
      <c r="L37" s="1"/>
      <c r="M37" s="1"/>
      <c r="N37" s="18"/>
    </row>
    <row r="38" spans="2:14" ht="15" customHeight="1" x14ac:dyDescent="0.25">
      <c r="B38" s="20"/>
      <c r="C38" s="5"/>
      <c r="D38" s="6"/>
      <c r="E38" s="11"/>
      <c r="F38" s="1"/>
      <c r="G38" s="1"/>
      <c r="H38" s="1"/>
      <c r="I38" s="1"/>
      <c r="J38" s="1"/>
      <c r="K38" s="1"/>
      <c r="L38" s="1"/>
      <c r="M38" s="1"/>
      <c r="N38" s="18"/>
    </row>
    <row r="39" spans="2:14" ht="15.75" customHeight="1" x14ac:dyDescent="0.25">
      <c r="B39" s="20"/>
      <c r="C39" s="7" t="s">
        <v>10</v>
      </c>
      <c r="D39" s="8"/>
      <c r="E39" s="12">
        <v>1.0619999999999999E-2</v>
      </c>
      <c r="F39" s="1"/>
      <c r="G39" s="1"/>
      <c r="H39" s="1"/>
      <c r="I39" s="1"/>
      <c r="J39" s="1"/>
      <c r="K39" s="1"/>
      <c r="L39" s="1"/>
      <c r="M39" s="1"/>
      <c r="N39" s="18"/>
    </row>
    <row r="40" spans="2:14" ht="15" customHeight="1" x14ac:dyDescent="0.25">
      <c r="B40" s="20"/>
      <c r="C40" s="5"/>
      <c r="D40" s="6"/>
      <c r="E40" s="11"/>
      <c r="F40" s="1"/>
      <c r="G40" s="1"/>
      <c r="H40" s="1"/>
      <c r="I40" s="1"/>
      <c r="J40" s="1"/>
      <c r="K40" s="1"/>
      <c r="L40" s="1"/>
      <c r="M40" s="1"/>
      <c r="N40" s="18"/>
    </row>
    <row r="41" spans="2:14" ht="15" customHeight="1" x14ac:dyDescent="0.25">
      <c r="B41" s="20"/>
      <c r="C41" s="9" t="s">
        <v>11</v>
      </c>
      <c r="D41" s="10"/>
      <c r="E41" s="13">
        <v>1</v>
      </c>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x14ac:dyDescent="0.25">
      <c r="B43" s="20"/>
      <c r="C43" s="1" t="s">
        <v>283</v>
      </c>
      <c r="D43" s="1"/>
      <c r="E43" s="1"/>
      <c r="F43" s="1"/>
      <c r="G43" s="1"/>
      <c r="H43" s="1"/>
      <c r="I43" s="1"/>
      <c r="J43" s="1"/>
      <c r="K43" s="1"/>
      <c r="L43" s="1"/>
      <c r="M43" s="1"/>
      <c r="N43" s="18"/>
    </row>
    <row r="44" spans="2:14" ht="15" customHeight="1" thickBot="1" x14ac:dyDescent="0.3">
      <c r="B44" s="21"/>
      <c r="C44" s="22"/>
      <c r="D44" s="22"/>
      <c r="E44" s="22"/>
      <c r="F44" s="22"/>
      <c r="G44" s="22"/>
      <c r="H44" s="22"/>
      <c r="I44" s="22"/>
      <c r="J44" s="22"/>
      <c r="K44" s="22"/>
      <c r="L44" s="22"/>
      <c r="M44" s="22"/>
      <c r="N44" s="23"/>
    </row>
    <row r="45" spans="2:14" ht="15" customHeight="1" thickBot="1" x14ac:dyDescent="0.3"/>
    <row r="46" spans="2:14" ht="15" customHeight="1" x14ac:dyDescent="0.25">
      <c r="B46" s="70" t="s">
        <v>288</v>
      </c>
      <c r="C46" s="71"/>
      <c r="D46" s="71"/>
      <c r="E46" s="71"/>
      <c r="F46" s="71"/>
      <c r="G46" s="71"/>
      <c r="H46" s="71"/>
      <c r="I46" s="71"/>
      <c r="J46" s="71"/>
      <c r="K46" s="71"/>
      <c r="L46" s="71"/>
      <c r="M46" s="71"/>
      <c r="N46" s="72"/>
    </row>
    <row r="47" spans="2:14" ht="15" customHeight="1" x14ac:dyDescent="0.25">
      <c r="B47" s="73"/>
      <c r="C47" s="74"/>
      <c r="D47" s="74"/>
      <c r="E47" s="74"/>
      <c r="F47" s="74"/>
      <c r="G47" s="74"/>
      <c r="H47" s="74"/>
      <c r="I47" s="74"/>
      <c r="J47" s="74"/>
      <c r="K47" s="74"/>
      <c r="L47" s="74"/>
      <c r="M47" s="74"/>
      <c r="N47" s="75"/>
    </row>
    <row r="48" spans="2:14" ht="15" customHeight="1" x14ac:dyDescent="0.25">
      <c r="B48" s="73"/>
      <c r="C48" s="74"/>
      <c r="D48" s="74"/>
      <c r="E48" s="74"/>
      <c r="F48" s="74"/>
      <c r="G48" s="74"/>
      <c r="H48" s="74"/>
      <c r="I48" s="74"/>
      <c r="J48" s="74"/>
      <c r="K48" s="74"/>
      <c r="L48" s="74"/>
      <c r="M48" s="74"/>
      <c r="N48" s="75"/>
    </row>
    <row r="49" spans="2:14" ht="15" customHeight="1" thickBot="1" x14ac:dyDescent="0.3">
      <c r="B49" s="76"/>
      <c r="C49" s="77"/>
      <c r="D49" s="77"/>
      <c r="E49" s="77"/>
      <c r="F49" s="77"/>
      <c r="G49" s="77"/>
      <c r="H49" s="77"/>
      <c r="I49" s="77"/>
      <c r="J49" s="77"/>
      <c r="K49" s="77"/>
      <c r="L49" s="77"/>
      <c r="M49" s="77"/>
      <c r="N49" s="78"/>
    </row>
    <row r="50" spans="2:14" ht="15" customHeight="1" thickBot="1" x14ac:dyDescent="0.3"/>
    <row r="51" spans="2:14" ht="121.5" customHeight="1" thickBot="1" x14ac:dyDescent="0.3">
      <c r="B51" s="67" t="s">
        <v>291</v>
      </c>
      <c r="C51" s="68"/>
      <c r="D51" s="68"/>
      <c r="E51" s="68"/>
      <c r="F51" s="68"/>
      <c r="G51" s="68"/>
      <c r="H51" s="68"/>
      <c r="I51" s="68"/>
      <c r="J51" s="68"/>
      <c r="K51" s="68"/>
      <c r="L51" s="68"/>
      <c r="M51" s="68"/>
      <c r="N51" s="69"/>
    </row>
    <row r="52" spans="2:14" ht="15" customHeight="1" x14ac:dyDescent="0.25"/>
    <row r="53" spans="2:14" ht="15" customHeight="1" x14ac:dyDescent="0.25"/>
    <row r="54" spans="2:14" ht="15" customHeight="1" x14ac:dyDescent="0.25"/>
    <row r="55" spans="2:14" ht="15" customHeight="1" x14ac:dyDescent="0.25"/>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sheetData>
  <mergeCells count="7">
    <mergeCell ref="B46:N49"/>
    <mergeCell ref="B51:N51"/>
    <mergeCell ref="C3:N3"/>
    <mergeCell ref="D5:E5"/>
    <mergeCell ref="G7:N7"/>
    <mergeCell ref="G24:K24"/>
    <mergeCell ref="G26:N2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91C63-005B-4D11-AC39-2EBE77AF303F}">
  <dimension ref="B1:N85"/>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9" t="s">
        <v>19</v>
      </c>
      <c r="D3" s="80"/>
      <c r="E3" s="80"/>
      <c r="F3" s="80"/>
      <c r="G3" s="80"/>
      <c r="H3" s="80"/>
      <c r="I3" s="80"/>
      <c r="J3" s="80"/>
      <c r="K3" s="80"/>
      <c r="L3" s="80"/>
      <c r="M3" s="80"/>
      <c r="N3" s="81"/>
    </row>
    <row r="4" spans="2:14" ht="15.75" customHeight="1" x14ac:dyDescent="0.25">
      <c r="B4" s="20"/>
      <c r="C4" s="14"/>
      <c r="D4" s="1"/>
      <c r="E4" s="1"/>
      <c r="F4" s="1"/>
      <c r="G4" s="1"/>
      <c r="H4" s="1"/>
      <c r="I4" s="1"/>
      <c r="J4" s="1"/>
      <c r="K4" s="1"/>
      <c r="L4" s="1"/>
      <c r="M4" s="1"/>
      <c r="N4" s="18"/>
    </row>
    <row r="5" spans="2:14" ht="18" customHeight="1" x14ac:dyDescent="0.25">
      <c r="B5" s="20"/>
      <c r="C5" s="15" t="s">
        <v>1</v>
      </c>
      <c r="D5" s="82" t="s">
        <v>20</v>
      </c>
      <c r="E5" s="8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4" t="s">
        <v>16</v>
      </c>
      <c r="H7" s="85"/>
      <c r="I7" s="85"/>
      <c r="J7" s="85"/>
      <c r="K7" s="85"/>
      <c r="L7" s="85"/>
      <c r="M7" s="85"/>
      <c r="N7" s="86"/>
    </row>
    <row r="8" spans="2:14" ht="15" customHeight="1" x14ac:dyDescent="0.25">
      <c r="B8" s="20"/>
      <c r="C8" s="5" t="s">
        <v>21</v>
      </c>
      <c r="D8" s="6" t="s">
        <v>22</v>
      </c>
      <c r="E8" s="11">
        <v>2.8726000000000002E-2</v>
      </c>
      <c r="F8" s="1"/>
      <c r="G8" s="24" t="s">
        <v>15</v>
      </c>
      <c r="H8" s="25">
        <v>1</v>
      </c>
      <c r="I8" s="1"/>
      <c r="J8" s="24" t="s">
        <v>12</v>
      </c>
      <c r="K8" s="24" t="s">
        <v>5</v>
      </c>
      <c r="L8" s="1"/>
      <c r="M8" s="1"/>
      <c r="N8" s="18"/>
    </row>
    <row r="9" spans="2:14" ht="15" customHeight="1" x14ac:dyDescent="0.25">
      <c r="B9" s="20"/>
      <c r="C9" s="5" t="s">
        <v>23</v>
      </c>
      <c r="D9" s="6" t="s">
        <v>22</v>
      </c>
      <c r="E9" s="11">
        <v>2.0389999999999998E-2</v>
      </c>
      <c r="F9" s="1"/>
      <c r="G9" s="1"/>
      <c r="H9" s="1"/>
      <c r="I9" s="1"/>
      <c r="J9" s="24" t="s">
        <v>10</v>
      </c>
      <c r="K9" s="28">
        <v>2.0844999999999999E-2</v>
      </c>
      <c r="L9" s="1"/>
      <c r="M9" s="1"/>
      <c r="N9" s="18"/>
    </row>
    <row r="10" spans="2:14" ht="15" customHeight="1" x14ac:dyDescent="0.25">
      <c r="B10" s="20"/>
      <c r="C10" s="5" t="s">
        <v>24</v>
      </c>
      <c r="D10" s="6" t="s">
        <v>22</v>
      </c>
      <c r="E10" s="11">
        <v>1.3520000000000001E-2</v>
      </c>
      <c r="F10" s="1"/>
      <c r="G10" s="1"/>
      <c r="H10" s="1"/>
      <c r="I10" s="1"/>
      <c r="J10" s="24" t="s">
        <v>13</v>
      </c>
      <c r="K10" s="28">
        <v>7.2259999999999998E-3</v>
      </c>
      <c r="L10" s="1"/>
      <c r="M10" s="1"/>
      <c r="N10" s="18"/>
    </row>
    <row r="11" spans="2:14" ht="15" customHeight="1" x14ac:dyDescent="0.25">
      <c r="B11" s="20"/>
      <c r="C11" s="5" t="s">
        <v>25</v>
      </c>
      <c r="D11" s="6" t="s">
        <v>22</v>
      </c>
      <c r="E11" s="11">
        <v>3.3899999999999998E-3</v>
      </c>
      <c r="F11" s="1"/>
      <c r="G11" s="1"/>
      <c r="H11" s="1"/>
      <c r="I11" s="1"/>
      <c r="J11" s="24" t="s">
        <v>52</v>
      </c>
      <c r="K11" s="28">
        <v>6.7718E-2</v>
      </c>
      <c r="L11" s="1"/>
      <c r="M11" s="1"/>
      <c r="N11" s="18"/>
    </row>
    <row r="12" spans="2:14" ht="15" customHeight="1" x14ac:dyDescent="0.25">
      <c r="B12" s="20"/>
      <c r="C12" s="5" t="s">
        <v>26</v>
      </c>
      <c r="D12" s="6" t="s">
        <v>22</v>
      </c>
      <c r="E12" s="11">
        <v>1.6919999999999999E-3</v>
      </c>
      <c r="F12" s="1"/>
      <c r="G12" s="1"/>
      <c r="H12" s="1"/>
      <c r="I12" s="1"/>
      <c r="J12" s="24" t="s">
        <v>53</v>
      </c>
      <c r="K12" s="28">
        <v>0.73315699999999995</v>
      </c>
      <c r="L12" s="1"/>
      <c r="M12" s="1"/>
      <c r="N12" s="18"/>
    </row>
    <row r="13" spans="2:14" ht="15.75" customHeight="1" x14ac:dyDescent="0.25">
      <c r="B13" s="20"/>
      <c r="C13" s="7" t="s">
        <v>27</v>
      </c>
      <c r="D13" s="8"/>
      <c r="E13" s="12">
        <v>6.7718E-2</v>
      </c>
      <c r="F13" s="1"/>
      <c r="G13" s="1"/>
      <c r="H13" s="1"/>
      <c r="I13" s="1"/>
      <c r="J13" s="24" t="s">
        <v>54</v>
      </c>
      <c r="K13" s="28">
        <v>1.9599999999999999E-2</v>
      </c>
      <c r="L13" s="1"/>
      <c r="M13" s="1"/>
      <c r="N13" s="18"/>
    </row>
    <row r="14" spans="2:14" ht="15" customHeight="1" x14ac:dyDescent="0.25">
      <c r="B14" s="20"/>
      <c r="C14" s="5" t="s">
        <v>24</v>
      </c>
      <c r="D14" s="6" t="s">
        <v>22</v>
      </c>
      <c r="E14" s="11">
        <v>1.9599999999999999E-2</v>
      </c>
      <c r="F14" s="1"/>
      <c r="G14" s="1"/>
      <c r="H14" s="1"/>
      <c r="I14" s="1"/>
      <c r="J14" s="24" t="s">
        <v>47</v>
      </c>
      <c r="K14" s="28">
        <v>2.4910000000000002E-3</v>
      </c>
      <c r="L14" s="1"/>
      <c r="M14" s="1"/>
      <c r="N14" s="18"/>
    </row>
    <row r="15" spans="2:14" ht="15.75" customHeight="1" x14ac:dyDescent="0.25">
      <c r="B15" s="20"/>
      <c r="C15" s="7" t="s">
        <v>28</v>
      </c>
      <c r="D15" s="8"/>
      <c r="E15" s="12">
        <v>1.9599999999999999E-2</v>
      </c>
      <c r="F15" s="1"/>
      <c r="G15" s="1"/>
      <c r="H15" s="1"/>
      <c r="I15" s="1"/>
      <c r="J15" s="24" t="s">
        <v>55</v>
      </c>
      <c r="K15" s="28">
        <v>0.104481</v>
      </c>
      <c r="L15" s="1"/>
      <c r="M15" s="1"/>
      <c r="N15" s="18"/>
    </row>
    <row r="16" spans="2:14" ht="15" customHeight="1" x14ac:dyDescent="0.25">
      <c r="B16" s="20"/>
      <c r="C16" s="5" t="s">
        <v>29</v>
      </c>
      <c r="D16" s="6" t="s">
        <v>30</v>
      </c>
      <c r="E16" s="11">
        <v>0.11586399999999999</v>
      </c>
      <c r="F16" s="1"/>
      <c r="G16" s="1"/>
      <c r="H16" s="1"/>
      <c r="I16" s="1"/>
      <c r="J16" s="24" t="s">
        <v>56</v>
      </c>
      <c r="K16" s="28">
        <v>4.4482000000000001E-2</v>
      </c>
      <c r="L16" s="1"/>
      <c r="M16" s="1"/>
      <c r="N16" s="18"/>
    </row>
    <row r="17" spans="2:14" ht="15" customHeight="1" x14ac:dyDescent="0.25">
      <c r="B17" s="20"/>
      <c r="C17" s="5" t="s">
        <v>31</v>
      </c>
      <c r="D17" s="6" t="s">
        <v>30</v>
      </c>
      <c r="E17" s="11">
        <v>0.105319</v>
      </c>
      <c r="F17" s="1"/>
      <c r="G17" s="1"/>
      <c r="H17" s="1"/>
      <c r="I17" s="1"/>
      <c r="J17" s="1"/>
      <c r="K17" s="1"/>
      <c r="L17" s="1"/>
      <c r="M17" s="1"/>
      <c r="N17" s="18"/>
    </row>
    <row r="18" spans="2:14" ht="15" customHeight="1" x14ac:dyDescent="0.25">
      <c r="B18" s="20"/>
      <c r="C18" s="5" t="s">
        <v>32</v>
      </c>
      <c r="D18" s="6" t="s">
        <v>30</v>
      </c>
      <c r="E18" s="11">
        <v>0.104297</v>
      </c>
      <c r="F18" s="1"/>
      <c r="G18" s="1"/>
      <c r="H18" s="1"/>
      <c r="I18" s="1"/>
      <c r="J18" s="1"/>
      <c r="K18" s="1"/>
      <c r="L18" s="1"/>
      <c r="M18" s="1"/>
      <c r="N18" s="18"/>
    </row>
    <row r="19" spans="2:14" ht="15" customHeight="1" x14ac:dyDescent="0.25">
      <c r="B19" s="20"/>
      <c r="C19" s="5" t="s">
        <v>33</v>
      </c>
      <c r="D19" s="6" t="s">
        <v>30</v>
      </c>
      <c r="E19" s="11">
        <v>8.6182999999999996E-2</v>
      </c>
      <c r="F19" s="1"/>
      <c r="G19" s="1"/>
      <c r="H19" s="1"/>
      <c r="I19" s="1"/>
      <c r="J19" s="1"/>
      <c r="K19" s="1"/>
      <c r="L19" s="1"/>
      <c r="M19" s="1"/>
      <c r="N19" s="18"/>
    </row>
    <row r="20" spans="2:14" ht="15" customHeight="1" x14ac:dyDescent="0.25">
      <c r="B20" s="20"/>
      <c r="C20" s="5" t="s">
        <v>34</v>
      </c>
      <c r="D20" s="6" t="s">
        <v>30</v>
      </c>
      <c r="E20" s="11">
        <v>7.3258000000000004E-2</v>
      </c>
      <c r="F20" s="1"/>
      <c r="G20" s="1"/>
      <c r="H20" s="1"/>
      <c r="I20" s="1"/>
      <c r="J20" s="1"/>
      <c r="K20" s="1"/>
      <c r="L20" s="1"/>
      <c r="M20" s="1"/>
      <c r="N20" s="18"/>
    </row>
    <row r="21" spans="2:14" ht="15" customHeight="1" x14ac:dyDescent="0.25">
      <c r="B21" s="20"/>
      <c r="C21" s="5" t="s">
        <v>35</v>
      </c>
      <c r="D21" s="6" t="s">
        <v>30</v>
      </c>
      <c r="E21" s="11">
        <v>6.6609000000000002E-2</v>
      </c>
      <c r="F21" s="1"/>
      <c r="G21" s="1"/>
      <c r="H21" s="1"/>
      <c r="I21" s="1"/>
      <c r="J21" s="1"/>
      <c r="K21" s="1"/>
      <c r="L21" s="1"/>
      <c r="M21" s="1"/>
      <c r="N21" s="18"/>
    </row>
    <row r="22" spans="2:14" ht="15" customHeight="1" x14ac:dyDescent="0.25">
      <c r="B22" s="20"/>
      <c r="C22" s="5" t="s">
        <v>36</v>
      </c>
      <c r="D22" s="6" t="s">
        <v>30</v>
      </c>
      <c r="E22" s="11">
        <v>5.3045000000000002E-2</v>
      </c>
      <c r="F22" s="1"/>
      <c r="G22" s="1"/>
      <c r="H22" s="1"/>
      <c r="I22" s="1"/>
      <c r="J22" s="1"/>
      <c r="K22" s="1"/>
      <c r="L22" s="1"/>
      <c r="M22" s="1"/>
      <c r="N22" s="18"/>
    </row>
    <row r="23" spans="2:14" ht="15" customHeight="1" x14ac:dyDescent="0.25">
      <c r="B23" s="20"/>
      <c r="C23" s="5" t="s">
        <v>37</v>
      </c>
      <c r="D23" s="6" t="s">
        <v>30</v>
      </c>
      <c r="E23" s="11">
        <v>4.3999000000000003E-2</v>
      </c>
      <c r="F23" s="1"/>
      <c r="G23" s="1"/>
      <c r="H23" s="1"/>
      <c r="I23" s="1"/>
      <c r="J23" s="1"/>
      <c r="K23" s="1"/>
      <c r="L23" s="1"/>
      <c r="M23" s="1"/>
      <c r="N23" s="18"/>
    </row>
    <row r="24" spans="2:14" ht="15" customHeight="1" x14ac:dyDescent="0.25">
      <c r="B24" s="20"/>
      <c r="C24" s="5" t="s">
        <v>38</v>
      </c>
      <c r="D24" s="6" t="s">
        <v>30</v>
      </c>
      <c r="E24" s="11">
        <v>3.2135999999999998E-2</v>
      </c>
      <c r="F24" s="1"/>
      <c r="G24" s="84" t="s">
        <v>17</v>
      </c>
      <c r="H24" s="85"/>
      <c r="I24" s="85"/>
      <c r="J24" s="85"/>
      <c r="K24" s="85"/>
      <c r="L24" s="104">
        <v>2.2805583849838231</v>
      </c>
      <c r="M24" s="26"/>
      <c r="N24" s="27"/>
    </row>
    <row r="25" spans="2:14" ht="15" customHeight="1" x14ac:dyDescent="0.25">
      <c r="B25" s="20"/>
      <c r="C25" s="5" t="s">
        <v>39</v>
      </c>
      <c r="D25" s="6" t="s">
        <v>30</v>
      </c>
      <c r="E25" s="11">
        <v>2.1066999999999999E-2</v>
      </c>
      <c r="F25" s="1"/>
      <c r="G25" s="1"/>
      <c r="H25" s="1"/>
      <c r="I25" s="1"/>
      <c r="J25" s="1"/>
      <c r="K25" s="1"/>
      <c r="L25" s="1"/>
      <c r="M25" s="1"/>
      <c r="N25" s="18"/>
    </row>
    <row r="26" spans="2:14" ht="15" customHeight="1" x14ac:dyDescent="0.25">
      <c r="B26" s="20"/>
      <c r="C26" s="5" t="s">
        <v>40</v>
      </c>
      <c r="D26" s="6" t="s">
        <v>30</v>
      </c>
      <c r="E26" s="11">
        <v>1.7901E-2</v>
      </c>
      <c r="F26" s="1"/>
      <c r="G26" s="84" t="s">
        <v>18</v>
      </c>
      <c r="H26" s="85"/>
      <c r="I26" s="85"/>
      <c r="J26" s="85"/>
      <c r="K26" s="85"/>
      <c r="L26" s="85"/>
      <c r="M26" s="85"/>
      <c r="N26" s="86"/>
    </row>
    <row r="27" spans="2:14" ht="15" customHeight="1" x14ac:dyDescent="0.25">
      <c r="B27" s="20"/>
      <c r="C27" s="5" t="s">
        <v>41</v>
      </c>
      <c r="D27" s="6" t="s">
        <v>30</v>
      </c>
      <c r="E27" s="11">
        <v>4.7790000000000003E-3</v>
      </c>
      <c r="F27" s="1"/>
      <c r="G27" s="1"/>
      <c r="H27" s="1"/>
      <c r="I27" s="1"/>
      <c r="J27" s="1"/>
      <c r="K27" s="1"/>
      <c r="L27" s="1"/>
      <c r="M27" s="1"/>
      <c r="N27" s="18"/>
    </row>
    <row r="28" spans="2:14" ht="15" customHeight="1" x14ac:dyDescent="0.25">
      <c r="B28" s="20"/>
      <c r="C28" s="5" t="s">
        <v>42</v>
      </c>
      <c r="D28" s="6" t="s">
        <v>30</v>
      </c>
      <c r="E28" s="11">
        <v>3.124E-3</v>
      </c>
      <c r="F28" s="1"/>
      <c r="G28" s="1"/>
      <c r="H28" s="1"/>
      <c r="I28" s="1"/>
      <c r="J28" s="1"/>
      <c r="K28" s="1"/>
      <c r="L28" s="1"/>
      <c r="M28" s="1"/>
      <c r="N28" s="18"/>
    </row>
    <row r="29" spans="2:14" ht="15" customHeight="1" x14ac:dyDescent="0.25">
      <c r="B29" s="20"/>
      <c r="C29" s="5" t="s">
        <v>24</v>
      </c>
      <c r="D29" s="6" t="s">
        <v>30</v>
      </c>
      <c r="E29" s="11">
        <v>1.72E-3</v>
      </c>
      <c r="F29" s="1"/>
      <c r="G29" s="1"/>
      <c r="H29" s="1"/>
      <c r="I29" s="1"/>
      <c r="J29" s="1"/>
      <c r="K29" s="1"/>
      <c r="L29" s="1"/>
      <c r="M29" s="1"/>
      <c r="N29" s="18"/>
    </row>
    <row r="30" spans="2:14" ht="15" customHeight="1" x14ac:dyDescent="0.25">
      <c r="B30" s="20"/>
      <c r="C30" s="5" t="s">
        <v>43</v>
      </c>
      <c r="D30" s="6" t="s">
        <v>30</v>
      </c>
      <c r="E30" s="11">
        <v>1.3940000000000001E-3</v>
      </c>
      <c r="F30" s="1"/>
      <c r="G30" s="1"/>
      <c r="H30" s="1"/>
      <c r="I30" s="1"/>
      <c r="J30" s="1"/>
      <c r="K30" s="1"/>
      <c r="L30" s="1"/>
      <c r="M30" s="1"/>
      <c r="N30" s="18"/>
    </row>
    <row r="31" spans="2:14" ht="15" customHeight="1" x14ac:dyDescent="0.25">
      <c r="B31" s="20"/>
      <c r="C31" s="5" t="s">
        <v>44</v>
      </c>
      <c r="D31" s="6" t="s">
        <v>30</v>
      </c>
      <c r="E31" s="11">
        <v>1.372E-3</v>
      </c>
      <c r="F31" s="1"/>
      <c r="G31" s="1"/>
      <c r="H31" s="1"/>
      <c r="I31" s="1"/>
      <c r="J31" s="1"/>
      <c r="K31" s="1"/>
      <c r="L31" s="1"/>
      <c r="M31" s="1"/>
      <c r="N31" s="18"/>
    </row>
    <row r="32" spans="2:14" ht="15" customHeight="1" x14ac:dyDescent="0.25">
      <c r="B32" s="20"/>
      <c r="C32" s="5" t="s">
        <v>45</v>
      </c>
      <c r="D32" s="6" t="s">
        <v>30</v>
      </c>
      <c r="E32" s="11">
        <v>9.859999999999999E-4</v>
      </c>
      <c r="F32" s="1"/>
      <c r="G32" s="1"/>
      <c r="H32" s="1"/>
      <c r="I32" s="1"/>
      <c r="J32" s="1"/>
      <c r="K32" s="1"/>
      <c r="L32" s="1"/>
      <c r="M32" s="1"/>
      <c r="N32" s="18"/>
    </row>
    <row r="33" spans="2:14" ht="15" customHeight="1" x14ac:dyDescent="0.25">
      <c r="B33" s="20"/>
      <c r="C33" s="5" t="s">
        <v>23</v>
      </c>
      <c r="D33" s="6" t="s">
        <v>30</v>
      </c>
      <c r="E33" s="11">
        <v>1.0399999999999999E-4</v>
      </c>
      <c r="F33" s="1"/>
      <c r="G33" s="1"/>
      <c r="H33" s="1"/>
      <c r="I33" s="1"/>
      <c r="J33" s="1"/>
      <c r="K33" s="1"/>
      <c r="L33" s="1"/>
      <c r="M33" s="1"/>
      <c r="N33" s="18"/>
    </row>
    <row r="34" spans="2:14" ht="15.75" customHeight="1" x14ac:dyDescent="0.25">
      <c r="B34" s="20"/>
      <c r="C34" s="7" t="s">
        <v>46</v>
      </c>
      <c r="D34" s="8"/>
      <c r="E34" s="12">
        <v>0.73315699999999995</v>
      </c>
      <c r="F34" s="1"/>
      <c r="G34" s="1"/>
      <c r="H34" s="1"/>
      <c r="I34" s="1"/>
      <c r="J34" s="1"/>
      <c r="K34" s="1"/>
      <c r="L34" s="1"/>
      <c r="M34" s="1"/>
      <c r="N34" s="18"/>
    </row>
    <row r="35" spans="2:14" ht="15" customHeight="1" x14ac:dyDescent="0.25">
      <c r="B35" s="20"/>
      <c r="C35" s="5" t="s">
        <v>47</v>
      </c>
      <c r="D35" s="6"/>
      <c r="E35" s="11">
        <v>2.4910000000000002E-3</v>
      </c>
      <c r="F35" s="1"/>
      <c r="G35" s="1"/>
      <c r="H35" s="1"/>
      <c r="I35" s="1"/>
      <c r="J35" s="1"/>
      <c r="K35" s="1"/>
      <c r="L35" s="1"/>
      <c r="M35" s="1"/>
      <c r="N35" s="18"/>
    </row>
    <row r="36" spans="2:14" ht="15.75" customHeight="1" x14ac:dyDescent="0.25">
      <c r="B36" s="20"/>
      <c r="C36" s="7" t="s">
        <v>48</v>
      </c>
      <c r="D36" s="8"/>
      <c r="E36" s="12">
        <v>2.4910000000000002E-3</v>
      </c>
      <c r="F36" s="1"/>
      <c r="G36" s="1"/>
      <c r="H36" s="1"/>
      <c r="I36" s="1"/>
      <c r="J36" s="1"/>
      <c r="K36" s="1"/>
      <c r="L36" s="1"/>
      <c r="M36" s="1"/>
      <c r="N36" s="18"/>
    </row>
    <row r="37" spans="2:14" ht="15" customHeight="1" x14ac:dyDescent="0.25">
      <c r="B37" s="20"/>
      <c r="C37" s="5" t="s">
        <v>49</v>
      </c>
      <c r="D37" s="6" t="s">
        <v>178</v>
      </c>
      <c r="E37" s="11">
        <v>0.104481</v>
      </c>
      <c r="F37" s="1"/>
      <c r="G37" s="1"/>
      <c r="H37" s="1"/>
      <c r="I37" s="1"/>
      <c r="J37" s="1"/>
      <c r="K37" s="1"/>
      <c r="L37" s="1"/>
      <c r="M37" s="1"/>
      <c r="N37" s="18"/>
    </row>
    <row r="38" spans="2:14" ht="15.75" customHeight="1" x14ac:dyDescent="0.25">
      <c r="B38" s="20"/>
      <c r="C38" s="7" t="s">
        <v>50</v>
      </c>
      <c r="D38" s="8"/>
      <c r="E38" s="12">
        <v>0.104481</v>
      </c>
      <c r="F38" s="1"/>
      <c r="G38" s="1"/>
      <c r="H38" s="1"/>
      <c r="I38" s="1"/>
      <c r="J38" s="1"/>
      <c r="K38" s="1"/>
      <c r="L38" s="1"/>
      <c r="M38" s="1"/>
      <c r="N38" s="18"/>
    </row>
    <row r="39" spans="2:14" ht="15" customHeight="1" x14ac:dyDescent="0.25">
      <c r="B39" s="20"/>
      <c r="C39" s="5" t="s">
        <v>217</v>
      </c>
      <c r="D39" s="6" t="s">
        <v>178</v>
      </c>
      <c r="E39" s="11">
        <v>1.307E-2</v>
      </c>
      <c r="F39" s="1"/>
      <c r="G39" s="1"/>
      <c r="H39" s="1"/>
      <c r="I39" s="1"/>
      <c r="J39" s="1"/>
      <c r="K39" s="1"/>
      <c r="L39" s="1"/>
      <c r="M39" s="1"/>
      <c r="N39" s="18"/>
    </row>
    <row r="40" spans="2:14" ht="15.75" customHeight="1" x14ac:dyDescent="0.25">
      <c r="B40" s="20"/>
      <c r="C40" s="5" t="s">
        <v>207</v>
      </c>
      <c r="D40" s="6" t="s">
        <v>178</v>
      </c>
      <c r="E40" s="11">
        <v>9.809E-3</v>
      </c>
      <c r="F40" s="1"/>
      <c r="G40" s="1"/>
      <c r="H40" s="1"/>
      <c r="I40" s="1"/>
      <c r="J40" s="1"/>
      <c r="K40" s="1"/>
      <c r="L40" s="1"/>
      <c r="M40" s="1"/>
      <c r="N40" s="18"/>
    </row>
    <row r="41" spans="2:14" ht="15" customHeight="1" x14ac:dyDescent="0.25">
      <c r="B41" s="20"/>
      <c r="C41" s="5" t="s">
        <v>210</v>
      </c>
      <c r="D41" s="6" t="s">
        <v>178</v>
      </c>
      <c r="E41" s="11">
        <v>3.4770000000000001E-3</v>
      </c>
      <c r="F41" s="1"/>
      <c r="G41" s="1"/>
      <c r="H41" s="1"/>
      <c r="I41" s="1"/>
      <c r="J41" s="1"/>
      <c r="K41" s="1"/>
      <c r="L41" s="1"/>
      <c r="M41" s="1"/>
      <c r="N41" s="18"/>
    </row>
    <row r="42" spans="2:14" ht="15.75" customHeight="1" x14ac:dyDescent="0.25">
      <c r="B42" s="20"/>
      <c r="C42" s="5" t="s">
        <v>218</v>
      </c>
      <c r="D42" s="6" t="s">
        <v>178</v>
      </c>
      <c r="E42" s="11">
        <v>3.4329999999999999E-3</v>
      </c>
      <c r="F42" s="1"/>
      <c r="G42" s="1"/>
      <c r="H42" s="1"/>
      <c r="I42" s="1"/>
      <c r="J42" s="1"/>
      <c r="K42" s="1"/>
      <c r="L42" s="1"/>
      <c r="M42" s="1"/>
      <c r="N42" s="18"/>
    </row>
    <row r="43" spans="2:14" ht="15" customHeight="1" x14ac:dyDescent="0.25">
      <c r="B43" s="20"/>
      <c r="C43" s="5" t="s">
        <v>206</v>
      </c>
      <c r="D43" s="6" t="s">
        <v>178</v>
      </c>
      <c r="E43" s="11">
        <v>2.0939999999999999E-3</v>
      </c>
      <c r="F43" s="1"/>
      <c r="G43" s="1"/>
      <c r="H43" s="1"/>
      <c r="I43" s="1"/>
      <c r="J43" s="1"/>
      <c r="K43" s="1"/>
      <c r="L43" s="1"/>
      <c r="M43" s="1"/>
      <c r="N43" s="18"/>
    </row>
    <row r="44" spans="2:14" ht="15.75" customHeight="1" x14ac:dyDescent="0.25">
      <c r="B44" s="20"/>
      <c r="C44" s="5" t="s">
        <v>203</v>
      </c>
      <c r="D44" s="6" t="s">
        <v>178</v>
      </c>
      <c r="E44" s="11">
        <v>2.0760000000000002E-3</v>
      </c>
      <c r="F44" s="1"/>
      <c r="G44" s="1"/>
      <c r="H44" s="1"/>
      <c r="I44" s="1"/>
      <c r="J44" s="1"/>
      <c r="K44" s="1"/>
      <c r="L44" s="1"/>
      <c r="M44" s="1"/>
      <c r="N44" s="18"/>
    </row>
    <row r="45" spans="2:14" ht="15" customHeight="1" x14ac:dyDescent="0.25">
      <c r="B45" s="20"/>
      <c r="C45" s="5" t="s">
        <v>208</v>
      </c>
      <c r="D45" s="6" t="s">
        <v>178</v>
      </c>
      <c r="E45" s="11">
        <v>1.753E-3</v>
      </c>
      <c r="F45" s="1"/>
      <c r="G45" s="1"/>
      <c r="H45" s="1"/>
      <c r="I45" s="1"/>
      <c r="J45" s="1"/>
      <c r="K45" s="1"/>
      <c r="L45" s="1"/>
      <c r="M45" s="1"/>
      <c r="N45" s="18"/>
    </row>
    <row r="46" spans="2:14" ht="15" customHeight="1" x14ac:dyDescent="0.25">
      <c r="B46" s="20"/>
      <c r="C46" s="5" t="s">
        <v>209</v>
      </c>
      <c r="D46" s="6" t="s">
        <v>178</v>
      </c>
      <c r="E46" s="11">
        <v>1.743E-3</v>
      </c>
      <c r="F46" s="1"/>
      <c r="G46" s="1"/>
      <c r="H46" s="1"/>
      <c r="I46" s="1"/>
      <c r="J46" s="1"/>
      <c r="K46" s="1"/>
      <c r="L46" s="1"/>
      <c r="M46" s="1"/>
      <c r="N46" s="18"/>
    </row>
    <row r="47" spans="2:14" ht="15" customHeight="1" x14ac:dyDescent="0.25">
      <c r="B47" s="20"/>
      <c r="C47" s="5" t="s">
        <v>202</v>
      </c>
      <c r="D47" s="6" t="s">
        <v>178</v>
      </c>
      <c r="E47" s="11">
        <v>1.7359999999999999E-3</v>
      </c>
      <c r="F47" s="1"/>
      <c r="G47" s="1"/>
      <c r="H47" s="1"/>
      <c r="I47" s="1"/>
      <c r="J47" s="1"/>
      <c r="K47" s="1"/>
      <c r="L47" s="1"/>
      <c r="M47" s="1"/>
      <c r="N47" s="18"/>
    </row>
    <row r="48" spans="2:14" ht="15" customHeight="1" x14ac:dyDescent="0.25">
      <c r="B48" s="20"/>
      <c r="C48" s="5" t="s">
        <v>204</v>
      </c>
      <c r="D48" s="6" t="s">
        <v>178</v>
      </c>
      <c r="E48" s="11">
        <v>1.3940000000000001E-3</v>
      </c>
      <c r="F48" s="1"/>
      <c r="G48" s="1"/>
      <c r="H48" s="1"/>
      <c r="I48" s="1"/>
      <c r="J48" s="1"/>
      <c r="K48" s="1"/>
      <c r="L48" s="1"/>
      <c r="M48" s="1"/>
      <c r="N48" s="18"/>
    </row>
    <row r="49" spans="2:14" ht="15" customHeight="1" x14ac:dyDescent="0.25">
      <c r="B49" s="20"/>
      <c r="C49" s="5" t="s">
        <v>205</v>
      </c>
      <c r="D49" s="6" t="s">
        <v>178</v>
      </c>
      <c r="E49" s="11">
        <v>1.0449999999999999E-3</v>
      </c>
      <c r="F49" s="1"/>
      <c r="G49" s="1"/>
      <c r="H49" s="1"/>
      <c r="I49" s="1"/>
      <c r="J49" s="1"/>
      <c r="K49" s="1"/>
      <c r="L49" s="1"/>
      <c r="M49" s="1"/>
      <c r="N49" s="18"/>
    </row>
    <row r="50" spans="2:14" ht="15" customHeight="1" x14ac:dyDescent="0.25">
      <c r="B50" s="20"/>
      <c r="C50" s="5" t="s">
        <v>215</v>
      </c>
      <c r="D50" s="6" t="s">
        <v>178</v>
      </c>
      <c r="E50" s="11">
        <v>6.96E-4</v>
      </c>
      <c r="F50" s="1"/>
      <c r="G50" s="1"/>
      <c r="H50" s="1"/>
      <c r="I50" s="1"/>
      <c r="J50" s="1"/>
      <c r="K50" s="1"/>
      <c r="L50" s="1"/>
      <c r="M50" s="1"/>
      <c r="N50" s="18"/>
    </row>
    <row r="51" spans="2:14" ht="15" customHeight="1" x14ac:dyDescent="0.25">
      <c r="B51" s="20"/>
      <c r="C51" s="5" t="s">
        <v>216</v>
      </c>
      <c r="D51" s="6" t="s">
        <v>178</v>
      </c>
      <c r="E51" s="11">
        <v>6.96E-4</v>
      </c>
      <c r="F51" s="1"/>
      <c r="G51" s="1"/>
      <c r="H51" s="1"/>
      <c r="I51" s="1"/>
      <c r="J51" s="1"/>
      <c r="K51" s="1"/>
      <c r="L51" s="1"/>
      <c r="M51" s="1"/>
      <c r="N51" s="18"/>
    </row>
    <row r="52" spans="2:14" ht="15" customHeight="1" x14ac:dyDescent="0.25">
      <c r="B52" s="20"/>
      <c r="C52" s="5" t="s">
        <v>213</v>
      </c>
      <c r="D52" s="6" t="s">
        <v>178</v>
      </c>
      <c r="E52" s="11">
        <v>6.8599999999999998E-4</v>
      </c>
      <c r="F52" s="1"/>
      <c r="G52" s="1"/>
      <c r="H52" s="1"/>
      <c r="I52" s="1"/>
      <c r="J52" s="1"/>
      <c r="K52" s="1"/>
      <c r="L52" s="1"/>
      <c r="M52" s="1"/>
      <c r="N52" s="18"/>
    </row>
    <row r="53" spans="2:14" ht="15" customHeight="1" x14ac:dyDescent="0.25">
      <c r="B53" s="20"/>
      <c r="C53" s="5" t="s">
        <v>211</v>
      </c>
      <c r="D53" s="6" t="s">
        <v>178</v>
      </c>
      <c r="E53" s="11">
        <v>3.4600000000000001E-4</v>
      </c>
      <c r="F53" s="1"/>
      <c r="G53" s="1"/>
      <c r="H53" s="1"/>
      <c r="I53" s="1"/>
      <c r="J53" s="1"/>
      <c r="K53" s="1"/>
      <c r="L53" s="1"/>
      <c r="M53" s="1"/>
      <c r="N53" s="18"/>
    </row>
    <row r="54" spans="2:14" ht="15" customHeight="1" x14ac:dyDescent="0.25">
      <c r="B54" s="20"/>
      <c r="C54" s="5" t="s">
        <v>214</v>
      </c>
      <c r="D54" s="6" t="s">
        <v>178</v>
      </c>
      <c r="E54" s="11">
        <v>3.4600000000000001E-4</v>
      </c>
      <c r="F54" s="1"/>
      <c r="G54" s="1"/>
      <c r="H54" s="1"/>
      <c r="I54" s="1"/>
      <c r="J54" s="1"/>
      <c r="K54" s="1"/>
      <c r="L54" s="1"/>
      <c r="M54" s="1"/>
      <c r="N54" s="18"/>
    </row>
    <row r="55" spans="2:14" ht="15" customHeight="1" x14ac:dyDescent="0.25">
      <c r="B55" s="20"/>
      <c r="C55" s="5" t="s">
        <v>212</v>
      </c>
      <c r="D55" s="6" t="s">
        <v>178</v>
      </c>
      <c r="E55" s="11">
        <v>8.2000000000000001E-5</v>
      </c>
      <c r="F55" s="1"/>
      <c r="G55" s="1"/>
      <c r="H55" s="1"/>
      <c r="I55" s="1"/>
      <c r="J55" s="1"/>
      <c r="K55" s="1"/>
      <c r="L55" s="1"/>
      <c r="M55" s="1"/>
      <c r="N55" s="18"/>
    </row>
    <row r="56" spans="2:14" ht="15" customHeight="1" x14ac:dyDescent="0.25">
      <c r="B56" s="20"/>
      <c r="C56" s="7" t="s">
        <v>51</v>
      </c>
      <c r="D56" s="8"/>
      <c r="E56" s="12">
        <v>4.4482000000000001E-2</v>
      </c>
      <c r="F56" s="1"/>
      <c r="G56" s="1"/>
      <c r="H56" s="1"/>
      <c r="I56" s="1"/>
      <c r="J56" s="1"/>
      <c r="K56" s="1"/>
      <c r="L56" s="1"/>
      <c r="M56" s="1"/>
      <c r="N56" s="18"/>
    </row>
    <row r="57" spans="2:14" ht="15" customHeight="1" x14ac:dyDescent="0.25">
      <c r="B57" s="20"/>
      <c r="C57" s="5" t="s">
        <v>8</v>
      </c>
      <c r="D57" s="6"/>
      <c r="E57" s="11">
        <v>7.2259999999999998E-3</v>
      </c>
      <c r="F57" s="1"/>
      <c r="G57" s="1"/>
      <c r="H57" s="1"/>
      <c r="I57" s="1"/>
      <c r="J57" s="1"/>
      <c r="K57" s="1"/>
      <c r="L57" s="1"/>
      <c r="M57" s="1"/>
      <c r="N57" s="18"/>
    </row>
    <row r="58" spans="2:14" ht="15" customHeight="1" x14ac:dyDescent="0.25">
      <c r="B58" s="20"/>
      <c r="C58" s="7" t="s">
        <v>9</v>
      </c>
      <c r="D58" s="8"/>
      <c r="E58" s="12">
        <v>7.2259999999999998E-3</v>
      </c>
      <c r="F58" s="1"/>
      <c r="G58" s="1"/>
      <c r="H58" s="1"/>
      <c r="I58" s="1"/>
      <c r="J58" s="1"/>
      <c r="K58" s="1"/>
      <c r="L58" s="1"/>
      <c r="M58" s="1"/>
      <c r="N58" s="18"/>
    </row>
    <row r="59" spans="2:14" ht="15" customHeight="1" x14ac:dyDescent="0.25">
      <c r="B59" s="20"/>
      <c r="C59" s="5"/>
      <c r="D59" s="6"/>
      <c r="E59" s="11"/>
      <c r="F59" s="1"/>
      <c r="G59" s="1"/>
      <c r="H59" s="1"/>
      <c r="I59" s="1"/>
      <c r="J59" s="1"/>
      <c r="K59" s="1"/>
      <c r="L59" s="1"/>
      <c r="M59" s="1"/>
      <c r="N59" s="18"/>
    </row>
    <row r="60" spans="2:14" ht="15" customHeight="1" x14ac:dyDescent="0.25">
      <c r="B60" s="20"/>
      <c r="C60" s="7" t="s">
        <v>10</v>
      </c>
      <c r="D60" s="8"/>
      <c r="E60" s="12">
        <v>2.0844999999999999E-2</v>
      </c>
      <c r="F60" s="1"/>
      <c r="G60" s="1"/>
      <c r="H60" s="1"/>
      <c r="I60" s="1"/>
      <c r="J60" s="1"/>
      <c r="K60" s="1"/>
      <c r="L60" s="1"/>
      <c r="M60" s="1"/>
      <c r="N60" s="18"/>
    </row>
    <row r="61" spans="2:14" ht="15" customHeight="1" x14ac:dyDescent="0.25">
      <c r="B61" s="20"/>
      <c r="C61" s="5"/>
      <c r="D61" s="6"/>
      <c r="E61" s="11"/>
      <c r="F61" s="1"/>
      <c r="G61" s="1"/>
      <c r="H61" s="1"/>
      <c r="I61" s="1"/>
      <c r="J61" s="1"/>
      <c r="K61" s="1"/>
      <c r="L61" s="1"/>
      <c r="M61" s="1"/>
      <c r="N61" s="18"/>
    </row>
    <row r="62" spans="2:14" ht="15" customHeight="1" x14ac:dyDescent="0.25">
      <c r="B62" s="20"/>
      <c r="C62" s="9" t="s">
        <v>11</v>
      </c>
      <c r="D62" s="10"/>
      <c r="E62" s="13">
        <v>1</v>
      </c>
      <c r="F62" s="1"/>
      <c r="G62" s="1"/>
      <c r="H62" s="1"/>
      <c r="I62" s="1"/>
      <c r="J62" s="1"/>
      <c r="K62" s="1"/>
      <c r="L62" s="1"/>
      <c r="M62" s="1"/>
      <c r="N62" s="18"/>
    </row>
    <row r="63" spans="2:14" ht="15" customHeight="1" thickBot="1" x14ac:dyDescent="0.3">
      <c r="B63" s="21"/>
      <c r="C63" s="22"/>
      <c r="D63" s="22"/>
      <c r="E63" s="22"/>
      <c r="F63" s="22"/>
      <c r="G63" s="22"/>
      <c r="H63" s="22"/>
      <c r="I63" s="22"/>
      <c r="J63" s="22"/>
      <c r="K63" s="22"/>
      <c r="L63" s="22"/>
      <c r="M63" s="22"/>
      <c r="N63" s="23"/>
    </row>
    <row r="64" spans="2:14" ht="15" customHeight="1" thickBot="1" x14ac:dyDescent="0.3"/>
    <row r="65" spans="2:14" ht="15" customHeight="1" x14ac:dyDescent="0.25">
      <c r="B65" s="70" t="s">
        <v>288</v>
      </c>
      <c r="C65" s="71"/>
      <c r="D65" s="71"/>
      <c r="E65" s="71"/>
      <c r="F65" s="71"/>
      <c r="G65" s="71"/>
      <c r="H65" s="71"/>
      <c r="I65" s="71"/>
      <c r="J65" s="71"/>
      <c r="K65" s="71"/>
      <c r="L65" s="71"/>
      <c r="M65" s="71"/>
      <c r="N65" s="72"/>
    </row>
    <row r="66" spans="2:14" ht="15" customHeight="1" x14ac:dyDescent="0.25">
      <c r="B66" s="73"/>
      <c r="C66" s="74"/>
      <c r="D66" s="74"/>
      <c r="E66" s="74"/>
      <c r="F66" s="74"/>
      <c r="G66" s="74"/>
      <c r="H66" s="74"/>
      <c r="I66" s="74"/>
      <c r="J66" s="74"/>
      <c r="K66" s="74"/>
      <c r="L66" s="74"/>
      <c r="M66" s="74"/>
      <c r="N66" s="75"/>
    </row>
    <row r="67" spans="2:14" ht="15" customHeight="1" x14ac:dyDescent="0.25">
      <c r="B67" s="73"/>
      <c r="C67" s="74"/>
      <c r="D67" s="74"/>
      <c r="E67" s="74"/>
      <c r="F67" s="74"/>
      <c r="G67" s="74"/>
      <c r="H67" s="74"/>
      <c r="I67" s="74"/>
      <c r="J67" s="74"/>
      <c r="K67" s="74"/>
      <c r="L67" s="74"/>
      <c r="M67" s="74"/>
      <c r="N67" s="75"/>
    </row>
    <row r="68" spans="2:14" ht="15" customHeight="1" thickBot="1" x14ac:dyDescent="0.3">
      <c r="B68" s="76"/>
      <c r="C68" s="77"/>
      <c r="D68" s="77"/>
      <c r="E68" s="77"/>
      <c r="F68" s="77"/>
      <c r="G68" s="77"/>
      <c r="H68" s="77"/>
      <c r="I68" s="77"/>
      <c r="J68" s="77"/>
      <c r="K68" s="77"/>
      <c r="L68" s="77"/>
      <c r="M68" s="77"/>
      <c r="N68" s="78"/>
    </row>
    <row r="69" spans="2:14" ht="15" customHeight="1" thickBot="1" x14ac:dyDescent="0.3"/>
    <row r="70" spans="2:14" ht="138" customHeight="1" thickBot="1" x14ac:dyDescent="0.3">
      <c r="B70" s="67" t="s">
        <v>291</v>
      </c>
      <c r="C70" s="68"/>
      <c r="D70" s="68"/>
      <c r="E70" s="68"/>
      <c r="F70" s="68"/>
      <c r="G70" s="68"/>
      <c r="H70" s="68"/>
      <c r="I70" s="68"/>
      <c r="J70" s="68"/>
      <c r="K70" s="68"/>
      <c r="L70" s="68"/>
      <c r="M70" s="68"/>
      <c r="N70" s="69"/>
    </row>
    <row r="71" spans="2:14" ht="15" customHeight="1" x14ac:dyDescent="0.25"/>
    <row r="72" spans="2:14" ht="15" customHeight="1" x14ac:dyDescent="0.25"/>
    <row r="73" spans="2:14" ht="15" customHeight="1" x14ac:dyDescent="0.25"/>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sheetData>
  <sortState ref="C39:E55">
    <sortCondition descending="1" ref="E39"/>
  </sortState>
  <mergeCells count="7">
    <mergeCell ref="B65:N68"/>
    <mergeCell ref="B70:N70"/>
    <mergeCell ref="C3:N3"/>
    <mergeCell ref="D5:E5"/>
    <mergeCell ref="G7:N7"/>
    <mergeCell ref="G24:K24"/>
    <mergeCell ref="G26:N2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6994A-21D0-47B9-8FC3-594E69E4DFDD}">
  <dimension ref="B1:N97"/>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9" t="s">
        <v>81</v>
      </c>
      <c r="D3" s="80"/>
      <c r="E3" s="80"/>
      <c r="F3" s="80"/>
      <c r="G3" s="80"/>
      <c r="H3" s="80"/>
      <c r="I3" s="80"/>
      <c r="J3" s="80"/>
      <c r="K3" s="80"/>
      <c r="L3" s="80"/>
      <c r="M3" s="80"/>
      <c r="N3" s="81"/>
    </row>
    <row r="4" spans="2:14" ht="15.75" customHeight="1" x14ac:dyDescent="0.25">
      <c r="B4" s="20"/>
      <c r="C4" s="14"/>
      <c r="D4" s="1"/>
      <c r="E4" s="1"/>
      <c r="F4" s="1"/>
      <c r="G4" s="1"/>
      <c r="H4" s="1"/>
      <c r="I4" s="1"/>
      <c r="J4" s="1"/>
      <c r="K4" s="1"/>
      <c r="L4" s="1"/>
      <c r="M4" s="1"/>
      <c r="N4" s="18"/>
    </row>
    <row r="5" spans="2:14" ht="18" customHeight="1" x14ac:dyDescent="0.25">
      <c r="B5" s="20"/>
      <c r="C5" s="15" t="s">
        <v>1</v>
      </c>
      <c r="D5" s="82" t="s">
        <v>82</v>
      </c>
      <c r="E5" s="8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4" t="s">
        <v>16</v>
      </c>
      <c r="H7" s="85"/>
      <c r="I7" s="85"/>
      <c r="J7" s="85"/>
      <c r="K7" s="85"/>
      <c r="L7" s="85"/>
      <c r="M7" s="85"/>
      <c r="N7" s="86"/>
    </row>
    <row r="8" spans="2:14" ht="15" customHeight="1" x14ac:dyDescent="0.25">
      <c r="B8" s="20"/>
      <c r="C8" s="5" t="s">
        <v>21</v>
      </c>
      <c r="D8" s="6" t="s">
        <v>22</v>
      </c>
      <c r="E8" s="11">
        <v>2.1083000000000001E-2</v>
      </c>
      <c r="F8" s="1"/>
      <c r="G8" s="24" t="s">
        <v>15</v>
      </c>
      <c r="H8" s="25">
        <v>1</v>
      </c>
      <c r="I8" s="1"/>
      <c r="J8" s="24" t="s">
        <v>12</v>
      </c>
      <c r="K8" s="24" t="s">
        <v>5</v>
      </c>
      <c r="L8" s="1"/>
      <c r="M8" s="1"/>
      <c r="N8" s="18"/>
    </row>
    <row r="9" spans="2:14" ht="15" customHeight="1" x14ac:dyDescent="0.25">
      <c r="B9" s="20"/>
      <c r="C9" s="5" t="s">
        <v>23</v>
      </c>
      <c r="D9" s="6" t="s">
        <v>22</v>
      </c>
      <c r="E9" s="11">
        <v>1.4063000000000001E-2</v>
      </c>
      <c r="F9" s="1"/>
      <c r="G9" s="1"/>
      <c r="H9" s="1"/>
      <c r="I9" s="1"/>
      <c r="J9" s="24" t="s">
        <v>10</v>
      </c>
      <c r="K9" s="28">
        <v>3.2045999999999998E-2</v>
      </c>
      <c r="L9" s="1"/>
      <c r="M9" s="1"/>
      <c r="N9" s="18"/>
    </row>
    <row r="10" spans="2:14" ht="15" customHeight="1" x14ac:dyDescent="0.25">
      <c r="B10" s="20"/>
      <c r="C10" s="5" t="s">
        <v>33</v>
      </c>
      <c r="D10" s="6" t="s">
        <v>22</v>
      </c>
      <c r="E10" s="11">
        <v>9.9109999999999997E-3</v>
      </c>
      <c r="F10" s="1"/>
      <c r="G10" s="1"/>
      <c r="H10" s="1"/>
      <c r="I10" s="1"/>
      <c r="J10" s="24" t="s">
        <v>13</v>
      </c>
      <c r="K10" s="28">
        <v>1.3231E-2</v>
      </c>
      <c r="L10" s="1"/>
      <c r="M10" s="1"/>
      <c r="N10" s="18"/>
    </row>
    <row r="11" spans="2:14" ht="15" customHeight="1" x14ac:dyDescent="0.25">
      <c r="B11" s="20"/>
      <c r="C11" s="5" t="s">
        <v>32</v>
      </c>
      <c r="D11" s="6" t="s">
        <v>22</v>
      </c>
      <c r="E11" s="11">
        <v>7.0289999999999997E-3</v>
      </c>
      <c r="F11" s="1"/>
      <c r="G11" s="1"/>
      <c r="H11" s="1"/>
      <c r="I11" s="1"/>
      <c r="J11" s="24" t="s">
        <v>52</v>
      </c>
      <c r="K11" s="28">
        <v>5.7355000000000003E-2</v>
      </c>
      <c r="L11" s="1"/>
      <c r="M11" s="1"/>
      <c r="N11" s="18"/>
    </row>
    <row r="12" spans="2:14" ht="15" customHeight="1" x14ac:dyDescent="0.25">
      <c r="B12" s="20"/>
      <c r="C12" s="5" t="s">
        <v>24</v>
      </c>
      <c r="D12" s="6" t="s">
        <v>22</v>
      </c>
      <c r="E12" s="11">
        <v>3.5140000000000002E-3</v>
      </c>
      <c r="F12" s="1"/>
      <c r="G12" s="1"/>
      <c r="H12" s="1"/>
      <c r="I12" s="1"/>
      <c r="J12" s="24" t="s">
        <v>53</v>
      </c>
      <c r="K12" s="28">
        <v>0.70523199999999997</v>
      </c>
      <c r="L12" s="1"/>
      <c r="M12" s="1"/>
      <c r="N12" s="18"/>
    </row>
    <row r="13" spans="2:14" ht="15" customHeight="1" x14ac:dyDescent="0.25">
      <c r="B13" s="20"/>
      <c r="C13" s="5" t="s">
        <v>26</v>
      </c>
      <c r="D13" s="6" t="s">
        <v>22</v>
      </c>
      <c r="E13" s="11">
        <v>1.755E-3</v>
      </c>
      <c r="F13" s="1"/>
      <c r="G13" s="1"/>
      <c r="H13" s="1"/>
      <c r="I13" s="1"/>
      <c r="J13" s="24" t="s">
        <v>54</v>
      </c>
      <c r="K13" s="28">
        <v>8.7924000000000002E-2</v>
      </c>
      <c r="L13" s="1"/>
      <c r="M13" s="1"/>
      <c r="N13" s="18"/>
    </row>
    <row r="14" spans="2:14" ht="15.75" customHeight="1" x14ac:dyDescent="0.25">
      <c r="B14" s="20"/>
      <c r="C14" s="7" t="s">
        <v>27</v>
      </c>
      <c r="D14" s="8"/>
      <c r="E14" s="12">
        <v>5.7355000000000003E-2</v>
      </c>
      <c r="F14" s="1"/>
      <c r="G14" s="1"/>
      <c r="H14" s="1"/>
      <c r="I14" s="1"/>
      <c r="J14" s="24" t="s">
        <v>47</v>
      </c>
      <c r="K14" s="28">
        <v>2.7690000000000002E-3</v>
      </c>
      <c r="L14" s="1"/>
      <c r="M14" s="1"/>
      <c r="N14" s="18"/>
    </row>
    <row r="15" spans="2:14" ht="15" customHeight="1" x14ac:dyDescent="0.25">
      <c r="B15" s="20"/>
      <c r="C15" s="5" t="s">
        <v>29</v>
      </c>
      <c r="D15" s="6" t="s">
        <v>22</v>
      </c>
      <c r="E15" s="11">
        <v>3.3291000000000001E-2</v>
      </c>
      <c r="F15" s="1"/>
      <c r="G15" s="1"/>
      <c r="H15" s="1"/>
      <c r="I15" s="1"/>
      <c r="J15" s="24" t="s">
        <v>56</v>
      </c>
      <c r="K15" s="28">
        <v>2.6501E-2</v>
      </c>
      <c r="L15" s="1"/>
      <c r="M15" s="1"/>
      <c r="N15" s="18"/>
    </row>
    <row r="16" spans="2:14" ht="15" customHeight="1" x14ac:dyDescent="0.25">
      <c r="B16" s="20"/>
      <c r="C16" s="5" t="s">
        <v>76</v>
      </c>
      <c r="D16" s="6" t="s">
        <v>22</v>
      </c>
      <c r="E16" s="11">
        <v>2.1137E-2</v>
      </c>
      <c r="F16" s="1"/>
      <c r="G16" s="1"/>
      <c r="H16" s="1"/>
      <c r="I16" s="1"/>
      <c r="J16" s="24" t="s">
        <v>94</v>
      </c>
      <c r="K16" s="28">
        <v>7.2099999999999997E-2</v>
      </c>
      <c r="L16" s="1"/>
      <c r="M16" s="1"/>
      <c r="N16" s="18"/>
    </row>
    <row r="17" spans="2:14" ht="15" customHeight="1" x14ac:dyDescent="0.25">
      <c r="B17" s="20"/>
      <c r="C17" s="5" t="s">
        <v>78</v>
      </c>
      <c r="D17" s="6" t="s">
        <v>22</v>
      </c>
      <c r="E17" s="11">
        <v>1.7696E-2</v>
      </c>
      <c r="F17" s="1"/>
      <c r="G17" s="1"/>
      <c r="H17" s="1"/>
      <c r="I17" s="1"/>
      <c r="J17" s="24" t="s">
        <v>95</v>
      </c>
      <c r="K17" s="28">
        <v>2.8419999999999999E-3</v>
      </c>
      <c r="L17" s="1"/>
      <c r="M17" s="1"/>
      <c r="N17" s="18"/>
    </row>
    <row r="18" spans="2:14" ht="15" customHeight="1" x14ac:dyDescent="0.25">
      <c r="B18" s="20"/>
      <c r="C18" s="5" t="s">
        <v>24</v>
      </c>
      <c r="D18" s="6" t="s">
        <v>22</v>
      </c>
      <c r="E18" s="11">
        <v>8.7740000000000005E-3</v>
      </c>
      <c r="F18" s="1"/>
      <c r="G18" s="1"/>
      <c r="H18" s="1"/>
      <c r="I18" s="1"/>
      <c r="J18" s="1"/>
      <c r="K18" s="1"/>
      <c r="L18" s="1"/>
      <c r="M18" s="1"/>
      <c r="N18" s="18"/>
    </row>
    <row r="19" spans="2:14" ht="15" customHeight="1" x14ac:dyDescent="0.25">
      <c r="B19" s="20"/>
      <c r="C19" s="5" t="s">
        <v>33</v>
      </c>
      <c r="D19" s="6" t="s">
        <v>22</v>
      </c>
      <c r="E19" s="11">
        <v>7.0260000000000001E-3</v>
      </c>
      <c r="F19" s="1"/>
      <c r="G19" s="1"/>
      <c r="H19" s="1"/>
      <c r="I19" s="1"/>
      <c r="J19" s="1"/>
      <c r="K19" s="1"/>
      <c r="L19" s="1"/>
      <c r="M19" s="1"/>
      <c r="N19" s="18"/>
    </row>
    <row r="20" spans="2:14" ht="15.75" customHeight="1" x14ac:dyDescent="0.25">
      <c r="B20" s="20"/>
      <c r="C20" s="7" t="s">
        <v>28</v>
      </c>
      <c r="D20" s="8"/>
      <c r="E20" s="12">
        <v>8.7924000000000002E-2</v>
      </c>
      <c r="F20" s="1"/>
      <c r="G20" s="1"/>
      <c r="H20" s="1"/>
      <c r="I20" s="1"/>
      <c r="J20" s="1"/>
      <c r="K20" s="1"/>
      <c r="L20" s="1"/>
      <c r="M20" s="1"/>
      <c r="N20" s="18"/>
    </row>
    <row r="21" spans="2:14" ht="15" customHeight="1" x14ac:dyDescent="0.25">
      <c r="B21" s="20"/>
      <c r="C21" s="5" t="s">
        <v>41</v>
      </c>
      <c r="D21" s="6" t="s">
        <v>30</v>
      </c>
      <c r="E21" s="11">
        <v>0.11076</v>
      </c>
      <c r="F21" s="1"/>
      <c r="G21" s="1"/>
      <c r="H21" s="1"/>
      <c r="I21" s="1"/>
      <c r="J21" s="1"/>
      <c r="K21" s="1"/>
      <c r="L21" s="1"/>
      <c r="M21" s="1"/>
      <c r="N21" s="18"/>
    </row>
    <row r="22" spans="2:14" ht="15" customHeight="1" x14ac:dyDescent="0.25">
      <c r="B22" s="20"/>
      <c r="C22" s="5" t="s">
        <v>32</v>
      </c>
      <c r="D22" s="6" t="s">
        <v>30</v>
      </c>
      <c r="E22" s="11">
        <v>9.7571000000000005E-2</v>
      </c>
      <c r="F22" s="1"/>
      <c r="G22" s="1"/>
      <c r="H22" s="1"/>
      <c r="I22" s="1"/>
      <c r="J22" s="1"/>
      <c r="K22" s="1"/>
      <c r="L22" s="1"/>
      <c r="M22" s="1"/>
      <c r="N22" s="18"/>
    </row>
    <row r="23" spans="2:14" ht="15" customHeight="1" x14ac:dyDescent="0.25">
      <c r="B23" s="20"/>
      <c r="C23" s="5" t="s">
        <v>35</v>
      </c>
      <c r="D23" s="6" t="s">
        <v>30</v>
      </c>
      <c r="E23" s="11">
        <v>9.0180999999999997E-2</v>
      </c>
      <c r="F23" s="1"/>
      <c r="G23" s="1"/>
      <c r="H23" s="1"/>
      <c r="I23" s="1"/>
      <c r="J23" s="1"/>
      <c r="K23" s="1"/>
      <c r="L23" s="1"/>
      <c r="M23" s="1"/>
      <c r="N23" s="18"/>
    </row>
    <row r="24" spans="2:14" ht="15" customHeight="1" x14ac:dyDescent="0.25">
      <c r="B24" s="20"/>
      <c r="C24" s="5" t="s">
        <v>29</v>
      </c>
      <c r="D24" s="6" t="s">
        <v>30</v>
      </c>
      <c r="E24" s="11">
        <v>7.2965000000000002E-2</v>
      </c>
      <c r="F24" s="1"/>
      <c r="G24" s="84" t="s">
        <v>17</v>
      </c>
      <c r="H24" s="85"/>
      <c r="I24" s="85"/>
      <c r="J24" s="85"/>
      <c r="K24" s="85"/>
      <c r="L24" s="103">
        <v>0.2227542997777143</v>
      </c>
      <c r="M24" s="26"/>
      <c r="N24" s="27"/>
    </row>
    <row r="25" spans="2:14" ht="15" customHeight="1" x14ac:dyDescent="0.25">
      <c r="B25" s="20"/>
      <c r="C25" s="5" t="s">
        <v>36</v>
      </c>
      <c r="D25" s="6" t="s">
        <v>30</v>
      </c>
      <c r="E25" s="11">
        <v>6.8095000000000003E-2</v>
      </c>
      <c r="F25" s="1"/>
      <c r="G25" s="1"/>
      <c r="H25" s="1"/>
      <c r="I25" s="1"/>
      <c r="J25" s="1"/>
      <c r="K25" s="1"/>
      <c r="L25" s="1"/>
      <c r="M25" s="1"/>
      <c r="N25" s="18"/>
    </row>
    <row r="26" spans="2:14" ht="15" customHeight="1" x14ac:dyDescent="0.25">
      <c r="B26" s="20"/>
      <c r="C26" s="5" t="s">
        <v>24</v>
      </c>
      <c r="D26" s="6" t="s">
        <v>30</v>
      </c>
      <c r="E26" s="11">
        <v>5.5740999999999999E-2</v>
      </c>
      <c r="F26" s="1"/>
      <c r="G26" s="84" t="s">
        <v>18</v>
      </c>
      <c r="H26" s="85"/>
      <c r="I26" s="85"/>
      <c r="J26" s="85"/>
      <c r="K26" s="85"/>
      <c r="L26" s="85"/>
      <c r="M26" s="85"/>
      <c r="N26" s="86"/>
    </row>
    <row r="27" spans="2:14" ht="15" customHeight="1" x14ac:dyDescent="0.25">
      <c r="B27" s="20"/>
      <c r="C27" s="5" t="s">
        <v>31</v>
      </c>
      <c r="D27" s="6" t="s">
        <v>30</v>
      </c>
      <c r="E27" s="11">
        <v>3.8663000000000003E-2</v>
      </c>
      <c r="F27" s="1"/>
      <c r="G27" s="1"/>
      <c r="H27" s="1"/>
      <c r="I27" s="1"/>
      <c r="J27" s="1"/>
      <c r="K27" s="1"/>
      <c r="L27" s="1"/>
      <c r="M27" s="1"/>
      <c r="N27" s="18"/>
    </row>
    <row r="28" spans="2:14" ht="15" customHeight="1" x14ac:dyDescent="0.25">
      <c r="B28" s="20"/>
      <c r="C28" s="5" t="s">
        <v>33</v>
      </c>
      <c r="D28" s="6" t="s">
        <v>30</v>
      </c>
      <c r="E28" s="11">
        <v>2.3032E-2</v>
      </c>
      <c r="F28" s="1"/>
      <c r="G28" s="1"/>
      <c r="H28" s="1"/>
      <c r="I28" s="1"/>
      <c r="J28" s="1"/>
      <c r="K28" s="1"/>
      <c r="L28" s="1"/>
      <c r="M28" s="1"/>
      <c r="N28" s="18"/>
    </row>
    <row r="29" spans="2:14" ht="15" customHeight="1" x14ac:dyDescent="0.25">
      <c r="B29" s="20"/>
      <c r="C29" s="5" t="s">
        <v>38</v>
      </c>
      <c r="D29" s="6" t="s">
        <v>30</v>
      </c>
      <c r="E29" s="11">
        <v>2.0532999999999999E-2</v>
      </c>
      <c r="F29" s="1"/>
      <c r="G29" s="1"/>
      <c r="H29" s="1"/>
      <c r="I29" s="1"/>
      <c r="J29" s="1"/>
      <c r="K29" s="1"/>
      <c r="L29" s="1"/>
      <c r="M29" s="1"/>
      <c r="N29" s="18"/>
    </row>
    <row r="30" spans="2:14" ht="15" customHeight="1" x14ac:dyDescent="0.25">
      <c r="B30" s="20"/>
      <c r="C30" s="5" t="s">
        <v>83</v>
      </c>
      <c r="D30" s="6" t="s">
        <v>30</v>
      </c>
      <c r="E30" s="11">
        <v>1.9557000000000001E-2</v>
      </c>
      <c r="F30" s="1"/>
      <c r="G30" s="1"/>
      <c r="H30" s="1"/>
      <c r="I30" s="1"/>
      <c r="J30" s="1"/>
      <c r="K30" s="1"/>
      <c r="L30" s="1"/>
      <c r="M30" s="1"/>
      <c r="N30" s="18"/>
    </row>
    <row r="31" spans="2:14" ht="15" customHeight="1" x14ac:dyDescent="0.25">
      <c r="B31" s="20"/>
      <c r="C31" s="5" t="s">
        <v>37</v>
      </c>
      <c r="D31" s="6" t="s">
        <v>30</v>
      </c>
      <c r="E31" s="11">
        <v>1.6752E-2</v>
      </c>
      <c r="F31" s="1"/>
      <c r="G31" s="1"/>
      <c r="H31" s="1"/>
      <c r="I31" s="1"/>
      <c r="J31" s="1"/>
      <c r="K31" s="1"/>
      <c r="L31" s="1"/>
      <c r="M31" s="1"/>
      <c r="N31" s="18"/>
    </row>
    <row r="32" spans="2:14" ht="15" customHeight="1" x14ac:dyDescent="0.25">
      <c r="B32" s="20"/>
      <c r="C32" s="5" t="s">
        <v>84</v>
      </c>
      <c r="D32" s="6" t="s">
        <v>30</v>
      </c>
      <c r="E32" s="11">
        <v>1.6014E-2</v>
      </c>
      <c r="F32" s="1"/>
      <c r="G32" s="1"/>
      <c r="H32" s="1"/>
      <c r="I32" s="1"/>
      <c r="J32" s="1"/>
      <c r="K32" s="1"/>
      <c r="L32" s="1"/>
      <c r="M32" s="1"/>
      <c r="N32" s="18"/>
    </row>
    <row r="33" spans="2:14" ht="15" customHeight="1" x14ac:dyDescent="0.25">
      <c r="B33" s="20"/>
      <c r="C33" s="5" t="s">
        <v>76</v>
      </c>
      <c r="D33" s="6" t="s">
        <v>30</v>
      </c>
      <c r="E33" s="11">
        <v>1.5272000000000001E-2</v>
      </c>
      <c r="F33" s="1"/>
      <c r="G33" s="1"/>
      <c r="H33" s="1"/>
      <c r="I33" s="1"/>
      <c r="J33" s="1"/>
      <c r="K33" s="1"/>
      <c r="L33" s="1"/>
      <c r="M33" s="1"/>
      <c r="N33" s="18"/>
    </row>
    <row r="34" spans="2:14" ht="15" customHeight="1" x14ac:dyDescent="0.25">
      <c r="B34" s="20"/>
      <c r="C34" s="5" t="s">
        <v>85</v>
      </c>
      <c r="D34" s="6" t="s">
        <v>30</v>
      </c>
      <c r="E34" s="11">
        <v>1.4932000000000001E-2</v>
      </c>
      <c r="F34" s="1"/>
      <c r="G34" s="1"/>
      <c r="H34" s="1"/>
      <c r="I34" s="1"/>
      <c r="J34" s="1"/>
      <c r="K34" s="1"/>
      <c r="L34" s="1"/>
      <c r="M34" s="1"/>
      <c r="N34" s="18"/>
    </row>
    <row r="35" spans="2:14" ht="15" customHeight="1" x14ac:dyDescent="0.25">
      <c r="B35" s="20"/>
      <c r="C35" s="5" t="s">
        <v>86</v>
      </c>
      <c r="D35" s="6" t="s">
        <v>30</v>
      </c>
      <c r="E35" s="11">
        <v>1.2059E-2</v>
      </c>
      <c r="F35" s="1"/>
      <c r="G35" s="1"/>
      <c r="H35" s="1"/>
      <c r="I35" s="1"/>
      <c r="J35" s="1"/>
      <c r="K35" s="1"/>
      <c r="L35" s="1"/>
      <c r="M35" s="1"/>
      <c r="N35" s="18"/>
    </row>
    <row r="36" spans="2:14" ht="15" customHeight="1" x14ac:dyDescent="0.25">
      <c r="B36" s="20"/>
      <c r="C36" s="5" t="s">
        <v>87</v>
      </c>
      <c r="D36" s="6" t="s">
        <v>30</v>
      </c>
      <c r="E36" s="11">
        <v>8.9009999999999992E-3</v>
      </c>
      <c r="F36" s="1"/>
      <c r="G36" s="1"/>
      <c r="H36" s="1"/>
      <c r="I36" s="1"/>
      <c r="J36" s="1"/>
      <c r="K36" s="1"/>
      <c r="L36" s="1"/>
      <c r="M36" s="1"/>
      <c r="N36" s="18"/>
    </row>
    <row r="37" spans="2:14" ht="15" customHeight="1" x14ac:dyDescent="0.25">
      <c r="B37" s="20"/>
      <c r="C37" s="5" t="s">
        <v>78</v>
      </c>
      <c r="D37" s="6" t="s">
        <v>30</v>
      </c>
      <c r="E37" s="11">
        <v>7.0860000000000003E-3</v>
      </c>
      <c r="F37" s="1"/>
      <c r="G37" s="1"/>
      <c r="H37" s="1"/>
      <c r="I37" s="1"/>
      <c r="J37" s="1"/>
      <c r="K37" s="1"/>
      <c r="L37" s="1"/>
      <c r="M37" s="1"/>
      <c r="N37" s="18"/>
    </row>
    <row r="38" spans="2:14" ht="15" customHeight="1" x14ac:dyDescent="0.25">
      <c r="B38" s="20"/>
      <c r="C38" s="5" t="s">
        <v>43</v>
      </c>
      <c r="D38" s="6" t="s">
        <v>30</v>
      </c>
      <c r="E38" s="11">
        <v>6.4089999999999998E-3</v>
      </c>
      <c r="F38" s="1"/>
      <c r="G38" s="1"/>
      <c r="H38" s="1"/>
      <c r="I38" s="1"/>
      <c r="J38" s="1"/>
      <c r="K38" s="1"/>
      <c r="L38" s="1"/>
      <c r="M38" s="1"/>
      <c r="N38" s="18"/>
    </row>
    <row r="39" spans="2:14" ht="15" customHeight="1" x14ac:dyDescent="0.25">
      <c r="B39" s="20"/>
      <c r="C39" s="5" t="s">
        <v>34</v>
      </c>
      <c r="D39" s="6" t="s">
        <v>30</v>
      </c>
      <c r="E39" s="11">
        <v>4.3699999999999998E-3</v>
      </c>
      <c r="F39" s="1"/>
      <c r="G39" s="1"/>
      <c r="H39" s="1"/>
      <c r="I39" s="1"/>
      <c r="J39" s="1"/>
      <c r="K39" s="1"/>
      <c r="L39" s="1"/>
      <c r="M39" s="1"/>
      <c r="N39" s="18"/>
    </row>
    <row r="40" spans="2:14" ht="15" customHeight="1" x14ac:dyDescent="0.25">
      <c r="B40" s="20"/>
      <c r="C40" s="5" t="s">
        <v>42</v>
      </c>
      <c r="D40" s="6" t="s">
        <v>30</v>
      </c>
      <c r="E40" s="11">
        <v>3.5720000000000001E-3</v>
      </c>
      <c r="F40" s="1"/>
      <c r="G40" s="1"/>
      <c r="H40" s="1"/>
      <c r="I40" s="1"/>
      <c r="J40" s="1"/>
      <c r="K40" s="1"/>
      <c r="L40" s="1"/>
      <c r="M40" s="1"/>
      <c r="N40" s="18"/>
    </row>
    <row r="41" spans="2:14" ht="15" customHeight="1" x14ac:dyDescent="0.25">
      <c r="B41" s="20"/>
      <c r="C41" s="5" t="s">
        <v>44</v>
      </c>
      <c r="D41" s="6" t="s">
        <v>30</v>
      </c>
      <c r="E41" s="11">
        <v>1.684E-3</v>
      </c>
      <c r="F41" s="1"/>
      <c r="G41" s="1"/>
      <c r="H41" s="1"/>
      <c r="I41" s="1"/>
      <c r="J41" s="1"/>
      <c r="K41" s="1"/>
      <c r="L41" s="1"/>
      <c r="M41" s="1"/>
      <c r="N41" s="18"/>
    </row>
    <row r="42" spans="2:14" ht="15" customHeight="1" x14ac:dyDescent="0.25">
      <c r="B42" s="20"/>
      <c r="C42" s="5" t="s">
        <v>88</v>
      </c>
      <c r="D42" s="6" t="s">
        <v>30</v>
      </c>
      <c r="E42" s="11">
        <v>1.083E-3</v>
      </c>
      <c r="F42" s="1"/>
      <c r="G42" s="1"/>
      <c r="H42" s="1"/>
      <c r="I42" s="1"/>
      <c r="J42" s="1"/>
      <c r="K42" s="1"/>
      <c r="L42" s="1"/>
      <c r="M42" s="1"/>
      <c r="N42" s="18"/>
    </row>
    <row r="43" spans="2:14" ht="15.75" customHeight="1" x14ac:dyDescent="0.25">
      <c r="B43" s="20"/>
      <c r="C43" s="7" t="s">
        <v>46</v>
      </c>
      <c r="D43" s="8"/>
      <c r="E43" s="12">
        <v>0.70523199999999997</v>
      </c>
      <c r="F43" s="1"/>
      <c r="G43" s="1"/>
      <c r="H43" s="1"/>
      <c r="I43" s="1"/>
      <c r="J43" s="1"/>
      <c r="K43" s="1"/>
      <c r="L43" s="1"/>
      <c r="M43" s="1"/>
      <c r="N43" s="18"/>
    </row>
    <row r="44" spans="2:14" ht="15" customHeight="1" x14ac:dyDescent="0.25">
      <c r="B44" s="20"/>
      <c r="C44" s="5" t="s">
        <v>47</v>
      </c>
      <c r="D44" s="6"/>
      <c r="E44" s="11">
        <v>2.7690000000000002E-3</v>
      </c>
      <c r="F44" s="1"/>
      <c r="G44" s="1"/>
      <c r="H44" s="1"/>
      <c r="I44" s="1"/>
      <c r="J44" s="1"/>
      <c r="K44" s="1"/>
      <c r="L44" s="1"/>
      <c r="M44" s="1"/>
      <c r="N44" s="18"/>
    </row>
    <row r="45" spans="2:14" ht="15.75" customHeight="1" x14ac:dyDescent="0.25">
      <c r="B45" s="20"/>
      <c r="C45" s="7" t="s">
        <v>48</v>
      </c>
      <c r="D45" s="8"/>
      <c r="E45" s="12">
        <v>2.7690000000000002E-3</v>
      </c>
      <c r="F45" s="1"/>
      <c r="G45" s="1"/>
      <c r="H45" s="1"/>
      <c r="I45" s="1"/>
      <c r="J45" s="1"/>
      <c r="K45" s="1"/>
      <c r="L45" s="1"/>
      <c r="M45" s="1"/>
      <c r="N45" s="18"/>
    </row>
    <row r="46" spans="2:14" ht="15" customHeight="1" x14ac:dyDescent="0.25">
      <c r="B46" s="20"/>
      <c r="C46" s="5" t="s">
        <v>226</v>
      </c>
      <c r="D46" s="6" t="s">
        <v>178</v>
      </c>
      <c r="E46" s="11">
        <v>4.3109999999999997E-3</v>
      </c>
      <c r="F46" s="1"/>
      <c r="G46" s="1"/>
      <c r="H46" s="1"/>
      <c r="I46" s="1"/>
      <c r="J46" s="1"/>
      <c r="K46" s="1"/>
      <c r="L46" s="1"/>
      <c r="M46" s="1"/>
      <c r="N46" s="18"/>
    </row>
    <row r="47" spans="2:14" ht="15" customHeight="1" x14ac:dyDescent="0.25">
      <c r="B47" s="20"/>
      <c r="C47" s="5" t="s">
        <v>229</v>
      </c>
      <c r="D47" s="6" t="s">
        <v>178</v>
      </c>
      <c r="E47" s="11">
        <v>3.5899999999999999E-3</v>
      </c>
      <c r="F47" s="1"/>
      <c r="G47" s="1"/>
      <c r="H47" s="1"/>
      <c r="I47" s="1"/>
      <c r="J47" s="1"/>
      <c r="K47" s="1"/>
      <c r="L47" s="1"/>
      <c r="M47" s="1"/>
      <c r="N47" s="18"/>
    </row>
    <row r="48" spans="2:14" ht="15" customHeight="1" x14ac:dyDescent="0.25">
      <c r="B48" s="20"/>
      <c r="C48" s="5" t="s">
        <v>231</v>
      </c>
      <c r="D48" s="6" t="s">
        <v>178</v>
      </c>
      <c r="E48" s="11">
        <v>3.029E-3</v>
      </c>
      <c r="F48" s="1"/>
      <c r="G48" s="1"/>
      <c r="H48" s="1"/>
      <c r="I48" s="1"/>
      <c r="J48" s="1"/>
      <c r="K48" s="1"/>
      <c r="L48" s="1"/>
      <c r="M48" s="1"/>
      <c r="N48" s="18"/>
    </row>
    <row r="49" spans="2:14" ht="15" customHeight="1" x14ac:dyDescent="0.25">
      <c r="B49" s="20"/>
      <c r="C49" s="5" t="s">
        <v>225</v>
      </c>
      <c r="D49" s="6" t="s">
        <v>178</v>
      </c>
      <c r="E49" s="11">
        <v>2.5089999999999999E-3</v>
      </c>
      <c r="F49" s="1"/>
      <c r="G49" s="1"/>
      <c r="H49" s="1"/>
      <c r="I49" s="1"/>
      <c r="J49" s="1"/>
      <c r="K49" s="1"/>
      <c r="L49" s="1"/>
      <c r="M49" s="1"/>
      <c r="N49" s="18"/>
    </row>
    <row r="50" spans="2:14" ht="15" customHeight="1" x14ac:dyDescent="0.25">
      <c r="B50" s="20"/>
      <c r="C50" s="5" t="s">
        <v>220</v>
      </c>
      <c r="D50" s="6" t="s">
        <v>178</v>
      </c>
      <c r="E50" s="11">
        <v>2.5019999999999999E-3</v>
      </c>
      <c r="F50" s="1"/>
      <c r="G50" s="1"/>
      <c r="H50" s="1"/>
      <c r="I50" s="1"/>
      <c r="J50" s="1"/>
      <c r="K50" s="1"/>
      <c r="L50" s="1"/>
      <c r="M50" s="1"/>
      <c r="N50" s="18"/>
    </row>
    <row r="51" spans="2:14" ht="15" customHeight="1" x14ac:dyDescent="0.25">
      <c r="B51" s="20"/>
      <c r="C51" s="5" t="s">
        <v>221</v>
      </c>
      <c r="D51" s="6" t="s">
        <v>178</v>
      </c>
      <c r="E51" s="11">
        <v>2.1450000000000002E-3</v>
      </c>
      <c r="F51" s="1"/>
      <c r="G51" s="1"/>
      <c r="H51" s="1"/>
      <c r="I51" s="1"/>
      <c r="J51" s="1"/>
      <c r="K51" s="1"/>
      <c r="L51" s="1"/>
      <c r="M51" s="1"/>
      <c r="N51" s="18"/>
    </row>
    <row r="52" spans="2:14" ht="15" customHeight="1" x14ac:dyDescent="0.25">
      <c r="B52" s="20"/>
      <c r="C52" s="5" t="s">
        <v>228</v>
      </c>
      <c r="D52" s="6" t="s">
        <v>178</v>
      </c>
      <c r="E52" s="11">
        <v>1.436E-3</v>
      </c>
      <c r="F52" s="1"/>
      <c r="G52" s="1"/>
      <c r="H52" s="1"/>
      <c r="I52" s="1"/>
      <c r="J52" s="1"/>
      <c r="K52" s="1"/>
      <c r="L52" s="1"/>
      <c r="M52" s="1"/>
      <c r="N52" s="18"/>
    </row>
    <row r="53" spans="2:14" ht="15" customHeight="1" x14ac:dyDescent="0.25">
      <c r="B53" s="20"/>
      <c r="C53" s="5" t="s">
        <v>230</v>
      </c>
      <c r="D53" s="6" t="s">
        <v>178</v>
      </c>
      <c r="E53" s="11">
        <v>1.4339999999999999E-3</v>
      </c>
      <c r="F53" s="1"/>
      <c r="G53" s="1"/>
      <c r="H53" s="1"/>
      <c r="I53" s="1"/>
      <c r="J53" s="1"/>
      <c r="K53" s="1"/>
      <c r="L53" s="1"/>
      <c r="M53" s="1"/>
      <c r="N53" s="18"/>
    </row>
    <row r="54" spans="2:14" ht="15" customHeight="1" x14ac:dyDescent="0.25">
      <c r="B54" s="20"/>
      <c r="C54" s="5" t="s">
        <v>219</v>
      </c>
      <c r="D54" s="6" t="s">
        <v>178</v>
      </c>
      <c r="E54" s="11">
        <v>1.4289999999999999E-3</v>
      </c>
      <c r="F54" s="1"/>
      <c r="G54" s="1"/>
      <c r="H54" s="1"/>
      <c r="I54" s="1"/>
      <c r="J54" s="1"/>
      <c r="K54" s="1"/>
      <c r="L54" s="1"/>
      <c r="M54" s="1"/>
      <c r="N54" s="18"/>
    </row>
    <row r="55" spans="2:14" ht="15" customHeight="1" x14ac:dyDescent="0.25">
      <c r="B55" s="20"/>
      <c r="C55" s="5" t="s">
        <v>224</v>
      </c>
      <c r="D55" s="6" t="s">
        <v>178</v>
      </c>
      <c r="E55" s="11">
        <v>1.075E-3</v>
      </c>
      <c r="F55" s="1"/>
      <c r="G55" s="1"/>
      <c r="H55" s="1"/>
      <c r="I55" s="1"/>
      <c r="J55" s="1"/>
      <c r="K55" s="1"/>
      <c r="L55" s="1"/>
      <c r="M55" s="1"/>
      <c r="N55" s="18"/>
    </row>
    <row r="56" spans="2:14" ht="15" customHeight="1" x14ac:dyDescent="0.25">
      <c r="B56" s="20"/>
      <c r="C56" s="5" t="s">
        <v>197</v>
      </c>
      <c r="D56" s="6" t="s">
        <v>178</v>
      </c>
      <c r="E56" s="11">
        <v>7.1900000000000002E-4</v>
      </c>
      <c r="F56" s="1"/>
      <c r="G56" s="1"/>
      <c r="H56" s="1"/>
      <c r="I56" s="1"/>
      <c r="J56" s="1"/>
      <c r="K56" s="1"/>
      <c r="L56" s="1"/>
      <c r="M56" s="1"/>
      <c r="N56" s="18"/>
    </row>
    <row r="57" spans="2:14" ht="15" customHeight="1" x14ac:dyDescent="0.25">
      <c r="B57" s="20"/>
      <c r="C57" s="5" t="s">
        <v>222</v>
      </c>
      <c r="D57" s="6" t="s">
        <v>178</v>
      </c>
      <c r="E57" s="11">
        <v>7.1699999999999997E-4</v>
      </c>
      <c r="F57" s="1"/>
      <c r="G57" s="1"/>
      <c r="H57" s="1"/>
      <c r="I57" s="1"/>
      <c r="J57" s="1"/>
      <c r="K57" s="1"/>
      <c r="L57" s="1"/>
      <c r="M57" s="1"/>
      <c r="N57" s="18"/>
    </row>
    <row r="58" spans="2:14" ht="15" customHeight="1" x14ac:dyDescent="0.25">
      <c r="B58" s="20"/>
      <c r="C58" s="5" t="s">
        <v>223</v>
      </c>
      <c r="D58" s="6" t="s">
        <v>178</v>
      </c>
      <c r="E58" s="11">
        <v>7.1699999999999997E-4</v>
      </c>
      <c r="F58" s="1"/>
      <c r="G58" s="1"/>
      <c r="H58" s="1"/>
      <c r="I58" s="1"/>
      <c r="J58" s="1"/>
      <c r="K58" s="1"/>
      <c r="L58" s="1"/>
      <c r="M58" s="1"/>
      <c r="N58" s="18"/>
    </row>
    <row r="59" spans="2:14" ht="15" customHeight="1" x14ac:dyDescent="0.25">
      <c r="B59" s="20"/>
      <c r="C59" s="5" t="s">
        <v>227</v>
      </c>
      <c r="D59" s="6" t="s">
        <v>178</v>
      </c>
      <c r="E59" s="11">
        <v>7.1400000000000001E-4</v>
      </c>
      <c r="F59" s="1"/>
      <c r="G59" s="1"/>
      <c r="H59" s="1"/>
      <c r="I59" s="1"/>
      <c r="J59" s="1"/>
      <c r="K59" s="1"/>
      <c r="L59" s="1"/>
      <c r="M59" s="1"/>
      <c r="N59" s="18"/>
    </row>
    <row r="60" spans="2:14" ht="15" customHeight="1" x14ac:dyDescent="0.25">
      <c r="B60" s="20"/>
      <c r="C60" s="5" t="s">
        <v>232</v>
      </c>
      <c r="D60" s="6" t="s">
        <v>178</v>
      </c>
      <c r="E60" s="11">
        <v>1.74E-4</v>
      </c>
      <c r="F60" s="1"/>
      <c r="G60" s="1"/>
      <c r="H60" s="1"/>
      <c r="I60" s="1"/>
      <c r="J60" s="1"/>
      <c r="K60" s="1"/>
      <c r="L60" s="1"/>
      <c r="M60" s="1"/>
      <c r="N60" s="18"/>
    </row>
    <row r="61" spans="2:14" ht="15.75" customHeight="1" x14ac:dyDescent="0.25">
      <c r="B61" s="20"/>
      <c r="C61" s="7" t="s">
        <v>51</v>
      </c>
      <c r="D61" s="8"/>
      <c r="E61" s="12">
        <v>2.6501E-2</v>
      </c>
      <c r="F61" s="1"/>
      <c r="G61" s="1"/>
      <c r="H61" s="1"/>
      <c r="I61" s="1"/>
      <c r="J61" s="1"/>
      <c r="K61" s="1"/>
      <c r="L61" s="1"/>
      <c r="M61" s="1"/>
      <c r="N61" s="18"/>
    </row>
    <row r="62" spans="2:14" ht="15" customHeight="1" x14ac:dyDescent="0.25">
      <c r="B62" s="20"/>
      <c r="C62" s="5" t="s">
        <v>89</v>
      </c>
      <c r="D62" s="6" t="s">
        <v>178</v>
      </c>
      <c r="E62" s="11">
        <v>5.6272000000000003E-2</v>
      </c>
      <c r="F62" s="1"/>
      <c r="G62" s="1"/>
      <c r="H62" s="1"/>
      <c r="I62" s="1"/>
      <c r="J62" s="1"/>
      <c r="K62" s="1"/>
      <c r="L62" s="1"/>
      <c r="M62" s="1"/>
      <c r="N62" s="18"/>
    </row>
    <row r="63" spans="2:14" ht="15" customHeight="1" x14ac:dyDescent="0.25">
      <c r="B63" s="20"/>
      <c r="C63" s="5" t="s">
        <v>90</v>
      </c>
      <c r="D63" s="6" t="s">
        <v>178</v>
      </c>
      <c r="E63" s="11">
        <v>8.8039999999999993E-3</v>
      </c>
      <c r="F63" s="1"/>
      <c r="G63" s="1"/>
      <c r="H63" s="1"/>
      <c r="I63" s="1"/>
      <c r="J63" s="1"/>
      <c r="K63" s="1"/>
      <c r="L63" s="1"/>
      <c r="M63" s="1"/>
      <c r="N63" s="18"/>
    </row>
    <row r="64" spans="2:14" ht="15" customHeight="1" x14ac:dyDescent="0.25">
      <c r="B64" s="20"/>
      <c r="C64" s="5" t="s">
        <v>91</v>
      </c>
      <c r="D64" s="6" t="s">
        <v>178</v>
      </c>
      <c r="E64" s="11">
        <v>7.0239999999999999E-3</v>
      </c>
      <c r="F64" s="1"/>
      <c r="G64" s="1"/>
      <c r="H64" s="1"/>
      <c r="I64" s="1"/>
      <c r="J64" s="1"/>
      <c r="K64" s="1"/>
      <c r="L64" s="1"/>
      <c r="M64" s="1"/>
      <c r="N64" s="18"/>
    </row>
    <row r="65" spans="2:14" ht="15.75" customHeight="1" x14ac:dyDescent="0.25">
      <c r="B65" s="20"/>
      <c r="C65" s="7" t="s">
        <v>92</v>
      </c>
      <c r="D65" s="8"/>
      <c r="E65" s="12">
        <v>7.2099999999999997E-2</v>
      </c>
      <c r="F65" s="1"/>
      <c r="G65" s="1"/>
      <c r="H65" s="1"/>
      <c r="I65" s="1"/>
      <c r="J65" s="1"/>
      <c r="K65" s="1"/>
      <c r="L65" s="1"/>
      <c r="M65" s="1"/>
      <c r="N65" s="18"/>
    </row>
    <row r="66" spans="2:14" ht="15" customHeight="1" x14ac:dyDescent="0.25">
      <c r="B66" s="20"/>
      <c r="C66" s="5" t="s">
        <v>8</v>
      </c>
      <c r="D66" s="6"/>
      <c r="E66" s="11">
        <v>1.3231E-2</v>
      </c>
      <c r="F66" s="1"/>
      <c r="G66" s="1"/>
      <c r="H66" s="1"/>
      <c r="I66" s="1"/>
      <c r="J66" s="1"/>
      <c r="K66" s="1"/>
      <c r="L66" s="1"/>
      <c r="M66" s="1"/>
      <c r="N66" s="18"/>
    </row>
    <row r="67" spans="2:14" ht="15.75" customHeight="1" x14ac:dyDescent="0.25">
      <c r="B67" s="20"/>
      <c r="C67" s="7" t="s">
        <v>9</v>
      </c>
      <c r="D67" s="8"/>
      <c r="E67" s="12">
        <v>1.3231E-2</v>
      </c>
      <c r="F67" s="1"/>
      <c r="G67" s="1"/>
      <c r="H67" s="1"/>
      <c r="I67" s="1"/>
      <c r="J67" s="1"/>
      <c r="K67" s="1"/>
      <c r="L67" s="1"/>
      <c r="M67" s="1"/>
      <c r="N67" s="18"/>
    </row>
    <row r="68" spans="2:14" ht="15" customHeight="1" x14ac:dyDescent="0.25">
      <c r="B68" s="20"/>
      <c r="C68" s="5" t="s">
        <v>78</v>
      </c>
      <c r="D68" s="6" t="s">
        <v>30</v>
      </c>
      <c r="E68" s="11">
        <v>2.8419999999999999E-3</v>
      </c>
      <c r="F68" s="1"/>
      <c r="G68" s="1"/>
      <c r="H68" s="1"/>
      <c r="I68" s="1"/>
      <c r="J68" s="1"/>
      <c r="K68" s="1"/>
      <c r="L68" s="1"/>
      <c r="M68" s="1"/>
      <c r="N68" s="18"/>
    </row>
    <row r="69" spans="2:14" ht="15.75" customHeight="1" x14ac:dyDescent="0.25">
      <c r="B69" s="20"/>
      <c r="C69" s="7" t="s">
        <v>93</v>
      </c>
      <c r="D69" s="8"/>
      <c r="E69" s="12">
        <v>2.8419999999999999E-3</v>
      </c>
      <c r="F69" s="1"/>
      <c r="G69" s="1"/>
      <c r="H69" s="1"/>
      <c r="I69" s="1"/>
      <c r="J69" s="1"/>
      <c r="K69" s="1"/>
      <c r="L69" s="1"/>
      <c r="M69" s="1"/>
      <c r="N69" s="18"/>
    </row>
    <row r="70" spans="2:14" ht="15" customHeight="1" x14ac:dyDescent="0.25">
      <c r="B70" s="20"/>
      <c r="C70" s="5"/>
      <c r="D70" s="6"/>
      <c r="E70" s="11"/>
      <c r="F70" s="1"/>
      <c r="G70" s="1"/>
      <c r="H70" s="1"/>
      <c r="I70" s="1"/>
      <c r="J70" s="1"/>
      <c r="K70" s="1"/>
      <c r="L70" s="1"/>
      <c r="M70" s="1"/>
      <c r="N70" s="18"/>
    </row>
    <row r="71" spans="2:14" ht="15.75" customHeight="1" x14ac:dyDescent="0.25">
      <c r="B71" s="20"/>
      <c r="C71" s="7" t="s">
        <v>10</v>
      </c>
      <c r="D71" s="8"/>
      <c r="E71" s="12">
        <v>3.2045999999999998E-2</v>
      </c>
      <c r="F71" s="1"/>
      <c r="G71" s="1"/>
      <c r="H71" s="1"/>
      <c r="I71" s="1"/>
      <c r="J71" s="1"/>
      <c r="K71" s="1"/>
      <c r="L71" s="1"/>
      <c r="M71" s="1"/>
      <c r="N71" s="18"/>
    </row>
    <row r="72" spans="2:14" ht="15" customHeight="1" x14ac:dyDescent="0.25">
      <c r="B72" s="20"/>
      <c r="C72" s="5"/>
      <c r="D72" s="6"/>
      <c r="E72" s="11"/>
      <c r="F72" s="1"/>
      <c r="G72" s="1"/>
      <c r="H72" s="1"/>
      <c r="I72" s="1"/>
      <c r="J72" s="1"/>
      <c r="K72" s="1"/>
      <c r="L72" s="1"/>
      <c r="M72" s="1"/>
      <c r="N72" s="18"/>
    </row>
    <row r="73" spans="2:14" ht="15" customHeight="1" x14ac:dyDescent="0.25">
      <c r="B73" s="20"/>
      <c r="C73" s="9" t="s">
        <v>11</v>
      </c>
      <c r="D73" s="10"/>
      <c r="E73" s="13">
        <v>1</v>
      </c>
      <c r="F73" s="1"/>
      <c r="G73" s="1"/>
      <c r="H73" s="1"/>
      <c r="I73" s="1"/>
      <c r="J73" s="1"/>
      <c r="K73" s="1"/>
      <c r="L73" s="1"/>
      <c r="M73" s="1"/>
      <c r="N73" s="18"/>
    </row>
    <row r="74" spans="2:14" ht="15" customHeight="1" x14ac:dyDescent="0.25">
      <c r="B74" s="20"/>
      <c r="C74" s="1"/>
      <c r="D74" s="1"/>
      <c r="E74" s="1"/>
      <c r="F74" s="1"/>
      <c r="G74" s="1"/>
      <c r="H74" s="1"/>
      <c r="I74" s="1"/>
      <c r="J74" s="1"/>
      <c r="K74" s="1"/>
      <c r="L74" s="1"/>
      <c r="M74" s="1"/>
      <c r="N74" s="18"/>
    </row>
    <row r="75" spans="2:14" ht="15" customHeight="1" thickBot="1" x14ac:dyDescent="0.3">
      <c r="B75" s="21"/>
      <c r="C75" s="22"/>
      <c r="D75" s="22"/>
      <c r="E75" s="22"/>
      <c r="F75" s="22"/>
      <c r="G75" s="22"/>
      <c r="H75" s="22"/>
      <c r="I75" s="22"/>
      <c r="J75" s="22"/>
      <c r="K75" s="22"/>
      <c r="L75" s="22"/>
      <c r="M75" s="22"/>
      <c r="N75" s="23"/>
    </row>
    <row r="76" spans="2:14" ht="15" customHeight="1" thickBot="1" x14ac:dyDescent="0.3"/>
    <row r="77" spans="2:14" ht="15" customHeight="1" x14ac:dyDescent="0.25">
      <c r="B77" s="70" t="s">
        <v>288</v>
      </c>
      <c r="C77" s="71"/>
      <c r="D77" s="71"/>
      <c r="E77" s="71"/>
      <c r="F77" s="71"/>
      <c r="G77" s="71"/>
      <c r="H77" s="71"/>
      <c r="I77" s="71"/>
      <c r="J77" s="71"/>
      <c r="K77" s="71"/>
      <c r="L77" s="71"/>
      <c r="M77" s="71"/>
      <c r="N77" s="72"/>
    </row>
    <row r="78" spans="2:14" ht="15" customHeight="1" x14ac:dyDescent="0.25">
      <c r="B78" s="73"/>
      <c r="C78" s="74"/>
      <c r="D78" s="74"/>
      <c r="E78" s="74"/>
      <c r="F78" s="74"/>
      <c r="G78" s="74"/>
      <c r="H78" s="74"/>
      <c r="I78" s="74"/>
      <c r="J78" s="74"/>
      <c r="K78" s="74"/>
      <c r="L78" s="74"/>
      <c r="M78" s="74"/>
      <c r="N78" s="75"/>
    </row>
    <row r="79" spans="2:14" ht="15" customHeight="1" x14ac:dyDescent="0.25">
      <c r="B79" s="73"/>
      <c r="C79" s="74"/>
      <c r="D79" s="74"/>
      <c r="E79" s="74"/>
      <c r="F79" s="74"/>
      <c r="G79" s="74"/>
      <c r="H79" s="74"/>
      <c r="I79" s="74"/>
      <c r="J79" s="74"/>
      <c r="K79" s="74"/>
      <c r="L79" s="74"/>
      <c r="M79" s="74"/>
      <c r="N79" s="75"/>
    </row>
    <row r="80" spans="2:14" ht="15" customHeight="1" thickBot="1" x14ac:dyDescent="0.3">
      <c r="B80" s="76"/>
      <c r="C80" s="77"/>
      <c r="D80" s="77"/>
      <c r="E80" s="77"/>
      <c r="F80" s="77"/>
      <c r="G80" s="77"/>
      <c r="H80" s="77"/>
      <c r="I80" s="77"/>
      <c r="J80" s="77"/>
      <c r="K80" s="77"/>
      <c r="L80" s="77"/>
      <c r="M80" s="77"/>
      <c r="N80" s="78"/>
    </row>
    <row r="81" spans="2:14" ht="15" customHeight="1" thickBot="1" x14ac:dyDescent="0.3"/>
    <row r="82" spans="2:14" ht="130.5" customHeight="1" thickBot="1" x14ac:dyDescent="0.3">
      <c r="B82" s="67" t="s">
        <v>291</v>
      </c>
      <c r="C82" s="68"/>
      <c r="D82" s="68"/>
      <c r="E82" s="68"/>
      <c r="F82" s="68"/>
      <c r="G82" s="68"/>
      <c r="H82" s="68"/>
      <c r="I82" s="68"/>
      <c r="J82" s="68"/>
      <c r="K82" s="68"/>
      <c r="L82" s="68"/>
      <c r="M82" s="68"/>
      <c r="N82" s="69"/>
    </row>
    <row r="83" spans="2:14" ht="15" customHeight="1" x14ac:dyDescent="0.25"/>
    <row r="84" spans="2:14" ht="15" customHeight="1" x14ac:dyDescent="0.25"/>
    <row r="85" spans="2:14" ht="15" customHeight="1" x14ac:dyDescent="0.25"/>
    <row r="86" spans="2:14" ht="15" customHeight="1" x14ac:dyDescent="0.25"/>
    <row r="87" spans="2:14" ht="15" customHeight="1" x14ac:dyDescent="0.25"/>
    <row r="88" spans="2:14" ht="15" customHeight="1" x14ac:dyDescent="0.25"/>
    <row r="89" spans="2:14" ht="15" customHeight="1" x14ac:dyDescent="0.25"/>
    <row r="90" spans="2:14" ht="15" customHeight="1" x14ac:dyDescent="0.25"/>
    <row r="91" spans="2:14" ht="15" customHeight="1" x14ac:dyDescent="0.25"/>
    <row r="92" spans="2:14" ht="15" customHeight="1" x14ac:dyDescent="0.25"/>
    <row r="93" spans="2:14" ht="15" customHeight="1" x14ac:dyDescent="0.25"/>
    <row r="94" spans="2:14" ht="15" customHeight="1" x14ac:dyDescent="0.25"/>
    <row r="95" spans="2:14" ht="15" customHeight="1" x14ac:dyDescent="0.25"/>
    <row r="96" spans="2:14" ht="15" customHeight="1" x14ac:dyDescent="0.25"/>
    <row r="97" ht="15" customHeight="1" x14ac:dyDescent="0.25"/>
  </sheetData>
  <sortState ref="C46:E60">
    <sortCondition descending="1" ref="E46"/>
  </sortState>
  <mergeCells count="7">
    <mergeCell ref="B77:N80"/>
    <mergeCell ref="B82:N82"/>
    <mergeCell ref="C3:N3"/>
    <mergeCell ref="D5:E5"/>
    <mergeCell ref="G7:N7"/>
    <mergeCell ref="G24:K24"/>
    <mergeCell ref="G26:N2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EC2F3-2331-41C0-99A4-A95E15C853DE}">
  <dimension ref="B1:N55"/>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12.5703125" bestFit="1"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9" t="s">
        <v>292</v>
      </c>
      <c r="D3" s="80"/>
      <c r="E3" s="80"/>
      <c r="F3" s="80"/>
      <c r="G3" s="80"/>
      <c r="H3" s="80"/>
      <c r="I3" s="80"/>
      <c r="J3" s="80"/>
      <c r="K3" s="80"/>
      <c r="L3" s="80"/>
      <c r="M3" s="80"/>
      <c r="N3" s="81"/>
    </row>
    <row r="4" spans="2:14" ht="15.75" customHeight="1" x14ac:dyDescent="0.25">
      <c r="B4" s="20"/>
      <c r="C4" s="14"/>
      <c r="D4" s="1"/>
      <c r="E4" s="1"/>
      <c r="F4" s="1"/>
      <c r="G4" s="1"/>
      <c r="H4" s="1"/>
      <c r="I4" s="1"/>
      <c r="J4" s="1"/>
      <c r="K4" s="1"/>
      <c r="L4" s="1"/>
      <c r="M4" s="1"/>
      <c r="N4" s="18"/>
    </row>
    <row r="5" spans="2:14" ht="18" customHeight="1" x14ac:dyDescent="0.25">
      <c r="B5" s="20"/>
      <c r="C5" s="15" t="s">
        <v>1</v>
      </c>
      <c r="D5" s="82" t="s">
        <v>141</v>
      </c>
      <c r="E5" s="8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4" t="s">
        <v>16</v>
      </c>
      <c r="H7" s="85"/>
      <c r="I7" s="85"/>
      <c r="J7" s="85"/>
      <c r="K7" s="85"/>
      <c r="L7" s="85"/>
      <c r="M7" s="85"/>
      <c r="N7" s="86"/>
    </row>
    <row r="8" spans="2:14" ht="15" customHeight="1" x14ac:dyDescent="0.25">
      <c r="B8" s="20"/>
      <c r="C8" s="5" t="s">
        <v>21</v>
      </c>
      <c r="D8" s="6" t="s">
        <v>22</v>
      </c>
      <c r="E8" s="11">
        <v>0.117229</v>
      </c>
      <c r="F8" s="1"/>
      <c r="G8" s="30" t="s">
        <v>15</v>
      </c>
      <c r="H8" s="33">
        <f>100%-H9</f>
        <v>0.90497899999999998</v>
      </c>
      <c r="I8" s="30"/>
      <c r="J8" s="30" t="s">
        <v>12</v>
      </c>
      <c r="K8" s="30" t="s">
        <v>5</v>
      </c>
      <c r="L8" s="30"/>
      <c r="M8" s="1"/>
      <c r="N8" s="18"/>
    </row>
    <row r="9" spans="2:14" ht="15" customHeight="1" x14ac:dyDescent="0.25">
      <c r="B9" s="20"/>
      <c r="C9" s="5" t="s">
        <v>23</v>
      </c>
      <c r="D9" s="6" t="s">
        <v>22</v>
      </c>
      <c r="E9" s="11">
        <v>0.115635</v>
      </c>
      <c r="F9" s="1"/>
      <c r="G9" s="30" t="s">
        <v>113</v>
      </c>
      <c r="H9" s="33">
        <v>9.5020999999999994E-2</v>
      </c>
      <c r="I9" s="30"/>
      <c r="J9" s="30" t="s">
        <v>10</v>
      </c>
      <c r="K9" s="33">
        <v>1.023E-2</v>
      </c>
      <c r="L9" s="30"/>
      <c r="M9" s="1"/>
      <c r="N9" s="18"/>
    </row>
    <row r="10" spans="2:14" ht="15" customHeight="1" x14ac:dyDescent="0.25">
      <c r="B10" s="20"/>
      <c r="C10" s="5" t="s">
        <v>25</v>
      </c>
      <c r="D10" s="6" t="s">
        <v>22</v>
      </c>
      <c r="E10" s="11">
        <v>4.6967000000000002E-2</v>
      </c>
      <c r="F10" s="1"/>
      <c r="G10" s="30"/>
      <c r="H10" s="30"/>
      <c r="I10" s="30"/>
      <c r="J10" s="30" t="s">
        <v>13</v>
      </c>
      <c r="K10" s="33">
        <v>1.5027E-2</v>
      </c>
      <c r="L10" s="30"/>
      <c r="M10" s="1"/>
      <c r="N10" s="18"/>
    </row>
    <row r="11" spans="2:14" ht="15.75" customHeight="1" x14ac:dyDescent="0.25">
      <c r="B11" s="20"/>
      <c r="C11" s="7" t="s">
        <v>27</v>
      </c>
      <c r="D11" s="8"/>
      <c r="E11" s="12">
        <v>0.279831</v>
      </c>
      <c r="F11" s="1"/>
      <c r="G11" s="30"/>
      <c r="H11" s="30"/>
      <c r="I11" s="30"/>
      <c r="J11" s="30" t="s">
        <v>52</v>
      </c>
      <c r="K11" s="33">
        <v>0.279831</v>
      </c>
      <c r="L11" s="30"/>
      <c r="M11" s="1"/>
      <c r="N11" s="18"/>
    </row>
    <row r="12" spans="2:14" ht="15" customHeight="1" x14ac:dyDescent="0.25">
      <c r="B12" s="20"/>
      <c r="C12" s="5" t="s">
        <v>29</v>
      </c>
      <c r="D12" s="6" t="s">
        <v>22</v>
      </c>
      <c r="E12" s="11">
        <v>7.1013000000000007E-2</v>
      </c>
      <c r="F12" s="1"/>
      <c r="G12" s="30"/>
      <c r="H12" s="30"/>
      <c r="I12" s="30"/>
      <c r="J12" s="30" t="s">
        <v>53</v>
      </c>
      <c r="K12" s="33">
        <v>0.491004</v>
      </c>
      <c r="L12" s="30"/>
      <c r="M12" s="1"/>
      <c r="N12" s="18"/>
    </row>
    <row r="13" spans="2:14" ht="15" customHeight="1" x14ac:dyDescent="0.25">
      <c r="B13" s="20"/>
      <c r="C13" s="5" t="s">
        <v>33</v>
      </c>
      <c r="D13" s="6" t="s">
        <v>22</v>
      </c>
      <c r="E13" s="11">
        <v>2.3439999999999999E-2</v>
      </c>
      <c r="F13" s="1"/>
      <c r="G13" s="30"/>
      <c r="H13" s="30"/>
      <c r="I13" s="30"/>
      <c r="J13" s="30" t="s">
        <v>54</v>
      </c>
      <c r="K13" s="33">
        <v>9.4452999999999995E-2</v>
      </c>
      <c r="L13" s="30"/>
      <c r="M13" s="1"/>
      <c r="N13" s="18"/>
    </row>
    <row r="14" spans="2:14" ht="15.75" customHeight="1" x14ac:dyDescent="0.25">
      <c r="B14" s="20"/>
      <c r="C14" s="7" t="s">
        <v>28</v>
      </c>
      <c r="D14" s="8"/>
      <c r="E14" s="12">
        <v>9.4452999999999995E-2</v>
      </c>
      <c r="F14" s="1"/>
      <c r="G14" s="30"/>
      <c r="H14" s="30"/>
      <c r="I14" s="30"/>
      <c r="J14" s="30" t="s">
        <v>47</v>
      </c>
      <c r="K14" s="33">
        <v>4.1859999999999996E-3</v>
      </c>
      <c r="L14" s="30"/>
      <c r="M14" s="1"/>
      <c r="N14" s="18"/>
    </row>
    <row r="15" spans="2:14" ht="15" customHeight="1" x14ac:dyDescent="0.25">
      <c r="B15" s="20"/>
      <c r="C15" s="5" t="s">
        <v>32</v>
      </c>
      <c r="D15" s="6" t="s">
        <v>30</v>
      </c>
      <c r="E15" s="11">
        <v>0.11315500000000001</v>
      </c>
      <c r="F15" s="1"/>
      <c r="G15" s="30"/>
      <c r="H15" s="30"/>
      <c r="I15" s="30"/>
      <c r="J15" s="30" t="s">
        <v>55</v>
      </c>
      <c r="K15" s="33">
        <v>0.105269</v>
      </c>
      <c r="L15" s="30"/>
      <c r="M15" s="1"/>
      <c r="N15" s="18"/>
    </row>
    <row r="16" spans="2:14" ht="15" customHeight="1" x14ac:dyDescent="0.25">
      <c r="B16" s="20"/>
      <c r="C16" s="5" t="s">
        <v>110</v>
      </c>
      <c r="D16" s="6" t="s">
        <v>106</v>
      </c>
      <c r="E16" s="11">
        <v>9.5020999999999994E-2</v>
      </c>
      <c r="F16" s="1"/>
      <c r="G16" s="30"/>
      <c r="H16" s="30"/>
      <c r="I16" s="30"/>
      <c r="J16" s="30"/>
      <c r="K16" s="33"/>
      <c r="L16" s="30"/>
      <c r="M16" s="1"/>
      <c r="N16" s="18"/>
    </row>
    <row r="17" spans="2:14" ht="15" customHeight="1" x14ac:dyDescent="0.25">
      <c r="B17" s="20"/>
      <c r="C17" s="5" t="s">
        <v>76</v>
      </c>
      <c r="D17" s="6" t="s">
        <v>30</v>
      </c>
      <c r="E17" s="11">
        <v>9.3684000000000003E-2</v>
      </c>
      <c r="F17" s="1"/>
      <c r="G17" s="30"/>
      <c r="H17" s="30"/>
      <c r="I17" s="30"/>
      <c r="J17" s="30"/>
      <c r="K17" s="30"/>
      <c r="L17" s="30"/>
      <c r="M17" s="1"/>
      <c r="N17" s="18"/>
    </row>
    <row r="18" spans="2:14" ht="15" customHeight="1" x14ac:dyDescent="0.25">
      <c r="B18" s="20"/>
      <c r="C18" s="5" t="s">
        <v>35</v>
      </c>
      <c r="D18" s="6" t="s">
        <v>30</v>
      </c>
      <c r="E18" s="11">
        <v>7.1410000000000001E-2</v>
      </c>
      <c r="F18" s="1"/>
      <c r="G18" s="30"/>
      <c r="H18" s="30"/>
      <c r="I18" s="30"/>
      <c r="J18" s="30"/>
      <c r="K18" s="30"/>
      <c r="L18" s="30"/>
      <c r="M18" s="1"/>
      <c r="N18" s="18"/>
    </row>
    <row r="19" spans="2:14" ht="15" customHeight="1" x14ac:dyDescent="0.25">
      <c r="B19" s="20"/>
      <c r="C19" s="5" t="s">
        <v>34</v>
      </c>
      <c r="D19" s="6" t="s">
        <v>30</v>
      </c>
      <c r="E19" s="11">
        <v>7.0680000000000007E-2</v>
      </c>
      <c r="F19" s="1"/>
      <c r="G19" s="30"/>
      <c r="H19" s="30"/>
      <c r="I19" s="30"/>
      <c r="J19" s="30"/>
      <c r="K19" s="30"/>
      <c r="L19" s="30"/>
      <c r="M19" s="1"/>
      <c r="N19" s="18"/>
    </row>
    <row r="20" spans="2:14" ht="15" customHeight="1" x14ac:dyDescent="0.25">
      <c r="B20" s="20"/>
      <c r="C20" s="5" t="s">
        <v>78</v>
      </c>
      <c r="D20" s="6" t="s">
        <v>30</v>
      </c>
      <c r="E20" s="11">
        <v>4.7053999999999999E-2</v>
      </c>
      <c r="F20" s="1"/>
      <c r="G20" s="30"/>
      <c r="H20" s="30"/>
      <c r="I20" s="30"/>
      <c r="J20" s="30"/>
      <c r="K20" s="30"/>
      <c r="L20" s="30"/>
      <c r="M20" s="1"/>
      <c r="N20" s="18"/>
    </row>
    <row r="21" spans="2:14" ht="15.75" customHeight="1" x14ac:dyDescent="0.25">
      <c r="B21" s="20"/>
      <c r="C21" s="7" t="s">
        <v>46</v>
      </c>
      <c r="D21" s="8"/>
      <c r="E21" s="12">
        <v>0.491004</v>
      </c>
      <c r="F21" s="1"/>
      <c r="G21" s="30"/>
      <c r="H21" s="30"/>
      <c r="I21" s="30"/>
      <c r="J21" s="30"/>
      <c r="K21" s="30"/>
      <c r="L21" s="30"/>
      <c r="M21" s="1"/>
      <c r="N21" s="18"/>
    </row>
    <row r="22" spans="2:14" ht="15" customHeight="1" x14ac:dyDescent="0.25">
      <c r="B22" s="20"/>
      <c r="C22" s="5" t="s">
        <v>47</v>
      </c>
      <c r="D22" s="6"/>
      <c r="E22" s="11">
        <v>4.1859999999999996E-3</v>
      </c>
      <c r="F22" s="1"/>
      <c r="G22" s="30"/>
      <c r="H22" s="30"/>
      <c r="I22" s="30"/>
      <c r="J22" s="30"/>
      <c r="K22" s="30"/>
      <c r="L22" s="30"/>
      <c r="M22" s="1"/>
      <c r="N22" s="18"/>
    </row>
    <row r="23" spans="2:14" ht="15.75" customHeight="1" x14ac:dyDescent="0.25">
      <c r="B23" s="20"/>
      <c r="C23" s="7" t="s">
        <v>48</v>
      </c>
      <c r="D23" s="8"/>
      <c r="E23" s="12">
        <v>4.1859999999999996E-3</v>
      </c>
      <c r="F23" s="1"/>
      <c r="G23" s="1"/>
      <c r="H23" s="1"/>
      <c r="I23" s="1"/>
      <c r="J23" s="1"/>
      <c r="K23" s="1"/>
      <c r="L23" s="1"/>
      <c r="M23" s="1"/>
      <c r="N23" s="18"/>
    </row>
    <row r="24" spans="2:14" ht="15" customHeight="1" x14ac:dyDescent="0.25">
      <c r="B24" s="20"/>
      <c r="C24" s="5" t="s">
        <v>60</v>
      </c>
      <c r="D24" s="6" t="s">
        <v>178</v>
      </c>
      <c r="E24" s="11">
        <v>2.3755999999999999E-2</v>
      </c>
      <c r="F24" s="1"/>
      <c r="G24" s="84" t="s">
        <v>17</v>
      </c>
      <c r="H24" s="85"/>
      <c r="I24" s="85"/>
      <c r="J24" s="85"/>
      <c r="K24" s="85"/>
      <c r="L24" s="103">
        <v>1.1910423726735013</v>
      </c>
      <c r="M24" s="26"/>
      <c r="N24" s="27"/>
    </row>
    <row r="25" spans="2:14" ht="15" customHeight="1" x14ac:dyDescent="0.25">
      <c r="B25" s="20"/>
      <c r="C25" s="5" t="s">
        <v>49</v>
      </c>
      <c r="D25" s="6" t="s">
        <v>178</v>
      </c>
      <c r="E25" s="11">
        <v>7.2006000000000001E-2</v>
      </c>
      <c r="F25" s="1"/>
      <c r="G25" s="1"/>
      <c r="H25" s="1"/>
      <c r="I25" s="1"/>
      <c r="J25" s="1"/>
      <c r="K25" s="1"/>
      <c r="L25" s="1"/>
      <c r="M25" s="1"/>
      <c r="N25" s="18"/>
    </row>
    <row r="26" spans="2:14" ht="15" customHeight="1" x14ac:dyDescent="0.25">
      <c r="B26" s="20"/>
      <c r="C26" s="5" t="s">
        <v>61</v>
      </c>
      <c r="D26" s="6" t="s">
        <v>178</v>
      </c>
      <c r="E26" s="11">
        <v>9.5069999999999998E-3</v>
      </c>
      <c r="F26" s="1"/>
      <c r="G26" s="84" t="s">
        <v>18</v>
      </c>
      <c r="H26" s="85"/>
      <c r="I26" s="85"/>
      <c r="J26" s="85"/>
      <c r="K26" s="85"/>
      <c r="L26" s="85"/>
      <c r="M26" s="85"/>
      <c r="N26" s="86"/>
    </row>
    <row r="27" spans="2:14" ht="15.75" customHeight="1" x14ac:dyDescent="0.25">
      <c r="B27" s="20"/>
      <c r="C27" s="7" t="s">
        <v>50</v>
      </c>
      <c r="D27" s="8"/>
      <c r="E27" s="12">
        <v>0.105269</v>
      </c>
      <c r="F27" s="1"/>
      <c r="G27" s="1"/>
      <c r="H27" s="1"/>
      <c r="I27" s="1"/>
      <c r="J27" s="1"/>
      <c r="K27" s="1"/>
      <c r="L27" s="1"/>
      <c r="M27" s="1"/>
      <c r="N27" s="18"/>
    </row>
    <row r="28" spans="2:14" ht="15" customHeight="1" x14ac:dyDescent="0.25">
      <c r="B28" s="20"/>
      <c r="C28" s="5" t="s">
        <v>8</v>
      </c>
      <c r="D28" s="6"/>
      <c r="E28" s="11">
        <v>1.5027E-2</v>
      </c>
      <c r="F28" s="1"/>
      <c r="G28" s="1"/>
      <c r="H28" s="1"/>
      <c r="I28" s="1"/>
      <c r="J28" s="1"/>
      <c r="K28" s="1"/>
      <c r="L28" s="1"/>
      <c r="M28" s="1"/>
      <c r="N28" s="18"/>
    </row>
    <row r="29" spans="2:14" ht="15.75" customHeight="1" x14ac:dyDescent="0.25">
      <c r="B29" s="20"/>
      <c r="C29" s="7" t="s">
        <v>9</v>
      </c>
      <c r="D29" s="8"/>
      <c r="E29" s="12">
        <v>1.5027E-2</v>
      </c>
      <c r="F29" s="1"/>
      <c r="G29" s="1"/>
      <c r="H29" s="1"/>
      <c r="I29" s="1"/>
      <c r="J29" s="1"/>
      <c r="K29" s="1"/>
      <c r="L29" s="1"/>
      <c r="M29" s="1"/>
      <c r="N29" s="18"/>
    </row>
    <row r="30" spans="2:14" ht="15" customHeight="1" x14ac:dyDescent="0.25">
      <c r="B30" s="20"/>
      <c r="C30" s="5"/>
      <c r="D30" s="6"/>
      <c r="E30" s="11"/>
      <c r="F30" s="1"/>
      <c r="G30" s="1"/>
      <c r="H30" s="1"/>
      <c r="I30" s="1"/>
      <c r="J30" s="1"/>
      <c r="K30" s="1"/>
      <c r="L30" s="1"/>
      <c r="M30" s="1"/>
      <c r="N30" s="18"/>
    </row>
    <row r="31" spans="2:14" ht="15.75" customHeight="1" x14ac:dyDescent="0.25">
      <c r="B31" s="20"/>
      <c r="C31" s="7" t="s">
        <v>10</v>
      </c>
      <c r="D31" s="8"/>
      <c r="E31" s="12">
        <v>1.023E-2</v>
      </c>
      <c r="F31" s="1"/>
      <c r="G31" s="1"/>
      <c r="H31" s="1"/>
      <c r="I31" s="1"/>
      <c r="J31" s="1"/>
      <c r="K31" s="1"/>
      <c r="L31" s="1"/>
      <c r="M31" s="1"/>
      <c r="N31" s="18"/>
    </row>
    <row r="32" spans="2:14" ht="15" customHeight="1" x14ac:dyDescent="0.25">
      <c r="B32" s="20"/>
      <c r="C32" s="5"/>
      <c r="D32" s="6"/>
      <c r="E32" s="11"/>
      <c r="F32" s="1"/>
      <c r="G32" s="1"/>
      <c r="H32" s="1"/>
      <c r="I32" s="1"/>
      <c r="J32" s="1"/>
      <c r="K32" s="1"/>
      <c r="L32" s="1"/>
      <c r="M32" s="1"/>
      <c r="N32" s="18"/>
    </row>
    <row r="33" spans="2:14" ht="15.75" customHeight="1" x14ac:dyDescent="0.25">
      <c r="B33" s="20"/>
      <c r="C33" s="9" t="s">
        <v>11</v>
      </c>
      <c r="D33" s="10"/>
      <c r="E33" s="13">
        <f>E31+E29+E27+E23+E21+E14+E11</f>
        <v>1</v>
      </c>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31" t="s">
        <v>289</v>
      </c>
      <c r="D35" s="31"/>
      <c r="E35" s="32">
        <v>0.59477500000000005</v>
      </c>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F37" s="1"/>
      <c r="G37" s="1"/>
      <c r="H37" s="1"/>
      <c r="I37" s="1"/>
      <c r="J37" s="1"/>
      <c r="K37" s="1"/>
      <c r="L37" s="1"/>
      <c r="M37" s="1"/>
      <c r="N37" s="18"/>
    </row>
    <row r="38" spans="2:14" ht="15" customHeight="1" x14ac:dyDescent="0.25">
      <c r="B38" s="20"/>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70" t="s">
        <v>288</v>
      </c>
      <c r="C45" s="71"/>
      <c r="D45" s="71"/>
      <c r="E45" s="71"/>
      <c r="F45" s="71"/>
      <c r="G45" s="71"/>
      <c r="H45" s="71"/>
      <c r="I45" s="71"/>
      <c r="J45" s="71"/>
      <c r="K45" s="71"/>
      <c r="L45" s="71"/>
      <c r="M45" s="71"/>
      <c r="N45" s="72"/>
    </row>
    <row r="46" spans="2:14" ht="15" customHeight="1" x14ac:dyDescent="0.25">
      <c r="B46" s="73"/>
      <c r="C46" s="74"/>
      <c r="D46" s="74"/>
      <c r="E46" s="74"/>
      <c r="F46" s="74"/>
      <c r="G46" s="74"/>
      <c r="H46" s="74"/>
      <c r="I46" s="74"/>
      <c r="J46" s="74"/>
      <c r="K46" s="74"/>
      <c r="L46" s="74"/>
      <c r="M46" s="74"/>
      <c r="N46" s="75"/>
    </row>
    <row r="47" spans="2:14" ht="15" customHeight="1" x14ac:dyDescent="0.25">
      <c r="B47" s="73"/>
      <c r="C47" s="74"/>
      <c r="D47" s="74"/>
      <c r="E47" s="74"/>
      <c r="F47" s="74"/>
      <c r="G47" s="74"/>
      <c r="H47" s="74"/>
      <c r="I47" s="74"/>
      <c r="J47" s="74"/>
      <c r="K47" s="74"/>
      <c r="L47" s="74"/>
      <c r="M47" s="74"/>
      <c r="N47" s="75"/>
    </row>
    <row r="48" spans="2:14" ht="15" customHeight="1" thickBot="1" x14ac:dyDescent="0.3">
      <c r="B48" s="76"/>
      <c r="C48" s="77"/>
      <c r="D48" s="77"/>
      <c r="E48" s="77"/>
      <c r="F48" s="77"/>
      <c r="G48" s="77"/>
      <c r="H48" s="77"/>
      <c r="I48" s="77"/>
      <c r="J48" s="77"/>
      <c r="K48" s="77"/>
      <c r="L48" s="77"/>
      <c r="M48" s="77"/>
      <c r="N48" s="78"/>
    </row>
    <row r="49" spans="2:14" ht="15" customHeight="1" thickBot="1" x14ac:dyDescent="0.3"/>
    <row r="50" spans="2:14" ht="63" customHeight="1" thickBot="1" x14ac:dyDescent="0.3">
      <c r="B50" s="67" t="s">
        <v>290</v>
      </c>
      <c r="C50" s="68"/>
      <c r="D50" s="68"/>
      <c r="E50" s="68"/>
      <c r="F50" s="68"/>
      <c r="G50" s="68"/>
      <c r="H50" s="68"/>
      <c r="I50" s="68"/>
      <c r="J50" s="68"/>
      <c r="K50" s="68"/>
      <c r="L50" s="68"/>
      <c r="M50" s="68"/>
      <c r="N50" s="69"/>
    </row>
    <row r="51" spans="2:14" ht="15" customHeight="1" thickBot="1" x14ac:dyDescent="0.3"/>
    <row r="52" spans="2:14" ht="122.25" customHeight="1" thickBot="1" x14ac:dyDescent="0.3">
      <c r="B52" s="67" t="s">
        <v>291</v>
      </c>
      <c r="C52" s="68"/>
      <c r="D52" s="68"/>
      <c r="E52" s="68"/>
      <c r="F52" s="68"/>
      <c r="G52" s="68"/>
      <c r="H52" s="68"/>
      <c r="I52" s="68"/>
      <c r="J52" s="68"/>
      <c r="K52" s="68"/>
      <c r="L52" s="68"/>
      <c r="M52" s="68"/>
      <c r="N52" s="69"/>
    </row>
    <row r="53" spans="2:14" ht="15" customHeight="1" x14ac:dyDescent="0.25"/>
    <row r="54" spans="2:14" ht="15" customHeight="1" x14ac:dyDescent="0.25"/>
    <row r="55" spans="2:14" ht="15" customHeight="1" x14ac:dyDescent="0.25"/>
  </sheetData>
  <mergeCells count="8">
    <mergeCell ref="B52:N52"/>
    <mergeCell ref="D5:E5"/>
    <mergeCell ref="C3:N3"/>
    <mergeCell ref="G7:N7"/>
    <mergeCell ref="G26:N26"/>
    <mergeCell ref="B45:N48"/>
    <mergeCell ref="B50:N50"/>
    <mergeCell ref="G24:K24"/>
  </mergeCell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E27BF-F53C-4480-AFBC-62ECBDDF839C}">
  <dimension ref="B1:N54"/>
  <sheetViews>
    <sheetView showGridLines="0" zoomScale="75" zoomScaleNormal="75" workbookViewId="0"/>
  </sheetViews>
  <sheetFormatPr defaultRowHeight="15" x14ac:dyDescent="0.25"/>
  <cols>
    <col min="1" max="1" width="2.85546875" customWidth="1"/>
    <col min="2" max="2" width="3.85546875" customWidth="1"/>
    <col min="3" max="3" width="56"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9" t="s">
        <v>96</v>
      </c>
      <c r="D3" s="80"/>
      <c r="E3" s="80"/>
      <c r="F3" s="80"/>
      <c r="G3" s="80"/>
      <c r="H3" s="80"/>
      <c r="I3" s="80"/>
      <c r="J3" s="80"/>
      <c r="K3" s="80"/>
      <c r="L3" s="80"/>
      <c r="M3" s="80"/>
      <c r="N3" s="81"/>
    </row>
    <row r="4" spans="2:14" ht="15.75" customHeight="1" x14ac:dyDescent="0.25">
      <c r="B4" s="20"/>
      <c r="C4" s="14"/>
      <c r="D4" s="1"/>
      <c r="E4" s="1"/>
      <c r="F4" s="1"/>
      <c r="G4" s="1"/>
      <c r="H4" s="1"/>
      <c r="I4" s="1"/>
      <c r="J4" s="1"/>
      <c r="K4" s="1"/>
      <c r="L4" s="1"/>
      <c r="M4" s="1"/>
      <c r="N4" s="18"/>
    </row>
    <row r="5" spans="2:14" ht="18" customHeight="1" x14ac:dyDescent="0.25">
      <c r="B5" s="20"/>
      <c r="C5" s="15" t="s">
        <v>1</v>
      </c>
      <c r="D5" s="82" t="s">
        <v>97</v>
      </c>
      <c r="E5" s="8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4" t="s">
        <v>16</v>
      </c>
      <c r="H7" s="85"/>
      <c r="I7" s="85"/>
      <c r="J7" s="85"/>
      <c r="K7" s="85"/>
      <c r="L7" s="85"/>
      <c r="M7" s="85"/>
      <c r="N7" s="86"/>
    </row>
    <row r="8" spans="2:14" ht="15" customHeight="1" x14ac:dyDescent="0.25">
      <c r="B8" s="20"/>
      <c r="C8" s="5" t="s">
        <v>98</v>
      </c>
      <c r="D8" s="6" t="s">
        <v>99</v>
      </c>
      <c r="E8" s="11">
        <v>0.10289</v>
      </c>
      <c r="F8" s="1"/>
      <c r="G8" s="24" t="s">
        <v>112</v>
      </c>
      <c r="H8" s="28">
        <v>0.59456699999999996</v>
      </c>
      <c r="I8" s="1"/>
      <c r="J8" s="24" t="s">
        <v>12</v>
      </c>
      <c r="K8" s="24" t="s">
        <v>5</v>
      </c>
      <c r="L8" s="1"/>
      <c r="M8" s="1"/>
      <c r="N8" s="18"/>
    </row>
    <row r="9" spans="2:14" ht="15" customHeight="1" x14ac:dyDescent="0.25">
      <c r="B9" s="20"/>
      <c r="C9" s="5" t="s">
        <v>100</v>
      </c>
      <c r="D9" s="6" t="s">
        <v>99</v>
      </c>
      <c r="E9" s="11">
        <v>0.10233299999999999</v>
      </c>
      <c r="F9" s="1"/>
      <c r="G9" s="24" t="s">
        <v>15</v>
      </c>
      <c r="H9" s="28">
        <v>0.33809699999999998</v>
      </c>
      <c r="I9" s="1"/>
      <c r="J9" s="24" t="s">
        <v>10</v>
      </c>
      <c r="K9" s="28">
        <v>2.3529000000000001E-2</v>
      </c>
      <c r="L9" s="1"/>
      <c r="M9" s="1"/>
      <c r="N9" s="18"/>
    </row>
    <row r="10" spans="2:14" ht="15" customHeight="1" x14ac:dyDescent="0.25">
      <c r="B10" s="20"/>
      <c r="C10" s="5" t="s">
        <v>101</v>
      </c>
      <c r="D10" s="6" t="s">
        <v>99</v>
      </c>
      <c r="E10" s="11">
        <v>8.8105000000000003E-2</v>
      </c>
      <c r="F10" s="1"/>
      <c r="G10" s="24" t="s">
        <v>113</v>
      </c>
      <c r="H10" s="28">
        <v>6.7335999999999993E-2</v>
      </c>
      <c r="I10" s="1"/>
      <c r="J10" s="24" t="s">
        <v>13</v>
      </c>
      <c r="K10" s="28">
        <v>7.2110000000000004E-3</v>
      </c>
      <c r="L10" s="1"/>
      <c r="M10" s="1"/>
      <c r="N10" s="18"/>
    </row>
    <row r="11" spans="2:14" ht="15" customHeight="1" x14ac:dyDescent="0.25">
      <c r="B11" s="20"/>
      <c r="C11" s="5" t="s">
        <v>102</v>
      </c>
      <c r="D11" s="6" t="s">
        <v>99</v>
      </c>
      <c r="E11" s="11">
        <v>7.7849000000000002E-2</v>
      </c>
      <c r="F11" s="1"/>
      <c r="G11" s="1"/>
      <c r="H11" s="1"/>
      <c r="I11" s="1"/>
      <c r="J11" s="24" t="s">
        <v>53</v>
      </c>
      <c r="K11" s="28">
        <v>0.66190300000000002</v>
      </c>
      <c r="L11" s="1"/>
      <c r="M11" s="1"/>
      <c r="N11" s="18"/>
    </row>
    <row r="12" spans="2:14" ht="15" customHeight="1" x14ac:dyDescent="0.25">
      <c r="B12" s="20"/>
      <c r="C12" s="5" t="s">
        <v>103</v>
      </c>
      <c r="D12" s="6" t="s">
        <v>99</v>
      </c>
      <c r="E12" s="11">
        <v>5.3016000000000001E-2</v>
      </c>
      <c r="F12" s="1"/>
      <c r="G12" s="1"/>
      <c r="H12" s="1"/>
      <c r="I12" s="1"/>
      <c r="J12" s="24" t="s">
        <v>47</v>
      </c>
      <c r="K12" s="28">
        <v>3.6960000000000001E-3</v>
      </c>
      <c r="L12" s="1"/>
      <c r="M12" s="1"/>
      <c r="N12" s="18"/>
    </row>
    <row r="13" spans="2:14" ht="15" customHeight="1" x14ac:dyDescent="0.25">
      <c r="B13" s="20"/>
      <c r="C13" s="5" t="s">
        <v>104</v>
      </c>
      <c r="D13" s="6" t="s">
        <v>99</v>
      </c>
      <c r="E13" s="11">
        <v>5.1545000000000001E-2</v>
      </c>
      <c r="F13" s="1"/>
      <c r="G13" s="1"/>
      <c r="H13" s="1"/>
      <c r="I13" s="1"/>
      <c r="J13" s="24" t="s">
        <v>55</v>
      </c>
      <c r="K13" s="28">
        <v>0.22898199999999999</v>
      </c>
      <c r="L13" s="1"/>
      <c r="M13" s="1"/>
      <c r="N13" s="18"/>
    </row>
    <row r="14" spans="2:14" ht="15" customHeight="1" x14ac:dyDescent="0.25">
      <c r="B14" s="20"/>
      <c r="C14" s="5" t="s">
        <v>287</v>
      </c>
      <c r="D14" s="6" t="s">
        <v>106</v>
      </c>
      <c r="E14" s="11">
        <v>4.1424999999999997E-2</v>
      </c>
      <c r="F14" s="1"/>
      <c r="G14" s="1"/>
      <c r="H14" s="1"/>
      <c r="I14" s="1"/>
      <c r="J14" s="24" t="s">
        <v>73</v>
      </c>
      <c r="K14" s="28">
        <v>7.4678999999999995E-2</v>
      </c>
      <c r="L14" s="1"/>
      <c r="M14" s="1"/>
      <c r="N14" s="18"/>
    </row>
    <row r="15" spans="2:14" ht="15" customHeight="1" x14ac:dyDescent="0.25">
      <c r="B15" s="20"/>
      <c r="C15" s="5" t="s">
        <v>107</v>
      </c>
      <c r="D15" s="6" t="s">
        <v>99</v>
      </c>
      <c r="E15" s="11">
        <v>3.8768999999999998E-2</v>
      </c>
      <c r="F15" s="1"/>
      <c r="G15" s="1"/>
      <c r="H15" s="1"/>
      <c r="I15" s="1"/>
      <c r="J15" s="1"/>
      <c r="K15" s="1"/>
      <c r="L15" s="1"/>
      <c r="M15" s="1"/>
      <c r="N15" s="18"/>
    </row>
    <row r="16" spans="2:14" ht="15" customHeight="1" x14ac:dyDescent="0.25">
      <c r="B16" s="20"/>
      <c r="C16" s="5" t="s">
        <v>108</v>
      </c>
      <c r="D16" s="6" t="s">
        <v>99</v>
      </c>
      <c r="E16" s="11">
        <v>3.8580000000000003E-2</v>
      </c>
      <c r="F16" s="1"/>
      <c r="G16" s="1"/>
      <c r="H16" s="1"/>
      <c r="I16" s="1"/>
      <c r="J16" s="1"/>
      <c r="K16" s="1"/>
      <c r="L16" s="1"/>
      <c r="M16" s="1"/>
      <c r="N16" s="18"/>
    </row>
    <row r="17" spans="2:14" ht="15" customHeight="1" x14ac:dyDescent="0.25">
      <c r="B17" s="20"/>
      <c r="C17" s="5" t="s">
        <v>286</v>
      </c>
      <c r="D17" s="6" t="s">
        <v>112</v>
      </c>
      <c r="E17" s="11">
        <v>2.8384E-2</v>
      </c>
      <c r="F17" s="1"/>
      <c r="G17" s="1"/>
      <c r="H17" s="1"/>
      <c r="I17" s="1"/>
      <c r="J17" s="1"/>
      <c r="K17" s="1"/>
      <c r="L17" s="1"/>
      <c r="M17" s="1"/>
      <c r="N17" s="18"/>
    </row>
    <row r="18" spans="2:14" ht="15" customHeight="1" x14ac:dyDescent="0.25">
      <c r="B18" s="20"/>
      <c r="C18" s="5" t="s">
        <v>110</v>
      </c>
      <c r="D18" s="6" t="s">
        <v>106</v>
      </c>
      <c r="E18" s="11">
        <v>2.5911E-2</v>
      </c>
      <c r="F18" s="1"/>
      <c r="G18" s="1"/>
      <c r="H18" s="1"/>
      <c r="I18" s="1"/>
      <c r="J18" s="1"/>
      <c r="K18" s="1"/>
      <c r="L18" s="1"/>
      <c r="M18" s="1"/>
      <c r="N18" s="18"/>
    </row>
    <row r="19" spans="2:14" ht="15" customHeight="1" x14ac:dyDescent="0.25">
      <c r="B19" s="20"/>
      <c r="C19" s="5" t="s">
        <v>111</v>
      </c>
      <c r="D19" s="6" t="s">
        <v>99</v>
      </c>
      <c r="E19" s="11">
        <v>1.3096E-2</v>
      </c>
      <c r="F19" s="1"/>
      <c r="G19" s="1"/>
      <c r="H19" s="1"/>
      <c r="I19" s="1"/>
      <c r="J19" s="1"/>
      <c r="K19" s="1"/>
      <c r="L19" s="1"/>
      <c r="M19" s="1"/>
      <c r="N19" s="18"/>
    </row>
    <row r="20" spans="2:14" ht="15.75" customHeight="1" x14ac:dyDescent="0.25">
      <c r="B20" s="20"/>
      <c r="C20" s="7" t="s">
        <v>46</v>
      </c>
      <c r="D20" s="8"/>
      <c r="E20" s="12">
        <v>0.66190300000000002</v>
      </c>
      <c r="F20" s="1"/>
      <c r="G20" s="1"/>
      <c r="H20" s="1"/>
      <c r="I20" s="1"/>
      <c r="J20" s="1"/>
      <c r="K20" s="1"/>
      <c r="L20" s="1"/>
      <c r="M20" s="1"/>
      <c r="N20" s="18"/>
    </row>
    <row r="21" spans="2:14" ht="15" customHeight="1" x14ac:dyDescent="0.25">
      <c r="B21" s="20"/>
      <c r="C21" s="5" t="s">
        <v>47</v>
      </c>
      <c r="D21" s="6"/>
      <c r="E21" s="11">
        <v>3.6960000000000001E-3</v>
      </c>
      <c r="F21" s="1"/>
      <c r="G21" s="1"/>
      <c r="H21" s="1"/>
      <c r="I21" s="1"/>
      <c r="J21" s="1"/>
      <c r="K21" s="1"/>
      <c r="L21" s="1"/>
      <c r="M21" s="1"/>
      <c r="N21" s="18"/>
    </row>
    <row r="22" spans="2:14" ht="15.75" customHeight="1" x14ac:dyDescent="0.25">
      <c r="B22" s="20"/>
      <c r="C22" s="7" t="s">
        <v>48</v>
      </c>
      <c r="D22" s="8"/>
      <c r="E22" s="12">
        <v>3.6960000000000001E-3</v>
      </c>
      <c r="F22" s="1"/>
      <c r="G22" s="1"/>
      <c r="H22" s="1"/>
      <c r="I22" s="1"/>
      <c r="J22" s="1"/>
      <c r="K22" s="1"/>
      <c r="L22" s="1"/>
      <c r="M22" s="1"/>
      <c r="N22" s="18"/>
    </row>
    <row r="23" spans="2:14" ht="15" customHeight="1" x14ac:dyDescent="0.25">
      <c r="B23" s="20"/>
      <c r="C23" s="5" t="s">
        <v>63</v>
      </c>
      <c r="D23" s="6" t="s">
        <v>178</v>
      </c>
      <c r="E23" s="11">
        <v>0.12976799999999999</v>
      </c>
      <c r="F23" s="1"/>
      <c r="G23" s="1"/>
      <c r="H23" s="1"/>
      <c r="I23" s="1"/>
      <c r="J23" s="1"/>
      <c r="K23" s="1"/>
      <c r="L23" s="1"/>
      <c r="M23" s="1"/>
      <c r="N23" s="18"/>
    </row>
    <row r="24" spans="2:14" ht="15" customHeight="1" x14ac:dyDescent="0.25">
      <c r="B24" s="20"/>
      <c r="C24" s="5" t="s">
        <v>49</v>
      </c>
      <c r="D24" s="6" t="s">
        <v>178</v>
      </c>
      <c r="E24" s="11">
        <v>7.3302999999999993E-2</v>
      </c>
      <c r="F24" s="1"/>
      <c r="G24" s="84" t="s">
        <v>17</v>
      </c>
      <c r="H24" s="85"/>
      <c r="I24" s="85"/>
      <c r="J24" s="85"/>
      <c r="K24" s="85"/>
      <c r="L24" s="103">
        <v>9.9086545547833236</v>
      </c>
      <c r="M24" s="26"/>
      <c r="N24" s="27"/>
    </row>
    <row r="25" spans="2:14" ht="15" customHeight="1" x14ac:dyDescent="0.25">
      <c r="B25" s="20"/>
      <c r="C25" s="5" t="s">
        <v>60</v>
      </c>
      <c r="D25" s="6" t="s">
        <v>178</v>
      </c>
      <c r="E25" s="11">
        <v>2.5911E-2</v>
      </c>
      <c r="F25" s="1"/>
      <c r="G25" s="1"/>
      <c r="H25" s="1"/>
      <c r="I25" s="1"/>
      <c r="J25" s="1"/>
      <c r="K25" s="1"/>
      <c r="L25" s="1"/>
      <c r="M25" s="1"/>
      <c r="N25" s="18"/>
    </row>
    <row r="26" spans="2:14" ht="15.75" customHeight="1" x14ac:dyDescent="0.25">
      <c r="B26" s="20"/>
      <c r="C26" s="7" t="s">
        <v>50</v>
      </c>
      <c r="D26" s="8"/>
      <c r="E26" s="12">
        <v>0.22898199999999999</v>
      </c>
      <c r="F26" s="1"/>
      <c r="G26" s="84" t="s">
        <v>18</v>
      </c>
      <c r="H26" s="85"/>
      <c r="I26" s="85"/>
      <c r="J26" s="85"/>
      <c r="K26" s="85"/>
      <c r="L26" s="85"/>
      <c r="M26" s="85"/>
      <c r="N26" s="86"/>
    </row>
    <row r="27" spans="2:14" ht="15" customHeight="1" x14ac:dyDescent="0.25">
      <c r="B27" s="20"/>
      <c r="C27" s="5" t="s">
        <v>284</v>
      </c>
      <c r="D27" s="6" t="s">
        <v>71</v>
      </c>
      <c r="E27" s="11">
        <v>7.4678999999999995E-2</v>
      </c>
      <c r="F27" s="1"/>
      <c r="G27" s="1"/>
      <c r="H27" s="1"/>
      <c r="I27" s="1"/>
      <c r="J27" s="1"/>
      <c r="K27" s="1"/>
      <c r="L27" s="1"/>
      <c r="M27" s="1"/>
      <c r="N27" s="18"/>
    </row>
    <row r="28" spans="2:14" ht="15.75" customHeight="1" x14ac:dyDescent="0.25">
      <c r="B28" s="20"/>
      <c r="C28" s="7" t="s">
        <v>72</v>
      </c>
      <c r="D28" s="8"/>
      <c r="E28" s="12">
        <v>7.4678999999999995E-2</v>
      </c>
      <c r="F28" s="1"/>
      <c r="G28" s="1"/>
      <c r="H28" s="1"/>
      <c r="I28" s="1"/>
      <c r="J28" s="1"/>
      <c r="K28" s="1"/>
      <c r="L28" s="1"/>
      <c r="M28" s="1"/>
      <c r="N28" s="18"/>
    </row>
    <row r="29" spans="2:14" ht="15" customHeight="1" x14ac:dyDescent="0.25">
      <c r="B29" s="20"/>
      <c r="C29" s="5" t="s">
        <v>8</v>
      </c>
      <c r="D29" s="6"/>
      <c r="E29" s="11">
        <v>7.2110000000000004E-3</v>
      </c>
      <c r="F29" s="1"/>
      <c r="G29" s="1"/>
      <c r="H29" s="1"/>
      <c r="I29" s="1"/>
      <c r="J29" s="1"/>
      <c r="K29" s="1"/>
      <c r="L29" s="1"/>
      <c r="M29" s="1"/>
      <c r="N29" s="18"/>
    </row>
    <row r="30" spans="2:14" ht="15.75" customHeight="1" x14ac:dyDescent="0.25">
      <c r="B30" s="20"/>
      <c r="C30" s="7" t="s">
        <v>9</v>
      </c>
      <c r="D30" s="8"/>
      <c r="E30" s="12">
        <v>7.2110000000000004E-3</v>
      </c>
      <c r="F30" s="1"/>
      <c r="G30" s="1"/>
      <c r="H30" s="1"/>
      <c r="I30" s="1"/>
      <c r="J30" s="1"/>
      <c r="K30" s="1"/>
      <c r="L30" s="1"/>
      <c r="M30" s="1"/>
      <c r="N30" s="18"/>
    </row>
    <row r="31" spans="2:14" ht="15" customHeight="1" x14ac:dyDescent="0.25">
      <c r="B31" s="20"/>
      <c r="C31" s="5"/>
      <c r="D31" s="6"/>
      <c r="E31" s="11"/>
      <c r="F31" s="1"/>
      <c r="G31" s="1"/>
      <c r="H31" s="1"/>
      <c r="I31" s="1"/>
      <c r="J31" s="1"/>
      <c r="K31" s="1"/>
      <c r="L31" s="1"/>
      <c r="M31" s="1"/>
      <c r="N31" s="18"/>
    </row>
    <row r="32" spans="2:14" ht="15.75" customHeight="1" x14ac:dyDescent="0.25">
      <c r="B32" s="20"/>
      <c r="C32" s="7" t="s">
        <v>10</v>
      </c>
      <c r="D32" s="8"/>
      <c r="E32" s="12">
        <v>2.3529000000000001E-2</v>
      </c>
      <c r="F32" s="1"/>
      <c r="G32" s="1"/>
      <c r="H32" s="1"/>
      <c r="I32" s="1"/>
      <c r="J32" s="1"/>
      <c r="K32" s="1"/>
      <c r="L32" s="1"/>
      <c r="M32" s="1"/>
      <c r="N32" s="18"/>
    </row>
    <row r="33" spans="2:14" ht="15" customHeight="1" x14ac:dyDescent="0.25">
      <c r="B33" s="20"/>
      <c r="C33" s="5"/>
      <c r="D33" s="6"/>
      <c r="E33" s="11"/>
      <c r="F33" s="1"/>
      <c r="G33" s="1"/>
      <c r="H33" s="1"/>
      <c r="I33" s="1"/>
      <c r="J33" s="1"/>
      <c r="K33" s="1"/>
      <c r="L33" s="1"/>
      <c r="M33" s="1"/>
      <c r="N33" s="18"/>
    </row>
    <row r="34" spans="2:14" ht="15" customHeight="1" x14ac:dyDescent="0.25">
      <c r="B34" s="20"/>
      <c r="C34" s="9" t="s">
        <v>11</v>
      </c>
      <c r="D34" s="10"/>
      <c r="E34" s="13">
        <v>1</v>
      </c>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t="s">
        <v>283</v>
      </c>
      <c r="D36" s="1"/>
      <c r="E36" s="1"/>
      <c r="F36" s="1"/>
      <c r="G36" s="1"/>
      <c r="H36" s="1"/>
      <c r="I36" s="1"/>
      <c r="J36" s="1"/>
      <c r="K36" s="1"/>
      <c r="L36" s="1"/>
      <c r="M36" s="1"/>
      <c r="N36" s="18"/>
    </row>
    <row r="37" spans="2:14" ht="15" customHeight="1" x14ac:dyDescent="0.25">
      <c r="B37" s="20"/>
      <c r="C37" s="1" t="s">
        <v>285</v>
      </c>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70" t="s">
        <v>288</v>
      </c>
      <c r="C45" s="71"/>
      <c r="D45" s="71"/>
      <c r="E45" s="71"/>
      <c r="F45" s="71"/>
      <c r="G45" s="71"/>
      <c r="H45" s="71"/>
      <c r="I45" s="71"/>
      <c r="J45" s="71"/>
      <c r="K45" s="71"/>
      <c r="L45" s="71"/>
      <c r="M45" s="71"/>
      <c r="N45" s="72"/>
    </row>
    <row r="46" spans="2:14" ht="15" customHeight="1" x14ac:dyDescent="0.25">
      <c r="B46" s="73"/>
      <c r="C46" s="74"/>
      <c r="D46" s="74"/>
      <c r="E46" s="74"/>
      <c r="F46" s="74"/>
      <c r="G46" s="74"/>
      <c r="H46" s="74"/>
      <c r="I46" s="74"/>
      <c r="J46" s="74"/>
      <c r="K46" s="74"/>
      <c r="L46" s="74"/>
      <c r="M46" s="74"/>
      <c r="N46" s="75"/>
    </row>
    <row r="47" spans="2:14" ht="15" customHeight="1" x14ac:dyDescent="0.25">
      <c r="B47" s="73"/>
      <c r="C47" s="74"/>
      <c r="D47" s="74"/>
      <c r="E47" s="74"/>
      <c r="F47" s="74"/>
      <c r="G47" s="74"/>
      <c r="H47" s="74"/>
      <c r="I47" s="74"/>
      <c r="J47" s="74"/>
      <c r="K47" s="74"/>
      <c r="L47" s="74"/>
      <c r="M47" s="74"/>
      <c r="N47" s="75"/>
    </row>
    <row r="48" spans="2:14" ht="15" customHeight="1" thickBot="1" x14ac:dyDescent="0.3">
      <c r="B48" s="76"/>
      <c r="C48" s="77"/>
      <c r="D48" s="77"/>
      <c r="E48" s="77"/>
      <c r="F48" s="77"/>
      <c r="G48" s="77"/>
      <c r="H48" s="77"/>
      <c r="I48" s="77"/>
      <c r="J48" s="77"/>
      <c r="K48" s="77"/>
      <c r="L48" s="77"/>
      <c r="M48" s="77"/>
      <c r="N48" s="78"/>
    </row>
    <row r="49" spans="2:14" ht="15" customHeight="1" thickBot="1" x14ac:dyDescent="0.3"/>
    <row r="50" spans="2:14" ht="129" customHeight="1" thickBot="1" x14ac:dyDescent="0.3">
      <c r="B50" s="67" t="s">
        <v>291</v>
      </c>
      <c r="C50" s="68"/>
      <c r="D50" s="68"/>
      <c r="E50" s="68"/>
      <c r="F50" s="68"/>
      <c r="G50" s="68"/>
      <c r="H50" s="68"/>
      <c r="I50" s="68"/>
      <c r="J50" s="68"/>
      <c r="K50" s="68"/>
      <c r="L50" s="68"/>
      <c r="M50" s="68"/>
      <c r="N50" s="69"/>
    </row>
    <row r="51" spans="2:14" ht="15" customHeight="1" x14ac:dyDescent="0.25"/>
    <row r="52" spans="2:14" ht="15" customHeight="1" x14ac:dyDescent="0.25"/>
    <row r="53" spans="2:14" ht="15" customHeight="1" x14ac:dyDescent="0.25"/>
    <row r="54" spans="2:14" ht="15" customHeight="1" x14ac:dyDescent="0.25"/>
  </sheetData>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DCF4A-360D-4C60-9413-1CA5ED64E495}">
  <dimension ref="B1:N45"/>
  <sheetViews>
    <sheetView showGridLines="0" zoomScale="75" zoomScaleNormal="75" workbookViewId="0"/>
  </sheetViews>
  <sheetFormatPr defaultRowHeight="15" x14ac:dyDescent="0.25"/>
  <cols>
    <col min="1" max="1" width="2.85546875" customWidth="1"/>
    <col min="2" max="2" width="3.85546875" customWidth="1"/>
    <col min="3" max="3" width="56"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9" t="s">
        <v>144</v>
      </c>
      <c r="D3" s="80"/>
      <c r="E3" s="80"/>
      <c r="F3" s="80"/>
      <c r="G3" s="80"/>
      <c r="H3" s="80"/>
      <c r="I3" s="80"/>
      <c r="J3" s="80"/>
      <c r="K3" s="80"/>
      <c r="L3" s="80"/>
      <c r="M3" s="80"/>
      <c r="N3" s="81"/>
    </row>
    <row r="4" spans="2:14" ht="15.75" customHeight="1" x14ac:dyDescent="0.25">
      <c r="B4" s="20"/>
      <c r="C4" s="14"/>
      <c r="D4" s="1"/>
      <c r="E4" s="1"/>
      <c r="F4" s="1"/>
      <c r="G4" s="1"/>
      <c r="H4" s="1"/>
      <c r="I4" s="1"/>
      <c r="J4" s="1"/>
      <c r="K4" s="1"/>
      <c r="L4" s="1"/>
      <c r="M4" s="1"/>
      <c r="N4" s="18"/>
    </row>
    <row r="5" spans="2:14" ht="18" customHeight="1" x14ac:dyDescent="0.25">
      <c r="B5" s="20"/>
      <c r="C5" s="15" t="s">
        <v>1</v>
      </c>
      <c r="D5" s="82" t="s">
        <v>145</v>
      </c>
      <c r="E5" s="8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4" t="s">
        <v>16</v>
      </c>
      <c r="H7" s="85"/>
      <c r="I7" s="85"/>
      <c r="J7" s="85"/>
      <c r="K7" s="85"/>
      <c r="L7" s="85"/>
      <c r="M7" s="85"/>
      <c r="N7" s="86"/>
    </row>
    <row r="8" spans="2:14" ht="15" customHeight="1" x14ac:dyDescent="0.25">
      <c r="B8" s="20"/>
      <c r="C8" s="5" t="s">
        <v>59</v>
      </c>
      <c r="D8" s="6" t="s">
        <v>178</v>
      </c>
      <c r="E8" s="11">
        <v>0.53173700000000002</v>
      </c>
      <c r="F8" s="1"/>
      <c r="G8" s="24" t="s">
        <v>15</v>
      </c>
      <c r="H8" s="25">
        <v>1</v>
      </c>
      <c r="I8" s="1"/>
      <c r="J8" s="24" t="s">
        <v>12</v>
      </c>
      <c r="K8" s="24" t="s">
        <v>5</v>
      </c>
      <c r="L8" s="1"/>
      <c r="M8" s="1"/>
      <c r="N8" s="18"/>
    </row>
    <row r="9" spans="2:14" ht="15" customHeight="1" x14ac:dyDescent="0.25">
      <c r="B9" s="20"/>
      <c r="C9" s="5" t="s">
        <v>139</v>
      </c>
      <c r="D9" s="6" t="s">
        <v>178</v>
      </c>
      <c r="E9" s="11">
        <v>0.44318200000000002</v>
      </c>
      <c r="F9" s="1"/>
      <c r="G9" s="1"/>
      <c r="H9" s="1"/>
      <c r="I9" s="1"/>
      <c r="J9" s="24" t="s">
        <v>10</v>
      </c>
      <c r="K9" s="28">
        <v>1.6938000000000002E-2</v>
      </c>
      <c r="L9" s="1"/>
      <c r="M9" s="1"/>
      <c r="N9" s="18"/>
    </row>
    <row r="10" spans="2:14" ht="15" customHeight="1" x14ac:dyDescent="0.25">
      <c r="B10" s="20"/>
      <c r="C10" s="5" t="s">
        <v>63</v>
      </c>
      <c r="D10" s="6" t="s">
        <v>178</v>
      </c>
      <c r="E10" s="11">
        <v>1.3649999999999999E-3</v>
      </c>
      <c r="F10" s="1"/>
      <c r="G10" s="1"/>
      <c r="H10" s="1"/>
      <c r="I10" s="1"/>
      <c r="J10" s="24" t="s">
        <v>13</v>
      </c>
      <c r="K10" s="28">
        <v>6.7349999999999997E-3</v>
      </c>
      <c r="L10" s="1"/>
      <c r="M10" s="1"/>
      <c r="N10" s="18"/>
    </row>
    <row r="11" spans="2:14" ht="15" customHeight="1" x14ac:dyDescent="0.25">
      <c r="B11" s="20"/>
      <c r="C11" s="5" t="s">
        <v>130</v>
      </c>
      <c r="D11" s="6" t="s">
        <v>178</v>
      </c>
      <c r="E11" s="29">
        <v>4.3000000000000002E-5</v>
      </c>
      <c r="F11" s="1"/>
      <c r="G11" s="1"/>
      <c r="H11" s="1"/>
      <c r="I11" s="1"/>
      <c r="J11" s="24" t="s">
        <v>55</v>
      </c>
      <c r="K11" s="28">
        <v>0.97632699999999994</v>
      </c>
      <c r="L11" s="1"/>
      <c r="M11" s="1"/>
      <c r="N11" s="18"/>
    </row>
    <row r="12" spans="2:14" ht="15.75" customHeight="1" x14ac:dyDescent="0.25">
      <c r="B12" s="20"/>
      <c r="C12" s="7" t="s">
        <v>50</v>
      </c>
      <c r="D12" s="8"/>
      <c r="E12" s="12">
        <v>0.97632699999999994</v>
      </c>
      <c r="F12" s="1"/>
      <c r="G12" s="1"/>
      <c r="H12" s="1"/>
      <c r="I12" s="1"/>
      <c r="J12" s="1"/>
      <c r="K12" s="1"/>
      <c r="L12" s="1"/>
      <c r="M12" s="1"/>
      <c r="N12" s="18"/>
    </row>
    <row r="13" spans="2:14" ht="15" customHeight="1" x14ac:dyDescent="0.25">
      <c r="B13" s="20"/>
      <c r="C13" s="5" t="s">
        <v>8</v>
      </c>
      <c r="D13" s="6"/>
      <c r="E13" s="11">
        <v>6.7349999999999997E-3</v>
      </c>
      <c r="F13" s="1"/>
      <c r="G13" s="1"/>
      <c r="H13" s="1"/>
      <c r="I13" s="1"/>
      <c r="J13" s="1"/>
      <c r="K13" s="1"/>
      <c r="L13" s="1"/>
      <c r="M13" s="1"/>
      <c r="N13" s="18"/>
    </row>
    <row r="14" spans="2:14" ht="15.75" customHeight="1" x14ac:dyDescent="0.25">
      <c r="B14" s="20"/>
      <c r="C14" s="7" t="s">
        <v>9</v>
      </c>
      <c r="D14" s="8"/>
      <c r="E14" s="12">
        <v>6.7349999999999997E-3</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75" customHeight="1" x14ac:dyDescent="0.25">
      <c r="B16" s="20"/>
      <c r="C16" s="7" t="s">
        <v>10</v>
      </c>
      <c r="D16" s="8"/>
      <c r="E16" s="12">
        <v>1.6938000000000002E-2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 customHeight="1" x14ac:dyDescent="0.25">
      <c r="B18" s="20"/>
      <c r="C18" s="9" t="s">
        <v>11</v>
      </c>
      <c r="D18" s="10"/>
      <c r="E18" s="13">
        <v>1</v>
      </c>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4" t="s">
        <v>17</v>
      </c>
      <c r="H24" s="85"/>
      <c r="I24" s="85"/>
      <c r="J24" s="85"/>
      <c r="K24" s="85"/>
      <c r="L24" s="103">
        <v>20.55954640043673</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4" t="s">
        <v>18</v>
      </c>
      <c r="H26" s="85"/>
      <c r="I26" s="85"/>
      <c r="J26" s="85"/>
      <c r="K26" s="85"/>
      <c r="L26" s="85"/>
      <c r="M26" s="85"/>
      <c r="N26" s="86"/>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6.5" customHeight="1" thickBot="1" x14ac:dyDescent="0.3">
      <c r="B45" s="67" t="s">
        <v>291</v>
      </c>
      <c r="C45" s="68"/>
      <c r="D45" s="68"/>
      <c r="E45" s="68"/>
      <c r="F45" s="68"/>
      <c r="G45" s="68"/>
      <c r="H45" s="68"/>
      <c r="I45" s="68"/>
      <c r="J45" s="68"/>
      <c r="K45" s="68"/>
      <c r="L45" s="68"/>
      <c r="M45" s="68"/>
      <c r="N45" s="69"/>
    </row>
  </sheetData>
  <mergeCells count="6">
    <mergeCell ref="B45:N45"/>
    <mergeCell ref="C3:N3"/>
    <mergeCell ref="D5:E5"/>
    <mergeCell ref="G7:N7"/>
    <mergeCell ref="G24:K24"/>
    <mergeCell ref="G26:N2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D8D67-A556-4AD2-9DDC-0D01D397FF04}">
  <dimension ref="B1:N45"/>
  <sheetViews>
    <sheetView showGridLines="0" zoomScale="75" zoomScaleNormal="75" workbookViewId="0"/>
  </sheetViews>
  <sheetFormatPr defaultRowHeight="15" x14ac:dyDescent="0.25"/>
  <cols>
    <col min="1" max="1" width="2.85546875" customWidth="1"/>
    <col min="2" max="2" width="3.85546875" customWidth="1"/>
    <col min="3" max="3" width="56"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9" t="s">
        <v>142</v>
      </c>
      <c r="D3" s="80"/>
      <c r="E3" s="80"/>
      <c r="F3" s="80"/>
      <c r="G3" s="80"/>
      <c r="H3" s="80"/>
      <c r="I3" s="80"/>
      <c r="J3" s="80"/>
      <c r="K3" s="80"/>
      <c r="L3" s="80"/>
      <c r="M3" s="80"/>
      <c r="N3" s="81"/>
    </row>
    <row r="4" spans="2:14" ht="15.75" customHeight="1" x14ac:dyDescent="0.25">
      <c r="B4" s="20"/>
      <c r="C4" s="14"/>
      <c r="D4" s="1"/>
      <c r="E4" s="1"/>
      <c r="F4" s="1"/>
      <c r="G4" s="1"/>
      <c r="H4" s="1"/>
      <c r="I4" s="1"/>
      <c r="J4" s="1"/>
      <c r="K4" s="1"/>
      <c r="L4" s="1"/>
      <c r="M4" s="1"/>
      <c r="N4" s="18"/>
    </row>
    <row r="5" spans="2:14" ht="18" customHeight="1" x14ac:dyDescent="0.25">
      <c r="B5" s="20"/>
      <c r="C5" s="15" t="s">
        <v>1</v>
      </c>
      <c r="D5" s="82" t="s">
        <v>143</v>
      </c>
      <c r="E5" s="8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4" t="s">
        <v>16</v>
      </c>
      <c r="H7" s="85"/>
      <c r="I7" s="85"/>
      <c r="J7" s="85"/>
      <c r="K7" s="85"/>
      <c r="L7" s="85"/>
      <c r="M7" s="85"/>
      <c r="N7" s="86"/>
    </row>
    <row r="8" spans="2:14" ht="15" customHeight="1" x14ac:dyDescent="0.25">
      <c r="B8" s="20"/>
      <c r="C8" s="5" t="s">
        <v>59</v>
      </c>
      <c r="D8" s="6" t="s">
        <v>178</v>
      </c>
      <c r="E8" s="11">
        <v>0.56262100000000004</v>
      </c>
      <c r="F8" s="1"/>
      <c r="G8" s="24" t="s">
        <v>15</v>
      </c>
      <c r="H8" s="25">
        <v>1</v>
      </c>
      <c r="I8" s="1"/>
      <c r="J8" s="24" t="s">
        <v>12</v>
      </c>
      <c r="K8" s="24" t="s">
        <v>5</v>
      </c>
      <c r="L8" s="1"/>
      <c r="M8" s="1"/>
      <c r="N8" s="18"/>
    </row>
    <row r="9" spans="2:14" ht="15" customHeight="1" x14ac:dyDescent="0.25">
      <c r="B9" s="20"/>
      <c r="C9" s="5" t="s">
        <v>63</v>
      </c>
      <c r="D9" s="6" t="s">
        <v>178</v>
      </c>
      <c r="E9" s="11">
        <v>0.15783800000000001</v>
      </c>
      <c r="F9" s="1"/>
      <c r="G9" s="1"/>
      <c r="H9" s="1"/>
      <c r="I9" s="1"/>
      <c r="J9" s="24" t="s">
        <v>10</v>
      </c>
      <c r="K9" s="28">
        <v>2.8434999999999998E-2</v>
      </c>
      <c r="L9" s="1"/>
      <c r="M9" s="1"/>
      <c r="N9" s="18"/>
    </row>
    <row r="10" spans="2:14" ht="15" customHeight="1" x14ac:dyDescent="0.25">
      <c r="B10" s="20"/>
      <c r="C10" s="5" t="s">
        <v>116</v>
      </c>
      <c r="D10" s="6" t="s">
        <v>178</v>
      </c>
      <c r="E10" s="11">
        <v>0.15293200000000001</v>
      </c>
      <c r="F10" s="1"/>
      <c r="G10" s="1"/>
      <c r="H10" s="1"/>
      <c r="I10" s="1"/>
      <c r="J10" s="24" t="s">
        <v>13</v>
      </c>
      <c r="K10" s="28">
        <v>5.3210000000000002E-3</v>
      </c>
      <c r="L10" s="1"/>
      <c r="M10" s="1"/>
      <c r="N10" s="18"/>
    </row>
    <row r="11" spans="2:14" ht="15" customHeight="1" x14ac:dyDescent="0.25">
      <c r="B11" s="20"/>
      <c r="C11" s="5" t="s">
        <v>60</v>
      </c>
      <c r="D11" s="6" t="s">
        <v>178</v>
      </c>
      <c r="E11" s="11">
        <v>7.8789999999999999E-2</v>
      </c>
      <c r="F11" s="1"/>
      <c r="G11" s="1"/>
      <c r="H11" s="1"/>
      <c r="I11" s="1"/>
      <c r="J11" s="24" t="s">
        <v>55</v>
      </c>
      <c r="K11" s="28">
        <v>0.96624399999999999</v>
      </c>
      <c r="L11" s="1"/>
      <c r="M11" s="1"/>
      <c r="N11" s="18"/>
    </row>
    <row r="12" spans="2:14" ht="15" customHeight="1" x14ac:dyDescent="0.25">
      <c r="B12" s="20"/>
      <c r="C12" s="5" t="s">
        <v>70</v>
      </c>
      <c r="D12" s="6" t="s">
        <v>178</v>
      </c>
      <c r="E12" s="11">
        <v>7.064E-3</v>
      </c>
      <c r="F12" s="1"/>
      <c r="G12" s="1"/>
      <c r="H12" s="1"/>
      <c r="I12" s="1"/>
      <c r="J12" s="1"/>
      <c r="K12" s="1"/>
      <c r="L12" s="1"/>
      <c r="M12" s="1"/>
      <c r="N12" s="18"/>
    </row>
    <row r="13" spans="2:14" ht="15" customHeight="1" x14ac:dyDescent="0.25">
      <c r="B13" s="20"/>
      <c r="C13" s="5" t="s">
        <v>64</v>
      </c>
      <c r="D13" s="6" t="s">
        <v>178</v>
      </c>
      <c r="E13" s="11">
        <v>4.7530000000000003E-3</v>
      </c>
      <c r="F13" s="1"/>
      <c r="G13" s="1"/>
      <c r="H13" s="1"/>
      <c r="I13" s="1"/>
      <c r="J13" s="1"/>
      <c r="K13" s="1"/>
      <c r="L13" s="1"/>
      <c r="M13" s="1"/>
      <c r="N13" s="18"/>
    </row>
    <row r="14" spans="2:14" ht="15" customHeight="1" x14ac:dyDescent="0.25">
      <c r="B14" s="20"/>
      <c r="C14" s="5" t="s">
        <v>130</v>
      </c>
      <c r="D14" s="6" t="s">
        <v>178</v>
      </c>
      <c r="E14" s="11">
        <v>2.2460000000000002E-3</v>
      </c>
      <c r="F14" s="1"/>
      <c r="G14" s="1"/>
      <c r="H14" s="1"/>
      <c r="I14" s="1"/>
      <c r="J14" s="1"/>
      <c r="K14" s="1"/>
      <c r="L14" s="1"/>
      <c r="M14" s="1"/>
      <c r="N14" s="18"/>
    </row>
    <row r="15" spans="2:14" ht="15.75" customHeight="1" x14ac:dyDescent="0.25">
      <c r="B15" s="20"/>
      <c r="C15" s="7" t="s">
        <v>50</v>
      </c>
      <c r="D15" s="8"/>
      <c r="E15" s="12">
        <v>0.96624399999999999</v>
      </c>
      <c r="F15" s="1"/>
      <c r="G15" s="1"/>
      <c r="H15" s="1"/>
      <c r="I15" s="1"/>
      <c r="J15" s="1"/>
      <c r="K15" s="1"/>
      <c r="L15" s="1"/>
      <c r="M15" s="1"/>
      <c r="N15" s="18"/>
    </row>
    <row r="16" spans="2:14" ht="15" customHeight="1" x14ac:dyDescent="0.25">
      <c r="B16" s="20"/>
      <c r="C16" s="5" t="s">
        <v>8</v>
      </c>
      <c r="D16" s="6"/>
      <c r="E16" s="11">
        <v>5.3210000000000002E-3</v>
      </c>
      <c r="F16" s="1"/>
      <c r="G16" s="1"/>
      <c r="H16" s="1"/>
      <c r="I16" s="1"/>
      <c r="J16" s="1"/>
      <c r="K16" s="1"/>
      <c r="L16" s="1"/>
      <c r="M16" s="1"/>
      <c r="N16" s="18"/>
    </row>
    <row r="17" spans="2:14" ht="15.75" customHeight="1" x14ac:dyDescent="0.25">
      <c r="B17" s="20"/>
      <c r="C17" s="7" t="s">
        <v>9</v>
      </c>
      <c r="D17" s="8"/>
      <c r="E17" s="12">
        <v>5.3210000000000002E-3</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75" customHeight="1" x14ac:dyDescent="0.25">
      <c r="B19" s="20"/>
      <c r="C19" s="7" t="s">
        <v>10</v>
      </c>
      <c r="D19" s="8"/>
      <c r="E19" s="12">
        <v>2.8434999999999998E-2</v>
      </c>
      <c r="F19" s="1"/>
      <c r="G19" s="1"/>
      <c r="H19" s="1"/>
      <c r="I19" s="1"/>
      <c r="J19" s="1"/>
      <c r="K19" s="1"/>
      <c r="L19" s="1"/>
      <c r="M19" s="1"/>
      <c r="N19" s="18"/>
    </row>
    <row r="20" spans="2:14" ht="15" customHeight="1" x14ac:dyDescent="0.25">
      <c r="B20" s="20"/>
      <c r="C20" s="5"/>
      <c r="D20" s="6"/>
      <c r="E20" s="11"/>
      <c r="F20" s="1"/>
      <c r="G20" s="1"/>
      <c r="H20" s="1"/>
      <c r="I20" s="1"/>
      <c r="J20" s="1"/>
      <c r="K20" s="1"/>
      <c r="L20" s="1"/>
      <c r="M20" s="1"/>
      <c r="N20" s="18"/>
    </row>
    <row r="21" spans="2:14" ht="15" customHeight="1" x14ac:dyDescent="0.25">
      <c r="B21" s="20"/>
      <c r="C21" s="9" t="s">
        <v>11</v>
      </c>
      <c r="D21" s="10"/>
      <c r="E21" s="13">
        <v>1</v>
      </c>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4" t="s">
        <v>17</v>
      </c>
      <c r="H24" s="85"/>
      <c r="I24" s="85"/>
      <c r="J24" s="85"/>
      <c r="K24" s="85"/>
      <c r="L24" s="103">
        <v>11.180439050738132</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4" t="s">
        <v>18</v>
      </c>
      <c r="H26" s="85"/>
      <c r="I26" s="85"/>
      <c r="J26" s="85"/>
      <c r="K26" s="85"/>
      <c r="L26" s="85"/>
      <c r="M26" s="85"/>
      <c r="N26" s="86"/>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9" customHeight="1" thickBot="1" x14ac:dyDescent="0.3">
      <c r="B45" s="67" t="s">
        <v>291</v>
      </c>
      <c r="C45" s="68"/>
      <c r="D45" s="68"/>
      <c r="E45" s="68"/>
      <c r="F45" s="68"/>
      <c r="G45" s="68"/>
      <c r="H45" s="68"/>
      <c r="I45" s="68"/>
      <c r="J45" s="68"/>
      <c r="K45" s="68"/>
      <c r="L45" s="68"/>
      <c r="M45" s="68"/>
      <c r="N45" s="69"/>
    </row>
  </sheetData>
  <mergeCells count="6">
    <mergeCell ref="B45:N45"/>
    <mergeCell ref="C3:N3"/>
    <mergeCell ref="D5:E5"/>
    <mergeCell ref="G7:N7"/>
    <mergeCell ref="G24:K24"/>
    <mergeCell ref="G26:N2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FB5D9-43D2-4804-963B-9E7336D02C1A}">
  <dimension ref="B1:N45"/>
  <sheetViews>
    <sheetView showGridLines="0" zoomScale="75" zoomScaleNormal="75" workbookViewId="0"/>
  </sheetViews>
  <sheetFormatPr defaultRowHeight="15" x14ac:dyDescent="0.25"/>
  <cols>
    <col min="1" max="1" width="2.85546875" customWidth="1"/>
    <col min="2" max="2" width="3.85546875" customWidth="1"/>
    <col min="3" max="3" width="56"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9" t="s">
        <v>122</v>
      </c>
      <c r="D3" s="80"/>
      <c r="E3" s="80"/>
      <c r="F3" s="80"/>
      <c r="G3" s="80"/>
      <c r="H3" s="80"/>
      <c r="I3" s="80"/>
      <c r="J3" s="80"/>
      <c r="K3" s="80"/>
      <c r="L3" s="80"/>
      <c r="M3" s="80"/>
      <c r="N3" s="81"/>
    </row>
    <row r="4" spans="2:14" ht="15.75" customHeight="1" x14ac:dyDescent="0.25">
      <c r="B4" s="20"/>
      <c r="C4" s="14"/>
      <c r="D4" s="1"/>
      <c r="E4" s="1"/>
      <c r="F4" s="1"/>
      <c r="G4" s="1"/>
      <c r="H4" s="1"/>
      <c r="I4" s="1"/>
      <c r="J4" s="1"/>
      <c r="K4" s="1"/>
      <c r="L4" s="1"/>
      <c r="M4" s="1"/>
      <c r="N4" s="18"/>
    </row>
    <row r="5" spans="2:14" ht="18" customHeight="1" x14ac:dyDescent="0.25">
      <c r="B5" s="20"/>
      <c r="C5" s="15" t="s">
        <v>1</v>
      </c>
      <c r="D5" s="82" t="s">
        <v>123</v>
      </c>
      <c r="E5" s="8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4" t="s">
        <v>16</v>
      </c>
      <c r="H7" s="85"/>
      <c r="I7" s="85"/>
      <c r="J7" s="85"/>
      <c r="K7" s="85"/>
      <c r="L7" s="85"/>
      <c r="M7" s="85"/>
      <c r="N7" s="86"/>
    </row>
    <row r="8" spans="2:14" ht="15" customHeight="1" x14ac:dyDescent="0.25">
      <c r="B8" s="20"/>
      <c r="C8" s="5" t="s">
        <v>124</v>
      </c>
      <c r="D8" s="6" t="s">
        <v>178</v>
      </c>
      <c r="E8" s="11">
        <v>0.31446200000000002</v>
      </c>
      <c r="F8" s="1"/>
      <c r="G8" s="24" t="s">
        <v>15</v>
      </c>
      <c r="H8" s="25">
        <v>1</v>
      </c>
      <c r="I8" s="1"/>
      <c r="J8" s="24" t="s">
        <v>12</v>
      </c>
      <c r="K8" s="24" t="s">
        <v>5</v>
      </c>
      <c r="L8" s="1"/>
      <c r="M8" s="1"/>
      <c r="N8" s="18"/>
    </row>
    <row r="9" spans="2:14" ht="15" customHeight="1" x14ac:dyDescent="0.25">
      <c r="B9" s="20"/>
      <c r="C9" s="5" t="s">
        <v>80</v>
      </c>
      <c r="D9" s="6" t="s">
        <v>178</v>
      </c>
      <c r="E9" s="11">
        <v>0.30327999999999999</v>
      </c>
      <c r="F9" s="1"/>
      <c r="G9" s="1"/>
      <c r="H9" s="1"/>
      <c r="I9" s="1"/>
      <c r="J9" s="24" t="s">
        <v>10</v>
      </c>
      <c r="K9" s="28">
        <v>1.6560999999999999E-2</v>
      </c>
      <c r="L9" s="1"/>
      <c r="M9" s="1"/>
      <c r="N9" s="18"/>
    </row>
    <row r="10" spans="2:14" ht="15" customHeight="1" x14ac:dyDescent="0.25">
      <c r="B10" s="20"/>
      <c r="C10" s="5" t="s">
        <v>125</v>
      </c>
      <c r="D10" s="6" t="s">
        <v>178</v>
      </c>
      <c r="E10" s="11">
        <v>0.190805</v>
      </c>
      <c r="F10" s="1"/>
      <c r="G10" s="1"/>
      <c r="H10" s="1"/>
      <c r="I10" s="1"/>
      <c r="J10" s="24" t="s">
        <v>13</v>
      </c>
      <c r="K10" s="28">
        <v>1.0093E-2</v>
      </c>
      <c r="L10" s="1"/>
      <c r="M10" s="1"/>
      <c r="N10" s="18"/>
    </row>
    <row r="11" spans="2:14" ht="15" customHeight="1" x14ac:dyDescent="0.25">
      <c r="B11" s="20"/>
      <c r="C11" s="5" t="s">
        <v>126</v>
      </c>
      <c r="D11" s="6" t="s">
        <v>178</v>
      </c>
      <c r="E11" s="11">
        <v>0.101562</v>
      </c>
      <c r="F11" s="1"/>
      <c r="G11" s="1"/>
      <c r="H11" s="1"/>
      <c r="I11" s="1"/>
      <c r="J11" s="24" t="s">
        <v>55</v>
      </c>
      <c r="K11" s="28">
        <v>0.97334600000000004</v>
      </c>
      <c r="L11" s="1"/>
      <c r="M11" s="1"/>
      <c r="N11" s="18"/>
    </row>
    <row r="12" spans="2:14" ht="15" customHeight="1" x14ac:dyDescent="0.25">
      <c r="B12" s="20"/>
      <c r="C12" s="5" t="s">
        <v>127</v>
      </c>
      <c r="D12" s="6" t="s">
        <v>178</v>
      </c>
      <c r="E12" s="11">
        <v>6.3237000000000002E-2</v>
      </c>
      <c r="F12" s="1"/>
      <c r="G12" s="1"/>
      <c r="H12" s="1"/>
      <c r="I12" s="1"/>
      <c r="J12" s="1"/>
      <c r="K12" s="1"/>
      <c r="L12" s="1"/>
      <c r="M12" s="1"/>
      <c r="N12" s="18"/>
    </row>
    <row r="13" spans="2:14" ht="15.75" customHeight="1" x14ac:dyDescent="0.25">
      <c r="B13" s="20"/>
      <c r="C13" s="7" t="s">
        <v>50</v>
      </c>
      <c r="D13" s="8"/>
      <c r="E13" s="12">
        <v>0.97334600000000004</v>
      </c>
      <c r="F13" s="1"/>
      <c r="G13" s="1"/>
      <c r="H13" s="1"/>
      <c r="I13" s="1"/>
      <c r="J13" s="1"/>
      <c r="K13" s="1"/>
      <c r="L13" s="1"/>
      <c r="M13" s="1"/>
      <c r="N13" s="18"/>
    </row>
    <row r="14" spans="2:14" ht="15" customHeight="1" x14ac:dyDescent="0.25">
      <c r="B14" s="20"/>
      <c r="C14" s="5" t="s">
        <v>8</v>
      </c>
      <c r="D14" s="6"/>
      <c r="E14" s="11">
        <v>1.0093E-2</v>
      </c>
      <c r="F14" s="1"/>
      <c r="G14" s="1"/>
      <c r="H14" s="1"/>
      <c r="I14" s="1"/>
      <c r="J14" s="1"/>
      <c r="K14" s="1"/>
      <c r="L14" s="1"/>
      <c r="M14" s="1"/>
      <c r="N14" s="18"/>
    </row>
    <row r="15" spans="2:14" ht="15.75" customHeight="1" x14ac:dyDescent="0.25">
      <c r="B15" s="20"/>
      <c r="C15" s="7" t="s">
        <v>9</v>
      </c>
      <c r="D15" s="8"/>
      <c r="E15" s="12">
        <v>1.0093E-2</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75" customHeight="1" x14ac:dyDescent="0.25">
      <c r="B17" s="20"/>
      <c r="C17" s="7" t="s">
        <v>10</v>
      </c>
      <c r="D17" s="8"/>
      <c r="E17" s="12">
        <v>1.6560999999999999E-2</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 customHeight="1" x14ac:dyDescent="0.25">
      <c r="B19" s="20"/>
      <c r="C19" s="9" t="s">
        <v>11</v>
      </c>
      <c r="D19" s="10"/>
      <c r="E19" s="13">
        <v>1</v>
      </c>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4" t="s">
        <v>17</v>
      </c>
      <c r="H24" s="85"/>
      <c r="I24" s="85"/>
      <c r="J24" s="85"/>
      <c r="K24" s="85"/>
      <c r="L24" s="103">
        <v>2.171398810208204</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4" t="s">
        <v>18</v>
      </c>
      <c r="H26" s="85"/>
      <c r="I26" s="85"/>
      <c r="J26" s="85"/>
      <c r="K26" s="85"/>
      <c r="L26" s="85"/>
      <c r="M26" s="85"/>
      <c r="N26" s="86"/>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9" customHeight="1" thickBot="1" x14ac:dyDescent="0.3">
      <c r="B45" s="67" t="s">
        <v>291</v>
      </c>
      <c r="C45" s="68"/>
      <c r="D45" s="68"/>
      <c r="E45" s="68"/>
      <c r="F45" s="68"/>
      <c r="G45" s="68"/>
      <c r="H45" s="68"/>
      <c r="I45" s="68"/>
      <c r="J45" s="68"/>
      <c r="K45" s="68"/>
      <c r="L45" s="68"/>
      <c r="M45" s="68"/>
      <c r="N45" s="69"/>
    </row>
  </sheetData>
  <mergeCells count="6">
    <mergeCell ref="B45:N45"/>
    <mergeCell ref="C3:N3"/>
    <mergeCell ref="D5:E5"/>
    <mergeCell ref="G7:N7"/>
    <mergeCell ref="G24:K24"/>
    <mergeCell ref="G26:N26"/>
  </mergeCells>
  <pageMargins left="0.7" right="0.7" top="0.75" bottom="0.75" header="0.3" footer="0.3"/>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86E20-C459-4D95-A4ED-7F2C6D1FAAE5}">
  <dimension ref="B1:N45"/>
  <sheetViews>
    <sheetView showGridLines="0" zoomScale="75" zoomScaleNormal="75" workbookViewId="0"/>
  </sheetViews>
  <sheetFormatPr defaultRowHeight="15" x14ac:dyDescent="0.25"/>
  <cols>
    <col min="1" max="1" width="2.85546875" customWidth="1"/>
    <col min="2" max="2" width="3.85546875" customWidth="1"/>
    <col min="3" max="3" width="56"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9" t="s">
        <v>135</v>
      </c>
      <c r="D3" s="80"/>
      <c r="E3" s="80"/>
      <c r="F3" s="80"/>
      <c r="G3" s="80"/>
      <c r="H3" s="80"/>
      <c r="I3" s="80"/>
      <c r="J3" s="80"/>
      <c r="K3" s="80"/>
      <c r="L3" s="80"/>
      <c r="M3" s="80"/>
      <c r="N3" s="81"/>
    </row>
    <row r="4" spans="2:14" ht="15.75" customHeight="1" x14ac:dyDescent="0.25">
      <c r="B4" s="20"/>
      <c r="C4" s="14"/>
      <c r="D4" s="1"/>
      <c r="E4" s="1"/>
      <c r="F4" s="1"/>
      <c r="G4" s="1"/>
      <c r="H4" s="1"/>
      <c r="I4" s="1"/>
      <c r="J4" s="1"/>
      <c r="K4" s="1"/>
      <c r="L4" s="1"/>
      <c r="M4" s="1"/>
      <c r="N4" s="18"/>
    </row>
    <row r="5" spans="2:14" ht="18" customHeight="1" x14ac:dyDescent="0.25">
      <c r="B5" s="20"/>
      <c r="C5" s="15" t="s">
        <v>1</v>
      </c>
      <c r="D5" s="82" t="s">
        <v>136</v>
      </c>
      <c r="E5" s="8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4" t="s">
        <v>16</v>
      </c>
      <c r="H7" s="85"/>
      <c r="I7" s="85"/>
      <c r="J7" s="85"/>
      <c r="K7" s="85"/>
      <c r="L7" s="85"/>
      <c r="M7" s="85"/>
      <c r="N7" s="86"/>
    </row>
    <row r="8" spans="2:14" ht="15" customHeight="1" x14ac:dyDescent="0.25">
      <c r="B8" s="20"/>
      <c r="C8" s="5" t="s">
        <v>49</v>
      </c>
      <c r="D8" s="6" t="s">
        <v>178</v>
      </c>
      <c r="E8" s="11">
        <v>0.74401200000000001</v>
      </c>
      <c r="F8" s="1"/>
      <c r="G8" s="24" t="s">
        <v>15</v>
      </c>
      <c r="H8" s="25">
        <v>1</v>
      </c>
      <c r="I8" s="1"/>
      <c r="J8" s="24" t="s">
        <v>12</v>
      </c>
      <c r="K8" s="24" t="s">
        <v>5</v>
      </c>
      <c r="L8" s="1"/>
      <c r="M8" s="1"/>
      <c r="N8" s="18"/>
    </row>
    <row r="9" spans="2:14" ht="15" customHeight="1" x14ac:dyDescent="0.25">
      <c r="B9" s="20"/>
      <c r="C9" s="5" t="s">
        <v>70</v>
      </c>
      <c r="D9" s="6" t="s">
        <v>178</v>
      </c>
      <c r="E9" s="11">
        <v>0.135436</v>
      </c>
      <c r="F9" s="1"/>
      <c r="G9" s="1"/>
      <c r="H9" s="1"/>
      <c r="I9" s="1"/>
      <c r="J9" s="24" t="s">
        <v>10</v>
      </c>
      <c r="K9" s="28">
        <v>6.4799999999999996E-3</v>
      </c>
      <c r="L9" s="1"/>
      <c r="M9" s="1"/>
      <c r="N9" s="18"/>
    </row>
    <row r="10" spans="2:14" ht="15" customHeight="1" x14ac:dyDescent="0.25">
      <c r="B10" s="20"/>
      <c r="C10" s="5" t="s">
        <v>64</v>
      </c>
      <c r="D10" s="6" t="s">
        <v>178</v>
      </c>
      <c r="E10" s="11">
        <v>0.103643</v>
      </c>
      <c r="F10" s="1"/>
      <c r="G10" s="1"/>
      <c r="H10" s="1"/>
      <c r="I10" s="1"/>
      <c r="J10" s="24" t="s">
        <v>13</v>
      </c>
      <c r="K10" s="28">
        <v>1.0429000000000001E-2</v>
      </c>
      <c r="L10" s="1"/>
      <c r="M10" s="1"/>
      <c r="N10" s="18"/>
    </row>
    <row r="11" spans="2:14" ht="15.75" customHeight="1" x14ac:dyDescent="0.25">
      <c r="B11" s="20"/>
      <c r="C11" s="7" t="s">
        <v>50</v>
      </c>
      <c r="D11" s="8"/>
      <c r="E11" s="12">
        <v>0.98309100000000005</v>
      </c>
      <c r="F11" s="1"/>
      <c r="G11" s="1"/>
      <c r="H11" s="1"/>
      <c r="I11" s="1"/>
      <c r="J11" s="24" t="s">
        <v>55</v>
      </c>
      <c r="K11" s="28">
        <v>0.98309100000000005</v>
      </c>
      <c r="L11" s="1"/>
      <c r="M11" s="1"/>
      <c r="N11" s="18"/>
    </row>
    <row r="12" spans="2:14" ht="15" customHeight="1" x14ac:dyDescent="0.25">
      <c r="B12" s="20"/>
      <c r="C12" s="5" t="s">
        <v>8</v>
      </c>
      <c r="D12" s="6"/>
      <c r="E12" s="11">
        <v>1.0429000000000001E-2</v>
      </c>
      <c r="F12" s="1"/>
      <c r="G12" s="1"/>
      <c r="H12" s="1"/>
      <c r="I12" s="1"/>
      <c r="J12" s="1"/>
      <c r="K12" s="1"/>
      <c r="L12" s="1"/>
      <c r="M12" s="1"/>
      <c r="N12" s="18"/>
    </row>
    <row r="13" spans="2:14" ht="15.75" customHeight="1" x14ac:dyDescent="0.25">
      <c r="B13" s="20"/>
      <c r="C13" s="7" t="s">
        <v>9</v>
      </c>
      <c r="D13" s="8"/>
      <c r="E13" s="12">
        <v>1.0429000000000001E-2</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10</v>
      </c>
      <c r="D15" s="8"/>
      <c r="E15" s="12">
        <v>6.4799999999999996E-3</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11</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4" t="s">
        <v>17</v>
      </c>
      <c r="H24" s="85"/>
      <c r="I24" s="85"/>
      <c r="J24" s="85"/>
      <c r="K24" s="85"/>
      <c r="L24" s="103">
        <v>3.3775852932141701</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4" t="s">
        <v>18</v>
      </c>
      <c r="H26" s="85"/>
      <c r="I26" s="85"/>
      <c r="J26" s="85"/>
      <c r="K26" s="85"/>
      <c r="L26" s="85"/>
      <c r="M26" s="85"/>
      <c r="N26" s="86"/>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9" customHeight="1" thickBot="1" x14ac:dyDescent="0.3">
      <c r="B45" s="67" t="s">
        <v>291</v>
      </c>
      <c r="C45" s="68"/>
      <c r="D45" s="68"/>
      <c r="E45" s="68"/>
      <c r="F45" s="68"/>
      <c r="G45" s="68"/>
      <c r="H45" s="68"/>
      <c r="I45" s="68"/>
      <c r="J45" s="68"/>
      <c r="K45" s="68"/>
      <c r="L45" s="68"/>
      <c r="M45" s="68"/>
      <c r="N45" s="69"/>
    </row>
  </sheetData>
  <mergeCells count="6">
    <mergeCell ref="B45:N45"/>
    <mergeCell ref="C3:N3"/>
    <mergeCell ref="D5:E5"/>
    <mergeCell ref="G7:N7"/>
    <mergeCell ref="G24:K24"/>
    <mergeCell ref="G26:N2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0811B-56D4-4F02-BFFC-0F6924C6944F}">
  <dimension ref="B1:N45"/>
  <sheetViews>
    <sheetView showGridLines="0" zoomScale="75" zoomScaleNormal="75" workbookViewId="0"/>
  </sheetViews>
  <sheetFormatPr defaultRowHeight="15" x14ac:dyDescent="0.25"/>
  <cols>
    <col min="1" max="1" width="2.85546875" customWidth="1"/>
    <col min="2" max="2" width="3.85546875" customWidth="1"/>
    <col min="3" max="3" width="56"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9" t="s">
        <v>128</v>
      </c>
      <c r="D3" s="80"/>
      <c r="E3" s="80"/>
      <c r="F3" s="80"/>
      <c r="G3" s="80"/>
      <c r="H3" s="80"/>
      <c r="I3" s="80"/>
      <c r="J3" s="80"/>
      <c r="K3" s="80"/>
      <c r="L3" s="80"/>
      <c r="M3" s="80"/>
      <c r="N3" s="81"/>
    </row>
    <row r="4" spans="2:14" ht="15.75" customHeight="1" x14ac:dyDescent="0.25">
      <c r="B4" s="20"/>
      <c r="C4" s="14"/>
      <c r="D4" s="1"/>
      <c r="E4" s="1"/>
      <c r="F4" s="1"/>
      <c r="G4" s="1"/>
      <c r="H4" s="1"/>
      <c r="I4" s="1"/>
      <c r="J4" s="1"/>
      <c r="K4" s="1"/>
      <c r="L4" s="1"/>
      <c r="M4" s="1"/>
      <c r="N4" s="18"/>
    </row>
    <row r="5" spans="2:14" ht="18" customHeight="1" x14ac:dyDescent="0.25">
      <c r="B5" s="20"/>
      <c r="C5" s="15" t="s">
        <v>1</v>
      </c>
      <c r="D5" s="82" t="s">
        <v>129</v>
      </c>
      <c r="E5" s="8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4" t="s">
        <v>16</v>
      </c>
      <c r="H7" s="85"/>
      <c r="I7" s="85"/>
      <c r="J7" s="85"/>
      <c r="K7" s="85"/>
      <c r="L7" s="85"/>
      <c r="M7" s="85"/>
      <c r="N7" s="86"/>
    </row>
    <row r="8" spans="2:14" ht="15" customHeight="1" x14ac:dyDescent="0.25">
      <c r="B8" s="20"/>
      <c r="C8" s="5" t="s">
        <v>130</v>
      </c>
      <c r="D8" s="6" t="s">
        <v>178</v>
      </c>
      <c r="E8" s="11">
        <v>0.61533099999999996</v>
      </c>
      <c r="F8" s="1"/>
      <c r="G8" s="24" t="s">
        <v>15</v>
      </c>
      <c r="H8" s="25">
        <v>1</v>
      </c>
      <c r="I8" s="1"/>
      <c r="J8" s="24" t="s">
        <v>12</v>
      </c>
      <c r="K8" s="24" t="s">
        <v>5</v>
      </c>
      <c r="L8" s="1"/>
      <c r="M8" s="1"/>
      <c r="N8" s="18"/>
    </row>
    <row r="9" spans="2:14" ht="15" customHeight="1" x14ac:dyDescent="0.25">
      <c r="B9" s="20"/>
      <c r="C9" s="5" t="s">
        <v>131</v>
      </c>
      <c r="D9" s="6" t="s">
        <v>178</v>
      </c>
      <c r="E9" s="11">
        <v>0.30809300000000001</v>
      </c>
      <c r="F9" s="1"/>
      <c r="G9" s="1"/>
      <c r="H9" s="1"/>
      <c r="I9" s="1"/>
      <c r="J9" s="24" t="s">
        <v>10</v>
      </c>
      <c r="K9" s="28">
        <v>2.7855999999999999E-2</v>
      </c>
      <c r="L9" s="1"/>
      <c r="M9" s="1"/>
      <c r="N9" s="18"/>
    </row>
    <row r="10" spans="2:14" ht="15" customHeight="1" x14ac:dyDescent="0.25">
      <c r="B10" s="20"/>
      <c r="C10" s="5" t="s">
        <v>49</v>
      </c>
      <c r="D10" s="6" t="s">
        <v>178</v>
      </c>
      <c r="E10" s="11">
        <v>4.2222000000000003E-2</v>
      </c>
      <c r="F10" s="1"/>
      <c r="G10" s="1"/>
      <c r="H10" s="1"/>
      <c r="I10" s="1"/>
      <c r="J10" s="24" t="s">
        <v>13</v>
      </c>
      <c r="K10" s="28">
        <v>6.4980000000000003E-3</v>
      </c>
      <c r="L10" s="1"/>
      <c r="M10" s="1"/>
      <c r="N10" s="18"/>
    </row>
    <row r="11" spans="2:14" ht="15.75" customHeight="1" x14ac:dyDescent="0.25">
      <c r="B11" s="20"/>
      <c r="C11" s="7" t="s">
        <v>50</v>
      </c>
      <c r="D11" s="8"/>
      <c r="E11" s="12">
        <v>0.965646</v>
      </c>
      <c r="F11" s="1"/>
      <c r="G11" s="1"/>
      <c r="H11" s="1"/>
      <c r="I11" s="1"/>
      <c r="J11" s="24" t="s">
        <v>55</v>
      </c>
      <c r="K11" s="28">
        <v>0.965646</v>
      </c>
      <c r="L11" s="1"/>
      <c r="M11" s="1"/>
      <c r="N11" s="18"/>
    </row>
    <row r="12" spans="2:14" ht="15" customHeight="1" x14ac:dyDescent="0.25">
      <c r="B12" s="20"/>
      <c r="C12" s="5" t="s">
        <v>8</v>
      </c>
      <c r="D12" s="6"/>
      <c r="E12" s="11">
        <v>6.4980000000000003E-3</v>
      </c>
      <c r="F12" s="1"/>
      <c r="G12" s="1"/>
      <c r="H12" s="1"/>
      <c r="I12" s="1"/>
      <c r="J12" s="1"/>
      <c r="K12" s="1"/>
      <c r="L12" s="1"/>
      <c r="M12" s="1"/>
      <c r="N12" s="18"/>
    </row>
    <row r="13" spans="2:14" ht="15.75" customHeight="1" x14ac:dyDescent="0.25">
      <c r="B13" s="20"/>
      <c r="C13" s="7" t="s">
        <v>9</v>
      </c>
      <c r="D13" s="8"/>
      <c r="E13" s="12">
        <v>6.4980000000000003E-3</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10</v>
      </c>
      <c r="D15" s="8"/>
      <c r="E15" s="12">
        <v>2.7855999999999999E-2</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11</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4" t="s">
        <v>17</v>
      </c>
      <c r="H24" s="85"/>
      <c r="I24" s="85"/>
      <c r="J24" s="85"/>
      <c r="K24" s="85"/>
      <c r="L24" s="103">
        <v>3.8819797114565961</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4" t="s">
        <v>18</v>
      </c>
      <c r="H26" s="85"/>
      <c r="I26" s="85"/>
      <c r="J26" s="85"/>
      <c r="K26" s="85"/>
      <c r="L26" s="85"/>
      <c r="M26" s="85"/>
      <c r="N26" s="86"/>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9" customHeight="1" thickBot="1" x14ac:dyDescent="0.3">
      <c r="B45" s="67" t="s">
        <v>291</v>
      </c>
      <c r="C45" s="68"/>
      <c r="D45" s="68"/>
      <c r="E45" s="68"/>
      <c r="F45" s="68"/>
      <c r="G45" s="68"/>
      <c r="H45" s="68"/>
      <c r="I45" s="68"/>
      <c r="J45" s="68"/>
      <c r="K45" s="68"/>
      <c r="L45" s="68"/>
      <c r="M45" s="68"/>
      <c r="N45" s="69"/>
    </row>
  </sheetData>
  <mergeCells count="6">
    <mergeCell ref="B45:N45"/>
    <mergeCell ref="C3:N3"/>
    <mergeCell ref="D5:E5"/>
    <mergeCell ref="G7:N7"/>
    <mergeCell ref="G24:K24"/>
    <mergeCell ref="G26:N26"/>
  </mergeCells>
  <pageMargins left="0.7" right="0.7" top="0.75" bottom="0.75" header="0.3" footer="0.3"/>
  <pageSetup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CB6BE-97EA-4863-BF58-2A546FAD0AB3}">
  <dimension ref="B1:N45"/>
  <sheetViews>
    <sheetView showGridLines="0" zoomScale="75" zoomScaleNormal="75" workbookViewId="0"/>
  </sheetViews>
  <sheetFormatPr defaultRowHeight="15" x14ac:dyDescent="0.25"/>
  <cols>
    <col min="1" max="1" width="2.85546875" customWidth="1"/>
    <col min="2" max="2" width="3.85546875" customWidth="1"/>
    <col min="3" max="3" width="56"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9" t="s">
        <v>132</v>
      </c>
      <c r="D3" s="80"/>
      <c r="E3" s="80"/>
      <c r="F3" s="80"/>
      <c r="G3" s="80"/>
      <c r="H3" s="80"/>
      <c r="I3" s="80"/>
      <c r="J3" s="80"/>
      <c r="K3" s="80"/>
      <c r="L3" s="80"/>
      <c r="M3" s="80"/>
      <c r="N3" s="81"/>
    </row>
    <row r="4" spans="2:14" ht="15.75" customHeight="1" x14ac:dyDescent="0.25">
      <c r="B4" s="20"/>
      <c r="C4" s="14"/>
      <c r="D4" s="1"/>
      <c r="E4" s="1"/>
      <c r="F4" s="1"/>
      <c r="G4" s="1"/>
      <c r="H4" s="1"/>
      <c r="I4" s="1"/>
      <c r="J4" s="1"/>
      <c r="K4" s="1"/>
      <c r="L4" s="1"/>
      <c r="M4" s="1"/>
      <c r="N4" s="18"/>
    </row>
    <row r="5" spans="2:14" ht="18" customHeight="1" x14ac:dyDescent="0.25">
      <c r="B5" s="20"/>
      <c r="C5" s="15" t="s">
        <v>1</v>
      </c>
      <c r="D5" s="82" t="s">
        <v>133</v>
      </c>
      <c r="E5" s="8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4" t="s">
        <v>16</v>
      </c>
      <c r="H7" s="85"/>
      <c r="I7" s="85"/>
      <c r="J7" s="85"/>
      <c r="K7" s="85"/>
      <c r="L7" s="85"/>
      <c r="M7" s="85"/>
      <c r="N7" s="86"/>
    </row>
    <row r="8" spans="2:14" ht="15" customHeight="1" x14ac:dyDescent="0.25">
      <c r="B8" s="20"/>
      <c r="C8" s="5" t="s">
        <v>116</v>
      </c>
      <c r="D8" s="6" t="s">
        <v>178</v>
      </c>
      <c r="E8" s="11">
        <v>0.71465500000000004</v>
      </c>
      <c r="F8" s="1"/>
      <c r="G8" s="24" t="s">
        <v>15</v>
      </c>
      <c r="H8" s="25">
        <v>1</v>
      </c>
      <c r="I8" s="1"/>
      <c r="J8" s="24" t="s">
        <v>12</v>
      </c>
      <c r="K8" s="24" t="s">
        <v>5</v>
      </c>
      <c r="L8" s="1"/>
      <c r="M8" s="1"/>
      <c r="N8" s="18"/>
    </row>
    <row r="9" spans="2:14" ht="15" customHeight="1" x14ac:dyDescent="0.25">
      <c r="B9" s="20"/>
      <c r="C9" s="5" t="s">
        <v>62</v>
      </c>
      <c r="D9" s="6" t="s">
        <v>178</v>
      </c>
      <c r="E9" s="11">
        <v>0.238537</v>
      </c>
      <c r="F9" s="1"/>
      <c r="G9" s="1"/>
      <c r="H9" s="1"/>
      <c r="I9" s="1"/>
      <c r="J9" s="24" t="s">
        <v>10</v>
      </c>
      <c r="K9" s="28">
        <v>2.8920999999999999E-2</v>
      </c>
      <c r="L9" s="1"/>
      <c r="M9" s="1"/>
      <c r="N9" s="18"/>
    </row>
    <row r="10" spans="2:14" ht="15.75" customHeight="1" x14ac:dyDescent="0.25">
      <c r="B10" s="20"/>
      <c r="C10" s="7" t="s">
        <v>50</v>
      </c>
      <c r="D10" s="8"/>
      <c r="E10" s="12">
        <v>0.95319200000000004</v>
      </c>
      <c r="F10" s="1"/>
      <c r="G10" s="1"/>
      <c r="H10" s="1"/>
      <c r="I10" s="1"/>
      <c r="J10" s="24" t="s">
        <v>13</v>
      </c>
      <c r="K10" s="28">
        <v>1.7887E-2</v>
      </c>
      <c r="L10" s="1"/>
      <c r="M10" s="1"/>
      <c r="N10" s="18"/>
    </row>
    <row r="11" spans="2:14" ht="15" customHeight="1" x14ac:dyDescent="0.25">
      <c r="B11" s="20"/>
      <c r="C11" s="5" t="s">
        <v>8</v>
      </c>
      <c r="D11" s="6"/>
      <c r="E11" s="11">
        <v>1.7887E-2</v>
      </c>
      <c r="F11" s="1"/>
      <c r="G11" s="1"/>
      <c r="H11" s="1"/>
      <c r="I11" s="1"/>
      <c r="J11" s="24" t="s">
        <v>55</v>
      </c>
      <c r="K11" s="28">
        <v>0.95319200000000004</v>
      </c>
      <c r="L11" s="1"/>
      <c r="M11" s="1"/>
      <c r="N11" s="18"/>
    </row>
    <row r="12" spans="2:14" ht="15.75" customHeight="1" x14ac:dyDescent="0.25">
      <c r="B12" s="20"/>
      <c r="C12" s="7" t="s">
        <v>9</v>
      </c>
      <c r="D12" s="8"/>
      <c r="E12" s="12">
        <v>1.7887E-2</v>
      </c>
      <c r="F12" s="1"/>
      <c r="G12" s="1"/>
      <c r="H12" s="1"/>
      <c r="I12" s="1"/>
      <c r="J12" s="1"/>
      <c r="K12" s="1"/>
      <c r="L12" s="1"/>
      <c r="M12" s="1"/>
      <c r="N12" s="18"/>
    </row>
    <row r="13" spans="2:14" ht="15" customHeight="1" x14ac:dyDescent="0.25">
      <c r="B13" s="20"/>
      <c r="C13" s="5"/>
      <c r="D13" s="6"/>
      <c r="E13" s="11"/>
      <c r="F13" s="1"/>
      <c r="G13" s="1"/>
      <c r="H13" s="1"/>
      <c r="I13" s="1"/>
      <c r="J13" s="1"/>
      <c r="K13" s="1"/>
      <c r="L13" s="1"/>
      <c r="M13" s="1"/>
      <c r="N13" s="18"/>
    </row>
    <row r="14" spans="2:14" ht="15.75" customHeight="1" x14ac:dyDescent="0.25">
      <c r="B14" s="20"/>
      <c r="C14" s="7" t="s">
        <v>10</v>
      </c>
      <c r="D14" s="8"/>
      <c r="E14" s="12">
        <v>2.8920999999999999E-2</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 customHeight="1" x14ac:dyDescent="0.25">
      <c r="B16" s="20"/>
      <c r="C16" s="9" t="s">
        <v>11</v>
      </c>
      <c r="D16" s="10"/>
      <c r="E16" s="13">
        <v>1</v>
      </c>
      <c r="F16" s="1"/>
      <c r="G16" s="1"/>
      <c r="H16" s="1"/>
      <c r="I16" s="1"/>
      <c r="J16" s="1"/>
      <c r="K16" s="1"/>
      <c r="L16" s="1"/>
      <c r="M16" s="1"/>
      <c r="N16" s="18"/>
    </row>
    <row r="17" spans="2:14" ht="15" customHeight="1" x14ac:dyDescent="0.25">
      <c r="B17" s="20"/>
      <c r="C17" s="1"/>
      <c r="D17" s="1"/>
      <c r="E17" s="1"/>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4" t="s">
        <v>17</v>
      </c>
      <c r="H24" s="85"/>
      <c r="I24" s="85"/>
      <c r="J24" s="85"/>
      <c r="K24" s="85"/>
      <c r="L24" s="103">
        <v>7.7852261832547986</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4" t="s">
        <v>18</v>
      </c>
      <c r="H26" s="85"/>
      <c r="I26" s="85"/>
      <c r="J26" s="85"/>
      <c r="K26" s="85"/>
      <c r="L26" s="85"/>
      <c r="M26" s="85"/>
      <c r="N26" s="86"/>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9" customHeight="1" thickBot="1" x14ac:dyDescent="0.3">
      <c r="B45" s="67" t="s">
        <v>291</v>
      </c>
      <c r="C45" s="68"/>
      <c r="D45" s="68"/>
      <c r="E45" s="68"/>
      <c r="F45" s="68"/>
      <c r="G45" s="68"/>
      <c r="H45" s="68"/>
      <c r="I45" s="68"/>
      <c r="J45" s="68"/>
      <c r="K45" s="68"/>
      <c r="L45" s="68"/>
      <c r="M45" s="68"/>
      <c r="N45" s="69"/>
    </row>
  </sheetData>
  <mergeCells count="6">
    <mergeCell ref="B45:N45"/>
    <mergeCell ref="C3:N3"/>
    <mergeCell ref="D5:E5"/>
    <mergeCell ref="G7:N7"/>
    <mergeCell ref="G24:K24"/>
    <mergeCell ref="G26:N26"/>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2D17B-626C-4283-9D44-5E0263478566}">
  <dimension ref="B1:N45"/>
  <sheetViews>
    <sheetView showGridLines="0" zoomScale="75" zoomScaleNormal="75" workbookViewId="0"/>
  </sheetViews>
  <sheetFormatPr defaultRowHeight="15" x14ac:dyDescent="0.25"/>
  <cols>
    <col min="1" max="1" width="2.85546875" customWidth="1"/>
    <col min="2" max="2" width="3.85546875" customWidth="1"/>
    <col min="3" max="3" width="56"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9" t="s">
        <v>117</v>
      </c>
      <c r="D3" s="80"/>
      <c r="E3" s="80"/>
      <c r="F3" s="80"/>
      <c r="G3" s="80"/>
      <c r="H3" s="80"/>
      <c r="I3" s="80"/>
      <c r="J3" s="80"/>
      <c r="K3" s="80"/>
      <c r="L3" s="80"/>
      <c r="M3" s="80"/>
      <c r="N3" s="81"/>
    </row>
    <row r="4" spans="2:14" ht="15.75" customHeight="1" x14ac:dyDescent="0.25">
      <c r="B4" s="20"/>
      <c r="C4" s="14"/>
      <c r="D4" s="1"/>
      <c r="E4" s="1"/>
      <c r="F4" s="1"/>
      <c r="G4" s="1"/>
      <c r="H4" s="1"/>
      <c r="I4" s="1"/>
      <c r="J4" s="1"/>
      <c r="K4" s="1"/>
      <c r="L4" s="1"/>
      <c r="M4" s="1"/>
      <c r="N4" s="18"/>
    </row>
    <row r="5" spans="2:14" ht="18" customHeight="1" x14ac:dyDescent="0.25">
      <c r="B5" s="20"/>
      <c r="C5" s="15" t="s">
        <v>1</v>
      </c>
      <c r="D5" s="82" t="s">
        <v>118</v>
      </c>
      <c r="E5" s="8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4" t="s">
        <v>16</v>
      </c>
      <c r="H7" s="85"/>
      <c r="I7" s="85"/>
      <c r="J7" s="85"/>
      <c r="K7" s="85"/>
      <c r="L7" s="85"/>
      <c r="M7" s="85"/>
      <c r="N7" s="86"/>
    </row>
    <row r="8" spans="2:14" ht="15" customHeight="1" x14ac:dyDescent="0.25">
      <c r="B8" s="20"/>
      <c r="C8" s="5" t="s">
        <v>119</v>
      </c>
      <c r="D8" s="6" t="s">
        <v>178</v>
      </c>
      <c r="E8" s="11">
        <v>0.131912</v>
      </c>
      <c r="F8" s="1"/>
      <c r="G8" s="24" t="s">
        <v>15</v>
      </c>
      <c r="H8" s="25">
        <v>1</v>
      </c>
      <c r="I8" s="1"/>
      <c r="J8" s="24" t="s">
        <v>12</v>
      </c>
      <c r="K8" s="24" t="s">
        <v>5</v>
      </c>
      <c r="L8" s="1"/>
      <c r="M8" s="1"/>
      <c r="N8" s="18"/>
    </row>
    <row r="9" spans="2:14" ht="15.75" customHeight="1" x14ac:dyDescent="0.25">
      <c r="B9" s="20"/>
      <c r="C9" s="7" t="s">
        <v>50</v>
      </c>
      <c r="D9" s="8"/>
      <c r="E9" s="12">
        <v>0.131912</v>
      </c>
      <c r="F9" s="1"/>
      <c r="G9" s="1"/>
      <c r="H9" s="1"/>
      <c r="I9" s="1"/>
      <c r="J9" s="24" t="s">
        <v>10</v>
      </c>
      <c r="K9" s="28">
        <v>1.5845999999999999E-2</v>
      </c>
      <c r="L9" s="1"/>
      <c r="M9" s="1"/>
      <c r="N9" s="18"/>
    </row>
    <row r="10" spans="2:14" ht="15" customHeight="1" x14ac:dyDescent="0.25">
      <c r="B10" s="20"/>
      <c r="C10" s="5" t="s">
        <v>242</v>
      </c>
      <c r="D10" s="6" t="s">
        <v>178</v>
      </c>
      <c r="E10" s="11">
        <v>0.15975900000000001</v>
      </c>
      <c r="F10" s="1"/>
      <c r="G10" s="1"/>
      <c r="H10" s="1"/>
      <c r="I10" s="1"/>
      <c r="J10" s="24" t="s">
        <v>13</v>
      </c>
      <c r="K10" s="28">
        <v>3.5958999999999998E-2</v>
      </c>
      <c r="L10" s="1"/>
      <c r="M10" s="1"/>
      <c r="N10" s="18"/>
    </row>
    <row r="11" spans="2:14" ht="15.75" customHeight="1" x14ac:dyDescent="0.25">
      <c r="B11" s="20"/>
      <c r="C11" s="5" t="s">
        <v>237</v>
      </c>
      <c r="D11" s="6" t="s">
        <v>178</v>
      </c>
      <c r="E11" s="11">
        <v>0.13273299999999999</v>
      </c>
      <c r="F11" s="1"/>
      <c r="G11" s="1"/>
      <c r="H11" s="1"/>
      <c r="I11" s="1"/>
      <c r="J11" s="24" t="s">
        <v>55</v>
      </c>
      <c r="K11" s="28">
        <v>0.131912</v>
      </c>
      <c r="L11" s="1"/>
      <c r="M11" s="1"/>
      <c r="N11" s="18"/>
    </row>
    <row r="12" spans="2:14" ht="15" customHeight="1" x14ac:dyDescent="0.25">
      <c r="B12" s="20"/>
      <c r="C12" s="5" t="s">
        <v>239</v>
      </c>
      <c r="D12" s="6" t="s">
        <v>178</v>
      </c>
      <c r="E12" s="11">
        <v>9.0887999999999997E-2</v>
      </c>
      <c r="F12" s="1"/>
      <c r="G12" s="1"/>
      <c r="H12" s="1"/>
      <c r="I12" s="1"/>
      <c r="J12" s="24" t="s">
        <v>56</v>
      </c>
      <c r="K12" s="28">
        <v>0.81628299999999998</v>
      </c>
      <c r="L12" s="1"/>
      <c r="M12" s="1"/>
      <c r="N12" s="18"/>
    </row>
    <row r="13" spans="2:14" ht="15.75" customHeight="1" x14ac:dyDescent="0.25">
      <c r="B13" s="20"/>
      <c r="C13" s="5" t="s">
        <v>245</v>
      </c>
      <c r="D13" s="6" t="s">
        <v>178</v>
      </c>
      <c r="E13" s="11">
        <v>5.5782999999999999E-2</v>
      </c>
      <c r="F13" s="1"/>
      <c r="G13" s="1"/>
      <c r="H13" s="1"/>
      <c r="I13" s="1"/>
      <c r="J13" s="1"/>
      <c r="K13" s="1"/>
      <c r="L13" s="1"/>
      <c r="M13" s="1"/>
      <c r="N13" s="18"/>
    </row>
    <row r="14" spans="2:14" ht="15" customHeight="1" x14ac:dyDescent="0.25">
      <c r="B14" s="20"/>
      <c r="C14" s="5" t="s">
        <v>235</v>
      </c>
      <c r="D14" s="6" t="s">
        <v>178</v>
      </c>
      <c r="E14" s="11">
        <v>4.5261999999999997E-2</v>
      </c>
      <c r="F14" s="1"/>
      <c r="G14" s="1"/>
      <c r="H14" s="1"/>
      <c r="I14" s="1"/>
      <c r="J14" s="1"/>
      <c r="K14" s="1"/>
      <c r="L14" s="1"/>
      <c r="M14" s="1"/>
      <c r="N14" s="18"/>
    </row>
    <row r="15" spans="2:14" ht="15.75" customHeight="1" x14ac:dyDescent="0.25">
      <c r="B15" s="20"/>
      <c r="C15" s="5" t="s">
        <v>240</v>
      </c>
      <c r="D15" s="6" t="s">
        <v>178</v>
      </c>
      <c r="E15" s="11">
        <v>4.5196E-2</v>
      </c>
      <c r="F15" s="1"/>
      <c r="G15" s="1"/>
      <c r="H15" s="1"/>
      <c r="I15" s="1"/>
      <c r="J15" s="1"/>
      <c r="K15" s="1"/>
      <c r="L15" s="1"/>
      <c r="M15" s="1"/>
      <c r="N15" s="18"/>
    </row>
    <row r="16" spans="2:14" ht="15" customHeight="1" x14ac:dyDescent="0.25">
      <c r="B16" s="20"/>
      <c r="C16" s="5" t="s">
        <v>234</v>
      </c>
      <c r="D16" s="6" t="s">
        <v>178</v>
      </c>
      <c r="E16" s="11">
        <v>4.5089999999999998E-2</v>
      </c>
      <c r="F16" s="1"/>
      <c r="G16" s="1"/>
      <c r="H16" s="1"/>
      <c r="I16" s="1"/>
      <c r="J16" s="1"/>
      <c r="K16" s="1"/>
      <c r="L16" s="1"/>
      <c r="M16" s="1"/>
      <c r="N16" s="18"/>
    </row>
    <row r="17" spans="2:14" ht="15" customHeight="1" x14ac:dyDescent="0.25">
      <c r="B17" s="20"/>
      <c r="C17" s="5" t="s">
        <v>241</v>
      </c>
      <c r="D17" s="6" t="s">
        <v>178</v>
      </c>
      <c r="E17" s="11">
        <v>3.7043E-2</v>
      </c>
      <c r="F17" s="1"/>
      <c r="G17" s="1"/>
      <c r="H17" s="1"/>
      <c r="I17" s="1"/>
      <c r="J17" s="1"/>
      <c r="K17" s="1"/>
      <c r="L17" s="1"/>
      <c r="M17" s="1"/>
      <c r="N17" s="18"/>
    </row>
    <row r="18" spans="2:14" ht="15" customHeight="1" x14ac:dyDescent="0.25">
      <c r="B18" s="20"/>
      <c r="C18" s="5" t="s">
        <v>246</v>
      </c>
      <c r="D18" s="6" t="s">
        <v>178</v>
      </c>
      <c r="E18" s="11">
        <v>3.6761000000000002E-2</v>
      </c>
      <c r="F18" s="1"/>
      <c r="G18" s="1"/>
      <c r="H18" s="1"/>
      <c r="I18" s="1"/>
      <c r="J18" s="1"/>
      <c r="K18" s="1"/>
      <c r="L18" s="1"/>
      <c r="M18" s="1"/>
      <c r="N18" s="18"/>
    </row>
    <row r="19" spans="2:14" ht="15" customHeight="1" x14ac:dyDescent="0.25">
      <c r="B19" s="20"/>
      <c r="C19" s="5" t="s">
        <v>243</v>
      </c>
      <c r="D19" s="6" t="s">
        <v>178</v>
      </c>
      <c r="E19" s="11">
        <v>3.6514999999999999E-2</v>
      </c>
      <c r="F19" s="1"/>
      <c r="G19" s="1"/>
      <c r="H19" s="1"/>
      <c r="I19" s="1"/>
      <c r="J19" s="1"/>
      <c r="K19" s="1"/>
      <c r="L19" s="1"/>
      <c r="M19" s="1"/>
      <c r="N19" s="18"/>
    </row>
    <row r="20" spans="2:14" ht="15" customHeight="1" x14ac:dyDescent="0.25">
      <c r="B20" s="20"/>
      <c r="C20" s="5" t="s">
        <v>191</v>
      </c>
      <c r="D20" s="6" t="s">
        <v>178</v>
      </c>
      <c r="E20" s="11">
        <v>3.1813000000000001E-2</v>
      </c>
      <c r="F20" s="1"/>
      <c r="G20" s="1"/>
      <c r="H20" s="1"/>
      <c r="I20" s="1"/>
      <c r="J20" s="1"/>
      <c r="K20" s="1"/>
      <c r="L20" s="1"/>
      <c r="M20" s="1"/>
      <c r="N20" s="18"/>
    </row>
    <row r="21" spans="2:14" ht="15" customHeight="1" x14ac:dyDescent="0.25">
      <c r="B21" s="20"/>
      <c r="C21" s="5" t="s">
        <v>244</v>
      </c>
      <c r="D21" s="6" t="s">
        <v>178</v>
      </c>
      <c r="E21" s="11">
        <v>3.1047000000000002E-2</v>
      </c>
      <c r="F21" s="1"/>
      <c r="G21" s="1"/>
      <c r="H21" s="1"/>
      <c r="I21" s="1"/>
      <c r="J21" s="1"/>
      <c r="K21" s="1"/>
      <c r="L21" s="1"/>
      <c r="M21" s="1"/>
      <c r="N21" s="18"/>
    </row>
    <row r="22" spans="2:14" ht="15" customHeight="1" x14ac:dyDescent="0.25">
      <c r="B22" s="20"/>
      <c r="C22" s="5" t="s">
        <v>233</v>
      </c>
      <c r="D22" s="6" t="s">
        <v>178</v>
      </c>
      <c r="E22" s="11">
        <v>2.2506000000000002E-2</v>
      </c>
      <c r="F22" s="1"/>
      <c r="G22" s="1"/>
      <c r="H22" s="1"/>
      <c r="I22" s="1"/>
      <c r="J22" s="1"/>
      <c r="K22" s="1"/>
      <c r="L22" s="1"/>
      <c r="M22" s="1"/>
      <c r="N22" s="18"/>
    </row>
    <row r="23" spans="2:14" ht="15" customHeight="1" x14ac:dyDescent="0.25">
      <c r="B23" s="20"/>
      <c r="C23" s="5" t="s">
        <v>248</v>
      </c>
      <c r="D23" s="6" t="s">
        <v>178</v>
      </c>
      <c r="E23" s="11">
        <v>1.8076999999999999E-2</v>
      </c>
      <c r="F23" s="1"/>
      <c r="G23" s="1"/>
      <c r="H23" s="1"/>
      <c r="I23" s="1"/>
      <c r="J23" s="1"/>
      <c r="K23" s="1"/>
      <c r="L23" s="1"/>
      <c r="M23" s="1"/>
      <c r="N23" s="18"/>
    </row>
    <row r="24" spans="2:14" ht="15" customHeight="1" x14ac:dyDescent="0.25">
      <c r="B24" s="20"/>
      <c r="C24" s="5" t="s">
        <v>247</v>
      </c>
      <c r="D24" s="6" t="s">
        <v>178</v>
      </c>
      <c r="E24" s="11">
        <v>9.0360000000000006E-3</v>
      </c>
      <c r="F24" s="1"/>
      <c r="G24" s="84" t="s">
        <v>17</v>
      </c>
      <c r="H24" s="85"/>
      <c r="I24" s="85"/>
      <c r="J24" s="85"/>
      <c r="K24" s="85"/>
      <c r="L24" s="103">
        <v>2.6611920208260984</v>
      </c>
      <c r="M24" s="26"/>
      <c r="N24" s="27"/>
    </row>
    <row r="25" spans="2:14" ht="15" customHeight="1" x14ac:dyDescent="0.25">
      <c r="B25" s="20"/>
      <c r="C25" s="5" t="s">
        <v>249</v>
      </c>
      <c r="D25" s="6" t="s">
        <v>178</v>
      </c>
      <c r="E25" s="11">
        <v>9.0329999999999994E-3</v>
      </c>
      <c r="F25" s="1"/>
      <c r="G25" s="1"/>
      <c r="H25" s="1"/>
      <c r="I25" s="1"/>
      <c r="J25" s="1"/>
      <c r="K25" s="1"/>
      <c r="L25" s="1"/>
      <c r="M25" s="1"/>
      <c r="N25" s="18"/>
    </row>
    <row r="26" spans="2:14" ht="15" customHeight="1" x14ac:dyDescent="0.25">
      <c r="B26" s="20"/>
      <c r="C26" s="5" t="s">
        <v>238</v>
      </c>
      <c r="D26" s="6" t="s">
        <v>178</v>
      </c>
      <c r="E26" s="11">
        <v>5.2610000000000001E-3</v>
      </c>
      <c r="F26" s="1"/>
      <c r="G26" s="84" t="s">
        <v>18</v>
      </c>
      <c r="H26" s="85"/>
      <c r="I26" s="85"/>
      <c r="J26" s="85"/>
      <c r="K26" s="85"/>
      <c r="L26" s="85"/>
      <c r="M26" s="85"/>
      <c r="N26" s="86"/>
    </row>
    <row r="27" spans="2:14" ht="15" customHeight="1" x14ac:dyDescent="0.25">
      <c r="B27" s="20"/>
      <c r="C27" s="5" t="s">
        <v>236</v>
      </c>
      <c r="D27" s="6" t="s">
        <v>178</v>
      </c>
      <c r="E27" s="11">
        <v>4.4799999999999996E-3</v>
      </c>
      <c r="F27" s="1"/>
      <c r="G27" s="1"/>
      <c r="H27" s="1"/>
      <c r="I27" s="1"/>
      <c r="J27" s="1"/>
      <c r="K27" s="1"/>
      <c r="L27" s="1"/>
      <c r="M27" s="1"/>
      <c r="N27" s="18"/>
    </row>
    <row r="28" spans="2:14" ht="15" customHeight="1" x14ac:dyDescent="0.25">
      <c r="B28" s="20"/>
      <c r="C28" s="7" t="s">
        <v>51</v>
      </c>
      <c r="D28" s="8"/>
      <c r="E28" s="12">
        <v>0.81628299999999998</v>
      </c>
      <c r="F28" s="1"/>
      <c r="G28" s="1"/>
      <c r="H28" s="1"/>
      <c r="I28" s="1"/>
      <c r="J28" s="1"/>
      <c r="K28" s="1"/>
      <c r="L28" s="1"/>
      <c r="M28" s="1"/>
      <c r="N28" s="18"/>
    </row>
    <row r="29" spans="2:14" ht="15" customHeight="1" x14ac:dyDescent="0.25">
      <c r="B29" s="20"/>
      <c r="C29" s="5" t="s">
        <v>8</v>
      </c>
      <c r="D29" s="6"/>
      <c r="E29" s="11">
        <v>3.5958999999999998E-2</v>
      </c>
      <c r="F29" s="1"/>
      <c r="G29" s="1"/>
      <c r="H29" s="1"/>
      <c r="I29" s="1"/>
      <c r="J29" s="1"/>
      <c r="K29" s="1"/>
      <c r="L29" s="1"/>
      <c r="M29" s="1"/>
      <c r="N29" s="18"/>
    </row>
    <row r="30" spans="2:14" ht="15" customHeight="1" x14ac:dyDescent="0.25">
      <c r="B30" s="20"/>
      <c r="C30" s="7" t="s">
        <v>9</v>
      </c>
      <c r="D30" s="8"/>
      <c r="E30" s="12">
        <v>3.5958999999999998E-2</v>
      </c>
      <c r="F30" s="1"/>
      <c r="G30" s="1"/>
      <c r="H30" s="1"/>
      <c r="I30" s="1"/>
      <c r="J30" s="1"/>
      <c r="K30" s="1"/>
      <c r="L30" s="1"/>
      <c r="M30" s="1"/>
      <c r="N30" s="18"/>
    </row>
    <row r="31" spans="2:14" ht="15" customHeight="1" x14ac:dyDescent="0.25">
      <c r="B31" s="20"/>
      <c r="C31" s="5"/>
      <c r="D31" s="6"/>
      <c r="E31" s="11"/>
      <c r="F31" s="1"/>
      <c r="G31" s="1"/>
      <c r="H31" s="1"/>
      <c r="I31" s="1"/>
      <c r="J31" s="1"/>
      <c r="K31" s="1"/>
      <c r="L31" s="1"/>
      <c r="M31" s="1"/>
      <c r="N31" s="18"/>
    </row>
    <row r="32" spans="2:14" ht="15" customHeight="1" x14ac:dyDescent="0.25">
      <c r="B32" s="20"/>
      <c r="C32" s="7" t="s">
        <v>10</v>
      </c>
      <c r="D32" s="8"/>
      <c r="E32" s="12">
        <v>1.5845999999999999E-2</v>
      </c>
      <c r="F32" s="1"/>
      <c r="G32" s="1"/>
      <c r="H32" s="1"/>
      <c r="I32" s="1"/>
      <c r="J32" s="1"/>
      <c r="K32" s="1"/>
      <c r="L32" s="1"/>
      <c r="M32" s="1"/>
      <c r="N32" s="18"/>
    </row>
    <row r="33" spans="2:14" ht="15" customHeight="1" x14ac:dyDescent="0.25">
      <c r="B33" s="20"/>
      <c r="C33" s="5"/>
      <c r="D33" s="6"/>
      <c r="E33" s="11"/>
      <c r="F33" s="1"/>
      <c r="G33" s="1"/>
      <c r="H33" s="1"/>
      <c r="I33" s="1"/>
      <c r="J33" s="1"/>
      <c r="K33" s="1"/>
      <c r="L33" s="1"/>
      <c r="M33" s="1"/>
      <c r="N33" s="18"/>
    </row>
    <row r="34" spans="2:14" ht="15" customHeight="1" x14ac:dyDescent="0.25">
      <c r="B34" s="20"/>
      <c r="C34" s="9" t="s">
        <v>11</v>
      </c>
      <c r="D34" s="10"/>
      <c r="E34" s="13">
        <v>1</v>
      </c>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F38" s="1"/>
      <c r="G38" s="1"/>
      <c r="H38" s="1"/>
      <c r="I38" s="1"/>
      <c r="J38" s="1"/>
      <c r="K38" s="1"/>
      <c r="L38" s="1"/>
      <c r="M38" s="1"/>
      <c r="N38" s="18"/>
    </row>
    <row r="39" spans="2:14" ht="15" customHeight="1" x14ac:dyDescent="0.25">
      <c r="B39" s="20"/>
      <c r="F39" s="1"/>
      <c r="G39" s="1"/>
      <c r="H39" s="1"/>
      <c r="I39" s="1"/>
      <c r="J39" s="1"/>
      <c r="K39" s="1"/>
      <c r="L39" s="1"/>
      <c r="M39" s="1"/>
      <c r="N39" s="18"/>
    </row>
    <row r="40" spans="2:14" ht="15" customHeight="1" x14ac:dyDescent="0.25">
      <c r="B40" s="20"/>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5" customHeight="1" thickBot="1" x14ac:dyDescent="0.3">
      <c r="B45" s="67" t="s">
        <v>291</v>
      </c>
      <c r="C45" s="68"/>
      <c r="D45" s="68"/>
      <c r="E45" s="68"/>
      <c r="F45" s="68"/>
      <c r="G45" s="68"/>
      <c r="H45" s="68"/>
      <c r="I45" s="68"/>
      <c r="J45" s="68"/>
      <c r="K45" s="68"/>
      <c r="L45" s="68"/>
      <c r="M45" s="68"/>
      <c r="N45" s="69"/>
    </row>
  </sheetData>
  <sortState ref="C10:E27">
    <sortCondition descending="1" ref="E10"/>
  </sortState>
  <mergeCells count="6">
    <mergeCell ref="B45:N45"/>
    <mergeCell ref="C3:N3"/>
    <mergeCell ref="D5:E5"/>
    <mergeCell ref="G7:N7"/>
    <mergeCell ref="G24:K24"/>
    <mergeCell ref="G26:N26"/>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A153F-A7D8-41A5-B527-6CEB27EF45EB}">
  <dimension ref="B1:N45"/>
  <sheetViews>
    <sheetView showGridLines="0" zoomScale="75" zoomScaleNormal="75" workbookViewId="0"/>
  </sheetViews>
  <sheetFormatPr defaultRowHeight="15" x14ac:dyDescent="0.25"/>
  <cols>
    <col min="1" max="1" width="2.85546875" customWidth="1"/>
    <col min="2" max="2" width="3.85546875" customWidth="1"/>
    <col min="3" max="3" width="56"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9" t="s">
        <v>120</v>
      </c>
      <c r="D3" s="80"/>
      <c r="E3" s="80"/>
      <c r="F3" s="80"/>
      <c r="G3" s="80"/>
      <c r="H3" s="80"/>
      <c r="I3" s="80"/>
      <c r="J3" s="80"/>
      <c r="K3" s="80"/>
      <c r="L3" s="80"/>
      <c r="M3" s="80"/>
      <c r="N3" s="81"/>
    </row>
    <row r="4" spans="2:14" ht="15.75" customHeight="1" x14ac:dyDescent="0.25">
      <c r="B4" s="20"/>
      <c r="C4" s="14"/>
      <c r="D4" s="1"/>
      <c r="E4" s="1"/>
      <c r="F4" s="1"/>
      <c r="G4" s="1"/>
      <c r="H4" s="1"/>
      <c r="I4" s="1"/>
      <c r="J4" s="1"/>
      <c r="K4" s="1"/>
      <c r="L4" s="1"/>
      <c r="M4" s="1"/>
      <c r="N4" s="18"/>
    </row>
    <row r="5" spans="2:14" ht="18" customHeight="1" x14ac:dyDescent="0.25">
      <c r="B5" s="20"/>
      <c r="C5" s="15" t="s">
        <v>1</v>
      </c>
      <c r="D5" s="82" t="s">
        <v>121</v>
      </c>
      <c r="E5" s="8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4" t="s">
        <v>16</v>
      </c>
      <c r="H7" s="85"/>
      <c r="I7" s="85"/>
      <c r="J7" s="85"/>
      <c r="K7" s="85"/>
      <c r="L7" s="85"/>
      <c r="M7" s="85"/>
      <c r="N7" s="86"/>
    </row>
    <row r="8" spans="2:14" ht="15" customHeight="1" x14ac:dyDescent="0.25">
      <c r="B8" s="20"/>
      <c r="C8" s="5" t="s">
        <v>49</v>
      </c>
      <c r="D8" s="6" t="s">
        <v>178</v>
      </c>
      <c r="E8" s="11">
        <v>0.182222</v>
      </c>
      <c r="F8" s="1"/>
      <c r="G8" s="24" t="s">
        <v>15</v>
      </c>
      <c r="H8" s="25">
        <v>1</v>
      </c>
      <c r="I8" s="1"/>
      <c r="J8" s="24" t="s">
        <v>12</v>
      </c>
      <c r="K8" s="24" t="s">
        <v>5</v>
      </c>
      <c r="L8" s="1"/>
      <c r="M8" s="1"/>
      <c r="N8" s="18"/>
    </row>
    <row r="9" spans="2:14" ht="15.75" customHeight="1" x14ac:dyDescent="0.25">
      <c r="B9" s="20"/>
      <c r="C9" s="7" t="s">
        <v>50</v>
      </c>
      <c r="D9" s="8"/>
      <c r="E9" s="12">
        <v>0.182222</v>
      </c>
      <c r="F9" s="1"/>
      <c r="G9" s="1"/>
      <c r="H9" s="1"/>
      <c r="I9" s="1"/>
      <c r="J9" s="24" t="s">
        <v>10</v>
      </c>
      <c r="K9" s="28">
        <v>2.1101000000000002E-2</v>
      </c>
      <c r="L9" s="1"/>
      <c r="M9" s="1"/>
      <c r="N9" s="18"/>
    </row>
    <row r="10" spans="2:14" ht="15" customHeight="1" x14ac:dyDescent="0.25">
      <c r="B10" s="20"/>
      <c r="C10" s="5" t="s">
        <v>252</v>
      </c>
      <c r="D10" s="6" t="s">
        <v>178</v>
      </c>
      <c r="E10" s="11">
        <v>0.17510300000000001</v>
      </c>
      <c r="F10" s="1"/>
      <c r="G10" s="1"/>
      <c r="H10" s="1"/>
      <c r="I10" s="1"/>
      <c r="J10" s="24" t="s">
        <v>13</v>
      </c>
      <c r="K10" s="28">
        <v>3.0166999999999999E-2</v>
      </c>
      <c r="L10" s="1"/>
      <c r="M10" s="1"/>
      <c r="N10" s="18"/>
    </row>
    <row r="11" spans="2:14" ht="15.75" customHeight="1" x14ac:dyDescent="0.25">
      <c r="B11" s="20"/>
      <c r="C11" s="5" t="s">
        <v>250</v>
      </c>
      <c r="D11" s="6" t="s">
        <v>178</v>
      </c>
      <c r="E11" s="11">
        <v>0.13231399999999999</v>
      </c>
      <c r="F11" s="1"/>
      <c r="G11" s="1"/>
      <c r="H11" s="1"/>
      <c r="I11" s="1"/>
      <c r="J11" s="24" t="s">
        <v>55</v>
      </c>
      <c r="K11" s="28">
        <v>0.182222</v>
      </c>
      <c r="L11" s="1"/>
      <c r="M11" s="1"/>
      <c r="N11" s="18"/>
    </row>
    <row r="12" spans="2:14" ht="15" customHeight="1" x14ac:dyDescent="0.25">
      <c r="B12" s="20"/>
      <c r="C12" s="5" t="s">
        <v>212</v>
      </c>
      <c r="D12" s="6" t="s">
        <v>178</v>
      </c>
      <c r="E12" s="11">
        <v>0.122915</v>
      </c>
      <c r="F12" s="1"/>
      <c r="G12" s="1"/>
      <c r="H12" s="1"/>
      <c r="I12" s="1"/>
      <c r="J12" s="24" t="s">
        <v>56</v>
      </c>
      <c r="K12" s="28">
        <v>0.76651000000000002</v>
      </c>
      <c r="L12" s="1"/>
      <c r="M12" s="1"/>
      <c r="N12" s="18"/>
    </row>
    <row r="13" spans="2:14" ht="15.75" customHeight="1" x14ac:dyDescent="0.25">
      <c r="B13" s="20"/>
      <c r="C13" s="5" t="s">
        <v>258</v>
      </c>
      <c r="D13" s="6" t="s">
        <v>178</v>
      </c>
      <c r="E13" s="11">
        <v>0.120494</v>
      </c>
      <c r="F13" s="1"/>
      <c r="G13" s="1"/>
      <c r="H13" s="1"/>
      <c r="I13" s="1"/>
      <c r="J13" s="1"/>
      <c r="K13" s="1"/>
      <c r="L13" s="1"/>
      <c r="M13" s="1"/>
      <c r="N13" s="18"/>
    </row>
    <row r="14" spans="2:14" ht="15" customHeight="1" x14ac:dyDescent="0.25">
      <c r="B14" s="20"/>
      <c r="C14" s="5" t="s">
        <v>255</v>
      </c>
      <c r="D14" s="6" t="s">
        <v>178</v>
      </c>
      <c r="E14" s="11">
        <v>6.0243999999999999E-2</v>
      </c>
      <c r="F14" s="1"/>
      <c r="G14" s="1"/>
      <c r="H14" s="1"/>
      <c r="I14" s="1"/>
      <c r="J14" s="1"/>
      <c r="K14" s="1"/>
      <c r="L14" s="1"/>
      <c r="M14" s="1"/>
      <c r="N14" s="18"/>
    </row>
    <row r="15" spans="2:14" ht="15.75" customHeight="1" x14ac:dyDescent="0.25">
      <c r="B15" s="20"/>
      <c r="C15" s="5" t="s">
        <v>253</v>
      </c>
      <c r="D15" s="6" t="s">
        <v>178</v>
      </c>
      <c r="E15" s="11">
        <v>5.8279999999999998E-2</v>
      </c>
      <c r="F15" s="1"/>
      <c r="G15" s="1"/>
      <c r="H15" s="1"/>
      <c r="I15" s="1"/>
      <c r="J15" s="1"/>
      <c r="K15" s="1"/>
      <c r="L15" s="1"/>
      <c r="M15" s="1"/>
      <c r="N15" s="18"/>
    </row>
    <row r="16" spans="2:14" ht="15" customHeight="1" x14ac:dyDescent="0.25">
      <c r="B16" s="20"/>
      <c r="C16" s="5" t="s">
        <v>254</v>
      </c>
      <c r="D16" s="6" t="s">
        <v>178</v>
      </c>
      <c r="E16" s="11">
        <v>3.6159999999999998E-2</v>
      </c>
      <c r="F16" s="1"/>
      <c r="G16" s="1"/>
      <c r="H16" s="1"/>
      <c r="I16" s="1"/>
      <c r="J16" s="1"/>
      <c r="K16" s="1"/>
      <c r="L16" s="1"/>
      <c r="M16" s="1"/>
      <c r="N16" s="18"/>
    </row>
    <row r="17" spans="2:14" ht="15" customHeight="1" x14ac:dyDescent="0.25">
      <c r="B17" s="20"/>
      <c r="C17" s="5" t="s">
        <v>257</v>
      </c>
      <c r="D17" s="6" t="s">
        <v>178</v>
      </c>
      <c r="E17" s="11">
        <v>3.0082999999999999E-2</v>
      </c>
      <c r="F17" s="1"/>
      <c r="G17" s="1"/>
      <c r="H17" s="1"/>
      <c r="I17" s="1"/>
      <c r="J17" s="1"/>
      <c r="K17" s="1"/>
      <c r="L17" s="1"/>
      <c r="M17" s="1"/>
      <c r="N17" s="18"/>
    </row>
    <row r="18" spans="2:14" ht="15" customHeight="1" x14ac:dyDescent="0.25">
      <c r="B18" s="20"/>
      <c r="C18" s="5" t="s">
        <v>256</v>
      </c>
      <c r="D18" s="6" t="s">
        <v>178</v>
      </c>
      <c r="E18" s="11">
        <v>2.7252999999999999E-2</v>
      </c>
      <c r="F18" s="1"/>
      <c r="G18" s="1"/>
      <c r="H18" s="1"/>
      <c r="I18" s="1"/>
      <c r="J18" s="1"/>
      <c r="K18" s="1"/>
      <c r="L18" s="1"/>
      <c r="M18" s="1"/>
      <c r="N18" s="18"/>
    </row>
    <row r="19" spans="2:14" ht="15" customHeight="1" x14ac:dyDescent="0.25">
      <c r="B19" s="20"/>
      <c r="C19" s="5" t="s">
        <v>251</v>
      </c>
      <c r="D19" s="6" t="s">
        <v>178</v>
      </c>
      <c r="E19" s="11">
        <v>3.6640000000000002E-3</v>
      </c>
      <c r="F19" s="1"/>
      <c r="G19" s="1"/>
      <c r="H19" s="1"/>
      <c r="I19" s="1"/>
      <c r="J19" s="1"/>
      <c r="K19" s="1"/>
      <c r="L19" s="1"/>
      <c r="M19" s="1"/>
      <c r="N19" s="18"/>
    </row>
    <row r="20" spans="2:14" ht="15" customHeight="1" x14ac:dyDescent="0.25">
      <c r="B20" s="20"/>
      <c r="C20" s="7" t="s">
        <v>51</v>
      </c>
      <c r="D20" s="8"/>
      <c r="E20" s="12">
        <v>0.76651000000000002</v>
      </c>
      <c r="F20" s="1"/>
      <c r="G20" s="1"/>
      <c r="H20" s="1"/>
      <c r="I20" s="1"/>
      <c r="J20" s="1"/>
      <c r="K20" s="1"/>
      <c r="L20" s="1"/>
      <c r="M20" s="1"/>
      <c r="N20" s="18"/>
    </row>
    <row r="21" spans="2:14" ht="15" customHeight="1" x14ac:dyDescent="0.25">
      <c r="B21" s="20"/>
      <c r="C21" s="5" t="s">
        <v>8</v>
      </c>
      <c r="D21" s="6"/>
      <c r="E21" s="11">
        <v>3.0166999999999999E-2</v>
      </c>
      <c r="F21" s="1"/>
      <c r="G21" s="1"/>
      <c r="H21" s="1"/>
      <c r="I21" s="1"/>
      <c r="J21" s="1"/>
      <c r="K21" s="1"/>
      <c r="L21" s="1"/>
      <c r="M21" s="1"/>
      <c r="N21" s="18"/>
    </row>
    <row r="22" spans="2:14" ht="15" customHeight="1" x14ac:dyDescent="0.25">
      <c r="B22" s="20"/>
      <c r="C22" s="7" t="s">
        <v>9</v>
      </c>
      <c r="D22" s="8"/>
      <c r="E22" s="12">
        <v>3.0166999999999999E-2</v>
      </c>
      <c r="F22" s="1"/>
      <c r="G22" s="1"/>
      <c r="H22" s="1"/>
      <c r="I22" s="1"/>
      <c r="J22" s="1"/>
      <c r="K22" s="1"/>
      <c r="L22" s="1"/>
      <c r="M22" s="1"/>
      <c r="N22" s="18"/>
    </row>
    <row r="23" spans="2:14" ht="15" customHeight="1" x14ac:dyDescent="0.25">
      <c r="B23" s="20"/>
      <c r="C23" s="5"/>
      <c r="D23" s="6"/>
      <c r="E23" s="11"/>
      <c r="F23" s="1"/>
      <c r="G23" s="1"/>
      <c r="H23" s="1"/>
      <c r="I23" s="1"/>
      <c r="J23" s="1"/>
      <c r="K23" s="1"/>
      <c r="L23" s="1"/>
      <c r="M23" s="1"/>
      <c r="N23" s="18"/>
    </row>
    <row r="24" spans="2:14" ht="15" customHeight="1" x14ac:dyDescent="0.25">
      <c r="B24" s="20"/>
      <c r="C24" s="7" t="s">
        <v>10</v>
      </c>
      <c r="D24" s="8"/>
      <c r="E24" s="12">
        <v>2.1101000000000002E-2</v>
      </c>
      <c r="F24" s="1"/>
      <c r="G24" s="84" t="s">
        <v>17</v>
      </c>
      <c r="H24" s="85"/>
      <c r="I24" s="85"/>
      <c r="J24" s="85"/>
      <c r="K24" s="85"/>
      <c r="L24" s="103">
        <v>3.4854381025757655</v>
      </c>
      <c r="M24" s="26"/>
      <c r="N24" s="27"/>
    </row>
    <row r="25" spans="2:14" ht="15" customHeight="1" x14ac:dyDescent="0.25">
      <c r="B25" s="20"/>
      <c r="C25" s="5"/>
      <c r="D25" s="6"/>
      <c r="E25" s="11"/>
      <c r="F25" s="1"/>
      <c r="G25" s="1"/>
      <c r="H25" s="1"/>
      <c r="I25" s="1"/>
      <c r="J25" s="1"/>
      <c r="K25" s="1"/>
      <c r="L25" s="1"/>
      <c r="M25" s="1"/>
      <c r="N25" s="18"/>
    </row>
    <row r="26" spans="2:14" ht="15" customHeight="1" x14ac:dyDescent="0.25">
      <c r="B26" s="20"/>
      <c r="C26" s="9" t="s">
        <v>11</v>
      </c>
      <c r="D26" s="10"/>
      <c r="E26" s="13">
        <v>1</v>
      </c>
      <c r="F26" s="1"/>
      <c r="G26" s="84" t="s">
        <v>18</v>
      </c>
      <c r="H26" s="85"/>
      <c r="I26" s="85"/>
      <c r="J26" s="85"/>
      <c r="K26" s="85"/>
      <c r="L26" s="85"/>
      <c r="M26" s="85"/>
      <c r="N26" s="86"/>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F32" s="1"/>
      <c r="G32" s="1"/>
      <c r="H32" s="1"/>
      <c r="I32" s="1"/>
      <c r="J32" s="1"/>
      <c r="K32" s="1"/>
      <c r="L32" s="1"/>
      <c r="M32" s="1"/>
      <c r="N32" s="18"/>
    </row>
    <row r="33" spans="2:14" ht="15" customHeight="1" x14ac:dyDescent="0.25">
      <c r="B33" s="20"/>
      <c r="F33" s="1"/>
      <c r="G33" s="1"/>
      <c r="H33" s="1"/>
      <c r="I33" s="1"/>
      <c r="J33" s="1"/>
      <c r="K33" s="1"/>
      <c r="L33" s="1"/>
      <c r="M33" s="1"/>
      <c r="N33" s="18"/>
    </row>
    <row r="34" spans="2:14" ht="15" customHeight="1" x14ac:dyDescent="0.25">
      <c r="B34" s="20"/>
      <c r="F34" s="1"/>
      <c r="G34" s="1"/>
      <c r="H34" s="1"/>
      <c r="I34" s="1"/>
      <c r="J34" s="1"/>
      <c r="K34" s="1"/>
      <c r="L34" s="1"/>
      <c r="M34" s="1"/>
      <c r="N34" s="18"/>
    </row>
    <row r="35" spans="2:14" ht="15" customHeight="1" x14ac:dyDescent="0.25">
      <c r="B35" s="20"/>
      <c r="F35" s="1"/>
      <c r="G35" s="1"/>
      <c r="H35" s="1"/>
      <c r="I35" s="1"/>
      <c r="J35" s="1"/>
      <c r="K35" s="1"/>
      <c r="L35" s="1"/>
      <c r="M35" s="1"/>
      <c r="N35" s="18"/>
    </row>
    <row r="36" spans="2:14" ht="15" customHeight="1" x14ac:dyDescent="0.25">
      <c r="B36" s="20"/>
      <c r="F36" s="1"/>
      <c r="G36" s="1"/>
      <c r="H36" s="1"/>
      <c r="I36" s="1"/>
      <c r="J36" s="1"/>
      <c r="K36" s="1"/>
      <c r="L36" s="1"/>
      <c r="M36" s="1"/>
      <c r="N36" s="18"/>
    </row>
    <row r="37" spans="2:14" ht="15" customHeight="1" x14ac:dyDescent="0.25">
      <c r="B37" s="20"/>
      <c r="F37" s="1"/>
      <c r="G37" s="1"/>
      <c r="H37" s="1"/>
      <c r="I37" s="1"/>
      <c r="J37" s="1"/>
      <c r="K37" s="1"/>
      <c r="L37" s="1"/>
      <c r="M37" s="1"/>
      <c r="N37" s="18"/>
    </row>
    <row r="38" spans="2:14" ht="15" customHeight="1" x14ac:dyDescent="0.25">
      <c r="B38" s="20"/>
      <c r="F38" s="1"/>
      <c r="G38" s="1"/>
      <c r="H38" s="1"/>
      <c r="I38" s="1"/>
      <c r="J38" s="1"/>
      <c r="K38" s="1"/>
      <c r="L38" s="1"/>
      <c r="M38" s="1"/>
      <c r="N38" s="18"/>
    </row>
    <row r="39" spans="2:14" ht="15" customHeight="1" x14ac:dyDescent="0.25">
      <c r="B39" s="20"/>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5" customHeight="1" thickBot="1" x14ac:dyDescent="0.3">
      <c r="B45" s="67" t="s">
        <v>291</v>
      </c>
      <c r="C45" s="68"/>
      <c r="D45" s="68"/>
      <c r="E45" s="68"/>
      <c r="F45" s="68"/>
      <c r="G45" s="68"/>
      <c r="H45" s="68"/>
      <c r="I45" s="68"/>
      <c r="J45" s="68"/>
      <c r="K45" s="68"/>
      <c r="L45" s="68"/>
      <c r="M45" s="68"/>
      <c r="N45" s="69"/>
    </row>
  </sheetData>
  <sortState ref="C10:E19">
    <sortCondition descending="1" ref="E10"/>
  </sortState>
  <mergeCells count="6">
    <mergeCell ref="B45:N45"/>
    <mergeCell ref="C3:N3"/>
    <mergeCell ref="D5:E5"/>
    <mergeCell ref="G7:N7"/>
    <mergeCell ref="G24:K24"/>
    <mergeCell ref="G26:N26"/>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0703E-8930-4839-96D1-B1E6C31C82BF}">
  <dimension ref="B1:N45"/>
  <sheetViews>
    <sheetView showGridLines="0" zoomScale="75" zoomScaleNormal="75" workbookViewId="0"/>
  </sheetViews>
  <sheetFormatPr defaultRowHeight="15" x14ac:dyDescent="0.25"/>
  <cols>
    <col min="1" max="1" width="2.85546875" customWidth="1"/>
    <col min="2" max="2" width="3.85546875" customWidth="1"/>
    <col min="3" max="3" width="56"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9" t="s">
        <v>114</v>
      </c>
      <c r="D3" s="80"/>
      <c r="E3" s="80"/>
      <c r="F3" s="80"/>
      <c r="G3" s="80"/>
      <c r="H3" s="80"/>
      <c r="I3" s="80"/>
      <c r="J3" s="80"/>
      <c r="K3" s="80"/>
      <c r="L3" s="80"/>
      <c r="M3" s="80"/>
      <c r="N3" s="81"/>
    </row>
    <row r="4" spans="2:14" ht="15.75" customHeight="1" x14ac:dyDescent="0.25">
      <c r="B4" s="20"/>
      <c r="C4" s="14"/>
      <c r="D4" s="1"/>
      <c r="E4" s="1"/>
      <c r="F4" s="1"/>
      <c r="G4" s="1"/>
      <c r="H4" s="1"/>
      <c r="I4" s="1"/>
      <c r="J4" s="1"/>
      <c r="K4" s="1"/>
      <c r="L4" s="1"/>
      <c r="M4" s="1"/>
      <c r="N4" s="18"/>
    </row>
    <row r="5" spans="2:14" ht="18" customHeight="1" x14ac:dyDescent="0.25">
      <c r="B5" s="20"/>
      <c r="C5" s="15" t="s">
        <v>1</v>
      </c>
      <c r="D5" s="82" t="s">
        <v>115</v>
      </c>
      <c r="E5" s="8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4" t="s">
        <v>16</v>
      </c>
      <c r="H7" s="85"/>
      <c r="I7" s="85"/>
      <c r="J7" s="85"/>
      <c r="K7" s="85"/>
      <c r="L7" s="85"/>
      <c r="M7" s="85"/>
      <c r="N7" s="86"/>
    </row>
    <row r="8" spans="2:14" ht="15" customHeight="1" x14ac:dyDescent="0.25">
      <c r="B8" s="20"/>
      <c r="C8" s="5" t="s">
        <v>116</v>
      </c>
      <c r="D8" s="6" t="s">
        <v>178</v>
      </c>
      <c r="E8" s="11">
        <v>7.6708999999999999E-2</v>
      </c>
      <c r="F8" s="1"/>
      <c r="G8" s="24" t="s">
        <v>15</v>
      </c>
      <c r="H8" s="25">
        <v>1</v>
      </c>
      <c r="I8" s="1"/>
      <c r="J8" s="24" t="s">
        <v>12</v>
      </c>
      <c r="K8" s="24" t="s">
        <v>5</v>
      </c>
      <c r="L8" s="1"/>
      <c r="M8" s="1"/>
      <c r="N8" s="18"/>
    </row>
    <row r="9" spans="2:14" ht="15" customHeight="1" x14ac:dyDescent="0.25">
      <c r="B9" s="20"/>
      <c r="C9" s="5" t="s">
        <v>62</v>
      </c>
      <c r="D9" s="6" t="s">
        <v>178</v>
      </c>
      <c r="E9" s="11">
        <v>1.4153000000000001E-2</v>
      </c>
      <c r="F9" s="1"/>
      <c r="G9" s="1"/>
      <c r="H9" s="1"/>
      <c r="I9" s="1"/>
      <c r="J9" s="24" t="s">
        <v>10</v>
      </c>
      <c r="K9" s="28">
        <v>1.9663E-2</v>
      </c>
      <c r="L9" s="1"/>
      <c r="M9" s="1"/>
      <c r="N9" s="18"/>
    </row>
    <row r="10" spans="2:14" ht="15.75" customHeight="1" x14ac:dyDescent="0.25">
      <c r="B10" s="20"/>
      <c r="C10" s="7" t="s">
        <v>50</v>
      </c>
      <c r="D10" s="8"/>
      <c r="E10" s="12">
        <v>9.0861999999999998E-2</v>
      </c>
      <c r="F10" s="1"/>
      <c r="G10" s="1"/>
      <c r="H10" s="1"/>
      <c r="I10" s="1"/>
      <c r="J10" s="24" t="s">
        <v>13</v>
      </c>
      <c r="K10" s="28">
        <v>1.2178E-2</v>
      </c>
      <c r="L10" s="1"/>
      <c r="M10" s="1"/>
      <c r="N10" s="18"/>
    </row>
    <row r="11" spans="2:14" ht="15" customHeight="1" x14ac:dyDescent="0.25">
      <c r="B11" s="20"/>
      <c r="C11" s="5" t="s">
        <v>280</v>
      </c>
      <c r="D11" s="6" t="s">
        <v>178</v>
      </c>
      <c r="E11" s="11">
        <v>0.15201100000000001</v>
      </c>
      <c r="F11" s="1"/>
      <c r="G11" s="1"/>
      <c r="H11" s="1"/>
      <c r="I11" s="1"/>
      <c r="J11" s="24" t="s">
        <v>55</v>
      </c>
      <c r="K11" s="28">
        <v>9.0861999999999998E-2</v>
      </c>
      <c r="L11" s="1"/>
      <c r="M11" s="1"/>
      <c r="N11" s="18"/>
    </row>
    <row r="12" spans="2:14" ht="15.75" customHeight="1" x14ac:dyDescent="0.25">
      <c r="B12" s="20"/>
      <c r="C12" s="5" t="s">
        <v>281</v>
      </c>
      <c r="D12" s="6" t="s">
        <v>178</v>
      </c>
      <c r="E12" s="11">
        <v>0.15168400000000001</v>
      </c>
      <c r="F12" s="1"/>
      <c r="G12" s="1"/>
      <c r="H12" s="1"/>
      <c r="I12" s="1"/>
      <c r="J12" s="24" t="s">
        <v>56</v>
      </c>
      <c r="K12" s="28">
        <v>0.87729699999999999</v>
      </c>
      <c r="L12" s="1"/>
      <c r="M12" s="1"/>
      <c r="N12" s="18"/>
    </row>
    <row r="13" spans="2:14" ht="15" customHeight="1" x14ac:dyDescent="0.25">
      <c r="B13" s="20"/>
      <c r="C13" s="5" t="s">
        <v>278</v>
      </c>
      <c r="D13" s="6" t="s">
        <v>178</v>
      </c>
      <c r="E13" s="11">
        <v>0.127691</v>
      </c>
      <c r="F13" s="1"/>
      <c r="G13" s="1"/>
      <c r="H13" s="1"/>
      <c r="I13" s="1"/>
      <c r="J13" s="1"/>
      <c r="K13" s="1"/>
      <c r="L13" s="1"/>
      <c r="M13" s="1"/>
      <c r="N13" s="18"/>
    </row>
    <row r="14" spans="2:14" ht="15.75" customHeight="1" x14ac:dyDescent="0.25">
      <c r="B14" s="20"/>
      <c r="C14" s="5" t="s">
        <v>279</v>
      </c>
      <c r="D14" s="6" t="s">
        <v>178</v>
      </c>
      <c r="E14" s="11">
        <v>8.5179000000000005E-2</v>
      </c>
      <c r="F14" s="1"/>
      <c r="G14" s="1"/>
      <c r="H14" s="1"/>
      <c r="I14" s="1"/>
      <c r="J14" s="1"/>
      <c r="K14" s="1"/>
      <c r="L14" s="1"/>
      <c r="M14" s="1"/>
      <c r="N14" s="18"/>
    </row>
    <row r="15" spans="2:14" ht="15" customHeight="1" x14ac:dyDescent="0.25">
      <c r="B15" s="20"/>
      <c r="C15" s="5" t="s">
        <v>269</v>
      </c>
      <c r="D15" s="6" t="s">
        <v>178</v>
      </c>
      <c r="E15" s="11">
        <v>4.4519000000000003E-2</v>
      </c>
      <c r="F15" s="1"/>
      <c r="G15" s="1"/>
      <c r="H15" s="1"/>
      <c r="I15" s="1"/>
      <c r="J15" s="1"/>
      <c r="K15" s="1"/>
      <c r="L15" s="1"/>
      <c r="M15" s="1"/>
      <c r="N15" s="18"/>
    </row>
    <row r="16" spans="2:14" ht="15.75" customHeight="1" x14ac:dyDescent="0.25">
      <c r="B16" s="20"/>
      <c r="C16" s="5" t="s">
        <v>276</v>
      </c>
      <c r="D16" s="6" t="s">
        <v>178</v>
      </c>
      <c r="E16" s="11">
        <v>3.9268999999999998E-2</v>
      </c>
      <c r="F16" s="1"/>
      <c r="G16" s="1"/>
      <c r="H16" s="1"/>
      <c r="I16" s="1"/>
      <c r="J16" s="1"/>
      <c r="K16" s="1"/>
      <c r="L16" s="1"/>
      <c r="M16" s="1"/>
      <c r="N16" s="18"/>
    </row>
    <row r="17" spans="2:14" ht="15" customHeight="1" x14ac:dyDescent="0.25">
      <c r="B17" s="20"/>
      <c r="C17" s="5" t="s">
        <v>271</v>
      </c>
      <c r="D17" s="6" t="s">
        <v>178</v>
      </c>
      <c r="E17" s="11">
        <v>3.4396000000000003E-2</v>
      </c>
      <c r="F17" s="1"/>
      <c r="G17" s="1"/>
      <c r="H17" s="1"/>
      <c r="I17" s="1"/>
      <c r="J17" s="1"/>
      <c r="K17" s="1"/>
      <c r="L17" s="1"/>
      <c r="M17" s="1"/>
      <c r="N17" s="18"/>
    </row>
    <row r="18" spans="2:14" ht="15" customHeight="1" x14ac:dyDescent="0.25">
      <c r="B18" s="20"/>
      <c r="C18" s="5" t="s">
        <v>272</v>
      </c>
      <c r="D18" s="6" t="s">
        <v>178</v>
      </c>
      <c r="E18" s="11">
        <v>3.0272E-2</v>
      </c>
      <c r="F18" s="1"/>
      <c r="G18" s="1"/>
      <c r="H18" s="1"/>
      <c r="I18" s="1"/>
      <c r="J18" s="1"/>
      <c r="K18" s="1"/>
      <c r="L18" s="1"/>
      <c r="M18" s="1"/>
      <c r="N18" s="18"/>
    </row>
    <row r="19" spans="2:14" ht="15" customHeight="1" x14ac:dyDescent="0.25">
      <c r="B19" s="20"/>
      <c r="C19" s="5" t="s">
        <v>265</v>
      </c>
      <c r="D19" s="6" t="s">
        <v>178</v>
      </c>
      <c r="E19" s="11">
        <v>2.9267999999999999E-2</v>
      </c>
      <c r="F19" s="1"/>
      <c r="G19" s="1"/>
      <c r="H19" s="1"/>
      <c r="I19" s="1"/>
      <c r="J19" s="1"/>
      <c r="K19" s="1"/>
      <c r="L19" s="1"/>
      <c r="M19" s="1"/>
      <c r="N19" s="18"/>
    </row>
    <row r="20" spans="2:14" ht="15" customHeight="1" x14ac:dyDescent="0.25">
      <c r="B20" s="20"/>
      <c r="C20" s="5" t="s">
        <v>262</v>
      </c>
      <c r="D20" s="6" t="s">
        <v>178</v>
      </c>
      <c r="E20" s="11">
        <v>2.7444E-2</v>
      </c>
      <c r="F20" s="1"/>
      <c r="G20" s="1"/>
      <c r="H20" s="1"/>
      <c r="I20" s="1"/>
      <c r="J20" s="1"/>
      <c r="K20" s="1"/>
      <c r="L20" s="1"/>
      <c r="M20" s="1"/>
      <c r="N20" s="18"/>
    </row>
    <row r="21" spans="2:14" ht="15" customHeight="1" x14ac:dyDescent="0.25">
      <c r="B21" s="20"/>
      <c r="C21" s="5" t="s">
        <v>264</v>
      </c>
      <c r="D21" s="6" t="s">
        <v>178</v>
      </c>
      <c r="E21" s="11">
        <v>2.0598999999999999E-2</v>
      </c>
      <c r="F21" s="1"/>
      <c r="G21" s="1"/>
      <c r="H21" s="1"/>
      <c r="I21" s="1"/>
      <c r="J21" s="1"/>
      <c r="K21" s="1"/>
      <c r="L21" s="1"/>
      <c r="M21" s="1"/>
      <c r="N21" s="18"/>
    </row>
    <row r="22" spans="2:14" ht="15" customHeight="1" x14ac:dyDescent="0.25">
      <c r="B22" s="20"/>
      <c r="C22" s="5" t="s">
        <v>267</v>
      </c>
      <c r="D22" s="6" t="s">
        <v>178</v>
      </c>
      <c r="E22" s="11">
        <v>1.6254000000000001E-2</v>
      </c>
      <c r="F22" s="1"/>
      <c r="G22" s="1"/>
      <c r="H22" s="1"/>
      <c r="I22" s="1"/>
      <c r="J22" s="1"/>
      <c r="K22" s="1"/>
      <c r="L22" s="1"/>
      <c r="M22" s="1"/>
      <c r="N22" s="18"/>
    </row>
    <row r="23" spans="2:14" ht="15" customHeight="1" x14ac:dyDescent="0.25">
      <c r="B23" s="20"/>
      <c r="C23" s="5" t="s">
        <v>259</v>
      </c>
      <c r="D23" s="6" t="s">
        <v>178</v>
      </c>
      <c r="E23" s="11">
        <v>1.5384999999999999E-2</v>
      </c>
      <c r="F23" s="1"/>
      <c r="G23" s="1"/>
      <c r="H23" s="1"/>
      <c r="I23" s="1"/>
      <c r="J23" s="1"/>
      <c r="K23" s="1"/>
      <c r="L23" s="1"/>
      <c r="M23" s="1"/>
      <c r="N23" s="18"/>
    </row>
    <row r="24" spans="2:14" ht="15" customHeight="1" x14ac:dyDescent="0.25">
      <c r="B24" s="20"/>
      <c r="C24" s="5" t="s">
        <v>270</v>
      </c>
      <c r="D24" s="6" t="s">
        <v>178</v>
      </c>
      <c r="E24" s="11">
        <v>1.5278E-2</v>
      </c>
      <c r="F24" s="1"/>
      <c r="G24" s="84" t="s">
        <v>17</v>
      </c>
      <c r="H24" s="85"/>
      <c r="I24" s="85"/>
      <c r="J24" s="85"/>
      <c r="K24" s="85"/>
      <c r="L24" s="103">
        <v>8.0315340453332542</v>
      </c>
      <c r="M24" s="26"/>
      <c r="N24" s="27"/>
    </row>
    <row r="25" spans="2:14" ht="15" customHeight="1" x14ac:dyDescent="0.25">
      <c r="B25" s="20"/>
      <c r="C25" s="5" t="s">
        <v>277</v>
      </c>
      <c r="D25" s="6" t="s">
        <v>178</v>
      </c>
      <c r="E25" s="11">
        <v>1.521E-2</v>
      </c>
      <c r="F25" s="1"/>
      <c r="G25" s="1"/>
      <c r="H25" s="1"/>
      <c r="I25" s="1"/>
      <c r="J25" s="1"/>
      <c r="K25" s="1"/>
      <c r="L25" s="1"/>
      <c r="M25" s="1"/>
      <c r="N25" s="18"/>
    </row>
    <row r="26" spans="2:14" ht="15" customHeight="1" x14ac:dyDescent="0.25">
      <c r="B26" s="20"/>
      <c r="C26" s="5" t="s">
        <v>268</v>
      </c>
      <c r="D26" s="6" t="s">
        <v>178</v>
      </c>
      <c r="E26" s="11">
        <v>1.4806E-2</v>
      </c>
      <c r="F26" s="1"/>
      <c r="G26" s="84" t="s">
        <v>18</v>
      </c>
      <c r="H26" s="85"/>
      <c r="I26" s="85"/>
      <c r="J26" s="85"/>
      <c r="K26" s="85"/>
      <c r="L26" s="85"/>
      <c r="M26" s="85"/>
      <c r="N26" s="86"/>
    </row>
    <row r="27" spans="2:14" ht="15" customHeight="1" x14ac:dyDescent="0.25">
      <c r="B27" s="20"/>
      <c r="C27" s="5" t="s">
        <v>263</v>
      </c>
      <c r="D27" s="6" t="s">
        <v>178</v>
      </c>
      <c r="E27" s="11">
        <v>1.4654E-2</v>
      </c>
      <c r="F27" s="1"/>
      <c r="G27" s="1"/>
      <c r="H27" s="1"/>
      <c r="I27" s="1"/>
      <c r="J27" s="1"/>
      <c r="K27" s="1"/>
      <c r="L27" s="1"/>
      <c r="M27" s="1"/>
      <c r="N27" s="18"/>
    </row>
    <row r="28" spans="2:14" ht="15" customHeight="1" x14ac:dyDescent="0.25">
      <c r="B28" s="20"/>
      <c r="C28" s="5" t="s">
        <v>261</v>
      </c>
      <c r="D28" s="6" t="s">
        <v>178</v>
      </c>
      <c r="E28" s="11">
        <v>1.4434000000000001E-2</v>
      </c>
      <c r="F28" s="1"/>
      <c r="G28" s="1"/>
      <c r="H28" s="1"/>
      <c r="I28" s="1"/>
      <c r="J28" s="1"/>
      <c r="K28" s="1"/>
      <c r="L28" s="1"/>
      <c r="M28" s="1"/>
      <c r="N28" s="18"/>
    </row>
    <row r="29" spans="2:14" ht="15" customHeight="1" x14ac:dyDescent="0.25">
      <c r="B29" s="20"/>
      <c r="C29" s="5" t="s">
        <v>275</v>
      </c>
      <c r="D29" s="6" t="s">
        <v>178</v>
      </c>
      <c r="E29" s="11">
        <v>9.0299999999999998E-3</v>
      </c>
      <c r="F29" s="1"/>
      <c r="G29" s="1"/>
      <c r="H29" s="1"/>
      <c r="I29" s="1"/>
      <c r="J29" s="1"/>
      <c r="K29" s="1"/>
      <c r="L29" s="1"/>
      <c r="M29" s="1"/>
      <c r="N29" s="18"/>
    </row>
    <row r="30" spans="2:14" ht="15" customHeight="1" x14ac:dyDescent="0.25">
      <c r="B30" s="20"/>
      <c r="C30" s="5" t="s">
        <v>274</v>
      </c>
      <c r="D30" s="6" t="s">
        <v>178</v>
      </c>
      <c r="E30" s="11">
        <v>7.3860000000000002E-3</v>
      </c>
      <c r="F30" s="1"/>
      <c r="G30" s="1"/>
      <c r="H30" s="1"/>
      <c r="I30" s="1"/>
      <c r="J30" s="1"/>
      <c r="K30" s="1"/>
      <c r="L30" s="1"/>
      <c r="M30" s="1"/>
      <c r="N30" s="18"/>
    </row>
    <row r="31" spans="2:14" ht="15" customHeight="1" x14ac:dyDescent="0.25">
      <c r="B31" s="20"/>
      <c r="C31" s="5" t="s">
        <v>273</v>
      </c>
      <c r="D31" s="6" t="s">
        <v>178</v>
      </c>
      <c r="E31" s="11">
        <v>5.7889999999999999E-3</v>
      </c>
      <c r="F31" s="1"/>
      <c r="G31" s="1"/>
      <c r="H31" s="1"/>
      <c r="I31" s="1"/>
      <c r="J31" s="1"/>
      <c r="K31" s="1"/>
      <c r="L31" s="1"/>
      <c r="M31" s="1"/>
      <c r="N31" s="18"/>
    </row>
    <row r="32" spans="2:14" ht="15" customHeight="1" x14ac:dyDescent="0.25">
      <c r="B32" s="20"/>
      <c r="C32" s="5" t="s">
        <v>266</v>
      </c>
      <c r="D32" s="6" t="s">
        <v>178</v>
      </c>
      <c r="E32" s="11">
        <v>4.1289999999999999E-3</v>
      </c>
      <c r="F32" s="1"/>
      <c r="G32" s="1"/>
      <c r="H32" s="1"/>
      <c r="I32" s="1"/>
      <c r="J32" s="1"/>
      <c r="K32" s="1"/>
      <c r="L32" s="1"/>
      <c r="M32" s="1"/>
      <c r="N32" s="18"/>
    </row>
    <row r="33" spans="2:14" ht="15" customHeight="1" x14ac:dyDescent="0.25">
      <c r="B33" s="20"/>
      <c r="C33" s="5" t="s">
        <v>260</v>
      </c>
      <c r="D33" s="6" t="s">
        <v>178</v>
      </c>
      <c r="E33" s="11">
        <v>2.6099999999999999E-3</v>
      </c>
      <c r="F33" s="1"/>
      <c r="G33" s="1"/>
      <c r="H33" s="1"/>
      <c r="I33" s="1"/>
      <c r="J33" s="1"/>
      <c r="K33" s="1"/>
      <c r="L33" s="1"/>
      <c r="M33" s="1"/>
      <c r="N33" s="18"/>
    </row>
    <row r="34" spans="2:14" ht="15" customHeight="1" x14ac:dyDescent="0.25">
      <c r="B34" s="20"/>
      <c r="C34" s="7" t="s">
        <v>51</v>
      </c>
      <c r="D34" s="8"/>
      <c r="E34" s="12">
        <v>0.87729699999999999</v>
      </c>
      <c r="F34" s="1"/>
      <c r="G34" s="1"/>
      <c r="H34" s="1"/>
      <c r="I34" s="1"/>
      <c r="J34" s="1"/>
      <c r="K34" s="1"/>
      <c r="L34" s="1"/>
      <c r="M34" s="1"/>
      <c r="N34" s="18"/>
    </row>
    <row r="35" spans="2:14" ht="15" customHeight="1" x14ac:dyDescent="0.25">
      <c r="B35" s="20"/>
      <c r="C35" s="5" t="s">
        <v>8</v>
      </c>
      <c r="D35" s="6"/>
      <c r="E35" s="11">
        <v>1.2178E-2</v>
      </c>
      <c r="F35" s="1"/>
      <c r="G35" s="1"/>
      <c r="H35" s="1"/>
      <c r="I35" s="1"/>
      <c r="J35" s="1"/>
      <c r="K35" s="1"/>
      <c r="L35" s="1"/>
      <c r="M35" s="1"/>
      <c r="N35" s="18"/>
    </row>
    <row r="36" spans="2:14" ht="15" customHeight="1" x14ac:dyDescent="0.25">
      <c r="B36" s="20"/>
      <c r="C36" s="7" t="s">
        <v>9</v>
      </c>
      <c r="D36" s="8"/>
      <c r="E36" s="12">
        <v>1.2178E-2</v>
      </c>
      <c r="F36" s="1"/>
      <c r="G36" s="1"/>
      <c r="H36" s="1"/>
      <c r="I36" s="1"/>
      <c r="J36" s="1"/>
      <c r="K36" s="1"/>
      <c r="L36" s="1"/>
      <c r="M36" s="1"/>
      <c r="N36" s="18"/>
    </row>
    <row r="37" spans="2:14" ht="15" customHeight="1" x14ac:dyDescent="0.25">
      <c r="B37" s="20"/>
      <c r="C37" s="5"/>
      <c r="D37" s="6"/>
      <c r="E37" s="11"/>
      <c r="F37" s="1"/>
      <c r="G37" s="1"/>
      <c r="H37" s="1"/>
      <c r="I37" s="1"/>
      <c r="J37" s="1"/>
      <c r="K37" s="1"/>
      <c r="L37" s="1"/>
      <c r="M37" s="1"/>
      <c r="N37" s="18"/>
    </row>
    <row r="38" spans="2:14" ht="15" customHeight="1" x14ac:dyDescent="0.25">
      <c r="B38" s="20"/>
      <c r="C38" s="7" t="s">
        <v>10</v>
      </c>
      <c r="D38" s="8"/>
      <c r="E38" s="12">
        <v>1.9663E-2</v>
      </c>
      <c r="F38" s="1"/>
      <c r="G38" s="1"/>
      <c r="H38" s="1"/>
      <c r="I38" s="1"/>
      <c r="J38" s="1"/>
      <c r="K38" s="1"/>
      <c r="L38" s="1"/>
      <c r="M38" s="1"/>
      <c r="N38" s="18"/>
    </row>
    <row r="39" spans="2:14" ht="15" customHeight="1" x14ac:dyDescent="0.25">
      <c r="B39" s="20"/>
      <c r="C39" s="5"/>
      <c r="D39" s="6"/>
      <c r="E39" s="11"/>
      <c r="F39" s="1"/>
      <c r="G39" s="1"/>
      <c r="H39" s="1"/>
      <c r="I39" s="1"/>
      <c r="J39" s="1"/>
      <c r="K39" s="1"/>
      <c r="L39" s="1"/>
      <c r="M39" s="1"/>
      <c r="N39" s="18"/>
    </row>
    <row r="40" spans="2:14" ht="15" customHeight="1" x14ac:dyDescent="0.25">
      <c r="B40" s="20"/>
      <c r="C40" s="9" t="s">
        <v>11</v>
      </c>
      <c r="D40" s="10"/>
      <c r="E40" s="13">
        <v>1</v>
      </c>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5" customHeight="1" thickBot="1" x14ac:dyDescent="0.3">
      <c r="B45" s="67" t="s">
        <v>291</v>
      </c>
      <c r="C45" s="68"/>
      <c r="D45" s="68"/>
      <c r="E45" s="68"/>
      <c r="F45" s="68"/>
      <c r="G45" s="68"/>
      <c r="H45" s="68"/>
      <c r="I45" s="68"/>
      <c r="J45" s="68"/>
      <c r="K45" s="68"/>
      <c r="L45" s="68"/>
      <c r="M45" s="68"/>
      <c r="N45" s="69"/>
    </row>
  </sheetData>
  <sortState ref="C11:E33">
    <sortCondition descending="1" ref="E11"/>
  </sortState>
  <mergeCells count="6">
    <mergeCell ref="B45:N45"/>
    <mergeCell ref="C3:N3"/>
    <mergeCell ref="D5:E5"/>
    <mergeCell ref="G7:N7"/>
    <mergeCell ref="G24:K24"/>
    <mergeCell ref="G26:N2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40FAE-1215-48F5-A918-59F1001B1624}">
  <dimension ref="B1:N45"/>
  <sheetViews>
    <sheetView showGridLines="0" zoomScale="75" zoomScaleNormal="75" workbookViewId="0"/>
  </sheetViews>
  <sheetFormatPr defaultRowHeight="15" x14ac:dyDescent="0.25"/>
  <cols>
    <col min="1" max="1" width="2.85546875" customWidth="1"/>
    <col min="2" max="2" width="3.85546875" customWidth="1"/>
    <col min="3" max="3" width="61.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9" t="s">
        <v>0</v>
      </c>
      <c r="D3" s="80"/>
      <c r="E3" s="80"/>
      <c r="F3" s="80"/>
      <c r="G3" s="80"/>
      <c r="H3" s="80"/>
      <c r="I3" s="80"/>
      <c r="J3" s="80"/>
      <c r="K3" s="80"/>
      <c r="L3" s="80"/>
      <c r="M3" s="80"/>
      <c r="N3" s="81"/>
    </row>
    <row r="4" spans="2:14" ht="15.75" customHeight="1" x14ac:dyDescent="0.25">
      <c r="B4" s="20"/>
      <c r="C4" s="14"/>
      <c r="D4" s="1"/>
      <c r="E4" s="1"/>
      <c r="F4" s="1"/>
      <c r="G4" s="1"/>
      <c r="H4" s="1"/>
      <c r="I4" s="1"/>
      <c r="J4" s="1"/>
      <c r="K4" s="1"/>
      <c r="L4" s="1"/>
      <c r="M4" s="1"/>
      <c r="N4" s="18"/>
    </row>
    <row r="5" spans="2:14" ht="18" customHeight="1" x14ac:dyDescent="0.25">
      <c r="B5" s="20"/>
      <c r="C5" s="15" t="s">
        <v>1</v>
      </c>
      <c r="D5" s="82" t="s">
        <v>2</v>
      </c>
      <c r="E5" s="8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4" t="s">
        <v>16</v>
      </c>
      <c r="H7" s="85"/>
      <c r="I7" s="85"/>
      <c r="J7" s="85"/>
      <c r="K7" s="85"/>
      <c r="L7" s="85"/>
      <c r="M7" s="85"/>
      <c r="N7" s="86"/>
    </row>
    <row r="8" spans="2:14" ht="15" customHeight="1" x14ac:dyDescent="0.25">
      <c r="B8" s="20"/>
      <c r="C8" s="5" t="s">
        <v>6</v>
      </c>
      <c r="D8" s="6"/>
      <c r="E8" s="11">
        <v>0.62126800000000004</v>
      </c>
      <c r="F8" s="1"/>
      <c r="G8" s="24" t="s">
        <v>15</v>
      </c>
      <c r="H8" s="25">
        <v>1</v>
      </c>
      <c r="I8" s="1"/>
      <c r="J8" s="24" t="s">
        <v>12</v>
      </c>
      <c r="K8" s="24" t="s">
        <v>5</v>
      </c>
      <c r="L8" s="1"/>
      <c r="M8" s="1"/>
      <c r="N8" s="18"/>
    </row>
    <row r="9" spans="2:14" ht="15" customHeight="1" x14ac:dyDescent="0.25">
      <c r="B9" s="20"/>
      <c r="C9" s="5" t="s">
        <v>282</v>
      </c>
      <c r="D9" s="6"/>
      <c r="E9" s="11">
        <v>0.37257899999999999</v>
      </c>
      <c r="F9" s="1"/>
      <c r="G9" s="1"/>
      <c r="H9" s="1"/>
      <c r="I9" s="1"/>
      <c r="J9" s="24" t="s">
        <v>10</v>
      </c>
      <c r="K9" s="28">
        <v>-6.9099999999999999E-4</v>
      </c>
      <c r="L9" s="1"/>
      <c r="M9" s="1"/>
      <c r="N9" s="18"/>
    </row>
    <row r="10" spans="2:14" ht="15.75" customHeight="1" x14ac:dyDescent="0.25">
      <c r="B10" s="20"/>
      <c r="C10" s="7" t="s">
        <v>7</v>
      </c>
      <c r="D10" s="8"/>
      <c r="E10" s="12">
        <v>0.99384700000000004</v>
      </c>
      <c r="F10" s="1"/>
      <c r="G10" s="1"/>
      <c r="H10" s="1"/>
      <c r="I10" s="1"/>
      <c r="J10" s="24" t="s">
        <v>13</v>
      </c>
      <c r="K10" s="28">
        <v>6.8440000000000003E-3</v>
      </c>
      <c r="L10" s="1"/>
      <c r="M10" s="1"/>
      <c r="N10" s="18"/>
    </row>
    <row r="11" spans="2:14" ht="15" customHeight="1" x14ac:dyDescent="0.25">
      <c r="B11" s="20"/>
      <c r="C11" s="5" t="s">
        <v>8</v>
      </c>
      <c r="D11" s="6"/>
      <c r="E11" s="11">
        <v>6.8440000000000003E-3</v>
      </c>
      <c r="F11" s="1"/>
      <c r="G11" s="1"/>
      <c r="H11" s="1"/>
      <c r="I11" s="1"/>
      <c r="J11" s="24" t="s">
        <v>14</v>
      </c>
      <c r="K11" s="28">
        <v>0.99384700000000004</v>
      </c>
      <c r="L11" s="1"/>
      <c r="M11" s="1"/>
      <c r="N11" s="18"/>
    </row>
    <row r="12" spans="2:14" ht="15.75" customHeight="1" x14ac:dyDescent="0.25">
      <c r="B12" s="20"/>
      <c r="C12" s="7" t="s">
        <v>9</v>
      </c>
      <c r="D12" s="8"/>
      <c r="E12" s="12">
        <v>6.8440000000000003E-3</v>
      </c>
      <c r="F12" s="1"/>
      <c r="G12" s="1"/>
      <c r="H12" s="1"/>
      <c r="I12" s="1"/>
      <c r="J12" s="1"/>
      <c r="K12" s="1"/>
      <c r="L12" s="1"/>
      <c r="M12" s="1"/>
      <c r="N12" s="18"/>
    </row>
    <row r="13" spans="2:14" ht="15" customHeight="1" x14ac:dyDescent="0.25">
      <c r="B13" s="20"/>
      <c r="C13" s="5"/>
      <c r="D13" s="6"/>
      <c r="E13" s="11"/>
      <c r="F13" s="1"/>
      <c r="G13" s="1"/>
      <c r="H13" s="1"/>
      <c r="I13" s="1"/>
      <c r="J13" s="1"/>
      <c r="K13" s="1"/>
      <c r="L13" s="1"/>
      <c r="M13" s="1"/>
      <c r="N13" s="18"/>
    </row>
    <row r="14" spans="2:14" ht="15.75" customHeight="1" x14ac:dyDescent="0.25">
      <c r="B14" s="20"/>
      <c r="C14" s="7" t="s">
        <v>10</v>
      </c>
      <c r="D14" s="8"/>
      <c r="E14" s="12">
        <v>-6.9099999999999999E-4</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 customHeight="1" x14ac:dyDescent="0.25">
      <c r="B16" s="20"/>
      <c r="C16" s="9" t="s">
        <v>11</v>
      </c>
      <c r="D16" s="10"/>
      <c r="E16" s="13">
        <v>1</v>
      </c>
      <c r="F16" s="1"/>
      <c r="G16" s="1"/>
      <c r="H16" s="1"/>
      <c r="I16" s="1"/>
      <c r="J16" s="1"/>
      <c r="K16" s="1"/>
      <c r="L16" s="1"/>
      <c r="M16" s="1"/>
      <c r="N16" s="18"/>
    </row>
    <row r="17" spans="2:14" ht="15" customHeight="1" x14ac:dyDescent="0.25">
      <c r="B17" s="20"/>
      <c r="C17" s="1"/>
      <c r="D17" s="1"/>
      <c r="E17" s="1"/>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4" t="s">
        <v>17</v>
      </c>
      <c r="H24" s="85"/>
      <c r="I24" s="85"/>
      <c r="J24" s="85"/>
      <c r="K24" s="85"/>
      <c r="L24" s="103">
        <v>2.7210936828717491</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4" t="s">
        <v>18</v>
      </c>
      <c r="H26" s="85"/>
      <c r="I26" s="85"/>
      <c r="J26" s="85"/>
      <c r="K26" s="85"/>
      <c r="L26" s="85"/>
      <c r="M26" s="85"/>
      <c r="N26" s="86"/>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5" customHeight="1" thickBot="1" x14ac:dyDescent="0.3">
      <c r="B45" s="67" t="s">
        <v>291</v>
      </c>
      <c r="C45" s="68"/>
      <c r="D45" s="68"/>
      <c r="E45" s="68"/>
      <c r="F45" s="68"/>
      <c r="G45" s="68"/>
      <c r="H45" s="68"/>
      <c r="I45" s="68"/>
      <c r="J45" s="68"/>
      <c r="K45" s="68"/>
      <c r="L45" s="68"/>
      <c r="M45" s="68"/>
      <c r="N45" s="69"/>
    </row>
  </sheetData>
  <mergeCells count="6">
    <mergeCell ref="B45:N45"/>
    <mergeCell ref="C3:N3"/>
    <mergeCell ref="D5:E5"/>
    <mergeCell ref="G7:N7"/>
    <mergeCell ref="G24:K24"/>
    <mergeCell ref="G26:N26"/>
  </mergeCells>
  <pageMargins left="0.7" right="0.7" top="0.75" bottom="0.75" header="0.3" footer="0.3"/>
  <pageSetup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1F80B-9E99-439B-973C-7B4D16FA6D84}">
  <sheetPr>
    <tabColor rgb="FFE5E3E3"/>
    <pageSetUpPr fitToPage="1"/>
  </sheetPr>
  <dimension ref="B1:X691"/>
  <sheetViews>
    <sheetView showGridLines="0" zoomScale="75" zoomScaleNormal="75" workbookViewId="0"/>
  </sheetViews>
  <sheetFormatPr defaultRowHeight="15" x14ac:dyDescent="0.2"/>
  <cols>
    <col min="1" max="1" width="2.85546875" style="35" customWidth="1"/>
    <col min="2" max="2" width="3.85546875" style="35" customWidth="1"/>
    <col min="3" max="3" width="60.5703125" style="35" customWidth="1"/>
    <col min="4" max="4" width="15.42578125" style="35" bestFit="1" customWidth="1"/>
    <col min="5" max="5" width="9.140625" style="35"/>
    <col min="6" max="6" width="10.7109375" style="35" customWidth="1"/>
    <col min="7" max="7" width="10.5703125" style="35" bestFit="1" customWidth="1"/>
    <col min="8" max="9" width="9.140625" style="35"/>
    <col min="10" max="11" width="16.42578125" style="35" customWidth="1"/>
    <col min="12" max="18" width="9.140625" style="35"/>
    <col min="19" max="19" width="9.85546875" style="35" customWidth="1"/>
    <col min="20" max="21" width="9.28515625" style="35" bestFit="1" customWidth="1"/>
    <col min="22" max="16384" width="9.140625" style="35"/>
  </cols>
  <sheetData>
    <row r="1" spans="2:24" ht="15.75" thickBot="1" x14ac:dyDescent="0.25"/>
    <row r="2" spans="2:24" x14ac:dyDescent="0.2">
      <c r="B2" s="36"/>
      <c r="C2" s="37"/>
      <c r="D2" s="37"/>
      <c r="E2" s="37"/>
      <c r="F2" s="37"/>
      <c r="G2" s="37"/>
      <c r="H2" s="37"/>
      <c r="I2" s="37"/>
      <c r="J2" s="37"/>
      <c r="K2" s="37"/>
      <c r="L2" s="37"/>
      <c r="M2" s="38"/>
    </row>
    <row r="3" spans="2:24" ht="20.25" customHeight="1" x14ac:dyDescent="0.2">
      <c r="B3" s="39"/>
      <c r="C3" s="87" t="s">
        <v>294</v>
      </c>
      <c r="D3" s="87"/>
      <c r="E3" s="87"/>
      <c r="F3" s="87"/>
      <c r="G3" s="87"/>
      <c r="H3" s="87"/>
      <c r="I3" s="87"/>
      <c r="J3" s="87"/>
      <c r="K3" s="87"/>
      <c r="L3" s="87"/>
      <c r="M3" s="88"/>
    </row>
    <row r="4" spans="2:24" ht="15.75" x14ac:dyDescent="0.25">
      <c r="B4" s="39"/>
      <c r="C4" s="40" t="s">
        <v>314</v>
      </c>
      <c r="D4" s="41"/>
      <c r="E4" s="41"/>
      <c r="F4" s="42"/>
      <c r="G4" s="42"/>
      <c r="H4" s="42"/>
      <c r="I4" s="42"/>
      <c r="J4" s="42"/>
      <c r="K4" s="42"/>
      <c r="L4" s="42"/>
      <c r="M4" s="43"/>
    </row>
    <row r="5" spans="2:24" ht="20.25" customHeight="1" x14ac:dyDescent="0.25">
      <c r="B5" s="39"/>
      <c r="C5" s="15" t="s">
        <v>1</v>
      </c>
      <c r="D5" s="44" t="s">
        <v>313</v>
      </c>
      <c r="E5" s="45"/>
      <c r="F5" s="42"/>
      <c r="G5" s="42"/>
      <c r="H5" s="42"/>
      <c r="I5" s="42"/>
      <c r="J5" s="42"/>
      <c r="K5" s="42"/>
      <c r="L5" s="42"/>
      <c r="M5" s="43"/>
    </row>
    <row r="6" spans="2:24" x14ac:dyDescent="0.2">
      <c r="B6" s="39"/>
      <c r="C6" s="42"/>
      <c r="D6" s="42"/>
      <c r="E6" s="42"/>
      <c r="F6" s="42"/>
      <c r="G6" s="42"/>
      <c r="H6" s="42"/>
      <c r="I6" s="42"/>
      <c r="J6" s="42"/>
      <c r="K6" s="42"/>
      <c r="L6" s="42"/>
      <c r="M6" s="43"/>
    </row>
    <row r="7" spans="2:24" ht="15.75" x14ac:dyDescent="0.2">
      <c r="B7" s="39"/>
      <c r="C7" s="46" t="s">
        <v>3</v>
      </c>
      <c r="D7" s="47" t="s">
        <v>5</v>
      </c>
      <c r="E7" s="42"/>
      <c r="F7" s="89" t="s">
        <v>18</v>
      </c>
      <c r="G7" s="89"/>
      <c r="H7" s="89"/>
      <c r="I7" s="89"/>
      <c r="J7" s="89"/>
      <c r="K7" s="89"/>
      <c r="L7" s="89"/>
      <c r="M7" s="90"/>
    </row>
    <row r="8" spans="2:24" x14ac:dyDescent="0.2">
      <c r="B8" s="39"/>
      <c r="C8" s="48" t="s">
        <v>295</v>
      </c>
      <c r="D8" s="49">
        <v>0.98105200000000004</v>
      </c>
      <c r="E8" s="42"/>
      <c r="F8" s="42"/>
      <c r="G8" s="50"/>
      <c r="H8" s="42"/>
      <c r="I8" s="42" t="s">
        <v>296</v>
      </c>
      <c r="J8" s="51">
        <f>D9</f>
        <v>0.98105200000000004</v>
      </c>
      <c r="K8" s="42"/>
      <c r="L8" s="42"/>
      <c r="M8" s="43"/>
      <c r="S8" s="52"/>
      <c r="W8" s="35" t="s">
        <v>297</v>
      </c>
      <c r="X8" s="35">
        <v>0.25058799999999998</v>
      </c>
    </row>
    <row r="9" spans="2:24" ht="15.75" x14ac:dyDescent="0.25">
      <c r="B9" s="39"/>
      <c r="C9" s="53" t="s">
        <v>296</v>
      </c>
      <c r="D9" s="54">
        <v>0.98105200000000004</v>
      </c>
      <c r="E9" s="42"/>
      <c r="F9" s="42"/>
      <c r="G9" s="42"/>
      <c r="H9" s="42"/>
      <c r="I9" s="42" t="s">
        <v>10</v>
      </c>
      <c r="J9" s="51">
        <f>D13</f>
        <v>-1.8568000000000001E-2</v>
      </c>
      <c r="K9" s="42"/>
      <c r="L9" s="42"/>
      <c r="M9" s="43"/>
      <c r="S9" s="52"/>
      <c r="W9" s="35" t="s">
        <v>298</v>
      </c>
      <c r="X9" s="35">
        <v>6.1296999999999997E-2</v>
      </c>
    </row>
    <row r="10" spans="2:24" x14ac:dyDescent="0.2">
      <c r="B10" s="39"/>
      <c r="C10" s="55" t="s">
        <v>8</v>
      </c>
      <c r="D10" s="56">
        <v>3.7516000000000001E-2</v>
      </c>
      <c r="E10" s="42"/>
      <c r="F10" s="42"/>
      <c r="G10" s="42"/>
      <c r="I10" s="35" t="s">
        <v>9</v>
      </c>
      <c r="J10" s="51">
        <f>D11</f>
        <v>3.7516000000000001E-2</v>
      </c>
      <c r="K10" s="42"/>
      <c r="L10" s="42"/>
      <c r="M10" s="43"/>
      <c r="S10" s="52"/>
      <c r="W10" s="35" t="s">
        <v>299</v>
      </c>
      <c r="X10" s="35">
        <v>3.0130999999999998E-2</v>
      </c>
    </row>
    <row r="11" spans="2:24" ht="15.75" x14ac:dyDescent="0.2">
      <c r="B11" s="39"/>
      <c r="C11" s="57" t="s">
        <v>9</v>
      </c>
      <c r="D11" s="58">
        <v>3.7516000000000001E-2</v>
      </c>
      <c r="E11" s="42"/>
      <c r="F11" s="42"/>
      <c r="G11" s="42"/>
      <c r="J11" s="42"/>
      <c r="K11" s="42"/>
      <c r="L11" s="42"/>
      <c r="M11" s="43"/>
      <c r="S11" s="52"/>
      <c r="W11" s="35" t="s">
        <v>300</v>
      </c>
      <c r="X11" s="35">
        <v>2.7299E-2</v>
      </c>
    </row>
    <row r="12" spans="2:24" x14ac:dyDescent="0.2">
      <c r="B12" s="39"/>
      <c r="C12" s="55"/>
      <c r="D12" s="59"/>
      <c r="E12" s="42"/>
      <c r="F12" s="42"/>
      <c r="G12" s="42"/>
      <c r="J12" s="42"/>
      <c r="K12" s="42"/>
      <c r="L12" s="42"/>
      <c r="M12" s="43"/>
      <c r="S12" s="52"/>
      <c r="W12" s="35" t="s">
        <v>301</v>
      </c>
      <c r="X12" s="35">
        <v>2.5925E-2</v>
      </c>
    </row>
    <row r="13" spans="2:24" ht="15.75" x14ac:dyDescent="0.2">
      <c r="B13" s="39"/>
      <c r="C13" s="57" t="s">
        <v>10</v>
      </c>
      <c r="D13" s="58">
        <v>-1.8568000000000001E-2</v>
      </c>
      <c r="E13" s="42"/>
      <c r="F13" s="42"/>
      <c r="G13" s="42"/>
      <c r="J13" s="42"/>
      <c r="K13" s="42"/>
      <c r="L13" s="42"/>
      <c r="M13" s="43"/>
      <c r="S13" s="52"/>
      <c r="W13" s="35" t="s">
        <v>302</v>
      </c>
      <c r="X13" s="35">
        <v>2.3822000000000003E-2</v>
      </c>
    </row>
    <row r="14" spans="2:24" x14ac:dyDescent="0.2">
      <c r="B14" s="39"/>
      <c r="C14" s="55"/>
      <c r="D14" s="59"/>
      <c r="E14" s="42"/>
      <c r="F14" s="42"/>
      <c r="G14" s="42"/>
      <c r="H14" s="42"/>
      <c r="I14" s="42"/>
      <c r="J14" s="42"/>
      <c r="K14" s="42"/>
      <c r="L14" s="42"/>
      <c r="M14" s="43"/>
      <c r="S14" s="52"/>
      <c r="W14" s="35" t="s">
        <v>303</v>
      </c>
      <c r="X14" s="35">
        <v>2.3753E-2</v>
      </c>
    </row>
    <row r="15" spans="2:24" ht="15.75" x14ac:dyDescent="0.2">
      <c r="B15" s="39"/>
      <c r="C15" s="60" t="s">
        <v>11</v>
      </c>
      <c r="D15" s="61">
        <f>D13+D11+D9</f>
        <v>1</v>
      </c>
      <c r="E15" s="42"/>
      <c r="F15" s="42"/>
      <c r="G15" s="42"/>
      <c r="H15" s="42"/>
      <c r="I15" s="42"/>
      <c r="J15" s="42"/>
      <c r="K15" s="42"/>
      <c r="L15" s="42"/>
      <c r="M15" s="43"/>
      <c r="S15" s="52"/>
      <c r="W15" s="35" t="s">
        <v>304</v>
      </c>
      <c r="X15" s="35">
        <v>1.8620999999999999E-2</v>
      </c>
    </row>
    <row r="16" spans="2:24" x14ac:dyDescent="0.2">
      <c r="B16" s="39"/>
      <c r="E16" s="42"/>
      <c r="F16" s="42"/>
      <c r="G16" s="42"/>
      <c r="H16" s="42"/>
      <c r="I16" s="42"/>
      <c r="J16" s="42"/>
      <c r="K16" s="42"/>
      <c r="L16" s="42"/>
      <c r="M16" s="43"/>
      <c r="S16" s="52"/>
      <c r="W16" s="35" t="s">
        <v>305</v>
      </c>
      <c r="X16" s="35">
        <v>1.7219000000000002E-2</v>
      </c>
    </row>
    <row r="17" spans="2:24" ht="15.75" x14ac:dyDescent="0.25">
      <c r="B17" s="39"/>
      <c r="C17" s="62"/>
      <c r="D17" s="63"/>
      <c r="E17" s="42"/>
      <c r="F17" s="42"/>
      <c r="G17" s="42"/>
      <c r="H17" s="42"/>
      <c r="I17" s="42"/>
      <c r="J17" s="42"/>
      <c r="K17" s="42"/>
      <c r="L17" s="42"/>
      <c r="M17" s="43"/>
      <c r="S17" s="52"/>
      <c r="W17" s="35" t="s">
        <v>306</v>
      </c>
      <c r="X17" s="35">
        <v>1.6056000000000001E-2</v>
      </c>
    </row>
    <row r="18" spans="2:24" x14ac:dyDescent="0.2">
      <c r="B18" s="39"/>
      <c r="C18" s="64"/>
      <c r="D18" s="64"/>
      <c r="E18" s="42"/>
      <c r="F18" s="42"/>
      <c r="G18" s="42"/>
      <c r="H18" s="42"/>
      <c r="I18" s="42"/>
      <c r="J18" s="42"/>
      <c r="K18" s="42"/>
      <c r="L18" s="42"/>
      <c r="M18" s="43"/>
      <c r="S18" s="52"/>
      <c r="W18" s="35" t="s">
        <v>307</v>
      </c>
      <c r="X18" s="35">
        <v>1.41E-2</v>
      </c>
    </row>
    <row r="19" spans="2:24" ht="15.75" x14ac:dyDescent="0.25">
      <c r="B19" s="39"/>
      <c r="C19" s="62"/>
      <c r="D19" s="65"/>
      <c r="E19" s="42"/>
      <c r="F19" s="42"/>
      <c r="G19" s="42"/>
      <c r="H19" s="42"/>
      <c r="I19" s="42"/>
      <c r="J19" s="42"/>
      <c r="K19" s="42"/>
      <c r="L19" s="42"/>
      <c r="M19" s="43"/>
      <c r="S19" s="52"/>
      <c r="W19" s="35" t="s">
        <v>308</v>
      </c>
      <c r="X19" s="35">
        <v>1.1167E-2</v>
      </c>
    </row>
    <row r="20" spans="2:24" x14ac:dyDescent="0.2">
      <c r="B20" s="39"/>
      <c r="E20" s="42"/>
      <c r="F20" s="42"/>
      <c r="G20" s="42"/>
      <c r="H20" s="42"/>
      <c r="I20" s="42"/>
      <c r="J20" s="42"/>
      <c r="K20" s="42"/>
      <c r="L20" s="42"/>
      <c r="M20" s="43"/>
      <c r="S20" s="52"/>
      <c r="W20" s="35" t="s">
        <v>309</v>
      </c>
      <c r="X20" s="35">
        <v>1.1159000000000001E-2</v>
      </c>
    </row>
    <row r="21" spans="2:24" x14ac:dyDescent="0.2">
      <c r="B21" s="39"/>
      <c r="E21" s="42"/>
      <c r="F21" s="42"/>
      <c r="G21" s="42"/>
      <c r="H21" s="42"/>
      <c r="I21" s="42"/>
      <c r="J21" s="42"/>
      <c r="K21" s="42"/>
      <c r="L21" s="42"/>
      <c r="M21" s="43"/>
      <c r="S21" s="52"/>
      <c r="W21" s="35" t="s">
        <v>310</v>
      </c>
      <c r="X21" s="35">
        <v>1.0543E-2</v>
      </c>
    </row>
    <row r="22" spans="2:24" ht="16.5" thickBot="1" x14ac:dyDescent="0.3">
      <c r="B22" s="66"/>
      <c r="C22" s="91"/>
      <c r="D22" s="91"/>
      <c r="E22" s="91"/>
      <c r="F22" s="91"/>
      <c r="G22" s="91"/>
      <c r="H22" s="91"/>
      <c r="I22" s="91"/>
      <c r="J22" s="91"/>
      <c r="K22" s="91"/>
      <c r="L22" s="91"/>
      <c r="M22" s="92"/>
      <c r="S22" s="52"/>
    </row>
    <row r="23" spans="2:24" ht="15.75" thickBot="1" x14ac:dyDescent="0.25">
      <c r="S23" s="52"/>
    </row>
    <row r="24" spans="2:24" ht="15" customHeight="1" x14ac:dyDescent="0.2">
      <c r="B24" s="93" t="s">
        <v>311</v>
      </c>
      <c r="C24" s="94"/>
      <c r="D24" s="94"/>
      <c r="E24" s="94"/>
      <c r="F24" s="94"/>
      <c r="G24" s="94"/>
      <c r="H24" s="94"/>
      <c r="I24" s="94"/>
      <c r="J24" s="94"/>
      <c r="K24" s="94"/>
      <c r="L24" s="94"/>
      <c r="M24" s="94"/>
      <c r="N24" s="95"/>
      <c r="S24" s="52"/>
    </row>
    <row r="25" spans="2:24" ht="15.75" customHeight="1" x14ac:dyDescent="0.2">
      <c r="B25" s="96"/>
      <c r="C25" s="97"/>
      <c r="D25" s="97"/>
      <c r="E25" s="97"/>
      <c r="F25" s="97"/>
      <c r="G25" s="97"/>
      <c r="H25" s="97"/>
      <c r="I25" s="97"/>
      <c r="J25" s="97"/>
      <c r="K25" s="97"/>
      <c r="L25" s="97"/>
      <c r="M25" s="97"/>
      <c r="N25" s="98"/>
      <c r="S25" s="52"/>
    </row>
    <row r="26" spans="2:24" ht="15.75" customHeight="1" x14ac:dyDescent="0.2">
      <c r="B26" s="96"/>
      <c r="C26" s="97"/>
      <c r="D26" s="97"/>
      <c r="E26" s="97"/>
      <c r="F26" s="97"/>
      <c r="G26" s="97"/>
      <c r="H26" s="97"/>
      <c r="I26" s="97"/>
      <c r="J26" s="97"/>
      <c r="K26" s="97"/>
      <c r="L26" s="97"/>
      <c r="M26" s="97"/>
      <c r="N26" s="98"/>
      <c r="S26" s="52"/>
    </row>
    <row r="27" spans="2:24" ht="15.75" customHeight="1" x14ac:dyDescent="0.2">
      <c r="B27" s="96"/>
      <c r="C27" s="97"/>
      <c r="D27" s="97"/>
      <c r="E27" s="97"/>
      <c r="F27" s="97"/>
      <c r="G27" s="97"/>
      <c r="H27" s="97"/>
      <c r="I27" s="97"/>
      <c r="J27" s="97"/>
      <c r="K27" s="97"/>
      <c r="L27" s="97"/>
      <c r="M27" s="97"/>
      <c r="N27" s="98"/>
      <c r="S27" s="52"/>
    </row>
    <row r="28" spans="2:24" ht="15.75" customHeight="1" x14ac:dyDescent="0.2">
      <c r="B28" s="96"/>
      <c r="C28" s="97"/>
      <c r="D28" s="97"/>
      <c r="E28" s="97"/>
      <c r="F28" s="97"/>
      <c r="G28" s="97"/>
      <c r="H28" s="97"/>
      <c r="I28" s="97"/>
      <c r="J28" s="97"/>
      <c r="K28" s="97"/>
      <c r="L28" s="97"/>
      <c r="M28" s="97"/>
      <c r="N28" s="98"/>
      <c r="S28" s="52"/>
    </row>
    <row r="29" spans="2:24" ht="15.75" customHeight="1" x14ac:dyDescent="0.2">
      <c r="B29" s="96"/>
      <c r="C29" s="97"/>
      <c r="D29" s="97"/>
      <c r="E29" s="97"/>
      <c r="F29" s="97"/>
      <c r="G29" s="97"/>
      <c r="H29" s="97"/>
      <c r="I29" s="97"/>
      <c r="J29" s="97"/>
      <c r="K29" s="97"/>
      <c r="L29" s="97"/>
      <c r="M29" s="97"/>
      <c r="N29" s="98"/>
      <c r="S29" s="52"/>
    </row>
    <row r="30" spans="2:24" ht="28.5" customHeight="1" thickBot="1" x14ac:dyDescent="0.25">
      <c r="B30" s="99"/>
      <c r="C30" s="100"/>
      <c r="D30" s="100"/>
      <c r="E30" s="100"/>
      <c r="F30" s="100"/>
      <c r="G30" s="100"/>
      <c r="H30" s="100"/>
      <c r="I30" s="100"/>
      <c r="J30" s="100"/>
      <c r="K30" s="100"/>
      <c r="L30" s="100"/>
      <c r="M30" s="100"/>
      <c r="N30" s="101"/>
      <c r="S30" s="52"/>
    </row>
    <row r="31" spans="2:24" ht="15.75" thickBot="1" x14ac:dyDescent="0.25">
      <c r="S31" s="52"/>
    </row>
    <row r="32" spans="2:24" x14ac:dyDescent="0.2">
      <c r="B32" s="93" t="s">
        <v>312</v>
      </c>
      <c r="C32" s="94"/>
      <c r="D32" s="94"/>
      <c r="E32" s="94"/>
      <c r="F32" s="94"/>
      <c r="G32" s="94"/>
      <c r="H32" s="94"/>
      <c r="I32" s="94"/>
      <c r="J32" s="94"/>
      <c r="K32" s="94"/>
      <c r="L32" s="94"/>
      <c r="M32" s="94"/>
      <c r="N32" s="95"/>
      <c r="S32" s="52"/>
    </row>
    <row r="33" spans="2:19" x14ac:dyDescent="0.2">
      <c r="B33" s="96"/>
      <c r="C33" s="97"/>
      <c r="D33" s="97"/>
      <c r="E33" s="97"/>
      <c r="F33" s="97"/>
      <c r="G33" s="97"/>
      <c r="H33" s="97"/>
      <c r="I33" s="97"/>
      <c r="J33" s="97"/>
      <c r="K33" s="97"/>
      <c r="L33" s="97"/>
      <c r="M33" s="97"/>
      <c r="N33" s="98"/>
      <c r="S33" s="52"/>
    </row>
    <row r="34" spans="2:19" x14ac:dyDescent="0.2">
      <c r="B34" s="96"/>
      <c r="C34" s="97"/>
      <c r="D34" s="97"/>
      <c r="E34" s="97"/>
      <c r="F34" s="97"/>
      <c r="G34" s="97"/>
      <c r="H34" s="97"/>
      <c r="I34" s="97"/>
      <c r="J34" s="97"/>
      <c r="K34" s="97"/>
      <c r="L34" s="97"/>
      <c r="M34" s="97"/>
      <c r="N34" s="98"/>
      <c r="S34" s="52"/>
    </row>
    <row r="35" spans="2:19" x14ac:dyDescent="0.2">
      <c r="B35" s="96"/>
      <c r="C35" s="97"/>
      <c r="D35" s="97"/>
      <c r="E35" s="97"/>
      <c r="F35" s="97"/>
      <c r="G35" s="97"/>
      <c r="H35" s="97"/>
      <c r="I35" s="97"/>
      <c r="J35" s="97"/>
      <c r="K35" s="97"/>
      <c r="L35" s="97"/>
      <c r="M35" s="97"/>
      <c r="N35" s="98"/>
      <c r="S35" s="52"/>
    </row>
    <row r="36" spans="2:19" x14ac:dyDescent="0.2">
      <c r="B36" s="96"/>
      <c r="C36" s="97"/>
      <c r="D36" s="97"/>
      <c r="E36" s="97"/>
      <c r="F36" s="97"/>
      <c r="G36" s="97"/>
      <c r="H36" s="97"/>
      <c r="I36" s="97"/>
      <c r="J36" s="97"/>
      <c r="K36" s="97"/>
      <c r="L36" s="97"/>
      <c r="M36" s="97"/>
      <c r="N36" s="98"/>
      <c r="S36" s="52"/>
    </row>
    <row r="37" spans="2:19" x14ac:dyDescent="0.2">
      <c r="B37" s="96"/>
      <c r="C37" s="97"/>
      <c r="D37" s="97"/>
      <c r="E37" s="97"/>
      <c r="F37" s="97"/>
      <c r="G37" s="97"/>
      <c r="H37" s="97"/>
      <c r="I37" s="97"/>
      <c r="J37" s="97"/>
      <c r="K37" s="97"/>
      <c r="L37" s="97"/>
      <c r="M37" s="97"/>
      <c r="N37" s="98"/>
      <c r="S37" s="52"/>
    </row>
    <row r="38" spans="2:19" ht="15.75" thickBot="1" x14ac:dyDescent="0.25">
      <c r="B38" s="99"/>
      <c r="C38" s="100"/>
      <c r="D38" s="100"/>
      <c r="E38" s="100"/>
      <c r="F38" s="100"/>
      <c r="G38" s="100"/>
      <c r="H38" s="100"/>
      <c r="I38" s="100"/>
      <c r="J38" s="100"/>
      <c r="K38" s="100"/>
      <c r="L38" s="100"/>
      <c r="M38" s="100"/>
      <c r="N38" s="101"/>
      <c r="S38" s="52"/>
    </row>
    <row r="39" spans="2:19" x14ac:dyDescent="0.2">
      <c r="S39" s="52"/>
    </row>
    <row r="40" spans="2:19" x14ac:dyDescent="0.2">
      <c r="S40" s="52"/>
    </row>
    <row r="41" spans="2:19" x14ac:dyDescent="0.2">
      <c r="S41" s="52"/>
    </row>
    <row r="42" spans="2:19" x14ac:dyDescent="0.2">
      <c r="S42" s="52"/>
    </row>
    <row r="43" spans="2:19" x14ac:dyDescent="0.2">
      <c r="S43" s="52"/>
    </row>
    <row r="44" spans="2:19" x14ac:dyDescent="0.2">
      <c r="S44" s="52"/>
    </row>
    <row r="45" spans="2:19" x14ac:dyDescent="0.2">
      <c r="S45" s="52"/>
    </row>
    <row r="46" spans="2:19" x14ac:dyDescent="0.2">
      <c r="S46" s="52"/>
    </row>
    <row r="47" spans="2:19" x14ac:dyDescent="0.2">
      <c r="S47" s="52"/>
    </row>
    <row r="48" spans="2:19" x14ac:dyDescent="0.2">
      <c r="S48" s="52"/>
    </row>
    <row r="49" spans="19:19" x14ac:dyDescent="0.2">
      <c r="S49" s="52"/>
    </row>
    <row r="50" spans="19:19" x14ac:dyDescent="0.2">
      <c r="S50" s="52"/>
    </row>
    <row r="51" spans="19:19" x14ac:dyDescent="0.2">
      <c r="S51" s="52"/>
    </row>
    <row r="52" spans="19:19" x14ac:dyDescent="0.2">
      <c r="S52" s="52"/>
    </row>
    <row r="53" spans="19:19" x14ac:dyDescent="0.2">
      <c r="S53" s="52"/>
    </row>
    <row r="54" spans="19:19" x14ac:dyDescent="0.2">
      <c r="S54" s="52"/>
    </row>
    <row r="55" spans="19:19" x14ac:dyDescent="0.2">
      <c r="S55" s="52"/>
    </row>
    <row r="56" spans="19:19" x14ac:dyDescent="0.2">
      <c r="S56" s="52"/>
    </row>
    <row r="57" spans="19:19" x14ac:dyDescent="0.2">
      <c r="S57" s="52"/>
    </row>
    <row r="58" spans="19:19" x14ac:dyDescent="0.2">
      <c r="S58" s="52"/>
    </row>
    <row r="59" spans="19:19" x14ac:dyDescent="0.2">
      <c r="S59" s="52"/>
    </row>
    <row r="60" spans="19:19" x14ac:dyDescent="0.2">
      <c r="S60" s="52"/>
    </row>
    <row r="61" spans="19:19" x14ac:dyDescent="0.2">
      <c r="S61" s="52"/>
    </row>
    <row r="62" spans="19:19" x14ac:dyDescent="0.2">
      <c r="S62" s="52"/>
    </row>
    <row r="63" spans="19:19" x14ac:dyDescent="0.2">
      <c r="S63" s="52"/>
    </row>
    <row r="64" spans="19:19" x14ac:dyDescent="0.2">
      <c r="S64" s="52"/>
    </row>
    <row r="65" spans="19:19" x14ac:dyDescent="0.2">
      <c r="S65" s="52"/>
    </row>
    <row r="66" spans="19:19" x14ac:dyDescent="0.2">
      <c r="S66" s="52"/>
    </row>
    <row r="67" spans="19:19" x14ac:dyDescent="0.2">
      <c r="S67" s="52"/>
    </row>
    <row r="68" spans="19:19" x14ac:dyDescent="0.2">
      <c r="S68" s="52"/>
    </row>
    <row r="69" spans="19:19" x14ac:dyDescent="0.2">
      <c r="S69" s="52"/>
    </row>
    <row r="70" spans="19:19" x14ac:dyDescent="0.2">
      <c r="S70" s="52"/>
    </row>
    <row r="71" spans="19:19" x14ac:dyDescent="0.2">
      <c r="S71" s="52"/>
    </row>
    <row r="72" spans="19:19" x14ac:dyDescent="0.2">
      <c r="S72" s="52"/>
    </row>
    <row r="73" spans="19:19" x14ac:dyDescent="0.2">
      <c r="S73" s="52"/>
    </row>
    <row r="74" spans="19:19" x14ac:dyDescent="0.2">
      <c r="S74" s="52"/>
    </row>
    <row r="75" spans="19:19" x14ac:dyDescent="0.2">
      <c r="S75" s="52"/>
    </row>
    <row r="76" spans="19:19" x14ac:dyDescent="0.2">
      <c r="S76" s="52"/>
    </row>
    <row r="77" spans="19:19" x14ac:dyDescent="0.2">
      <c r="S77" s="52"/>
    </row>
    <row r="78" spans="19:19" x14ac:dyDescent="0.2">
      <c r="S78" s="52"/>
    </row>
    <row r="79" spans="19:19" x14ac:dyDescent="0.2">
      <c r="S79" s="52"/>
    </row>
    <row r="80" spans="19:19" x14ac:dyDescent="0.2">
      <c r="S80" s="52"/>
    </row>
    <row r="81" spans="19:19" x14ac:dyDescent="0.2">
      <c r="S81" s="52"/>
    </row>
    <row r="82" spans="19:19" x14ac:dyDescent="0.2">
      <c r="S82" s="52"/>
    </row>
    <row r="83" spans="19:19" x14ac:dyDescent="0.2">
      <c r="S83" s="52"/>
    </row>
    <row r="84" spans="19:19" x14ac:dyDescent="0.2">
      <c r="S84" s="52"/>
    </row>
    <row r="85" spans="19:19" x14ac:dyDescent="0.2">
      <c r="S85" s="52"/>
    </row>
    <row r="86" spans="19:19" x14ac:dyDescent="0.2">
      <c r="S86" s="52"/>
    </row>
    <row r="87" spans="19:19" x14ac:dyDescent="0.2">
      <c r="S87" s="52"/>
    </row>
    <row r="88" spans="19:19" x14ac:dyDescent="0.2">
      <c r="S88" s="52"/>
    </row>
    <row r="89" spans="19:19" x14ac:dyDescent="0.2">
      <c r="S89" s="52"/>
    </row>
    <row r="90" spans="19:19" x14ac:dyDescent="0.2">
      <c r="S90" s="52"/>
    </row>
    <row r="91" spans="19:19" x14ac:dyDescent="0.2">
      <c r="S91" s="52"/>
    </row>
    <row r="92" spans="19:19" x14ac:dyDescent="0.2">
      <c r="S92" s="52"/>
    </row>
    <row r="93" spans="19:19" x14ac:dyDescent="0.2">
      <c r="S93" s="52"/>
    </row>
    <row r="94" spans="19:19" x14ac:dyDescent="0.2">
      <c r="S94" s="52"/>
    </row>
    <row r="95" spans="19:19" x14ac:dyDescent="0.2">
      <c r="S95" s="52"/>
    </row>
    <row r="96" spans="19:19" x14ac:dyDescent="0.2">
      <c r="S96" s="52"/>
    </row>
    <row r="97" spans="19:19" x14ac:dyDescent="0.2">
      <c r="S97" s="52"/>
    </row>
    <row r="98" spans="19:19" x14ac:dyDescent="0.2">
      <c r="S98" s="52"/>
    </row>
    <row r="99" spans="19:19" x14ac:dyDescent="0.2">
      <c r="S99" s="52"/>
    </row>
    <row r="100" spans="19:19" x14ac:dyDescent="0.2">
      <c r="S100" s="52"/>
    </row>
    <row r="101" spans="19:19" x14ac:dyDescent="0.2">
      <c r="S101" s="52"/>
    </row>
    <row r="102" spans="19:19" x14ac:dyDescent="0.2">
      <c r="S102" s="52"/>
    </row>
    <row r="103" spans="19:19" x14ac:dyDescent="0.2">
      <c r="S103" s="52"/>
    </row>
    <row r="104" spans="19:19" x14ac:dyDescent="0.2">
      <c r="S104" s="52"/>
    </row>
    <row r="105" spans="19:19" x14ac:dyDescent="0.2">
      <c r="S105" s="52"/>
    </row>
    <row r="106" spans="19:19" x14ac:dyDescent="0.2">
      <c r="S106" s="52"/>
    </row>
    <row r="107" spans="19:19" x14ac:dyDescent="0.2">
      <c r="S107" s="52"/>
    </row>
    <row r="108" spans="19:19" x14ac:dyDescent="0.2">
      <c r="S108" s="52"/>
    </row>
    <row r="109" spans="19:19" x14ac:dyDescent="0.2">
      <c r="S109" s="52"/>
    </row>
    <row r="110" spans="19:19" x14ac:dyDescent="0.2">
      <c r="S110" s="52"/>
    </row>
    <row r="111" spans="19:19" x14ac:dyDescent="0.2">
      <c r="S111" s="52"/>
    </row>
    <row r="112" spans="19:19" x14ac:dyDescent="0.2">
      <c r="S112" s="52"/>
    </row>
    <row r="113" spans="19:19" x14ac:dyDescent="0.2">
      <c r="S113" s="52"/>
    </row>
    <row r="114" spans="19:19" x14ac:dyDescent="0.2">
      <c r="S114" s="52"/>
    </row>
    <row r="115" spans="19:19" x14ac:dyDescent="0.2">
      <c r="S115" s="52"/>
    </row>
    <row r="116" spans="19:19" x14ac:dyDescent="0.2">
      <c r="S116" s="52"/>
    </row>
    <row r="117" spans="19:19" x14ac:dyDescent="0.2">
      <c r="S117" s="52"/>
    </row>
    <row r="118" spans="19:19" x14ac:dyDescent="0.2">
      <c r="S118" s="52"/>
    </row>
    <row r="119" spans="19:19" x14ac:dyDescent="0.2">
      <c r="S119" s="52"/>
    </row>
    <row r="120" spans="19:19" x14ac:dyDescent="0.2">
      <c r="S120" s="52"/>
    </row>
    <row r="121" spans="19:19" x14ac:dyDescent="0.2">
      <c r="S121" s="52"/>
    </row>
    <row r="122" spans="19:19" x14ac:dyDescent="0.2">
      <c r="S122" s="52"/>
    </row>
    <row r="123" spans="19:19" x14ac:dyDescent="0.2">
      <c r="S123" s="52"/>
    </row>
    <row r="124" spans="19:19" x14ac:dyDescent="0.2">
      <c r="S124" s="52"/>
    </row>
    <row r="125" spans="19:19" x14ac:dyDescent="0.2">
      <c r="S125" s="52"/>
    </row>
    <row r="126" spans="19:19" x14ac:dyDescent="0.2">
      <c r="S126" s="52"/>
    </row>
    <row r="127" spans="19:19" x14ac:dyDescent="0.2">
      <c r="S127" s="52"/>
    </row>
    <row r="128" spans="19:19" x14ac:dyDescent="0.2">
      <c r="S128" s="52"/>
    </row>
    <row r="129" spans="19:19" x14ac:dyDescent="0.2">
      <c r="S129" s="52"/>
    </row>
    <row r="130" spans="19:19" x14ac:dyDescent="0.2">
      <c r="S130" s="52"/>
    </row>
    <row r="131" spans="19:19" x14ac:dyDescent="0.2">
      <c r="S131" s="52"/>
    </row>
    <row r="132" spans="19:19" x14ac:dyDescent="0.2">
      <c r="S132" s="52"/>
    </row>
    <row r="133" spans="19:19" x14ac:dyDescent="0.2">
      <c r="S133" s="52"/>
    </row>
    <row r="134" spans="19:19" x14ac:dyDescent="0.2">
      <c r="S134" s="52"/>
    </row>
    <row r="135" spans="19:19" x14ac:dyDescent="0.2">
      <c r="S135" s="52"/>
    </row>
    <row r="136" spans="19:19" x14ac:dyDescent="0.2">
      <c r="S136" s="52"/>
    </row>
    <row r="137" spans="19:19" x14ac:dyDescent="0.2">
      <c r="S137" s="52"/>
    </row>
    <row r="138" spans="19:19" x14ac:dyDescent="0.2">
      <c r="S138" s="52"/>
    </row>
    <row r="139" spans="19:19" x14ac:dyDescent="0.2">
      <c r="S139" s="52"/>
    </row>
    <row r="140" spans="19:19" x14ac:dyDescent="0.2">
      <c r="S140" s="52"/>
    </row>
    <row r="141" spans="19:19" x14ac:dyDescent="0.2">
      <c r="S141" s="52"/>
    </row>
    <row r="142" spans="19:19" x14ac:dyDescent="0.2">
      <c r="S142" s="52"/>
    </row>
    <row r="143" spans="19:19" x14ac:dyDescent="0.2">
      <c r="S143" s="52"/>
    </row>
    <row r="144" spans="19:19" x14ac:dyDescent="0.2">
      <c r="S144" s="52"/>
    </row>
    <row r="145" spans="19:19" x14ac:dyDescent="0.2">
      <c r="S145" s="52"/>
    </row>
    <row r="146" spans="19:19" x14ac:dyDescent="0.2">
      <c r="S146" s="52"/>
    </row>
    <row r="147" spans="19:19" x14ac:dyDescent="0.2">
      <c r="S147" s="52"/>
    </row>
    <row r="148" spans="19:19" x14ac:dyDescent="0.2">
      <c r="S148" s="52"/>
    </row>
    <row r="149" spans="19:19" x14ac:dyDescent="0.2">
      <c r="S149" s="52"/>
    </row>
    <row r="150" spans="19:19" x14ac:dyDescent="0.2">
      <c r="S150" s="52"/>
    </row>
    <row r="151" spans="19:19" x14ac:dyDescent="0.2">
      <c r="S151" s="52"/>
    </row>
    <row r="152" spans="19:19" x14ac:dyDescent="0.2">
      <c r="S152" s="52"/>
    </row>
    <row r="153" spans="19:19" x14ac:dyDescent="0.2">
      <c r="S153" s="52"/>
    </row>
    <row r="154" spans="19:19" x14ac:dyDescent="0.2">
      <c r="S154" s="52"/>
    </row>
    <row r="155" spans="19:19" x14ac:dyDescent="0.2">
      <c r="S155" s="52"/>
    </row>
    <row r="156" spans="19:19" x14ac:dyDescent="0.2">
      <c r="S156" s="52"/>
    </row>
    <row r="157" spans="19:19" x14ac:dyDescent="0.2">
      <c r="S157" s="52"/>
    </row>
    <row r="158" spans="19:19" x14ac:dyDescent="0.2">
      <c r="S158" s="52"/>
    </row>
    <row r="159" spans="19:19" x14ac:dyDescent="0.2">
      <c r="S159" s="52"/>
    </row>
    <row r="160" spans="19:19" x14ac:dyDescent="0.2">
      <c r="S160" s="52"/>
    </row>
    <row r="161" spans="19:19" x14ac:dyDescent="0.2">
      <c r="S161" s="52"/>
    </row>
    <row r="162" spans="19:19" x14ac:dyDescent="0.2">
      <c r="S162" s="52"/>
    </row>
    <row r="163" spans="19:19" x14ac:dyDescent="0.2">
      <c r="S163" s="52"/>
    </row>
    <row r="164" spans="19:19" x14ac:dyDescent="0.2">
      <c r="S164" s="52"/>
    </row>
    <row r="165" spans="19:19" x14ac:dyDescent="0.2">
      <c r="S165" s="52"/>
    </row>
    <row r="166" spans="19:19" x14ac:dyDescent="0.2">
      <c r="S166" s="52"/>
    </row>
    <row r="167" spans="19:19" x14ac:dyDescent="0.2">
      <c r="S167" s="52"/>
    </row>
    <row r="168" spans="19:19" x14ac:dyDescent="0.2">
      <c r="S168" s="52"/>
    </row>
    <row r="169" spans="19:19" x14ac:dyDescent="0.2">
      <c r="S169" s="52"/>
    </row>
    <row r="170" spans="19:19" x14ac:dyDescent="0.2">
      <c r="S170" s="52"/>
    </row>
    <row r="171" spans="19:19" x14ac:dyDescent="0.2">
      <c r="S171" s="52"/>
    </row>
    <row r="172" spans="19:19" x14ac:dyDescent="0.2">
      <c r="S172" s="52"/>
    </row>
    <row r="173" spans="19:19" x14ac:dyDescent="0.2">
      <c r="S173" s="52"/>
    </row>
    <row r="174" spans="19:19" x14ac:dyDescent="0.2">
      <c r="S174" s="52"/>
    </row>
    <row r="175" spans="19:19" x14ac:dyDescent="0.2">
      <c r="S175" s="52"/>
    </row>
    <row r="176" spans="19:19" x14ac:dyDescent="0.2">
      <c r="S176" s="52"/>
    </row>
    <row r="177" spans="19:19" x14ac:dyDescent="0.2">
      <c r="S177" s="52"/>
    </row>
    <row r="178" spans="19:19" x14ac:dyDescent="0.2">
      <c r="S178" s="52"/>
    </row>
    <row r="179" spans="19:19" x14ac:dyDescent="0.2">
      <c r="S179" s="52"/>
    </row>
    <row r="180" spans="19:19" x14ac:dyDescent="0.2">
      <c r="S180" s="52"/>
    </row>
    <row r="181" spans="19:19" x14ac:dyDescent="0.2">
      <c r="S181" s="52"/>
    </row>
    <row r="182" spans="19:19" x14ac:dyDescent="0.2">
      <c r="S182" s="52"/>
    </row>
    <row r="183" spans="19:19" x14ac:dyDescent="0.2">
      <c r="S183" s="52"/>
    </row>
    <row r="184" spans="19:19" x14ac:dyDescent="0.2">
      <c r="S184" s="52"/>
    </row>
    <row r="185" spans="19:19" x14ac:dyDescent="0.2">
      <c r="S185" s="52"/>
    </row>
    <row r="186" spans="19:19" x14ac:dyDescent="0.2">
      <c r="S186" s="52"/>
    </row>
    <row r="187" spans="19:19" x14ac:dyDescent="0.2">
      <c r="S187" s="52"/>
    </row>
    <row r="188" spans="19:19" x14ac:dyDescent="0.2">
      <c r="S188" s="52"/>
    </row>
    <row r="189" spans="19:19" x14ac:dyDescent="0.2">
      <c r="S189" s="52"/>
    </row>
    <row r="190" spans="19:19" x14ac:dyDescent="0.2">
      <c r="S190" s="52"/>
    </row>
    <row r="191" spans="19:19" x14ac:dyDescent="0.2">
      <c r="S191" s="52"/>
    </row>
    <row r="192" spans="19:19" x14ac:dyDescent="0.2">
      <c r="S192" s="52"/>
    </row>
    <row r="193" spans="19:19" x14ac:dyDescent="0.2">
      <c r="S193" s="52"/>
    </row>
    <row r="194" spans="19:19" x14ac:dyDescent="0.2">
      <c r="S194" s="52"/>
    </row>
    <row r="195" spans="19:19" x14ac:dyDescent="0.2">
      <c r="S195" s="52"/>
    </row>
    <row r="196" spans="19:19" x14ac:dyDescent="0.2">
      <c r="S196" s="52"/>
    </row>
    <row r="197" spans="19:19" x14ac:dyDescent="0.2">
      <c r="S197" s="52"/>
    </row>
    <row r="198" spans="19:19" x14ac:dyDescent="0.2">
      <c r="S198" s="52"/>
    </row>
    <row r="199" spans="19:19" x14ac:dyDescent="0.2">
      <c r="S199" s="52"/>
    </row>
    <row r="200" spans="19:19" x14ac:dyDescent="0.2">
      <c r="S200" s="52"/>
    </row>
    <row r="201" spans="19:19" x14ac:dyDescent="0.2">
      <c r="S201" s="52"/>
    </row>
    <row r="202" spans="19:19" x14ac:dyDescent="0.2">
      <c r="S202" s="52"/>
    </row>
    <row r="203" spans="19:19" x14ac:dyDescent="0.2">
      <c r="S203" s="52"/>
    </row>
    <row r="204" spans="19:19" x14ac:dyDescent="0.2">
      <c r="S204" s="52"/>
    </row>
    <row r="205" spans="19:19" x14ac:dyDescent="0.2">
      <c r="S205" s="52"/>
    </row>
    <row r="206" spans="19:19" x14ac:dyDescent="0.2">
      <c r="S206" s="52"/>
    </row>
    <row r="207" spans="19:19" x14ac:dyDescent="0.2">
      <c r="S207" s="52"/>
    </row>
    <row r="208" spans="19:19" x14ac:dyDescent="0.2">
      <c r="S208" s="52"/>
    </row>
    <row r="209" spans="19:19" x14ac:dyDescent="0.2">
      <c r="S209" s="52"/>
    </row>
    <row r="210" spans="19:19" x14ac:dyDescent="0.2">
      <c r="S210" s="52"/>
    </row>
    <row r="211" spans="19:19" x14ac:dyDescent="0.2">
      <c r="S211" s="52"/>
    </row>
    <row r="212" spans="19:19" x14ac:dyDescent="0.2">
      <c r="S212" s="52"/>
    </row>
    <row r="213" spans="19:19" x14ac:dyDescent="0.2">
      <c r="S213" s="52"/>
    </row>
    <row r="214" spans="19:19" x14ac:dyDescent="0.2">
      <c r="S214" s="52"/>
    </row>
    <row r="215" spans="19:19" x14ac:dyDescent="0.2">
      <c r="S215" s="52"/>
    </row>
    <row r="216" spans="19:19" x14ac:dyDescent="0.2">
      <c r="S216" s="52"/>
    </row>
    <row r="217" spans="19:19" x14ac:dyDescent="0.2">
      <c r="S217" s="52"/>
    </row>
    <row r="218" spans="19:19" x14ac:dyDescent="0.2">
      <c r="S218" s="52"/>
    </row>
    <row r="219" spans="19:19" x14ac:dyDescent="0.2">
      <c r="S219" s="52"/>
    </row>
    <row r="220" spans="19:19" x14ac:dyDescent="0.2">
      <c r="S220" s="52"/>
    </row>
    <row r="221" spans="19:19" x14ac:dyDescent="0.2">
      <c r="S221" s="52"/>
    </row>
    <row r="222" spans="19:19" x14ac:dyDescent="0.2">
      <c r="S222" s="52"/>
    </row>
    <row r="223" spans="19:19" x14ac:dyDescent="0.2">
      <c r="S223" s="52"/>
    </row>
    <row r="224" spans="19:19" x14ac:dyDescent="0.2">
      <c r="S224" s="52"/>
    </row>
    <row r="225" spans="19:19" x14ac:dyDescent="0.2">
      <c r="S225" s="52"/>
    </row>
    <row r="226" spans="19:19" x14ac:dyDescent="0.2">
      <c r="S226" s="52"/>
    </row>
    <row r="227" spans="19:19" x14ac:dyDescent="0.2">
      <c r="S227" s="52"/>
    </row>
    <row r="228" spans="19:19" x14ac:dyDescent="0.2">
      <c r="S228" s="52"/>
    </row>
    <row r="229" spans="19:19" x14ac:dyDescent="0.2">
      <c r="S229" s="52"/>
    </row>
    <row r="230" spans="19:19" x14ac:dyDescent="0.2">
      <c r="S230" s="52"/>
    </row>
    <row r="231" spans="19:19" x14ac:dyDescent="0.2">
      <c r="S231" s="52"/>
    </row>
    <row r="232" spans="19:19" x14ac:dyDescent="0.2">
      <c r="S232" s="52"/>
    </row>
    <row r="233" spans="19:19" x14ac:dyDescent="0.2">
      <c r="S233" s="52"/>
    </row>
    <row r="234" spans="19:19" x14ac:dyDescent="0.2">
      <c r="S234" s="52"/>
    </row>
    <row r="235" spans="19:19" x14ac:dyDescent="0.2">
      <c r="S235" s="52"/>
    </row>
    <row r="236" spans="19:19" x14ac:dyDescent="0.2">
      <c r="S236" s="52"/>
    </row>
    <row r="237" spans="19:19" x14ac:dyDescent="0.2">
      <c r="S237" s="52"/>
    </row>
    <row r="238" spans="19:19" x14ac:dyDescent="0.2">
      <c r="S238" s="52"/>
    </row>
    <row r="239" spans="19:19" x14ac:dyDescent="0.2">
      <c r="S239" s="52"/>
    </row>
    <row r="240" spans="19:19" x14ac:dyDescent="0.2">
      <c r="S240" s="52"/>
    </row>
    <row r="241" spans="19:19" x14ac:dyDescent="0.2">
      <c r="S241" s="52"/>
    </row>
    <row r="242" spans="19:19" x14ac:dyDescent="0.2">
      <c r="S242" s="52"/>
    </row>
    <row r="243" spans="19:19" x14ac:dyDescent="0.2">
      <c r="S243" s="52"/>
    </row>
    <row r="244" spans="19:19" x14ac:dyDescent="0.2">
      <c r="S244" s="52"/>
    </row>
    <row r="245" spans="19:19" x14ac:dyDescent="0.2">
      <c r="S245" s="52"/>
    </row>
    <row r="246" spans="19:19" x14ac:dyDescent="0.2">
      <c r="S246" s="52"/>
    </row>
    <row r="247" spans="19:19" x14ac:dyDescent="0.2">
      <c r="S247" s="52"/>
    </row>
    <row r="248" spans="19:19" x14ac:dyDescent="0.2">
      <c r="S248" s="52"/>
    </row>
    <row r="249" spans="19:19" x14ac:dyDescent="0.2">
      <c r="S249" s="52"/>
    </row>
    <row r="250" spans="19:19" x14ac:dyDescent="0.2">
      <c r="S250" s="52"/>
    </row>
    <row r="251" spans="19:19" x14ac:dyDescent="0.2">
      <c r="S251" s="52"/>
    </row>
    <row r="252" spans="19:19" x14ac:dyDescent="0.2">
      <c r="S252" s="52"/>
    </row>
    <row r="253" spans="19:19" x14ac:dyDescent="0.2">
      <c r="S253" s="52"/>
    </row>
    <row r="254" spans="19:19" x14ac:dyDescent="0.2">
      <c r="S254" s="52"/>
    </row>
    <row r="255" spans="19:19" x14ac:dyDescent="0.2">
      <c r="S255" s="52"/>
    </row>
    <row r="256" spans="19:19" x14ac:dyDescent="0.2">
      <c r="S256" s="52"/>
    </row>
    <row r="257" spans="19:19" x14ac:dyDescent="0.2">
      <c r="S257" s="52"/>
    </row>
    <row r="258" spans="19:19" x14ac:dyDescent="0.2">
      <c r="S258" s="52"/>
    </row>
    <row r="259" spans="19:19" x14ac:dyDescent="0.2">
      <c r="S259" s="52"/>
    </row>
    <row r="260" spans="19:19" x14ac:dyDescent="0.2">
      <c r="S260" s="52"/>
    </row>
    <row r="261" spans="19:19" x14ac:dyDescent="0.2">
      <c r="S261" s="52"/>
    </row>
    <row r="262" spans="19:19" x14ac:dyDescent="0.2">
      <c r="S262" s="52"/>
    </row>
    <row r="263" spans="19:19" x14ac:dyDescent="0.2">
      <c r="S263" s="52"/>
    </row>
    <row r="264" spans="19:19" x14ac:dyDescent="0.2">
      <c r="S264" s="52"/>
    </row>
    <row r="265" spans="19:19" x14ac:dyDescent="0.2">
      <c r="S265" s="52"/>
    </row>
    <row r="266" spans="19:19" x14ac:dyDescent="0.2">
      <c r="S266" s="52"/>
    </row>
    <row r="267" spans="19:19" x14ac:dyDescent="0.2">
      <c r="S267" s="52"/>
    </row>
    <row r="268" spans="19:19" x14ac:dyDescent="0.2">
      <c r="S268" s="52"/>
    </row>
    <row r="269" spans="19:19" x14ac:dyDescent="0.2">
      <c r="S269" s="52"/>
    </row>
    <row r="270" spans="19:19" x14ac:dyDescent="0.2">
      <c r="S270" s="52"/>
    </row>
    <row r="271" spans="19:19" x14ac:dyDescent="0.2">
      <c r="S271" s="52"/>
    </row>
    <row r="272" spans="19:19" x14ac:dyDescent="0.2">
      <c r="S272" s="52"/>
    </row>
    <row r="273" spans="19:19" x14ac:dyDescent="0.2">
      <c r="S273" s="52"/>
    </row>
    <row r="274" spans="19:19" x14ac:dyDescent="0.2">
      <c r="S274" s="52"/>
    </row>
    <row r="275" spans="19:19" x14ac:dyDescent="0.2">
      <c r="S275" s="52"/>
    </row>
    <row r="276" spans="19:19" x14ac:dyDescent="0.2">
      <c r="S276" s="52"/>
    </row>
    <row r="277" spans="19:19" x14ac:dyDescent="0.2">
      <c r="S277" s="52"/>
    </row>
    <row r="278" spans="19:19" x14ac:dyDescent="0.2">
      <c r="S278" s="52"/>
    </row>
    <row r="279" spans="19:19" x14ac:dyDescent="0.2">
      <c r="S279" s="52"/>
    </row>
    <row r="280" spans="19:19" x14ac:dyDescent="0.2">
      <c r="S280" s="52"/>
    </row>
    <row r="281" spans="19:19" x14ac:dyDescent="0.2">
      <c r="S281" s="52"/>
    </row>
    <row r="282" spans="19:19" x14ac:dyDescent="0.2">
      <c r="S282" s="52"/>
    </row>
    <row r="283" spans="19:19" x14ac:dyDescent="0.2">
      <c r="S283" s="52"/>
    </row>
    <row r="284" spans="19:19" x14ac:dyDescent="0.2">
      <c r="S284" s="52"/>
    </row>
    <row r="285" spans="19:19" x14ac:dyDescent="0.2">
      <c r="S285" s="52"/>
    </row>
    <row r="286" spans="19:19" x14ac:dyDescent="0.2">
      <c r="S286" s="52"/>
    </row>
    <row r="287" spans="19:19" x14ac:dyDescent="0.2">
      <c r="S287" s="52"/>
    </row>
    <row r="288" spans="19:19" x14ac:dyDescent="0.2">
      <c r="S288" s="52"/>
    </row>
    <row r="289" spans="19:19" x14ac:dyDescent="0.2">
      <c r="S289" s="52"/>
    </row>
    <row r="290" spans="19:19" x14ac:dyDescent="0.2">
      <c r="S290" s="52"/>
    </row>
    <row r="291" spans="19:19" x14ac:dyDescent="0.2">
      <c r="S291" s="52"/>
    </row>
    <row r="292" spans="19:19" x14ac:dyDescent="0.2">
      <c r="S292" s="52"/>
    </row>
    <row r="293" spans="19:19" x14ac:dyDescent="0.2">
      <c r="S293" s="52"/>
    </row>
    <row r="294" spans="19:19" x14ac:dyDescent="0.2">
      <c r="S294" s="52"/>
    </row>
    <row r="295" spans="19:19" x14ac:dyDescent="0.2">
      <c r="S295" s="52"/>
    </row>
    <row r="296" spans="19:19" x14ac:dyDescent="0.2">
      <c r="S296" s="52"/>
    </row>
    <row r="297" spans="19:19" x14ac:dyDescent="0.2">
      <c r="S297" s="52"/>
    </row>
    <row r="298" spans="19:19" x14ac:dyDescent="0.2">
      <c r="S298" s="52"/>
    </row>
    <row r="299" spans="19:19" x14ac:dyDescent="0.2">
      <c r="S299" s="52"/>
    </row>
    <row r="300" spans="19:19" x14ac:dyDescent="0.2">
      <c r="S300" s="52"/>
    </row>
    <row r="301" spans="19:19" x14ac:dyDescent="0.2">
      <c r="S301" s="52"/>
    </row>
    <row r="302" spans="19:19" x14ac:dyDescent="0.2">
      <c r="S302" s="52"/>
    </row>
    <row r="303" spans="19:19" x14ac:dyDescent="0.2">
      <c r="S303" s="52"/>
    </row>
    <row r="304" spans="19:19" x14ac:dyDescent="0.2">
      <c r="S304" s="52"/>
    </row>
    <row r="305" spans="19:19" x14ac:dyDescent="0.2">
      <c r="S305" s="52"/>
    </row>
    <row r="306" spans="19:19" x14ac:dyDescent="0.2">
      <c r="S306" s="52"/>
    </row>
    <row r="307" spans="19:19" x14ac:dyDescent="0.2">
      <c r="S307" s="52"/>
    </row>
    <row r="308" spans="19:19" x14ac:dyDescent="0.2">
      <c r="S308" s="52"/>
    </row>
    <row r="309" spans="19:19" x14ac:dyDescent="0.2">
      <c r="S309" s="52"/>
    </row>
    <row r="310" spans="19:19" x14ac:dyDescent="0.2">
      <c r="S310" s="52"/>
    </row>
    <row r="311" spans="19:19" x14ac:dyDescent="0.2">
      <c r="S311" s="52"/>
    </row>
    <row r="312" spans="19:19" x14ac:dyDescent="0.2">
      <c r="S312" s="52"/>
    </row>
    <row r="313" spans="19:19" x14ac:dyDescent="0.2">
      <c r="S313" s="52"/>
    </row>
    <row r="314" spans="19:19" x14ac:dyDescent="0.2">
      <c r="S314" s="52"/>
    </row>
    <row r="315" spans="19:19" x14ac:dyDescent="0.2">
      <c r="S315" s="52"/>
    </row>
    <row r="316" spans="19:19" x14ac:dyDescent="0.2">
      <c r="S316" s="52"/>
    </row>
    <row r="317" spans="19:19" x14ac:dyDescent="0.2">
      <c r="S317" s="52"/>
    </row>
    <row r="318" spans="19:19" x14ac:dyDescent="0.2">
      <c r="S318" s="52"/>
    </row>
    <row r="319" spans="19:19" x14ac:dyDescent="0.2">
      <c r="S319" s="52"/>
    </row>
    <row r="320" spans="19:19" x14ac:dyDescent="0.2">
      <c r="S320" s="52"/>
    </row>
    <row r="321" spans="19:19" x14ac:dyDescent="0.2">
      <c r="S321" s="52"/>
    </row>
    <row r="322" spans="19:19" x14ac:dyDescent="0.2">
      <c r="S322" s="52"/>
    </row>
    <row r="323" spans="19:19" x14ac:dyDescent="0.2">
      <c r="S323" s="52"/>
    </row>
    <row r="324" spans="19:19" x14ac:dyDescent="0.2">
      <c r="S324" s="52"/>
    </row>
    <row r="325" spans="19:19" x14ac:dyDescent="0.2">
      <c r="S325" s="52"/>
    </row>
    <row r="326" spans="19:19" x14ac:dyDescent="0.2">
      <c r="S326" s="52"/>
    </row>
    <row r="327" spans="19:19" x14ac:dyDescent="0.2">
      <c r="S327" s="52"/>
    </row>
    <row r="328" spans="19:19" x14ac:dyDescent="0.2">
      <c r="S328" s="52"/>
    </row>
    <row r="329" spans="19:19" x14ac:dyDescent="0.2">
      <c r="S329" s="52"/>
    </row>
    <row r="330" spans="19:19" x14ac:dyDescent="0.2">
      <c r="S330" s="52"/>
    </row>
    <row r="331" spans="19:19" x14ac:dyDescent="0.2">
      <c r="S331" s="52"/>
    </row>
    <row r="332" spans="19:19" x14ac:dyDescent="0.2">
      <c r="S332" s="52"/>
    </row>
    <row r="333" spans="19:19" x14ac:dyDescent="0.2">
      <c r="S333" s="52"/>
    </row>
    <row r="334" spans="19:19" x14ac:dyDescent="0.2">
      <c r="S334" s="52"/>
    </row>
    <row r="335" spans="19:19" x14ac:dyDescent="0.2">
      <c r="S335" s="52"/>
    </row>
    <row r="336" spans="19:19" x14ac:dyDescent="0.2">
      <c r="S336" s="52"/>
    </row>
    <row r="337" spans="19:19" x14ac:dyDescent="0.2">
      <c r="S337" s="52"/>
    </row>
    <row r="338" spans="19:19" x14ac:dyDescent="0.2">
      <c r="S338" s="52"/>
    </row>
    <row r="339" spans="19:19" x14ac:dyDescent="0.2">
      <c r="S339" s="52"/>
    </row>
    <row r="340" spans="19:19" x14ac:dyDescent="0.2">
      <c r="S340" s="52"/>
    </row>
    <row r="341" spans="19:19" x14ac:dyDescent="0.2">
      <c r="S341" s="52"/>
    </row>
    <row r="342" spans="19:19" x14ac:dyDescent="0.2">
      <c r="S342" s="52"/>
    </row>
    <row r="343" spans="19:19" x14ac:dyDescent="0.2">
      <c r="S343" s="52"/>
    </row>
    <row r="344" spans="19:19" x14ac:dyDescent="0.2">
      <c r="S344" s="52"/>
    </row>
    <row r="345" spans="19:19" x14ac:dyDescent="0.2">
      <c r="S345" s="52"/>
    </row>
    <row r="346" spans="19:19" x14ac:dyDescent="0.2">
      <c r="S346" s="52"/>
    </row>
    <row r="347" spans="19:19" x14ac:dyDescent="0.2">
      <c r="S347" s="52"/>
    </row>
    <row r="348" spans="19:19" x14ac:dyDescent="0.2">
      <c r="S348" s="52"/>
    </row>
    <row r="349" spans="19:19" x14ac:dyDescent="0.2">
      <c r="S349" s="52"/>
    </row>
    <row r="350" spans="19:19" x14ac:dyDescent="0.2">
      <c r="S350" s="52"/>
    </row>
    <row r="351" spans="19:19" x14ac:dyDescent="0.2">
      <c r="S351" s="52"/>
    </row>
    <row r="352" spans="19:19" x14ac:dyDescent="0.2">
      <c r="S352" s="52"/>
    </row>
    <row r="353" spans="19:19" x14ac:dyDescent="0.2">
      <c r="S353" s="52"/>
    </row>
    <row r="354" spans="19:19" x14ac:dyDescent="0.2">
      <c r="S354" s="52"/>
    </row>
    <row r="355" spans="19:19" x14ac:dyDescent="0.2">
      <c r="S355" s="52"/>
    </row>
    <row r="356" spans="19:19" x14ac:dyDescent="0.2">
      <c r="S356" s="52"/>
    </row>
    <row r="357" spans="19:19" x14ac:dyDescent="0.2">
      <c r="S357" s="52"/>
    </row>
    <row r="358" spans="19:19" x14ac:dyDescent="0.2">
      <c r="S358" s="52"/>
    </row>
    <row r="359" spans="19:19" x14ac:dyDescent="0.2">
      <c r="S359" s="52"/>
    </row>
    <row r="360" spans="19:19" x14ac:dyDescent="0.2">
      <c r="S360" s="52"/>
    </row>
    <row r="361" spans="19:19" x14ac:dyDescent="0.2">
      <c r="S361" s="52"/>
    </row>
    <row r="362" spans="19:19" x14ac:dyDescent="0.2">
      <c r="S362" s="52"/>
    </row>
    <row r="363" spans="19:19" x14ac:dyDescent="0.2">
      <c r="S363" s="52"/>
    </row>
    <row r="364" spans="19:19" x14ac:dyDescent="0.2">
      <c r="S364" s="52"/>
    </row>
    <row r="365" spans="19:19" x14ac:dyDescent="0.2">
      <c r="S365" s="52"/>
    </row>
    <row r="366" spans="19:19" x14ac:dyDescent="0.2">
      <c r="S366" s="52"/>
    </row>
    <row r="367" spans="19:19" x14ac:dyDescent="0.2">
      <c r="S367" s="52"/>
    </row>
    <row r="368" spans="19:19" x14ac:dyDescent="0.2">
      <c r="S368" s="52"/>
    </row>
    <row r="369" spans="19:19" x14ac:dyDescent="0.2">
      <c r="S369" s="52"/>
    </row>
    <row r="370" spans="19:19" x14ac:dyDescent="0.2">
      <c r="S370" s="52"/>
    </row>
    <row r="371" spans="19:19" x14ac:dyDescent="0.2">
      <c r="S371" s="52"/>
    </row>
    <row r="372" spans="19:19" x14ac:dyDescent="0.2">
      <c r="S372" s="52"/>
    </row>
    <row r="373" spans="19:19" x14ac:dyDescent="0.2">
      <c r="S373" s="52"/>
    </row>
    <row r="374" spans="19:19" x14ac:dyDescent="0.2">
      <c r="S374" s="52"/>
    </row>
    <row r="375" spans="19:19" x14ac:dyDescent="0.2">
      <c r="S375" s="52"/>
    </row>
    <row r="376" spans="19:19" x14ac:dyDescent="0.2">
      <c r="S376" s="52"/>
    </row>
    <row r="377" spans="19:19" x14ac:dyDescent="0.2">
      <c r="S377" s="52"/>
    </row>
    <row r="378" spans="19:19" x14ac:dyDescent="0.2">
      <c r="S378" s="52"/>
    </row>
    <row r="379" spans="19:19" x14ac:dyDescent="0.2">
      <c r="S379" s="52"/>
    </row>
    <row r="380" spans="19:19" x14ac:dyDescent="0.2">
      <c r="S380" s="52"/>
    </row>
    <row r="381" spans="19:19" x14ac:dyDescent="0.2">
      <c r="S381" s="52"/>
    </row>
    <row r="382" spans="19:19" x14ac:dyDescent="0.2">
      <c r="S382" s="52"/>
    </row>
    <row r="383" spans="19:19" x14ac:dyDescent="0.2">
      <c r="S383" s="52"/>
    </row>
    <row r="384" spans="19:19" x14ac:dyDescent="0.2">
      <c r="S384" s="52"/>
    </row>
    <row r="385" spans="19:19" x14ac:dyDescent="0.2">
      <c r="S385" s="52"/>
    </row>
    <row r="386" spans="19:19" x14ac:dyDescent="0.2">
      <c r="S386" s="52"/>
    </row>
    <row r="387" spans="19:19" x14ac:dyDescent="0.2">
      <c r="S387" s="52"/>
    </row>
    <row r="388" spans="19:19" x14ac:dyDescent="0.2">
      <c r="S388" s="52"/>
    </row>
    <row r="389" spans="19:19" x14ac:dyDescent="0.2">
      <c r="S389" s="52"/>
    </row>
    <row r="390" spans="19:19" x14ac:dyDescent="0.2">
      <c r="S390" s="52"/>
    </row>
    <row r="391" spans="19:19" x14ac:dyDescent="0.2">
      <c r="S391" s="52"/>
    </row>
    <row r="392" spans="19:19" x14ac:dyDescent="0.2">
      <c r="S392" s="52"/>
    </row>
    <row r="393" spans="19:19" x14ac:dyDescent="0.2">
      <c r="S393" s="52"/>
    </row>
    <row r="394" spans="19:19" x14ac:dyDescent="0.2">
      <c r="S394" s="52"/>
    </row>
    <row r="395" spans="19:19" x14ac:dyDescent="0.2">
      <c r="S395" s="52"/>
    </row>
    <row r="396" spans="19:19" x14ac:dyDescent="0.2">
      <c r="S396" s="52"/>
    </row>
    <row r="397" spans="19:19" x14ac:dyDescent="0.2">
      <c r="S397" s="52"/>
    </row>
    <row r="398" spans="19:19" x14ac:dyDescent="0.2">
      <c r="S398" s="52"/>
    </row>
    <row r="399" spans="19:19" x14ac:dyDescent="0.2">
      <c r="S399" s="52"/>
    </row>
    <row r="400" spans="19:19" x14ac:dyDescent="0.2">
      <c r="S400" s="52"/>
    </row>
    <row r="401" spans="19:19" x14ac:dyDescent="0.2">
      <c r="S401" s="52"/>
    </row>
    <row r="402" spans="19:19" x14ac:dyDescent="0.2">
      <c r="S402" s="52"/>
    </row>
    <row r="403" spans="19:19" x14ac:dyDescent="0.2">
      <c r="S403" s="52"/>
    </row>
    <row r="404" spans="19:19" x14ac:dyDescent="0.2">
      <c r="S404" s="52"/>
    </row>
    <row r="405" spans="19:19" x14ac:dyDescent="0.2">
      <c r="S405" s="52"/>
    </row>
    <row r="406" spans="19:19" x14ac:dyDescent="0.2">
      <c r="S406" s="52"/>
    </row>
    <row r="407" spans="19:19" x14ac:dyDescent="0.2">
      <c r="S407" s="52"/>
    </row>
    <row r="408" spans="19:19" x14ac:dyDescent="0.2">
      <c r="S408" s="52"/>
    </row>
    <row r="409" spans="19:19" x14ac:dyDescent="0.2">
      <c r="S409" s="52"/>
    </row>
    <row r="410" spans="19:19" x14ac:dyDescent="0.2">
      <c r="S410" s="52"/>
    </row>
    <row r="411" spans="19:19" x14ac:dyDescent="0.2">
      <c r="S411" s="52"/>
    </row>
    <row r="412" spans="19:19" x14ac:dyDescent="0.2">
      <c r="S412" s="52"/>
    </row>
    <row r="413" spans="19:19" x14ac:dyDescent="0.2">
      <c r="S413" s="52"/>
    </row>
    <row r="414" spans="19:19" x14ac:dyDescent="0.2">
      <c r="S414" s="52"/>
    </row>
    <row r="415" spans="19:19" x14ac:dyDescent="0.2">
      <c r="S415" s="52"/>
    </row>
    <row r="416" spans="19:19" x14ac:dyDescent="0.2">
      <c r="S416" s="52"/>
    </row>
    <row r="417" spans="19:19" x14ac:dyDescent="0.2">
      <c r="S417" s="52"/>
    </row>
    <row r="418" spans="19:19" x14ac:dyDescent="0.2">
      <c r="S418" s="52"/>
    </row>
    <row r="419" spans="19:19" x14ac:dyDescent="0.2">
      <c r="S419" s="52"/>
    </row>
    <row r="420" spans="19:19" x14ac:dyDescent="0.2">
      <c r="S420" s="52"/>
    </row>
    <row r="421" spans="19:19" x14ac:dyDescent="0.2">
      <c r="S421" s="52"/>
    </row>
    <row r="422" spans="19:19" x14ac:dyDescent="0.2">
      <c r="S422" s="52"/>
    </row>
    <row r="423" spans="19:19" x14ac:dyDescent="0.2">
      <c r="S423" s="52"/>
    </row>
    <row r="424" spans="19:19" x14ac:dyDescent="0.2">
      <c r="S424" s="52"/>
    </row>
    <row r="425" spans="19:19" x14ac:dyDescent="0.2">
      <c r="S425" s="52"/>
    </row>
    <row r="426" spans="19:19" x14ac:dyDescent="0.2">
      <c r="S426" s="52"/>
    </row>
    <row r="427" spans="19:19" x14ac:dyDescent="0.2">
      <c r="S427" s="52"/>
    </row>
    <row r="428" spans="19:19" x14ac:dyDescent="0.2">
      <c r="S428" s="52"/>
    </row>
    <row r="429" spans="19:19" x14ac:dyDescent="0.2">
      <c r="S429" s="52"/>
    </row>
    <row r="430" spans="19:19" x14ac:dyDescent="0.2">
      <c r="S430" s="52"/>
    </row>
    <row r="431" spans="19:19" x14ac:dyDescent="0.2">
      <c r="S431" s="52"/>
    </row>
    <row r="432" spans="19:19" x14ac:dyDescent="0.2">
      <c r="S432" s="52"/>
    </row>
    <row r="433" spans="19:19" x14ac:dyDescent="0.2">
      <c r="S433" s="52"/>
    </row>
    <row r="434" spans="19:19" x14ac:dyDescent="0.2">
      <c r="S434" s="52"/>
    </row>
    <row r="435" spans="19:19" x14ac:dyDescent="0.2">
      <c r="S435" s="52"/>
    </row>
    <row r="436" spans="19:19" x14ac:dyDescent="0.2">
      <c r="S436" s="52"/>
    </row>
    <row r="437" spans="19:19" x14ac:dyDescent="0.2">
      <c r="S437" s="52"/>
    </row>
    <row r="438" spans="19:19" x14ac:dyDescent="0.2">
      <c r="S438" s="52"/>
    </row>
    <row r="439" spans="19:19" x14ac:dyDescent="0.2">
      <c r="S439" s="52"/>
    </row>
    <row r="440" spans="19:19" x14ac:dyDescent="0.2">
      <c r="S440" s="52"/>
    </row>
    <row r="441" spans="19:19" x14ac:dyDescent="0.2">
      <c r="S441" s="52"/>
    </row>
    <row r="442" spans="19:19" x14ac:dyDescent="0.2">
      <c r="S442" s="52"/>
    </row>
    <row r="443" spans="19:19" x14ac:dyDescent="0.2">
      <c r="S443" s="52"/>
    </row>
    <row r="444" spans="19:19" x14ac:dyDescent="0.2">
      <c r="S444" s="52"/>
    </row>
    <row r="445" spans="19:19" x14ac:dyDescent="0.2">
      <c r="S445" s="52"/>
    </row>
    <row r="446" spans="19:19" x14ac:dyDescent="0.2">
      <c r="S446" s="52"/>
    </row>
    <row r="447" spans="19:19" x14ac:dyDescent="0.2">
      <c r="S447" s="52"/>
    </row>
    <row r="448" spans="19:19" x14ac:dyDescent="0.2">
      <c r="S448" s="52"/>
    </row>
    <row r="449" spans="19:19" x14ac:dyDescent="0.2">
      <c r="S449" s="52"/>
    </row>
    <row r="450" spans="19:19" x14ac:dyDescent="0.2">
      <c r="S450" s="52"/>
    </row>
    <row r="451" spans="19:19" x14ac:dyDescent="0.2">
      <c r="S451" s="52"/>
    </row>
    <row r="452" spans="19:19" x14ac:dyDescent="0.2">
      <c r="S452" s="52"/>
    </row>
    <row r="453" spans="19:19" x14ac:dyDescent="0.2">
      <c r="S453" s="52"/>
    </row>
    <row r="454" spans="19:19" x14ac:dyDescent="0.2">
      <c r="S454" s="52"/>
    </row>
    <row r="455" spans="19:19" x14ac:dyDescent="0.2">
      <c r="S455" s="52"/>
    </row>
    <row r="456" spans="19:19" x14ac:dyDescent="0.2">
      <c r="S456" s="52"/>
    </row>
    <row r="457" spans="19:19" x14ac:dyDescent="0.2">
      <c r="S457" s="52"/>
    </row>
    <row r="458" spans="19:19" x14ac:dyDescent="0.2">
      <c r="S458" s="52"/>
    </row>
    <row r="459" spans="19:19" x14ac:dyDescent="0.2">
      <c r="S459" s="52"/>
    </row>
    <row r="460" spans="19:19" x14ac:dyDescent="0.2">
      <c r="S460" s="52"/>
    </row>
    <row r="461" spans="19:19" x14ac:dyDescent="0.2">
      <c r="S461" s="52"/>
    </row>
    <row r="462" spans="19:19" x14ac:dyDescent="0.2">
      <c r="S462" s="52"/>
    </row>
    <row r="463" spans="19:19" x14ac:dyDescent="0.2">
      <c r="S463" s="52"/>
    </row>
    <row r="464" spans="19:19" x14ac:dyDescent="0.2">
      <c r="S464" s="52"/>
    </row>
    <row r="465" spans="19:19" x14ac:dyDescent="0.2">
      <c r="S465" s="52"/>
    </row>
    <row r="466" spans="19:19" x14ac:dyDescent="0.2">
      <c r="S466" s="52"/>
    </row>
    <row r="467" spans="19:19" x14ac:dyDescent="0.2">
      <c r="S467" s="52"/>
    </row>
    <row r="468" spans="19:19" x14ac:dyDescent="0.2">
      <c r="S468" s="52"/>
    </row>
    <row r="469" spans="19:19" x14ac:dyDescent="0.2">
      <c r="S469" s="52"/>
    </row>
    <row r="470" spans="19:19" x14ac:dyDescent="0.2">
      <c r="S470" s="52"/>
    </row>
    <row r="471" spans="19:19" x14ac:dyDescent="0.2">
      <c r="S471" s="52"/>
    </row>
    <row r="472" spans="19:19" x14ac:dyDescent="0.2">
      <c r="S472" s="52"/>
    </row>
    <row r="473" spans="19:19" x14ac:dyDescent="0.2">
      <c r="S473" s="52"/>
    </row>
    <row r="474" spans="19:19" x14ac:dyDescent="0.2">
      <c r="S474" s="52"/>
    </row>
    <row r="475" spans="19:19" x14ac:dyDescent="0.2">
      <c r="S475" s="52"/>
    </row>
    <row r="476" spans="19:19" x14ac:dyDescent="0.2">
      <c r="S476" s="52"/>
    </row>
    <row r="477" spans="19:19" x14ac:dyDescent="0.2">
      <c r="S477" s="52"/>
    </row>
    <row r="478" spans="19:19" x14ac:dyDescent="0.2">
      <c r="S478" s="52"/>
    </row>
    <row r="479" spans="19:19" x14ac:dyDescent="0.2">
      <c r="S479" s="52"/>
    </row>
    <row r="480" spans="19:19" x14ac:dyDescent="0.2">
      <c r="S480" s="52"/>
    </row>
    <row r="481" spans="19:19" x14ac:dyDescent="0.2">
      <c r="S481" s="52"/>
    </row>
    <row r="482" spans="19:19" x14ac:dyDescent="0.2">
      <c r="S482" s="52"/>
    </row>
    <row r="483" spans="19:19" x14ac:dyDescent="0.2">
      <c r="S483" s="52"/>
    </row>
    <row r="484" spans="19:19" x14ac:dyDescent="0.2">
      <c r="S484" s="52"/>
    </row>
    <row r="485" spans="19:19" x14ac:dyDescent="0.2">
      <c r="S485" s="52"/>
    </row>
    <row r="486" spans="19:19" x14ac:dyDescent="0.2">
      <c r="S486" s="52"/>
    </row>
    <row r="487" spans="19:19" x14ac:dyDescent="0.2">
      <c r="S487" s="52"/>
    </row>
    <row r="488" spans="19:19" x14ac:dyDescent="0.2">
      <c r="S488" s="52"/>
    </row>
    <row r="489" spans="19:19" x14ac:dyDescent="0.2">
      <c r="S489" s="52"/>
    </row>
    <row r="490" spans="19:19" x14ac:dyDescent="0.2">
      <c r="S490" s="52"/>
    </row>
    <row r="491" spans="19:19" x14ac:dyDescent="0.2">
      <c r="S491" s="52"/>
    </row>
    <row r="492" spans="19:19" x14ac:dyDescent="0.2">
      <c r="S492" s="52"/>
    </row>
    <row r="493" spans="19:19" x14ac:dyDescent="0.2">
      <c r="S493" s="52"/>
    </row>
    <row r="494" spans="19:19" x14ac:dyDescent="0.2">
      <c r="S494" s="52"/>
    </row>
    <row r="495" spans="19:19" x14ac:dyDescent="0.2">
      <c r="S495" s="52"/>
    </row>
    <row r="496" spans="19:19" x14ac:dyDescent="0.2">
      <c r="S496" s="52"/>
    </row>
    <row r="497" spans="19:19" x14ac:dyDescent="0.2">
      <c r="S497" s="52"/>
    </row>
    <row r="498" spans="19:19" x14ac:dyDescent="0.2">
      <c r="S498" s="52"/>
    </row>
    <row r="499" spans="19:19" x14ac:dyDescent="0.2">
      <c r="S499" s="52"/>
    </row>
    <row r="500" spans="19:19" x14ac:dyDescent="0.2">
      <c r="S500" s="52"/>
    </row>
    <row r="501" spans="19:19" x14ac:dyDescent="0.2">
      <c r="S501" s="52"/>
    </row>
    <row r="502" spans="19:19" x14ac:dyDescent="0.2">
      <c r="S502" s="52"/>
    </row>
    <row r="503" spans="19:19" x14ac:dyDescent="0.2">
      <c r="S503" s="52"/>
    </row>
    <row r="504" spans="19:19" x14ac:dyDescent="0.2">
      <c r="S504" s="52"/>
    </row>
    <row r="505" spans="19:19" x14ac:dyDescent="0.2">
      <c r="S505" s="52"/>
    </row>
    <row r="506" spans="19:19" x14ac:dyDescent="0.2">
      <c r="S506" s="52"/>
    </row>
    <row r="507" spans="19:19" x14ac:dyDescent="0.2">
      <c r="S507" s="52"/>
    </row>
    <row r="508" spans="19:19" x14ac:dyDescent="0.2">
      <c r="S508" s="52"/>
    </row>
    <row r="509" spans="19:19" x14ac:dyDescent="0.2">
      <c r="S509" s="52"/>
    </row>
    <row r="510" spans="19:19" x14ac:dyDescent="0.2">
      <c r="S510" s="52"/>
    </row>
    <row r="511" spans="19:19" x14ac:dyDescent="0.2">
      <c r="S511" s="52"/>
    </row>
    <row r="512" spans="19:19" x14ac:dyDescent="0.2">
      <c r="S512" s="52"/>
    </row>
    <row r="513" spans="19:19" x14ac:dyDescent="0.2">
      <c r="S513" s="52"/>
    </row>
    <row r="514" spans="19:19" x14ac:dyDescent="0.2">
      <c r="S514" s="52"/>
    </row>
    <row r="515" spans="19:19" x14ac:dyDescent="0.2">
      <c r="S515" s="52"/>
    </row>
    <row r="516" spans="19:19" x14ac:dyDescent="0.2">
      <c r="S516" s="52"/>
    </row>
    <row r="517" spans="19:19" x14ac:dyDescent="0.2">
      <c r="S517" s="52"/>
    </row>
    <row r="518" spans="19:19" x14ac:dyDescent="0.2">
      <c r="S518" s="52"/>
    </row>
    <row r="519" spans="19:19" x14ac:dyDescent="0.2">
      <c r="S519" s="52"/>
    </row>
    <row r="520" spans="19:19" x14ac:dyDescent="0.2">
      <c r="S520" s="52"/>
    </row>
    <row r="521" spans="19:19" x14ac:dyDescent="0.2">
      <c r="S521" s="52"/>
    </row>
    <row r="522" spans="19:19" x14ac:dyDescent="0.2">
      <c r="S522" s="52"/>
    </row>
    <row r="523" spans="19:19" x14ac:dyDescent="0.2">
      <c r="S523" s="52"/>
    </row>
    <row r="524" spans="19:19" x14ac:dyDescent="0.2">
      <c r="S524" s="52"/>
    </row>
    <row r="525" spans="19:19" x14ac:dyDescent="0.2">
      <c r="S525" s="52"/>
    </row>
    <row r="526" spans="19:19" x14ac:dyDescent="0.2">
      <c r="S526" s="52"/>
    </row>
    <row r="527" spans="19:19" x14ac:dyDescent="0.2">
      <c r="S527" s="52"/>
    </row>
    <row r="528" spans="19:19" x14ac:dyDescent="0.2">
      <c r="S528" s="52"/>
    </row>
    <row r="529" spans="19:19" x14ac:dyDescent="0.2">
      <c r="S529" s="52"/>
    </row>
    <row r="530" spans="19:19" x14ac:dyDescent="0.2">
      <c r="S530" s="52"/>
    </row>
    <row r="531" spans="19:19" x14ac:dyDescent="0.2">
      <c r="S531" s="52"/>
    </row>
    <row r="532" spans="19:19" x14ac:dyDescent="0.2">
      <c r="S532" s="52"/>
    </row>
    <row r="533" spans="19:19" x14ac:dyDescent="0.2">
      <c r="S533" s="52"/>
    </row>
    <row r="534" spans="19:19" x14ac:dyDescent="0.2">
      <c r="S534" s="52"/>
    </row>
    <row r="535" spans="19:19" x14ac:dyDescent="0.2">
      <c r="S535" s="52"/>
    </row>
    <row r="536" spans="19:19" x14ac:dyDescent="0.2">
      <c r="S536" s="52"/>
    </row>
    <row r="537" spans="19:19" x14ac:dyDescent="0.2">
      <c r="S537" s="52"/>
    </row>
    <row r="538" spans="19:19" x14ac:dyDescent="0.2">
      <c r="S538" s="52"/>
    </row>
    <row r="539" spans="19:19" x14ac:dyDescent="0.2">
      <c r="S539" s="52"/>
    </row>
    <row r="540" spans="19:19" x14ac:dyDescent="0.2">
      <c r="S540" s="52"/>
    </row>
    <row r="541" spans="19:19" x14ac:dyDescent="0.2">
      <c r="S541" s="52"/>
    </row>
    <row r="542" spans="19:19" x14ac:dyDescent="0.2">
      <c r="S542" s="52"/>
    </row>
    <row r="543" spans="19:19" x14ac:dyDescent="0.2">
      <c r="S543" s="52"/>
    </row>
    <row r="544" spans="19:19" x14ac:dyDescent="0.2">
      <c r="S544" s="52"/>
    </row>
    <row r="545" spans="19:19" x14ac:dyDescent="0.2">
      <c r="S545" s="52"/>
    </row>
    <row r="546" spans="19:19" x14ac:dyDescent="0.2">
      <c r="S546" s="52"/>
    </row>
    <row r="547" spans="19:19" x14ac:dyDescent="0.2">
      <c r="S547" s="52"/>
    </row>
    <row r="548" spans="19:19" x14ac:dyDescent="0.2">
      <c r="S548" s="52"/>
    </row>
    <row r="549" spans="19:19" x14ac:dyDescent="0.2">
      <c r="S549" s="52"/>
    </row>
    <row r="550" spans="19:19" x14ac:dyDescent="0.2">
      <c r="S550" s="52"/>
    </row>
    <row r="551" spans="19:19" x14ac:dyDescent="0.2">
      <c r="S551" s="52"/>
    </row>
    <row r="552" spans="19:19" x14ac:dyDescent="0.2">
      <c r="S552" s="52"/>
    </row>
    <row r="553" spans="19:19" x14ac:dyDescent="0.2">
      <c r="S553" s="52"/>
    </row>
    <row r="554" spans="19:19" x14ac:dyDescent="0.2">
      <c r="S554" s="52"/>
    </row>
    <row r="555" spans="19:19" x14ac:dyDescent="0.2">
      <c r="S555" s="52"/>
    </row>
    <row r="556" spans="19:19" x14ac:dyDescent="0.2">
      <c r="S556" s="52"/>
    </row>
    <row r="557" spans="19:19" x14ac:dyDescent="0.2">
      <c r="S557" s="52"/>
    </row>
    <row r="558" spans="19:19" x14ac:dyDescent="0.2">
      <c r="S558" s="52"/>
    </row>
    <row r="559" spans="19:19" x14ac:dyDescent="0.2">
      <c r="S559" s="52"/>
    </row>
    <row r="560" spans="19:19" x14ac:dyDescent="0.2">
      <c r="S560" s="52"/>
    </row>
    <row r="561" spans="19:19" x14ac:dyDescent="0.2">
      <c r="S561" s="52"/>
    </row>
    <row r="562" spans="19:19" x14ac:dyDescent="0.2">
      <c r="S562" s="52"/>
    </row>
    <row r="563" spans="19:19" x14ac:dyDescent="0.2">
      <c r="S563" s="52"/>
    </row>
    <row r="564" spans="19:19" x14ac:dyDescent="0.2">
      <c r="S564" s="52"/>
    </row>
    <row r="565" spans="19:19" x14ac:dyDescent="0.2">
      <c r="S565" s="52"/>
    </row>
    <row r="566" spans="19:19" x14ac:dyDescent="0.2">
      <c r="S566" s="52"/>
    </row>
    <row r="567" spans="19:19" x14ac:dyDescent="0.2">
      <c r="S567" s="52"/>
    </row>
    <row r="568" spans="19:19" x14ac:dyDescent="0.2">
      <c r="S568" s="52"/>
    </row>
    <row r="569" spans="19:19" x14ac:dyDescent="0.2">
      <c r="S569" s="52"/>
    </row>
    <row r="570" spans="19:19" x14ac:dyDescent="0.2">
      <c r="S570" s="52"/>
    </row>
    <row r="571" spans="19:19" x14ac:dyDescent="0.2">
      <c r="S571" s="52"/>
    </row>
    <row r="572" spans="19:19" x14ac:dyDescent="0.2">
      <c r="S572" s="52"/>
    </row>
    <row r="573" spans="19:19" x14ac:dyDescent="0.2">
      <c r="S573" s="52"/>
    </row>
    <row r="574" spans="19:19" x14ac:dyDescent="0.2">
      <c r="S574" s="52"/>
    </row>
    <row r="575" spans="19:19" x14ac:dyDescent="0.2">
      <c r="S575" s="52"/>
    </row>
    <row r="576" spans="19:19" x14ac:dyDescent="0.2">
      <c r="S576" s="52"/>
    </row>
    <row r="577" spans="19:19" x14ac:dyDescent="0.2">
      <c r="S577" s="52"/>
    </row>
    <row r="578" spans="19:19" x14ac:dyDescent="0.2">
      <c r="S578" s="52"/>
    </row>
    <row r="579" spans="19:19" x14ac:dyDescent="0.2">
      <c r="S579" s="52"/>
    </row>
    <row r="580" spans="19:19" x14ac:dyDescent="0.2">
      <c r="S580" s="52"/>
    </row>
    <row r="581" spans="19:19" x14ac:dyDescent="0.2">
      <c r="S581" s="52"/>
    </row>
    <row r="582" spans="19:19" x14ac:dyDescent="0.2">
      <c r="S582" s="52"/>
    </row>
    <row r="583" spans="19:19" x14ac:dyDescent="0.2">
      <c r="S583" s="52"/>
    </row>
    <row r="584" spans="19:19" x14ac:dyDescent="0.2">
      <c r="S584" s="52"/>
    </row>
    <row r="585" spans="19:19" x14ac:dyDescent="0.2">
      <c r="S585" s="52"/>
    </row>
    <row r="586" spans="19:19" x14ac:dyDescent="0.2">
      <c r="S586" s="52"/>
    </row>
    <row r="587" spans="19:19" x14ac:dyDescent="0.2">
      <c r="S587" s="52"/>
    </row>
    <row r="588" spans="19:19" x14ac:dyDescent="0.2">
      <c r="S588" s="52"/>
    </row>
    <row r="589" spans="19:19" x14ac:dyDescent="0.2">
      <c r="S589" s="52"/>
    </row>
    <row r="590" spans="19:19" x14ac:dyDescent="0.2">
      <c r="S590" s="52"/>
    </row>
    <row r="591" spans="19:19" x14ac:dyDescent="0.2">
      <c r="S591" s="52"/>
    </row>
    <row r="592" spans="19:19" x14ac:dyDescent="0.2">
      <c r="S592" s="52"/>
    </row>
    <row r="593" spans="19:19" x14ac:dyDescent="0.2">
      <c r="S593" s="52"/>
    </row>
    <row r="594" spans="19:19" x14ac:dyDescent="0.2">
      <c r="S594" s="52"/>
    </row>
    <row r="595" spans="19:19" x14ac:dyDescent="0.2">
      <c r="S595" s="52"/>
    </row>
    <row r="596" spans="19:19" x14ac:dyDescent="0.2">
      <c r="S596" s="52"/>
    </row>
    <row r="597" spans="19:19" x14ac:dyDescent="0.2">
      <c r="S597" s="52"/>
    </row>
    <row r="598" spans="19:19" x14ac:dyDescent="0.2">
      <c r="S598" s="52"/>
    </row>
    <row r="599" spans="19:19" x14ac:dyDescent="0.2">
      <c r="S599" s="52"/>
    </row>
    <row r="600" spans="19:19" x14ac:dyDescent="0.2">
      <c r="S600" s="52"/>
    </row>
    <row r="601" spans="19:19" x14ac:dyDescent="0.2">
      <c r="S601" s="52"/>
    </row>
    <row r="602" spans="19:19" x14ac:dyDescent="0.2">
      <c r="S602" s="52"/>
    </row>
    <row r="603" spans="19:19" x14ac:dyDescent="0.2">
      <c r="S603" s="52"/>
    </row>
    <row r="604" spans="19:19" x14ac:dyDescent="0.2">
      <c r="S604" s="52"/>
    </row>
    <row r="605" spans="19:19" x14ac:dyDescent="0.2">
      <c r="S605" s="52"/>
    </row>
    <row r="606" spans="19:19" x14ac:dyDescent="0.2">
      <c r="S606" s="52"/>
    </row>
    <row r="607" spans="19:19" x14ac:dyDescent="0.2">
      <c r="S607" s="52"/>
    </row>
    <row r="608" spans="19:19" x14ac:dyDescent="0.2">
      <c r="S608" s="52"/>
    </row>
    <row r="609" spans="19:19" x14ac:dyDescent="0.2">
      <c r="S609" s="52"/>
    </row>
    <row r="610" spans="19:19" x14ac:dyDescent="0.2">
      <c r="S610" s="52"/>
    </row>
    <row r="611" spans="19:19" x14ac:dyDescent="0.2">
      <c r="S611" s="52"/>
    </row>
    <row r="612" spans="19:19" x14ac:dyDescent="0.2">
      <c r="S612" s="52"/>
    </row>
    <row r="613" spans="19:19" x14ac:dyDescent="0.2">
      <c r="S613" s="52"/>
    </row>
    <row r="614" spans="19:19" x14ac:dyDescent="0.2">
      <c r="S614" s="52"/>
    </row>
    <row r="615" spans="19:19" x14ac:dyDescent="0.2">
      <c r="S615" s="52"/>
    </row>
    <row r="616" spans="19:19" x14ac:dyDescent="0.2">
      <c r="S616" s="52"/>
    </row>
    <row r="617" spans="19:19" x14ac:dyDescent="0.2">
      <c r="S617" s="52"/>
    </row>
    <row r="618" spans="19:19" x14ac:dyDescent="0.2">
      <c r="S618" s="52"/>
    </row>
    <row r="619" spans="19:19" x14ac:dyDescent="0.2">
      <c r="S619" s="52"/>
    </row>
    <row r="620" spans="19:19" x14ac:dyDescent="0.2">
      <c r="S620" s="52"/>
    </row>
    <row r="621" spans="19:19" x14ac:dyDescent="0.2">
      <c r="S621" s="52"/>
    </row>
    <row r="622" spans="19:19" x14ac:dyDescent="0.2">
      <c r="S622" s="52"/>
    </row>
    <row r="623" spans="19:19" x14ac:dyDescent="0.2">
      <c r="S623" s="52"/>
    </row>
    <row r="624" spans="19:19" x14ac:dyDescent="0.2">
      <c r="S624" s="52"/>
    </row>
    <row r="625" spans="19:19" x14ac:dyDescent="0.2">
      <c r="S625" s="52"/>
    </row>
    <row r="626" spans="19:19" x14ac:dyDescent="0.2">
      <c r="S626" s="52"/>
    </row>
    <row r="627" spans="19:19" x14ac:dyDescent="0.2">
      <c r="S627" s="52"/>
    </row>
    <row r="628" spans="19:19" x14ac:dyDescent="0.2">
      <c r="S628" s="52"/>
    </row>
    <row r="629" spans="19:19" x14ac:dyDescent="0.2">
      <c r="S629" s="52"/>
    </row>
    <row r="630" spans="19:19" x14ac:dyDescent="0.2">
      <c r="S630" s="52"/>
    </row>
    <row r="631" spans="19:19" x14ac:dyDescent="0.2">
      <c r="S631" s="52"/>
    </row>
    <row r="632" spans="19:19" x14ac:dyDescent="0.2">
      <c r="S632" s="52"/>
    </row>
    <row r="633" spans="19:19" x14ac:dyDescent="0.2">
      <c r="S633" s="52"/>
    </row>
    <row r="634" spans="19:19" x14ac:dyDescent="0.2">
      <c r="S634" s="52"/>
    </row>
    <row r="635" spans="19:19" x14ac:dyDescent="0.2">
      <c r="S635" s="52"/>
    </row>
    <row r="636" spans="19:19" x14ac:dyDescent="0.2">
      <c r="S636" s="52"/>
    </row>
    <row r="637" spans="19:19" x14ac:dyDescent="0.2">
      <c r="S637" s="52"/>
    </row>
    <row r="638" spans="19:19" x14ac:dyDescent="0.2">
      <c r="S638" s="52"/>
    </row>
    <row r="639" spans="19:19" x14ac:dyDescent="0.2">
      <c r="S639" s="52"/>
    </row>
    <row r="640" spans="19:19" x14ac:dyDescent="0.2">
      <c r="S640" s="52"/>
    </row>
    <row r="641" spans="19:19" x14ac:dyDescent="0.2">
      <c r="S641" s="52"/>
    </row>
    <row r="642" spans="19:19" x14ac:dyDescent="0.2">
      <c r="S642" s="52"/>
    </row>
    <row r="643" spans="19:19" x14ac:dyDescent="0.2">
      <c r="S643" s="52"/>
    </row>
    <row r="644" spans="19:19" x14ac:dyDescent="0.2">
      <c r="S644" s="52"/>
    </row>
    <row r="645" spans="19:19" x14ac:dyDescent="0.2">
      <c r="S645" s="52"/>
    </row>
    <row r="646" spans="19:19" x14ac:dyDescent="0.2">
      <c r="S646" s="52"/>
    </row>
    <row r="647" spans="19:19" x14ac:dyDescent="0.2">
      <c r="S647" s="52"/>
    </row>
    <row r="648" spans="19:19" x14ac:dyDescent="0.2">
      <c r="S648" s="52"/>
    </row>
    <row r="649" spans="19:19" x14ac:dyDescent="0.2">
      <c r="S649" s="52"/>
    </row>
    <row r="650" spans="19:19" x14ac:dyDescent="0.2">
      <c r="S650" s="52"/>
    </row>
    <row r="651" spans="19:19" x14ac:dyDescent="0.2">
      <c r="S651" s="52"/>
    </row>
    <row r="652" spans="19:19" x14ac:dyDescent="0.2">
      <c r="S652" s="52"/>
    </row>
    <row r="653" spans="19:19" x14ac:dyDescent="0.2">
      <c r="S653" s="52"/>
    </row>
    <row r="654" spans="19:19" x14ac:dyDescent="0.2">
      <c r="S654" s="52"/>
    </row>
    <row r="655" spans="19:19" x14ac:dyDescent="0.2">
      <c r="S655" s="52"/>
    </row>
    <row r="656" spans="19:19" x14ac:dyDescent="0.2">
      <c r="S656" s="52"/>
    </row>
    <row r="657" spans="19:19" x14ac:dyDescent="0.2">
      <c r="S657" s="52"/>
    </row>
    <row r="658" spans="19:19" x14ac:dyDescent="0.2">
      <c r="S658" s="52"/>
    </row>
    <row r="659" spans="19:19" x14ac:dyDescent="0.2">
      <c r="S659" s="52"/>
    </row>
    <row r="660" spans="19:19" x14ac:dyDescent="0.2">
      <c r="S660" s="52"/>
    </row>
    <row r="661" spans="19:19" x14ac:dyDescent="0.2">
      <c r="S661" s="52"/>
    </row>
    <row r="662" spans="19:19" x14ac:dyDescent="0.2">
      <c r="S662" s="52"/>
    </row>
    <row r="663" spans="19:19" x14ac:dyDescent="0.2">
      <c r="S663" s="52"/>
    </row>
    <row r="664" spans="19:19" x14ac:dyDescent="0.2">
      <c r="S664" s="52"/>
    </row>
    <row r="665" spans="19:19" x14ac:dyDescent="0.2">
      <c r="S665" s="52"/>
    </row>
    <row r="666" spans="19:19" x14ac:dyDescent="0.2">
      <c r="S666" s="52"/>
    </row>
    <row r="667" spans="19:19" x14ac:dyDescent="0.2">
      <c r="S667" s="52"/>
    </row>
    <row r="668" spans="19:19" x14ac:dyDescent="0.2">
      <c r="S668" s="52"/>
    </row>
    <row r="669" spans="19:19" x14ac:dyDescent="0.2">
      <c r="S669" s="52"/>
    </row>
    <row r="670" spans="19:19" x14ac:dyDescent="0.2">
      <c r="S670" s="52"/>
    </row>
    <row r="671" spans="19:19" x14ac:dyDescent="0.2">
      <c r="S671" s="52"/>
    </row>
    <row r="672" spans="19:19" x14ac:dyDescent="0.2">
      <c r="S672" s="52"/>
    </row>
    <row r="673" spans="19:19" x14ac:dyDescent="0.2">
      <c r="S673" s="52"/>
    </row>
    <row r="674" spans="19:19" x14ac:dyDescent="0.2">
      <c r="S674" s="52"/>
    </row>
    <row r="675" spans="19:19" x14ac:dyDescent="0.2">
      <c r="S675" s="52"/>
    </row>
    <row r="676" spans="19:19" x14ac:dyDescent="0.2">
      <c r="S676" s="52"/>
    </row>
    <row r="677" spans="19:19" x14ac:dyDescent="0.2">
      <c r="S677" s="52"/>
    </row>
    <row r="678" spans="19:19" x14ac:dyDescent="0.2">
      <c r="S678" s="52"/>
    </row>
    <row r="679" spans="19:19" x14ac:dyDescent="0.2">
      <c r="S679" s="52"/>
    </row>
    <row r="680" spans="19:19" x14ac:dyDescent="0.2">
      <c r="S680" s="52"/>
    </row>
    <row r="681" spans="19:19" x14ac:dyDescent="0.2">
      <c r="S681" s="52"/>
    </row>
    <row r="682" spans="19:19" x14ac:dyDescent="0.2">
      <c r="S682" s="52"/>
    </row>
    <row r="683" spans="19:19" x14ac:dyDescent="0.2">
      <c r="S683" s="52"/>
    </row>
    <row r="684" spans="19:19" x14ac:dyDescent="0.2">
      <c r="S684" s="52"/>
    </row>
    <row r="685" spans="19:19" x14ac:dyDescent="0.2">
      <c r="S685" s="52"/>
    </row>
    <row r="686" spans="19:19" x14ac:dyDescent="0.2">
      <c r="S686" s="52"/>
    </row>
    <row r="687" spans="19:19" x14ac:dyDescent="0.2">
      <c r="S687" s="52"/>
    </row>
    <row r="688" spans="19:19" x14ac:dyDescent="0.2">
      <c r="S688" s="52"/>
    </row>
    <row r="689" spans="19:19" x14ac:dyDescent="0.2">
      <c r="S689" s="52"/>
    </row>
    <row r="690" spans="19:19" x14ac:dyDescent="0.2">
      <c r="S690" s="52"/>
    </row>
    <row r="691" spans="19:19" x14ac:dyDescent="0.2">
      <c r="S691" s="52"/>
    </row>
  </sheetData>
  <mergeCells count="5">
    <mergeCell ref="C3:M3"/>
    <mergeCell ref="F7:M7"/>
    <mergeCell ref="C22:M22"/>
    <mergeCell ref="B24:N30"/>
    <mergeCell ref="B32:N38"/>
  </mergeCells>
  <pageMargins left="0.7" right="0.7" top="0.75" bottom="0.75" header="0.3" footer="0.3"/>
  <pageSetup paperSize="9" scale="1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BANDHAN OF</vt:lpstr>
      <vt:lpstr>BANDHAN CF</vt:lpstr>
      <vt:lpstr>BANDHAN LDF</vt:lpstr>
      <vt:lpstr>BANDHAN MMF</vt:lpstr>
      <vt:lpstr>BANDHAN USTF</vt:lpstr>
      <vt:lpstr>BANDHAN DBF</vt:lpstr>
      <vt:lpstr>BANDHAN BOND IP</vt:lpstr>
      <vt:lpstr>BANDHAN BOND MT</vt:lpstr>
      <vt:lpstr>BANDHAN BOND ST</vt:lpstr>
      <vt:lpstr>BANDHAN BPDF</vt:lpstr>
      <vt:lpstr>BANDHAN CBF</vt:lpstr>
      <vt:lpstr>BANDHAN FRF</vt:lpstr>
      <vt:lpstr>BANDHAN CRF</vt:lpstr>
      <vt:lpstr>BANDHAN GSF-IP</vt:lpstr>
      <vt:lpstr>BANDHAN CMP</vt:lpstr>
      <vt:lpstr>BANDHAN GIF26</vt:lpstr>
      <vt:lpstr>BANDHAN GIF2027</vt:lpstr>
      <vt:lpstr>BANDHAN GIF2028</vt:lpstr>
      <vt:lpstr>BANDHAN GIF32</vt:lpstr>
      <vt:lpstr>BANDHAN SDLGIF26</vt:lpstr>
      <vt:lpstr>BANDHAN SDLGIF27</vt:lpstr>
      <vt:lpstr>BANDHAN SDLGIF32</vt:lpstr>
      <vt:lpstr>BANDHAN ASBF</vt:lpstr>
      <vt:lpstr>BANDHAN US TB 0-1yr FOF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BANDHANMF Products2</dc:creator>
  <cp:lastModifiedBy>BANDHANMF Products2</cp:lastModifiedBy>
  <dcterms:created xsi:type="dcterms:W3CDTF">2024-01-01T03:59:28Z</dcterms:created>
  <dcterms:modified xsi:type="dcterms:W3CDTF">2024-01-02T04:40:06Z</dcterms:modified>
</cp:coreProperties>
</file>