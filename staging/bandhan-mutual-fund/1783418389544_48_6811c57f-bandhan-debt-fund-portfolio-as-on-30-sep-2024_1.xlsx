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Oct 2024\"/>
    </mc:Choice>
  </mc:AlternateContent>
  <xr:revisionPtr revIDLastSave="0" documentId="13_ncr:1_{8BAD3A5C-688F-426A-8A43-CD814B808AD4}" xr6:coauthVersionLast="36" xr6:coauthVersionMax="36" xr10:uidLastSave="{00000000-0000-0000-0000-000000000000}"/>
  <bookViews>
    <workbookView xWindow="0" yWindow="0" windowWidth="10215" windowHeight="2055" xr2:uid="{6C8A8C14-2E23-4CF5-9B9B-39CF01905028}"/>
  </bookViews>
  <sheets>
    <sheet name="BANDHAN OF" sheetId="24" r:id="rId1"/>
    <sheet name="BANDHAN C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Long Dur" sheetId="21"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 r="H9" i="25" l="1"/>
  <c r="H8" i="22" l="1"/>
  <c r="H9" i="22"/>
  <c r="K16" i="23" l="1"/>
  <c r="K15" i="23"/>
  <c r="K14" i="23"/>
  <c r="K13" i="23"/>
  <c r="K12" i="23"/>
  <c r="K11" i="23"/>
  <c r="K10" i="23"/>
  <c r="K9" i="23"/>
</calcChain>
</file>

<file path=xl/sharedStrings.xml><?xml version="1.0" encoding="utf-8"?>
<sst xmlns="http://schemas.openxmlformats.org/spreadsheetml/2006/main" count="1510" uniqueCount="346">
  <si>
    <t>Bandhan All Seasons Bond Fund (30 September, 2024 )</t>
  </si>
  <si>
    <t>Net Assets as on 30 September, 2024</t>
  </si>
  <si>
    <t>113.42 crs</t>
  </si>
  <si>
    <t>Name</t>
  </si>
  <si>
    <t>Rating</t>
  </si>
  <si>
    <t>Total</t>
  </si>
  <si>
    <t>AAA EQUIVALENT</t>
  </si>
  <si>
    <t>Asset Quality</t>
  </si>
  <si>
    <t>Average Maturity Years</t>
  </si>
  <si>
    <t>Asset Allocation</t>
  </si>
  <si>
    <t>Bandhan Banking &amp; PSU Debt Fund (30 September, 2024 )</t>
  </si>
  <si>
    <t>13434.76 crs</t>
  </si>
  <si>
    <t>ICICI Bank Limited</t>
  </si>
  <si>
    <t xml:space="preserve"> A1+</t>
  </si>
  <si>
    <t>Axis Bank Limited</t>
  </si>
  <si>
    <t>Punjab National Bank</t>
  </si>
  <si>
    <t>Kotak Mahindra Bank Limited</t>
  </si>
  <si>
    <t>Bank of Baroda</t>
  </si>
  <si>
    <t>Canara Bank</t>
  </si>
  <si>
    <t>State Bank of India</t>
  </si>
  <si>
    <t>National Bank For Agriculture and Rural Development</t>
  </si>
  <si>
    <t>Union Bank of India</t>
  </si>
  <si>
    <t>Small Industries Dev Bank of India</t>
  </si>
  <si>
    <t>Certificate of Deposit Total</t>
  </si>
  <si>
    <t>HDFC Bank Limited</t>
  </si>
  <si>
    <t xml:space="preserve"> AAA</t>
  </si>
  <si>
    <t>Indian Railway Finance Corporation Limited</t>
  </si>
  <si>
    <t>REC Limited</t>
  </si>
  <si>
    <t>Power Finance Corporation Limited</t>
  </si>
  <si>
    <t>Nuclear Power Corporation Of India Limited</t>
  </si>
  <si>
    <t>NTPC Limited</t>
  </si>
  <si>
    <t>Indian Oil Corporation Limited</t>
  </si>
  <si>
    <t>Hindustan Petroleum Corporation Limited</t>
  </si>
  <si>
    <t>Export Import Bank of India</t>
  </si>
  <si>
    <t>National Housing Bank</t>
  </si>
  <si>
    <t>Power Grid Corporation of India Limited</t>
  </si>
  <si>
    <t>NHPC Limited</t>
  </si>
  <si>
    <t>Reliance Jio Infocomm Limited</t>
  </si>
  <si>
    <t>Bajaj Housing Finance Limited</t>
  </si>
  <si>
    <t>Corporate Bond Total</t>
  </si>
  <si>
    <t>Corporate Debt Market Development Fund</t>
  </si>
  <si>
    <t>Corporate Debt Market Development Fund Total</t>
  </si>
  <si>
    <t>7.18% GOI (MD 14/08/2033)</t>
  </si>
  <si>
    <t>7.17% GOI (MD 17/04/2030)</t>
  </si>
  <si>
    <t>7.26% GOI (MD 22/08/2032)</t>
  </si>
  <si>
    <t>7.06% GOI (MD 10/04/2028)</t>
  </si>
  <si>
    <t>7.26% GOI (MD 06/02/2033)</t>
  </si>
  <si>
    <t>6.54% GOI (MD 17/01/2032)</t>
  </si>
  <si>
    <t>Government Bond Total</t>
  </si>
  <si>
    <t>State Government Bond Total</t>
  </si>
  <si>
    <t>Clearing Corporation of India Ltd</t>
  </si>
  <si>
    <t>TRI Party Repo Total</t>
  </si>
  <si>
    <t>Net Current Asset</t>
  </si>
  <si>
    <t>Grand Total</t>
  </si>
  <si>
    <t>Company</t>
  </si>
  <si>
    <t>TRI Party Repo</t>
  </si>
  <si>
    <t>Certificate of Deposit</t>
  </si>
  <si>
    <t>Corporate Bond</t>
  </si>
  <si>
    <t>Government Bond</t>
  </si>
  <si>
    <t>State Government Bond</t>
  </si>
  <si>
    <t>Bandhan Bond Fund - Income Plan (30 September, 2024 )</t>
  </si>
  <si>
    <t>486.10 crs</t>
  </si>
  <si>
    <t>Tata Capital Limited</t>
  </si>
  <si>
    <t>7.3% GOI (MD 19/06/2053)</t>
  </si>
  <si>
    <t>6.79% GOI (MD 15/05/2027)</t>
  </si>
  <si>
    <t>7.73% GOI (MD 19/12/2034)</t>
  </si>
  <si>
    <t>Bandhan Bond Fund - Medium Term Plan (30 September, 2024 )</t>
  </si>
  <si>
    <t>1518.54 crs</t>
  </si>
  <si>
    <t>Tata Capital Housing Finance Limited</t>
  </si>
  <si>
    <t>Bajaj Finance Limited</t>
  </si>
  <si>
    <t>8.24% GOI (MD 15/02/2027)</t>
  </si>
  <si>
    <t>Bandhan Bond Fund - Short Term Plan (30 September, 2024 )</t>
  </si>
  <si>
    <t>9328.91 crs</t>
  </si>
  <si>
    <t>Kotak Mahindra Prime Limited</t>
  </si>
  <si>
    <t>Sundaram Finance Limited</t>
  </si>
  <si>
    <t>7.32% GOI (MD 13/11/2030)</t>
  </si>
  <si>
    <t>5.63% GOI (MD 12/04/2026)</t>
  </si>
  <si>
    <t>Bandhan Corporate Bond Fund (30 September, 2024 )</t>
  </si>
  <si>
    <t>Grasim Industries Limited</t>
  </si>
  <si>
    <t>Reliance Industries Limited</t>
  </si>
  <si>
    <t>Mahindra &amp; Mahindra Limited</t>
  </si>
  <si>
    <t>National Highways Authority Of India</t>
  </si>
  <si>
    <t>7.1% GOI (MD 08/04/2034)</t>
  </si>
  <si>
    <t>Zero Coupon Bond Total</t>
  </si>
  <si>
    <t>Zero Coupon Bond</t>
  </si>
  <si>
    <t>Bandhan Credit Risk Fund (30 September, 2024 )</t>
  </si>
  <si>
    <t>323.12 crs</t>
  </si>
  <si>
    <t>Century Textiles &amp; Industries Limited</t>
  </si>
  <si>
    <t xml:space="preserve"> AA</t>
  </si>
  <si>
    <t>Godrej Industries Limited</t>
  </si>
  <si>
    <t>Tata Projects Limited</t>
  </si>
  <si>
    <t>TVS Credit Services Limited</t>
  </si>
  <si>
    <t>AU Small Finance Bank Limited</t>
  </si>
  <si>
    <t>Aadhar Housing Finance Limited</t>
  </si>
  <si>
    <t>Nirma Limited</t>
  </si>
  <si>
    <t>Muthoot Finance Limited</t>
  </si>
  <si>
    <t xml:space="preserve"> AA+</t>
  </si>
  <si>
    <t>Godrej Properties Limited</t>
  </si>
  <si>
    <t>Godrej Housing Finance Limited</t>
  </si>
  <si>
    <t>Nuvoco Vistas Corporation Limited</t>
  </si>
  <si>
    <t>7.18% GOI (MD 24/07/2037)</t>
  </si>
  <si>
    <t>AA</t>
  </si>
  <si>
    <t>AA+</t>
  </si>
  <si>
    <t>Bandhan CRISIL IBX 90:10 SDL+Gilt Apr32 Index Fund (30 September, 2024 )</t>
  </si>
  <si>
    <t>374.27 crs</t>
  </si>
  <si>
    <t>6.1% GOI (MD 12/07/2031)</t>
  </si>
  <si>
    <t>Bandhan CRISIL IBX 90:10 SDL+Gilt Nov26 Index Fund (30 September, 2024 )</t>
  </si>
  <si>
    <t>114.08 crs</t>
  </si>
  <si>
    <t>5.74% GOI (MD 15/11/2026)</t>
  </si>
  <si>
    <t>Bandhan CRISIL IBX 90:10 SDL+Gilt Sep27 Index Fund (30 September, 2024 )</t>
  </si>
  <si>
    <t>163.91 crs</t>
  </si>
  <si>
    <t>7.38% GOI (MD 20/06/2027)</t>
  </si>
  <si>
    <t>Bandhan CRISIL IBX Gilt April 2026 Index Fund (30 September, 2024 )</t>
  </si>
  <si>
    <t>490.05 crs</t>
  </si>
  <si>
    <t>6.99% GOI (MD 17/04/2026)</t>
  </si>
  <si>
    <t>7.59% GOI(MD 11/01/2026)</t>
  </si>
  <si>
    <t>5.15% GOI (MD 09/11/2025)</t>
  </si>
  <si>
    <t>7.27% GOI (MD 08/04/2026)</t>
  </si>
  <si>
    <t>Bandhan CRISIL IBX Gilt April 2028 Index Fund (30 September, 2024 )</t>
  </si>
  <si>
    <t>4748.59 crs</t>
  </si>
  <si>
    <t>7.17% GOI (MD 08/01/2028)</t>
  </si>
  <si>
    <t>8.28% GOI (M/D 21/09/2027)</t>
  </si>
  <si>
    <t>Bandhan CRISIL IBX GILT APRIL 2032 INDEX FUND (30 September, 2024 )</t>
  </si>
  <si>
    <t>410.61 crs</t>
  </si>
  <si>
    <t>Average Maturity in Days</t>
  </si>
  <si>
    <t>Bandhan CRISIL IBX Gilt June 2027 Index Fund (30 September, 2024 )</t>
  </si>
  <si>
    <t>7229.08 crs</t>
  </si>
  <si>
    <t>Bandhan Dynamic Bond Fund (30 September, 2024 )</t>
  </si>
  <si>
    <t>2916.60 crs</t>
  </si>
  <si>
    <t>8.20% GOI (MD 24/09/2025)</t>
  </si>
  <si>
    <t>Bandhan Floating Rate Fund (30 September, 2024 )</t>
  </si>
  <si>
    <t>324.32 crs</t>
  </si>
  <si>
    <t>Cholamandalam Investment and Finance Company Ltd</t>
  </si>
  <si>
    <t>Bharti Telecom Limited</t>
  </si>
  <si>
    <t>Interest Rate Swaps</t>
  </si>
  <si>
    <t>Bandhan Government Sec Fund-Constant Maturity Plan (30 September, 2024 )</t>
  </si>
  <si>
    <t>342.95 crs</t>
  </si>
  <si>
    <t>Bandhan Government Securities Fund-Investment Plan (30 September, 2024 )</t>
  </si>
  <si>
    <t>3079.14 crs</t>
  </si>
  <si>
    <t>Bandhan Liquid Fund (30 September, 2024 )</t>
  </si>
  <si>
    <t>Bank of India</t>
  </si>
  <si>
    <t>Reliance Retail Ventures Limited</t>
  </si>
  <si>
    <t>HDFC Securities Limited</t>
  </si>
  <si>
    <t>Tata Motors Finance Limited</t>
  </si>
  <si>
    <t>UltraTech Cement Limited</t>
  </si>
  <si>
    <t>ICICI Securities Limited</t>
  </si>
  <si>
    <t>Mahindra &amp; Mahindra Financial Services Limited</t>
  </si>
  <si>
    <t>Kotak Securities Limited</t>
  </si>
  <si>
    <t>Larsen &amp; Toubro Limited</t>
  </si>
  <si>
    <t>Tata Steel Limited</t>
  </si>
  <si>
    <t>Bajaj Financial Securities Limited</t>
  </si>
  <si>
    <t>Godrej Consumer Products Limited</t>
  </si>
  <si>
    <t>Commercial Paper Total</t>
  </si>
  <si>
    <t>Tata Power Company Limited</t>
  </si>
  <si>
    <t>Government Bond Strips Total</t>
  </si>
  <si>
    <t>91 Days Tbill (MD 21/11/2024)</t>
  </si>
  <si>
    <t>364 Days Tbill (MD 28/11/2024)</t>
  </si>
  <si>
    <t>364 Days Tbill (MD 31/10/2024)</t>
  </si>
  <si>
    <t>364 Days Tbill (MD 24/10/2024)</t>
  </si>
  <si>
    <t>364 Days Tbill (MD 19/12/2024)</t>
  </si>
  <si>
    <t>364 Days Tbill (MD 07/11/2024)</t>
  </si>
  <si>
    <t>182 Days Tbill (MD 28/11/2024)</t>
  </si>
  <si>
    <t>91 Days Tbill (MD 28/11/2024)</t>
  </si>
  <si>
    <t>Treasury Bill Total</t>
  </si>
  <si>
    <t>Kotak Mahindra Investments Limited</t>
  </si>
  <si>
    <t>Commercial Paper</t>
  </si>
  <si>
    <t>Government Bond Strips</t>
  </si>
  <si>
    <t>Treasury Bill</t>
  </si>
  <si>
    <t>Bandhan Long Duration Fund (30 September, 2024 )</t>
  </si>
  <si>
    <t>180.74 crs</t>
  </si>
  <si>
    <t>7.46% GOI (MD 06/11/2073)</t>
  </si>
  <si>
    <t>Bandhan Low Duration Fund (30 September, 2024 )</t>
  </si>
  <si>
    <t>Bandhan Money Manager Fund (30 September, 2024 )</t>
  </si>
  <si>
    <t>Bandhan Overnight Fund (30 September, 2024 )</t>
  </si>
  <si>
    <t>947.32 crs</t>
  </si>
  <si>
    <t>REPO Total</t>
  </si>
  <si>
    <t>91 Days Tbill (MD 24/10/2024)</t>
  </si>
  <si>
    <t>364 Days Tbill (MD 17/10/2024)</t>
  </si>
  <si>
    <t>182 Days Tbill (MD 11/10/2024)</t>
  </si>
  <si>
    <t>91 Days Tbill (MD 03/10/2024)</t>
  </si>
  <si>
    <t>REPO</t>
  </si>
  <si>
    <t>Bandhan Ultra Short Term Fund (30 September, 2024 )</t>
  </si>
  <si>
    <t xml:space="preserve">SOV </t>
  </si>
  <si>
    <t>GOI Strips (MD 22/10/2024)</t>
  </si>
  <si>
    <t>IndusInd Bank Limited</t>
  </si>
  <si>
    <t>Panatone Finvest Limited</t>
  </si>
  <si>
    <t>L&amp;T Finance Limited</t>
  </si>
  <si>
    <t>GOI Strips (MD 19/03/2025)</t>
  </si>
  <si>
    <t>7.36% GOI (MD12/09/2052)-Strips (C)-(MD12/03/2025)</t>
  </si>
  <si>
    <t>GOI Strips (MD 12/12/2024 )</t>
  </si>
  <si>
    <t>5.88% Gujarat SDL (MD 31/03/2025)</t>
  </si>
  <si>
    <t>5.8% Maharashtra SDL (MD 02/02/2025)</t>
  </si>
  <si>
    <t>8.23% Maharashtra SDL (09/09/2025)</t>
  </si>
  <si>
    <t>8.29% Keral SDL (MD 29/07/2025)</t>
  </si>
  <si>
    <t>8.07% Gujrat SDL (MD 11/02/2025)</t>
  </si>
  <si>
    <t>8.24% Tamilnadu SDL (MD 10/06/2025)</t>
  </si>
  <si>
    <t>5.95% Tamilnadu SDL (MD 13/05/2025)</t>
  </si>
  <si>
    <t>8.09% Andhra Pradesh SDL (MD 28/01/2025)</t>
  </si>
  <si>
    <t>8.09% Madhya Pradesh SDL (MD 11/03/2025)</t>
  </si>
  <si>
    <t>8.16% Maharastra SDL (23/09/2025)</t>
  </si>
  <si>
    <t>8.24% Tamilnadu SDL(MD 09/09/2025)</t>
  </si>
  <si>
    <t>8.29% Haryana SDL (MD 29/07/2025)</t>
  </si>
  <si>
    <t>8.06% Tamilnadu SDL (MD 29/04/2025)</t>
  </si>
  <si>
    <t>5.75% Rajasthan SDL (MD 10/06/2025)</t>
  </si>
  <si>
    <t>8.29% Gujarat SDL  (MD 26/08/2025)</t>
  </si>
  <si>
    <t>8.17% West Bengal SDL (MD 27/05/2025)</t>
  </si>
  <si>
    <t>6.69% Madhya Pradesh SDL (MD 17/03/2025)</t>
  </si>
  <si>
    <t>7.89%  GUJARAT SDL (MD 15/05/2025)</t>
  </si>
  <si>
    <t>182 Days Tbill (MD 30/01/2025)</t>
  </si>
  <si>
    <t>364 Days Tbill (MD 16/01/2025)</t>
  </si>
  <si>
    <t>Tata Capital Limited*</t>
  </si>
  <si>
    <t>Power Grid Corporation of India Limited*</t>
  </si>
  <si>
    <t>5.75% Tamilnadu SDL (MD 27/05/2025)</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</si>
  <si>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</si>
  <si>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</si>
  <si>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*Reduced Face Value Bonds</t>
  </si>
  <si>
    <t>7675.33 crs</t>
  </si>
  <si>
    <t>8.14% Rajasthan SDL (MD 13/11/2025)</t>
  </si>
  <si>
    <t>8.28% Karnataka SDL (MD 06/03/2026)</t>
  </si>
  <si>
    <t>8.52% Telangana SDL (MD 10/02/2026)</t>
  </si>
  <si>
    <t>8.38% Karnataka SDL (MD 27/01/2026)</t>
  </si>
  <si>
    <t>8.30% Rajastan SDL (MD 13/01/2026)</t>
  </si>
  <si>
    <t>8.76% Madhya Pradesh SDL (MD 24/02/2026)</t>
  </si>
  <si>
    <t>6.18% Gujarat SDL MD (MD 31/03/2026)</t>
  </si>
  <si>
    <t>7.16% Maharashtra SDL (MD 28/09/2026)</t>
  </si>
  <si>
    <t>6.10% Rajasthan SDL (MD 25/05/2026)</t>
  </si>
  <si>
    <t>8.67% Karnataka SDL (MD 24/02/2026)</t>
  </si>
  <si>
    <t>8.39% Andhra Pradesh SDL (MD 27/01/2026)</t>
  </si>
  <si>
    <t>8.54% Bihar SDL (MD 10/02/2026)</t>
  </si>
  <si>
    <t>7.85% Andhra Pradesh SDL (MD 13/07/2026)</t>
  </si>
  <si>
    <t>6.9% Tamilnadu SDL (MD 16/10/2025)</t>
  </si>
  <si>
    <t>6.24% Maharashtra SDL (MD 11/08/2026)</t>
  </si>
  <si>
    <t>8.07% Rajasthan SDL (MD 31/01/2028)</t>
  </si>
  <si>
    <t>8.65% Rajasthan SDL(MD 24/02/2026)</t>
  </si>
  <si>
    <t>8.53% Uttar Pradesh SDL (MD 10/02/2026)</t>
  </si>
  <si>
    <t>8.31% TELANGANA SDL (MD 13/01/2026)</t>
  </si>
  <si>
    <t>7.99% Karnatak SDL (MD 28/10/2025)</t>
  </si>
  <si>
    <t>7.98% Karnataka SDL (14/10/2025)</t>
  </si>
  <si>
    <t>7.38% Madhya Pradesh SDL (MD 14/09/2026)</t>
  </si>
  <si>
    <t>7.27% Karnataka SDL (MD 28/12/2026)</t>
  </si>
  <si>
    <t>8.83% Uttar Pradesh SDL (MD 24/02/2026)</t>
  </si>
  <si>
    <t>7.49% Gujarat SDL (MD 28/09/2026)</t>
  </si>
  <si>
    <t>8.69% Tamilnadu SDL (MD 24/02/2026)</t>
  </si>
  <si>
    <t>7.37% Tamilnadu SDL (MD 14/09/2026)</t>
  </si>
  <si>
    <t>7.99% Maharastra SDL (MD 28/10/2025)</t>
  </si>
  <si>
    <t>7.15% Maharashtra SDL (MD 13/10/2026)</t>
  </si>
  <si>
    <t>8.82% Bihar SDL (MD 24/02/2026)</t>
  </si>
  <si>
    <t>8.39% Madhya Pradesh SDL (MD 27/01/2026)</t>
  </si>
  <si>
    <t>8.34% Uttar Pradesh SDL (MD 13/01/2026)</t>
  </si>
  <si>
    <t>8.23% Chhatisgarh SDL (MD 09/12/2025)</t>
  </si>
  <si>
    <t>8.17% Tamilnadu SDL (MD 26/11/2025)</t>
  </si>
  <si>
    <t>7.47% Gujarat SDL (MD 27/10/2025)</t>
  </si>
  <si>
    <t>8.28% Maharashtra SDL (MD 29/07/2025)</t>
  </si>
  <si>
    <t>8.27% Haryana SDL (MD 13/05/2025)</t>
  </si>
  <si>
    <t>7.37% Maharashtra SDL (MD 14/09/2026)</t>
  </si>
  <si>
    <t>7.41% Uttar Pradesh SDL (MD 09/11/2026)</t>
  </si>
  <si>
    <t>AAA EQUIVALENT / A1+</t>
  </si>
  <si>
    <t>8.67% Maharastra SDL (MD 24/02/2026)</t>
  </si>
  <si>
    <t>8.27% Karnataka SDL (MD 13/01/2026)</t>
  </si>
  <si>
    <t>8.25% Maharashtra SDL(MD 10/06/2025)</t>
  </si>
  <si>
    <t>364 Days Tbill (MD 03/10/2024)</t>
  </si>
  <si>
    <t>7.26% Karnataka SDL (MD 04/01/2025)</t>
  </si>
  <si>
    <t>8.37% Tamil Nadu SDL (MD 05/12/2028)</t>
  </si>
  <si>
    <t>7.18% Tamilnadu SDL (MD 26/07/2027)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</si>
  <si>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</si>
  <si>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</si>
  <si>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</si>
  <si>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</si>
  <si>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</si>
  <si>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</si>
  <si>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</si>
  <si>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</si>
  <si>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</si>
  <si>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</si>
  <si>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</si>
  <si>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</si>
  <si>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</si>
  <si>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</si>
  <si>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</si>
  <si>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</si>
  <si>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</si>
  <si>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</si>
  <si>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</si>
  <si>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</si>
  <si>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</si>
  <si>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</si>
  <si>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</si>
  <si>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7.24% Rajasthan SDL (MD 09/02/2032)</t>
  </si>
  <si>
    <t>7.19% Tamilnadu SDL (MD 16/03/2032)</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</si>
  <si>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</si>
  <si>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</si>
  <si>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</si>
  <si>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</si>
  <si>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</si>
  <si>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</si>
  <si>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</si>
  <si>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</si>
  <si>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</si>
  <si>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</si>
  <si>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8.72% Tamilnadu SDL (MD 19/09/2026)</t>
  </si>
  <si>
    <t>7.04% Gujarat SDL (MD 07/08/2026)</t>
  </si>
  <si>
    <t>7.22% Maharashtra SDL (MD 26/10/2026)</t>
  </si>
  <si>
    <t>6.82% Maharashtra SDL (MD 23/11/2026)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</si>
  <si>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</si>
  <si>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</si>
  <si>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</si>
  <si>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</si>
  <si>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</si>
  <si>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</si>
  <si>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</si>
  <si>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7.69% Tamilnadu SDL (MD 27/07/2026)</t>
  </si>
  <si>
    <t>7.18% Haryana SDL (MD 28/09/2026)</t>
  </si>
  <si>
    <t>7.19% West Bangal SDL (MD 28/09/2026)</t>
  </si>
  <si>
    <t>7.15% Madhya Pradesh SDL (MD 13/10/2026)</t>
  </si>
  <si>
    <t>7.58% Tamilnadu SDL (MD 24/08/2026)</t>
  </si>
  <si>
    <t>Bandhan Bond Fund -Short Term Pl Direct Pl-Growth</t>
  </si>
  <si>
    <t>Bandhan Floating Rate Fund Direct Growth</t>
  </si>
  <si>
    <t>Mutual Fund Units Total</t>
  </si>
  <si>
    <t>Bandhan Banking &amp; PSU Debt Fund -Direct Gr</t>
  </si>
  <si>
    <t>Mutual Fund Units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</si>
  <si>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</si>
  <si>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</si>
  <si>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11,686.21 crs</t>
  </si>
  <si>
    <t>5,196.38 crs</t>
  </si>
  <si>
    <t>3,789.83 crs</t>
  </si>
  <si>
    <t>13,903.13 crs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</si>
  <si>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</si>
  <si>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</si>
  <si>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</si>
  <si>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</si>
  <si>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</si>
  <si>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</si>
  <si>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</si>
  <si>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</si>
  <si>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</si>
  <si>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</si>
  <si>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</si>
  <si>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</si>
  <si>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</si>
  <si>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</si>
  <si>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</si>
  <si>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</si>
  <si>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</si>
  <si>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</si>
  <si>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149.73 crs</t>
  </si>
  <si>
    <t>BANDHAN US TREASURY BOND 0-1 YEAR FUND OF FUND (30 September,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</si>
</sst>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1"/>
      <color indexed="9"/>
      <name val="Calibri"/>
      <family val="2"/>
      <scheme val="minor"/>
    </font>
    <font>
      <sz val="11"/>
      <name val="Calibri"/>
      <family val="2"/>
      <scheme val="minor"/>
    </font>
    <font>
      <sz val="11"/>
      <color theme="1"/>
      <name val="Calibri"/>
      <family val="2"/>
      <scheme val="minor"/>
    </font>
    <font>
      <sz val="12"/>
      <name val="Arial"/>
      <family val="2"/>
    </font>
    <font>
      <b/>
      <sz val="16"/>
      <name val="Arial"/>
      <family val="2"/>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2" fillId="0" borderId="0" applyFont="0" applyFill="0" applyBorder="0" applyAlignment="0" applyProtection="0"/>
  </cellStyleXfs>
  <cellXfs count="128">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0" fontId="8" fillId="0" borderId="13" xfId="0" applyFont="1" applyBorder="1"/>
    <xf numFmtId="0" fontId="8" fillId="0" borderId="10" xfId="0" applyFont="1" applyBorder="1"/>
    <xf numFmtId="0" fontId="8" fillId="0" borderId="11" xfId="0" applyFont="1" applyBorder="1"/>
    <xf numFmtId="0" fontId="8" fillId="0" borderId="14" xfId="0" applyFont="1" applyBorder="1"/>
    <xf numFmtId="0" fontId="8" fillId="0" borderId="0" xfId="0" applyFont="1" applyBorder="1"/>
    <xf numFmtId="0" fontId="8" fillId="0" borderId="12" xfId="0" applyFont="1" applyBorder="1"/>
    <xf numFmtId="0" fontId="2" fillId="0" borderId="8" xfId="0" applyFont="1" applyBorder="1" applyAlignment="1">
      <alignment vertical="center"/>
    </xf>
    <xf numFmtId="0" fontId="2" fillId="0" borderId="4" xfId="0" applyFont="1" applyBorder="1" applyAlignment="1">
      <alignment vertical="center"/>
    </xf>
    <xf numFmtId="164" fontId="2" fillId="0" borderId="2" xfId="0" applyNumberFormat="1" applyFont="1" applyBorder="1" applyAlignment="1">
      <alignment vertical="center"/>
    </xf>
    <xf numFmtId="0" fontId="10" fillId="0" borderId="0" xfId="0" applyFont="1" applyBorder="1"/>
    <xf numFmtId="10" fontId="10" fillId="0" borderId="0" xfId="0" applyNumberFormat="1" applyFont="1" applyBorder="1"/>
    <xf numFmtId="0" fontId="8" fillId="2" borderId="0" xfId="0" applyFont="1" applyFill="1" applyBorder="1"/>
    <xf numFmtId="0" fontId="8" fillId="2" borderId="12" xfId="0" applyFont="1" applyFill="1" applyBorder="1"/>
    <xf numFmtId="0" fontId="8" fillId="0" borderId="15" xfId="0" applyFont="1" applyBorder="1"/>
    <xf numFmtId="0" fontId="8" fillId="0" borderId="16" xfId="0" applyFont="1" applyBorder="1"/>
    <xf numFmtId="0" fontId="8" fillId="0" borderId="17" xfId="0" applyFont="1" applyBorder="1"/>
    <xf numFmtId="0" fontId="7" fillId="0" borderId="0" xfId="0" applyFont="1" applyBorder="1"/>
    <xf numFmtId="0" fontId="9" fillId="0" borderId="0" xfId="0" applyFont="1" applyBorder="1"/>
    <xf numFmtId="10" fontId="9" fillId="0" borderId="0" xfId="0" applyNumberFormat="1" applyFont="1" applyBorder="1"/>
    <xf numFmtId="0" fontId="0" fillId="0" borderId="0" xfId="0" applyFont="1" applyBorder="1"/>
    <xf numFmtId="165" fontId="1" fillId="0" borderId="2" xfId="0" applyNumberFormat="1" applyFont="1" applyBorder="1" applyAlignment="1">
      <alignment vertical="center"/>
    </xf>
    <xf numFmtId="0" fontId="11" fillId="0" borderId="0" xfId="0" applyFont="1" applyBorder="1"/>
    <xf numFmtId="0" fontId="1" fillId="0" borderId="29" xfId="0" applyFont="1" applyBorder="1" applyAlignment="1">
      <alignment vertical="center"/>
    </xf>
    <xf numFmtId="164" fontId="1" fillId="0" borderId="29" xfId="0" applyNumberFormat="1" applyFont="1" applyBorder="1" applyAlignment="1">
      <alignment vertical="center"/>
    </xf>
    <xf numFmtId="1" fontId="5" fillId="2" borderId="0" xfId="0" applyNumberFormat="1" applyFont="1" applyFill="1" applyBorder="1" applyAlignment="1">
      <alignment horizontal="center" vertical="center"/>
    </xf>
    <xf numFmtId="3"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xf numFmtId="0" fontId="13" fillId="0" borderId="0" xfId="0" applyFont="1"/>
    <xf numFmtId="0" fontId="13" fillId="0" borderId="18" xfId="0" applyFont="1" applyBorder="1"/>
    <xf numFmtId="0" fontId="13" fillId="0" borderId="19" xfId="0" applyFont="1" applyBorder="1"/>
    <xf numFmtId="0" fontId="13" fillId="0" borderId="20" xfId="0" applyFont="1" applyBorder="1"/>
    <xf numFmtId="0" fontId="13" fillId="0" borderId="21" xfId="0" applyFont="1" applyBorder="1"/>
    <xf numFmtId="0" fontId="13" fillId="0" borderId="0" xfId="0" applyFont="1" applyBorder="1"/>
    <xf numFmtId="0" fontId="13" fillId="0" borderId="22" xfId="0" applyFont="1" applyBorder="1"/>
    <xf numFmtId="0" fontId="14" fillId="3" borderId="0" xfId="0" applyFont="1" applyFill="1" applyBorder="1" applyAlignment="1">
      <alignment vertical="center"/>
    </xf>
    <xf numFmtId="0" fontId="11" fillId="0" borderId="0" xfId="0" applyFont="1"/>
    <xf numFmtId="0" fontId="15" fillId="3" borderId="30"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3" fillId="0" borderId="32" xfId="0" applyFont="1" applyBorder="1" applyAlignment="1">
      <alignment horizontal="left" vertical="center" wrapText="1"/>
    </xf>
    <xf numFmtId="166" fontId="13" fillId="0" borderId="33" xfId="1" applyNumberFormat="1" applyFont="1" applyBorder="1" applyAlignment="1">
      <alignment horizontal="right"/>
    </xf>
    <xf numFmtId="10" fontId="13" fillId="0" borderId="0" xfId="0" applyNumberFormat="1" applyFont="1" applyBorder="1"/>
    <xf numFmtId="10" fontId="13" fillId="0" borderId="0" xfId="1" applyNumberFormat="1" applyFont="1" applyBorder="1"/>
    <xf numFmtId="14" fontId="13" fillId="0" borderId="0" xfId="0" applyNumberFormat="1" applyFont="1"/>
    <xf numFmtId="0" fontId="15" fillId="3" borderId="32" xfId="0" applyFont="1" applyFill="1" applyBorder="1" applyAlignment="1">
      <alignment horizontal="left"/>
    </xf>
    <xf numFmtId="166" fontId="15" fillId="3" borderId="33" xfId="0" applyNumberFormat="1" applyFont="1" applyFill="1" applyBorder="1" applyAlignment="1">
      <alignment horizontal="right"/>
    </xf>
    <xf numFmtId="0" fontId="13" fillId="0" borderId="8" xfId="0" applyFont="1" applyBorder="1" applyAlignment="1">
      <alignment vertical="center"/>
    </xf>
    <xf numFmtId="166" fontId="13" fillId="0" borderId="33" xfId="0" applyNumberFormat="1" applyFont="1" applyBorder="1" applyAlignment="1">
      <alignment vertical="center"/>
    </xf>
    <xf numFmtId="0" fontId="15" fillId="2" borderId="8" xfId="0" applyFont="1" applyFill="1" applyBorder="1" applyAlignment="1">
      <alignment horizontal="left" vertical="center"/>
    </xf>
    <xf numFmtId="166" fontId="15" fillId="2" borderId="33" xfId="0" applyNumberFormat="1" applyFont="1" applyFill="1" applyBorder="1" applyAlignment="1">
      <alignment horizontal="right" vertical="center"/>
    </xf>
    <xf numFmtId="164" fontId="13" fillId="0" borderId="33" xfId="0" applyNumberFormat="1" applyFont="1" applyBorder="1" applyAlignment="1">
      <alignment vertical="center"/>
    </xf>
    <xf numFmtId="0" fontId="15" fillId="2" borderId="9" xfId="0" applyFont="1" applyFill="1" applyBorder="1" applyAlignment="1">
      <alignment horizontal="left" vertical="center"/>
    </xf>
    <xf numFmtId="164" fontId="15" fillId="2" borderId="34" xfId="0" applyNumberFormat="1" applyFont="1" applyFill="1" applyBorder="1" applyAlignment="1">
      <alignment horizontal="right" vertical="center"/>
    </xf>
    <xf numFmtId="0" fontId="15" fillId="0" borderId="0" xfId="0" applyFont="1" applyFill="1" applyBorder="1" applyAlignment="1">
      <alignment horizontal="left"/>
    </xf>
    <xf numFmtId="167" fontId="15" fillId="0" borderId="0" xfId="0" applyNumberFormat="1" applyFont="1" applyFill="1" applyBorder="1" applyAlignment="1">
      <alignment horizontal="right"/>
    </xf>
    <xf numFmtId="0" fontId="13" fillId="0" borderId="0" xfId="0" applyFont="1" applyFill="1" applyBorder="1"/>
    <xf numFmtId="10" fontId="15" fillId="0" borderId="0" xfId="1" applyNumberFormat="1" applyFont="1" applyFill="1" applyBorder="1" applyAlignment="1">
      <alignment horizontal="right"/>
    </xf>
    <xf numFmtId="0" fontId="13" fillId="0" borderId="23" xfId="0" applyFont="1" applyBorder="1"/>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2" borderId="0" xfId="0" applyFont="1" applyFill="1" applyBorder="1" applyAlignment="1">
      <alignment horizontal="center" vertical="center"/>
    </xf>
    <xf numFmtId="0" fontId="8" fillId="0" borderId="0" xfId="0" applyFont="1" applyBorder="1" applyAlignment="1">
      <alignment horizontal="center" vertical="center"/>
    </xf>
    <xf numFmtId="0" fontId="8" fillId="0" borderId="12" xfId="0" applyFont="1" applyBorder="1" applyAlignment="1">
      <alignment horizontal="center" vertical="center"/>
    </xf>
    <xf numFmtId="0" fontId="3" fillId="2" borderId="0" xfId="0" applyFont="1" applyFill="1" applyBorder="1" applyAlignment="1">
      <alignment horizontal="right" vertical="center"/>
    </xf>
    <xf numFmtId="0" fontId="8" fillId="0" borderId="0" xfId="0" applyFont="1" applyBorder="1" applyAlignment="1">
      <alignment horizontal="right"/>
    </xf>
    <xf numFmtId="0" fontId="5" fillId="2" borderId="0" xfId="0" applyFont="1" applyFill="1" applyBorder="1" applyAlignment="1">
      <alignment vertical="center"/>
    </xf>
    <xf numFmtId="0" fontId="8" fillId="0" borderId="0" xfId="0" applyFont="1" applyBorder="1" applyAlignment="1">
      <alignment vertical="center"/>
    </xf>
    <xf numFmtId="0" fontId="8" fillId="0" borderId="12" xfId="0" applyFont="1" applyBorder="1" applyAlignment="1">
      <alignment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0" xfId="0" applyBorder="1" applyAlignment="1">
      <alignment vertical="center"/>
    </xf>
    <xf numFmtId="0" fontId="0" fillId="0" borderId="12" xfId="0" applyBorder="1" applyAlignment="1">
      <alignment vertical="center"/>
    </xf>
    <xf numFmtId="0" fontId="0" fillId="0" borderId="0" xfId="0" applyBorder="1" applyAlignment="1">
      <alignment horizontal="right"/>
    </xf>
    <xf numFmtId="0" fontId="14" fillId="3" borderId="0"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6" fillId="3" borderId="0" xfId="0" applyFont="1" applyFill="1" applyBorder="1" applyAlignment="1">
      <alignment vertical="center" wrapText="1"/>
    </xf>
    <xf numFmtId="0" fontId="16" fillId="3" borderId="22" xfId="0" applyFont="1" applyFill="1" applyBorder="1" applyAlignment="1">
      <alignment vertical="center" wrapText="1"/>
    </xf>
    <xf numFmtId="0" fontId="15" fillId="0" borderId="24" xfId="0" applyFont="1" applyBorder="1" applyAlignment="1"/>
    <xf numFmtId="0" fontId="15" fillId="0" borderId="25" xfId="0" applyFont="1" applyBorder="1" applyAlignment="1"/>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0" xfId="0" applyFont="1" applyBorder="1" applyAlignment="1">
      <alignment horizontal="left" vertical="top" wrapText="1"/>
    </xf>
    <xf numFmtId="0" fontId="11" fillId="0" borderId="22" xfId="0" applyFont="1" applyBorder="1" applyAlignment="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093425955586"/>
                  <c:y val="-3.01722655847058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5E9-4F92-BE4E-9699D9671A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C5E9-4F92-BE4E-9699D9671AE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FD-4A65-951D-87CBF1A8B819}"/>
                </c:ext>
              </c:extLst>
            </c:dLbl>
            <c:dLbl>
              <c:idx val="1"/>
              <c:layout>
                <c:manualLayout>
                  <c:x val="-0.18038847392469953"/>
                  <c:y val="-0.129723534558180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3FD-4A65-951D-87CBF1A8B819}"/>
                </c:ext>
              </c:extLst>
            </c:dLbl>
            <c:dLbl>
              <c:idx val="2"/>
              <c:layout>
                <c:manualLayout>
                  <c:x val="3.1223254480770204E-2"/>
                  <c:y val="0.183416622922134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3FD-4A65-951D-87CBF1A8B81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3FD-4A65-951D-87CBF1A8B81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2.3059999999999999E-3</c:v>
                </c:pt>
                <c:pt idx="1">
                  <c:v>0.33282499999999998</c:v>
                </c:pt>
                <c:pt idx="2">
                  <c:v>0.61223700000000003</c:v>
                </c:pt>
                <c:pt idx="3">
                  <c:v>5.2631999999999998E-2</c:v>
                </c:pt>
              </c:numCache>
            </c:numRef>
          </c:val>
          <c:extLst>
            <c:ext xmlns:c16="http://schemas.microsoft.com/office/drawing/2014/chart" uri="{C3380CC4-5D6E-409C-BE32-E72D297353CC}">
              <c16:uniqueId val="{0000000C-43FD-4A65-951D-87CBF1A8B81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84719013977646"/>
                  <c:y val="-3.42920353982300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92920353982302"/>
                    </c:manualLayout>
                  </c15:layout>
                </c:ext>
                <c:ext xmlns:c16="http://schemas.microsoft.com/office/drawing/2014/chart" uri="{C3380CC4-5D6E-409C-BE32-E72D297353CC}">
                  <c16:uniqueId val="{0000000D-1017-4B42-9DDA-B2384D6B0CF2}"/>
                </c:ext>
              </c:extLst>
            </c:dLbl>
            <c:dLbl>
              <c:idx val="1"/>
              <c:layout>
                <c:manualLayout>
                  <c:x val="-0.24518412045389401"/>
                  <c:y val="-3.6417671242422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017-4B42-9DDA-B2384D6B0C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CF'!$G$8:$G$9</c:f>
              <c:strCache>
                <c:ptCount val="2"/>
                <c:pt idx="0">
                  <c:v>AAA EQUIVALENT / A1+</c:v>
                </c:pt>
                <c:pt idx="1">
                  <c:v>AA+</c:v>
                </c:pt>
              </c:strCache>
            </c:strRef>
          </c:cat>
          <c:val>
            <c:numRef>
              <c:f>'BANDHAN CF'!$H$8:$H$9</c:f>
              <c:numCache>
                <c:formatCode>0.00%</c:formatCode>
                <c:ptCount val="2"/>
                <c:pt idx="0">
                  <c:v>0.99058900000000005</c:v>
                </c:pt>
                <c:pt idx="1">
                  <c:v>9.4109999999999992E-3</c:v>
                </c:pt>
              </c:numCache>
            </c:numRef>
          </c:val>
          <c:extLst>
            <c:ext xmlns:c16="http://schemas.microsoft.com/office/drawing/2014/chart" uri="{C3380CC4-5D6E-409C-BE32-E72D297353CC}">
              <c16:uniqueId val="{0000000C-1017-4B42-9DDA-B2384D6B0C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168-4BD8-B677-7C9E8AF9B83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168-4BD8-B677-7C9E8AF9B83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168-4BD8-B677-7C9E8AF9B83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168-4BD8-B677-7C9E8AF9B83A}"/>
                </c:ext>
              </c:extLst>
            </c:dLbl>
            <c:dLbl>
              <c:idx val="4"/>
              <c:layout>
                <c:manualLayout>
                  <c:x val="0.39147768466843141"/>
                  <c:y val="0.124809233282925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168-4BD8-B677-7C9E8AF9B83A}"/>
                </c:ext>
              </c:extLst>
            </c:dLbl>
            <c:dLbl>
              <c:idx val="5"/>
              <c:layout>
                <c:manualLayout>
                  <c:x val="-6.8355561550523533E-3"/>
                  <c:y val="0.541238288922493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168-4BD8-B677-7C9E8AF9B83A}"/>
                </c:ext>
              </c:extLst>
            </c:dLbl>
            <c:dLbl>
              <c:idx val="6"/>
              <c:layout>
                <c:manualLayout>
                  <c:x val="3.1319024094150972E-4"/>
                  <c:y val="-0.167616415497731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168-4BD8-B677-7C9E8AF9B83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168-4BD8-B677-7C9E8AF9B83A}"/>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A168-4BD8-B677-7C9E8AF9B8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 Strips</c:v>
                </c:pt>
                <c:pt idx="7">
                  <c:v>Treasury Bill</c:v>
                </c:pt>
                <c:pt idx="8">
                  <c:v>Zero Coupon Bond</c:v>
                </c:pt>
              </c:strCache>
            </c:strRef>
          </c:cat>
          <c:val>
            <c:numRef>
              <c:f>'BANDHAN CF'!$K$9:$K$17</c:f>
              <c:numCache>
                <c:formatCode>0.00%</c:formatCode>
                <c:ptCount val="9"/>
                <c:pt idx="0">
                  <c:v>-6.4460000000000003E-2</c:v>
                </c:pt>
                <c:pt idx="1">
                  <c:v>8.7709999999999993E-3</c:v>
                </c:pt>
                <c:pt idx="2">
                  <c:v>0.28809400000000002</c:v>
                </c:pt>
                <c:pt idx="3">
                  <c:v>5.6869999999999997E-2</c:v>
                </c:pt>
                <c:pt idx="4">
                  <c:v>0.51885700000000001</c:v>
                </c:pt>
                <c:pt idx="5">
                  <c:v>2.9199999999999999E-3</c:v>
                </c:pt>
                <c:pt idx="6">
                  <c:v>3.0349999999999999E-3</c:v>
                </c:pt>
                <c:pt idx="7">
                  <c:v>0.181647</c:v>
                </c:pt>
                <c:pt idx="8">
                  <c:v>4.2659999999999998E-3</c:v>
                </c:pt>
              </c:numCache>
            </c:numRef>
          </c:val>
          <c:extLst>
            <c:ext xmlns:c16="http://schemas.microsoft.com/office/drawing/2014/chart" uri="{C3380CC4-5D6E-409C-BE32-E72D297353CC}">
              <c16:uniqueId val="{0000000C-A168-4BD8-B677-7C9E8AF9B8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LDF'!$H$8</c:f>
              <c:strCache>
                <c:ptCount val="1"/>
                <c:pt idx="0">
                  <c:v>95.31%</c:v>
                </c:pt>
              </c:strCache>
            </c:strRef>
          </c:tx>
          <c:dLbls>
            <c:dLbl>
              <c:idx val="0"/>
              <c:layout>
                <c:manualLayout>
                  <c:x val="0.17022559813856245"/>
                  <c:y val="-1.1601165493079884E-2"/>
                </c:manualLayout>
              </c:layou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87-42A4-9203-A42630EBC4FE}"/>
                </c:ext>
              </c:extLst>
            </c:dLbl>
            <c:dLbl>
              <c:idx val="1"/>
              <c:layout>
                <c:manualLayout>
                  <c:x val="-0.12795334603517172"/>
                  <c:y val="-6.22994207221894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CEB4-4F72-8BA2-B578FF5117C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 / A1+</c:v>
                </c:pt>
                <c:pt idx="1">
                  <c:v>AA+</c:v>
                </c:pt>
              </c:strCache>
            </c:strRef>
          </c:cat>
          <c:val>
            <c:numRef>
              <c:f>'BANDHAN LDF'!$H$8:$H$9</c:f>
              <c:numCache>
                <c:formatCode>0.00%</c:formatCode>
                <c:ptCount val="2"/>
                <c:pt idx="0">
                  <c:v>0.95311100000000004</c:v>
                </c:pt>
                <c:pt idx="1">
                  <c:v>4.6889E-2</c:v>
                </c:pt>
              </c:numCache>
            </c:numRef>
          </c:val>
          <c:extLst>
            <c:ext xmlns:c16="http://schemas.microsoft.com/office/drawing/2014/chart" uri="{C3380CC4-5D6E-409C-BE32-E72D297353CC}">
              <c16:uniqueId val="{0000000C-4F87-42A4-9203-A42630EBC4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3C-4130-8C0A-D91B9C21B127}"/>
                </c:ext>
              </c:extLst>
            </c:dLbl>
            <c:dLbl>
              <c:idx val="1"/>
              <c:layout>
                <c:manualLayout>
                  <c:x val="5.9724578057293157E-2"/>
                  <c:y val="-1.87892311506664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13C-4130-8C0A-D91B9C21B127}"/>
                </c:ext>
              </c:extLst>
            </c:dLbl>
            <c:dLbl>
              <c:idx val="2"/>
              <c:layout>
                <c:manualLayout>
                  <c:x val="2.9774401861437556E-2"/>
                  <c:y val="-0.168693392153342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13C-4130-8C0A-D91B9C21B127}"/>
                </c:ext>
              </c:extLst>
            </c:dLbl>
            <c:dLbl>
              <c:idx val="3"/>
              <c:layout>
                <c:manualLayout>
                  <c:x val="0.12668701208922761"/>
                  <c:y val="-5.888156488582249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13C-4130-8C0A-D91B9C21B127}"/>
                </c:ext>
              </c:extLst>
            </c:dLbl>
            <c:dLbl>
              <c:idx val="4"/>
              <c:layout>
                <c:manualLayout>
                  <c:x val="0.31625537439511708"/>
                  <c:y val="0.224388075269092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13C-4130-8C0A-D91B9C21B12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13C-4130-8C0A-D91B9C21B127}"/>
                </c:ext>
              </c:extLst>
            </c:dLbl>
            <c:dLbl>
              <c:idx val="6"/>
              <c:layout>
                <c:manualLayout>
                  <c:x val="0"/>
                  <c:y val="-0.395114177503056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13C-4130-8C0A-D91B9C21B127}"/>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13C-4130-8C0A-D91B9C21B127}"/>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813C-4130-8C0A-D91B9C21B12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Zero Coupon Bond</c:v>
                </c:pt>
              </c:strCache>
            </c:strRef>
          </c:cat>
          <c:val>
            <c:numRef>
              <c:f>'BANDHAN LDF'!$K$9:$K$17</c:f>
              <c:numCache>
                <c:formatCode>0.00%</c:formatCode>
                <c:ptCount val="9"/>
                <c:pt idx="0">
                  <c:v>-2.2037000000000001E-2</c:v>
                </c:pt>
                <c:pt idx="1">
                  <c:v>1.916E-3</c:v>
                </c:pt>
                <c:pt idx="2">
                  <c:v>0.21834400000000001</c:v>
                </c:pt>
                <c:pt idx="3">
                  <c:v>0.44281800000000004</c:v>
                </c:pt>
                <c:pt idx="4">
                  <c:v>1.8190999999999999E-2</c:v>
                </c:pt>
                <c:pt idx="5">
                  <c:v>3.0209999999999998E-3</c:v>
                </c:pt>
                <c:pt idx="6">
                  <c:v>1.371E-3</c:v>
                </c:pt>
                <c:pt idx="7">
                  <c:v>0.30778100000000003</c:v>
                </c:pt>
                <c:pt idx="8">
                  <c:v>2.8594999999999999E-2</c:v>
                </c:pt>
              </c:numCache>
            </c:numRef>
          </c:val>
          <c:extLst>
            <c:ext xmlns:c16="http://schemas.microsoft.com/office/drawing/2014/chart" uri="{C3380CC4-5D6E-409C-BE32-E72D297353CC}">
              <c16:uniqueId val="{0000000C-813C-4130-8C0A-D91B9C21B12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0D-43E8-9B8C-DBADA4689E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 / A1+</c:v>
                </c:pt>
              </c:strCache>
            </c:strRef>
          </c:cat>
          <c:val>
            <c:numRef>
              <c:f>'BANDHAN MMF'!$H$8</c:f>
              <c:numCache>
                <c:formatCode>0%</c:formatCode>
                <c:ptCount val="1"/>
                <c:pt idx="0">
                  <c:v>1</c:v>
                </c:pt>
              </c:numCache>
            </c:numRef>
          </c:val>
          <c:extLst>
            <c:ext xmlns:c16="http://schemas.microsoft.com/office/drawing/2014/chart" uri="{C3380CC4-5D6E-409C-BE32-E72D297353CC}">
              <c16:uniqueId val="{0000000C-7A0D-43E8-9B8C-DBADA4689E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22391154799440219"/>
                  <c:y val="-5.73290441652077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B6-4BC0-97D3-79614E9E337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0B6-4BC0-97D3-79614E9E337D}"/>
                </c:ext>
              </c:extLst>
            </c:dLbl>
            <c:dLbl>
              <c:idx val="2"/>
              <c:layout>
                <c:manualLayout>
                  <c:x val="5.0506668465157062E-3"/>
                  <c:y val="0.105305516985623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0B6-4BC0-97D3-79614E9E337D}"/>
                </c:ext>
              </c:extLst>
            </c:dLbl>
            <c:dLbl>
              <c:idx val="3"/>
              <c:layout>
                <c:manualLayout>
                  <c:x val="-4.7403429496366487E-3"/>
                  <c:y val="-0.239389397245388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0B6-4BC0-97D3-79614E9E337D}"/>
                </c:ext>
              </c:extLst>
            </c:dLbl>
            <c:dLbl>
              <c:idx val="4"/>
              <c:layout>
                <c:manualLayout>
                  <c:x val="-8.3514306429041119E-2"/>
                  <c:y val="0.604601943924588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0B6-4BC0-97D3-79614E9E337D}"/>
                </c:ext>
              </c:extLst>
            </c:dLbl>
            <c:dLbl>
              <c:idx val="5"/>
              <c:layout>
                <c:manualLayout>
                  <c:x val="-1.8097421976428534E-2"/>
                  <c:y val="-3.2504419970504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0B6-4BC0-97D3-79614E9E337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0B6-4BC0-97D3-79614E9E337D}"/>
                </c:ext>
              </c:extLst>
            </c:dLbl>
            <c:dLbl>
              <c:idx val="7"/>
              <c:layout>
                <c:manualLayout>
                  <c:x val="0.12244482287679778"/>
                  <c:y val="-5.39890126001500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0B6-4BC0-97D3-79614E9E33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-9.6865999999999994E-2</c:v>
                </c:pt>
                <c:pt idx="1">
                  <c:v>6.2160000000000002E-3</c:v>
                </c:pt>
                <c:pt idx="2">
                  <c:v>0.76270600000000011</c:v>
                </c:pt>
                <c:pt idx="3">
                  <c:v>0.16118299999999999</c:v>
                </c:pt>
                <c:pt idx="4">
                  <c:v>1.707E-3</c:v>
                </c:pt>
                <c:pt idx="5">
                  <c:v>1.7892000000000002E-2</c:v>
                </c:pt>
                <c:pt idx="6">
                  <c:v>0.131212</c:v>
                </c:pt>
                <c:pt idx="7">
                  <c:v>1.5949999999999999E-2</c:v>
                </c:pt>
              </c:numCache>
            </c:numRef>
          </c:val>
          <c:extLst>
            <c:ext xmlns:c16="http://schemas.microsoft.com/office/drawing/2014/chart" uri="{C3380CC4-5D6E-409C-BE32-E72D297353CC}">
              <c16:uniqueId val="{0000000C-90B6-4BC0-97D3-79614E9E33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USTF'!$H$8</c:f>
              <c:strCache>
                <c:ptCount val="1"/>
                <c:pt idx="0">
                  <c:v>96.31%</c:v>
                </c:pt>
              </c:strCache>
            </c:strRef>
          </c:tx>
          <c:dLbls>
            <c:dLbl>
              <c:idx val="0"/>
              <c:layout>
                <c:manualLayout>
                  <c:x val="0.20557461768028462"/>
                  <c:y val="-2.1393388601755176E-2"/>
                </c:manualLayout>
              </c:layou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A0-4405-8325-0F9F513DBDC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8B7F-448B-A097-015647143F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 / A1+</c:v>
                </c:pt>
                <c:pt idx="1">
                  <c:v>AA+</c:v>
                </c:pt>
              </c:strCache>
            </c:strRef>
          </c:cat>
          <c:val>
            <c:numRef>
              <c:f>'BANDHAN USTF'!$H$8:$H$9</c:f>
              <c:numCache>
                <c:formatCode>0.00%</c:formatCode>
                <c:ptCount val="2"/>
                <c:pt idx="0">
                  <c:v>0.96305300000000005</c:v>
                </c:pt>
                <c:pt idx="1">
                  <c:v>3.6947000000000001E-2</c:v>
                </c:pt>
              </c:numCache>
            </c:numRef>
          </c:val>
          <c:extLst>
            <c:ext xmlns:c16="http://schemas.microsoft.com/office/drawing/2014/chart" uri="{C3380CC4-5D6E-409C-BE32-E72D297353CC}">
              <c16:uniqueId val="{0000000C-BEA0-4405-8325-0F9F513DBD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CAD-468A-A440-EC8AE5F70C8D}"/>
                </c:ext>
              </c:extLst>
            </c:dLbl>
            <c:dLbl>
              <c:idx val="1"/>
              <c:layout>
                <c:manualLayout>
                  <c:x val="0.24893253974944782"/>
                  <c:y val="-0.131967474653903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CAD-468A-A440-EC8AE5F70C8D}"/>
                </c:ext>
              </c:extLst>
            </c:dLbl>
            <c:dLbl>
              <c:idx val="2"/>
              <c:layout>
                <c:manualLayout>
                  <c:x val="-4.7754303731305535E-2"/>
                  <c:y val="0.30716552587789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CAD-468A-A440-EC8AE5F70C8D}"/>
                </c:ext>
              </c:extLst>
            </c:dLbl>
            <c:dLbl>
              <c:idx val="3"/>
              <c:layout>
                <c:manualLayout>
                  <c:x val="0.32323610244650902"/>
                  <c:y val="0.225661400168116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CAD-468A-A440-EC8AE5F70C8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CAD-468A-A440-EC8AE5F70C8D}"/>
                </c:ext>
              </c:extLst>
            </c:dLbl>
            <c:dLbl>
              <c:idx val="5"/>
              <c:layout>
                <c:manualLayout>
                  <c:x val="-0.1522376030619299"/>
                  <c:y val="0.652481430017326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CAD-468A-A440-EC8AE5F70C8D}"/>
                </c:ext>
              </c:extLst>
            </c:dLbl>
            <c:dLbl>
              <c:idx val="6"/>
              <c:layout>
                <c:manualLayout>
                  <c:x val="-0.18525299701563"/>
                  <c:y val="-0.16886590156622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CAD-468A-A440-EC8AE5F70C8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CAD-468A-A440-EC8AE5F70C8D}"/>
                </c:ext>
              </c:extLst>
            </c:dLbl>
            <c:dLbl>
              <c:idx val="8"/>
              <c:layout>
                <c:manualLayout>
                  <c:x val="0.24999730226441189"/>
                  <c:y val="-1.65285711835040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2CAD-468A-A440-EC8AE5F70C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USTF'!$J$9:$J$17</c:f>
              <c:strCache>
                <c:ptCount val="9"/>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pt idx="8">
                  <c:v>Zero Coupon Bond</c:v>
                </c:pt>
              </c:strCache>
            </c:strRef>
          </c:cat>
          <c:val>
            <c:numRef>
              <c:f>'BANDHAN USTF'!$K$9:$K$17</c:f>
              <c:numCache>
                <c:formatCode>0.00%</c:formatCode>
                <c:ptCount val="9"/>
                <c:pt idx="0">
                  <c:v>2.0200000000000001E-3</c:v>
                </c:pt>
                <c:pt idx="1">
                  <c:v>7.7593999999999996E-2</c:v>
                </c:pt>
                <c:pt idx="2">
                  <c:v>0.400117</c:v>
                </c:pt>
                <c:pt idx="3">
                  <c:v>0.36672099999999996</c:v>
                </c:pt>
                <c:pt idx="4">
                  <c:v>7.4053999999999995E-2</c:v>
                </c:pt>
                <c:pt idx="5">
                  <c:v>2.702E-3</c:v>
                </c:pt>
                <c:pt idx="6">
                  <c:v>5.0560000000000001E-2</c:v>
                </c:pt>
                <c:pt idx="7">
                  <c:v>1.9782999999999999E-2</c:v>
                </c:pt>
                <c:pt idx="8">
                  <c:v>6.4489999999999999E-3</c:v>
                </c:pt>
              </c:numCache>
            </c:numRef>
          </c:val>
          <c:extLst>
            <c:ext xmlns:c16="http://schemas.microsoft.com/office/drawing/2014/chart" uri="{C3380CC4-5D6E-409C-BE32-E72D297353CC}">
              <c16:uniqueId val="{0000000C-2CAD-468A-A440-EC8AE5F70C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5E-45BA-A802-26F15047B4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D15E-45BA-A802-26F15047B4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0D-49B4-B573-47DB0EC9BCD8}"/>
                </c:ext>
              </c:extLst>
            </c:dLbl>
            <c:dLbl>
              <c:idx val="1"/>
              <c:layout>
                <c:manualLayout>
                  <c:x val="-0.35132248056787335"/>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0D-49B4-B573-47DB0EC9BCD8}"/>
                </c:ext>
              </c:extLst>
            </c:dLbl>
            <c:dLbl>
              <c:idx val="2"/>
              <c:layout>
                <c:manualLayout>
                  <c:x val="0.1747903353622553"/>
                  <c:y val="3.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0D-49B4-B573-47DB0EC9BCD8}"/>
                </c:ext>
              </c:extLst>
            </c:dLbl>
            <c:dLbl>
              <c:idx val="3"/>
              <c:layout>
                <c:manualLayout>
                  <c:x val="-0.24310037262472811"/>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90D-49B4-B573-47DB0EC9BC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1.5885E-2</c:v>
                </c:pt>
                <c:pt idx="1">
                  <c:v>1.7340000000000001E-3</c:v>
                </c:pt>
                <c:pt idx="2">
                  <c:v>2.1080000000000001E-3</c:v>
                </c:pt>
                <c:pt idx="3">
                  <c:v>0.98027299999999995</c:v>
                </c:pt>
              </c:numCache>
            </c:numRef>
          </c:val>
          <c:extLst>
            <c:ext xmlns:c16="http://schemas.microsoft.com/office/drawing/2014/chart" uri="{C3380CC4-5D6E-409C-BE32-E72D297353CC}">
              <c16:uniqueId val="{0000000C-190D-49B4-B573-47DB0EC9BC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3A-43C6-AA9F-72F6ABF53B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5C3A-43C6-AA9F-72F6ABF53B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9D-4134-B570-A618B4E2ED69}"/>
                </c:ext>
              </c:extLst>
            </c:dLbl>
            <c:dLbl>
              <c:idx val="1"/>
              <c:layout>
                <c:manualLayout>
                  <c:x val="-0.41632467247803873"/>
                  <c:y val="-1.10104698451155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99D-4134-B570-A618B4E2ED6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99D-4134-B570-A618B4E2ED6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99D-4134-B570-A618B4E2ED6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99D-4134-B570-A618B4E2ED69}"/>
                </c:ext>
              </c:extLst>
            </c:dLbl>
            <c:dLbl>
              <c:idx val="5"/>
              <c:layout>
                <c:manualLayout>
                  <c:x val="5.7979143131733801E-2"/>
                  <c:y val="0.215509215194254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99D-4134-B570-A618B4E2ED6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IP'!$K$9:$K$14</c:f>
              <c:numCache>
                <c:formatCode>0.00%</c:formatCode>
                <c:ptCount val="6"/>
                <c:pt idx="0">
                  <c:v>2.0230999999999999E-2</c:v>
                </c:pt>
                <c:pt idx="1">
                  <c:v>1.0958000000000001E-2</c:v>
                </c:pt>
                <c:pt idx="2">
                  <c:v>0.11781999999999999</c:v>
                </c:pt>
                <c:pt idx="3">
                  <c:v>0.19340399999999999</c:v>
                </c:pt>
                <c:pt idx="4">
                  <c:v>2.6849999999999999E-3</c:v>
                </c:pt>
                <c:pt idx="5">
                  <c:v>0.65490199999999998</c:v>
                </c:pt>
              </c:numCache>
            </c:numRef>
          </c:val>
          <c:extLst>
            <c:ext xmlns:c16="http://schemas.microsoft.com/office/drawing/2014/chart" uri="{C3380CC4-5D6E-409C-BE32-E72D297353CC}">
              <c16:uniqueId val="{0000000C-E99D-4134-B570-A618B4E2ED6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21-4B3D-8B8D-3943471787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3421-4B3D-8B8D-3943471787D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A88-4474-B386-B2E02CDE7CB2}"/>
                </c:ext>
              </c:extLst>
            </c:dLbl>
            <c:dLbl>
              <c:idx val="1"/>
              <c:layout>
                <c:manualLayout>
                  <c:x val="-0.29349516936721237"/>
                  <c:y val="-1.90172953271670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A88-4474-B386-B2E02CDE7CB2}"/>
                </c:ext>
              </c:extLst>
            </c:dLbl>
            <c:dLbl>
              <c:idx val="2"/>
              <c:layout>
                <c:manualLayout>
                  <c:x val="-8.4403294609587079E-2"/>
                  <c:y val="-0.194686242822267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A88-4474-B386-B2E02CDE7CB2}"/>
                </c:ext>
              </c:extLst>
            </c:dLbl>
            <c:dLbl>
              <c:idx val="3"/>
              <c:layout>
                <c:manualLayout>
                  <c:x val="-3.0141884031091401E-2"/>
                  <c:y val="-0.467451088264621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A88-4474-B386-B2E02CDE7CB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A88-4474-B386-B2E02CDE7CB2}"/>
                </c:ext>
              </c:extLst>
            </c:dLbl>
            <c:dLbl>
              <c:idx val="5"/>
              <c:layout>
                <c:manualLayout>
                  <c:x val="0.15246522450218347"/>
                  <c:y val="0.32024756730736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A88-4474-B386-B2E02CDE7CB2}"/>
                </c:ext>
              </c:extLst>
            </c:dLbl>
            <c:dLbl>
              <c:idx val="6"/>
              <c:layout>
                <c:manualLayout>
                  <c:x val="-0.36937977372742753"/>
                  <c:y val="-2.66592167245469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A88-4474-B386-B2E02CDE7C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MT'!$K$9:$K$15</c:f>
              <c:numCache>
                <c:formatCode>0.00%</c:formatCode>
                <c:ptCount val="7"/>
                <c:pt idx="0">
                  <c:v>1.4470999999999999E-2</c:v>
                </c:pt>
                <c:pt idx="1">
                  <c:v>2.1649999999999998E-3</c:v>
                </c:pt>
                <c:pt idx="2">
                  <c:v>0.17802299999999999</c:v>
                </c:pt>
                <c:pt idx="3">
                  <c:v>0.27377600000000002</c:v>
                </c:pt>
                <c:pt idx="4">
                  <c:v>3.4849999999999998E-3</c:v>
                </c:pt>
                <c:pt idx="5">
                  <c:v>0.52673400000000004</c:v>
                </c:pt>
                <c:pt idx="6">
                  <c:v>1.346E-3</c:v>
                </c:pt>
              </c:numCache>
            </c:numRef>
          </c:val>
          <c:extLst>
            <c:ext xmlns:c16="http://schemas.microsoft.com/office/drawing/2014/chart" uri="{C3380CC4-5D6E-409C-BE32-E72D297353CC}">
              <c16:uniqueId val="{0000000C-BA88-4474-B386-B2E02CDE7C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79-4CF3-86D7-E69D492665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9779-4CF3-86D7-E69D492665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8B3-4CA6-A250-05B73B32A2BD}"/>
                </c:ext>
              </c:extLst>
            </c:dLbl>
            <c:dLbl>
              <c:idx val="1"/>
              <c:layout>
                <c:manualLayout>
                  <c:x val="-0.30742880507174292"/>
                  <c:y val="-1.51008426578256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8B3-4CA6-A250-05B73B32A2B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8B3-4CA6-A250-05B73B32A2BD}"/>
                </c:ext>
              </c:extLst>
            </c:dLbl>
            <c:dLbl>
              <c:idx val="3"/>
              <c:layout>
                <c:manualLayout>
                  <c:x val="-2.2313982700770542E-2"/>
                  <c:y val="8.6176612791822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8B3-4CA6-A250-05B73B32A2B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8B3-4CA6-A250-05B73B32A2BD}"/>
                </c:ext>
              </c:extLst>
            </c:dLbl>
            <c:dLbl>
              <c:idx val="5"/>
              <c:layout>
                <c:manualLayout>
                  <c:x val="1.6329730732266603E-4"/>
                  <c:y val="-0.16944950960077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8B3-4CA6-A250-05B73B32A2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ST'!$K$9:$K$14</c:f>
              <c:numCache>
                <c:formatCode>0.00%</c:formatCode>
                <c:ptCount val="6"/>
                <c:pt idx="0">
                  <c:v>2.3220999999999999E-2</c:v>
                </c:pt>
                <c:pt idx="1">
                  <c:v>5.1710000000000002E-3</c:v>
                </c:pt>
                <c:pt idx="2">
                  <c:v>0.16969699999999999</c:v>
                </c:pt>
                <c:pt idx="3">
                  <c:v>0.41508099999999998</c:v>
                </c:pt>
                <c:pt idx="4">
                  <c:v>2.6540000000000001E-3</c:v>
                </c:pt>
                <c:pt idx="5">
                  <c:v>0.38417600000000002</c:v>
                </c:pt>
              </c:numCache>
            </c:numRef>
          </c:val>
          <c:extLst>
            <c:ext xmlns:c16="http://schemas.microsoft.com/office/drawing/2014/chart" uri="{C3380CC4-5D6E-409C-BE32-E72D297353CC}">
              <c16:uniqueId val="{0000000C-B8B3-4CA6-A250-05B73B32A2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331829907771167"/>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5B-4B7B-8FA1-79675CC7E0F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035B-4B7B-8FA1-79675CC7E0F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F0-4E2D-B7A0-73A81A25776C}"/>
                </c:ext>
              </c:extLst>
            </c:dLbl>
            <c:dLbl>
              <c:idx val="1"/>
              <c:layout>
                <c:manualLayout>
                  <c:x val="5.3005193141007267E-2"/>
                  <c:y val="-1.67325879845129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6F0-4E2D-B7A0-73A81A25776C}"/>
                </c:ext>
              </c:extLst>
            </c:dLbl>
            <c:dLbl>
              <c:idx val="2"/>
              <c:layout>
                <c:manualLayout>
                  <c:x val="8.3279940649817058E-2"/>
                  <c:y val="-0.139139861660938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6F0-4E2D-B7A0-73A81A25776C}"/>
                </c:ext>
              </c:extLst>
            </c:dLbl>
            <c:dLbl>
              <c:idx val="3"/>
              <c:layout>
                <c:manualLayout>
                  <c:x val="0.14920720295402046"/>
                  <c:y val="3.68476095184234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6F0-4E2D-B7A0-73A81A25776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6F0-4E2D-B7A0-73A81A25776C}"/>
                </c:ext>
              </c:extLst>
            </c:dLbl>
            <c:dLbl>
              <c:idx val="5"/>
              <c:layout>
                <c:manualLayout>
                  <c:x val="-7.3329764453961457E-2"/>
                  <c:y val="-0.142079958237264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6F0-4E2D-B7A0-73A81A25776C}"/>
                </c:ext>
              </c:extLst>
            </c:dLbl>
            <c:dLbl>
              <c:idx val="6"/>
              <c:layout>
                <c:manualLayout>
                  <c:x val="-0.20262388507646395"/>
                  <c:y val="-2.24251968503937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6F0-4E2D-B7A0-73A81A2577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2.5034000000000001E-2</c:v>
                </c:pt>
                <c:pt idx="1">
                  <c:v>3.9230000000000003E-3</c:v>
                </c:pt>
                <c:pt idx="2">
                  <c:v>0.174926</c:v>
                </c:pt>
                <c:pt idx="3">
                  <c:v>0.52467799999999998</c:v>
                </c:pt>
                <c:pt idx="4">
                  <c:v>2.8219999999999999E-3</c:v>
                </c:pt>
                <c:pt idx="5">
                  <c:v>0.26852700000000002</c:v>
                </c:pt>
                <c:pt idx="6">
                  <c:v>9.0000000000000006E-5</c:v>
                </c:pt>
              </c:numCache>
            </c:numRef>
          </c:val>
          <c:extLst>
            <c:ext xmlns:c16="http://schemas.microsoft.com/office/drawing/2014/chart" uri="{C3380CC4-5D6E-409C-BE32-E72D297353CC}">
              <c16:uniqueId val="{0000000C-86F0-4E2D-B7A0-73A81A2577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3.333333333333333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B04-4443-8F5E-F7A63EFD11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7B04-4443-8F5E-F7A63EFD11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16227149336525645"/>
                  <c:y val="-2.1772822951586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FE-49A4-8B69-A0F44E0690CC}"/>
                </c:ext>
              </c:extLst>
            </c:dLbl>
            <c:dLbl>
              <c:idx val="1"/>
              <c:layout>
                <c:manualLayout>
                  <c:x val="0.28230588949400598"/>
                  <c:y val="-6.12142789082057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AFE-49A4-8B69-A0F44E0690CC}"/>
                </c:ext>
              </c:extLst>
            </c:dLbl>
            <c:dLbl>
              <c:idx val="2"/>
              <c:layout>
                <c:manualLayout>
                  <c:x val="-7.350376839939976E-2"/>
                  <c:y val="0.14454752561870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AFE-49A4-8B69-A0F44E0690C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AFE-49A4-8B69-A0F44E0690CC}"/>
                </c:ext>
              </c:extLst>
            </c:dLbl>
            <c:dLbl>
              <c:idx val="4"/>
              <c:layout>
                <c:manualLayout>
                  <c:x val="-7.622241143839889E-2"/>
                  <c:y val="-0.182178217821782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AFE-49A4-8B69-A0F44E0690CC}"/>
                </c:ext>
              </c:extLst>
            </c:dLbl>
            <c:dLbl>
              <c:idx val="5"/>
              <c:layout>
                <c:manualLayout>
                  <c:x val="-0.30803335075620902"/>
                  <c:y val="-7.23778834576370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AFE-49A4-8B69-A0F44E0690C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AFE-49A4-8B69-A0F44E0690C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AFE-49A4-8B69-A0F44E0690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CBF'!$J$9:$J$16</c:f>
              <c:strCache>
                <c:ptCount val="8"/>
                <c:pt idx="0">
                  <c:v>Net Current Asset</c:v>
                </c:pt>
                <c:pt idx="1">
                  <c:v>TRI Party Repo</c:v>
                </c:pt>
                <c:pt idx="2">
                  <c:v>Corporate Bond</c:v>
                </c:pt>
                <c:pt idx="3">
                  <c:v>Corporate Debt Market Development Fund</c:v>
                </c:pt>
                <c:pt idx="4">
                  <c:v>Government Bond</c:v>
                </c:pt>
                <c:pt idx="6">
                  <c:v>State Government Bond</c:v>
                </c:pt>
                <c:pt idx="7">
                  <c:v>Zero Coupon Bond</c:v>
                </c:pt>
              </c:strCache>
            </c:strRef>
          </c:cat>
          <c:val>
            <c:numRef>
              <c:f>'BANDHAN CBF'!$K$9:$K$16</c:f>
              <c:numCache>
                <c:formatCode>0.00%</c:formatCode>
                <c:ptCount val="8"/>
                <c:pt idx="0">
                  <c:v>2.2602000000000001E-2</c:v>
                </c:pt>
                <c:pt idx="1">
                  <c:v>8.5649999999999997E-3</c:v>
                </c:pt>
                <c:pt idx="2">
                  <c:v>0.69034800000000007</c:v>
                </c:pt>
                <c:pt idx="3">
                  <c:v>2.882E-3</c:v>
                </c:pt>
                <c:pt idx="4">
                  <c:v>0.274594</c:v>
                </c:pt>
                <c:pt idx="6">
                  <c:v>1.7899999999999999E-4</c:v>
                </c:pt>
                <c:pt idx="7">
                  <c:v>8.3000000000000001E-4</c:v>
                </c:pt>
              </c:numCache>
            </c:numRef>
          </c:val>
          <c:extLst>
            <c:ext xmlns:c16="http://schemas.microsoft.com/office/drawing/2014/chart" uri="{C3380CC4-5D6E-409C-BE32-E72D297353CC}">
              <c16:uniqueId val="{0000000C-CAFE-49A4-8B69-A0F44E0690C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4445952553575344E-2"/>
                  <c:y val="0.269034562051425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92920353982302"/>
                    </c:manualLayout>
                  </c15:layout>
                </c:ext>
                <c:ext xmlns:c16="http://schemas.microsoft.com/office/drawing/2014/chart" uri="{C3380CC4-5D6E-409C-BE32-E72D297353CC}">
                  <c16:uniqueId val="{0000000D-EDD9-4528-AD19-5D95E1945BA0}"/>
                </c:ext>
              </c:extLst>
            </c:dLbl>
            <c:dLbl>
              <c:idx val="1"/>
              <c:layout>
                <c:manualLayout>
                  <c:x val="1.3021969684196328E-2"/>
                  <c:y val="-0.343675702041669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DD9-4528-AD19-5D95E1945BA0}"/>
                </c:ext>
              </c:extLst>
            </c:dLbl>
            <c:dLbl>
              <c:idx val="2"/>
              <c:layout>
                <c:manualLayout>
                  <c:x val="3.6828643207607613E-2"/>
                  <c:y val="-8.59999303184447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DD9-4528-AD19-5D95E1945B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0.58267400000000003</c:v>
                </c:pt>
                <c:pt idx="1">
                  <c:v>0.26296999999999998</c:v>
                </c:pt>
                <c:pt idx="2">
                  <c:v>0.15435599999999999</c:v>
                </c:pt>
              </c:numCache>
            </c:numRef>
          </c:val>
          <c:extLst>
            <c:ext xmlns:c16="http://schemas.microsoft.com/office/drawing/2014/chart" uri="{C3380CC4-5D6E-409C-BE32-E72D297353CC}">
              <c16:uniqueId val="{0000000C-EDD9-4528-AD19-5D95E1945B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00-4813-A0AF-71BCC8BE8F2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200-4813-A0AF-71BCC8BE8F2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200-4813-A0AF-71BCC8BE8F2F}"/>
                </c:ext>
              </c:extLst>
            </c:dLbl>
            <c:dLbl>
              <c:idx val="3"/>
              <c:layout>
                <c:manualLayout>
                  <c:x val="-8.4745738420813024E-2"/>
                  <c:y val="0.1425917638820093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200-4813-A0AF-71BCC8BE8F2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200-4813-A0AF-71BCC8BE8F2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200-4813-A0AF-71BCC8BE8F2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200-4813-A0AF-71BCC8BE8F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FRF'!$K$9:$K$15</c:f>
              <c:numCache>
                <c:formatCode>0.00%</c:formatCode>
                <c:ptCount val="7"/>
                <c:pt idx="0">
                  <c:v>2.3727000000000002E-2</c:v>
                </c:pt>
                <c:pt idx="1">
                  <c:v>3.0460000000000001E-2</c:v>
                </c:pt>
                <c:pt idx="2">
                  <c:v>3.0199E-2</c:v>
                </c:pt>
                <c:pt idx="3">
                  <c:v>0.58550800000000003</c:v>
                </c:pt>
                <c:pt idx="4">
                  <c:v>2.7989999999999998E-3</c:v>
                </c:pt>
                <c:pt idx="5">
                  <c:v>0.32730599999999999</c:v>
                </c:pt>
              </c:numCache>
            </c:numRef>
          </c:val>
          <c:extLst>
            <c:ext xmlns:c16="http://schemas.microsoft.com/office/drawing/2014/chart" uri="{C3380CC4-5D6E-409C-BE32-E72D297353CC}">
              <c16:uniqueId val="{0000000C-A200-4813-A0AF-71BCC8BE8F2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4.4338886172419024E-2"/>
                  <c:y val="0.235702591140865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2F-4C14-B92F-CBB0458D8953}"/>
                </c:ext>
              </c:extLst>
            </c:dLbl>
            <c:dLbl>
              <c:idx val="1"/>
              <c:layout>
                <c:manualLayout>
                  <c:x val="1.1084068185266999E-2"/>
                  <c:y val="-0.202560962919282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262843750526904"/>
                      <c:h val="0.16519823788546256"/>
                    </c:manualLayout>
                  </c15:layout>
                </c:ext>
                <c:ext xmlns:c16="http://schemas.microsoft.com/office/drawing/2014/chart" uri="{C3380CC4-5D6E-409C-BE32-E72D297353CC}">
                  <c16:uniqueId val="{0000000E-972F-4C14-B92F-CBB0458D895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72F-4C14-B92F-CBB0458D895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0.63550700000000004</c:v>
                </c:pt>
                <c:pt idx="1">
                  <c:v>0.27137899999999998</c:v>
                </c:pt>
                <c:pt idx="2">
                  <c:v>9.3114000000000002E-2</c:v>
                </c:pt>
              </c:numCache>
            </c:numRef>
          </c:val>
          <c:extLst>
            <c:ext xmlns:c16="http://schemas.microsoft.com/office/drawing/2014/chart" uri="{C3380CC4-5D6E-409C-BE32-E72D297353CC}">
              <c16:uniqueId val="{0000000C-972F-4C14-B92F-CBB0458D895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E3-4761-8D1E-49FAB4BFD63F}"/>
                </c:ext>
              </c:extLst>
            </c:dLbl>
            <c:dLbl>
              <c:idx val="1"/>
              <c:layout>
                <c:manualLayout>
                  <c:x val="0.14390396061306041"/>
                  <c:y val="-2.3098381933027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CE3-4761-8D1E-49FAB4BFD63F}"/>
                </c:ext>
              </c:extLst>
            </c:dLbl>
            <c:dLbl>
              <c:idx val="2"/>
              <c:layout>
                <c:manualLayout>
                  <c:x val="-7.1862111989748609E-2"/>
                  <c:y val="9.72328458942632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CE3-4761-8D1E-49FAB4BFD63F}"/>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CE3-4761-8D1E-49FAB4BFD63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CE3-4761-8D1E-49FAB4BFD6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2.0143000000000001E-2</c:v>
                </c:pt>
                <c:pt idx="1">
                  <c:v>7.234E-3</c:v>
                </c:pt>
                <c:pt idx="2">
                  <c:v>0.72862099999999996</c:v>
                </c:pt>
                <c:pt idx="3">
                  <c:v>4.5490000000000001E-3</c:v>
                </c:pt>
                <c:pt idx="4">
                  <c:v>0.239453</c:v>
                </c:pt>
              </c:numCache>
            </c:numRef>
          </c:val>
          <c:extLst>
            <c:ext xmlns:c16="http://schemas.microsoft.com/office/drawing/2014/chart" uri="{C3380CC4-5D6E-409C-BE32-E72D297353CC}">
              <c16:uniqueId val="{0000000C-3CE3-4761-8D1E-49FAB4BFD6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AD-47D2-9319-ACA911B609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55AD-47D2-9319-ACA911B609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9C-41C9-8E9E-E0F4BC14DD21}"/>
                </c:ext>
              </c:extLst>
            </c:dLbl>
            <c:dLbl>
              <c:idx val="1"/>
              <c:layout>
                <c:manualLayout>
                  <c:x val="-0.30480298099782493"/>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89C-41C9-8E9E-E0F4BC14DD21}"/>
                </c:ext>
              </c:extLst>
            </c:dLbl>
            <c:dLbl>
              <c:idx val="2"/>
              <c:layout>
                <c:manualLayout>
                  <c:x val="0.15222723364076288"/>
                  <c:y val="2.61886264216972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89C-41C9-8E9E-E0F4BC14DD21}"/>
                </c:ext>
              </c:extLst>
            </c:dLbl>
            <c:dLbl>
              <c:idx val="3"/>
              <c:layout>
                <c:manualLayout>
                  <c:x val="-0.22723456810939319"/>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89C-41C9-8E9E-E0F4BC14DD2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Dur'!$J$9:$J$12</c:f>
              <c:strCache>
                <c:ptCount val="4"/>
                <c:pt idx="0">
                  <c:v>Net Current Asset</c:v>
                </c:pt>
                <c:pt idx="1">
                  <c:v>TRI Party Repo</c:v>
                </c:pt>
                <c:pt idx="2">
                  <c:v>Corporate Debt Market Development Fund</c:v>
                </c:pt>
                <c:pt idx="3">
                  <c:v>Government Bond</c:v>
                </c:pt>
              </c:strCache>
            </c:strRef>
          </c:cat>
          <c:val>
            <c:numRef>
              <c:f>'BANDHAN Long Dur'!$K$9:$K$12</c:f>
              <c:numCache>
                <c:formatCode>0.00%</c:formatCode>
                <c:ptCount val="4"/>
                <c:pt idx="0">
                  <c:v>1.0070000000000001E-2</c:v>
                </c:pt>
                <c:pt idx="1">
                  <c:v>1.1391E-2</c:v>
                </c:pt>
                <c:pt idx="2">
                  <c:v>1.214E-3</c:v>
                </c:pt>
                <c:pt idx="3">
                  <c:v>0.977325</c:v>
                </c:pt>
              </c:numCache>
            </c:numRef>
          </c:val>
          <c:extLst>
            <c:ext xmlns:c16="http://schemas.microsoft.com/office/drawing/2014/chart" uri="{C3380CC4-5D6E-409C-BE32-E72D297353CC}">
              <c16:uniqueId val="{0000000C-C89C-41C9-8E9E-E0F4BC14DD2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C6-48D8-A37E-9A9614E441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0EC6-48D8-A37E-9A9614E441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714-4E58-BE3F-EBB20C7ACF74}"/>
                </c:ext>
              </c:extLst>
            </c:dLbl>
            <c:dLbl>
              <c:idx val="1"/>
              <c:layout>
                <c:manualLayout>
                  <c:x val="0.11306294154344197"/>
                  <c:y val="5.0775153105861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714-4E58-BE3F-EBB20C7ACF74}"/>
                </c:ext>
              </c:extLst>
            </c:dLbl>
            <c:dLbl>
              <c:idx val="2"/>
              <c:layout>
                <c:manualLayout>
                  <c:x val="-0.27485938053246556"/>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714-4E58-BE3F-EBB20C7ACF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1.8304999999999998E-2</c:v>
                </c:pt>
                <c:pt idx="1">
                  <c:v>6.6399999999999999E-4</c:v>
                </c:pt>
                <c:pt idx="2">
                  <c:v>0.98103099999999999</c:v>
                </c:pt>
              </c:numCache>
            </c:numRef>
          </c:val>
          <c:extLst>
            <c:ext xmlns:c16="http://schemas.microsoft.com/office/drawing/2014/chart" uri="{C3380CC4-5D6E-409C-BE32-E72D297353CC}">
              <c16:uniqueId val="{0000000C-0714-4E58-BE3F-EBB20C7ACF7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3DB-4B18-96FA-CA6AB4DE63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83DB-4B18-96FA-CA6AB4DE63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31-42FD-A66D-C780BA45DF3C}"/>
                </c:ext>
              </c:extLst>
            </c:dLbl>
            <c:dLbl>
              <c:idx val="1"/>
              <c:layout>
                <c:manualLayout>
                  <c:x val="0.13929420492673969"/>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31-42FD-A66D-C780BA45DF3C}"/>
                </c:ext>
              </c:extLst>
            </c:dLbl>
            <c:dLbl>
              <c:idx val="2"/>
              <c:layout>
                <c:manualLayout>
                  <c:x val="-0.24526092161392032"/>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31-42FD-A66D-C780BA45DF3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1.0179000000000001E-2</c:v>
                </c:pt>
                <c:pt idx="1">
                  <c:v>1.5857E-2</c:v>
                </c:pt>
                <c:pt idx="2">
                  <c:v>0.97396400000000005</c:v>
                </c:pt>
              </c:numCache>
            </c:numRef>
          </c:val>
          <c:extLst>
            <c:ext xmlns:c16="http://schemas.microsoft.com/office/drawing/2014/chart" uri="{C3380CC4-5D6E-409C-BE32-E72D297353CC}">
              <c16:uniqueId val="{0000000C-4131-42FD-A66D-C780BA45DF3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236-4AE9-8974-1F7F78BDF8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1236-4AE9-8974-1F7F78BDF8F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3A-4CCF-B7EA-640033605491}"/>
                </c:ext>
              </c:extLst>
            </c:dLbl>
            <c:dLbl>
              <c:idx val="1"/>
              <c:layout>
                <c:manualLayout>
                  <c:x val="0.21532339105363435"/>
                  <c:y val="-1.4747506561679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63A-4CCF-B7EA-640033605491}"/>
                </c:ext>
              </c:extLst>
            </c:dLbl>
            <c:dLbl>
              <c:idx val="2"/>
              <c:layout>
                <c:manualLayout>
                  <c:x val="-0.24499325566102953"/>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63A-4CCF-B7EA-6400336054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2.5451000000000001E-2</c:v>
                </c:pt>
                <c:pt idx="1">
                  <c:v>2.2569999999999999E-3</c:v>
                </c:pt>
                <c:pt idx="2">
                  <c:v>0.97229200000000005</c:v>
                </c:pt>
              </c:numCache>
            </c:numRef>
          </c:val>
          <c:extLst>
            <c:ext xmlns:c16="http://schemas.microsoft.com/office/drawing/2014/chart" uri="{C3380CC4-5D6E-409C-BE32-E72D297353CC}">
              <c16:uniqueId val="{0000000C-863A-4CCF-B7EA-6400336054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A2-416E-BF14-371D415357F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65A2-416E-BF14-371D415357F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352-475B-8D5D-EBC8F660D75C}"/>
                </c:ext>
              </c:extLst>
            </c:dLbl>
            <c:dLbl>
              <c:idx val="1"/>
              <c:layout>
                <c:manualLayout>
                  <c:x val="0.17600397915999258"/>
                  <c:y val="-8.25581802274715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352-475B-8D5D-EBC8F660D75C}"/>
                </c:ext>
              </c:extLst>
            </c:dLbl>
            <c:dLbl>
              <c:idx val="2"/>
              <c:layout>
                <c:manualLayout>
                  <c:x val="-0.25774848673894352"/>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352-475B-8D5D-EBC8F660D7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1.9116000000000001E-2</c:v>
                </c:pt>
                <c:pt idx="1">
                  <c:v>5.6820000000000004E-3</c:v>
                </c:pt>
                <c:pt idx="2">
                  <c:v>0.97520200000000001</c:v>
                </c:pt>
              </c:numCache>
            </c:numRef>
          </c:val>
          <c:extLst>
            <c:ext xmlns:c16="http://schemas.microsoft.com/office/drawing/2014/chart" uri="{C3380CC4-5D6E-409C-BE32-E72D297353CC}">
              <c16:uniqueId val="{0000000C-7352-475B-8D5D-EBC8F660D75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B1-4941-A9DF-9B285094950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82B1-4941-A9DF-9B285094950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layout>
                <c:manualLayout>
                  <c:x val="0.188952435549410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B93-4624-B043-3DD905FA73F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B93-4624-B043-3DD905FA73F6}"/>
                </c:ext>
              </c:extLst>
            </c:dLbl>
            <c:dLbl>
              <c:idx val="2"/>
              <c:layout>
                <c:manualLayout>
                  <c:x val="-0.29011633984724072"/>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B93-4624-B043-3DD905FA73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1.1653E-2</c:v>
                </c:pt>
                <c:pt idx="1">
                  <c:v>5.5230000000000001E-3</c:v>
                </c:pt>
                <c:pt idx="2">
                  <c:v>0.98282400000000003</c:v>
                </c:pt>
              </c:numCache>
            </c:numRef>
          </c:val>
          <c:extLst>
            <c:ext xmlns:c16="http://schemas.microsoft.com/office/drawing/2014/chart" uri="{C3380CC4-5D6E-409C-BE32-E72D297353CC}">
              <c16:uniqueId val="{0000000C-4B93-4624-B043-3DD905FA73F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A67-42B7-9EC8-90F5B06A43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6A67-42B7-9EC8-90F5B06A43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43-4D83-B2F2-1F43D8A813E4}"/>
                </c:ext>
              </c:extLst>
            </c:dLbl>
            <c:dLbl>
              <c:idx val="1"/>
              <c:layout>
                <c:manualLayout>
                  <c:x val="0.15910148544065833"/>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943-4D83-B2F2-1F43D8A813E4}"/>
                </c:ext>
              </c:extLst>
            </c:dLbl>
            <c:dLbl>
              <c:idx val="2"/>
              <c:layout>
                <c:manualLayout>
                  <c:x val="-0.26684912913723041"/>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943-4D83-B2F2-1F43D8A813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1.3143E-2</c:v>
                </c:pt>
                <c:pt idx="1">
                  <c:v>1.1195999999999999E-2</c:v>
                </c:pt>
                <c:pt idx="2">
                  <c:v>0.975661</c:v>
                </c:pt>
              </c:numCache>
            </c:numRef>
          </c:val>
          <c:extLst>
            <c:ext xmlns:c16="http://schemas.microsoft.com/office/drawing/2014/chart" uri="{C3380CC4-5D6E-409C-BE32-E72D297353CC}">
              <c16:uniqueId val="{0000000C-0943-4D83-B2F2-1F43D8A813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AC-4D90-83E5-584CA37D91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14AC-4D90-83E5-584CA37D91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2F-471D-9138-DF42C4E277AE}"/>
                </c:ext>
              </c:extLst>
            </c:dLbl>
            <c:dLbl>
              <c:idx val="1"/>
              <c:layout>
                <c:manualLayout>
                  <c:x val="8.3607378306833624E-2"/>
                  <c:y val="-3.1414173228346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32F-471D-9138-DF42C4E277AE}"/>
                </c:ext>
              </c:extLst>
            </c:dLbl>
            <c:dLbl>
              <c:idx val="2"/>
              <c:layout>
                <c:manualLayout>
                  <c:x val="0.1464233927397191"/>
                  <c:y val="-4.28223972003499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32F-471D-9138-DF42C4E277AE}"/>
                </c:ext>
              </c:extLst>
            </c:dLbl>
            <c:dLbl>
              <c:idx val="3"/>
              <c:layout>
                <c:manualLayout>
                  <c:x val="-2.4290242627594463E-2"/>
                  <c:y val="6.12594925634295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32F-471D-9138-DF42C4E277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1.5751000000000001E-2</c:v>
                </c:pt>
                <c:pt idx="1">
                  <c:v>1.5946999999999999E-2</c:v>
                </c:pt>
                <c:pt idx="2">
                  <c:v>0.12911400000000001</c:v>
                </c:pt>
                <c:pt idx="3">
                  <c:v>0.83918800000000005</c:v>
                </c:pt>
              </c:numCache>
            </c:numRef>
          </c:val>
          <c:extLst>
            <c:ext xmlns:c16="http://schemas.microsoft.com/office/drawing/2014/chart" uri="{C3380CC4-5D6E-409C-BE32-E72D297353CC}">
              <c16:uniqueId val="{0000000C-332F-471D-9138-DF42C4E277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5.458515283842794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6DC-4B77-B103-27EE62A487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C6DC-4B77-B103-27EE62A487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3288910620647793"/>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73-4CA4-89AB-2B00DCB102C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E73-4CA4-89AB-2B00DCB102C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E73-4CA4-89AB-2B00DCB102C3}"/>
                </c:ext>
              </c:extLst>
            </c:dLbl>
            <c:dLbl>
              <c:idx val="3"/>
              <c:layout>
                <c:manualLayout>
                  <c:x val="-7.5334266300224246E-4"/>
                  <c:y val="6.44815398075240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E73-4CA4-89AB-2B00DCB102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1.1083000000000001E-2</c:v>
                </c:pt>
                <c:pt idx="1">
                  <c:v>5.2389999999999997E-3</c:v>
                </c:pt>
                <c:pt idx="2">
                  <c:v>0.16333900000000001</c:v>
                </c:pt>
                <c:pt idx="3">
                  <c:v>0.82033900000000004</c:v>
                </c:pt>
              </c:numCache>
            </c:numRef>
          </c:val>
          <c:extLst>
            <c:ext xmlns:c16="http://schemas.microsoft.com/office/drawing/2014/chart" uri="{C3380CC4-5D6E-409C-BE32-E72D297353CC}">
              <c16:uniqueId val="{0000000C-DE73-4CA4-89AB-2B00DCB102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2C-4332-9951-CCD164695FE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772C-4332-9951-CCD164695FE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99-46E1-B97C-8AA14BD87A6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99-46E1-B97C-8AA14BD87A6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99-46E1-B97C-8AA14BD87A6A}"/>
                </c:ext>
              </c:extLst>
            </c:dLbl>
            <c:dLbl>
              <c:idx val="3"/>
              <c:layout>
                <c:manualLayout>
                  <c:x val="1.9852804801969347E-2"/>
                  <c:y val="0.135160104986876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299-46E1-B97C-8AA14BD87A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-0.101976</c:v>
                </c:pt>
                <c:pt idx="1">
                  <c:v>6.4207E-2</c:v>
                </c:pt>
                <c:pt idx="2">
                  <c:v>0.14377899999999999</c:v>
                </c:pt>
                <c:pt idx="3">
                  <c:v>0.89398999999999995</c:v>
                </c:pt>
              </c:numCache>
            </c:numRef>
          </c:val>
          <c:extLst>
            <c:ext xmlns:c16="http://schemas.microsoft.com/office/drawing/2014/chart" uri="{C3380CC4-5D6E-409C-BE32-E72D297353CC}">
              <c16:uniqueId val="{0000000C-3299-46E1-B97C-8AA14BD87A6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8BC-4EFF-9A70-9352212D62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58BC-4EFF-9A70-9352212D62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CF-4E49-A620-DE8967658F12}"/>
                </c:ext>
              </c:extLst>
            </c:dLbl>
            <c:dLbl>
              <c:idx val="1"/>
              <c:layout>
                <c:manualLayout>
                  <c:x val="0.27382151106914643"/>
                  <c:y val="-1.158915135608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ECF-4E49-A620-DE8967658F12}"/>
                </c:ext>
              </c:extLst>
            </c:dLbl>
            <c:dLbl>
              <c:idx val="2"/>
              <c:layout>
                <c:manualLayout>
                  <c:x val="-0.39721703282806992"/>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ECF-4E49-A620-DE8967658F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-5.7499999999999999E-4</c:v>
                </c:pt>
                <c:pt idx="1">
                  <c:v>1.3929999999999999E-3</c:v>
                </c:pt>
                <c:pt idx="2">
                  <c:v>0.99918200000000001</c:v>
                </c:pt>
              </c:numCache>
            </c:numRef>
          </c:val>
          <c:extLst>
            <c:ext xmlns:c16="http://schemas.microsoft.com/office/drawing/2014/chart" uri="{C3380CC4-5D6E-409C-BE32-E72D297353CC}">
              <c16:uniqueId val="{0000000C-BECF-4E49-A620-DE8967658F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A78-47EE-9F17-ED7BFB4945A2}"/>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A78-47EE-9F17-ED7BFB4945A2}"/>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A78-47EE-9F17-ED7BFB4945A2}"/>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A78-47EE-9F17-ED7BFB4945A2}"/>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0.98646100000000003</c:v>
                </c:pt>
                <c:pt idx="1">
                  <c:v>-2.464E-3</c:v>
                </c:pt>
                <c:pt idx="2">
                  <c:v>1.6003E-2</c:v>
                </c:pt>
              </c:numCache>
            </c:numRef>
          </c:val>
          <c:extLst>
            <c:ext xmlns:c16="http://schemas.microsoft.com/office/drawing/2014/chart" uri="{C3380CC4-5D6E-409C-BE32-E72D297353CC}">
              <c16:uniqueId val="{00000004-DA78-47EE-9F17-ED7BFB4945A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25400</xdr:colOff>
      <xdr:row>7</xdr:row>
      <xdr:rowOff>12700</xdr:rowOff>
    </xdr:from>
    <xdr:to>
      <xdr:col>13</xdr:col>
      <xdr:colOff>571500</xdr:colOff>
      <xdr:row>22</xdr:row>
      <xdr:rowOff>12700</xdr:rowOff>
    </xdr:to>
    <xdr:graphicFrame macro="">
      <xdr:nvGraphicFramePr>
        <xdr:cNvPr id="2" name="Chart 1">
          <a:extLst>
            <a:ext uri="{FF2B5EF4-FFF2-40B4-BE49-F238E27FC236}">
              <a16:creationId xmlns:a16="http://schemas.microsoft.com/office/drawing/2014/main" id="{94BA84DA-A4FA-43AD-AE8B-7AFAD6C77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F4EC288-DF51-4C76-B659-CD83158D6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50801</xdr:rowOff>
    </xdr:from>
    <xdr:to>
      <xdr:col>13</xdr:col>
      <xdr:colOff>546100</xdr:colOff>
      <xdr:row>22</xdr:row>
      <xdr:rowOff>50801</xdr:rowOff>
    </xdr:to>
    <xdr:graphicFrame macro="">
      <xdr:nvGraphicFramePr>
        <xdr:cNvPr id="2" name="Chart 1">
          <a:extLst>
            <a:ext uri="{FF2B5EF4-FFF2-40B4-BE49-F238E27FC236}">
              <a16:creationId xmlns:a16="http://schemas.microsoft.com/office/drawing/2014/main" id="{8DF8E5B0-E71F-4C1F-8436-4B7BFFEC3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CA6893B7-BDEC-4E14-8A91-7B1DF0DC0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1CB889E-6705-4CBF-A703-307FD4B2F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96DA78E1-2FC2-4306-A51C-D36D8A807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596900</xdr:colOff>
      <xdr:row>7</xdr:row>
      <xdr:rowOff>12701</xdr:rowOff>
    </xdr:from>
    <xdr:to>
      <xdr:col>13</xdr:col>
      <xdr:colOff>533400</xdr:colOff>
      <xdr:row>22</xdr:row>
      <xdr:rowOff>12701</xdr:rowOff>
    </xdr:to>
    <xdr:graphicFrame macro="">
      <xdr:nvGraphicFramePr>
        <xdr:cNvPr id="2" name="Chart 1">
          <a:extLst>
            <a:ext uri="{FF2B5EF4-FFF2-40B4-BE49-F238E27FC236}">
              <a16:creationId xmlns:a16="http://schemas.microsoft.com/office/drawing/2014/main" id="{22D31AF5-DC18-4728-B3C0-78D7B6B63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476A0FF3-FBD4-44FE-960F-79C58CF54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7</xdr:row>
      <xdr:rowOff>50800</xdr:rowOff>
    </xdr:from>
    <xdr:to>
      <xdr:col>13</xdr:col>
      <xdr:colOff>558800</xdr:colOff>
      <xdr:row>22</xdr:row>
      <xdr:rowOff>50800</xdr:rowOff>
    </xdr:to>
    <xdr:graphicFrame macro="">
      <xdr:nvGraphicFramePr>
        <xdr:cNvPr id="2" name="Chart 1">
          <a:extLst>
            <a:ext uri="{FF2B5EF4-FFF2-40B4-BE49-F238E27FC236}">
              <a16:creationId xmlns:a16="http://schemas.microsoft.com/office/drawing/2014/main" id="{8572895A-EC7A-4044-B7CE-787C39FBC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E12A1C65-8592-4028-AEEA-FB0B9517C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2DF6F9F-4401-40AD-A969-E42470769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2716693-3269-420C-8461-1480A4137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D2977AA-1653-476E-B45D-835D5C6A1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B879D65C-C7A5-4AB2-864F-0DE2481F1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C7CAE74-9848-46D5-8BA9-D4628742E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BBAA4E7-E68B-4C9B-AB53-CED88824E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3111262-5949-4FF8-B9C1-DFD89DEEE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ADD1194-C672-4AFF-B938-AFDF5C94E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B4C5EBB-B67A-4473-9D36-3374914FC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28E565B7-1050-449A-9E31-D6B6052D5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558800</xdr:colOff>
      <xdr:row>7</xdr:row>
      <xdr:rowOff>38100</xdr:rowOff>
    </xdr:from>
    <xdr:to>
      <xdr:col>13</xdr:col>
      <xdr:colOff>495300</xdr:colOff>
      <xdr:row>22</xdr:row>
      <xdr:rowOff>38100</xdr:rowOff>
    </xdr:to>
    <xdr:graphicFrame macro="">
      <xdr:nvGraphicFramePr>
        <xdr:cNvPr id="2" name="Chart 1">
          <a:extLst>
            <a:ext uri="{FF2B5EF4-FFF2-40B4-BE49-F238E27FC236}">
              <a16:creationId xmlns:a16="http://schemas.microsoft.com/office/drawing/2014/main" id="{0F4A1035-25DC-4919-A18F-9E07819F0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2CC762CD-B505-40C9-A8BA-CB6EB00DE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50801</xdr:rowOff>
    </xdr:from>
    <xdr:to>
      <xdr:col>13</xdr:col>
      <xdr:colOff>533400</xdr:colOff>
      <xdr:row>22</xdr:row>
      <xdr:rowOff>50801</xdr:rowOff>
    </xdr:to>
    <xdr:graphicFrame macro="">
      <xdr:nvGraphicFramePr>
        <xdr:cNvPr id="2" name="Chart 1">
          <a:extLst>
            <a:ext uri="{FF2B5EF4-FFF2-40B4-BE49-F238E27FC236}">
              <a16:creationId xmlns:a16="http://schemas.microsoft.com/office/drawing/2014/main" id="{FAF5703C-9E36-47CD-96F2-705D1981B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FF3832F5-52FF-4D01-9126-81D81C1F9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D7BCF4B-4BF6-44DD-95A7-08FA2662A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2B92AB04-6455-4773-BB15-EF4DE0B5D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1B5C4AA-3834-4CF4-90ED-8C05E42F6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71CDCA9-D96C-4285-BF30-0577B8563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0EE07D1-2898-4415-935F-4DCD9407F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B0A9874-A670-478C-91D5-4F24FCFEC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C34515A-6E25-4194-993A-0C74686DA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6A93DF3-2948-4070-8C8D-0FB4D7E46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F3CCF22-07BC-4991-92FD-6997BB512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B3745C3-A6B1-435A-8795-2F9823BC7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BC8176A-1B69-408B-B86F-6E6F96B0D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A01C56B-EB0D-48C7-ADBD-850A40273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FAC3F1D-E789-408C-B403-E660735B1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9FE4977-24CD-4D7D-A5B2-CA218C1EA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B41E80D-B97E-4B3B-8342-3645B9775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D947493-C453-41E7-AF0C-E37F1A5B0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40BFDC9-F652-43F5-AF0A-53A220C90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23A0D3-C704-4EC5-A6FB-DAFA5E74C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CFCB2A-F13C-47A7-842A-B9F64D929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0CD82FE-EA8D-4BE2-9D1B-0DDC3C764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416DC2E-2504-4999-AEF9-E93045157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8626E46-98D3-48E9-8781-F723B7B22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50801</xdr:rowOff>
    </xdr:from>
    <xdr:to>
      <xdr:col>13</xdr:col>
      <xdr:colOff>546100</xdr:colOff>
      <xdr:row>22</xdr:row>
      <xdr:rowOff>50801</xdr:rowOff>
    </xdr:to>
    <xdr:graphicFrame macro="">
      <xdr:nvGraphicFramePr>
        <xdr:cNvPr id="2" name="Chart 1">
          <a:extLst>
            <a:ext uri="{FF2B5EF4-FFF2-40B4-BE49-F238E27FC236}">
              <a16:creationId xmlns:a16="http://schemas.microsoft.com/office/drawing/2014/main" id="{0C9F0C6A-9A2F-4395-88B3-AFAE324CB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2C9AEEA-BE02-4234-9A76-88E44FDF4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46614660-F3A9-4A22-9DB6-87B91977A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3333-F5D7-45E1-97C0-067653989B08}">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30"/>
      <c r="C2" s="31"/>
      <c r="D2" s="31"/>
      <c r="E2" s="31"/>
      <c r="F2" s="31"/>
      <c r="G2" s="31"/>
      <c r="H2" s="31"/>
      <c r="I2" s="31"/>
      <c r="J2" s="31"/>
      <c r="K2" s="31"/>
      <c r="L2" s="31"/>
      <c r="M2" s="31"/>
      <c r="N2" s="32"/>
    </row>
    <row r="3" spans="2:14" ht="20.25" customHeight="1" x14ac:dyDescent="0.25">
      <c r="B3" s="33"/>
      <c r="C3" s="100" t="s">
        <v>173</v>
      </c>
      <c r="D3" s="101"/>
      <c r="E3" s="101"/>
      <c r="F3" s="101"/>
      <c r="G3" s="101"/>
      <c r="H3" s="101"/>
      <c r="I3" s="101"/>
      <c r="J3" s="101"/>
      <c r="K3" s="101"/>
      <c r="L3" s="101"/>
      <c r="M3" s="101"/>
      <c r="N3" s="102"/>
    </row>
    <row r="4" spans="2:14" ht="15.75" customHeight="1" x14ac:dyDescent="0.25">
      <c r="B4" s="33"/>
      <c r="C4" s="14"/>
      <c r="D4" s="34"/>
      <c r="E4" s="34"/>
      <c r="F4" s="34"/>
      <c r="G4" s="34"/>
      <c r="H4" s="34"/>
      <c r="I4" s="34"/>
      <c r="J4" s="34"/>
      <c r="K4" s="34"/>
      <c r="L4" s="34"/>
      <c r="M4" s="34"/>
      <c r="N4" s="35"/>
    </row>
    <row r="5" spans="2:14" ht="18" customHeight="1" x14ac:dyDescent="0.25">
      <c r="B5" s="33"/>
      <c r="C5" s="15" t="s">
        <v>1</v>
      </c>
      <c r="D5" s="103" t="s">
        <v>174</v>
      </c>
      <c r="E5" s="104"/>
      <c r="F5" s="34"/>
      <c r="G5" s="34"/>
      <c r="H5" s="34"/>
      <c r="I5" s="34"/>
      <c r="J5" s="34"/>
      <c r="K5" s="34"/>
      <c r="L5" s="34"/>
      <c r="M5" s="34"/>
      <c r="N5" s="35"/>
    </row>
    <row r="6" spans="2:14" ht="15" customHeight="1" x14ac:dyDescent="0.25">
      <c r="B6" s="33"/>
      <c r="C6" s="34"/>
      <c r="D6" s="34"/>
      <c r="E6" s="34"/>
      <c r="F6" s="34"/>
      <c r="G6" s="34"/>
      <c r="H6" s="34"/>
      <c r="I6" s="34"/>
      <c r="J6" s="34"/>
      <c r="K6" s="34"/>
      <c r="L6" s="34"/>
      <c r="M6" s="34"/>
      <c r="N6" s="35"/>
    </row>
    <row r="7" spans="2:14" ht="32.25" customHeight="1" x14ac:dyDescent="0.25">
      <c r="B7" s="33"/>
      <c r="C7" s="4" t="s">
        <v>3</v>
      </c>
      <c r="D7" s="3" t="s">
        <v>4</v>
      </c>
      <c r="E7" s="2" t="s">
        <v>5</v>
      </c>
      <c r="F7" s="34"/>
      <c r="G7" s="105" t="s">
        <v>7</v>
      </c>
      <c r="H7" s="106"/>
      <c r="I7" s="106"/>
      <c r="J7" s="106"/>
      <c r="K7" s="106"/>
      <c r="L7" s="106"/>
      <c r="M7" s="106"/>
      <c r="N7" s="107"/>
    </row>
    <row r="8" spans="2:14" ht="15" customHeight="1" x14ac:dyDescent="0.25">
      <c r="B8" s="33"/>
      <c r="C8" s="5" t="s">
        <v>50</v>
      </c>
      <c r="D8" s="6"/>
      <c r="E8" s="11">
        <v>0.61223700000000003</v>
      </c>
      <c r="F8" s="34"/>
      <c r="G8" s="24" t="s">
        <v>6</v>
      </c>
      <c r="H8" s="25">
        <v>1</v>
      </c>
      <c r="I8" s="34"/>
      <c r="J8" s="39" t="s">
        <v>54</v>
      </c>
      <c r="K8" s="39" t="s">
        <v>5</v>
      </c>
      <c r="L8" s="34"/>
      <c r="M8" s="34"/>
      <c r="N8" s="35"/>
    </row>
    <row r="9" spans="2:14" ht="15.75" customHeight="1" x14ac:dyDescent="0.25">
      <c r="B9" s="33"/>
      <c r="C9" s="7" t="s">
        <v>175</v>
      </c>
      <c r="D9" s="8"/>
      <c r="E9" s="12">
        <v>0.61223700000000003</v>
      </c>
      <c r="F9" s="34"/>
      <c r="G9" s="34"/>
      <c r="H9" s="34"/>
      <c r="I9" s="34"/>
      <c r="J9" s="39" t="s">
        <v>52</v>
      </c>
      <c r="K9" s="40">
        <v>2.3059999999999999E-3</v>
      </c>
      <c r="L9" s="34"/>
      <c r="M9" s="34"/>
      <c r="N9" s="35"/>
    </row>
    <row r="10" spans="2:14" ht="15" customHeight="1" x14ac:dyDescent="0.25">
      <c r="B10" s="33"/>
      <c r="C10" s="5" t="s">
        <v>176</v>
      </c>
      <c r="D10" s="6" t="s">
        <v>182</v>
      </c>
      <c r="E10" s="11">
        <v>2.1028000000000002E-2</v>
      </c>
      <c r="F10" s="34"/>
      <c r="G10" s="34"/>
      <c r="H10" s="34"/>
      <c r="I10" s="34"/>
      <c r="J10" s="39" t="s">
        <v>55</v>
      </c>
      <c r="K10" s="40">
        <v>0.33282499999999998</v>
      </c>
      <c r="L10" s="34"/>
      <c r="M10" s="34"/>
      <c r="N10" s="35"/>
    </row>
    <row r="11" spans="2:14" ht="15" customHeight="1" x14ac:dyDescent="0.25">
      <c r="B11" s="33"/>
      <c r="C11" s="5" t="s">
        <v>177</v>
      </c>
      <c r="D11" s="6" t="s">
        <v>182</v>
      </c>
      <c r="E11" s="11">
        <v>1.5789999999999998E-2</v>
      </c>
      <c r="F11" s="34"/>
      <c r="G11" s="34"/>
      <c r="H11" s="34"/>
      <c r="I11" s="34"/>
      <c r="J11" s="39" t="s">
        <v>180</v>
      </c>
      <c r="K11" s="40">
        <v>0.61223700000000003</v>
      </c>
      <c r="L11" s="34"/>
      <c r="M11" s="34"/>
      <c r="N11" s="35"/>
    </row>
    <row r="12" spans="2:14" ht="15" customHeight="1" x14ac:dyDescent="0.25">
      <c r="B12" s="33"/>
      <c r="C12" s="5" t="s">
        <v>178</v>
      </c>
      <c r="D12" s="6" t="s">
        <v>182</v>
      </c>
      <c r="E12" s="11">
        <v>1.0538E-2</v>
      </c>
      <c r="F12" s="34"/>
      <c r="G12" s="34"/>
      <c r="H12" s="34"/>
      <c r="I12" s="34"/>
      <c r="J12" s="39" t="s">
        <v>167</v>
      </c>
      <c r="K12" s="40">
        <v>5.2631999999999998E-2</v>
      </c>
      <c r="L12" s="34"/>
      <c r="M12" s="34"/>
      <c r="N12" s="35"/>
    </row>
    <row r="13" spans="2:14" ht="15" customHeight="1" x14ac:dyDescent="0.25">
      <c r="B13" s="33"/>
      <c r="C13" s="5" t="s">
        <v>179</v>
      </c>
      <c r="D13" s="6" t="s">
        <v>182</v>
      </c>
      <c r="E13" s="11">
        <v>5.2760000000000003E-3</v>
      </c>
      <c r="F13" s="34"/>
      <c r="G13" s="34"/>
      <c r="H13" s="34"/>
      <c r="I13" s="34"/>
      <c r="J13" s="34"/>
      <c r="K13" s="34"/>
      <c r="L13" s="34"/>
      <c r="M13" s="34"/>
      <c r="N13" s="35"/>
    </row>
    <row r="14" spans="2:14" ht="15.75" customHeight="1" x14ac:dyDescent="0.25">
      <c r="B14" s="33"/>
      <c r="C14" s="7" t="s">
        <v>163</v>
      </c>
      <c r="D14" s="8"/>
      <c r="E14" s="12">
        <v>5.2631999999999998E-2</v>
      </c>
      <c r="F14" s="34"/>
      <c r="G14" s="34"/>
      <c r="H14" s="34"/>
      <c r="I14" s="34"/>
      <c r="J14" s="34"/>
      <c r="K14" s="34"/>
      <c r="L14" s="34"/>
      <c r="M14" s="34"/>
      <c r="N14" s="35"/>
    </row>
    <row r="15" spans="2:14" ht="15" customHeight="1" x14ac:dyDescent="0.25">
      <c r="B15" s="33"/>
      <c r="C15" s="5" t="s">
        <v>50</v>
      </c>
      <c r="D15" s="6"/>
      <c r="E15" s="11">
        <v>0.33282499999999998</v>
      </c>
      <c r="F15" s="34"/>
      <c r="G15" s="34"/>
      <c r="H15" s="34"/>
      <c r="I15" s="34"/>
      <c r="J15" s="34"/>
      <c r="K15" s="34"/>
      <c r="L15" s="34"/>
      <c r="M15" s="34"/>
      <c r="N15" s="35"/>
    </row>
    <row r="16" spans="2:14" ht="15.75" customHeight="1" x14ac:dyDescent="0.25">
      <c r="B16" s="33"/>
      <c r="C16" s="7" t="s">
        <v>51</v>
      </c>
      <c r="D16" s="8"/>
      <c r="E16" s="12">
        <v>0.33282499999999998</v>
      </c>
      <c r="F16" s="34"/>
      <c r="G16" s="34"/>
      <c r="H16" s="34"/>
      <c r="I16" s="34"/>
      <c r="J16" s="34"/>
      <c r="K16" s="34"/>
      <c r="L16" s="34"/>
      <c r="M16" s="34"/>
      <c r="N16" s="35"/>
    </row>
    <row r="17" spans="2:14" ht="15" customHeight="1" x14ac:dyDescent="0.25">
      <c r="B17" s="33"/>
      <c r="C17" s="36"/>
      <c r="D17" s="37"/>
      <c r="E17" s="38"/>
      <c r="F17" s="34"/>
      <c r="G17" s="34"/>
      <c r="H17" s="34"/>
      <c r="I17" s="34"/>
      <c r="J17" s="34"/>
      <c r="K17" s="34"/>
      <c r="L17" s="34"/>
      <c r="M17" s="34"/>
      <c r="N17" s="35"/>
    </row>
    <row r="18" spans="2:14" ht="15.75" customHeight="1" x14ac:dyDescent="0.25">
      <c r="B18" s="33"/>
      <c r="C18" s="7" t="s">
        <v>52</v>
      </c>
      <c r="D18" s="8"/>
      <c r="E18" s="12">
        <v>2.3059999999999999E-3</v>
      </c>
      <c r="F18" s="34"/>
      <c r="G18" s="34"/>
      <c r="H18" s="34"/>
      <c r="I18" s="34"/>
      <c r="J18" s="34"/>
      <c r="K18" s="34"/>
      <c r="L18" s="34"/>
      <c r="M18" s="34"/>
      <c r="N18" s="35"/>
    </row>
    <row r="19" spans="2:14" ht="15" customHeight="1" x14ac:dyDescent="0.25">
      <c r="B19" s="33"/>
      <c r="C19" s="36"/>
      <c r="D19" s="37"/>
      <c r="E19" s="38"/>
      <c r="F19" s="34"/>
      <c r="G19" s="34"/>
      <c r="H19" s="34"/>
      <c r="I19" s="34"/>
      <c r="J19" s="34"/>
      <c r="K19" s="34"/>
      <c r="L19" s="34"/>
      <c r="M19" s="34"/>
      <c r="N19" s="35"/>
    </row>
    <row r="20" spans="2:14" ht="15" customHeight="1" x14ac:dyDescent="0.25">
      <c r="B20" s="33"/>
      <c r="C20" s="9" t="s">
        <v>53</v>
      </c>
      <c r="D20" s="10"/>
      <c r="E20" s="13">
        <v>1</v>
      </c>
      <c r="F20" s="34"/>
      <c r="G20" s="34"/>
      <c r="H20" s="34"/>
      <c r="I20" s="34"/>
      <c r="J20" s="34"/>
      <c r="K20" s="34"/>
      <c r="L20" s="34"/>
      <c r="M20" s="34"/>
      <c r="N20" s="35"/>
    </row>
    <row r="21" spans="2:14" ht="15" customHeight="1" x14ac:dyDescent="0.25">
      <c r="B21" s="33"/>
      <c r="C21" s="34"/>
      <c r="D21" s="34"/>
      <c r="E21" s="34"/>
      <c r="F21" s="34"/>
      <c r="G21" s="34"/>
      <c r="H21" s="34"/>
      <c r="I21" s="34"/>
      <c r="J21" s="34"/>
      <c r="K21" s="34"/>
      <c r="L21" s="34"/>
      <c r="M21" s="34"/>
      <c r="N21" s="35"/>
    </row>
    <row r="22" spans="2:14" ht="15" customHeight="1" x14ac:dyDescent="0.25">
      <c r="B22" s="33"/>
      <c r="C22" s="34"/>
      <c r="D22" s="34"/>
      <c r="E22" s="34"/>
      <c r="F22" s="34"/>
      <c r="G22" s="34"/>
      <c r="H22" s="34"/>
      <c r="I22" s="34"/>
      <c r="J22" s="34"/>
      <c r="K22" s="34"/>
      <c r="L22" s="34"/>
      <c r="M22" s="34"/>
      <c r="N22" s="35"/>
    </row>
    <row r="23" spans="2:14" ht="15" customHeight="1" x14ac:dyDescent="0.25">
      <c r="B23" s="33"/>
      <c r="C23" s="34"/>
      <c r="D23" s="34"/>
      <c r="E23" s="34"/>
      <c r="F23" s="34"/>
      <c r="G23" s="34"/>
      <c r="H23" s="34"/>
      <c r="I23" s="34"/>
      <c r="J23" s="34"/>
      <c r="K23" s="34"/>
      <c r="L23" s="34"/>
      <c r="M23" s="34"/>
      <c r="N23" s="35"/>
    </row>
    <row r="24" spans="2:14" ht="15" customHeight="1" x14ac:dyDescent="0.25">
      <c r="B24" s="33"/>
      <c r="C24" s="34"/>
      <c r="D24" s="34"/>
      <c r="E24" s="34"/>
      <c r="F24" s="34"/>
      <c r="G24" s="105" t="s">
        <v>124</v>
      </c>
      <c r="H24" s="106"/>
      <c r="I24" s="106"/>
      <c r="J24" s="106"/>
      <c r="K24" s="106"/>
      <c r="L24" s="54">
        <v>1.8500271251726743</v>
      </c>
      <c r="M24" s="41"/>
      <c r="N24" s="42"/>
    </row>
    <row r="25" spans="2:14" ht="15" customHeight="1" x14ac:dyDescent="0.25">
      <c r="B25" s="33"/>
      <c r="C25" s="34"/>
      <c r="D25" s="34"/>
      <c r="E25" s="34"/>
      <c r="F25" s="34"/>
      <c r="G25" s="34"/>
      <c r="H25" s="34"/>
      <c r="I25" s="34"/>
      <c r="J25" s="34"/>
      <c r="K25" s="34"/>
      <c r="L25" s="34"/>
      <c r="M25" s="34"/>
      <c r="N25" s="35"/>
    </row>
    <row r="26" spans="2:14" ht="15" customHeight="1" x14ac:dyDescent="0.25">
      <c r="B26" s="33"/>
      <c r="C26" s="34"/>
      <c r="D26" s="34"/>
      <c r="E26" s="34"/>
      <c r="F26" s="34"/>
      <c r="G26" s="105" t="s">
        <v>9</v>
      </c>
      <c r="H26" s="106"/>
      <c r="I26" s="106"/>
      <c r="J26" s="106"/>
      <c r="K26" s="106"/>
      <c r="L26" s="106"/>
      <c r="M26" s="106"/>
      <c r="N26" s="107"/>
    </row>
    <row r="27" spans="2:14" ht="15" customHeight="1" x14ac:dyDescent="0.25">
      <c r="B27" s="33"/>
      <c r="C27" s="34"/>
      <c r="D27" s="34"/>
      <c r="E27" s="34"/>
      <c r="F27" s="34"/>
      <c r="G27" s="34"/>
      <c r="H27" s="34"/>
      <c r="I27" s="34"/>
      <c r="J27" s="34"/>
      <c r="K27" s="34"/>
      <c r="L27" s="34"/>
      <c r="M27" s="34"/>
      <c r="N27" s="35"/>
    </row>
    <row r="28" spans="2:14" ht="15" customHeight="1" x14ac:dyDescent="0.25">
      <c r="B28" s="33"/>
      <c r="C28" s="34"/>
      <c r="D28" s="34"/>
      <c r="E28" s="34"/>
      <c r="F28" s="34"/>
      <c r="G28" s="34"/>
      <c r="H28" s="34"/>
      <c r="I28" s="34"/>
      <c r="J28" s="34"/>
      <c r="K28" s="34"/>
      <c r="L28" s="34"/>
      <c r="M28" s="34"/>
      <c r="N28" s="35"/>
    </row>
    <row r="29" spans="2:14" ht="15" customHeight="1" x14ac:dyDescent="0.25">
      <c r="B29" s="33"/>
      <c r="C29" s="34"/>
      <c r="D29" s="34"/>
      <c r="E29" s="34"/>
      <c r="F29" s="34"/>
      <c r="G29" s="34"/>
      <c r="H29" s="34"/>
      <c r="I29" s="34"/>
      <c r="J29" s="34"/>
      <c r="K29" s="34"/>
      <c r="L29" s="34"/>
      <c r="M29" s="34"/>
      <c r="N29" s="35"/>
    </row>
    <row r="30" spans="2:14" ht="15" customHeight="1" x14ac:dyDescent="0.25">
      <c r="B30" s="33"/>
      <c r="C30" s="34"/>
      <c r="D30" s="34"/>
      <c r="E30" s="34"/>
      <c r="F30" s="34"/>
      <c r="G30" s="34"/>
      <c r="H30" s="34"/>
      <c r="I30" s="34"/>
      <c r="J30" s="34"/>
      <c r="K30" s="34"/>
      <c r="L30" s="34"/>
      <c r="M30" s="34"/>
      <c r="N30" s="35"/>
    </row>
    <row r="31" spans="2:14" ht="15" customHeight="1" x14ac:dyDescent="0.25">
      <c r="B31" s="33"/>
      <c r="C31" s="34"/>
      <c r="D31" s="34"/>
      <c r="E31" s="34"/>
      <c r="F31" s="34"/>
      <c r="G31" s="34"/>
      <c r="H31" s="34"/>
      <c r="I31" s="34"/>
      <c r="J31" s="34"/>
      <c r="K31" s="34"/>
      <c r="L31" s="34"/>
      <c r="M31" s="34"/>
      <c r="N31" s="35"/>
    </row>
    <row r="32" spans="2:14" ht="15" customHeight="1" x14ac:dyDescent="0.25">
      <c r="B32" s="33"/>
      <c r="C32" s="34"/>
      <c r="D32" s="34"/>
      <c r="E32" s="34"/>
      <c r="F32" s="34"/>
      <c r="G32" s="34"/>
      <c r="H32" s="34"/>
      <c r="I32" s="34"/>
      <c r="J32" s="34"/>
      <c r="K32" s="34"/>
      <c r="L32" s="34"/>
      <c r="M32" s="34"/>
      <c r="N32" s="35"/>
    </row>
    <row r="33" spans="2:14" ht="15" customHeight="1" x14ac:dyDescent="0.25">
      <c r="B33" s="33"/>
      <c r="C33" s="34"/>
      <c r="D33" s="34"/>
      <c r="E33" s="34"/>
      <c r="F33" s="34"/>
      <c r="G33" s="34"/>
      <c r="H33" s="34"/>
      <c r="I33" s="34"/>
      <c r="J33" s="34"/>
      <c r="K33" s="34"/>
      <c r="L33" s="34"/>
      <c r="M33" s="34"/>
      <c r="N33" s="35"/>
    </row>
    <row r="34" spans="2:14" ht="15" customHeight="1" x14ac:dyDescent="0.25">
      <c r="B34" s="33"/>
      <c r="C34" s="34"/>
      <c r="D34" s="34"/>
      <c r="E34" s="34"/>
      <c r="F34" s="34"/>
      <c r="G34" s="34"/>
      <c r="H34" s="34"/>
      <c r="I34" s="34"/>
      <c r="J34" s="34"/>
      <c r="K34" s="34"/>
      <c r="L34" s="34"/>
      <c r="M34" s="34"/>
      <c r="N34" s="35"/>
    </row>
    <row r="35" spans="2:14" ht="15" customHeight="1" x14ac:dyDescent="0.25">
      <c r="B35" s="33"/>
      <c r="C35" s="34"/>
      <c r="D35" s="34"/>
      <c r="E35" s="34"/>
      <c r="F35" s="34"/>
      <c r="G35" s="34"/>
      <c r="H35" s="34"/>
      <c r="I35" s="34"/>
      <c r="J35" s="34"/>
      <c r="K35" s="34"/>
      <c r="L35" s="34"/>
      <c r="M35" s="34"/>
      <c r="N35" s="35"/>
    </row>
    <row r="36" spans="2:14" ht="15" customHeight="1" x14ac:dyDescent="0.25">
      <c r="B36" s="33"/>
      <c r="C36" s="34"/>
      <c r="D36" s="34"/>
      <c r="E36" s="34"/>
      <c r="F36" s="34"/>
      <c r="G36" s="34"/>
      <c r="H36" s="34"/>
      <c r="I36" s="34"/>
      <c r="J36" s="34"/>
      <c r="K36" s="34"/>
      <c r="L36" s="34"/>
      <c r="M36" s="34"/>
      <c r="N36" s="35"/>
    </row>
    <row r="37" spans="2:14" ht="15" customHeight="1" x14ac:dyDescent="0.25">
      <c r="B37" s="33"/>
      <c r="C37" s="34"/>
      <c r="D37" s="34"/>
      <c r="E37" s="34"/>
      <c r="F37" s="34"/>
      <c r="G37" s="34"/>
      <c r="H37" s="34"/>
      <c r="I37" s="34"/>
      <c r="J37" s="34"/>
      <c r="K37" s="34"/>
      <c r="L37" s="34"/>
      <c r="M37" s="34"/>
      <c r="N37" s="35"/>
    </row>
    <row r="38" spans="2:14" ht="15" customHeight="1" x14ac:dyDescent="0.25">
      <c r="B38" s="33"/>
      <c r="C38" s="34"/>
      <c r="D38" s="34"/>
      <c r="E38" s="34"/>
      <c r="F38" s="34"/>
      <c r="G38" s="34"/>
      <c r="H38" s="34"/>
      <c r="I38" s="34"/>
      <c r="J38" s="34"/>
      <c r="K38" s="34"/>
      <c r="L38" s="34"/>
      <c r="M38" s="34"/>
      <c r="N38" s="35"/>
    </row>
    <row r="39" spans="2:14" ht="15" customHeight="1" x14ac:dyDescent="0.25">
      <c r="B39" s="33"/>
      <c r="C39" s="34"/>
      <c r="D39" s="34"/>
      <c r="E39" s="34"/>
      <c r="F39" s="34"/>
      <c r="G39" s="34"/>
      <c r="H39" s="34"/>
      <c r="I39" s="34"/>
      <c r="J39" s="34"/>
      <c r="K39" s="34"/>
      <c r="L39" s="34"/>
      <c r="M39" s="34"/>
      <c r="N39" s="35"/>
    </row>
    <row r="40" spans="2:14" ht="15" customHeight="1" x14ac:dyDescent="0.25">
      <c r="B40" s="33"/>
      <c r="C40" s="34"/>
      <c r="D40" s="34"/>
      <c r="E40" s="34"/>
      <c r="F40" s="34"/>
      <c r="G40" s="34"/>
      <c r="H40" s="34"/>
      <c r="I40" s="34"/>
      <c r="J40" s="34"/>
      <c r="K40" s="34"/>
      <c r="L40" s="34"/>
      <c r="M40" s="34"/>
      <c r="N40" s="35"/>
    </row>
    <row r="41" spans="2:14" ht="15" customHeight="1" x14ac:dyDescent="0.25">
      <c r="B41" s="33"/>
      <c r="C41" s="34"/>
      <c r="D41" s="34"/>
      <c r="E41" s="34"/>
      <c r="F41" s="34"/>
      <c r="G41" s="34"/>
      <c r="H41" s="34"/>
      <c r="I41" s="34"/>
      <c r="J41" s="34"/>
      <c r="K41" s="34"/>
      <c r="L41" s="34"/>
      <c r="M41" s="34"/>
      <c r="N41" s="35"/>
    </row>
    <row r="42" spans="2:14" ht="15" customHeight="1" x14ac:dyDescent="0.25">
      <c r="B42" s="33"/>
      <c r="C42" s="34"/>
      <c r="D42" s="34"/>
      <c r="E42" s="34"/>
      <c r="F42" s="34"/>
      <c r="G42" s="34"/>
      <c r="H42" s="34"/>
      <c r="I42" s="34"/>
      <c r="J42" s="34"/>
      <c r="K42" s="34"/>
      <c r="L42" s="34"/>
      <c r="M42" s="34"/>
      <c r="N42" s="35"/>
    </row>
    <row r="43" spans="2:14" ht="15.75" thickBot="1" x14ac:dyDescent="0.3">
      <c r="B43" s="43"/>
      <c r="C43" s="44"/>
      <c r="D43" s="44"/>
      <c r="E43" s="44"/>
      <c r="F43" s="44"/>
      <c r="G43" s="44"/>
      <c r="H43" s="44"/>
      <c r="I43" s="44"/>
      <c r="J43" s="44"/>
      <c r="K43" s="44"/>
      <c r="L43" s="44"/>
      <c r="M43" s="44"/>
      <c r="N43" s="45"/>
    </row>
    <row r="44" spans="2:14" ht="15.75" thickBot="1" x14ac:dyDescent="0.3"/>
    <row r="45" spans="2:14" x14ac:dyDescent="0.25">
      <c r="B45" s="88" t="s">
        <v>321</v>
      </c>
      <c r="C45" s="89"/>
      <c r="D45" s="89"/>
      <c r="E45" s="89"/>
      <c r="F45" s="89"/>
      <c r="G45" s="89"/>
      <c r="H45" s="89"/>
      <c r="I45" s="89"/>
      <c r="J45" s="89"/>
      <c r="K45" s="89"/>
      <c r="L45" s="89"/>
      <c r="M45" s="89"/>
      <c r="N45" s="90"/>
    </row>
    <row r="46" spans="2:14" x14ac:dyDescent="0.25">
      <c r="B46" s="91"/>
      <c r="C46" s="92"/>
      <c r="D46" s="92"/>
      <c r="E46" s="92"/>
      <c r="F46" s="92"/>
      <c r="G46" s="92"/>
      <c r="H46" s="92"/>
      <c r="I46" s="92"/>
      <c r="J46" s="92"/>
      <c r="K46" s="92"/>
      <c r="L46" s="92"/>
      <c r="M46" s="92"/>
      <c r="N46" s="93"/>
    </row>
    <row r="47" spans="2:14" ht="15.75" thickBot="1" x14ac:dyDescent="0.3">
      <c r="B47" s="94"/>
      <c r="C47" s="95"/>
      <c r="D47" s="95"/>
      <c r="E47" s="95"/>
      <c r="F47" s="95"/>
      <c r="G47" s="95"/>
      <c r="H47" s="95"/>
      <c r="I47" s="95"/>
      <c r="J47" s="95"/>
      <c r="K47" s="95"/>
      <c r="L47" s="95"/>
      <c r="M47" s="95"/>
      <c r="N47" s="96"/>
    </row>
    <row r="48" spans="2:14" ht="15.75" thickBot="1" x14ac:dyDescent="0.3"/>
    <row r="49" spans="2:14" ht="132" customHeight="1" thickBot="1" x14ac:dyDescent="0.3">
      <c r="B49" s="97" t="s">
        <v>214</v>
      </c>
      <c r="C49" s="98"/>
      <c r="D49" s="98"/>
      <c r="E49" s="98"/>
      <c r="F49" s="98"/>
      <c r="G49" s="98"/>
      <c r="H49" s="98"/>
      <c r="I49" s="98"/>
      <c r="J49" s="98"/>
      <c r="K49" s="98"/>
      <c r="L49" s="98"/>
      <c r="M49" s="98"/>
      <c r="N49" s="99"/>
    </row>
  </sheetData>
  <mergeCells count="7">
    <mergeCell ref="B45:N47"/>
    <mergeCell ref="B49:N49"/>
    <mergeCell ref="C3:N3"/>
    <mergeCell ref="D5:E5"/>
    <mergeCell ref="G7:N7"/>
    <mergeCell ref="G24:K24"/>
    <mergeCell ref="G26:N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1D60-9375-4F55-884C-08CF9168E334}">
  <dimension ref="B1:N84"/>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139</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322</v>
      </c>
      <c r="E5" s="10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17</v>
      </c>
      <c r="D8" s="6" t="s">
        <v>13</v>
      </c>
      <c r="E8" s="11">
        <v>0.114588</v>
      </c>
      <c r="F8" s="1"/>
      <c r="G8" s="47" t="s">
        <v>256</v>
      </c>
      <c r="H8" s="29">
        <v>0.99058900000000005</v>
      </c>
      <c r="I8" s="1"/>
      <c r="J8" s="24" t="s">
        <v>54</v>
      </c>
      <c r="K8" s="24" t="s">
        <v>5</v>
      </c>
      <c r="L8" s="1"/>
      <c r="M8" s="1"/>
      <c r="N8" s="18"/>
    </row>
    <row r="9" spans="2:14" ht="15" customHeight="1" x14ac:dyDescent="0.25">
      <c r="B9" s="20"/>
      <c r="C9" s="5" t="s">
        <v>15</v>
      </c>
      <c r="D9" s="6" t="s">
        <v>13</v>
      </c>
      <c r="E9" s="11">
        <v>5.6967999999999998E-2</v>
      </c>
      <c r="F9" s="1"/>
      <c r="G9" s="24" t="s">
        <v>102</v>
      </c>
      <c r="H9" s="29">
        <v>9.4109999999999992E-3</v>
      </c>
      <c r="I9" s="1"/>
      <c r="J9" s="24" t="s">
        <v>52</v>
      </c>
      <c r="K9" s="29">
        <v>-6.4460000000000003E-2</v>
      </c>
      <c r="L9" s="1"/>
      <c r="M9" s="1"/>
      <c r="N9" s="18"/>
    </row>
    <row r="10" spans="2:14" ht="15" customHeight="1" x14ac:dyDescent="0.25">
      <c r="B10" s="20"/>
      <c r="C10" s="5" t="s">
        <v>24</v>
      </c>
      <c r="D10" s="6" t="s">
        <v>13</v>
      </c>
      <c r="E10" s="11">
        <v>4.2513000000000002E-2</v>
      </c>
      <c r="F10" s="1"/>
      <c r="G10" s="1"/>
      <c r="H10" s="1"/>
      <c r="I10" s="1"/>
      <c r="J10" s="24" t="s">
        <v>55</v>
      </c>
      <c r="K10" s="29">
        <v>8.7709999999999993E-3</v>
      </c>
      <c r="L10" s="1"/>
      <c r="M10" s="1"/>
      <c r="N10" s="18"/>
    </row>
    <row r="11" spans="2:14" ht="15" customHeight="1" x14ac:dyDescent="0.25">
      <c r="B11" s="20"/>
      <c r="C11" s="5" t="s">
        <v>14</v>
      </c>
      <c r="D11" s="6" t="s">
        <v>13</v>
      </c>
      <c r="E11" s="11">
        <v>3.5950999999999997E-2</v>
      </c>
      <c r="F11" s="1"/>
      <c r="G11" s="1"/>
      <c r="H11" s="1"/>
      <c r="I11" s="1"/>
      <c r="J11" s="24" t="s">
        <v>56</v>
      </c>
      <c r="K11" s="29">
        <v>0.28809400000000002</v>
      </c>
      <c r="L11" s="1"/>
      <c r="M11" s="1"/>
      <c r="N11" s="18"/>
    </row>
    <row r="12" spans="2:14" ht="15" customHeight="1" x14ac:dyDescent="0.25">
      <c r="B12" s="20"/>
      <c r="C12" s="5" t="s">
        <v>18</v>
      </c>
      <c r="D12" s="6" t="s">
        <v>13</v>
      </c>
      <c r="E12" s="11">
        <v>2.1127E-2</v>
      </c>
      <c r="F12" s="1"/>
      <c r="G12" s="1"/>
      <c r="H12" s="1"/>
      <c r="I12" s="1"/>
      <c r="J12" s="24" t="s">
        <v>57</v>
      </c>
      <c r="K12" s="29">
        <v>5.6869999999999997E-2</v>
      </c>
      <c r="L12" s="1"/>
      <c r="M12" s="1"/>
      <c r="N12" s="18"/>
    </row>
    <row r="13" spans="2:14" ht="15" customHeight="1" x14ac:dyDescent="0.25">
      <c r="B13" s="20"/>
      <c r="C13" s="5" t="s">
        <v>140</v>
      </c>
      <c r="D13" s="6" t="s">
        <v>13</v>
      </c>
      <c r="E13" s="11">
        <v>1.6947E-2</v>
      </c>
      <c r="F13" s="1"/>
      <c r="G13" s="1"/>
      <c r="H13" s="1"/>
      <c r="I13" s="1"/>
      <c r="J13" s="24" t="s">
        <v>165</v>
      </c>
      <c r="K13" s="29">
        <v>0.51885700000000001</v>
      </c>
      <c r="L13" s="1"/>
      <c r="M13" s="1"/>
      <c r="N13" s="18"/>
    </row>
    <row r="14" spans="2:14" ht="15.75" customHeight="1" x14ac:dyDescent="0.25">
      <c r="B14" s="20"/>
      <c r="C14" s="7" t="s">
        <v>23</v>
      </c>
      <c r="D14" s="8"/>
      <c r="E14" s="12">
        <v>0.28809400000000002</v>
      </c>
      <c r="F14" s="1"/>
      <c r="G14" s="1"/>
      <c r="H14" s="1"/>
      <c r="I14" s="1"/>
      <c r="J14" s="24" t="s">
        <v>40</v>
      </c>
      <c r="K14" s="29">
        <v>2.9199999999999999E-3</v>
      </c>
      <c r="L14" s="1"/>
      <c r="M14" s="1"/>
      <c r="N14" s="18"/>
    </row>
    <row r="15" spans="2:14" ht="15" customHeight="1" x14ac:dyDescent="0.25">
      <c r="B15" s="20"/>
      <c r="C15" s="5" t="s">
        <v>33</v>
      </c>
      <c r="D15" s="6" t="s">
        <v>13</v>
      </c>
      <c r="E15" s="11">
        <v>7.8336000000000003E-2</v>
      </c>
      <c r="F15" s="1"/>
      <c r="G15" s="1"/>
      <c r="H15" s="1"/>
      <c r="I15" s="1"/>
      <c r="J15" s="24" t="s">
        <v>166</v>
      </c>
      <c r="K15" s="29">
        <v>3.0349999999999999E-3</v>
      </c>
      <c r="L15" s="1"/>
      <c r="M15" s="1"/>
      <c r="N15" s="18"/>
    </row>
    <row r="16" spans="2:14" ht="15" customHeight="1" x14ac:dyDescent="0.25">
      <c r="B16" s="20"/>
      <c r="C16" s="5" t="s">
        <v>37</v>
      </c>
      <c r="D16" s="6" t="s">
        <v>13</v>
      </c>
      <c r="E16" s="11">
        <v>6.3583000000000001E-2</v>
      </c>
      <c r="F16" s="1"/>
      <c r="G16" s="1"/>
      <c r="H16" s="1"/>
      <c r="I16" s="1"/>
      <c r="J16" s="24" t="s">
        <v>167</v>
      </c>
      <c r="K16" s="29">
        <v>0.181647</v>
      </c>
      <c r="L16" s="1"/>
      <c r="M16" s="1"/>
      <c r="N16" s="18"/>
    </row>
    <row r="17" spans="2:14" ht="15" customHeight="1" x14ac:dyDescent="0.25">
      <c r="B17" s="20"/>
      <c r="C17" s="5" t="s">
        <v>141</v>
      </c>
      <c r="D17" s="6" t="s">
        <v>13</v>
      </c>
      <c r="E17" s="11">
        <v>5.7140000000000003E-2</v>
      </c>
      <c r="F17" s="1"/>
      <c r="G17" s="1"/>
      <c r="H17" s="1"/>
      <c r="I17" s="1"/>
      <c r="J17" s="24" t="s">
        <v>84</v>
      </c>
      <c r="K17" s="29">
        <v>4.2659999999999998E-3</v>
      </c>
      <c r="L17" s="1"/>
      <c r="M17" s="1"/>
      <c r="N17" s="18"/>
    </row>
    <row r="18" spans="2:14" ht="15" customHeight="1" x14ac:dyDescent="0.25">
      <c r="B18" s="20"/>
      <c r="C18" s="5" t="s">
        <v>142</v>
      </c>
      <c r="D18" s="6" t="s">
        <v>13</v>
      </c>
      <c r="E18" s="11">
        <v>3.8261999999999997E-2</v>
      </c>
      <c r="F18" s="1"/>
      <c r="G18" s="1"/>
      <c r="H18" s="1"/>
      <c r="I18" s="1"/>
      <c r="J18" s="1"/>
      <c r="K18" s="1"/>
      <c r="L18" s="1"/>
      <c r="M18" s="1"/>
      <c r="N18" s="18"/>
    </row>
    <row r="19" spans="2:14" ht="15" customHeight="1" x14ac:dyDescent="0.25">
      <c r="B19" s="20"/>
      <c r="C19" s="5" t="s">
        <v>62</v>
      </c>
      <c r="D19" s="6" t="s">
        <v>13</v>
      </c>
      <c r="E19" s="11">
        <v>3.3881000000000001E-2</v>
      </c>
      <c r="F19" s="1"/>
      <c r="G19" s="1"/>
      <c r="H19" s="1"/>
      <c r="I19" s="1"/>
      <c r="J19" s="1"/>
      <c r="K19" s="1"/>
      <c r="L19" s="1"/>
      <c r="M19" s="1"/>
      <c r="N19" s="18"/>
    </row>
    <row r="20" spans="2:14" ht="15" customHeight="1" x14ac:dyDescent="0.25">
      <c r="B20" s="20"/>
      <c r="C20" s="5" t="s">
        <v>143</v>
      </c>
      <c r="D20" s="6" t="s">
        <v>13</v>
      </c>
      <c r="E20" s="11">
        <v>2.5479000000000002E-2</v>
      </c>
      <c r="F20" s="1"/>
      <c r="G20" s="1"/>
      <c r="H20" s="1"/>
      <c r="I20" s="1"/>
      <c r="J20" s="1"/>
      <c r="K20" s="1"/>
      <c r="L20" s="1"/>
      <c r="M20" s="1"/>
      <c r="N20" s="18"/>
    </row>
    <row r="21" spans="2:14" ht="15" customHeight="1" x14ac:dyDescent="0.25">
      <c r="B21" s="20"/>
      <c r="C21" s="5" t="s">
        <v>144</v>
      </c>
      <c r="D21" s="6" t="s">
        <v>13</v>
      </c>
      <c r="E21" s="11">
        <v>2.5350999999999999E-2</v>
      </c>
      <c r="F21" s="1"/>
      <c r="G21" s="1"/>
      <c r="H21" s="1"/>
      <c r="I21" s="1"/>
      <c r="J21" s="1"/>
      <c r="K21" s="1"/>
      <c r="L21" s="1"/>
      <c r="M21" s="1"/>
      <c r="N21" s="18"/>
    </row>
    <row r="22" spans="2:14" ht="15" customHeight="1" x14ac:dyDescent="0.25">
      <c r="B22" s="20"/>
      <c r="C22" s="5" t="s">
        <v>145</v>
      </c>
      <c r="D22" s="6" t="s">
        <v>13</v>
      </c>
      <c r="E22" s="11">
        <v>2.121E-2</v>
      </c>
      <c r="F22" s="1"/>
      <c r="G22" s="1"/>
      <c r="H22" s="1"/>
      <c r="I22" s="1"/>
      <c r="J22" s="1"/>
      <c r="K22" s="1"/>
      <c r="L22" s="1"/>
      <c r="M22" s="1"/>
      <c r="N22" s="18"/>
    </row>
    <row r="23" spans="2:14" ht="15" customHeight="1" x14ac:dyDescent="0.25">
      <c r="B23" s="20"/>
      <c r="C23" s="5" t="s">
        <v>146</v>
      </c>
      <c r="D23" s="6" t="s">
        <v>13</v>
      </c>
      <c r="E23" s="11">
        <v>2.1170999999999999E-2</v>
      </c>
      <c r="F23" s="1"/>
      <c r="G23" s="1"/>
      <c r="H23" s="1"/>
      <c r="I23" s="1"/>
      <c r="J23" s="1"/>
      <c r="K23" s="1"/>
      <c r="L23" s="1"/>
      <c r="M23" s="1"/>
      <c r="N23" s="18"/>
    </row>
    <row r="24" spans="2:14" ht="15" customHeight="1" x14ac:dyDescent="0.25">
      <c r="B24" s="20"/>
      <c r="C24" s="5" t="s">
        <v>147</v>
      </c>
      <c r="D24" s="6" t="s">
        <v>13</v>
      </c>
      <c r="E24" s="11">
        <v>2.1160000000000002E-2</v>
      </c>
      <c r="F24" s="1"/>
      <c r="G24" s="105" t="s">
        <v>124</v>
      </c>
      <c r="H24" s="106"/>
      <c r="I24" s="106"/>
      <c r="J24" s="106"/>
      <c r="K24" s="106"/>
      <c r="L24" s="55">
        <v>53.75960679203132</v>
      </c>
      <c r="M24" s="41"/>
      <c r="N24" s="42"/>
    </row>
    <row r="25" spans="2:14" ht="15" customHeight="1" x14ac:dyDescent="0.25">
      <c r="B25" s="20"/>
      <c r="C25" s="5" t="s">
        <v>148</v>
      </c>
      <c r="D25" s="6" t="s">
        <v>13</v>
      </c>
      <c r="E25" s="11">
        <v>2.1104999999999999E-2</v>
      </c>
      <c r="F25" s="1"/>
      <c r="G25" s="1"/>
      <c r="H25" s="1"/>
      <c r="I25" s="1"/>
      <c r="J25" s="1"/>
      <c r="K25" s="1"/>
      <c r="L25" s="1"/>
      <c r="M25" s="1"/>
      <c r="N25" s="18"/>
    </row>
    <row r="26" spans="2:14" ht="15" customHeight="1" x14ac:dyDescent="0.25">
      <c r="B26" s="20"/>
      <c r="C26" s="5" t="s">
        <v>132</v>
      </c>
      <c r="D26" s="6" t="s">
        <v>13</v>
      </c>
      <c r="E26" s="11">
        <v>1.9164E-2</v>
      </c>
      <c r="F26" s="1"/>
      <c r="G26" s="105" t="s">
        <v>9</v>
      </c>
      <c r="H26" s="110"/>
      <c r="I26" s="110"/>
      <c r="J26" s="110"/>
      <c r="K26" s="110"/>
      <c r="L26" s="110"/>
      <c r="M26" s="110"/>
      <c r="N26" s="111"/>
    </row>
    <row r="27" spans="2:14" ht="15" customHeight="1" x14ac:dyDescent="0.25">
      <c r="B27" s="20"/>
      <c r="C27" s="5" t="s">
        <v>20</v>
      </c>
      <c r="D27" s="6" t="s">
        <v>13</v>
      </c>
      <c r="E27" s="11">
        <v>1.6903999999999999E-2</v>
      </c>
      <c r="F27" s="1"/>
      <c r="G27" s="1"/>
      <c r="H27" s="1"/>
      <c r="I27" s="1"/>
      <c r="J27" s="1"/>
      <c r="K27" s="1"/>
      <c r="L27" s="1"/>
      <c r="M27" s="1"/>
      <c r="N27" s="18"/>
    </row>
    <row r="28" spans="2:14" ht="15" customHeight="1" x14ac:dyDescent="0.25">
      <c r="B28" s="20"/>
      <c r="C28" s="5" t="s">
        <v>149</v>
      </c>
      <c r="D28" s="6" t="s">
        <v>13</v>
      </c>
      <c r="E28" s="11">
        <v>1.6898E-2</v>
      </c>
      <c r="F28" s="1"/>
      <c r="G28" s="1"/>
      <c r="H28" s="1"/>
      <c r="I28" s="1"/>
      <c r="J28" s="1"/>
      <c r="K28" s="1"/>
      <c r="L28" s="1"/>
      <c r="M28" s="1"/>
      <c r="N28" s="18"/>
    </row>
    <row r="29" spans="2:14" ht="15" customHeight="1" x14ac:dyDescent="0.25">
      <c r="B29" s="20"/>
      <c r="C29" s="5" t="s">
        <v>150</v>
      </c>
      <c r="D29" s="6" t="s">
        <v>13</v>
      </c>
      <c r="E29" s="11">
        <v>1.6892999999999998E-2</v>
      </c>
      <c r="F29" s="1"/>
      <c r="G29" s="1"/>
      <c r="H29" s="1"/>
      <c r="I29" s="1"/>
      <c r="J29" s="1"/>
      <c r="K29" s="1"/>
      <c r="L29" s="1"/>
      <c r="M29" s="1"/>
      <c r="N29" s="18"/>
    </row>
    <row r="30" spans="2:14" ht="15" customHeight="1" x14ac:dyDescent="0.25">
      <c r="B30" s="20"/>
      <c r="C30" s="5" t="s">
        <v>78</v>
      </c>
      <c r="D30" s="6" t="s">
        <v>13</v>
      </c>
      <c r="E30" s="11">
        <v>1.6881E-2</v>
      </c>
      <c r="F30" s="1"/>
      <c r="G30" s="1"/>
      <c r="H30" s="1"/>
      <c r="I30" s="1"/>
      <c r="J30" s="1"/>
      <c r="K30" s="1"/>
      <c r="L30" s="1"/>
      <c r="M30" s="1"/>
      <c r="N30" s="18"/>
    </row>
    <row r="31" spans="2:14" ht="15" customHeight="1" x14ac:dyDescent="0.25">
      <c r="B31" s="20"/>
      <c r="C31" s="5" t="s">
        <v>151</v>
      </c>
      <c r="D31" s="6" t="s">
        <v>13</v>
      </c>
      <c r="E31" s="11">
        <v>1.0618000000000001E-2</v>
      </c>
      <c r="F31" s="1"/>
      <c r="G31" s="1"/>
      <c r="H31" s="1"/>
      <c r="I31" s="1"/>
      <c r="J31" s="1"/>
      <c r="K31" s="1"/>
      <c r="L31" s="1"/>
      <c r="M31" s="1"/>
      <c r="N31" s="18"/>
    </row>
    <row r="32" spans="2:14" ht="15" customHeight="1" x14ac:dyDescent="0.25">
      <c r="B32" s="20"/>
      <c r="C32" s="5" t="s">
        <v>73</v>
      </c>
      <c r="D32" s="6" t="s">
        <v>13</v>
      </c>
      <c r="E32" s="11">
        <v>1.0562999999999999E-2</v>
      </c>
      <c r="F32" s="1"/>
      <c r="G32" s="1"/>
      <c r="H32" s="1"/>
      <c r="I32" s="1"/>
      <c r="J32" s="1"/>
      <c r="K32" s="1"/>
      <c r="L32" s="1"/>
      <c r="M32" s="1"/>
      <c r="N32" s="18"/>
    </row>
    <row r="33" spans="2:14" ht="15" customHeight="1" x14ac:dyDescent="0.25">
      <c r="B33" s="20"/>
      <c r="C33" s="5" t="s">
        <v>30</v>
      </c>
      <c r="D33" s="6" t="s">
        <v>13</v>
      </c>
      <c r="E33" s="11">
        <v>4.2579999999999996E-3</v>
      </c>
      <c r="F33" s="1"/>
      <c r="G33" s="1"/>
      <c r="H33" s="1"/>
      <c r="I33" s="1"/>
      <c r="J33" s="1"/>
      <c r="K33" s="1"/>
      <c r="L33" s="1"/>
      <c r="M33" s="1"/>
      <c r="N33" s="18"/>
    </row>
    <row r="34" spans="2:14" ht="15.75" customHeight="1" x14ac:dyDescent="0.25">
      <c r="B34" s="20"/>
      <c r="C34" s="7" t="s">
        <v>152</v>
      </c>
      <c r="D34" s="8"/>
      <c r="E34" s="12">
        <v>0.51885700000000001</v>
      </c>
      <c r="F34" s="1"/>
      <c r="G34" s="1"/>
      <c r="H34" s="1"/>
      <c r="I34" s="1"/>
      <c r="J34" s="1"/>
      <c r="K34" s="1"/>
      <c r="L34" s="1"/>
      <c r="M34" s="1"/>
      <c r="N34" s="18"/>
    </row>
    <row r="35" spans="2:14" ht="15" customHeight="1" x14ac:dyDescent="0.25">
      <c r="B35" s="20"/>
      <c r="C35" s="5" t="s">
        <v>28</v>
      </c>
      <c r="D35" s="6" t="s">
        <v>25</v>
      </c>
      <c r="E35" s="11">
        <v>3.2074999999999999E-2</v>
      </c>
      <c r="F35" s="1"/>
      <c r="G35" s="1"/>
      <c r="H35" s="1"/>
      <c r="I35" s="1"/>
      <c r="J35" s="1"/>
      <c r="K35" s="1"/>
      <c r="L35" s="1"/>
      <c r="M35" s="1"/>
      <c r="N35" s="18"/>
    </row>
    <row r="36" spans="2:14" ht="15" customHeight="1" x14ac:dyDescent="0.25">
      <c r="B36" s="20"/>
      <c r="C36" s="5" t="s">
        <v>34</v>
      </c>
      <c r="D36" s="6" t="s">
        <v>25</v>
      </c>
      <c r="E36" s="11">
        <v>1.3247999999999999E-2</v>
      </c>
      <c r="F36" s="1"/>
      <c r="G36" s="1"/>
      <c r="H36" s="1"/>
      <c r="I36" s="1"/>
      <c r="J36" s="1"/>
      <c r="K36" s="1"/>
      <c r="L36" s="1"/>
      <c r="M36" s="1"/>
      <c r="N36" s="18"/>
    </row>
    <row r="37" spans="2:14" ht="15" customHeight="1" x14ac:dyDescent="0.25">
      <c r="B37" s="20"/>
      <c r="C37" s="5" t="s">
        <v>153</v>
      </c>
      <c r="D37" s="6" t="s">
        <v>96</v>
      </c>
      <c r="E37" s="11">
        <v>9.4109999999999992E-3</v>
      </c>
      <c r="F37" s="1"/>
      <c r="G37" s="1"/>
      <c r="H37" s="1"/>
      <c r="I37" s="1"/>
      <c r="J37" s="1"/>
      <c r="K37" s="1"/>
      <c r="L37" s="1"/>
      <c r="M37" s="1"/>
      <c r="N37" s="18"/>
    </row>
    <row r="38" spans="2:14" ht="15" customHeight="1" x14ac:dyDescent="0.25">
      <c r="B38" s="20"/>
      <c r="C38" s="5" t="s">
        <v>73</v>
      </c>
      <c r="D38" s="6" t="s">
        <v>25</v>
      </c>
      <c r="E38" s="11">
        <v>2.1359999999999999E-3</v>
      </c>
      <c r="F38" s="1"/>
      <c r="G38" s="1"/>
      <c r="H38" s="1"/>
      <c r="I38" s="1"/>
      <c r="J38" s="1"/>
      <c r="K38" s="1"/>
      <c r="L38" s="1"/>
      <c r="M38" s="1"/>
      <c r="N38" s="18"/>
    </row>
    <row r="39" spans="2:14" ht="15.75" customHeight="1" x14ac:dyDescent="0.25">
      <c r="B39" s="20"/>
      <c r="C39" s="7" t="s">
        <v>39</v>
      </c>
      <c r="D39" s="8"/>
      <c r="E39" s="12">
        <v>5.6869999999999997E-2</v>
      </c>
      <c r="F39" s="1"/>
      <c r="G39" s="1"/>
      <c r="H39" s="1"/>
      <c r="I39" s="1"/>
      <c r="J39" s="1"/>
      <c r="K39" s="1"/>
      <c r="L39" s="1"/>
      <c r="M39" s="1"/>
      <c r="N39" s="18"/>
    </row>
    <row r="40" spans="2:14" ht="15" customHeight="1" x14ac:dyDescent="0.25">
      <c r="B40" s="20"/>
      <c r="C40" s="5" t="s">
        <v>40</v>
      </c>
      <c r="D40" s="6"/>
      <c r="E40" s="11">
        <v>2.9199999999999999E-3</v>
      </c>
      <c r="F40" s="1"/>
      <c r="G40" s="1"/>
      <c r="H40" s="1"/>
      <c r="I40" s="1"/>
      <c r="J40" s="1"/>
      <c r="K40" s="1"/>
      <c r="L40" s="1"/>
      <c r="M40" s="1"/>
      <c r="N40" s="18"/>
    </row>
    <row r="41" spans="2:14" ht="15.75" customHeight="1" x14ac:dyDescent="0.25">
      <c r="B41" s="20"/>
      <c r="C41" s="7" t="s">
        <v>41</v>
      </c>
      <c r="D41" s="8"/>
      <c r="E41" s="12">
        <v>2.9199999999999999E-3</v>
      </c>
      <c r="F41" s="1"/>
      <c r="G41" s="1"/>
      <c r="H41" s="1"/>
      <c r="I41" s="1"/>
      <c r="J41" s="1"/>
      <c r="K41" s="1"/>
      <c r="L41" s="1"/>
      <c r="M41" s="1"/>
      <c r="N41" s="18"/>
    </row>
    <row r="42" spans="2:14" ht="15" customHeight="1" x14ac:dyDescent="0.25">
      <c r="B42" s="20"/>
      <c r="C42" s="5" t="s">
        <v>183</v>
      </c>
      <c r="D42" s="6" t="s">
        <v>182</v>
      </c>
      <c r="E42" s="11">
        <v>3.0349999999999999E-3</v>
      </c>
      <c r="F42" s="1"/>
      <c r="G42" s="1"/>
      <c r="H42" s="1"/>
      <c r="I42" s="1"/>
      <c r="J42" s="1"/>
      <c r="K42" s="1"/>
      <c r="L42" s="1"/>
      <c r="M42" s="1"/>
      <c r="N42" s="18"/>
    </row>
    <row r="43" spans="2:14" ht="15.75" customHeight="1" x14ac:dyDescent="0.25">
      <c r="B43" s="20"/>
      <c r="C43" s="7" t="s">
        <v>154</v>
      </c>
      <c r="D43" s="8"/>
      <c r="E43" s="12">
        <v>3.0349999999999999E-3</v>
      </c>
      <c r="F43" s="1"/>
      <c r="G43" s="1"/>
      <c r="H43" s="1"/>
      <c r="I43" s="1"/>
      <c r="J43" s="1"/>
      <c r="K43" s="1"/>
      <c r="L43" s="1"/>
      <c r="M43" s="1"/>
      <c r="N43" s="18"/>
    </row>
    <row r="44" spans="2:14" ht="15" customHeight="1" x14ac:dyDescent="0.25">
      <c r="B44" s="20"/>
      <c r="C44" s="5" t="s">
        <v>155</v>
      </c>
      <c r="D44" s="6" t="s">
        <v>182</v>
      </c>
      <c r="E44" s="11">
        <v>5.1312000000000003E-2</v>
      </c>
      <c r="F44" s="1"/>
      <c r="G44" s="1"/>
      <c r="H44" s="1"/>
      <c r="I44" s="1"/>
      <c r="J44" s="1"/>
      <c r="K44" s="1"/>
      <c r="L44" s="1"/>
      <c r="M44" s="1"/>
      <c r="N44" s="18"/>
    </row>
    <row r="45" spans="2:14" ht="15" customHeight="1" x14ac:dyDescent="0.25">
      <c r="B45" s="20"/>
      <c r="C45" s="5" t="s">
        <v>156</v>
      </c>
      <c r="D45" s="6" t="s">
        <v>182</v>
      </c>
      <c r="E45" s="11">
        <v>3.7696E-2</v>
      </c>
      <c r="F45" s="1"/>
      <c r="G45" s="1"/>
      <c r="H45" s="1"/>
      <c r="I45" s="1"/>
      <c r="J45" s="1"/>
      <c r="K45" s="1"/>
      <c r="L45" s="1"/>
      <c r="M45" s="1"/>
      <c r="N45" s="18"/>
    </row>
    <row r="46" spans="2:14" ht="15" customHeight="1" x14ac:dyDescent="0.25">
      <c r="B46" s="20"/>
      <c r="C46" s="5" t="s">
        <v>157</v>
      </c>
      <c r="D46" s="6" t="s">
        <v>182</v>
      </c>
      <c r="E46" s="11">
        <v>3.3625000000000002E-2</v>
      </c>
      <c r="F46" s="1"/>
      <c r="G46" s="1"/>
      <c r="H46" s="1"/>
      <c r="I46" s="1"/>
      <c r="J46" s="1"/>
      <c r="K46" s="1"/>
      <c r="L46" s="1"/>
      <c r="M46" s="1"/>
      <c r="N46" s="18"/>
    </row>
    <row r="47" spans="2:14" ht="15" customHeight="1" x14ac:dyDescent="0.25">
      <c r="B47" s="20"/>
      <c r="C47" s="5" t="s">
        <v>158</v>
      </c>
      <c r="D47" s="6" t="s">
        <v>182</v>
      </c>
      <c r="E47" s="11">
        <v>2.3864E-2</v>
      </c>
      <c r="F47" s="1"/>
      <c r="G47" s="1"/>
      <c r="H47" s="1"/>
      <c r="I47" s="1"/>
      <c r="J47" s="1"/>
      <c r="K47" s="1"/>
      <c r="L47" s="1"/>
      <c r="M47" s="1"/>
      <c r="N47" s="18"/>
    </row>
    <row r="48" spans="2:14" ht="15" customHeight="1" x14ac:dyDescent="0.25">
      <c r="B48" s="20"/>
      <c r="C48" s="5" t="s">
        <v>159</v>
      </c>
      <c r="D48" s="6" t="s">
        <v>182</v>
      </c>
      <c r="E48" s="11">
        <v>1.6458E-2</v>
      </c>
      <c r="F48" s="1"/>
      <c r="G48" s="1"/>
      <c r="H48" s="1"/>
      <c r="I48" s="1"/>
      <c r="J48" s="1"/>
      <c r="K48" s="1"/>
      <c r="L48" s="1"/>
      <c r="M48" s="1"/>
      <c r="N48" s="18"/>
    </row>
    <row r="49" spans="2:14" ht="15" customHeight="1" x14ac:dyDescent="0.25">
      <c r="B49" s="20"/>
      <c r="C49" s="5" t="s">
        <v>160</v>
      </c>
      <c r="D49" s="6" t="s">
        <v>182</v>
      </c>
      <c r="E49" s="11">
        <v>1.5303000000000001E-2</v>
      </c>
      <c r="F49" s="1"/>
      <c r="G49" s="1"/>
      <c r="H49" s="1"/>
      <c r="I49" s="1"/>
      <c r="J49" s="1"/>
      <c r="K49" s="1"/>
      <c r="L49" s="1"/>
      <c r="M49" s="1"/>
      <c r="N49" s="18"/>
    </row>
    <row r="50" spans="2:14" ht="15" customHeight="1" x14ac:dyDescent="0.25">
      <c r="B50" s="20"/>
      <c r="C50" s="5" t="s">
        <v>161</v>
      </c>
      <c r="D50" s="6" t="s">
        <v>182</v>
      </c>
      <c r="E50" s="11">
        <v>2.1180000000000001E-3</v>
      </c>
      <c r="F50" s="1"/>
      <c r="G50" s="1"/>
      <c r="H50" s="1"/>
      <c r="I50" s="1"/>
      <c r="J50" s="1"/>
      <c r="K50" s="1"/>
      <c r="L50" s="1"/>
      <c r="M50" s="1"/>
      <c r="N50" s="18"/>
    </row>
    <row r="51" spans="2:14" ht="15" customHeight="1" x14ac:dyDescent="0.25">
      <c r="B51" s="20"/>
      <c r="C51" s="5" t="s">
        <v>162</v>
      </c>
      <c r="D51" s="6" t="s">
        <v>182</v>
      </c>
      <c r="E51" s="11">
        <v>1.271E-3</v>
      </c>
      <c r="F51" s="1"/>
      <c r="G51" s="1"/>
      <c r="H51" s="1"/>
      <c r="I51" s="1"/>
      <c r="J51" s="1"/>
      <c r="K51" s="1"/>
      <c r="L51" s="1"/>
      <c r="M51" s="1"/>
      <c r="N51" s="18"/>
    </row>
    <row r="52" spans="2:14" ht="15.75" customHeight="1" x14ac:dyDescent="0.25">
      <c r="B52" s="20"/>
      <c r="C52" s="7" t="s">
        <v>163</v>
      </c>
      <c r="D52" s="8"/>
      <c r="E52" s="12">
        <v>0.181647</v>
      </c>
      <c r="F52" s="1"/>
      <c r="G52" s="1"/>
      <c r="H52" s="1"/>
      <c r="I52" s="1"/>
      <c r="J52" s="1"/>
      <c r="K52" s="1"/>
      <c r="L52" s="1"/>
      <c r="M52" s="1"/>
      <c r="N52" s="18"/>
    </row>
    <row r="53" spans="2:14" ht="15" customHeight="1" x14ac:dyDescent="0.25">
      <c r="B53" s="20"/>
      <c r="C53" s="5" t="s">
        <v>50</v>
      </c>
      <c r="D53" s="6"/>
      <c r="E53" s="11">
        <v>8.7709999999999993E-3</v>
      </c>
      <c r="F53" s="1"/>
      <c r="G53" s="1"/>
      <c r="H53" s="1"/>
      <c r="I53" s="1"/>
      <c r="J53" s="1"/>
      <c r="K53" s="1"/>
      <c r="L53" s="1"/>
      <c r="M53" s="1"/>
      <c r="N53" s="18"/>
    </row>
    <row r="54" spans="2:14" ht="15.75" customHeight="1" x14ac:dyDescent="0.25">
      <c r="B54" s="20"/>
      <c r="C54" s="7" t="s">
        <v>51</v>
      </c>
      <c r="D54" s="8"/>
      <c r="E54" s="12">
        <v>8.7709999999999993E-3</v>
      </c>
      <c r="F54" s="1"/>
      <c r="G54" s="1"/>
      <c r="H54" s="1"/>
      <c r="I54" s="1"/>
      <c r="J54" s="1"/>
      <c r="K54" s="1"/>
      <c r="L54" s="1"/>
      <c r="M54" s="1"/>
      <c r="N54" s="18"/>
    </row>
    <row r="55" spans="2:14" ht="15" customHeight="1" x14ac:dyDescent="0.25">
      <c r="B55" s="20"/>
      <c r="C55" s="5" t="s">
        <v>164</v>
      </c>
      <c r="D55" s="6" t="s">
        <v>25</v>
      </c>
      <c r="E55" s="11">
        <v>4.2659999999999998E-3</v>
      </c>
      <c r="F55" s="1"/>
      <c r="G55" s="1"/>
      <c r="H55" s="1"/>
      <c r="I55" s="1"/>
      <c r="J55" s="1"/>
      <c r="K55" s="1"/>
      <c r="L55" s="1"/>
      <c r="M55" s="1"/>
      <c r="N55" s="18"/>
    </row>
    <row r="56" spans="2:14" ht="15.75" customHeight="1" x14ac:dyDescent="0.25">
      <c r="B56" s="20"/>
      <c r="C56" s="7" t="s">
        <v>83</v>
      </c>
      <c r="D56" s="8"/>
      <c r="E56" s="12">
        <v>4.2659999999999998E-3</v>
      </c>
      <c r="F56" s="1"/>
      <c r="G56" s="1"/>
      <c r="H56" s="1"/>
      <c r="I56" s="1"/>
      <c r="J56" s="1"/>
      <c r="K56" s="1"/>
      <c r="L56" s="1"/>
      <c r="M56" s="1"/>
      <c r="N56" s="18"/>
    </row>
    <row r="57" spans="2:14" ht="15" customHeight="1" x14ac:dyDescent="0.25">
      <c r="B57" s="20"/>
      <c r="C57" s="5"/>
      <c r="D57" s="6"/>
      <c r="E57" s="11"/>
      <c r="F57" s="1"/>
      <c r="G57" s="1"/>
      <c r="H57" s="1"/>
      <c r="I57" s="1"/>
      <c r="J57" s="1"/>
      <c r="K57" s="1"/>
      <c r="L57" s="1"/>
      <c r="M57" s="1"/>
      <c r="N57" s="18"/>
    </row>
    <row r="58" spans="2:14" ht="15.75" customHeight="1" x14ac:dyDescent="0.25">
      <c r="B58" s="20"/>
      <c r="C58" s="7" t="s">
        <v>52</v>
      </c>
      <c r="D58" s="8"/>
      <c r="E58" s="12">
        <v>-6.4460000000000003E-2</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9" t="s">
        <v>53</v>
      </c>
      <c r="D60" s="10"/>
      <c r="E60" s="13">
        <v>1</v>
      </c>
      <c r="F60" s="1"/>
      <c r="G60" s="1"/>
      <c r="H60" s="1"/>
      <c r="I60" s="1"/>
      <c r="J60" s="1"/>
      <c r="K60" s="1"/>
      <c r="L60" s="1"/>
      <c r="M60" s="1"/>
      <c r="N60" s="18"/>
    </row>
    <row r="61" spans="2:14" ht="15" customHeight="1" x14ac:dyDescent="0.25">
      <c r="B61" s="20"/>
      <c r="C61" s="1"/>
      <c r="D61" s="1"/>
      <c r="E61" s="1"/>
      <c r="F61" s="1"/>
      <c r="G61" s="1"/>
      <c r="H61" s="1"/>
      <c r="I61" s="1"/>
      <c r="J61" s="1"/>
      <c r="K61" s="1"/>
      <c r="L61" s="1"/>
      <c r="M61" s="1"/>
      <c r="N61" s="18"/>
    </row>
    <row r="62" spans="2:14" ht="15" customHeight="1" thickBot="1" x14ac:dyDescent="0.3">
      <c r="B62" s="21"/>
      <c r="C62" s="22"/>
      <c r="D62" s="22"/>
      <c r="E62" s="22"/>
      <c r="F62" s="22"/>
      <c r="G62" s="22"/>
      <c r="H62" s="22"/>
      <c r="I62" s="22"/>
      <c r="J62" s="22"/>
      <c r="K62" s="22"/>
      <c r="L62" s="22"/>
      <c r="M62" s="22"/>
      <c r="N62" s="23"/>
    </row>
    <row r="63" spans="2:14" ht="15" customHeight="1" thickBot="1" x14ac:dyDescent="0.3"/>
    <row r="64" spans="2:14" ht="15" customHeight="1" x14ac:dyDescent="0.25">
      <c r="B64" s="88" t="s">
        <v>213</v>
      </c>
      <c r="C64" s="89"/>
      <c r="D64" s="89"/>
      <c r="E64" s="89"/>
      <c r="F64" s="89"/>
      <c r="G64" s="89"/>
      <c r="H64" s="89"/>
      <c r="I64" s="89"/>
      <c r="J64" s="89"/>
      <c r="K64" s="89"/>
      <c r="L64" s="89"/>
      <c r="M64" s="89"/>
      <c r="N64" s="90"/>
    </row>
    <row r="65" spans="2:14" ht="15" customHeight="1" x14ac:dyDescent="0.25">
      <c r="B65" s="91"/>
      <c r="C65" s="92"/>
      <c r="D65" s="92"/>
      <c r="E65" s="92"/>
      <c r="F65" s="92"/>
      <c r="G65" s="92"/>
      <c r="H65" s="92"/>
      <c r="I65" s="92"/>
      <c r="J65" s="92"/>
      <c r="K65" s="92"/>
      <c r="L65" s="92"/>
      <c r="M65" s="92"/>
      <c r="N65" s="93"/>
    </row>
    <row r="66" spans="2:14" ht="15" customHeight="1" x14ac:dyDescent="0.25">
      <c r="B66" s="91"/>
      <c r="C66" s="92"/>
      <c r="D66" s="92"/>
      <c r="E66" s="92"/>
      <c r="F66" s="92"/>
      <c r="G66" s="92"/>
      <c r="H66" s="92"/>
      <c r="I66" s="92"/>
      <c r="J66" s="92"/>
      <c r="K66" s="92"/>
      <c r="L66" s="92"/>
      <c r="M66" s="92"/>
      <c r="N66" s="93"/>
    </row>
    <row r="67" spans="2:14" ht="15" customHeight="1" thickBot="1" x14ac:dyDescent="0.3">
      <c r="B67" s="94"/>
      <c r="C67" s="95"/>
      <c r="D67" s="95"/>
      <c r="E67" s="95"/>
      <c r="F67" s="95"/>
      <c r="G67" s="95"/>
      <c r="H67" s="95"/>
      <c r="I67" s="95"/>
      <c r="J67" s="95"/>
      <c r="K67" s="95"/>
      <c r="L67" s="95"/>
      <c r="M67" s="95"/>
      <c r="N67" s="96"/>
    </row>
    <row r="68" spans="2:14" ht="15" customHeight="1" thickBot="1" x14ac:dyDescent="0.3"/>
    <row r="69" spans="2:14" ht="128.25" customHeight="1" thickBot="1" x14ac:dyDescent="0.3">
      <c r="B69" s="97" t="s">
        <v>214</v>
      </c>
      <c r="C69" s="98"/>
      <c r="D69" s="98"/>
      <c r="E69" s="98"/>
      <c r="F69" s="98"/>
      <c r="G69" s="98"/>
      <c r="H69" s="98"/>
      <c r="I69" s="98"/>
      <c r="J69" s="98"/>
      <c r="K69" s="98"/>
      <c r="L69" s="98"/>
      <c r="M69" s="98"/>
      <c r="N69" s="99"/>
    </row>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sheetData>
  <mergeCells count="7">
    <mergeCell ref="B64:N67"/>
    <mergeCell ref="B69:N69"/>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4145-49DB-47A6-8118-A23C6698B9CF}">
  <dimension ref="B1:N108"/>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171</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323</v>
      </c>
      <c r="E5" s="10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14</v>
      </c>
      <c r="D8" s="6" t="s">
        <v>13</v>
      </c>
      <c r="E8" s="11">
        <v>9.016600000000001E-2</v>
      </c>
      <c r="F8" s="1"/>
      <c r="G8" s="47" t="s">
        <v>256</v>
      </c>
      <c r="H8" s="48">
        <f>100%-H9</f>
        <v>0.95311100000000004</v>
      </c>
      <c r="I8" s="49"/>
      <c r="J8" s="47" t="s">
        <v>54</v>
      </c>
      <c r="K8" s="47" t="s">
        <v>5</v>
      </c>
      <c r="L8" s="49"/>
      <c r="M8" s="1"/>
      <c r="N8" s="18"/>
    </row>
    <row r="9" spans="2:14" ht="15" customHeight="1" x14ac:dyDescent="0.25">
      <c r="B9" s="20"/>
      <c r="C9" s="5" t="s">
        <v>24</v>
      </c>
      <c r="D9" s="6" t="s">
        <v>13</v>
      </c>
      <c r="E9" s="11">
        <v>7.3879E-2</v>
      </c>
      <c r="F9" s="1"/>
      <c r="G9" s="47" t="s">
        <v>102</v>
      </c>
      <c r="H9" s="48">
        <f>E22+E77+E27</f>
        <v>4.6889E-2</v>
      </c>
      <c r="I9" s="49"/>
      <c r="J9" s="47" t="s">
        <v>52</v>
      </c>
      <c r="K9" s="48">
        <v>-2.2037000000000001E-2</v>
      </c>
      <c r="L9" s="49"/>
      <c r="M9" s="1"/>
      <c r="N9" s="18"/>
    </row>
    <row r="10" spans="2:14" ht="15" customHeight="1" x14ac:dyDescent="0.25">
      <c r="B10" s="20"/>
      <c r="C10" s="5" t="s">
        <v>15</v>
      </c>
      <c r="D10" s="6" t="s">
        <v>13</v>
      </c>
      <c r="E10" s="11">
        <v>2.8163999999999998E-2</v>
      </c>
      <c r="F10" s="1"/>
      <c r="G10" s="47"/>
      <c r="H10" s="47"/>
      <c r="I10" s="49"/>
      <c r="J10" s="47" t="s">
        <v>55</v>
      </c>
      <c r="K10" s="48">
        <v>1.916E-3</v>
      </c>
      <c r="L10" s="49"/>
      <c r="M10" s="1"/>
      <c r="N10" s="18"/>
    </row>
    <row r="11" spans="2:14" ht="15" customHeight="1" x14ac:dyDescent="0.25">
      <c r="B11" s="20"/>
      <c r="C11" s="5" t="s">
        <v>21</v>
      </c>
      <c r="D11" s="6" t="s">
        <v>13</v>
      </c>
      <c r="E11" s="11">
        <v>1.5983999999999998E-2</v>
      </c>
      <c r="F11" s="1"/>
      <c r="G11" s="1"/>
      <c r="H11" s="1"/>
      <c r="I11" s="49"/>
      <c r="J11" s="47" t="s">
        <v>56</v>
      </c>
      <c r="K11" s="48">
        <v>0.21834400000000001</v>
      </c>
      <c r="L11" s="49"/>
      <c r="M11" s="1"/>
      <c r="N11" s="18"/>
    </row>
    <row r="12" spans="2:14" ht="15" customHeight="1" x14ac:dyDescent="0.25">
      <c r="B12" s="20"/>
      <c r="C12" s="5" t="s">
        <v>20</v>
      </c>
      <c r="D12" s="6" t="s">
        <v>13</v>
      </c>
      <c r="E12" s="11">
        <v>5.6439999999999997E-3</v>
      </c>
      <c r="F12" s="1"/>
      <c r="G12" s="1"/>
      <c r="H12" s="1"/>
      <c r="I12" s="49"/>
      <c r="J12" s="47" t="s">
        <v>57</v>
      </c>
      <c r="K12" s="48">
        <v>0.44281800000000004</v>
      </c>
      <c r="L12" s="49"/>
      <c r="M12" s="1"/>
      <c r="N12" s="18"/>
    </row>
    <row r="13" spans="2:14" ht="15" customHeight="1" x14ac:dyDescent="0.25">
      <c r="B13" s="20"/>
      <c r="C13" s="5" t="s">
        <v>184</v>
      </c>
      <c r="D13" s="6" t="s">
        <v>13</v>
      </c>
      <c r="E13" s="11">
        <v>4.5069999999999997E-3</v>
      </c>
      <c r="F13" s="1"/>
      <c r="G13" s="1"/>
      <c r="H13" s="1"/>
      <c r="I13" s="49"/>
      <c r="J13" s="47" t="s">
        <v>165</v>
      </c>
      <c r="K13" s="48">
        <v>1.8190999999999999E-2</v>
      </c>
      <c r="L13" s="49"/>
      <c r="M13" s="1"/>
      <c r="N13" s="18"/>
    </row>
    <row r="14" spans="2:14" ht="15.75" customHeight="1" x14ac:dyDescent="0.25">
      <c r="B14" s="20"/>
      <c r="C14" s="7" t="s">
        <v>23</v>
      </c>
      <c r="D14" s="8"/>
      <c r="E14" s="12">
        <v>0.21834400000000001</v>
      </c>
      <c r="F14" s="1"/>
      <c r="G14" s="1"/>
      <c r="H14" s="1"/>
      <c r="I14" s="49"/>
      <c r="J14" s="47" t="s">
        <v>40</v>
      </c>
      <c r="K14" s="48">
        <v>3.0209999999999998E-3</v>
      </c>
      <c r="L14" s="49"/>
      <c r="M14" s="1"/>
      <c r="N14" s="18"/>
    </row>
    <row r="15" spans="2:14" ht="15" customHeight="1" x14ac:dyDescent="0.25">
      <c r="B15" s="20"/>
      <c r="C15" s="5" t="s">
        <v>145</v>
      </c>
      <c r="D15" s="6" t="s">
        <v>13</v>
      </c>
      <c r="E15" s="11">
        <v>1.8190999999999999E-2</v>
      </c>
      <c r="F15" s="1"/>
      <c r="G15" s="1"/>
      <c r="H15" s="1"/>
      <c r="I15" s="49"/>
      <c r="J15" s="47" t="s">
        <v>58</v>
      </c>
      <c r="K15" s="48">
        <v>1.371E-3</v>
      </c>
      <c r="L15" s="49"/>
      <c r="M15" s="1"/>
      <c r="N15" s="18"/>
    </row>
    <row r="16" spans="2:14" ht="15.75" customHeight="1" x14ac:dyDescent="0.25">
      <c r="B16" s="20"/>
      <c r="C16" s="7" t="s">
        <v>152</v>
      </c>
      <c r="D16" s="8"/>
      <c r="E16" s="12">
        <v>1.8190999999999999E-2</v>
      </c>
      <c r="F16" s="1"/>
      <c r="G16" s="1"/>
      <c r="H16" s="1"/>
      <c r="I16" s="49"/>
      <c r="J16" s="47" t="s">
        <v>59</v>
      </c>
      <c r="K16" s="48">
        <v>0.30778100000000003</v>
      </c>
      <c r="L16" s="49"/>
      <c r="M16" s="1"/>
      <c r="N16" s="18"/>
    </row>
    <row r="17" spans="2:14" ht="15" customHeight="1" x14ac:dyDescent="0.25">
      <c r="B17" s="20"/>
      <c r="C17" s="5" t="s">
        <v>20</v>
      </c>
      <c r="D17" s="6" t="s">
        <v>25</v>
      </c>
      <c r="E17" s="11">
        <v>0.11840700000000001</v>
      </c>
      <c r="F17" s="1"/>
      <c r="G17" s="1"/>
      <c r="H17" s="1"/>
      <c r="I17" s="49"/>
      <c r="J17" s="47" t="s">
        <v>84</v>
      </c>
      <c r="K17" s="48">
        <v>2.8594999999999999E-2</v>
      </c>
      <c r="L17" s="49"/>
      <c r="M17" s="1"/>
      <c r="N17" s="18"/>
    </row>
    <row r="18" spans="2:14" ht="15" customHeight="1" x14ac:dyDescent="0.25">
      <c r="B18" s="20"/>
      <c r="C18" s="5" t="s">
        <v>38</v>
      </c>
      <c r="D18" s="6" t="s">
        <v>25</v>
      </c>
      <c r="E18" s="11">
        <v>0.116899</v>
      </c>
      <c r="F18" s="1"/>
      <c r="G18" s="1"/>
      <c r="H18" s="1"/>
      <c r="I18" s="49"/>
      <c r="J18" s="49"/>
      <c r="K18" s="49"/>
      <c r="L18" s="49"/>
      <c r="M18" s="1"/>
      <c r="N18" s="18"/>
    </row>
    <row r="19" spans="2:14" ht="15" customHeight="1" x14ac:dyDescent="0.25">
      <c r="B19" s="20"/>
      <c r="C19" s="5" t="s">
        <v>69</v>
      </c>
      <c r="D19" s="6" t="s">
        <v>25</v>
      </c>
      <c r="E19" s="11">
        <v>6.7278999999999992E-2</v>
      </c>
      <c r="F19" s="1"/>
      <c r="G19" s="1"/>
      <c r="H19" s="1"/>
      <c r="I19" s="49"/>
      <c r="J19" s="49"/>
      <c r="K19" s="49"/>
      <c r="L19" s="49"/>
      <c r="M19" s="1"/>
      <c r="N19" s="18"/>
    </row>
    <row r="20" spans="2:14" ht="15" customHeight="1" x14ac:dyDescent="0.25">
      <c r="B20" s="20"/>
      <c r="C20" s="5" t="s">
        <v>27</v>
      </c>
      <c r="D20" s="6" t="s">
        <v>25</v>
      </c>
      <c r="E20" s="11">
        <v>4.2237999999999998E-2</v>
      </c>
      <c r="F20" s="1"/>
      <c r="G20" s="1"/>
      <c r="H20" s="1"/>
      <c r="I20" s="49"/>
      <c r="J20" s="49"/>
      <c r="K20" s="49"/>
      <c r="L20" s="49"/>
      <c r="M20" s="1"/>
      <c r="N20" s="18"/>
    </row>
    <row r="21" spans="2:14" ht="15" customHeight="1" x14ac:dyDescent="0.25">
      <c r="B21" s="20"/>
      <c r="C21" s="5" t="s">
        <v>24</v>
      </c>
      <c r="D21" s="6" t="s">
        <v>25</v>
      </c>
      <c r="E21" s="11">
        <v>2.2981999999999999E-2</v>
      </c>
      <c r="F21" s="1"/>
      <c r="G21" s="1"/>
      <c r="H21" s="1"/>
      <c r="I21" s="1"/>
      <c r="J21" s="1"/>
      <c r="K21" s="1"/>
      <c r="L21" s="1"/>
      <c r="M21" s="1"/>
      <c r="N21" s="18"/>
    </row>
    <row r="22" spans="2:14" ht="15" customHeight="1" x14ac:dyDescent="0.25">
      <c r="B22" s="20"/>
      <c r="C22" s="5" t="s">
        <v>133</v>
      </c>
      <c r="D22" s="6" t="s">
        <v>96</v>
      </c>
      <c r="E22" s="11">
        <v>1.9300000000000001E-2</v>
      </c>
      <c r="F22" s="1"/>
      <c r="G22" s="1"/>
      <c r="H22" s="1"/>
      <c r="I22" s="1"/>
      <c r="J22" s="1"/>
      <c r="K22" s="1"/>
      <c r="L22" s="1"/>
      <c r="M22" s="1"/>
      <c r="N22" s="18"/>
    </row>
    <row r="23" spans="2:14" ht="15" customHeight="1" x14ac:dyDescent="0.25">
      <c r="B23" s="20"/>
      <c r="C23" s="5" t="s">
        <v>22</v>
      </c>
      <c r="D23" s="6" t="s">
        <v>25</v>
      </c>
      <c r="E23" s="11">
        <v>1.4316000000000001E-2</v>
      </c>
      <c r="F23" s="1"/>
      <c r="G23" s="1"/>
      <c r="H23" s="1"/>
      <c r="I23" s="1"/>
      <c r="J23" s="1"/>
      <c r="K23" s="1"/>
      <c r="L23" s="1"/>
      <c r="M23" s="1"/>
      <c r="N23" s="18"/>
    </row>
    <row r="24" spans="2:14" ht="15" customHeight="1" x14ac:dyDescent="0.25">
      <c r="B24" s="20"/>
      <c r="C24" s="5" t="s">
        <v>62</v>
      </c>
      <c r="D24" s="6" t="s">
        <v>25</v>
      </c>
      <c r="E24" s="11">
        <v>1.1572000000000001E-2</v>
      </c>
      <c r="F24" s="1"/>
      <c r="G24" s="105" t="s">
        <v>124</v>
      </c>
      <c r="H24" s="106"/>
      <c r="I24" s="106"/>
      <c r="J24" s="106"/>
      <c r="K24" s="106"/>
      <c r="L24" s="54">
        <v>355.40178855350763</v>
      </c>
      <c r="M24" s="27"/>
      <c r="N24" s="28"/>
    </row>
    <row r="25" spans="2:14" ht="15" customHeight="1" x14ac:dyDescent="0.25">
      <c r="B25" s="20"/>
      <c r="C25" s="5" t="s">
        <v>28</v>
      </c>
      <c r="D25" s="6" t="s">
        <v>25</v>
      </c>
      <c r="E25" s="11">
        <v>1.0605999999999999E-2</v>
      </c>
      <c r="F25" s="1"/>
      <c r="G25" s="1"/>
      <c r="H25" s="1"/>
      <c r="I25" s="1"/>
      <c r="J25" s="1"/>
      <c r="K25" s="1"/>
      <c r="L25" s="1"/>
      <c r="M25" s="1"/>
      <c r="N25" s="18"/>
    </row>
    <row r="26" spans="2:14" ht="15" customHeight="1" x14ac:dyDescent="0.25">
      <c r="B26" s="20"/>
      <c r="C26" s="5" t="s">
        <v>68</v>
      </c>
      <c r="D26" s="6" t="s">
        <v>25</v>
      </c>
      <c r="E26" s="11">
        <v>9.6290000000000004E-3</v>
      </c>
      <c r="F26" s="1"/>
      <c r="G26" s="105" t="s">
        <v>9</v>
      </c>
      <c r="H26" s="110"/>
      <c r="I26" s="110"/>
      <c r="J26" s="110"/>
      <c r="K26" s="110"/>
      <c r="L26" s="110"/>
      <c r="M26" s="110"/>
      <c r="N26" s="111"/>
    </row>
    <row r="27" spans="2:14" ht="15" customHeight="1" x14ac:dyDescent="0.25">
      <c r="B27" s="20"/>
      <c r="C27" s="5" t="s">
        <v>132</v>
      </c>
      <c r="D27" s="6" t="s">
        <v>96</v>
      </c>
      <c r="E27" s="11">
        <v>4.8069999999999996E-3</v>
      </c>
      <c r="F27" s="1"/>
      <c r="G27" s="1"/>
      <c r="H27" s="1"/>
      <c r="I27" s="1"/>
      <c r="J27" s="1"/>
      <c r="K27" s="1"/>
      <c r="L27" s="1"/>
      <c r="M27" s="1"/>
      <c r="N27" s="18"/>
    </row>
    <row r="28" spans="2:14" ht="15" customHeight="1" x14ac:dyDescent="0.25">
      <c r="B28" s="20"/>
      <c r="C28" s="5" t="s">
        <v>73</v>
      </c>
      <c r="D28" s="6" t="s">
        <v>25</v>
      </c>
      <c r="E28" s="11">
        <v>4.7829999999999999E-3</v>
      </c>
      <c r="F28" s="1"/>
      <c r="G28" s="1"/>
      <c r="H28" s="1"/>
      <c r="I28" s="1"/>
      <c r="J28" s="1"/>
      <c r="K28" s="1"/>
      <c r="L28" s="1"/>
      <c r="M28" s="1"/>
      <c r="N28" s="18"/>
    </row>
    <row r="29" spans="2:14" ht="15.75" customHeight="1" x14ac:dyDescent="0.25">
      <c r="B29" s="20"/>
      <c r="C29" s="7" t="s">
        <v>39</v>
      </c>
      <c r="D29" s="8"/>
      <c r="E29" s="12">
        <v>0.44281800000000004</v>
      </c>
      <c r="F29" s="1"/>
      <c r="G29" s="1"/>
      <c r="H29" s="1"/>
      <c r="I29" s="1"/>
      <c r="J29" s="1"/>
      <c r="K29" s="1"/>
      <c r="L29" s="1"/>
      <c r="M29" s="1"/>
      <c r="N29" s="18"/>
    </row>
    <row r="30" spans="2:14" ht="15" customHeight="1" x14ac:dyDescent="0.25">
      <c r="B30" s="20"/>
      <c r="C30" s="5" t="s">
        <v>40</v>
      </c>
      <c r="D30" s="6"/>
      <c r="E30" s="11">
        <v>3.0209999999999998E-3</v>
      </c>
      <c r="F30" s="1"/>
      <c r="G30" s="1"/>
      <c r="H30" s="1"/>
      <c r="I30" s="1"/>
      <c r="J30" s="1"/>
      <c r="K30" s="1"/>
      <c r="L30" s="1"/>
      <c r="M30" s="1"/>
      <c r="N30" s="18"/>
    </row>
    <row r="31" spans="2:14" ht="15.75" customHeight="1" x14ac:dyDescent="0.25">
      <c r="B31" s="20"/>
      <c r="C31" s="7" t="s">
        <v>41</v>
      </c>
      <c r="D31" s="8"/>
      <c r="E31" s="12">
        <v>3.0209999999999998E-3</v>
      </c>
      <c r="F31" s="1"/>
      <c r="G31" s="1"/>
      <c r="H31" s="1"/>
      <c r="I31" s="1"/>
      <c r="J31" s="1"/>
      <c r="K31" s="1"/>
      <c r="L31" s="1"/>
      <c r="M31" s="1"/>
      <c r="N31" s="18"/>
    </row>
    <row r="32" spans="2:14" ht="15" customHeight="1" x14ac:dyDescent="0.25">
      <c r="B32" s="20"/>
      <c r="C32" s="5" t="s">
        <v>111</v>
      </c>
      <c r="D32" s="6" t="s">
        <v>182</v>
      </c>
      <c r="E32" s="11">
        <v>1.371E-3</v>
      </c>
      <c r="F32" s="1"/>
      <c r="G32" s="1"/>
      <c r="H32" s="1"/>
      <c r="I32" s="1"/>
      <c r="J32" s="1"/>
      <c r="K32" s="1"/>
      <c r="L32" s="1"/>
      <c r="M32" s="1"/>
      <c r="N32" s="18"/>
    </row>
    <row r="33" spans="2:14" ht="15.75" customHeight="1" x14ac:dyDescent="0.25">
      <c r="B33" s="20"/>
      <c r="C33" s="7" t="s">
        <v>48</v>
      </c>
      <c r="D33" s="8"/>
      <c r="E33" s="12">
        <v>1.371E-3</v>
      </c>
      <c r="F33" s="1"/>
      <c r="G33" s="1"/>
      <c r="H33" s="1"/>
      <c r="I33" s="1"/>
      <c r="J33" s="1"/>
      <c r="K33" s="1"/>
      <c r="L33" s="1"/>
      <c r="M33" s="1"/>
      <c r="N33" s="18"/>
    </row>
    <row r="34" spans="2:14" ht="15" customHeight="1" x14ac:dyDescent="0.25">
      <c r="B34" s="20"/>
      <c r="C34" s="5" t="s">
        <v>217</v>
      </c>
      <c r="D34" s="6" t="s">
        <v>182</v>
      </c>
      <c r="E34" s="11">
        <v>3.9974000000000003E-2</v>
      </c>
      <c r="F34" s="1"/>
      <c r="G34" s="1"/>
      <c r="H34" s="1"/>
      <c r="I34" s="1"/>
      <c r="J34" s="1"/>
      <c r="K34" s="1"/>
      <c r="L34" s="1"/>
      <c r="M34" s="1"/>
      <c r="N34" s="18"/>
    </row>
    <row r="35" spans="2:14" ht="15.75" customHeight="1" x14ac:dyDescent="0.25">
      <c r="B35" s="20"/>
      <c r="C35" s="5" t="s">
        <v>218</v>
      </c>
      <c r="D35" s="6" t="s">
        <v>182</v>
      </c>
      <c r="E35" s="11">
        <v>2.2544000000000002E-2</v>
      </c>
      <c r="F35" s="1"/>
      <c r="G35" s="1"/>
      <c r="H35" s="1"/>
      <c r="I35" s="1"/>
      <c r="J35" s="1"/>
      <c r="K35" s="1"/>
      <c r="L35" s="1"/>
      <c r="M35" s="1"/>
      <c r="N35" s="18"/>
    </row>
    <row r="36" spans="2:14" ht="15" customHeight="1" x14ac:dyDescent="0.25">
      <c r="B36" s="20"/>
      <c r="C36" s="5" t="s">
        <v>219</v>
      </c>
      <c r="D36" s="6" t="s">
        <v>182</v>
      </c>
      <c r="E36" s="11">
        <v>2.1600999999999999E-2</v>
      </c>
      <c r="F36" s="1"/>
      <c r="G36" s="1"/>
      <c r="H36" s="1"/>
      <c r="I36" s="1"/>
      <c r="J36" s="1"/>
      <c r="K36" s="1"/>
      <c r="L36" s="1"/>
      <c r="M36" s="1"/>
      <c r="N36" s="18"/>
    </row>
    <row r="37" spans="2:14" ht="15.75" customHeight="1" x14ac:dyDescent="0.25">
      <c r="B37" s="20"/>
      <c r="C37" s="5" t="s">
        <v>220</v>
      </c>
      <c r="D37" s="6" t="s">
        <v>182</v>
      </c>
      <c r="E37" s="11">
        <v>1.9599999999999999E-2</v>
      </c>
      <c r="F37" s="1"/>
      <c r="G37" s="1"/>
      <c r="H37" s="1"/>
      <c r="I37" s="1"/>
      <c r="J37" s="1"/>
      <c r="K37" s="1"/>
      <c r="L37" s="1"/>
      <c r="M37" s="1"/>
      <c r="N37" s="18"/>
    </row>
    <row r="38" spans="2:14" ht="15" customHeight="1" x14ac:dyDescent="0.25">
      <c r="B38" s="20"/>
      <c r="C38" s="5" t="s">
        <v>221</v>
      </c>
      <c r="D38" s="6" t="s">
        <v>182</v>
      </c>
      <c r="E38" s="11">
        <v>1.9564000000000002E-2</v>
      </c>
      <c r="F38" s="1"/>
      <c r="G38" s="1"/>
      <c r="H38" s="1"/>
      <c r="I38" s="1"/>
      <c r="J38" s="1"/>
      <c r="K38" s="1"/>
      <c r="L38" s="1"/>
      <c r="M38" s="1"/>
      <c r="N38" s="18"/>
    </row>
    <row r="39" spans="2:14" ht="15" customHeight="1" x14ac:dyDescent="0.25">
      <c r="B39" s="20"/>
      <c r="C39" s="5" t="s">
        <v>222</v>
      </c>
      <c r="D39" s="6" t="s">
        <v>182</v>
      </c>
      <c r="E39" s="11">
        <v>1.7788000000000002E-2</v>
      </c>
      <c r="F39" s="1"/>
      <c r="G39" s="1"/>
      <c r="H39" s="1"/>
      <c r="I39" s="1"/>
      <c r="J39" s="1"/>
      <c r="K39" s="1"/>
      <c r="L39" s="1"/>
      <c r="M39" s="1"/>
      <c r="N39" s="18"/>
    </row>
    <row r="40" spans="2:14" ht="15" customHeight="1" x14ac:dyDescent="0.25">
      <c r="B40" s="20"/>
      <c r="C40" s="5" t="s">
        <v>223</v>
      </c>
      <c r="D40" s="6" t="s">
        <v>182</v>
      </c>
      <c r="E40" s="11">
        <v>1.6206999999999999E-2</v>
      </c>
      <c r="F40" s="1"/>
      <c r="G40" s="1"/>
      <c r="H40" s="1"/>
      <c r="I40" s="1"/>
      <c r="J40" s="1"/>
      <c r="K40" s="1"/>
      <c r="L40" s="1"/>
      <c r="M40" s="1"/>
      <c r="N40" s="18"/>
    </row>
    <row r="41" spans="2:14" ht="15.75" customHeight="1" x14ac:dyDescent="0.25">
      <c r="B41" s="20"/>
      <c r="C41" s="5" t="s">
        <v>224</v>
      </c>
      <c r="D41" s="6" t="s">
        <v>182</v>
      </c>
      <c r="E41" s="11">
        <v>1.3535E-2</v>
      </c>
      <c r="F41" s="1"/>
      <c r="G41" s="1"/>
      <c r="H41" s="1"/>
      <c r="I41" s="1"/>
      <c r="J41" s="1"/>
      <c r="K41" s="1"/>
      <c r="L41" s="1"/>
      <c r="M41" s="1"/>
      <c r="N41" s="18"/>
    </row>
    <row r="42" spans="2:14" ht="15" customHeight="1" x14ac:dyDescent="0.25">
      <c r="B42" s="20"/>
      <c r="C42" s="5" t="s">
        <v>225</v>
      </c>
      <c r="D42" s="6" t="s">
        <v>182</v>
      </c>
      <c r="E42" s="11">
        <v>1.2357999999999999E-2</v>
      </c>
      <c r="F42" s="1"/>
      <c r="G42" s="1"/>
      <c r="H42" s="1"/>
      <c r="I42" s="1"/>
      <c r="J42" s="1"/>
      <c r="K42" s="1"/>
      <c r="L42" s="1"/>
      <c r="M42" s="1"/>
      <c r="N42" s="18"/>
    </row>
    <row r="43" spans="2:14" ht="15.75" customHeight="1" x14ac:dyDescent="0.25">
      <c r="B43" s="20"/>
      <c r="C43" s="5" t="s">
        <v>226</v>
      </c>
      <c r="D43" s="6" t="s">
        <v>182</v>
      </c>
      <c r="E43" s="11">
        <v>1.1816E-2</v>
      </c>
      <c r="F43" s="1"/>
      <c r="G43" s="1"/>
      <c r="H43" s="1"/>
      <c r="I43" s="1"/>
      <c r="J43" s="1"/>
      <c r="K43" s="1"/>
      <c r="L43" s="1"/>
      <c r="M43" s="1"/>
      <c r="N43" s="18"/>
    </row>
    <row r="44" spans="2:14" ht="15" customHeight="1" x14ac:dyDescent="0.25">
      <c r="B44" s="20"/>
      <c r="C44" s="5" t="s">
        <v>227</v>
      </c>
      <c r="D44" s="6" t="s">
        <v>182</v>
      </c>
      <c r="E44" s="11">
        <v>9.7979999999999994E-3</v>
      </c>
      <c r="F44" s="1"/>
      <c r="G44" s="1"/>
      <c r="H44" s="1"/>
      <c r="I44" s="1"/>
      <c r="J44" s="1"/>
      <c r="K44" s="1"/>
      <c r="L44" s="1"/>
      <c r="M44" s="1"/>
      <c r="N44" s="18"/>
    </row>
    <row r="45" spans="2:14" ht="15" customHeight="1" x14ac:dyDescent="0.25">
      <c r="B45" s="20"/>
      <c r="C45" s="5" t="s">
        <v>228</v>
      </c>
      <c r="D45" s="6" t="s">
        <v>182</v>
      </c>
      <c r="E45" s="11">
        <v>6.875E-3</v>
      </c>
      <c r="F45" s="1"/>
      <c r="G45" s="1"/>
      <c r="H45" s="1"/>
      <c r="I45" s="1"/>
      <c r="J45" s="1"/>
      <c r="K45" s="1"/>
      <c r="L45" s="1"/>
      <c r="M45" s="1"/>
      <c r="N45" s="18"/>
    </row>
    <row r="46" spans="2:14" ht="15" customHeight="1" x14ac:dyDescent="0.25">
      <c r="B46" s="20"/>
      <c r="C46" s="5" t="s">
        <v>229</v>
      </c>
      <c r="D46" s="6" t="s">
        <v>182</v>
      </c>
      <c r="E46" s="11">
        <v>6.8360000000000001E-3</v>
      </c>
      <c r="F46" s="1"/>
      <c r="G46" s="1"/>
      <c r="H46" s="1"/>
      <c r="I46" s="1"/>
      <c r="J46" s="1"/>
      <c r="K46" s="1"/>
      <c r="L46" s="1"/>
      <c r="M46" s="1"/>
      <c r="N46" s="18"/>
    </row>
    <row r="47" spans="2:14" ht="15" customHeight="1" x14ac:dyDescent="0.25">
      <c r="B47" s="20"/>
      <c r="C47" s="5" t="s">
        <v>230</v>
      </c>
      <c r="D47" s="6" t="s">
        <v>182</v>
      </c>
      <c r="E47" s="11">
        <v>6.7429999999999999E-3</v>
      </c>
      <c r="F47" s="1"/>
      <c r="G47" s="1"/>
      <c r="H47" s="1"/>
      <c r="I47" s="1"/>
      <c r="J47" s="1"/>
      <c r="K47" s="1"/>
      <c r="L47" s="1"/>
      <c r="M47" s="1"/>
      <c r="N47" s="18"/>
    </row>
    <row r="48" spans="2:14" ht="15" customHeight="1" x14ac:dyDescent="0.25">
      <c r="B48" s="20"/>
      <c r="C48" s="5" t="s">
        <v>231</v>
      </c>
      <c r="D48" s="6" t="s">
        <v>182</v>
      </c>
      <c r="E48" s="11">
        <v>5.7080000000000004E-3</v>
      </c>
      <c r="F48" s="1"/>
      <c r="G48" s="1"/>
      <c r="H48" s="1"/>
      <c r="I48" s="1"/>
      <c r="J48" s="1"/>
      <c r="K48" s="1"/>
      <c r="L48" s="1"/>
      <c r="M48" s="1"/>
      <c r="N48" s="18"/>
    </row>
    <row r="49" spans="2:14" ht="15" customHeight="1" x14ac:dyDescent="0.25">
      <c r="B49" s="20"/>
      <c r="C49" s="5" t="s">
        <v>232</v>
      </c>
      <c r="D49" s="6" t="s">
        <v>182</v>
      </c>
      <c r="E49" s="11">
        <v>4.9649999999999998E-3</v>
      </c>
      <c r="F49" s="1"/>
      <c r="G49" s="1"/>
      <c r="H49" s="1"/>
      <c r="I49" s="1"/>
      <c r="J49" s="1"/>
      <c r="K49" s="1"/>
      <c r="L49" s="1"/>
      <c r="M49" s="1"/>
      <c r="N49" s="18"/>
    </row>
    <row r="50" spans="2:14" ht="15" customHeight="1" x14ac:dyDescent="0.25">
      <c r="B50" s="20"/>
      <c r="C50" s="5" t="s">
        <v>233</v>
      </c>
      <c r="D50" s="6" t="s">
        <v>182</v>
      </c>
      <c r="E50" s="11">
        <v>4.921E-3</v>
      </c>
      <c r="F50" s="1"/>
      <c r="G50" s="1"/>
      <c r="H50" s="1"/>
      <c r="I50" s="1"/>
      <c r="J50" s="1"/>
      <c r="K50" s="1"/>
      <c r="L50" s="1"/>
      <c r="M50" s="1"/>
      <c r="N50" s="18"/>
    </row>
    <row r="51" spans="2:14" ht="15" customHeight="1" x14ac:dyDescent="0.25">
      <c r="B51" s="20"/>
      <c r="C51" s="5" t="s">
        <v>234</v>
      </c>
      <c r="D51" s="6" t="s">
        <v>182</v>
      </c>
      <c r="E51" s="11">
        <v>4.9090000000000002E-3</v>
      </c>
      <c r="F51" s="1"/>
      <c r="G51" s="1"/>
      <c r="H51" s="1"/>
      <c r="I51" s="1"/>
      <c r="J51" s="1"/>
      <c r="K51" s="1"/>
      <c r="L51" s="1"/>
      <c r="M51" s="1"/>
      <c r="N51" s="18"/>
    </row>
    <row r="52" spans="2:14" ht="15" customHeight="1" x14ac:dyDescent="0.25">
      <c r="B52" s="20"/>
      <c r="C52" s="5" t="s">
        <v>235</v>
      </c>
      <c r="D52" s="6" t="s">
        <v>182</v>
      </c>
      <c r="E52" s="11">
        <v>4.8919999999999996E-3</v>
      </c>
      <c r="F52" s="1"/>
      <c r="G52" s="1"/>
      <c r="H52" s="1"/>
      <c r="I52" s="1"/>
      <c r="J52" s="1"/>
      <c r="K52" s="1"/>
      <c r="L52" s="1"/>
      <c r="M52" s="1"/>
      <c r="N52" s="18"/>
    </row>
    <row r="53" spans="2:14" ht="15" customHeight="1" x14ac:dyDescent="0.25">
      <c r="B53" s="20"/>
      <c r="C53" s="5" t="s">
        <v>236</v>
      </c>
      <c r="D53" s="6" t="s">
        <v>182</v>
      </c>
      <c r="E53" s="11">
        <v>4.8679999999999999E-3</v>
      </c>
      <c r="F53" s="1"/>
      <c r="G53" s="1"/>
      <c r="H53" s="1"/>
      <c r="I53" s="1"/>
      <c r="J53" s="1"/>
      <c r="K53" s="1"/>
      <c r="L53" s="1"/>
      <c r="M53" s="1"/>
      <c r="N53" s="18"/>
    </row>
    <row r="54" spans="2:14" ht="15" customHeight="1" x14ac:dyDescent="0.25">
      <c r="B54" s="20"/>
      <c r="C54" s="5" t="s">
        <v>237</v>
      </c>
      <c r="D54" s="6" t="s">
        <v>182</v>
      </c>
      <c r="E54" s="11">
        <v>4.8659999999999997E-3</v>
      </c>
      <c r="F54" s="1"/>
      <c r="G54" s="1"/>
      <c r="H54" s="1"/>
      <c r="I54" s="1"/>
      <c r="J54" s="1"/>
      <c r="K54" s="1"/>
      <c r="L54" s="1"/>
      <c r="M54" s="1"/>
      <c r="N54" s="18"/>
    </row>
    <row r="55" spans="2:14" ht="15" customHeight="1" x14ac:dyDescent="0.25">
      <c r="B55" s="20"/>
      <c r="C55" s="5" t="s">
        <v>238</v>
      </c>
      <c r="D55" s="6" t="s">
        <v>182</v>
      </c>
      <c r="E55" s="11">
        <v>4.8520000000000004E-3</v>
      </c>
      <c r="F55" s="1"/>
      <c r="G55" s="1"/>
      <c r="H55" s="1"/>
      <c r="I55" s="1"/>
      <c r="J55" s="1"/>
      <c r="K55" s="1"/>
      <c r="L55" s="1"/>
      <c r="M55" s="1"/>
      <c r="N55" s="18"/>
    </row>
    <row r="56" spans="2:14" ht="15" customHeight="1" x14ac:dyDescent="0.25">
      <c r="B56" s="20"/>
      <c r="C56" s="5" t="s">
        <v>239</v>
      </c>
      <c r="D56" s="6" t="s">
        <v>182</v>
      </c>
      <c r="E56" s="11">
        <v>4.8469999999999997E-3</v>
      </c>
      <c r="F56" s="1"/>
      <c r="G56" s="1"/>
      <c r="H56" s="1"/>
      <c r="I56" s="1"/>
      <c r="J56" s="1"/>
      <c r="K56" s="1"/>
      <c r="L56" s="1"/>
      <c r="M56" s="1"/>
      <c r="N56" s="18"/>
    </row>
    <row r="57" spans="2:14" ht="15" customHeight="1" x14ac:dyDescent="0.25">
      <c r="B57" s="20"/>
      <c r="C57" s="5" t="s">
        <v>240</v>
      </c>
      <c r="D57" s="6" t="s">
        <v>182</v>
      </c>
      <c r="E57" s="11">
        <v>3.9449999999999997E-3</v>
      </c>
      <c r="F57" s="1"/>
      <c r="G57" s="1"/>
      <c r="H57" s="1"/>
      <c r="I57" s="1"/>
      <c r="J57" s="1"/>
      <c r="K57" s="1"/>
      <c r="L57" s="1"/>
      <c r="M57" s="1"/>
      <c r="N57" s="18"/>
    </row>
    <row r="58" spans="2:14" ht="15" customHeight="1" x14ac:dyDescent="0.25">
      <c r="B58" s="20"/>
      <c r="C58" s="5" t="s">
        <v>241</v>
      </c>
      <c r="D58" s="6" t="s">
        <v>182</v>
      </c>
      <c r="E58" s="11">
        <v>3.8909999999999999E-3</v>
      </c>
      <c r="F58" s="1"/>
      <c r="G58" s="1"/>
      <c r="H58" s="1"/>
      <c r="I58" s="1"/>
      <c r="J58" s="1"/>
      <c r="K58" s="1"/>
      <c r="L58" s="1"/>
      <c r="M58" s="1"/>
      <c r="N58" s="18"/>
    </row>
    <row r="59" spans="2:14" ht="15" customHeight="1" x14ac:dyDescent="0.25">
      <c r="B59" s="20"/>
      <c r="C59" s="5" t="s">
        <v>242</v>
      </c>
      <c r="D59" s="6" t="s">
        <v>182</v>
      </c>
      <c r="E59" s="11">
        <v>3.1519999999999999E-3</v>
      </c>
      <c r="F59" s="1"/>
      <c r="G59" s="1"/>
      <c r="H59" s="1"/>
      <c r="I59" s="1"/>
      <c r="J59" s="1"/>
      <c r="K59" s="1"/>
      <c r="L59" s="1"/>
      <c r="M59" s="1"/>
      <c r="N59" s="18"/>
    </row>
    <row r="60" spans="2:14" ht="15" customHeight="1" x14ac:dyDescent="0.25">
      <c r="B60" s="20"/>
      <c r="C60" s="5" t="s">
        <v>243</v>
      </c>
      <c r="D60" s="6" t="s">
        <v>182</v>
      </c>
      <c r="E60" s="11">
        <v>3.0409999999999999E-3</v>
      </c>
      <c r="F60" s="1"/>
      <c r="G60" s="1"/>
      <c r="H60" s="1"/>
      <c r="I60" s="1"/>
      <c r="J60" s="1"/>
      <c r="K60" s="1"/>
      <c r="L60" s="1"/>
      <c r="M60" s="1"/>
      <c r="N60" s="18"/>
    </row>
    <row r="61" spans="2:14" ht="15" customHeight="1" x14ac:dyDescent="0.25">
      <c r="B61" s="20"/>
      <c r="C61" s="5" t="s">
        <v>199</v>
      </c>
      <c r="D61" s="6" t="s">
        <v>182</v>
      </c>
      <c r="E61" s="11">
        <v>2.9250000000000001E-3</v>
      </c>
      <c r="F61" s="1"/>
      <c r="G61" s="1"/>
      <c r="H61" s="1"/>
      <c r="I61" s="1"/>
      <c r="J61" s="1"/>
      <c r="K61" s="1"/>
      <c r="L61" s="1"/>
      <c r="M61" s="1"/>
      <c r="N61" s="18"/>
    </row>
    <row r="62" spans="2:14" ht="15" customHeight="1" x14ac:dyDescent="0.25">
      <c r="B62" s="20"/>
      <c r="C62" s="5" t="s">
        <v>244</v>
      </c>
      <c r="D62" s="6" t="s">
        <v>182</v>
      </c>
      <c r="E62" s="11">
        <v>2.921E-3</v>
      </c>
      <c r="F62" s="1"/>
      <c r="G62" s="1"/>
      <c r="H62" s="1"/>
      <c r="I62" s="1"/>
      <c r="J62" s="1"/>
      <c r="K62" s="1"/>
      <c r="L62" s="1"/>
      <c r="M62" s="1"/>
      <c r="N62" s="18"/>
    </row>
    <row r="63" spans="2:14" ht="15" customHeight="1" x14ac:dyDescent="0.25">
      <c r="B63" s="20"/>
      <c r="C63" s="5" t="s">
        <v>245</v>
      </c>
      <c r="D63" s="6" t="s">
        <v>182</v>
      </c>
      <c r="E63" s="11">
        <v>2.8999999999999998E-3</v>
      </c>
      <c r="F63" s="1"/>
      <c r="G63" s="1"/>
      <c r="H63" s="1"/>
      <c r="I63" s="1"/>
      <c r="J63" s="1"/>
      <c r="K63" s="1"/>
      <c r="L63" s="1"/>
      <c r="M63" s="1"/>
      <c r="N63" s="18"/>
    </row>
    <row r="64" spans="2:14" ht="15" customHeight="1" x14ac:dyDescent="0.25">
      <c r="B64" s="20"/>
      <c r="C64" s="5" t="s">
        <v>246</v>
      </c>
      <c r="D64" s="6" t="s">
        <v>182</v>
      </c>
      <c r="E64" s="11">
        <v>1.9719999999999998E-3</v>
      </c>
      <c r="F64" s="1"/>
      <c r="G64" s="1"/>
      <c r="H64" s="1"/>
      <c r="I64" s="1"/>
      <c r="J64" s="1"/>
      <c r="K64" s="1"/>
      <c r="L64" s="1"/>
      <c r="M64" s="1"/>
      <c r="N64" s="18"/>
    </row>
    <row r="65" spans="2:14" ht="15" customHeight="1" x14ac:dyDescent="0.25">
      <c r="B65" s="20"/>
      <c r="C65" s="5" t="s">
        <v>247</v>
      </c>
      <c r="D65" s="6" t="s">
        <v>182</v>
      </c>
      <c r="E65" s="11">
        <v>1.9599999999999999E-3</v>
      </c>
      <c r="F65" s="1"/>
      <c r="G65" s="1"/>
      <c r="H65" s="1"/>
      <c r="I65" s="1"/>
      <c r="J65" s="1"/>
      <c r="K65" s="1"/>
      <c r="L65" s="1"/>
      <c r="M65" s="1"/>
      <c r="N65" s="18"/>
    </row>
    <row r="66" spans="2:14" ht="15" customHeight="1" x14ac:dyDescent="0.25">
      <c r="B66" s="20"/>
      <c r="C66" s="5" t="s">
        <v>248</v>
      </c>
      <c r="D66" s="6" t="s">
        <v>182</v>
      </c>
      <c r="E66" s="11">
        <v>1.957E-3</v>
      </c>
      <c r="F66" s="1"/>
      <c r="G66" s="1"/>
      <c r="H66" s="1"/>
      <c r="I66" s="1"/>
      <c r="J66" s="1"/>
      <c r="K66" s="1"/>
      <c r="L66" s="1"/>
      <c r="M66" s="1"/>
      <c r="N66" s="18"/>
    </row>
    <row r="67" spans="2:14" ht="15" customHeight="1" x14ac:dyDescent="0.25">
      <c r="B67" s="20"/>
      <c r="C67" s="5" t="s">
        <v>250</v>
      </c>
      <c r="D67" s="6" t="s">
        <v>182</v>
      </c>
      <c r="E67" s="11">
        <v>1.9530000000000001E-3</v>
      </c>
      <c r="F67" s="1"/>
      <c r="G67" s="1"/>
      <c r="H67" s="1"/>
      <c r="I67" s="1"/>
      <c r="J67" s="1"/>
      <c r="K67" s="1"/>
      <c r="L67" s="1"/>
      <c r="M67" s="1"/>
      <c r="N67" s="18"/>
    </row>
    <row r="68" spans="2:14" ht="15" customHeight="1" x14ac:dyDescent="0.25">
      <c r="B68" s="20"/>
      <c r="C68" s="5" t="s">
        <v>249</v>
      </c>
      <c r="D68" s="6" t="s">
        <v>182</v>
      </c>
      <c r="E68" s="11">
        <v>1.9530000000000001E-3</v>
      </c>
      <c r="F68" s="1"/>
      <c r="G68" s="1"/>
      <c r="H68" s="1"/>
      <c r="I68" s="1"/>
      <c r="J68" s="1"/>
      <c r="K68" s="1"/>
      <c r="L68" s="1"/>
      <c r="M68" s="1"/>
      <c r="N68" s="18"/>
    </row>
    <row r="69" spans="2:14" ht="15" customHeight="1" x14ac:dyDescent="0.25">
      <c r="B69" s="20"/>
      <c r="C69" s="5" t="s">
        <v>251</v>
      </c>
      <c r="D69" s="6" t="s">
        <v>182</v>
      </c>
      <c r="E69" s="11">
        <v>1.9380000000000001E-3</v>
      </c>
      <c r="F69" s="1"/>
      <c r="G69" s="1"/>
      <c r="H69" s="1"/>
      <c r="I69" s="1"/>
      <c r="J69" s="1"/>
      <c r="K69" s="1"/>
      <c r="L69" s="1"/>
      <c r="M69" s="1"/>
      <c r="N69" s="18"/>
    </row>
    <row r="70" spans="2:14" ht="15" customHeight="1" x14ac:dyDescent="0.25">
      <c r="B70" s="20"/>
      <c r="C70" s="5" t="s">
        <v>252</v>
      </c>
      <c r="D70" s="6" t="s">
        <v>182</v>
      </c>
      <c r="E70" s="11">
        <v>9.7400000000000004E-4</v>
      </c>
      <c r="F70" s="1"/>
      <c r="G70" s="1"/>
      <c r="H70" s="1"/>
      <c r="I70" s="1"/>
      <c r="J70" s="1"/>
      <c r="K70" s="1"/>
      <c r="L70" s="1"/>
      <c r="M70" s="1"/>
      <c r="N70" s="18"/>
    </row>
    <row r="71" spans="2:14" ht="15" customHeight="1" x14ac:dyDescent="0.25">
      <c r="B71" s="20"/>
      <c r="C71" s="5" t="s">
        <v>253</v>
      </c>
      <c r="D71" s="6" t="s">
        <v>182</v>
      </c>
      <c r="E71" s="11">
        <v>9.7099999999999997E-4</v>
      </c>
      <c r="F71" s="1"/>
      <c r="G71" s="1"/>
      <c r="H71" s="1"/>
      <c r="I71" s="1"/>
      <c r="J71" s="1"/>
      <c r="K71" s="1"/>
      <c r="L71" s="1"/>
      <c r="M71" s="1"/>
      <c r="N71" s="18"/>
    </row>
    <row r="72" spans="2:14" ht="15" customHeight="1" x14ac:dyDescent="0.25">
      <c r="B72" s="20"/>
      <c r="C72" s="5" t="s">
        <v>254</v>
      </c>
      <c r="D72" s="6" t="s">
        <v>182</v>
      </c>
      <c r="E72" s="11">
        <v>9.7000000000000005E-4</v>
      </c>
      <c r="F72" s="1"/>
      <c r="G72" s="1"/>
      <c r="H72" s="1"/>
      <c r="I72" s="1"/>
      <c r="J72" s="1"/>
      <c r="K72" s="1"/>
      <c r="L72" s="1"/>
      <c r="M72" s="1"/>
      <c r="N72" s="18"/>
    </row>
    <row r="73" spans="2:14" ht="15" customHeight="1" x14ac:dyDescent="0.25">
      <c r="B73" s="20"/>
      <c r="C73" s="5" t="s">
        <v>255</v>
      </c>
      <c r="D73" s="6" t="s">
        <v>182</v>
      </c>
      <c r="E73" s="11">
        <v>2.9100000000000003E-4</v>
      </c>
      <c r="F73" s="1"/>
      <c r="G73" s="1"/>
      <c r="H73" s="1"/>
      <c r="I73" s="1"/>
      <c r="J73" s="1"/>
      <c r="K73" s="1"/>
      <c r="L73" s="1"/>
      <c r="M73" s="1"/>
      <c r="N73" s="18"/>
    </row>
    <row r="74" spans="2:14" ht="15" customHeight="1" x14ac:dyDescent="0.25">
      <c r="B74" s="20"/>
      <c r="C74" s="7" t="s">
        <v>49</v>
      </c>
      <c r="D74" s="8"/>
      <c r="E74" s="12">
        <v>0.30778100000000003</v>
      </c>
      <c r="F74" s="1"/>
      <c r="G74" s="1"/>
      <c r="H74" s="1"/>
      <c r="I74" s="1"/>
      <c r="J74" s="1"/>
      <c r="K74" s="1"/>
      <c r="L74" s="1"/>
      <c r="M74" s="1"/>
      <c r="N74" s="18"/>
    </row>
    <row r="75" spans="2:14" ht="15" customHeight="1" x14ac:dyDescent="0.25">
      <c r="B75" s="20"/>
      <c r="C75" s="5" t="s">
        <v>50</v>
      </c>
      <c r="D75" s="6"/>
      <c r="E75" s="11">
        <v>1.916E-3</v>
      </c>
      <c r="F75" s="1"/>
      <c r="G75" s="1"/>
      <c r="H75" s="1"/>
      <c r="I75" s="1"/>
      <c r="J75" s="1"/>
      <c r="K75" s="1"/>
      <c r="L75" s="1"/>
      <c r="M75" s="1"/>
      <c r="N75" s="18"/>
    </row>
    <row r="76" spans="2:14" ht="15" customHeight="1" x14ac:dyDescent="0.25">
      <c r="B76" s="20"/>
      <c r="C76" s="7" t="s">
        <v>51</v>
      </c>
      <c r="D76" s="8"/>
      <c r="E76" s="12">
        <v>1.916E-3</v>
      </c>
      <c r="F76" s="1"/>
      <c r="G76" s="1"/>
      <c r="H76" s="1"/>
      <c r="I76" s="1"/>
      <c r="J76" s="1"/>
      <c r="K76" s="1"/>
      <c r="L76" s="1"/>
      <c r="M76" s="1"/>
      <c r="N76" s="18"/>
    </row>
    <row r="77" spans="2:14" ht="15" customHeight="1" x14ac:dyDescent="0.25">
      <c r="B77" s="20"/>
      <c r="C77" s="5" t="s">
        <v>132</v>
      </c>
      <c r="D77" s="6" t="s">
        <v>96</v>
      </c>
      <c r="E77" s="11">
        <v>2.2782E-2</v>
      </c>
      <c r="F77" s="1"/>
      <c r="G77" s="1"/>
      <c r="H77" s="1"/>
      <c r="I77" s="1"/>
      <c r="J77" s="1"/>
      <c r="K77" s="1"/>
      <c r="L77" s="1"/>
      <c r="M77" s="1"/>
      <c r="N77" s="18"/>
    </row>
    <row r="78" spans="2:14" ht="15" customHeight="1" x14ac:dyDescent="0.25">
      <c r="B78" s="20"/>
      <c r="C78" s="5" t="s">
        <v>73</v>
      </c>
      <c r="D78" s="6" t="s">
        <v>25</v>
      </c>
      <c r="E78" s="11">
        <v>4.7029999999999997E-3</v>
      </c>
      <c r="F78" s="1"/>
      <c r="G78" s="1"/>
      <c r="H78" s="1"/>
      <c r="I78" s="1"/>
      <c r="J78" s="1"/>
      <c r="K78" s="1"/>
      <c r="L78" s="1"/>
      <c r="M78" s="1"/>
      <c r="N78" s="18"/>
    </row>
    <row r="79" spans="2:14" ht="15" customHeight="1" x14ac:dyDescent="0.25">
      <c r="B79" s="20"/>
      <c r="C79" s="5" t="s">
        <v>69</v>
      </c>
      <c r="D79" s="6" t="s">
        <v>25</v>
      </c>
      <c r="E79" s="11">
        <v>1.1100000000000001E-3</v>
      </c>
      <c r="F79" s="1"/>
      <c r="G79" s="1"/>
      <c r="H79" s="1"/>
      <c r="I79" s="1"/>
      <c r="J79" s="1"/>
      <c r="K79" s="1"/>
      <c r="L79" s="1"/>
      <c r="M79" s="1"/>
      <c r="N79" s="18"/>
    </row>
    <row r="80" spans="2:14" ht="15" customHeight="1" x14ac:dyDescent="0.25">
      <c r="B80" s="20"/>
      <c r="C80" s="7" t="s">
        <v>83</v>
      </c>
      <c r="D80" s="8"/>
      <c r="E80" s="12">
        <v>2.8594999999999999E-2</v>
      </c>
      <c r="F80" s="1"/>
      <c r="G80" s="1"/>
      <c r="H80" s="1"/>
      <c r="I80" s="1"/>
      <c r="J80" s="1"/>
      <c r="K80" s="1"/>
      <c r="L80" s="1"/>
      <c r="M80" s="1"/>
      <c r="N80" s="18"/>
    </row>
    <row r="81" spans="2:14" ht="15" customHeight="1" x14ac:dyDescent="0.25">
      <c r="B81" s="20"/>
      <c r="C81" s="5"/>
      <c r="D81" s="6"/>
      <c r="E81" s="11"/>
      <c r="F81" s="1"/>
      <c r="G81" s="1"/>
      <c r="H81" s="1"/>
      <c r="I81" s="1"/>
      <c r="J81" s="1"/>
      <c r="K81" s="1"/>
      <c r="L81" s="1"/>
      <c r="M81" s="1"/>
      <c r="N81" s="18"/>
    </row>
    <row r="82" spans="2:14" ht="15" customHeight="1" x14ac:dyDescent="0.25">
      <c r="B82" s="20"/>
      <c r="C82" s="7" t="s">
        <v>52</v>
      </c>
      <c r="D82" s="8"/>
      <c r="E82" s="12">
        <v>-2.2037000000000001E-2</v>
      </c>
      <c r="F82" s="1"/>
      <c r="G82" s="1"/>
      <c r="H82" s="1"/>
      <c r="I82" s="1"/>
      <c r="J82" s="1"/>
      <c r="K82" s="1"/>
      <c r="L82" s="1"/>
      <c r="M82" s="1"/>
      <c r="N82" s="18"/>
    </row>
    <row r="83" spans="2:14" ht="15" customHeight="1" x14ac:dyDescent="0.25">
      <c r="B83" s="20"/>
      <c r="C83" s="5"/>
      <c r="D83" s="6"/>
      <c r="E83" s="11"/>
      <c r="F83" s="1"/>
      <c r="G83" s="1"/>
      <c r="H83" s="1"/>
      <c r="I83" s="1"/>
      <c r="J83" s="1"/>
      <c r="K83" s="1"/>
      <c r="L83" s="1"/>
      <c r="M83" s="1"/>
      <c r="N83" s="18"/>
    </row>
    <row r="84" spans="2:14" ht="15" customHeight="1" x14ac:dyDescent="0.25">
      <c r="B84" s="20"/>
      <c r="C84" s="9" t="s">
        <v>53</v>
      </c>
      <c r="D84" s="10"/>
      <c r="E84" s="13">
        <v>1</v>
      </c>
      <c r="F84" s="1"/>
      <c r="G84" s="1"/>
      <c r="H84" s="1"/>
      <c r="I84" s="1"/>
      <c r="J84" s="1"/>
      <c r="K84" s="1"/>
      <c r="L84" s="1"/>
      <c r="M84" s="1"/>
      <c r="N84" s="18"/>
    </row>
    <row r="85" spans="2:14" ht="15" customHeight="1" x14ac:dyDescent="0.25">
      <c r="B85" s="20"/>
      <c r="F85" s="1"/>
      <c r="G85" s="1"/>
      <c r="H85" s="1"/>
      <c r="I85" s="1"/>
      <c r="J85" s="1"/>
      <c r="K85" s="1"/>
      <c r="L85" s="1"/>
      <c r="M85" s="1"/>
      <c r="N85" s="18"/>
    </row>
    <row r="86" spans="2:14" ht="15" customHeight="1" thickBot="1" x14ac:dyDescent="0.3">
      <c r="B86" s="21"/>
      <c r="C86" s="22"/>
      <c r="D86" s="22"/>
      <c r="E86" s="22"/>
      <c r="F86" s="22"/>
      <c r="G86" s="22"/>
      <c r="H86" s="22"/>
      <c r="I86" s="22"/>
      <c r="J86" s="22"/>
      <c r="K86" s="22"/>
      <c r="L86" s="22"/>
      <c r="M86" s="22"/>
      <c r="N86" s="23"/>
    </row>
    <row r="87" spans="2:14" ht="15" customHeight="1" thickBot="1" x14ac:dyDescent="0.3"/>
    <row r="88" spans="2:14" ht="15" customHeight="1" x14ac:dyDescent="0.25">
      <c r="B88" s="88" t="s">
        <v>213</v>
      </c>
      <c r="C88" s="89"/>
      <c r="D88" s="89"/>
      <c r="E88" s="89"/>
      <c r="F88" s="89"/>
      <c r="G88" s="89"/>
      <c r="H88" s="89"/>
      <c r="I88" s="89"/>
      <c r="J88" s="89"/>
      <c r="K88" s="89"/>
      <c r="L88" s="89"/>
      <c r="M88" s="89"/>
      <c r="N88" s="90"/>
    </row>
    <row r="89" spans="2:14" ht="15" customHeight="1" x14ac:dyDescent="0.25">
      <c r="B89" s="91"/>
      <c r="C89" s="92"/>
      <c r="D89" s="92"/>
      <c r="E89" s="92"/>
      <c r="F89" s="92"/>
      <c r="G89" s="92"/>
      <c r="H89" s="92"/>
      <c r="I89" s="92"/>
      <c r="J89" s="92"/>
      <c r="K89" s="92"/>
      <c r="L89" s="92"/>
      <c r="M89" s="92"/>
      <c r="N89" s="93"/>
    </row>
    <row r="90" spans="2:14" ht="15" customHeight="1" x14ac:dyDescent="0.25">
      <c r="B90" s="91"/>
      <c r="C90" s="92"/>
      <c r="D90" s="92"/>
      <c r="E90" s="92"/>
      <c r="F90" s="92"/>
      <c r="G90" s="92"/>
      <c r="H90" s="92"/>
      <c r="I90" s="92"/>
      <c r="J90" s="92"/>
      <c r="K90" s="92"/>
      <c r="L90" s="92"/>
      <c r="M90" s="92"/>
      <c r="N90" s="93"/>
    </row>
    <row r="91" spans="2:14" ht="15" customHeight="1" thickBot="1" x14ac:dyDescent="0.3">
      <c r="B91" s="94"/>
      <c r="C91" s="95"/>
      <c r="D91" s="95"/>
      <c r="E91" s="95"/>
      <c r="F91" s="95"/>
      <c r="G91" s="95"/>
      <c r="H91" s="95"/>
      <c r="I91" s="95"/>
      <c r="J91" s="95"/>
      <c r="K91" s="95"/>
      <c r="L91" s="95"/>
      <c r="M91" s="95"/>
      <c r="N91" s="96"/>
    </row>
    <row r="92" spans="2:14" ht="15" customHeight="1" thickBot="1" x14ac:dyDescent="0.3"/>
    <row r="93" spans="2:14" ht="125.25" customHeight="1" thickBot="1" x14ac:dyDescent="0.3">
      <c r="B93" s="97" t="s">
        <v>214</v>
      </c>
      <c r="C93" s="98"/>
      <c r="D93" s="98"/>
      <c r="E93" s="98"/>
      <c r="F93" s="98"/>
      <c r="G93" s="98"/>
      <c r="H93" s="98"/>
      <c r="I93" s="98"/>
      <c r="J93" s="98"/>
      <c r="K93" s="98"/>
      <c r="L93" s="98"/>
      <c r="M93" s="98"/>
      <c r="N93" s="99"/>
    </row>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sheetData>
  <sortState ref="C77:E79">
    <sortCondition descending="1" ref="E77"/>
  </sortState>
  <mergeCells count="7">
    <mergeCell ref="B88:N91"/>
    <mergeCell ref="B93:N93"/>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A0A4-2F23-40BF-AFE3-35560FD2973A}">
  <dimension ref="B1:N9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172</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216</v>
      </c>
      <c r="E5" s="10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14</v>
      </c>
      <c r="D8" s="6" t="s">
        <v>13</v>
      </c>
      <c r="E8" s="11">
        <v>0.12221699999999999</v>
      </c>
      <c r="F8" s="1"/>
      <c r="G8" s="47" t="s">
        <v>256</v>
      </c>
      <c r="H8" s="25">
        <v>1</v>
      </c>
      <c r="I8" s="46"/>
      <c r="J8" s="47" t="s">
        <v>54</v>
      </c>
      <c r="K8" s="47" t="s">
        <v>5</v>
      </c>
      <c r="L8" s="47"/>
      <c r="M8" s="1"/>
      <c r="N8" s="18"/>
    </row>
    <row r="9" spans="2:14" ht="15" customHeight="1" x14ac:dyDescent="0.25">
      <c r="B9" s="20"/>
      <c r="C9" s="5" t="s">
        <v>24</v>
      </c>
      <c r="D9" s="6" t="s">
        <v>13</v>
      </c>
      <c r="E9" s="11">
        <v>0.12218</v>
      </c>
      <c r="F9" s="1"/>
      <c r="G9" s="1"/>
      <c r="H9" s="1"/>
      <c r="I9" s="46"/>
      <c r="J9" s="47" t="s">
        <v>52</v>
      </c>
      <c r="K9" s="48">
        <f>E65</f>
        <v>-9.6865999999999994E-2</v>
      </c>
      <c r="L9" s="47"/>
      <c r="M9" s="1"/>
      <c r="N9" s="18"/>
    </row>
    <row r="10" spans="2:14" ht="15" customHeight="1" x14ac:dyDescent="0.25">
      <c r="B10" s="20"/>
      <c r="C10" s="5" t="s">
        <v>20</v>
      </c>
      <c r="D10" s="6" t="s">
        <v>13</v>
      </c>
      <c r="E10" s="11">
        <v>0.12067900000000001</v>
      </c>
      <c r="F10" s="1"/>
      <c r="G10" s="1"/>
      <c r="H10" s="1"/>
      <c r="I10" s="46"/>
      <c r="J10" s="47" t="s">
        <v>55</v>
      </c>
      <c r="K10" s="48">
        <f>E63</f>
        <v>6.2160000000000002E-3</v>
      </c>
      <c r="L10" s="47"/>
      <c r="M10" s="1"/>
      <c r="N10" s="18"/>
    </row>
    <row r="11" spans="2:14" ht="15" customHeight="1" x14ac:dyDescent="0.25">
      <c r="B11" s="20"/>
      <c r="C11" s="5" t="s">
        <v>15</v>
      </c>
      <c r="D11" s="6" t="s">
        <v>13</v>
      </c>
      <c r="E11" s="11">
        <v>9.2018000000000003E-2</v>
      </c>
      <c r="F11" s="1"/>
      <c r="G11" s="1"/>
      <c r="H11" s="1"/>
      <c r="I11" s="46"/>
      <c r="J11" s="47" t="s">
        <v>56</v>
      </c>
      <c r="K11" s="48">
        <f>E20</f>
        <v>0.76270600000000011</v>
      </c>
      <c r="L11" s="47"/>
      <c r="M11" s="1"/>
      <c r="N11" s="18"/>
    </row>
    <row r="12" spans="2:14" ht="15" customHeight="1" x14ac:dyDescent="0.25">
      <c r="B12" s="20"/>
      <c r="C12" s="5" t="s">
        <v>16</v>
      </c>
      <c r="D12" s="6" t="s">
        <v>13</v>
      </c>
      <c r="E12" s="11">
        <v>7.4921000000000001E-2</v>
      </c>
      <c r="F12" s="1"/>
      <c r="G12" s="1"/>
      <c r="H12" s="1"/>
      <c r="I12" s="46"/>
      <c r="J12" s="47" t="s">
        <v>165</v>
      </c>
      <c r="K12" s="48">
        <f>E33</f>
        <v>0.16118299999999999</v>
      </c>
      <c r="L12" s="47"/>
      <c r="M12" s="1"/>
      <c r="N12" s="18"/>
    </row>
    <row r="13" spans="2:14" ht="15" customHeight="1" x14ac:dyDescent="0.25">
      <c r="B13" s="20"/>
      <c r="C13" s="5" t="s">
        <v>18</v>
      </c>
      <c r="D13" s="6" t="s">
        <v>13</v>
      </c>
      <c r="E13" s="11">
        <v>7.3061000000000001E-2</v>
      </c>
      <c r="F13" s="1"/>
      <c r="G13" s="1"/>
      <c r="H13" s="1"/>
      <c r="I13" s="46"/>
      <c r="J13" s="47" t="s">
        <v>40</v>
      </c>
      <c r="K13" s="48">
        <f>E35</f>
        <v>1.707E-3</v>
      </c>
      <c r="L13" s="47"/>
      <c r="M13" s="1"/>
      <c r="N13" s="18"/>
    </row>
    <row r="14" spans="2:14" ht="15" customHeight="1" x14ac:dyDescent="0.25">
      <c r="B14" s="20"/>
      <c r="C14" s="5" t="s">
        <v>21</v>
      </c>
      <c r="D14" s="6" t="s">
        <v>13</v>
      </c>
      <c r="E14" s="11">
        <v>5.6848999999999997E-2</v>
      </c>
      <c r="F14" s="1"/>
      <c r="G14" s="1"/>
      <c r="H14" s="1"/>
      <c r="I14" s="46"/>
      <c r="J14" s="47" t="s">
        <v>166</v>
      </c>
      <c r="K14" s="48">
        <f>E39</f>
        <v>1.7892000000000002E-2</v>
      </c>
      <c r="L14" s="47"/>
      <c r="M14" s="1"/>
      <c r="N14" s="18"/>
    </row>
    <row r="15" spans="2:14" ht="15" customHeight="1" x14ac:dyDescent="0.25">
      <c r="B15" s="20"/>
      <c r="C15" s="5" t="s">
        <v>12</v>
      </c>
      <c r="D15" s="6" t="s">
        <v>13</v>
      </c>
      <c r="E15" s="11">
        <v>3.7766000000000001E-2</v>
      </c>
      <c r="F15" s="1"/>
      <c r="G15" s="1"/>
      <c r="H15" s="1"/>
      <c r="I15" s="46"/>
      <c r="J15" s="47" t="s">
        <v>59</v>
      </c>
      <c r="K15" s="48">
        <f>E58</f>
        <v>0.131212</v>
      </c>
      <c r="L15" s="47"/>
      <c r="M15" s="1"/>
      <c r="N15" s="18"/>
    </row>
    <row r="16" spans="2:14" ht="15" customHeight="1" x14ac:dyDescent="0.25">
      <c r="B16" s="20"/>
      <c r="C16" s="5" t="s">
        <v>17</v>
      </c>
      <c r="D16" s="6" t="s">
        <v>13</v>
      </c>
      <c r="E16" s="11">
        <v>2.8508000000000002E-2</v>
      </c>
      <c r="F16" s="1"/>
      <c r="G16" s="1"/>
      <c r="H16" s="1"/>
      <c r="I16" s="46"/>
      <c r="J16" s="47" t="s">
        <v>167</v>
      </c>
      <c r="K16" s="48">
        <f>E61</f>
        <v>1.5949999999999999E-2</v>
      </c>
      <c r="L16" s="47"/>
      <c r="M16" s="1"/>
      <c r="N16" s="18"/>
    </row>
    <row r="17" spans="2:14" ht="15" customHeight="1" x14ac:dyDescent="0.25">
      <c r="B17" s="20"/>
      <c r="C17" s="5" t="s">
        <v>184</v>
      </c>
      <c r="D17" s="6" t="s">
        <v>13</v>
      </c>
      <c r="E17" s="11">
        <v>2.4976000000000002E-2</v>
      </c>
      <c r="F17" s="1"/>
      <c r="G17" s="1"/>
      <c r="H17" s="1"/>
      <c r="I17" s="46"/>
      <c r="J17" s="47"/>
      <c r="K17" s="47"/>
      <c r="L17" s="47"/>
      <c r="M17" s="1"/>
      <c r="N17" s="18"/>
    </row>
    <row r="18" spans="2:14" ht="15" customHeight="1" x14ac:dyDescent="0.25">
      <c r="B18" s="20"/>
      <c r="C18" s="5" t="s">
        <v>22</v>
      </c>
      <c r="D18" s="6" t="s">
        <v>13</v>
      </c>
      <c r="E18" s="11">
        <v>6.3850000000000001E-3</v>
      </c>
      <c r="F18" s="1"/>
      <c r="G18" s="1"/>
      <c r="H18" s="1"/>
      <c r="I18" s="46"/>
      <c r="J18" s="46"/>
      <c r="K18" s="46"/>
      <c r="L18" s="46"/>
      <c r="M18" s="1"/>
      <c r="N18" s="18"/>
    </row>
    <row r="19" spans="2:14" ht="15" customHeight="1" x14ac:dyDescent="0.25">
      <c r="B19" s="20"/>
      <c r="C19" s="5" t="s">
        <v>33</v>
      </c>
      <c r="D19" s="6" t="s">
        <v>13</v>
      </c>
      <c r="E19" s="11">
        <v>3.1459999999999999E-3</v>
      </c>
      <c r="F19" s="1"/>
      <c r="G19" s="1"/>
      <c r="H19" s="1"/>
      <c r="I19" s="46"/>
      <c r="J19" s="46"/>
      <c r="K19" s="46"/>
      <c r="L19" s="46"/>
      <c r="M19" s="1"/>
      <c r="N19" s="18"/>
    </row>
    <row r="20" spans="2:14" ht="15.75" customHeight="1" x14ac:dyDescent="0.25">
      <c r="B20" s="20"/>
      <c r="C20" s="7" t="s">
        <v>23</v>
      </c>
      <c r="D20" s="8"/>
      <c r="E20" s="12">
        <v>0.76270600000000011</v>
      </c>
      <c r="F20" s="1"/>
      <c r="G20" s="1"/>
      <c r="H20" s="1"/>
      <c r="I20" s="46"/>
      <c r="J20" s="46"/>
      <c r="K20" s="46"/>
      <c r="L20" s="46"/>
      <c r="M20" s="1"/>
      <c r="N20" s="18"/>
    </row>
    <row r="21" spans="2:14" ht="15" customHeight="1" x14ac:dyDescent="0.25">
      <c r="B21" s="20"/>
      <c r="C21" s="5" t="s">
        <v>185</v>
      </c>
      <c r="D21" s="6" t="s">
        <v>13</v>
      </c>
      <c r="E21" s="11">
        <v>3.8207999999999999E-2</v>
      </c>
      <c r="F21" s="1"/>
      <c r="G21" s="1"/>
      <c r="H21" s="1"/>
      <c r="I21" s="46"/>
      <c r="J21" s="46"/>
      <c r="K21" s="46"/>
      <c r="L21" s="46"/>
      <c r="M21" s="1"/>
      <c r="N21" s="18"/>
    </row>
    <row r="22" spans="2:14" ht="15" customHeight="1" x14ac:dyDescent="0.25">
      <c r="B22" s="20"/>
      <c r="C22" s="5" t="s">
        <v>33</v>
      </c>
      <c r="D22" s="6" t="s">
        <v>13</v>
      </c>
      <c r="E22" s="11">
        <v>2.5267999999999999E-2</v>
      </c>
      <c r="F22" s="1"/>
      <c r="G22" s="1"/>
      <c r="H22" s="1"/>
      <c r="I22" s="46"/>
      <c r="J22" s="46"/>
      <c r="K22" s="46"/>
      <c r="L22" s="46"/>
      <c r="M22" s="1"/>
      <c r="N22" s="18"/>
    </row>
    <row r="23" spans="2:14" ht="15" customHeight="1" x14ac:dyDescent="0.25">
      <c r="B23" s="20"/>
      <c r="C23" s="5" t="s">
        <v>73</v>
      </c>
      <c r="D23" s="6" t="s">
        <v>13</v>
      </c>
      <c r="E23" s="11">
        <v>2.2152999999999999E-2</v>
      </c>
      <c r="F23" s="1"/>
      <c r="G23" s="1"/>
      <c r="H23" s="1"/>
      <c r="I23" s="1"/>
      <c r="J23" s="1"/>
      <c r="K23" s="1"/>
      <c r="L23" s="1"/>
      <c r="M23" s="1"/>
      <c r="N23" s="18"/>
    </row>
    <row r="24" spans="2:14" ht="15" customHeight="1" x14ac:dyDescent="0.25">
      <c r="B24" s="20"/>
      <c r="C24" s="5" t="s">
        <v>132</v>
      </c>
      <c r="D24" s="6" t="s">
        <v>13</v>
      </c>
      <c r="E24" s="11">
        <v>1.2637000000000001E-2</v>
      </c>
      <c r="F24" s="1"/>
      <c r="G24" s="105" t="s">
        <v>124</v>
      </c>
      <c r="H24" s="106"/>
      <c r="I24" s="106"/>
      <c r="J24" s="106"/>
      <c r="K24" s="106"/>
      <c r="L24" s="54">
        <v>187.29437412756076</v>
      </c>
      <c r="M24" s="27"/>
      <c r="N24" s="28"/>
    </row>
    <row r="25" spans="2:14" ht="15" customHeight="1" x14ac:dyDescent="0.25">
      <c r="B25" s="20"/>
      <c r="C25" s="5" t="s">
        <v>145</v>
      </c>
      <c r="D25" s="6" t="s">
        <v>13</v>
      </c>
      <c r="E25" s="11">
        <v>1.2609E-2</v>
      </c>
      <c r="F25" s="1"/>
      <c r="G25" s="1"/>
      <c r="H25" s="1"/>
      <c r="I25" s="1"/>
      <c r="J25" s="1"/>
      <c r="K25" s="1"/>
      <c r="L25" s="1"/>
      <c r="M25" s="1"/>
      <c r="N25" s="18"/>
    </row>
    <row r="26" spans="2:14" ht="15" customHeight="1" x14ac:dyDescent="0.25">
      <c r="B26" s="20"/>
      <c r="C26" s="5" t="s">
        <v>95</v>
      </c>
      <c r="D26" s="6" t="s">
        <v>13</v>
      </c>
      <c r="E26" s="11">
        <v>1.2364999999999999E-2</v>
      </c>
      <c r="F26" s="1"/>
      <c r="G26" s="105" t="s">
        <v>9</v>
      </c>
      <c r="H26" s="110"/>
      <c r="I26" s="110"/>
      <c r="J26" s="110"/>
      <c r="K26" s="110"/>
      <c r="L26" s="110"/>
      <c r="M26" s="110"/>
      <c r="N26" s="111"/>
    </row>
    <row r="27" spans="2:14" ht="15" customHeight="1" x14ac:dyDescent="0.25">
      <c r="B27" s="20"/>
      <c r="C27" s="5" t="s">
        <v>142</v>
      </c>
      <c r="D27" s="6" t="s">
        <v>13</v>
      </c>
      <c r="E27" s="11">
        <v>6.3579999999999999E-3</v>
      </c>
      <c r="F27" s="1"/>
      <c r="G27" s="1"/>
      <c r="H27" s="1"/>
      <c r="I27" s="1"/>
      <c r="J27" s="1"/>
      <c r="K27" s="1"/>
      <c r="L27" s="1"/>
      <c r="M27" s="1"/>
      <c r="N27" s="18"/>
    </row>
    <row r="28" spans="2:14" ht="15" customHeight="1" x14ac:dyDescent="0.25">
      <c r="B28" s="20"/>
      <c r="C28" s="5" t="s">
        <v>68</v>
      </c>
      <c r="D28" s="6" t="s">
        <v>13</v>
      </c>
      <c r="E28" s="11">
        <v>6.3579999999999999E-3</v>
      </c>
      <c r="F28" s="1"/>
      <c r="G28" s="1"/>
      <c r="H28" s="1"/>
      <c r="I28" s="1"/>
      <c r="J28" s="1"/>
      <c r="K28" s="1"/>
      <c r="L28" s="1"/>
      <c r="M28" s="1"/>
      <c r="N28" s="18"/>
    </row>
    <row r="29" spans="2:14" ht="15" customHeight="1" x14ac:dyDescent="0.25">
      <c r="B29" s="20"/>
      <c r="C29" s="5" t="s">
        <v>186</v>
      </c>
      <c r="D29" s="6" t="s">
        <v>13</v>
      </c>
      <c r="E29" s="11">
        <v>6.319E-3</v>
      </c>
      <c r="F29" s="1"/>
      <c r="G29" s="1"/>
      <c r="H29" s="1"/>
      <c r="I29" s="1"/>
      <c r="J29" s="1"/>
      <c r="K29" s="1"/>
      <c r="L29" s="1"/>
      <c r="M29" s="1"/>
      <c r="N29" s="18"/>
    </row>
    <row r="30" spans="2:14" ht="15" customHeight="1" x14ac:dyDescent="0.25">
      <c r="B30" s="20"/>
      <c r="C30" s="5" t="s">
        <v>133</v>
      </c>
      <c r="D30" s="6" t="s">
        <v>13</v>
      </c>
      <c r="E30" s="11">
        <v>6.3080000000000002E-3</v>
      </c>
      <c r="F30" s="1"/>
      <c r="G30" s="1"/>
      <c r="H30" s="1"/>
      <c r="I30" s="1"/>
      <c r="J30" s="1"/>
      <c r="K30" s="1"/>
      <c r="L30" s="1"/>
      <c r="M30" s="1"/>
      <c r="N30" s="18"/>
    </row>
    <row r="31" spans="2:14" ht="15" customHeight="1" x14ac:dyDescent="0.25">
      <c r="B31" s="20"/>
      <c r="C31" s="5" t="s">
        <v>69</v>
      </c>
      <c r="D31" s="6" t="s">
        <v>13</v>
      </c>
      <c r="E31" s="11">
        <v>6.3010000000000002E-3</v>
      </c>
      <c r="F31" s="1"/>
      <c r="G31" s="1"/>
      <c r="H31" s="1"/>
      <c r="I31" s="1"/>
      <c r="J31" s="1"/>
      <c r="K31" s="1"/>
      <c r="L31" s="1"/>
      <c r="M31" s="1"/>
      <c r="N31" s="18"/>
    </row>
    <row r="32" spans="2:14" ht="15" customHeight="1" x14ac:dyDescent="0.25">
      <c r="B32" s="20"/>
      <c r="C32" s="5" t="s">
        <v>146</v>
      </c>
      <c r="D32" s="6" t="s">
        <v>13</v>
      </c>
      <c r="E32" s="11">
        <v>6.2989999999999999E-3</v>
      </c>
      <c r="F32" s="1"/>
      <c r="G32" s="1"/>
      <c r="H32" s="1"/>
      <c r="I32" s="1"/>
      <c r="J32" s="1"/>
      <c r="K32" s="1"/>
      <c r="L32" s="1"/>
      <c r="M32" s="1"/>
      <c r="N32" s="18"/>
    </row>
    <row r="33" spans="2:14" ht="15.75" customHeight="1" x14ac:dyDescent="0.25">
      <c r="B33" s="20"/>
      <c r="C33" s="7" t="s">
        <v>152</v>
      </c>
      <c r="D33" s="8"/>
      <c r="E33" s="12">
        <v>0.16118299999999999</v>
      </c>
      <c r="F33" s="1"/>
      <c r="G33" s="1"/>
      <c r="H33" s="1"/>
      <c r="I33" s="1"/>
      <c r="J33" s="1"/>
      <c r="K33" s="1"/>
      <c r="L33" s="1"/>
      <c r="M33" s="1"/>
      <c r="N33" s="18"/>
    </row>
    <row r="34" spans="2:14" ht="15" customHeight="1" x14ac:dyDescent="0.25">
      <c r="B34" s="20"/>
      <c r="C34" s="5" t="s">
        <v>40</v>
      </c>
      <c r="D34" s="6"/>
      <c r="E34" s="11">
        <v>1.707E-3</v>
      </c>
      <c r="F34" s="1"/>
      <c r="G34" s="1"/>
      <c r="H34" s="1"/>
      <c r="I34" s="1"/>
      <c r="J34" s="1"/>
      <c r="K34" s="1"/>
      <c r="L34" s="1"/>
      <c r="M34" s="1"/>
      <c r="N34" s="18"/>
    </row>
    <row r="35" spans="2:14" ht="15.75" customHeight="1" x14ac:dyDescent="0.25">
      <c r="B35" s="20"/>
      <c r="C35" s="7" t="s">
        <v>41</v>
      </c>
      <c r="D35" s="8"/>
      <c r="E35" s="12">
        <v>1.707E-3</v>
      </c>
      <c r="F35" s="1"/>
      <c r="G35" s="1"/>
      <c r="H35" s="1"/>
      <c r="I35" s="1"/>
      <c r="J35" s="1"/>
      <c r="K35" s="1"/>
      <c r="L35" s="1"/>
      <c r="M35" s="1"/>
      <c r="N35" s="18"/>
    </row>
    <row r="36" spans="2:14" ht="15" customHeight="1" x14ac:dyDescent="0.25">
      <c r="B36" s="20"/>
      <c r="C36" s="5" t="s">
        <v>187</v>
      </c>
      <c r="D36" s="6" t="s">
        <v>182</v>
      </c>
      <c r="E36" s="11">
        <v>1.1471E-2</v>
      </c>
      <c r="F36" s="1"/>
      <c r="G36" s="1"/>
      <c r="H36" s="1"/>
      <c r="I36" s="1"/>
      <c r="J36" s="1"/>
      <c r="K36" s="1"/>
      <c r="L36" s="1"/>
      <c r="M36" s="1"/>
      <c r="N36" s="18"/>
    </row>
    <row r="37" spans="2:14" ht="15.75" customHeight="1" x14ac:dyDescent="0.25">
      <c r="B37" s="20"/>
      <c r="C37" s="5" t="s">
        <v>188</v>
      </c>
      <c r="D37" s="6" t="s">
        <v>182</v>
      </c>
      <c r="E37" s="11">
        <v>5.7299999999999999E-3</v>
      </c>
      <c r="F37" s="1"/>
      <c r="G37" s="1"/>
      <c r="H37" s="1"/>
      <c r="I37" s="1"/>
      <c r="J37" s="1"/>
      <c r="K37" s="1"/>
      <c r="L37" s="1"/>
      <c r="M37" s="1"/>
      <c r="N37" s="18"/>
    </row>
    <row r="38" spans="2:14" ht="15" customHeight="1" x14ac:dyDescent="0.25">
      <c r="B38" s="20"/>
      <c r="C38" s="5" t="s">
        <v>189</v>
      </c>
      <c r="D38" s="6" t="s">
        <v>182</v>
      </c>
      <c r="E38" s="11">
        <v>6.9099999999999999E-4</v>
      </c>
      <c r="F38" s="1"/>
      <c r="G38" s="1"/>
      <c r="H38" s="1"/>
      <c r="I38" s="1"/>
      <c r="J38" s="1"/>
      <c r="K38" s="1"/>
      <c r="L38" s="1"/>
      <c r="M38" s="1"/>
      <c r="N38" s="18"/>
    </row>
    <row r="39" spans="2:14" ht="15.75" customHeight="1" x14ac:dyDescent="0.25">
      <c r="B39" s="20"/>
      <c r="C39" s="7" t="s">
        <v>154</v>
      </c>
      <c r="D39" s="8"/>
      <c r="E39" s="12">
        <v>1.7892000000000002E-2</v>
      </c>
      <c r="F39" s="1"/>
      <c r="G39" s="1"/>
      <c r="H39" s="1"/>
      <c r="I39" s="1"/>
      <c r="J39" s="1"/>
      <c r="K39" s="1"/>
      <c r="L39" s="1"/>
      <c r="M39" s="1"/>
      <c r="N39" s="18"/>
    </row>
    <row r="40" spans="2:14" ht="15" customHeight="1" x14ac:dyDescent="0.25">
      <c r="B40" s="20"/>
      <c r="C40" s="5" t="s">
        <v>190</v>
      </c>
      <c r="D40" s="6" t="s">
        <v>182</v>
      </c>
      <c r="E40" s="11">
        <v>2.2586999999999999E-2</v>
      </c>
      <c r="F40" s="1"/>
      <c r="G40" s="1"/>
      <c r="H40" s="1"/>
      <c r="I40" s="1"/>
      <c r="J40" s="1"/>
      <c r="K40" s="1"/>
      <c r="L40" s="1"/>
      <c r="M40" s="1"/>
      <c r="N40" s="18"/>
    </row>
    <row r="41" spans="2:14" ht="15" customHeight="1" x14ac:dyDescent="0.25">
      <c r="B41" s="20"/>
      <c r="C41" s="5" t="s">
        <v>191</v>
      </c>
      <c r="D41" s="6" t="s">
        <v>182</v>
      </c>
      <c r="E41" s="11">
        <v>2.1425E-2</v>
      </c>
      <c r="F41" s="1"/>
      <c r="G41" s="1"/>
      <c r="H41" s="1"/>
      <c r="I41" s="1"/>
      <c r="J41" s="1"/>
      <c r="K41" s="1"/>
      <c r="L41" s="1"/>
      <c r="M41" s="1"/>
      <c r="N41" s="18"/>
    </row>
    <row r="42" spans="2:14" ht="15.75" customHeight="1" x14ac:dyDescent="0.25">
      <c r="B42" s="20"/>
      <c r="C42" s="5" t="s">
        <v>192</v>
      </c>
      <c r="D42" s="6" t="s">
        <v>182</v>
      </c>
      <c r="E42" s="11">
        <v>1.7163999999999999E-2</v>
      </c>
      <c r="F42" s="1"/>
      <c r="G42" s="1"/>
      <c r="H42" s="1"/>
      <c r="I42" s="1"/>
      <c r="J42" s="1"/>
      <c r="K42" s="1"/>
      <c r="L42" s="1"/>
      <c r="M42" s="1"/>
      <c r="N42" s="18"/>
    </row>
    <row r="43" spans="2:14" ht="15" customHeight="1" x14ac:dyDescent="0.25">
      <c r="B43" s="20"/>
      <c r="C43" s="5" t="s">
        <v>193</v>
      </c>
      <c r="D43" s="6" t="s">
        <v>182</v>
      </c>
      <c r="E43" s="11">
        <v>1.4508E-2</v>
      </c>
      <c r="F43" s="1"/>
      <c r="G43" s="1"/>
      <c r="H43" s="1"/>
      <c r="I43" s="1"/>
      <c r="J43" s="1"/>
      <c r="K43" s="1"/>
      <c r="L43" s="1"/>
      <c r="M43" s="1"/>
      <c r="N43" s="18"/>
    </row>
    <row r="44" spans="2:14" ht="15.75" customHeight="1" x14ac:dyDescent="0.25">
      <c r="B44" s="20"/>
      <c r="C44" s="5" t="s">
        <v>194</v>
      </c>
      <c r="D44" s="6" t="s">
        <v>182</v>
      </c>
      <c r="E44" s="11">
        <v>1.1776999999999999E-2</v>
      </c>
      <c r="F44" s="1"/>
      <c r="G44" s="1"/>
      <c r="H44" s="1"/>
      <c r="I44" s="1"/>
      <c r="J44" s="1"/>
      <c r="K44" s="1"/>
      <c r="L44" s="1"/>
      <c r="M44" s="1"/>
      <c r="N44" s="18"/>
    </row>
    <row r="45" spans="2:14" ht="15" customHeight="1" x14ac:dyDescent="0.25">
      <c r="B45" s="20"/>
      <c r="C45" s="5" t="s">
        <v>195</v>
      </c>
      <c r="D45" s="6" t="s">
        <v>182</v>
      </c>
      <c r="E45" s="11">
        <v>9.2119999999999997E-3</v>
      </c>
      <c r="F45" s="1"/>
      <c r="G45" s="1"/>
      <c r="H45" s="1"/>
      <c r="I45" s="1"/>
      <c r="J45" s="1"/>
      <c r="K45" s="1"/>
      <c r="L45" s="1"/>
      <c r="M45" s="1"/>
      <c r="N45" s="18"/>
    </row>
    <row r="46" spans="2:14" ht="15.75" customHeight="1" x14ac:dyDescent="0.25">
      <c r="B46" s="20"/>
      <c r="C46" s="5" t="s">
        <v>196</v>
      </c>
      <c r="D46" s="6" t="s">
        <v>182</v>
      </c>
      <c r="E46" s="11">
        <v>6.4859999999999996E-3</v>
      </c>
      <c r="F46" s="1"/>
      <c r="G46" s="1"/>
      <c r="H46" s="1"/>
      <c r="I46" s="1"/>
      <c r="J46" s="1"/>
      <c r="K46" s="1"/>
      <c r="L46" s="1"/>
      <c r="M46" s="1"/>
      <c r="N46" s="18"/>
    </row>
    <row r="47" spans="2:14" ht="15" customHeight="1" x14ac:dyDescent="0.25">
      <c r="B47" s="20"/>
      <c r="C47" s="5" t="s">
        <v>197</v>
      </c>
      <c r="D47" s="6" t="s">
        <v>182</v>
      </c>
      <c r="E47" s="11">
        <v>6.3889999999999997E-3</v>
      </c>
      <c r="F47" s="1"/>
      <c r="G47" s="1"/>
      <c r="H47" s="1"/>
      <c r="I47" s="1"/>
      <c r="J47" s="1"/>
      <c r="K47" s="1"/>
      <c r="L47" s="1"/>
      <c r="M47" s="1"/>
      <c r="N47" s="18"/>
    </row>
    <row r="48" spans="2:14" ht="15" customHeight="1" x14ac:dyDescent="0.25">
      <c r="B48" s="20"/>
      <c r="C48" s="5" t="s">
        <v>198</v>
      </c>
      <c r="D48" s="6" t="s">
        <v>182</v>
      </c>
      <c r="E48" s="11">
        <v>3.277E-3</v>
      </c>
      <c r="F48" s="1"/>
      <c r="G48" s="1"/>
      <c r="H48" s="1"/>
      <c r="I48" s="1"/>
      <c r="J48" s="1"/>
      <c r="K48" s="1"/>
      <c r="L48" s="1"/>
      <c r="M48" s="1"/>
      <c r="N48" s="18"/>
    </row>
    <row r="49" spans="2:14" ht="15" customHeight="1" x14ac:dyDescent="0.25">
      <c r="B49" s="20"/>
      <c r="C49" s="5" t="s">
        <v>200</v>
      </c>
      <c r="D49" s="6" t="s">
        <v>182</v>
      </c>
      <c r="E49" s="11">
        <v>2.6410000000000001E-3</v>
      </c>
      <c r="F49" s="1"/>
      <c r="G49" s="1"/>
      <c r="H49" s="1"/>
      <c r="I49" s="1"/>
      <c r="J49" s="1"/>
      <c r="K49" s="1"/>
      <c r="L49" s="1"/>
      <c r="M49" s="1"/>
      <c r="N49" s="18"/>
    </row>
    <row r="50" spans="2:14" ht="15" customHeight="1" x14ac:dyDescent="0.25">
      <c r="B50" s="20"/>
      <c r="C50" s="5" t="s">
        <v>199</v>
      </c>
      <c r="D50" s="6" t="s">
        <v>182</v>
      </c>
      <c r="E50" s="11">
        <v>2.64E-3</v>
      </c>
      <c r="F50" s="1"/>
      <c r="G50" s="1"/>
      <c r="H50" s="1"/>
      <c r="I50" s="1"/>
      <c r="J50" s="1"/>
      <c r="K50" s="1"/>
      <c r="L50" s="1"/>
      <c r="M50" s="1"/>
      <c r="N50" s="18"/>
    </row>
    <row r="51" spans="2:14" ht="15" customHeight="1" x14ac:dyDescent="0.25">
      <c r="B51" s="20"/>
      <c r="C51" s="5" t="s">
        <v>201</v>
      </c>
      <c r="D51" s="6" t="s">
        <v>182</v>
      </c>
      <c r="E51" s="11">
        <v>2.637E-3</v>
      </c>
      <c r="F51" s="1"/>
      <c r="G51" s="1"/>
      <c r="H51" s="1"/>
      <c r="I51" s="1"/>
      <c r="J51" s="1"/>
      <c r="K51" s="1"/>
      <c r="L51" s="1"/>
      <c r="M51" s="1"/>
      <c r="N51" s="18"/>
    </row>
    <row r="52" spans="2:14" ht="15" customHeight="1" x14ac:dyDescent="0.25">
      <c r="B52" s="20"/>
      <c r="C52" s="5" t="s">
        <v>202</v>
      </c>
      <c r="D52" s="6" t="s">
        <v>182</v>
      </c>
      <c r="E52" s="11">
        <v>2.6259999999999999E-3</v>
      </c>
      <c r="F52" s="1"/>
      <c r="G52" s="1"/>
      <c r="H52" s="1"/>
      <c r="I52" s="1"/>
      <c r="J52" s="1"/>
      <c r="K52" s="1"/>
      <c r="L52" s="1"/>
      <c r="M52" s="1"/>
      <c r="N52" s="18"/>
    </row>
    <row r="53" spans="2:14" ht="15" customHeight="1" x14ac:dyDescent="0.25">
      <c r="B53" s="20"/>
      <c r="C53" s="5" t="s">
        <v>203</v>
      </c>
      <c r="D53" s="6" t="s">
        <v>182</v>
      </c>
      <c r="E53" s="11">
        <v>2.5890000000000002E-3</v>
      </c>
      <c r="F53" s="1"/>
      <c r="G53" s="1"/>
      <c r="H53" s="1"/>
      <c r="I53" s="1"/>
      <c r="J53" s="1"/>
      <c r="K53" s="1"/>
      <c r="L53" s="1"/>
      <c r="M53" s="1"/>
      <c r="N53" s="18"/>
    </row>
    <row r="54" spans="2:14" ht="15" customHeight="1" x14ac:dyDescent="0.25">
      <c r="B54" s="20"/>
      <c r="C54" s="5" t="s">
        <v>204</v>
      </c>
      <c r="D54" s="6" t="s">
        <v>182</v>
      </c>
      <c r="E54" s="11">
        <v>1.98E-3</v>
      </c>
      <c r="F54" s="1"/>
      <c r="G54" s="1"/>
      <c r="H54" s="1"/>
      <c r="I54" s="1"/>
      <c r="J54" s="1"/>
      <c r="K54" s="1"/>
      <c r="L54" s="1"/>
      <c r="M54" s="1"/>
      <c r="N54" s="18"/>
    </row>
    <row r="55" spans="2:14" ht="15" customHeight="1" x14ac:dyDescent="0.25">
      <c r="B55" s="20"/>
      <c r="C55" s="5" t="s">
        <v>205</v>
      </c>
      <c r="D55" s="6" t="s">
        <v>182</v>
      </c>
      <c r="E55" s="11">
        <v>1.315E-3</v>
      </c>
      <c r="F55" s="1"/>
      <c r="G55" s="1"/>
      <c r="H55" s="1"/>
      <c r="I55" s="1"/>
      <c r="J55" s="1"/>
      <c r="K55" s="1"/>
      <c r="L55" s="1"/>
      <c r="M55" s="1"/>
      <c r="N55" s="18"/>
    </row>
    <row r="56" spans="2:14" ht="15" customHeight="1" x14ac:dyDescent="0.25">
      <c r="B56" s="20"/>
      <c r="C56" s="5" t="s">
        <v>206</v>
      </c>
      <c r="D56" s="6" t="s">
        <v>182</v>
      </c>
      <c r="E56" s="11">
        <v>1.3029999999999999E-3</v>
      </c>
      <c r="F56" s="1"/>
      <c r="G56" s="1"/>
      <c r="H56" s="1"/>
      <c r="I56" s="1"/>
      <c r="J56" s="1"/>
      <c r="K56" s="1"/>
      <c r="L56" s="1"/>
      <c r="M56" s="1"/>
      <c r="N56" s="18"/>
    </row>
    <row r="57" spans="2:14" ht="15" customHeight="1" x14ac:dyDescent="0.25">
      <c r="B57" s="20"/>
      <c r="C57" s="5" t="s">
        <v>207</v>
      </c>
      <c r="D57" s="6" t="s">
        <v>182</v>
      </c>
      <c r="E57" s="11">
        <v>6.5600000000000001E-4</v>
      </c>
      <c r="F57" s="1"/>
      <c r="G57" s="1"/>
      <c r="H57" s="1"/>
      <c r="I57" s="1"/>
      <c r="J57" s="1"/>
      <c r="K57" s="1"/>
      <c r="L57" s="1"/>
      <c r="M57" s="1"/>
      <c r="N57" s="18"/>
    </row>
    <row r="58" spans="2:14" ht="15" customHeight="1" x14ac:dyDescent="0.25">
      <c r="B58" s="20"/>
      <c r="C58" s="7" t="s">
        <v>49</v>
      </c>
      <c r="D58" s="8"/>
      <c r="E58" s="12">
        <v>0.131212</v>
      </c>
      <c r="F58" s="1"/>
      <c r="G58" s="1"/>
      <c r="H58" s="1"/>
      <c r="I58" s="1"/>
      <c r="J58" s="1"/>
      <c r="K58" s="1"/>
      <c r="L58" s="1"/>
      <c r="M58" s="1"/>
      <c r="N58" s="18"/>
    </row>
    <row r="59" spans="2:14" ht="15" customHeight="1" x14ac:dyDescent="0.25">
      <c r="B59" s="20"/>
      <c r="C59" s="5" t="s">
        <v>208</v>
      </c>
      <c r="D59" s="6" t="s">
        <v>182</v>
      </c>
      <c r="E59" s="11">
        <v>1.2754E-2</v>
      </c>
      <c r="F59" s="1"/>
      <c r="G59" s="1"/>
      <c r="H59" s="1"/>
      <c r="I59" s="1"/>
      <c r="J59" s="1"/>
      <c r="K59" s="1"/>
      <c r="L59" s="1"/>
      <c r="M59" s="1"/>
      <c r="N59" s="18"/>
    </row>
    <row r="60" spans="2:14" ht="15" customHeight="1" x14ac:dyDescent="0.25">
      <c r="B60" s="20"/>
      <c r="C60" s="5" t="s">
        <v>209</v>
      </c>
      <c r="D60" s="6" t="s">
        <v>182</v>
      </c>
      <c r="E60" s="11">
        <v>3.1960000000000001E-3</v>
      </c>
      <c r="F60" s="1"/>
      <c r="G60" s="1"/>
      <c r="H60" s="1"/>
      <c r="I60" s="1"/>
      <c r="J60" s="1"/>
      <c r="K60" s="1"/>
      <c r="L60" s="1"/>
      <c r="M60" s="1"/>
      <c r="N60" s="18"/>
    </row>
    <row r="61" spans="2:14" ht="15" customHeight="1" x14ac:dyDescent="0.25">
      <c r="B61" s="20"/>
      <c r="C61" s="7" t="s">
        <v>163</v>
      </c>
      <c r="D61" s="8"/>
      <c r="E61" s="12">
        <v>1.5949999999999999E-2</v>
      </c>
      <c r="F61" s="1"/>
      <c r="G61" s="1"/>
      <c r="H61" s="1"/>
      <c r="I61" s="1"/>
      <c r="J61" s="1"/>
      <c r="K61" s="1"/>
      <c r="L61" s="1"/>
      <c r="M61" s="1"/>
      <c r="N61" s="18"/>
    </row>
    <row r="62" spans="2:14" ht="15" customHeight="1" x14ac:dyDescent="0.25">
      <c r="B62" s="20"/>
      <c r="C62" s="5" t="s">
        <v>50</v>
      </c>
      <c r="D62" s="6"/>
      <c r="E62" s="11">
        <v>6.2160000000000002E-3</v>
      </c>
      <c r="F62" s="1"/>
      <c r="G62" s="1"/>
      <c r="H62" s="1"/>
      <c r="I62" s="1"/>
      <c r="J62" s="1"/>
      <c r="K62" s="1"/>
      <c r="L62" s="1"/>
      <c r="M62" s="1"/>
      <c r="N62" s="18"/>
    </row>
    <row r="63" spans="2:14" ht="15" customHeight="1" x14ac:dyDescent="0.25">
      <c r="B63" s="20"/>
      <c r="C63" s="7" t="s">
        <v>51</v>
      </c>
      <c r="D63" s="8"/>
      <c r="E63" s="12">
        <v>6.2160000000000002E-3</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7" t="s">
        <v>52</v>
      </c>
      <c r="D65" s="8"/>
      <c r="E65" s="12">
        <v>-9.6865999999999994E-2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 customHeight="1" x14ac:dyDescent="0.25">
      <c r="B67" s="20"/>
      <c r="C67" s="9" t="s">
        <v>53</v>
      </c>
      <c r="D67" s="10"/>
      <c r="E67" s="13">
        <v>1</v>
      </c>
      <c r="F67" s="1"/>
      <c r="G67" s="1"/>
      <c r="H67" s="1"/>
      <c r="I67" s="1"/>
      <c r="J67" s="1"/>
      <c r="K67" s="1"/>
      <c r="L67" s="1"/>
      <c r="M67" s="1"/>
      <c r="N67" s="18"/>
    </row>
    <row r="68" spans="2:14" ht="15" customHeight="1" thickBot="1" x14ac:dyDescent="0.3">
      <c r="B68" s="21"/>
      <c r="C68" s="22"/>
      <c r="D68" s="22"/>
      <c r="E68" s="22"/>
      <c r="F68" s="22"/>
      <c r="G68" s="22"/>
      <c r="H68" s="22"/>
      <c r="I68" s="22"/>
      <c r="J68" s="22"/>
      <c r="K68" s="22"/>
      <c r="L68" s="22"/>
      <c r="M68" s="22"/>
      <c r="N68" s="23"/>
    </row>
    <row r="69" spans="2:14" ht="15" customHeight="1" thickBot="1" x14ac:dyDescent="0.3"/>
    <row r="70" spans="2:14" ht="15" customHeight="1" x14ac:dyDescent="0.25">
      <c r="B70" s="88" t="s">
        <v>213</v>
      </c>
      <c r="C70" s="89"/>
      <c r="D70" s="89"/>
      <c r="E70" s="89"/>
      <c r="F70" s="89"/>
      <c r="G70" s="89"/>
      <c r="H70" s="89"/>
      <c r="I70" s="89"/>
      <c r="J70" s="89"/>
      <c r="K70" s="89"/>
      <c r="L70" s="89"/>
      <c r="M70" s="89"/>
      <c r="N70" s="90"/>
    </row>
    <row r="71" spans="2:14" ht="15" customHeight="1" x14ac:dyDescent="0.25">
      <c r="B71" s="91"/>
      <c r="C71" s="92"/>
      <c r="D71" s="92"/>
      <c r="E71" s="92"/>
      <c r="F71" s="92"/>
      <c r="G71" s="92"/>
      <c r="H71" s="92"/>
      <c r="I71" s="92"/>
      <c r="J71" s="92"/>
      <c r="K71" s="92"/>
      <c r="L71" s="92"/>
      <c r="M71" s="92"/>
      <c r="N71" s="93"/>
    </row>
    <row r="72" spans="2:14" ht="15" customHeight="1" x14ac:dyDescent="0.25">
      <c r="B72" s="91"/>
      <c r="C72" s="92"/>
      <c r="D72" s="92"/>
      <c r="E72" s="92"/>
      <c r="F72" s="92"/>
      <c r="G72" s="92"/>
      <c r="H72" s="92"/>
      <c r="I72" s="92"/>
      <c r="J72" s="92"/>
      <c r="K72" s="92"/>
      <c r="L72" s="92"/>
      <c r="M72" s="92"/>
      <c r="N72" s="93"/>
    </row>
    <row r="73" spans="2:14" ht="15" customHeight="1" thickBot="1" x14ac:dyDescent="0.3">
      <c r="B73" s="94"/>
      <c r="C73" s="95"/>
      <c r="D73" s="95"/>
      <c r="E73" s="95"/>
      <c r="F73" s="95"/>
      <c r="G73" s="95"/>
      <c r="H73" s="95"/>
      <c r="I73" s="95"/>
      <c r="J73" s="95"/>
      <c r="K73" s="95"/>
      <c r="L73" s="95"/>
      <c r="M73" s="95"/>
      <c r="N73" s="96"/>
    </row>
    <row r="74" spans="2:14" ht="15" customHeight="1" thickBot="1" x14ac:dyDescent="0.3"/>
    <row r="75" spans="2:14" ht="129" customHeight="1" thickBot="1" x14ac:dyDescent="0.3">
      <c r="B75" s="97" t="s">
        <v>214</v>
      </c>
      <c r="C75" s="98"/>
      <c r="D75" s="98"/>
      <c r="E75" s="98"/>
      <c r="F75" s="98"/>
      <c r="G75" s="98"/>
      <c r="H75" s="98"/>
      <c r="I75" s="98"/>
      <c r="J75" s="98"/>
      <c r="K75" s="98"/>
      <c r="L75" s="98"/>
      <c r="M75" s="98"/>
      <c r="N75" s="99"/>
    </row>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59:E60">
    <sortCondition descending="1" ref="E59"/>
  </sortState>
  <mergeCells count="7">
    <mergeCell ref="B70:N73"/>
    <mergeCell ref="B75:N7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F5EA-4961-4373-BC98-E3E9193A0719}">
  <dimension ref="B1:N77"/>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181</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324</v>
      </c>
      <c r="E5" s="10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14</v>
      </c>
      <c r="D8" s="6" t="s">
        <v>13</v>
      </c>
      <c r="E8" s="11">
        <v>0.113523</v>
      </c>
      <c r="F8" s="1"/>
      <c r="G8" s="47" t="s">
        <v>256</v>
      </c>
      <c r="H8" s="48">
        <v>0.96305300000000005</v>
      </c>
      <c r="I8" s="47"/>
      <c r="J8" s="47" t="s">
        <v>54</v>
      </c>
      <c r="K8" s="47" t="s">
        <v>5</v>
      </c>
      <c r="L8" s="47"/>
      <c r="M8" s="1"/>
      <c r="N8" s="18"/>
    </row>
    <row r="9" spans="2:14" ht="15" customHeight="1" x14ac:dyDescent="0.25">
      <c r="B9" s="20"/>
      <c r="C9" s="5" t="s">
        <v>15</v>
      </c>
      <c r="D9" s="6" t="s">
        <v>13</v>
      </c>
      <c r="E9" s="11">
        <v>8.9772999999999992E-2</v>
      </c>
      <c r="F9" s="1"/>
      <c r="G9" s="47" t="s">
        <v>102</v>
      </c>
      <c r="H9" s="48">
        <f>E26+E29</f>
        <v>3.6947000000000001E-2</v>
      </c>
      <c r="I9" s="47"/>
      <c r="J9" s="47" t="s">
        <v>52</v>
      </c>
      <c r="K9" s="48">
        <v>2.0200000000000001E-3</v>
      </c>
      <c r="L9" s="47"/>
      <c r="M9" s="1"/>
      <c r="N9" s="18"/>
    </row>
    <row r="10" spans="2:14" ht="15" customHeight="1" x14ac:dyDescent="0.25">
      <c r="B10" s="20"/>
      <c r="C10" s="5" t="s">
        <v>24</v>
      </c>
      <c r="D10" s="6" t="s">
        <v>13</v>
      </c>
      <c r="E10" s="11">
        <v>6.2016999999999996E-2</v>
      </c>
      <c r="F10" s="1"/>
      <c r="G10" s="47"/>
      <c r="H10" s="47"/>
      <c r="I10" s="47"/>
      <c r="J10" s="47" t="s">
        <v>55</v>
      </c>
      <c r="K10" s="48">
        <v>7.7593999999999996E-2</v>
      </c>
      <c r="L10" s="47"/>
      <c r="M10" s="1"/>
      <c r="N10" s="18"/>
    </row>
    <row r="11" spans="2:14" ht="15" customHeight="1" x14ac:dyDescent="0.25">
      <c r="B11" s="20"/>
      <c r="C11" s="5" t="s">
        <v>18</v>
      </c>
      <c r="D11" s="6" t="s">
        <v>13</v>
      </c>
      <c r="E11" s="11">
        <v>5.1663000000000001E-2</v>
      </c>
      <c r="F11" s="1"/>
      <c r="G11" s="47"/>
      <c r="H11" s="47"/>
      <c r="I11" s="47"/>
      <c r="J11" s="47" t="s">
        <v>56</v>
      </c>
      <c r="K11" s="48">
        <v>0.400117</v>
      </c>
      <c r="L11" s="47"/>
      <c r="M11" s="1"/>
      <c r="N11" s="18"/>
    </row>
    <row r="12" spans="2:14" ht="15" customHeight="1" x14ac:dyDescent="0.25">
      <c r="B12" s="20"/>
      <c r="C12" s="5" t="s">
        <v>17</v>
      </c>
      <c r="D12" s="6" t="s">
        <v>13</v>
      </c>
      <c r="E12" s="11">
        <v>5.1436999999999997E-2</v>
      </c>
      <c r="F12" s="1"/>
      <c r="G12" s="47"/>
      <c r="H12" s="47"/>
      <c r="I12" s="47"/>
      <c r="J12" s="47" t="s">
        <v>57</v>
      </c>
      <c r="K12" s="48">
        <v>0.36672099999999996</v>
      </c>
      <c r="L12" s="47"/>
      <c r="M12" s="1"/>
      <c r="N12" s="18"/>
    </row>
    <row r="13" spans="2:14" ht="15" customHeight="1" x14ac:dyDescent="0.25">
      <c r="B13" s="20"/>
      <c r="C13" s="5" t="s">
        <v>20</v>
      </c>
      <c r="D13" s="6" t="s">
        <v>13</v>
      </c>
      <c r="E13" s="11">
        <v>1.8071E-2</v>
      </c>
      <c r="F13" s="1"/>
      <c r="G13" s="47"/>
      <c r="H13" s="47"/>
      <c r="I13" s="47"/>
      <c r="J13" s="47" t="s">
        <v>165</v>
      </c>
      <c r="K13" s="48">
        <v>7.4053999999999995E-2</v>
      </c>
      <c r="L13" s="47"/>
      <c r="M13" s="1"/>
      <c r="N13" s="18"/>
    </row>
    <row r="14" spans="2:14" ht="15" customHeight="1" x14ac:dyDescent="0.25">
      <c r="B14" s="20"/>
      <c r="C14" s="5" t="s">
        <v>184</v>
      </c>
      <c r="D14" s="6" t="s">
        <v>13</v>
      </c>
      <c r="E14" s="11">
        <v>1.2359E-2</v>
      </c>
      <c r="F14" s="1"/>
      <c r="G14" s="47"/>
      <c r="H14" s="47"/>
      <c r="I14" s="47"/>
      <c r="J14" s="47" t="s">
        <v>40</v>
      </c>
      <c r="K14" s="48">
        <v>2.702E-3</v>
      </c>
      <c r="L14" s="47"/>
      <c r="M14" s="1"/>
      <c r="N14" s="18"/>
    </row>
    <row r="15" spans="2:14" ht="15" customHeight="1" x14ac:dyDescent="0.25">
      <c r="B15" s="20"/>
      <c r="C15" s="5" t="s">
        <v>21</v>
      </c>
      <c r="D15" s="6" t="s">
        <v>13</v>
      </c>
      <c r="E15" s="11">
        <v>1.274E-3</v>
      </c>
      <c r="F15" s="1"/>
      <c r="G15" s="47"/>
      <c r="H15" s="47"/>
      <c r="I15" s="47"/>
      <c r="J15" s="47" t="s">
        <v>59</v>
      </c>
      <c r="K15" s="48">
        <v>5.0560000000000001E-2</v>
      </c>
      <c r="L15" s="47"/>
      <c r="M15" s="1"/>
      <c r="N15" s="18"/>
    </row>
    <row r="16" spans="2:14" ht="15.75" customHeight="1" x14ac:dyDescent="0.25">
      <c r="B16" s="20"/>
      <c r="C16" s="7" t="s">
        <v>23</v>
      </c>
      <c r="D16" s="8"/>
      <c r="E16" s="12">
        <v>0.400117</v>
      </c>
      <c r="F16" s="1"/>
      <c r="G16" s="47"/>
      <c r="H16" s="47"/>
      <c r="I16" s="47"/>
      <c r="J16" s="47" t="s">
        <v>167</v>
      </c>
      <c r="K16" s="48">
        <v>1.9782999999999999E-2</v>
      </c>
      <c r="L16" s="47"/>
      <c r="M16" s="1"/>
      <c r="N16" s="18"/>
    </row>
    <row r="17" spans="2:14" ht="15" customHeight="1" x14ac:dyDescent="0.25">
      <c r="B17" s="20"/>
      <c r="C17" s="5" t="s">
        <v>150</v>
      </c>
      <c r="D17" s="6" t="s">
        <v>13</v>
      </c>
      <c r="E17" s="11">
        <v>2.4951999999999998E-2</v>
      </c>
      <c r="F17" s="1"/>
      <c r="G17" s="47"/>
      <c r="H17" s="47"/>
      <c r="I17" s="47"/>
      <c r="J17" s="47" t="s">
        <v>84</v>
      </c>
      <c r="K17" s="48">
        <v>6.4489999999999999E-3</v>
      </c>
      <c r="L17" s="47"/>
      <c r="M17" s="1"/>
      <c r="N17" s="18"/>
    </row>
    <row r="18" spans="2:14" ht="15" customHeight="1" x14ac:dyDescent="0.25">
      <c r="B18" s="20"/>
      <c r="C18" s="5" t="s">
        <v>145</v>
      </c>
      <c r="D18" s="6" t="s">
        <v>13</v>
      </c>
      <c r="E18" s="11">
        <v>3.8300000000000001E-3</v>
      </c>
      <c r="F18" s="1"/>
      <c r="G18" s="47"/>
      <c r="H18" s="47"/>
      <c r="I18" s="47"/>
      <c r="J18" s="47"/>
      <c r="K18" s="47"/>
      <c r="L18" s="47"/>
      <c r="M18" s="1"/>
      <c r="N18" s="18"/>
    </row>
    <row r="19" spans="2:14" ht="15" customHeight="1" x14ac:dyDescent="0.25">
      <c r="B19" s="20"/>
      <c r="C19" s="5" t="s">
        <v>73</v>
      </c>
      <c r="D19" s="6" t="s">
        <v>13</v>
      </c>
      <c r="E19" s="11">
        <v>4.5272E-2</v>
      </c>
      <c r="F19" s="1"/>
      <c r="G19" s="47"/>
      <c r="H19" s="47"/>
      <c r="I19" s="47"/>
      <c r="J19" s="47"/>
      <c r="K19" s="47"/>
      <c r="L19" s="47"/>
      <c r="M19" s="1"/>
      <c r="N19" s="18"/>
    </row>
    <row r="20" spans="2:14" ht="15.75" customHeight="1" x14ac:dyDescent="0.25">
      <c r="B20" s="20"/>
      <c r="C20" s="7" t="s">
        <v>152</v>
      </c>
      <c r="D20" s="8"/>
      <c r="E20" s="12">
        <v>7.4053999999999995E-2</v>
      </c>
      <c r="F20" s="1"/>
      <c r="G20" s="47"/>
      <c r="H20" s="47"/>
      <c r="I20" s="47"/>
      <c r="J20" s="47"/>
      <c r="K20" s="47"/>
      <c r="L20" s="47"/>
      <c r="M20" s="1"/>
      <c r="N20" s="18"/>
    </row>
    <row r="21" spans="2:14" ht="15" customHeight="1" x14ac:dyDescent="0.25">
      <c r="B21" s="20"/>
      <c r="C21" s="5" t="s">
        <v>20</v>
      </c>
      <c r="D21" s="6" t="s">
        <v>25</v>
      </c>
      <c r="E21" s="11">
        <v>9.6863999999999992E-2</v>
      </c>
      <c r="F21" s="1"/>
      <c r="G21" s="51"/>
      <c r="H21" s="51"/>
      <c r="I21" s="51"/>
      <c r="J21" s="51"/>
      <c r="K21" s="51"/>
      <c r="L21" s="51"/>
      <c r="M21" s="1"/>
      <c r="N21" s="18"/>
    </row>
    <row r="22" spans="2:14" ht="15" customHeight="1" x14ac:dyDescent="0.25">
      <c r="B22" s="20"/>
      <c r="C22" s="5" t="s">
        <v>38</v>
      </c>
      <c r="D22" s="6" t="s">
        <v>25</v>
      </c>
      <c r="E22" s="11">
        <v>5.8515999999999999E-2</v>
      </c>
      <c r="F22" s="1"/>
      <c r="G22" s="1"/>
      <c r="H22" s="1"/>
      <c r="I22" s="1"/>
      <c r="J22" s="1"/>
      <c r="K22" s="1"/>
      <c r="L22" s="1"/>
      <c r="M22" s="1"/>
      <c r="N22" s="18"/>
    </row>
    <row r="23" spans="2:14" ht="15" customHeight="1" x14ac:dyDescent="0.25">
      <c r="B23" s="20"/>
      <c r="C23" s="5" t="s">
        <v>28</v>
      </c>
      <c r="D23" s="6" t="s">
        <v>25</v>
      </c>
      <c r="E23" s="11">
        <v>5.8050000000000004E-2</v>
      </c>
      <c r="F23" s="1"/>
      <c r="G23" s="1"/>
      <c r="H23" s="1"/>
      <c r="I23" s="1"/>
      <c r="J23" s="1"/>
      <c r="K23" s="1"/>
      <c r="L23" s="1"/>
      <c r="M23" s="1"/>
      <c r="N23" s="18"/>
    </row>
    <row r="24" spans="2:14" ht="15" customHeight="1" x14ac:dyDescent="0.25">
      <c r="B24" s="20"/>
      <c r="C24" s="5" t="s">
        <v>24</v>
      </c>
      <c r="D24" s="6" t="s">
        <v>25</v>
      </c>
      <c r="E24" s="11">
        <v>5.2740999999999996E-2</v>
      </c>
      <c r="F24" s="1"/>
      <c r="G24" s="105" t="s">
        <v>124</v>
      </c>
      <c r="H24" s="110"/>
      <c r="I24" s="110"/>
      <c r="J24" s="110"/>
      <c r="K24" s="110"/>
      <c r="L24" s="54">
        <v>174.95502484334284</v>
      </c>
      <c r="M24" s="27"/>
      <c r="N24" s="28"/>
    </row>
    <row r="25" spans="2:14" ht="15" customHeight="1" x14ac:dyDescent="0.25">
      <c r="B25" s="20"/>
      <c r="C25" s="5" t="s">
        <v>27</v>
      </c>
      <c r="D25" s="6" t="s">
        <v>25</v>
      </c>
      <c r="E25" s="11">
        <v>2.6667000000000003E-2</v>
      </c>
      <c r="F25" s="1"/>
      <c r="G25" s="1"/>
      <c r="H25" s="1"/>
      <c r="I25" s="1"/>
      <c r="J25" s="1"/>
      <c r="K25" s="1"/>
      <c r="L25" s="1"/>
      <c r="M25" s="1"/>
      <c r="N25" s="18"/>
    </row>
    <row r="26" spans="2:14" ht="15" customHeight="1" x14ac:dyDescent="0.25">
      <c r="B26" s="20"/>
      <c r="C26" s="5" t="s">
        <v>133</v>
      </c>
      <c r="D26" s="6" t="s">
        <v>96</v>
      </c>
      <c r="E26" s="11">
        <v>2.5101999999999999E-2</v>
      </c>
      <c r="F26" s="1"/>
      <c r="G26" s="105" t="s">
        <v>9</v>
      </c>
      <c r="H26" s="110"/>
      <c r="I26" s="110"/>
      <c r="J26" s="110"/>
      <c r="K26" s="110"/>
      <c r="L26" s="110"/>
      <c r="M26" s="110"/>
      <c r="N26" s="111"/>
    </row>
    <row r="27" spans="2:14" ht="15" customHeight="1" x14ac:dyDescent="0.25">
      <c r="B27" s="20"/>
      <c r="C27" s="5" t="s">
        <v>69</v>
      </c>
      <c r="D27" s="6" t="s">
        <v>25</v>
      </c>
      <c r="E27" s="11">
        <v>1.5813000000000001E-2</v>
      </c>
      <c r="F27" s="1"/>
      <c r="G27" s="1"/>
      <c r="H27" s="1"/>
      <c r="I27" s="1"/>
      <c r="J27" s="1"/>
      <c r="K27" s="1"/>
      <c r="L27" s="1"/>
      <c r="M27" s="1"/>
      <c r="N27" s="18"/>
    </row>
    <row r="28" spans="2:14" ht="15" customHeight="1" x14ac:dyDescent="0.25">
      <c r="B28" s="20"/>
      <c r="C28" s="5" t="s">
        <v>68</v>
      </c>
      <c r="D28" s="6" t="s">
        <v>25</v>
      </c>
      <c r="E28" s="11">
        <v>1.4518E-2</v>
      </c>
      <c r="F28" s="1"/>
      <c r="G28" s="1"/>
      <c r="H28" s="1"/>
      <c r="I28" s="1"/>
      <c r="J28" s="1"/>
      <c r="K28" s="1"/>
      <c r="L28" s="1"/>
      <c r="M28" s="1"/>
      <c r="N28" s="18"/>
    </row>
    <row r="29" spans="2:14" ht="15" customHeight="1" x14ac:dyDescent="0.25">
      <c r="B29" s="20"/>
      <c r="C29" s="5" t="s">
        <v>132</v>
      </c>
      <c r="D29" s="6" t="s">
        <v>96</v>
      </c>
      <c r="E29" s="11">
        <v>1.1845000000000001E-2</v>
      </c>
      <c r="F29" s="1"/>
      <c r="G29" s="1"/>
      <c r="H29" s="1"/>
      <c r="I29" s="1"/>
      <c r="J29" s="1"/>
      <c r="K29" s="1"/>
      <c r="L29" s="1"/>
      <c r="M29" s="1"/>
      <c r="N29" s="18"/>
    </row>
    <row r="30" spans="2:14" ht="15" customHeight="1" x14ac:dyDescent="0.25">
      <c r="B30" s="20"/>
      <c r="C30" s="5" t="s">
        <v>73</v>
      </c>
      <c r="D30" s="6" t="s">
        <v>25</v>
      </c>
      <c r="E30" s="11">
        <v>6.6049999999999998E-3</v>
      </c>
      <c r="F30" s="1"/>
      <c r="G30" s="1"/>
      <c r="H30" s="1"/>
      <c r="I30" s="1"/>
      <c r="J30" s="1"/>
      <c r="K30" s="1"/>
      <c r="L30" s="1"/>
      <c r="M30" s="1"/>
      <c r="N30" s="18"/>
    </row>
    <row r="31" spans="2:14" ht="15.75" customHeight="1" x14ac:dyDescent="0.25">
      <c r="B31" s="20"/>
      <c r="C31" s="7" t="s">
        <v>39</v>
      </c>
      <c r="D31" s="8"/>
      <c r="E31" s="12">
        <v>0.36672099999999996</v>
      </c>
      <c r="F31" s="1"/>
      <c r="G31" s="1"/>
      <c r="H31" s="1"/>
      <c r="I31" s="1"/>
      <c r="J31" s="1"/>
      <c r="K31" s="1"/>
      <c r="L31" s="1"/>
      <c r="M31" s="1"/>
      <c r="N31" s="18"/>
    </row>
    <row r="32" spans="2:14" ht="15" customHeight="1" x14ac:dyDescent="0.25">
      <c r="B32" s="20"/>
      <c r="C32" s="5" t="s">
        <v>40</v>
      </c>
      <c r="D32" s="6"/>
      <c r="E32" s="11">
        <v>2.702E-3</v>
      </c>
      <c r="F32" s="1"/>
      <c r="G32" s="1"/>
      <c r="H32" s="1"/>
      <c r="I32" s="1"/>
      <c r="J32" s="1"/>
      <c r="K32" s="1"/>
      <c r="L32" s="1"/>
      <c r="M32" s="1"/>
      <c r="N32" s="18"/>
    </row>
    <row r="33" spans="2:14" ht="15.75" customHeight="1" x14ac:dyDescent="0.25">
      <c r="B33" s="20"/>
      <c r="C33" s="7" t="s">
        <v>41</v>
      </c>
      <c r="D33" s="8"/>
      <c r="E33" s="12">
        <v>2.702E-3</v>
      </c>
      <c r="F33" s="1"/>
      <c r="G33" s="1"/>
      <c r="H33" s="1"/>
      <c r="I33" s="1"/>
      <c r="J33" s="1"/>
      <c r="K33" s="1"/>
      <c r="L33" s="1"/>
      <c r="M33" s="1"/>
      <c r="N33" s="18"/>
    </row>
    <row r="34" spans="2:14" ht="15" customHeight="1" x14ac:dyDescent="0.25">
      <c r="B34" s="20"/>
      <c r="C34" s="5" t="s">
        <v>261</v>
      </c>
      <c r="D34" s="6" t="s">
        <v>182</v>
      </c>
      <c r="E34" s="11">
        <v>1.3206000000000001E-2</v>
      </c>
      <c r="F34" s="1"/>
      <c r="G34" s="1"/>
      <c r="H34" s="1"/>
      <c r="I34" s="1"/>
      <c r="J34" s="1"/>
      <c r="K34" s="1"/>
      <c r="L34" s="1"/>
      <c r="M34" s="1"/>
      <c r="N34" s="18"/>
    </row>
    <row r="35" spans="2:14" ht="15.75" customHeight="1" x14ac:dyDescent="0.25">
      <c r="B35" s="20"/>
      <c r="C35" s="5" t="s">
        <v>257</v>
      </c>
      <c r="D35" s="6" t="s">
        <v>182</v>
      </c>
      <c r="E35" s="11">
        <v>8.1010000000000006E-3</v>
      </c>
      <c r="F35" s="1"/>
      <c r="G35" s="1"/>
      <c r="H35" s="1"/>
      <c r="I35" s="1"/>
      <c r="J35" s="1"/>
      <c r="K35" s="1"/>
      <c r="L35" s="1"/>
      <c r="M35" s="1"/>
      <c r="N35" s="18"/>
    </row>
    <row r="36" spans="2:14" ht="15" customHeight="1" x14ac:dyDescent="0.25">
      <c r="B36" s="20"/>
      <c r="C36" s="5" t="s">
        <v>234</v>
      </c>
      <c r="D36" s="6" t="s">
        <v>182</v>
      </c>
      <c r="E36" s="11">
        <v>6.731E-3</v>
      </c>
      <c r="F36" s="1"/>
      <c r="G36" s="1"/>
      <c r="H36" s="1"/>
      <c r="I36" s="1"/>
      <c r="J36" s="1"/>
      <c r="K36" s="1"/>
      <c r="L36" s="1"/>
      <c r="M36" s="1"/>
      <c r="N36" s="18"/>
    </row>
    <row r="37" spans="2:14" ht="15.75" customHeight="1" x14ac:dyDescent="0.25">
      <c r="B37" s="20"/>
      <c r="C37" s="5" t="s">
        <v>220</v>
      </c>
      <c r="D37" s="6" t="s">
        <v>182</v>
      </c>
      <c r="E37" s="11">
        <v>6.7190000000000001E-3</v>
      </c>
      <c r="F37" s="1"/>
      <c r="G37" s="1"/>
      <c r="H37" s="1"/>
      <c r="I37" s="1"/>
      <c r="J37" s="1"/>
      <c r="K37" s="1"/>
      <c r="L37" s="1"/>
      <c r="M37" s="1"/>
      <c r="N37" s="18"/>
    </row>
    <row r="38" spans="2:14" ht="15" customHeight="1" x14ac:dyDescent="0.25">
      <c r="B38" s="20"/>
      <c r="C38" s="5" t="s">
        <v>258</v>
      </c>
      <c r="D38" s="6" t="s">
        <v>182</v>
      </c>
      <c r="E38" s="11">
        <v>6.7060000000000002E-3</v>
      </c>
      <c r="F38" s="1"/>
      <c r="G38" s="1"/>
      <c r="H38" s="1"/>
      <c r="I38" s="1"/>
      <c r="J38" s="1"/>
      <c r="K38" s="1"/>
      <c r="L38" s="1"/>
      <c r="M38" s="1"/>
      <c r="N38" s="18"/>
    </row>
    <row r="39" spans="2:14" ht="15.75" customHeight="1" x14ac:dyDescent="0.25">
      <c r="B39" s="20"/>
      <c r="C39" s="5" t="s">
        <v>199</v>
      </c>
      <c r="D39" s="6" t="s">
        <v>182</v>
      </c>
      <c r="E39" s="11">
        <v>6.6839999999999998E-3</v>
      </c>
      <c r="F39" s="1"/>
      <c r="G39" s="1"/>
      <c r="H39" s="1"/>
      <c r="I39" s="1"/>
      <c r="J39" s="1"/>
      <c r="K39" s="1"/>
      <c r="L39" s="1"/>
      <c r="M39" s="1"/>
      <c r="N39" s="18"/>
    </row>
    <row r="40" spans="2:14" ht="15" customHeight="1" x14ac:dyDescent="0.25">
      <c r="B40" s="20"/>
      <c r="C40" s="5" t="s">
        <v>259</v>
      </c>
      <c r="D40" s="6" t="s">
        <v>182</v>
      </c>
      <c r="E40" s="11">
        <v>1.333E-3</v>
      </c>
      <c r="F40" s="1"/>
      <c r="G40" s="1"/>
      <c r="H40" s="1"/>
      <c r="I40" s="1"/>
      <c r="J40" s="1"/>
      <c r="K40" s="1"/>
      <c r="L40" s="1"/>
      <c r="M40" s="1"/>
      <c r="N40" s="18"/>
    </row>
    <row r="41" spans="2:14" ht="15.75" customHeight="1" x14ac:dyDescent="0.25">
      <c r="B41" s="20"/>
      <c r="C41" s="5" t="s">
        <v>242</v>
      </c>
      <c r="D41" s="6" t="s">
        <v>182</v>
      </c>
      <c r="E41" s="11">
        <v>1.08E-3</v>
      </c>
      <c r="F41" s="1"/>
      <c r="G41" s="1"/>
      <c r="H41" s="1"/>
      <c r="I41" s="1"/>
      <c r="J41" s="1"/>
      <c r="K41" s="1"/>
      <c r="L41" s="1"/>
      <c r="M41" s="1"/>
      <c r="N41" s="18"/>
    </row>
    <row r="42" spans="2:14" ht="15" customHeight="1" x14ac:dyDescent="0.25">
      <c r="B42" s="20"/>
      <c r="C42" s="7" t="s">
        <v>49</v>
      </c>
      <c r="D42" s="8"/>
      <c r="E42" s="12">
        <v>5.0560000000000001E-2</v>
      </c>
      <c r="F42" s="1"/>
      <c r="G42" s="1"/>
      <c r="H42" s="1"/>
      <c r="I42" s="1"/>
      <c r="J42" s="1"/>
      <c r="K42" s="1"/>
      <c r="L42" s="1"/>
      <c r="M42" s="1"/>
      <c r="N42" s="18"/>
    </row>
    <row r="43" spans="2:14" ht="15.75" customHeight="1" x14ac:dyDescent="0.25">
      <c r="B43" s="20"/>
      <c r="C43" s="5" t="s">
        <v>260</v>
      </c>
      <c r="D43" s="6" t="s">
        <v>182</v>
      </c>
      <c r="E43" s="11">
        <v>1.9782999999999999E-2</v>
      </c>
      <c r="F43" s="1"/>
      <c r="G43" s="1"/>
      <c r="H43" s="1"/>
      <c r="I43" s="1"/>
      <c r="J43" s="1"/>
      <c r="K43" s="1"/>
      <c r="L43" s="1"/>
      <c r="M43" s="1"/>
      <c r="N43" s="18"/>
    </row>
    <row r="44" spans="2:14" ht="15" customHeight="1" x14ac:dyDescent="0.25">
      <c r="B44" s="20"/>
      <c r="C44" s="7" t="s">
        <v>163</v>
      </c>
      <c r="D44" s="8"/>
      <c r="E44" s="12">
        <v>1.9782999999999999E-2</v>
      </c>
      <c r="F44" s="1"/>
      <c r="G44" s="1"/>
      <c r="H44" s="1"/>
      <c r="I44" s="1"/>
      <c r="J44" s="1"/>
      <c r="K44" s="1"/>
      <c r="L44" s="1"/>
      <c r="M44" s="1"/>
      <c r="N44" s="18"/>
    </row>
    <row r="45" spans="2:14" ht="15" customHeight="1" x14ac:dyDescent="0.25">
      <c r="B45" s="20"/>
      <c r="C45" s="5" t="s">
        <v>50</v>
      </c>
      <c r="D45" s="6"/>
      <c r="E45" s="11">
        <v>7.7593999999999996E-2</v>
      </c>
      <c r="F45" s="1"/>
      <c r="G45" s="1"/>
      <c r="H45" s="1"/>
      <c r="I45" s="1"/>
      <c r="J45" s="1"/>
      <c r="K45" s="1"/>
      <c r="L45" s="1"/>
      <c r="M45" s="1"/>
      <c r="N45" s="18"/>
    </row>
    <row r="46" spans="2:14" ht="15" customHeight="1" x14ac:dyDescent="0.25">
      <c r="B46" s="20"/>
      <c r="C46" s="7" t="s">
        <v>51</v>
      </c>
      <c r="D46" s="8"/>
      <c r="E46" s="12">
        <v>7.7593999999999996E-2</v>
      </c>
      <c r="F46" s="1"/>
      <c r="G46" s="1"/>
      <c r="H46" s="1"/>
      <c r="I46" s="1"/>
      <c r="J46" s="1"/>
      <c r="K46" s="1"/>
      <c r="L46" s="1"/>
      <c r="M46" s="1"/>
      <c r="N46" s="18"/>
    </row>
    <row r="47" spans="2:14" ht="15" customHeight="1" x14ac:dyDescent="0.25">
      <c r="B47" s="20"/>
      <c r="C47" s="5" t="s">
        <v>73</v>
      </c>
      <c r="D47" s="6" t="s">
        <v>25</v>
      </c>
      <c r="E47" s="11">
        <v>6.4489999999999999E-3</v>
      </c>
      <c r="F47" s="1"/>
      <c r="G47" s="1"/>
      <c r="H47" s="1"/>
      <c r="I47" s="1"/>
      <c r="J47" s="1"/>
      <c r="K47" s="1"/>
      <c r="L47" s="1"/>
      <c r="M47" s="1"/>
      <c r="N47" s="18"/>
    </row>
    <row r="48" spans="2:14" ht="15" customHeight="1" x14ac:dyDescent="0.25">
      <c r="B48" s="20"/>
      <c r="C48" s="7" t="s">
        <v>83</v>
      </c>
      <c r="D48" s="8"/>
      <c r="E48" s="12">
        <v>6.4489999999999999E-3</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7" t="s">
        <v>52</v>
      </c>
      <c r="D50" s="8"/>
      <c r="E50" s="12">
        <v>2.0200000000000001E-3</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9" t="s">
        <v>53</v>
      </c>
      <c r="D52" s="10"/>
      <c r="E52" s="13">
        <v>1</v>
      </c>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x14ac:dyDescent="0.25">
      <c r="B54" s="20"/>
      <c r="C54" s="1"/>
      <c r="D54" s="1"/>
      <c r="E54" s="1"/>
      <c r="F54" s="1"/>
      <c r="G54" s="1"/>
      <c r="H54" s="1"/>
      <c r="I54" s="1"/>
      <c r="J54" s="1"/>
      <c r="K54" s="1"/>
      <c r="L54" s="1"/>
      <c r="M54" s="1"/>
      <c r="N54" s="18"/>
    </row>
    <row r="55" spans="2:14" ht="15" customHeight="1" thickBot="1" x14ac:dyDescent="0.3">
      <c r="B55" s="21"/>
      <c r="C55" s="22"/>
      <c r="D55" s="22"/>
      <c r="E55" s="22"/>
      <c r="F55" s="22"/>
      <c r="G55" s="22"/>
      <c r="H55" s="22"/>
      <c r="I55" s="22"/>
      <c r="J55" s="22"/>
      <c r="K55" s="22"/>
      <c r="L55" s="22"/>
      <c r="M55" s="22"/>
      <c r="N55" s="23"/>
    </row>
    <row r="56" spans="2:14" ht="15" customHeight="1" thickBot="1" x14ac:dyDescent="0.3"/>
    <row r="57" spans="2:14" ht="15" customHeight="1" x14ac:dyDescent="0.25">
      <c r="B57" s="88" t="s">
        <v>213</v>
      </c>
      <c r="C57" s="89"/>
      <c r="D57" s="89"/>
      <c r="E57" s="89"/>
      <c r="F57" s="89"/>
      <c r="G57" s="89"/>
      <c r="H57" s="89"/>
      <c r="I57" s="89"/>
      <c r="J57" s="89"/>
      <c r="K57" s="89"/>
      <c r="L57" s="89"/>
      <c r="M57" s="89"/>
      <c r="N57" s="90"/>
    </row>
    <row r="58" spans="2:14" ht="15" customHeight="1" x14ac:dyDescent="0.25">
      <c r="B58" s="91"/>
      <c r="C58" s="92"/>
      <c r="D58" s="92"/>
      <c r="E58" s="92"/>
      <c r="F58" s="92"/>
      <c r="G58" s="92"/>
      <c r="H58" s="92"/>
      <c r="I58" s="92"/>
      <c r="J58" s="92"/>
      <c r="K58" s="92"/>
      <c r="L58" s="92"/>
      <c r="M58" s="92"/>
      <c r="N58" s="93"/>
    </row>
    <row r="59" spans="2:14" ht="15" customHeight="1" x14ac:dyDescent="0.25">
      <c r="B59" s="91"/>
      <c r="C59" s="92"/>
      <c r="D59" s="92"/>
      <c r="E59" s="92"/>
      <c r="F59" s="92"/>
      <c r="G59" s="92"/>
      <c r="H59" s="92"/>
      <c r="I59" s="92"/>
      <c r="J59" s="92"/>
      <c r="K59" s="92"/>
      <c r="L59" s="92"/>
      <c r="M59" s="92"/>
      <c r="N59" s="93"/>
    </row>
    <row r="60" spans="2:14" ht="15" customHeight="1" thickBot="1" x14ac:dyDescent="0.3">
      <c r="B60" s="94"/>
      <c r="C60" s="95"/>
      <c r="D60" s="95"/>
      <c r="E60" s="95"/>
      <c r="F60" s="95"/>
      <c r="G60" s="95"/>
      <c r="H60" s="95"/>
      <c r="I60" s="95"/>
      <c r="J60" s="95"/>
      <c r="K60" s="95"/>
      <c r="L60" s="95"/>
      <c r="M60" s="95"/>
      <c r="N60" s="96"/>
    </row>
    <row r="61" spans="2:14" ht="15" customHeight="1" thickBot="1" x14ac:dyDescent="0.3"/>
    <row r="62" spans="2:14" ht="15" customHeight="1" thickBot="1" x14ac:dyDescent="0.3">
      <c r="B62" s="97" t="s">
        <v>214</v>
      </c>
      <c r="C62" s="98"/>
      <c r="D62" s="98"/>
      <c r="E62" s="98"/>
      <c r="F62" s="98"/>
      <c r="G62" s="98"/>
      <c r="H62" s="98"/>
      <c r="I62" s="98"/>
      <c r="J62" s="98"/>
      <c r="K62" s="98"/>
      <c r="L62" s="98"/>
      <c r="M62" s="98"/>
      <c r="N62" s="99"/>
    </row>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sortState ref="C34:E41">
    <sortCondition descending="1" ref="E34"/>
  </sortState>
  <mergeCells count="7">
    <mergeCell ref="B57:N60"/>
    <mergeCell ref="B62:N62"/>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F1F4-65AA-4468-B203-72DEEE38562D}">
  <dimension ref="B1:N50"/>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127</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128</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40</v>
      </c>
      <c r="D8" s="6"/>
      <c r="E8" s="11">
        <v>2.1080000000000001E-3</v>
      </c>
      <c r="F8" s="1"/>
      <c r="G8" s="24" t="s">
        <v>6</v>
      </c>
      <c r="H8" s="25">
        <v>1</v>
      </c>
      <c r="I8" s="1"/>
      <c r="J8" s="24" t="s">
        <v>54</v>
      </c>
      <c r="K8" s="24" t="s">
        <v>5</v>
      </c>
      <c r="L8" s="1"/>
      <c r="M8" s="1"/>
      <c r="N8" s="18"/>
    </row>
    <row r="9" spans="2:14" ht="15.75" customHeight="1" x14ac:dyDescent="0.25">
      <c r="B9" s="20"/>
      <c r="C9" s="7" t="s">
        <v>41</v>
      </c>
      <c r="D9" s="8"/>
      <c r="E9" s="12">
        <v>2.1080000000000001E-3</v>
      </c>
      <c r="F9" s="1"/>
      <c r="G9" s="1"/>
      <c r="H9" s="1"/>
      <c r="I9" s="1"/>
      <c r="J9" s="24" t="s">
        <v>52</v>
      </c>
      <c r="K9" s="29">
        <v>1.5885E-2</v>
      </c>
      <c r="L9" s="1"/>
      <c r="M9" s="1"/>
      <c r="N9" s="18"/>
    </row>
    <row r="10" spans="2:14" ht="15" customHeight="1" x14ac:dyDescent="0.25">
      <c r="B10" s="20"/>
      <c r="C10" s="5" t="s">
        <v>63</v>
      </c>
      <c r="D10" s="6" t="s">
        <v>182</v>
      </c>
      <c r="E10" s="11">
        <v>0.98020300000000005</v>
      </c>
      <c r="F10" s="1"/>
      <c r="G10" s="1"/>
      <c r="H10" s="1"/>
      <c r="I10" s="1"/>
      <c r="J10" s="24" t="s">
        <v>55</v>
      </c>
      <c r="K10" s="29">
        <v>1.7340000000000001E-3</v>
      </c>
      <c r="L10" s="1"/>
      <c r="M10" s="1"/>
      <c r="N10" s="18"/>
    </row>
    <row r="11" spans="2:14" ht="15" customHeight="1" x14ac:dyDescent="0.25">
      <c r="B11" s="20"/>
      <c r="C11" s="5" t="s">
        <v>120</v>
      </c>
      <c r="D11" s="6" t="s">
        <v>182</v>
      </c>
      <c r="E11" s="50">
        <v>3.4999999999999997E-5</v>
      </c>
      <c r="F11" s="1"/>
      <c r="G11" s="1"/>
      <c r="H11" s="1"/>
      <c r="I11" s="1"/>
      <c r="J11" s="24" t="s">
        <v>40</v>
      </c>
      <c r="K11" s="29">
        <v>2.1080000000000001E-3</v>
      </c>
      <c r="L11" s="1"/>
      <c r="M11" s="1"/>
      <c r="N11" s="18"/>
    </row>
    <row r="12" spans="2:14" ht="15" customHeight="1" x14ac:dyDescent="0.25">
      <c r="B12" s="20"/>
      <c r="C12" s="5" t="s">
        <v>129</v>
      </c>
      <c r="D12" s="6" t="s">
        <v>182</v>
      </c>
      <c r="E12" s="50">
        <v>3.4999999999999997E-5</v>
      </c>
      <c r="F12" s="1"/>
      <c r="G12" s="1"/>
      <c r="H12" s="1"/>
      <c r="I12" s="1"/>
      <c r="J12" s="24" t="s">
        <v>58</v>
      </c>
      <c r="K12" s="29">
        <v>0.98027299999999995</v>
      </c>
      <c r="L12" s="1"/>
      <c r="M12" s="1"/>
      <c r="N12" s="18"/>
    </row>
    <row r="13" spans="2:14" ht="15.75" customHeight="1" x14ac:dyDescent="0.25">
      <c r="B13" s="20"/>
      <c r="C13" s="7" t="s">
        <v>48</v>
      </c>
      <c r="D13" s="8"/>
      <c r="E13" s="12">
        <v>0.98027299999999995</v>
      </c>
      <c r="F13" s="1"/>
      <c r="G13" s="1"/>
      <c r="H13" s="1"/>
      <c r="I13" s="1"/>
      <c r="J13" s="1"/>
      <c r="K13" s="1"/>
      <c r="L13" s="1"/>
      <c r="M13" s="1"/>
      <c r="N13" s="18"/>
    </row>
    <row r="14" spans="2:14" ht="15" customHeight="1" x14ac:dyDescent="0.25">
      <c r="B14" s="20"/>
      <c r="C14" s="5" t="s">
        <v>50</v>
      </c>
      <c r="D14" s="6"/>
      <c r="E14" s="11">
        <v>1.7340000000000001E-3</v>
      </c>
      <c r="F14" s="1"/>
      <c r="G14" s="1"/>
      <c r="H14" s="1"/>
      <c r="I14" s="1"/>
      <c r="J14" s="1"/>
      <c r="K14" s="1"/>
      <c r="L14" s="1"/>
      <c r="M14" s="1"/>
      <c r="N14" s="18"/>
    </row>
    <row r="15" spans="2:14" ht="15.75" customHeight="1" x14ac:dyDescent="0.25">
      <c r="B15" s="20"/>
      <c r="C15" s="7" t="s">
        <v>51</v>
      </c>
      <c r="D15" s="8"/>
      <c r="E15" s="12">
        <v>1.7340000000000001E-3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52</v>
      </c>
      <c r="D17" s="8"/>
      <c r="E17" s="12">
        <v>1.5885E-2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53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56">
        <v>28.783420603507427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88" t="s">
        <v>213</v>
      </c>
      <c r="C45" s="89"/>
      <c r="D45" s="89"/>
      <c r="E45" s="89"/>
      <c r="F45" s="89"/>
      <c r="G45" s="89"/>
      <c r="H45" s="89"/>
      <c r="I45" s="89"/>
      <c r="J45" s="89"/>
      <c r="K45" s="89"/>
      <c r="L45" s="89"/>
      <c r="M45" s="89"/>
      <c r="N45" s="90"/>
    </row>
    <row r="46" spans="2:14" x14ac:dyDescent="0.25">
      <c r="B46" s="91"/>
      <c r="C46" s="92"/>
      <c r="D46" s="92"/>
      <c r="E46" s="92"/>
      <c r="F46" s="92"/>
      <c r="G46" s="92"/>
      <c r="H46" s="92"/>
      <c r="I46" s="92"/>
      <c r="J46" s="92"/>
      <c r="K46" s="92"/>
      <c r="L46" s="92"/>
      <c r="M46" s="92"/>
      <c r="N46" s="93"/>
    </row>
    <row r="47" spans="2:14" x14ac:dyDescent="0.25">
      <c r="B47" s="91"/>
      <c r="C47" s="92"/>
      <c r="D47" s="92"/>
      <c r="E47" s="92"/>
      <c r="F47" s="92"/>
      <c r="G47" s="92"/>
      <c r="H47" s="92"/>
      <c r="I47" s="92"/>
      <c r="J47" s="92"/>
      <c r="K47" s="92"/>
      <c r="L47" s="92"/>
      <c r="M47" s="92"/>
      <c r="N47" s="93"/>
    </row>
    <row r="48" spans="2:14" ht="15.75" thickBot="1" x14ac:dyDescent="0.3">
      <c r="B48" s="94"/>
      <c r="C48" s="95"/>
      <c r="D48" s="95"/>
      <c r="E48" s="95"/>
      <c r="F48" s="95"/>
      <c r="G48" s="95"/>
      <c r="H48" s="95"/>
      <c r="I48" s="95"/>
      <c r="J48" s="95"/>
      <c r="K48" s="95"/>
      <c r="L48" s="95"/>
      <c r="M48" s="95"/>
      <c r="N48" s="96"/>
    </row>
    <row r="49" spans="2:14" ht="15.75" thickBot="1" x14ac:dyDescent="0.3"/>
    <row r="50" spans="2:14" ht="125.25" customHeight="1" thickBot="1" x14ac:dyDescent="0.3">
      <c r="B50" s="97" t="s">
        <v>214</v>
      </c>
      <c r="C50" s="98"/>
      <c r="D50" s="98"/>
      <c r="E50" s="98"/>
      <c r="F50" s="98"/>
      <c r="G50" s="98"/>
      <c r="H50" s="98"/>
      <c r="I50" s="98"/>
      <c r="J50" s="98"/>
      <c r="K50" s="98"/>
      <c r="L50" s="98"/>
      <c r="M50" s="98"/>
      <c r="N50" s="9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7C5B-16C8-4C62-BD46-3A16846265F3}">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60</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61</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24</v>
      </c>
      <c r="D8" s="6" t="s">
        <v>13</v>
      </c>
      <c r="E8" s="11">
        <v>6.7820000000000005E-2</v>
      </c>
      <c r="F8" s="1"/>
      <c r="G8" s="24" t="s">
        <v>6</v>
      </c>
      <c r="H8" s="25">
        <v>1</v>
      </c>
      <c r="I8" s="1"/>
      <c r="J8" s="24" t="s">
        <v>54</v>
      </c>
      <c r="K8" s="24" t="s">
        <v>5</v>
      </c>
      <c r="L8" s="1"/>
      <c r="M8" s="1"/>
      <c r="N8" s="18"/>
    </row>
    <row r="9" spans="2:14" ht="15" customHeight="1" x14ac:dyDescent="0.25">
      <c r="B9" s="20"/>
      <c r="C9" s="5" t="s">
        <v>17</v>
      </c>
      <c r="D9" s="6" t="s">
        <v>13</v>
      </c>
      <c r="E9" s="11">
        <v>0.05</v>
      </c>
      <c r="F9" s="1"/>
      <c r="G9" s="1"/>
      <c r="H9" s="1"/>
      <c r="I9" s="1"/>
      <c r="J9" s="24" t="s">
        <v>52</v>
      </c>
      <c r="K9" s="29">
        <v>2.0230999999999999E-2</v>
      </c>
      <c r="L9" s="1"/>
      <c r="M9" s="1"/>
      <c r="N9" s="18"/>
    </row>
    <row r="10" spans="2:14" ht="15.75" customHeight="1" x14ac:dyDescent="0.25">
      <c r="B10" s="20"/>
      <c r="C10" s="7" t="s">
        <v>23</v>
      </c>
      <c r="D10" s="8"/>
      <c r="E10" s="12">
        <v>0.11781999999999999</v>
      </c>
      <c r="F10" s="1"/>
      <c r="G10" s="1"/>
      <c r="H10" s="1"/>
      <c r="I10" s="1"/>
      <c r="J10" s="24" t="s">
        <v>55</v>
      </c>
      <c r="K10" s="29">
        <v>1.0958000000000001E-2</v>
      </c>
      <c r="L10" s="1"/>
      <c r="M10" s="1"/>
      <c r="N10" s="18"/>
    </row>
    <row r="11" spans="2:14" ht="15" customHeight="1" x14ac:dyDescent="0.25">
      <c r="B11" s="20"/>
      <c r="C11" s="5" t="s">
        <v>62</v>
      </c>
      <c r="D11" s="6" t="s">
        <v>25</v>
      </c>
      <c r="E11" s="11">
        <v>8.6496000000000003E-2</v>
      </c>
      <c r="F11" s="1"/>
      <c r="G11" s="1"/>
      <c r="H11" s="1"/>
      <c r="I11" s="1"/>
      <c r="J11" s="24" t="s">
        <v>56</v>
      </c>
      <c r="K11" s="29">
        <v>0.11781999999999999</v>
      </c>
      <c r="L11" s="1"/>
      <c r="M11" s="1"/>
      <c r="N11" s="18"/>
    </row>
    <row r="12" spans="2:14" ht="15" customHeight="1" x14ac:dyDescent="0.25">
      <c r="B12" s="20"/>
      <c r="C12" s="5" t="s">
        <v>38</v>
      </c>
      <c r="D12" s="6" t="s">
        <v>25</v>
      </c>
      <c r="E12" s="11">
        <v>5.1681999999999999E-2</v>
      </c>
      <c r="F12" s="1"/>
      <c r="G12" s="1"/>
      <c r="H12" s="1"/>
      <c r="I12" s="1"/>
      <c r="J12" s="24" t="s">
        <v>57</v>
      </c>
      <c r="K12" s="29">
        <v>0.19340399999999999</v>
      </c>
      <c r="L12" s="1"/>
      <c r="M12" s="1"/>
      <c r="N12" s="18"/>
    </row>
    <row r="13" spans="2:14" ht="15" customHeight="1" x14ac:dyDescent="0.25">
      <c r="B13" s="20"/>
      <c r="C13" s="5" t="s">
        <v>20</v>
      </c>
      <c r="D13" s="6" t="s">
        <v>25</v>
      </c>
      <c r="E13" s="11">
        <v>5.1196999999999999E-2</v>
      </c>
      <c r="F13" s="1"/>
      <c r="G13" s="1"/>
      <c r="H13" s="1"/>
      <c r="I13" s="1"/>
      <c r="J13" s="24" t="s">
        <v>40</v>
      </c>
      <c r="K13" s="29">
        <v>2.6849999999999999E-3</v>
      </c>
      <c r="L13" s="1"/>
      <c r="M13" s="1"/>
      <c r="N13" s="18"/>
    </row>
    <row r="14" spans="2:14" ht="15" customHeight="1" x14ac:dyDescent="0.25">
      <c r="B14" s="20"/>
      <c r="C14" s="5" t="s">
        <v>27</v>
      </c>
      <c r="D14" s="6" t="s">
        <v>25</v>
      </c>
      <c r="E14" s="11">
        <v>4.0289999999999996E-3</v>
      </c>
      <c r="F14" s="1"/>
      <c r="G14" s="1"/>
      <c r="H14" s="1"/>
      <c r="I14" s="1"/>
      <c r="J14" s="24" t="s">
        <v>58</v>
      </c>
      <c r="K14" s="29">
        <v>0.65490199999999998</v>
      </c>
      <c r="L14" s="1"/>
      <c r="M14" s="1"/>
      <c r="N14" s="18"/>
    </row>
    <row r="15" spans="2:14" ht="15.75" customHeight="1" x14ac:dyDescent="0.25">
      <c r="B15" s="20"/>
      <c r="C15" s="7" t="s">
        <v>39</v>
      </c>
      <c r="D15" s="8"/>
      <c r="E15" s="12">
        <v>0.19340399999999999</v>
      </c>
      <c r="F15" s="1"/>
      <c r="G15" s="1"/>
      <c r="H15" s="1"/>
      <c r="I15" s="1"/>
      <c r="J15" s="1"/>
      <c r="K15" s="1"/>
      <c r="L15" s="1"/>
      <c r="M15" s="1"/>
      <c r="N15" s="18"/>
    </row>
    <row r="16" spans="2:14" ht="15" customHeight="1" x14ac:dyDescent="0.25">
      <c r="B16" s="20"/>
      <c r="C16" s="5" t="s">
        <v>40</v>
      </c>
      <c r="D16" s="6"/>
      <c r="E16" s="11">
        <v>2.6849999999999999E-3</v>
      </c>
      <c r="F16" s="1"/>
      <c r="G16" s="1"/>
      <c r="H16" s="1"/>
      <c r="I16" s="1"/>
      <c r="J16" s="1"/>
      <c r="K16" s="1"/>
      <c r="L16" s="1"/>
      <c r="M16" s="1"/>
      <c r="N16" s="18"/>
    </row>
    <row r="17" spans="2:14" ht="15.75" customHeight="1" x14ac:dyDescent="0.25">
      <c r="B17" s="20"/>
      <c r="C17" s="7" t="s">
        <v>41</v>
      </c>
      <c r="D17" s="8"/>
      <c r="E17" s="12">
        <v>2.6849999999999999E-3</v>
      </c>
      <c r="F17" s="1"/>
      <c r="G17" s="1"/>
      <c r="H17" s="1"/>
      <c r="I17" s="1"/>
      <c r="J17" s="1"/>
      <c r="K17" s="1"/>
      <c r="L17" s="1"/>
      <c r="M17" s="1"/>
      <c r="N17" s="18"/>
    </row>
    <row r="18" spans="2:14" ht="15" customHeight="1" x14ac:dyDescent="0.25">
      <c r="B18" s="20"/>
      <c r="C18" s="5" t="s">
        <v>63</v>
      </c>
      <c r="D18" s="6" t="s">
        <v>182</v>
      </c>
      <c r="E18" s="11">
        <v>0.35447000000000001</v>
      </c>
      <c r="F18" s="1"/>
      <c r="G18" s="1"/>
      <c r="H18" s="1"/>
      <c r="I18" s="1"/>
      <c r="J18" s="1"/>
      <c r="K18" s="1"/>
      <c r="L18" s="1"/>
      <c r="M18" s="1"/>
      <c r="N18" s="18"/>
    </row>
    <row r="19" spans="2:14" ht="15" customHeight="1" x14ac:dyDescent="0.25">
      <c r="B19" s="20"/>
      <c r="C19" s="5" t="s">
        <v>42</v>
      </c>
      <c r="D19" s="6" t="s">
        <v>182</v>
      </c>
      <c r="E19" s="11">
        <v>0.27055000000000001</v>
      </c>
      <c r="F19" s="1"/>
      <c r="G19" s="1"/>
      <c r="H19" s="1"/>
      <c r="I19" s="1"/>
      <c r="J19" s="1"/>
      <c r="K19" s="1"/>
      <c r="L19" s="1"/>
      <c r="M19" s="1"/>
      <c r="N19" s="18"/>
    </row>
    <row r="20" spans="2:14" ht="15" customHeight="1" x14ac:dyDescent="0.25">
      <c r="B20" s="20"/>
      <c r="C20" s="5" t="s">
        <v>43</v>
      </c>
      <c r="D20" s="6" t="s">
        <v>182</v>
      </c>
      <c r="E20" s="11">
        <v>1.6816999999999999E-2</v>
      </c>
      <c r="F20" s="1"/>
      <c r="G20" s="1"/>
      <c r="H20" s="1"/>
      <c r="I20" s="1"/>
      <c r="J20" s="1"/>
      <c r="K20" s="1"/>
      <c r="L20" s="1"/>
      <c r="M20" s="1"/>
      <c r="N20" s="18"/>
    </row>
    <row r="21" spans="2:14" ht="15" customHeight="1" x14ac:dyDescent="0.25">
      <c r="B21" s="20"/>
      <c r="C21" s="5" t="s">
        <v>47</v>
      </c>
      <c r="D21" s="6" t="s">
        <v>182</v>
      </c>
      <c r="E21" s="11">
        <v>1.0177E-2</v>
      </c>
      <c r="F21" s="1"/>
      <c r="G21" s="1"/>
      <c r="H21" s="1"/>
      <c r="I21" s="1"/>
      <c r="J21" s="1"/>
      <c r="K21" s="1"/>
      <c r="L21" s="1"/>
      <c r="M21" s="1"/>
      <c r="N21" s="18"/>
    </row>
    <row r="22" spans="2:14" ht="15" customHeight="1" x14ac:dyDescent="0.25">
      <c r="B22" s="20"/>
      <c r="C22" s="5" t="s">
        <v>64</v>
      </c>
      <c r="D22" s="6" t="s">
        <v>182</v>
      </c>
      <c r="E22" s="11">
        <v>2.0630000000000002E-3</v>
      </c>
      <c r="F22" s="1"/>
      <c r="G22" s="1"/>
      <c r="H22" s="1"/>
      <c r="I22" s="1"/>
      <c r="J22" s="1"/>
      <c r="K22" s="1"/>
      <c r="L22" s="1"/>
      <c r="M22" s="1"/>
      <c r="N22" s="18"/>
    </row>
    <row r="23" spans="2:14" ht="15" customHeight="1" x14ac:dyDescent="0.25">
      <c r="B23" s="20"/>
      <c r="C23" s="5" t="s">
        <v>65</v>
      </c>
      <c r="D23" s="6" t="s">
        <v>182</v>
      </c>
      <c r="E23" s="11">
        <v>8.25E-4</v>
      </c>
      <c r="F23" s="1"/>
      <c r="G23" s="1"/>
      <c r="H23" s="1"/>
      <c r="I23" s="1"/>
      <c r="J23" s="1"/>
      <c r="K23" s="1"/>
      <c r="L23" s="1"/>
      <c r="M23" s="1"/>
      <c r="N23" s="18"/>
    </row>
    <row r="24" spans="2:14" ht="15.75" customHeight="1" x14ac:dyDescent="0.25">
      <c r="B24" s="20"/>
      <c r="C24" s="7" t="s">
        <v>48</v>
      </c>
      <c r="D24" s="8"/>
      <c r="E24" s="12">
        <v>0.65490199999999998</v>
      </c>
      <c r="F24" s="1"/>
      <c r="G24" s="105" t="s">
        <v>8</v>
      </c>
      <c r="H24" s="110"/>
      <c r="I24" s="110"/>
      <c r="J24" s="110"/>
      <c r="K24" s="110"/>
      <c r="L24" s="57">
        <v>13.523590046302846</v>
      </c>
      <c r="M24" s="27"/>
      <c r="N24" s="28"/>
    </row>
    <row r="25" spans="2:14" ht="15" customHeight="1" x14ac:dyDescent="0.25">
      <c r="B25" s="20"/>
      <c r="C25" s="5" t="s">
        <v>50</v>
      </c>
      <c r="D25" s="6"/>
      <c r="E25" s="11">
        <v>1.0958000000000001E-2</v>
      </c>
      <c r="F25" s="1"/>
      <c r="G25" s="1"/>
      <c r="H25" s="1"/>
      <c r="I25" s="1"/>
      <c r="J25" s="1"/>
      <c r="K25" s="1"/>
      <c r="L25" s="1"/>
      <c r="M25" s="1"/>
      <c r="N25" s="18"/>
    </row>
    <row r="26" spans="2:14" ht="15.75" customHeight="1" x14ac:dyDescent="0.25">
      <c r="B26" s="20"/>
      <c r="C26" s="7" t="s">
        <v>51</v>
      </c>
      <c r="D26" s="8"/>
      <c r="E26" s="12">
        <v>1.0958000000000001E-2</v>
      </c>
      <c r="F26" s="1"/>
      <c r="G26" s="105" t="s">
        <v>9</v>
      </c>
      <c r="H26" s="110"/>
      <c r="I26" s="110"/>
      <c r="J26" s="110"/>
      <c r="K26" s="110"/>
      <c r="L26" s="110"/>
      <c r="M26" s="110"/>
      <c r="N26" s="111"/>
    </row>
    <row r="27" spans="2:14" ht="15" customHeight="1" x14ac:dyDescent="0.25">
      <c r="B27" s="20"/>
      <c r="C27" s="5"/>
      <c r="D27" s="6"/>
      <c r="E27" s="11"/>
      <c r="F27" s="1"/>
      <c r="G27" s="1"/>
      <c r="H27" s="1"/>
      <c r="I27" s="1"/>
      <c r="J27" s="1"/>
      <c r="K27" s="1"/>
      <c r="L27" s="1"/>
      <c r="M27" s="1"/>
      <c r="N27" s="18"/>
    </row>
    <row r="28" spans="2:14" ht="15.75" customHeight="1" x14ac:dyDescent="0.25">
      <c r="B28" s="20"/>
      <c r="C28" s="7" t="s">
        <v>52</v>
      </c>
      <c r="D28" s="8"/>
      <c r="E28" s="12">
        <v>2.0230999999999999E-2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53</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8" t="s">
        <v>213</v>
      </c>
      <c r="C45" s="89"/>
      <c r="D45" s="89"/>
      <c r="E45" s="89"/>
      <c r="F45" s="89"/>
      <c r="G45" s="89"/>
      <c r="H45" s="89"/>
      <c r="I45" s="89"/>
      <c r="J45" s="89"/>
      <c r="K45" s="89"/>
      <c r="L45" s="89"/>
      <c r="M45" s="89"/>
      <c r="N45" s="90"/>
    </row>
    <row r="46" spans="2:14" ht="15" customHeight="1" x14ac:dyDescent="0.25">
      <c r="B46" s="91"/>
      <c r="C46" s="92"/>
      <c r="D46" s="92"/>
      <c r="E46" s="92"/>
      <c r="F46" s="92"/>
      <c r="G46" s="92"/>
      <c r="H46" s="92"/>
      <c r="I46" s="92"/>
      <c r="J46" s="92"/>
      <c r="K46" s="92"/>
      <c r="L46" s="92"/>
      <c r="M46" s="92"/>
      <c r="N46" s="93"/>
    </row>
    <row r="47" spans="2:14" ht="15" customHeight="1" x14ac:dyDescent="0.25">
      <c r="B47" s="91"/>
      <c r="C47" s="92"/>
      <c r="D47" s="92"/>
      <c r="E47" s="92"/>
      <c r="F47" s="92"/>
      <c r="G47" s="92"/>
      <c r="H47" s="92"/>
      <c r="I47" s="92"/>
      <c r="J47" s="92"/>
      <c r="K47" s="92"/>
      <c r="L47" s="92"/>
      <c r="M47" s="92"/>
      <c r="N47" s="93"/>
    </row>
    <row r="48" spans="2:14" ht="15" customHeight="1" thickBot="1" x14ac:dyDescent="0.3">
      <c r="B48" s="94"/>
      <c r="C48" s="95"/>
      <c r="D48" s="95"/>
      <c r="E48" s="95"/>
      <c r="F48" s="95"/>
      <c r="G48" s="95"/>
      <c r="H48" s="95"/>
      <c r="I48" s="95"/>
      <c r="J48" s="95"/>
      <c r="K48" s="95"/>
      <c r="L48" s="95"/>
      <c r="M48" s="95"/>
      <c r="N48" s="96"/>
    </row>
    <row r="49" spans="2:14" ht="15" customHeight="1" thickBot="1" x14ac:dyDescent="0.3"/>
    <row r="50" spans="2:14" ht="128.25" customHeight="1" thickBot="1" x14ac:dyDescent="0.3">
      <c r="B50" s="97" t="s">
        <v>214</v>
      </c>
      <c r="C50" s="98"/>
      <c r="D50" s="98"/>
      <c r="E50" s="98"/>
      <c r="F50" s="98"/>
      <c r="G50" s="98"/>
      <c r="H50" s="98"/>
      <c r="I50" s="98"/>
      <c r="J50" s="98"/>
      <c r="K50" s="98"/>
      <c r="L50" s="98"/>
      <c r="M50" s="98"/>
      <c r="N50" s="9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4942-D108-47D7-84CC-5064D3071850}">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66</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67</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24</v>
      </c>
      <c r="D8" s="6" t="s">
        <v>13</v>
      </c>
      <c r="E8" s="11">
        <v>8.1332000000000002E-2</v>
      </c>
      <c r="F8" s="1"/>
      <c r="G8" s="24" t="s">
        <v>6</v>
      </c>
      <c r="H8" s="25">
        <v>1</v>
      </c>
      <c r="I8" s="1"/>
      <c r="J8" s="24" t="s">
        <v>54</v>
      </c>
      <c r="K8" s="24" t="s">
        <v>5</v>
      </c>
      <c r="L8" s="1"/>
      <c r="M8" s="1"/>
      <c r="N8" s="18"/>
    </row>
    <row r="9" spans="2:14" ht="15" customHeight="1" x14ac:dyDescent="0.25">
      <c r="B9" s="20"/>
      <c r="C9" s="5" t="s">
        <v>14</v>
      </c>
      <c r="D9" s="6" t="s">
        <v>13</v>
      </c>
      <c r="E9" s="11">
        <v>6.7751000000000006E-2</v>
      </c>
      <c r="F9" s="1"/>
      <c r="G9" s="1"/>
      <c r="H9" s="1"/>
      <c r="I9" s="1"/>
      <c r="J9" s="24" t="s">
        <v>52</v>
      </c>
      <c r="K9" s="29">
        <v>1.4470999999999999E-2</v>
      </c>
      <c r="L9" s="1"/>
      <c r="M9" s="1"/>
      <c r="N9" s="18"/>
    </row>
    <row r="10" spans="2:14" ht="15" customHeight="1" x14ac:dyDescent="0.25">
      <c r="B10" s="20"/>
      <c r="C10" s="5" t="s">
        <v>15</v>
      </c>
      <c r="D10" s="6" t="s">
        <v>13</v>
      </c>
      <c r="E10" s="11">
        <v>1.6049999999999998E-2</v>
      </c>
      <c r="F10" s="1"/>
      <c r="G10" s="1"/>
      <c r="H10" s="1"/>
      <c r="I10" s="1"/>
      <c r="J10" s="24" t="s">
        <v>55</v>
      </c>
      <c r="K10" s="29">
        <v>2.1649999999999998E-3</v>
      </c>
      <c r="L10" s="1"/>
      <c r="M10" s="1"/>
      <c r="N10" s="18"/>
    </row>
    <row r="11" spans="2:14" ht="15" customHeight="1" x14ac:dyDescent="0.25">
      <c r="B11" s="20"/>
      <c r="C11" s="5" t="s">
        <v>18</v>
      </c>
      <c r="D11" s="6" t="s">
        <v>13</v>
      </c>
      <c r="E11" s="11">
        <v>1.289E-2</v>
      </c>
      <c r="F11" s="1"/>
      <c r="G11" s="1"/>
      <c r="H11" s="1"/>
      <c r="I11" s="1"/>
      <c r="J11" s="24" t="s">
        <v>56</v>
      </c>
      <c r="K11" s="29">
        <v>0.17802299999999999</v>
      </c>
      <c r="L11" s="1"/>
      <c r="M11" s="1"/>
      <c r="N11" s="18"/>
    </row>
    <row r="12" spans="2:14" ht="15.75" customHeight="1" x14ac:dyDescent="0.25">
      <c r="B12" s="20"/>
      <c r="C12" s="7" t="s">
        <v>23</v>
      </c>
      <c r="D12" s="8"/>
      <c r="E12" s="12">
        <v>0.17802299999999999</v>
      </c>
      <c r="F12" s="1"/>
      <c r="G12" s="1"/>
      <c r="H12" s="1"/>
      <c r="I12" s="1"/>
      <c r="J12" s="24" t="s">
        <v>57</v>
      </c>
      <c r="K12" s="29">
        <v>0.27377600000000002</v>
      </c>
      <c r="L12" s="1"/>
      <c r="M12" s="1"/>
      <c r="N12" s="18"/>
    </row>
    <row r="13" spans="2:14" ht="15" customHeight="1" x14ac:dyDescent="0.25">
      <c r="B13" s="20"/>
      <c r="C13" s="5" t="s">
        <v>38</v>
      </c>
      <c r="D13" s="6" t="s">
        <v>25</v>
      </c>
      <c r="E13" s="11">
        <v>9.9169999999999994E-2</v>
      </c>
      <c r="F13" s="1"/>
      <c r="G13" s="1"/>
      <c r="H13" s="1"/>
      <c r="I13" s="1"/>
      <c r="J13" s="24" t="s">
        <v>40</v>
      </c>
      <c r="K13" s="29">
        <v>3.4849999999999998E-3</v>
      </c>
      <c r="L13" s="1"/>
      <c r="M13" s="1"/>
      <c r="N13" s="18"/>
    </row>
    <row r="14" spans="2:14" ht="15" customHeight="1" x14ac:dyDescent="0.25">
      <c r="B14" s="20"/>
      <c r="C14" s="5" t="s">
        <v>68</v>
      </c>
      <c r="D14" s="6" t="s">
        <v>25</v>
      </c>
      <c r="E14" s="11">
        <v>6.9027000000000005E-2</v>
      </c>
      <c r="F14" s="1"/>
      <c r="G14" s="1"/>
      <c r="H14" s="1"/>
      <c r="I14" s="1"/>
      <c r="J14" s="24" t="s">
        <v>58</v>
      </c>
      <c r="K14" s="29">
        <v>0.52673400000000004</v>
      </c>
      <c r="L14" s="1"/>
      <c r="M14" s="1"/>
      <c r="N14" s="18"/>
    </row>
    <row r="15" spans="2:14" ht="15" customHeight="1" x14ac:dyDescent="0.25">
      <c r="B15" s="20"/>
      <c r="C15" s="5" t="s">
        <v>62</v>
      </c>
      <c r="D15" s="6" t="s">
        <v>25</v>
      </c>
      <c r="E15" s="11">
        <v>5.3904000000000001E-2</v>
      </c>
      <c r="F15" s="1"/>
      <c r="G15" s="1"/>
      <c r="H15" s="1"/>
      <c r="I15" s="1"/>
      <c r="J15" s="24" t="s">
        <v>59</v>
      </c>
      <c r="K15" s="29">
        <v>1.346E-3</v>
      </c>
      <c r="L15" s="1"/>
      <c r="M15" s="1"/>
      <c r="N15" s="18"/>
    </row>
    <row r="16" spans="2:14" ht="15" customHeight="1" x14ac:dyDescent="0.25">
      <c r="B16" s="20"/>
      <c r="C16" s="5" t="s">
        <v>24</v>
      </c>
      <c r="D16" s="6" t="s">
        <v>25</v>
      </c>
      <c r="E16" s="11">
        <v>3.1992E-2</v>
      </c>
      <c r="F16" s="1"/>
      <c r="G16" s="1"/>
      <c r="H16" s="1"/>
      <c r="I16" s="1"/>
      <c r="J16" s="1"/>
      <c r="K16" s="1"/>
      <c r="L16" s="1"/>
      <c r="M16" s="1"/>
      <c r="N16" s="18"/>
    </row>
    <row r="17" spans="2:14" ht="15" customHeight="1" x14ac:dyDescent="0.25">
      <c r="B17" s="20"/>
      <c r="C17" s="5" t="s">
        <v>69</v>
      </c>
      <c r="D17" s="6" t="s">
        <v>25</v>
      </c>
      <c r="E17" s="11">
        <v>1.6444E-2</v>
      </c>
      <c r="F17" s="1"/>
      <c r="G17" s="1"/>
      <c r="H17" s="1"/>
      <c r="I17" s="1"/>
      <c r="J17" s="1"/>
      <c r="K17" s="1"/>
      <c r="L17" s="1"/>
      <c r="M17" s="1"/>
      <c r="N17" s="18"/>
    </row>
    <row r="18" spans="2:14" ht="15" customHeight="1" x14ac:dyDescent="0.25">
      <c r="B18" s="20"/>
      <c r="C18" s="5" t="s">
        <v>20</v>
      </c>
      <c r="D18" s="6" t="s">
        <v>25</v>
      </c>
      <c r="E18" s="11">
        <v>3.2390000000000001E-3</v>
      </c>
      <c r="F18" s="1"/>
      <c r="G18" s="1"/>
      <c r="H18" s="1"/>
      <c r="I18" s="1"/>
      <c r="J18" s="1"/>
      <c r="K18" s="1"/>
      <c r="L18" s="1"/>
      <c r="M18" s="1"/>
      <c r="N18" s="18"/>
    </row>
    <row r="19" spans="2:14" ht="15.75" customHeight="1" x14ac:dyDescent="0.25">
      <c r="B19" s="20"/>
      <c r="C19" s="7" t="s">
        <v>39</v>
      </c>
      <c r="D19" s="8"/>
      <c r="E19" s="12">
        <v>0.27377600000000002</v>
      </c>
      <c r="F19" s="1"/>
      <c r="G19" s="1"/>
      <c r="H19" s="1"/>
      <c r="I19" s="1"/>
      <c r="J19" s="1"/>
      <c r="K19" s="1"/>
      <c r="L19" s="1"/>
      <c r="M19" s="1"/>
      <c r="N19" s="18"/>
    </row>
    <row r="20" spans="2:14" ht="15" customHeight="1" x14ac:dyDescent="0.25">
      <c r="B20" s="20"/>
      <c r="C20" s="5" t="s">
        <v>40</v>
      </c>
      <c r="D20" s="6"/>
      <c r="E20" s="11">
        <v>3.4849999999999998E-3</v>
      </c>
      <c r="F20" s="1"/>
      <c r="G20" s="1"/>
      <c r="H20" s="1"/>
      <c r="I20" s="1"/>
      <c r="J20" s="1"/>
      <c r="K20" s="1"/>
      <c r="L20" s="1"/>
      <c r="M20" s="1"/>
      <c r="N20" s="18"/>
    </row>
    <row r="21" spans="2:14" ht="15.75" customHeight="1" x14ac:dyDescent="0.25">
      <c r="B21" s="20"/>
      <c r="C21" s="7" t="s">
        <v>41</v>
      </c>
      <c r="D21" s="8"/>
      <c r="E21" s="12">
        <v>3.4849999999999998E-3</v>
      </c>
      <c r="F21" s="1"/>
      <c r="G21" s="1"/>
      <c r="H21" s="1"/>
      <c r="I21" s="1"/>
      <c r="J21" s="1"/>
      <c r="K21" s="1"/>
      <c r="L21" s="1"/>
      <c r="M21" s="1"/>
      <c r="N21" s="18"/>
    </row>
    <row r="22" spans="2:14" ht="15" customHeight="1" x14ac:dyDescent="0.25">
      <c r="B22" s="20"/>
      <c r="C22" s="5" t="s">
        <v>42</v>
      </c>
      <c r="D22" s="6" t="s">
        <v>182</v>
      </c>
      <c r="E22" s="11">
        <v>0.27199899999999999</v>
      </c>
      <c r="F22" s="1"/>
      <c r="G22" s="1"/>
      <c r="H22" s="1"/>
      <c r="I22" s="1"/>
      <c r="J22" s="1"/>
      <c r="K22" s="1"/>
      <c r="L22" s="1"/>
      <c r="M22" s="1"/>
      <c r="N22" s="18"/>
    </row>
    <row r="23" spans="2:14" ht="15" customHeight="1" x14ac:dyDescent="0.25">
      <c r="B23" s="20"/>
      <c r="C23" s="5" t="s">
        <v>47</v>
      </c>
      <c r="D23" s="6" t="s">
        <v>182</v>
      </c>
      <c r="E23" s="11">
        <v>0.24107000000000001</v>
      </c>
      <c r="F23" s="1"/>
      <c r="G23" s="1"/>
      <c r="H23" s="1"/>
      <c r="I23" s="1"/>
      <c r="J23" s="1"/>
      <c r="K23" s="1"/>
      <c r="L23" s="1"/>
      <c r="M23" s="1"/>
      <c r="N23" s="18"/>
    </row>
    <row r="24" spans="2:14" ht="15" customHeight="1" x14ac:dyDescent="0.25">
      <c r="B24" s="20"/>
      <c r="C24" s="5" t="s">
        <v>43</v>
      </c>
      <c r="D24" s="6" t="s">
        <v>182</v>
      </c>
      <c r="E24" s="11">
        <v>1.3457999999999999E-2</v>
      </c>
      <c r="F24" s="1"/>
      <c r="G24" s="105" t="s">
        <v>8</v>
      </c>
      <c r="H24" s="110"/>
      <c r="I24" s="110"/>
      <c r="J24" s="110"/>
      <c r="K24" s="110"/>
      <c r="L24" s="57">
        <v>5.0233972772699111</v>
      </c>
      <c r="M24" s="27"/>
      <c r="N24" s="28"/>
    </row>
    <row r="25" spans="2:14" ht="15" customHeight="1" x14ac:dyDescent="0.25">
      <c r="B25" s="20"/>
      <c r="C25" s="5" t="s">
        <v>64</v>
      </c>
      <c r="D25" s="6" t="s">
        <v>182</v>
      </c>
      <c r="E25" s="11">
        <v>1.3200000000000001E-4</v>
      </c>
      <c r="F25" s="1"/>
      <c r="G25" s="1"/>
      <c r="H25" s="1"/>
      <c r="I25" s="1"/>
      <c r="J25" s="1"/>
      <c r="K25" s="1"/>
      <c r="L25" s="1"/>
      <c r="M25" s="1"/>
      <c r="N25" s="18"/>
    </row>
    <row r="26" spans="2:14" ht="15" customHeight="1" x14ac:dyDescent="0.25">
      <c r="B26" s="20"/>
      <c r="C26" s="5" t="s">
        <v>70</v>
      </c>
      <c r="D26" s="6" t="s">
        <v>182</v>
      </c>
      <c r="E26" s="11">
        <v>7.4999999999999993E-5</v>
      </c>
      <c r="F26" s="1"/>
      <c r="G26" s="105" t="s">
        <v>9</v>
      </c>
      <c r="H26" s="110"/>
      <c r="I26" s="110"/>
      <c r="J26" s="110"/>
      <c r="K26" s="110"/>
      <c r="L26" s="110"/>
      <c r="M26" s="110"/>
      <c r="N26" s="111"/>
    </row>
    <row r="27" spans="2:14" ht="15.75" customHeight="1" x14ac:dyDescent="0.25">
      <c r="B27" s="20"/>
      <c r="C27" s="7" t="s">
        <v>48</v>
      </c>
      <c r="D27" s="8"/>
      <c r="E27" s="12">
        <v>0.52673400000000004</v>
      </c>
      <c r="F27" s="1"/>
      <c r="G27" s="1"/>
      <c r="H27" s="1"/>
      <c r="I27" s="1"/>
      <c r="J27" s="1"/>
      <c r="K27" s="1"/>
      <c r="L27" s="1"/>
      <c r="M27" s="1"/>
      <c r="N27" s="18"/>
    </row>
    <row r="28" spans="2:14" ht="15" customHeight="1" x14ac:dyDescent="0.25">
      <c r="B28" s="20"/>
      <c r="C28" s="5" t="s">
        <v>262</v>
      </c>
      <c r="D28" s="6" t="s">
        <v>182</v>
      </c>
      <c r="E28" s="11">
        <v>1.346E-3</v>
      </c>
      <c r="F28" s="1"/>
      <c r="G28" s="1"/>
      <c r="H28" s="1"/>
      <c r="I28" s="1"/>
      <c r="J28" s="1"/>
      <c r="K28" s="1"/>
      <c r="L28" s="1"/>
      <c r="M28" s="1"/>
      <c r="N28" s="18"/>
    </row>
    <row r="29" spans="2:14" ht="15.75" customHeight="1" x14ac:dyDescent="0.25">
      <c r="B29" s="20"/>
      <c r="C29" s="7" t="s">
        <v>49</v>
      </c>
      <c r="D29" s="8"/>
      <c r="E29" s="12">
        <v>1.346E-3</v>
      </c>
      <c r="F29" s="1"/>
      <c r="G29" s="1"/>
      <c r="H29" s="1"/>
      <c r="I29" s="1"/>
      <c r="J29" s="1"/>
      <c r="K29" s="1"/>
      <c r="L29" s="1"/>
      <c r="M29" s="1"/>
      <c r="N29" s="18"/>
    </row>
    <row r="30" spans="2:14" ht="15" customHeight="1" x14ac:dyDescent="0.25">
      <c r="B30" s="20"/>
      <c r="C30" s="5" t="s">
        <v>50</v>
      </c>
      <c r="D30" s="6"/>
      <c r="E30" s="11">
        <v>2.1649999999999998E-3</v>
      </c>
      <c r="F30" s="1"/>
      <c r="G30" s="1"/>
      <c r="H30" s="1"/>
      <c r="I30" s="1"/>
      <c r="J30" s="1"/>
      <c r="K30" s="1"/>
      <c r="L30" s="1"/>
      <c r="M30" s="1"/>
      <c r="N30" s="18"/>
    </row>
    <row r="31" spans="2:14" ht="15.75" customHeight="1" x14ac:dyDescent="0.25">
      <c r="B31" s="20"/>
      <c r="C31" s="7" t="s">
        <v>51</v>
      </c>
      <c r="D31" s="8"/>
      <c r="E31" s="12">
        <v>2.1649999999999998E-3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7" t="s">
        <v>52</v>
      </c>
      <c r="D33" s="8"/>
      <c r="E33" s="12">
        <v>1.4470999999999999E-2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53</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8" t="s">
        <v>213</v>
      </c>
      <c r="C45" s="89"/>
      <c r="D45" s="89"/>
      <c r="E45" s="89"/>
      <c r="F45" s="89"/>
      <c r="G45" s="89"/>
      <c r="H45" s="89"/>
      <c r="I45" s="89"/>
      <c r="J45" s="89"/>
      <c r="K45" s="89"/>
      <c r="L45" s="89"/>
      <c r="M45" s="89"/>
      <c r="N45" s="90"/>
    </row>
    <row r="46" spans="2:14" ht="15" customHeight="1" x14ac:dyDescent="0.25">
      <c r="B46" s="91"/>
      <c r="C46" s="92"/>
      <c r="D46" s="92"/>
      <c r="E46" s="92"/>
      <c r="F46" s="92"/>
      <c r="G46" s="92"/>
      <c r="H46" s="92"/>
      <c r="I46" s="92"/>
      <c r="J46" s="92"/>
      <c r="K46" s="92"/>
      <c r="L46" s="92"/>
      <c r="M46" s="92"/>
      <c r="N46" s="93"/>
    </row>
    <row r="47" spans="2:14" ht="15" customHeight="1" x14ac:dyDescent="0.25">
      <c r="B47" s="91"/>
      <c r="C47" s="92"/>
      <c r="D47" s="92"/>
      <c r="E47" s="92"/>
      <c r="F47" s="92"/>
      <c r="G47" s="92"/>
      <c r="H47" s="92"/>
      <c r="I47" s="92"/>
      <c r="J47" s="92"/>
      <c r="K47" s="92"/>
      <c r="L47" s="92"/>
      <c r="M47" s="92"/>
      <c r="N47" s="93"/>
    </row>
    <row r="48" spans="2:14" ht="15" customHeight="1" thickBot="1" x14ac:dyDescent="0.3">
      <c r="B48" s="94"/>
      <c r="C48" s="95"/>
      <c r="D48" s="95"/>
      <c r="E48" s="95"/>
      <c r="F48" s="95"/>
      <c r="G48" s="95"/>
      <c r="H48" s="95"/>
      <c r="I48" s="95"/>
      <c r="J48" s="95"/>
      <c r="K48" s="95"/>
      <c r="L48" s="95"/>
      <c r="M48" s="95"/>
      <c r="N48" s="96"/>
    </row>
    <row r="49" spans="2:14" ht="15" customHeight="1" thickBot="1" x14ac:dyDescent="0.3"/>
    <row r="50" spans="2:14" ht="128.25" customHeight="1" thickBot="1" x14ac:dyDescent="0.3">
      <c r="B50" s="97" t="s">
        <v>214</v>
      </c>
      <c r="C50" s="98"/>
      <c r="D50" s="98"/>
      <c r="E50" s="98"/>
      <c r="F50" s="98"/>
      <c r="G50" s="98"/>
      <c r="H50" s="98"/>
      <c r="I50" s="98"/>
      <c r="J50" s="98"/>
      <c r="K50" s="98"/>
      <c r="L50" s="98"/>
      <c r="M50" s="98"/>
      <c r="N50" s="99"/>
    </row>
    <row r="51" spans="2:14" ht="15" customHeight="1" x14ac:dyDescent="0.25"/>
    <row r="52" spans="2:14" ht="15" customHeight="1" x14ac:dyDescent="0.25"/>
    <row r="53" spans="2:14" ht="15" customHeight="1" x14ac:dyDescent="0.25"/>
    <row r="54" spans="2:14" ht="15" customHeight="1" x14ac:dyDescent="0.25"/>
    <row r="55"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3973-9C48-4967-90B3-27C7BFC6DCD0}">
  <dimension ref="B1:N5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71</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72</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24</v>
      </c>
      <c r="D8" s="6" t="s">
        <v>13</v>
      </c>
      <c r="E8" s="11">
        <v>9.9898000000000001E-2</v>
      </c>
      <c r="F8" s="1"/>
      <c r="G8" s="24" t="s">
        <v>6</v>
      </c>
      <c r="H8" s="25">
        <v>1</v>
      </c>
      <c r="I8" s="1"/>
      <c r="J8" s="24" t="s">
        <v>54</v>
      </c>
      <c r="K8" s="24" t="s">
        <v>5</v>
      </c>
      <c r="L8" s="1"/>
      <c r="M8" s="1"/>
      <c r="N8" s="18"/>
    </row>
    <row r="9" spans="2:14" ht="15" customHeight="1" x14ac:dyDescent="0.25">
      <c r="B9" s="20"/>
      <c r="C9" s="5" t="s">
        <v>14</v>
      </c>
      <c r="D9" s="6" t="s">
        <v>13</v>
      </c>
      <c r="E9" s="11">
        <v>6.5078999999999998E-2</v>
      </c>
      <c r="F9" s="1"/>
      <c r="G9" s="1"/>
      <c r="H9" s="1"/>
      <c r="I9" s="1"/>
      <c r="J9" s="24" t="s">
        <v>52</v>
      </c>
      <c r="K9" s="29">
        <v>2.3220999999999999E-2</v>
      </c>
      <c r="L9" s="1"/>
      <c r="M9" s="1"/>
      <c r="N9" s="18"/>
    </row>
    <row r="10" spans="2:14" ht="15" customHeight="1" x14ac:dyDescent="0.25">
      <c r="B10" s="20"/>
      <c r="C10" s="5" t="s">
        <v>18</v>
      </c>
      <c r="D10" s="6" t="s">
        <v>13</v>
      </c>
      <c r="E10" s="11">
        <v>4.7200000000000002E-3</v>
      </c>
      <c r="F10" s="1"/>
      <c r="G10" s="1"/>
      <c r="H10" s="1"/>
      <c r="I10" s="1"/>
      <c r="J10" s="24" t="s">
        <v>55</v>
      </c>
      <c r="K10" s="29">
        <v>5.1710000000000002E-3</v>
      </c>
      <c r="L10" s="1"/>
      <c r="M10" s="1"/>
      <c r="N10" s="18"/>
    </row>
    <row r="11" spans="2:14" ht="15.75" customHeight="1" x14ac:dyDescent="0.25">
      <c r="B11" s="20"/>
      <c r="C11" s="7" t="s">
        <v>23</v>
      </c>
      <c r="D11" s="8"/>
      <c r="E11" s="12">
        <v>0.16969699999999999</v>
      </c>
      <c r="F11" s="1"/>
      <c r="G11" s="1"/>
      <c r="H11" s="1"/>
      <c r="I11" s="1"/>
      <c r="J11" s="24" t="s">
        <v>56</v>
      </c>
      <c r="K11" s="29">
        <v>0.16969699999999999</v>
      </c>
      <c r="L11" s="1"/>
      <c r="M11" s="1"/>
      <c r="N11" s="18"/>
    </row>
    <row r="12" spans="2:14" ht="15" customHeight="1" x14ac:dyDescent="0.25">
      <c r="B12" s="20"/>
      <c r="C12" s="5" t="s">
        <v>20</v>
      </c>
      <c r="D12" s="6" t="s">
        <v>25</v>
      </c>
      <c r="E12" s="11">
        <v>0.11365400000000001</v>
      </c>
      <c r="F12" s="1"/>
      <c r="G12" s="1"/>
      <c r="H12" s="1"/>
      <c r="I12" s="1"/>
      <c r="J12" s="24" t="s">
        <v>57</v>
      </c>
      <c r="K12" s="29">
        <v>0.41508099999999998</v>
      </c>
      <c r="L12" s="1"/>
      <c r="M12" s="1"/>
      <c r="N12" s="18"/>
    </row>
    <row r="13" spans="2:14" ht="15" customHeight="1" x14ac:dyDescent="0.25">
      <c r="B13" s="20"/>
      <c r="C13" s="5" t="s">
        <v>38</v>
      </c>
      <c r="D13" s="6" t="s">
        <v>25</v>
      </c>
      <c r="E13" s="11">
        <v>7.5286000000000006E-2</v>
      </c>
      <c r="F13" s="1"/>
      <c r="G13" s="1"/>
      <c r="H13" s="1"/>
      <c r="I13" s="1"/>
      <c r="J13" s="24" t="s">
        <v>40</v>
      </c>
      <c r="K13" s="29">
        <v>2.6540000000000001E-3</v>
      </c>
      <c r="L13" s="1"/>
      <c r="M13" s="1"/>
      <c r="N13" s="18"/>
    </row>
    <row r="14" spans="2:14" ht="15" customHeight="1" x14ac:dyDescent="0.25">
      <c r="B14" s="20"/>
      <c r="C14" s="5" t="s">
        <v>69</v>
      </c>
      <c r="D14" s="6" t="s">
        <v>25</v>
      </c>
      <c r="E14" s="11">
        <v>6.2126000000000001E-2</v>
      </c>
      <c r="F14" s="1"/>
      <c r="G14" s="1"/>
      <c r="H14" s="1"/>
      <c r="I14" s="1"/>
      <c r="J14" s="24" t="s">
        <v>58</v>
      </c>
      <c r="K14" s="29">
        <v>0.38417600000000002</v>
      </c>
      <c r="L14" s="1"/>
      <c r="M14" s="1"/>
      <c r="N14" s="18"/>
    </row>
    <row r="15" spans="2:14" ht="15" customHeight="1" x14ac:dyDescent="0.25">
      <c r="B15" s="20"/>
      <c r="C15" s="5" t="s">
        <v>62</v>
      </c>
      <c r="D15" s="6" t="s">
        <v>25</v>
      </c>
      <c r="E15" s="11">
        <v>5.1059E-2</v>
      </c>
      <c r="F15" s="1"/>
      <c r="G15" s="1"/>
      <c r="H15" s="1"/>
      <c r="I15" s="1"/>
      <c r="J15" s="1"/>
      <c r="K15" s="1"/>
      <c r="L15" s="1"/>
      <c r="M15" s="1"/>
      <c r="N15" s="18"/>
    </row>
    <row r="16" spans="2:14" ht="15" customHeight="1" x14ac:dyDescent="0.25">
      <c r="B16" s="20"/>
      <c r="C16" s="5" t="s">
        <v>68</v>
      </c>
      <c r="D16" s="6" t="s">
        <v>25</v>
      </c>
      <c r="E16" s="11">
        <v>4.2914000000000001E-2</v>
      </c>
      <c r="F16" s="1"/>
      <c r="G16" s="1"/>
      <c r="H16" s="1"/>
      <c r="I16" s="1"/>
      <c r="J16" s="1"/>
      <c r="K16" s="1"/>
      <c r="L16" s="1"/>
      <c r="M16" s="1"/>
      <c r="N16" s="18"/>
    </row>
    <row r="17" spans="2:14" ht="15" customHeight="1" x14ac:dyDescent="0.25">
      <c r="B17" s="20"/>
      <c r="C17" s="5" t="s">
        <v>27</v>
      </c>
      <c r="D17" s="6" t="s">
        <v>25</v>
      </c>
      <c r="E17" s="11">
        <v>2.1975999999999999E-2</v>
      </c>
      <c r="F17" s="1"/>
      <c r="G17" s="1"/>
      <c r="H17" s="1"/>
      <c r="I17" s="1"/>
      <c r="J17" s="1"/>
      <c r="K17" s="1"/>
      <c r="L17" s="1"/>
      <c r="M17" s="1"/>
      <c r="N17" s="18"/>
    </row>
    <row r="18" spans="2:14" ht="15" customHeight="1" x14ac:dyDescent="0.25">
      <c r="B18" s="20"/>
      <c r="C18" s="5" t="s">
        <v>73</v>
      </c>
      <c r="D18" s="6" t="s">
        <v>25</v>
      </c>
      <c r="E18" s="11">
        <v>1.8676999999999999E-2</v>
      </c>
      <c r="F18" s="1"/>
      <c r="G18" s="1"/>
      <c r="H18" s="1"/>
      <c r="I18" s="1"/>
      <c r="J18" s="1"/>
      <c r="K18" s="1"/>
      <c r="L18" s="1"/>
      <c r="M18" s="1"/>
      <c r="N18" s="18"/>
    </row>
    <row r="19" spans="2:14" ht="15" customHeight="1" x14ac:dyDescent="0.25">
      <c r="B19" s="20"/>
      <c r="C19" s="5" t="s">
        <v>24</v>
      </c>
      <c r="D19" s="6" t="s">
        <v>25</v>
      </c>
      <c r="E19" s="11">
        <v>1.5984999999999999E-2</v>
      </c>
      <c r="F19" s="1"/>
      <c r="G19" s="1"/>
      <c r="H19" s="1"/>
      <c r="I19" s="1"/>
      <c r="J19" s="1"/>
      <c r="K19" s="1"/>
      <c r="L19" s="1"/>
      <c r="M19" s="1"/>
      <c r="N19" s="18"/>
    </row>
    <row r="20" spans="2:14" ht="15" customHeight="1" x14ac:dyDescent="0.25">
      <c r="B20" s="20"/>
      <c r="C20" s="5" t="s">
        <v>74</v>
      </c>
      <c r="D20" s="6" t="s">
        <v>25</v>
      </c>
      <c r="E20" s="11">
        <v>1.3403999999999999E-2</v>
      </c>
      <c r="F20" s="1"/>
      <c r="G20" s="1"/>
      <c r="H20" s="1"/>
      <c r="I20" s="1"/>
      <c r="J20" s="1"/>
      <c r="K20" s="1"/>
      <c r="L20" s="1"/>
      <c r="M20" s="1"/>
      <c r="N20" s="18"/>
    </row>
    <row r="21" spans="2:14" ht="15.75" customHeight="1" x14ac:dyDescent="0.25">
      <c r="B21" s="20"/>
      <c r="C21" s="7" t="s">
        <v>39</v>
      </c>
      <c r="D21" s="8"/>
      <c r="E21" s="12">
        <v>0.41508099999999998</v>
      </c>
      <c r="F21" s="1"/>
      <c r="G21" s="1"/>
      <c r="H21" s="1"/>
      <c r="I21" s="1"/>
      <c r="J21" s="1"/>
      <c r="K21" s="1"/>
      <c r="L21" s="1"/>
      <c r="M21" s="1"/>
      <c r="N21" s="18"/>
    </row>
    <row r="22" spans="2:14" ht="15" customHeight="1" x14ac:dyDescent="0.25">
      <c r="B22" s="20"/>
      <c r="C22" s="5" t="s">
        <v>40</v>
      </c>
      <c r="D22" s="6"/>
      <c r="E22" s="11">
        <v>2.6540000000000001E-3</v>
      </c>
      <c r="F22" s="1"/>
      <c r="G22" s="1"/>
      <c r="H22" s="1"/>
      <c r="I22" s="1"/>
      <c r="J22" s="1"/>
      <c r="K22" s="1"/>
      <c r="L22" s="1"/>
      <c r="M22" s="1"/>
      <c r="N22" s="18"/>
    </row>
    <row r="23" spans="2:14" ht="15.75" customHeight="1" x14ac:dyDescent="0.25">
      <c r="B23" s="20"/>
      <c r="C23" s="7" t="s">
        <v>41</v>
      </c>
      <c r="D23" s="8"/>
      <c r="E23" s="12">
        <v>2.6540000000000001E-3</v>
      </c>
      <c r="F23" s="1"/>
      <c r="G23" s="1"/>
      <c r="H23" s="1"/>
      <c r="I23" s="1"/>
      <c r="J23" s="1"/>
      <c r="K23" s="1"/>
      <c r="L23" s="1"/>
      <c r="M23" s="1"/>
      <c r="N23" s="18"/>
    </row>
    <row r="24" spans="2:14" ht="15" customHeight="1" x14ac:dyDescent="0.25">
      <c r="B24" s="20"/>
      <c r="C24" s="5" t="s">
        <v>42</v>
      </c>
      <c r="D24" s="6" t="s">
        <v>182</v>
      </c>
      <c r="E24" s="11">
        <v>0.241201</v>
      </c>
      <c r="F24" s="1"/>
      <c r="G24" s="105" t="s">
        <v>8</v>
      </c>
      <c r="H24" s="110"/>
      <c r="I24" s="110"/>
      <c r="J24" s="110"/>
      <c r="K24" s="110"/>
      <c r="L24" s="57">
        <v>3.7040789405620465</v>
      </c>
      <c r="M24" s="27"/>
      <c r="N24" s="28"/>
    </row>
    <row r="25" spans="2:14" ht="15" customHeight="1" x14ac:dyDescent="0.25">
      <c r="B25" s="20"/>
      <c r="C25" s="5" t="s">
        <v>43</v>
      </c>
      <c r="D25" s="6" t="s">
        <v>182</v>
      </c>
      <c r="E25" s="11">
        <v>0.13658799999999999</v>
      </c>
      <c r="F25" s="1"/>
      <c r="G25" s="1"/>
      <c r="H25" s="1"/>
      <c r="I25" s="1"/>
      <c r="J25" s="1"/>
      <c r="K25" s="1"/>
      <c r="L25" s="1"/>
      <c r="M25" s="1"/>
      <c r="N25" s="18"/>
    </row>
    <row r="26" spans="2:14" ht="15" customHeight="1" x14ac:dyDescent="0.25">
      <c r="B26" s="20"/>
      <c r="C26" s="5" t="s">
        <v>75</v>
      </c>
      <c r="D26" s="6" t="s">
        <v>182</v>
      </c>
      <c r="E26" s="11">
        <v>6.0790000000000002E-3</v>
      </c>
      <c r="F26" s="1"/>
      <c r="G26" s="105" t="s">
        <v>9</v>
      </c>
      <c r="H26" s="110"/>
      <c r="I26" s="110"/>
      <c r="J26" s="110"/>
      <c r="K26" s="110"/>
      <c r="L26" s="110"/>
      <c r="M26" s="110"/>
      <c r="N26" s="111"/>
    </row>
    <row r="27" spans="2:14" ht="15" customHeight="1" x14ac:dyDescent="0.25">
      <c r="B27" s="20"/>
      <c r="C27" s="5" t="s">
        <v>70</v>
      </c>
      <c r="D27" s="6" t="s">
        <v>182</v>
      </c>
      <c r="E27" s="11">
        <v>1.11E-4</v>
      </c>
      <c r="F27" s="1"/>
      <c r="G27" s="1"/>
      <c r="H27" s="1"/>
      <c r="I27" s="1"/>
      <c r="J27" s="1"/>
      <c r="K27" s="1"/>
      <c r="L27" s="1"/>
      <c r="M27" s="1"/>
      <c r="N27" s="18"/>
    </row>
    <row r="28" spans="2:14" ht="15" customHeight="1" x14ac:dyDescent="0.25">
      <c r="B28" s="20"/>
      <c r="C28" s="5" t="s">
        <v>76</v>
      </c>
      <c r="D28" s="6" t="s">
        <v>182</v>
      </c>
      <c r="E28" s="11">
        <v>1.06E-4</v>
      </c>
      <c r="F28" s="1"/>
      <c r="G28" s="1"/>
      <c r="H28" s="1"/>
      <c r="I28" s="1"/>
      <c r="J28" s="1"/>
      <c r="K28" s="1"/>
      <c r="L28" s="1"/>
      <c r="M28" s="1"/>
      <c r="N28" s="18"/>
    </row>
    <row r="29" spans="2:14" ht="15" customHeight="1" x14ac:dyDescent="0.25">
      <c r="B29" s="20"/>
      <c r="C29" s="5" t="s">
        <v>64</v>
      </c>
      <c r="D29" s="6" t="s">
        <v>182</v>
      </c>
      <c r="E29" s="11">
        <v>9.1000000000000003E-5</v>
      </c>
      <c r="F29" s="1"/>
      <c r="G29" s="1"/>
      <c r="H29" s="1"/>
      <c r="I29" s="1"/>
      <c r="J29" s="1"/>
      <c r="K29" s="1"/>
      <c r="L29" s="1"/>
      <c r="M29" s="1"/>
      <c r="N29" s="18"/>
    </row>
    <row r="30" spans="2:14" ht="15.75" customHeight="1" x14ac:dyDescent="0.25">
      <c r="B30" s="20"/>
      <c r="C30" s="7" t="s">
        <v>48</v>
      </c>
      <c r="D30" s="8"/>
      <c r="E30" s="12">
        <v>0.38417600000000002</v>
      </c>
      <c r="F30" s="1"/>
      <c r="G30" s="1"/>
      <c r="H30" s="1"/>
      <c r="I30" s="1"/>
      <c r="J30" s="1"/>
      <c r="K30" s="1"/>
      <c r="L30" s="1"/>
      <c r="M30" s="1"/>
      <c r="N30" s="18"/>
    </row>
    <row r="31" spans="2:14" ht="15" customHeight="1" x14ac:dyDescent="0.25">
      <c r="B31" s="20"/>
      <c r="C31" s="5" t="s">
        <v>50</v>
      </c>
      <c r="D31" s="6"/>
      <c r="E31" s="11">
        <v>5.1710000000000002E-3</v>
      </c>
      <c r="F31" s="1"/>
      <c r="G31" s="1"/>
      <c r="H31" s="1"/>
      <c r="I31" s="1"/>
      <c r="J31" s="1"/>
      <c r="K31" s="1"/>
      <c r="L31" s="1"/>
      <c r="M31" s="1"/>
      <c r="N31" s="18"/>
    </row>
    <row r="32" spans="2:14" ht="15.75" customHeight="1" x14ac:dyDescent="0.25">
      <c r="B32" s="20"/>
      <c r="C32" s="7" t="s">
        <v>51</v>
      </c>
      <c r="D32" s="8"/>
      <c r="E32" s="12">
        <v>5.1710000000000002E-3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52</v>
      </c>
      <c r="D34" s="8"/>
      <c r="E34" s="12">
        <v>2.3220999999999999E-2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53</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8" t="s">
        <v>213</v>
      </c>
      <c r="C45" s="89"/>
      <c r="D45" s="89"/>
      <c r="E45" s="89"/>
      <c r="F45" s="89"/>
      <c r="G45" s="89"/>
      <c r="H45" s="89"/>
      <c r="I45" s="89"/>
      <c r="J45" s="89"/>
      <c r="K45" s="89"/>
      <c r="L45" s="89"/>
      <c r="M45" s="89"/>
      <c r="N45" s="90"/>
    </row>
    <row r="46" spans="2:14" ht="15" customHeight="1" x14ac:dyDescent="0.25">
      <c r="B46" s="91"/>
      <c r="C46" s="92"/>
      <c r="D46" s="92"/>
      <c r="E46" s="92"/>
      <c r="F46" s="92"/>
      <c r="G46" s="92"/>
      <c r="H46" s="92"/>
      <c r="I46" s="92"/>
      <c r="J46" s="92"/>
      <c r="K46" s="92"/>
      <c r="L46" s="92"/>
      <c r="M46" s="92"/>
      <c r="N46" s="93"/>
    </row>
    <row r="47" spans="2:14" ht="15" customHeight="1" x14ac:dyDescent="0.25">
      <c r="B47" s="91"/>
      <c r="C47" s="92"/>
      <c r="D47" s="92"/>
      <c r="E47" s="92"/>
      <c r="F47" s="92"/>
      <c r="G47" s="92"/>
      <c r="H47" s="92"/>
      <c r="I47" s="92"/>
      <c r="J47" s="92"/>
      <c r="K47" s="92"/>
      <c r="L47" s="92"/>
      <c r="M47" s="92"/>
      <c r="N47" s="93"/>
    </row>
    <row r="48" spans="2:14" ht="15" customHeight="1" thickBot="1" x14ac:dyDescent="0.3">
      <c r="B48" s="94"/>
      <c r="C48" s="95"/>
      <c r="D48" s="95"/>
      <c r="E48" s="95"/>
      <c r="F48" s="95"/>
      <c r="G48" s="95"/>
      <c r="H48" s="95"/>
      <c r="I48" s="95"/>
      <c r="J48" s="95"/>
      <c r="K48" s="95"/>
      <c r="L48" s="95"/>
      <c r="M48" s="95"/>
      <c r="N48" s="96"/>
    </row>
    <row r="49" spans="2:14" ht="15" customHeight="1" thickBot="1" x14ac:dyDescent="0.3"/>
    <row r="50" spans="2:14" ht="123.75" customHeight="1" thickBot="1" x14ac:dyDescent="0.3">
      <c r="B50" s="97" t="s">
        <v>214</v>
      </c>
      <c r="C50" s="98"/>
      <c r="D50" s="98"/>
      <c r="E50" s="98"/>
      <c r="F50" s="98"/>
      <c r="G50" s="98"/>
      <c r="H50" s="98"/>
      <c r="I50" s="98"/>
      <c r="J50" s="98"/>
      <c r="K50" s="98"/>
      <c r="L50" s="98"/>
      <c r="M50" s="98"/>
      <c r="N50" s="99"/>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5974-AC7B-4D59-A999-51B289D68DAC}">
  <dimension ref="B1:N7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10</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11</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12</v>
      </c>
      <c r="D8" s="6" t="s">
        <v>13</v>
      </c>
      <c r="E8" s="11">
        <v>3.9271E-2</v>
      </c>
      <c r="F8" s="1"/>
      <c r="G8" s="24" t="s">
        <v>6</v>
      </c>
      <c r="H8" s="25">
        <v>1</v>
      </c>
      <c r="I8" s="1"/>
      <c r="J8" s="24" t="s">
        <v>54</v>
      </c>
      <c r="K8" s="24" t="s">
        <v>5</v>
      </c>
      <c r="L8" s="1"/>
      <c r="M8" s="1"/>
      <c r="N8" s="18"/>
    </row>
    <row r="9" spans="2:14" ht="15" customHeight="1" x14ac:dyDescent="0.25">
      <c r="B9" s="20"/>
      <c r="C9" s="5" t="s">
        <v>14</v>
      </c>
      <c r="D9" s="6" t="s">
        <v>13</v>
      </c>
      <c r="E9" s="11">
        <v>3.3767999999999999E-2</v>
      </c>
      <c r="F9" s="1"/>
      <c r="G9" s="1"/>
      <c r="H9" s="1"/>
      <c r="I9" s="1"/>
      <c r="J9" s="24" t="s">
        <v>52</v>
      </c>
      <c r="K9" s="29">
        <v>2.5034000000000001E-2</v>
      </c>
      <c r="L9" s="1"/>
      <c r="M9" s="1"/>
      <c r="N9" s="18"/>
    </row>
    <row r="10" spans="2:14" ht="15" customHeight="1" x14ac:dyDescent="0.25">
      <c r="B10" s="20"/>
      <c r="C10" s="5" t="s">
        <v>15</v>
      </c>
      <c r="D10" s="6" t="s">
        <v>13</v>
      </c>
      <c r="E10" s="11">
        <v>3.2585999999999997E-2</v>
      </c>
      <c r="F10" s="1"/>
      <c r="G10" s="1"/>
      <c r="H10" s="1"/>
      <c r="I10" s="1"/>
      <c r="J10" s="24" t="s">
        <v>55</v>
      </c>
      <c r="K10" s="29">
        <v>3.9230000000000003E-3</v>
      </c>
      <c r="L10" s="1"/>
      <c r="M10" s="1"/>
      <c r="N10" s="18"/>
    </row>
    <row r="11" spans="2:14" ht="15" customHeight="1" x14ac:dyDescent="0.25">
      <c r="B11" s="20"/>
      <c r="C11" s="5" t="s">
        <v>16</v>
      </c>
      <c r="D11" s="6" t="s">
        <v>13</v>
      </c>
      <c r="E11" s="11">
        <v>1.9880999999999999E-2</v>
      </c>
      <c r="F11" s="1"/>
      <c r="G11" s="1"/>
      <c r="H11" s="1"/>
      <c r="I11" s="1"/>
      <c r="J11" s="24" t="s">
        <v>56</v>
      </c>
      <c r="K11" s="29">
        <v>0.174926</v>
      </c>
      <c r="L11" s="1"/>
      <c r="M11" s="1"/>
      <c r="N11" s="18"/>
    </row>
    <row r="12" spans="2:14" ht="15" customHeight="1" x14ac:dyDescent="0.25">
      <c r="B12" s="20"/>
      <c r="C12" s="5" t="s">
        <v>17</v>
      </c>
      <c r="D12" s="6" t="s">
        <v>13</v>
      </c>
      <c r="E12" s="11">
        <v>1.6288E-2</v>
      </c>
      <c r="F12" s="1"/>
      <c r="G12" s="1"/>
      <c r="H12" s="1"/>
      <c r="I12" s="1"/>
      <c r="J12" s="24" t="s">
        <v>57</v>
      </c>
      <c r="K12" s="29">
        <v>0.52467799999999998</v>
      </c>
      <c r="L12" s="1"/>
      <c r="M12" s="1"/>
      <c r="N12" s="18"/>
    </row>
    <row r="13" spans="2:14" ht="15" customHeight="1" x14ac:dyDescent="0.25">
      <c r="B13" s="20"/>
      <c r="C13" s="5" t="s">
        <v>18</v>
      </c>
      <c r="D13" s="6" t="s">
        <v>13</v>
      </c>
      <c r="E13" s="11">
        <v>1.0905E-2</v>
      </c>
      <c r="F13" s="1"/>
      <c r="G13" s="1"/>
      <c r="H13" s="1"/>
      <c r="I13" s="1"/>
      <c r="J13" s="24" t="s">
        <v>40</v>
      </c>
      <c r="K13" s="29">
        <v>2.8219999999999999E-3</v>
      </c>
      <c r="L13" s="1"/>
      <c r="M13" s="1"/>
      <c r="N13" s="18"/>
    </row>
    <row r="14" spans="2:14" ht="15" customHeight="1" x14ac:dyDescent="0.25">
      <c r="B14" s="20"/>
      <c r="C14" s="5" t="s">
        <v>19</v>
      </c>
      <c r="D14" s="6" t="s">
        <v>13</v>
      </c>
      <c r="E14" s="11">
        <v>7.352E-3</v>
      </c>
      <c r="F14" s="1"/>
      <c r="G14" s="1"/>
      <c r="H14" s="1"/>
      <c r="I14" s="1"/>
      <c r="J14" s="24" t="s">
        <v>58</v>
      </c>
      <c r="K14" s="29">
        <v>0.26852700000000002</v>
      </c>
      <c r="L14" s="1"/>
      <c r="M14" s="1"/>
      <c r="N14" s="18"/>
    </row>
    <row r="15" spans="2:14" ht="15" customHeight="1" x14ac:dyDescent="0.25">
      <c r="B15" s="20"/>
      <c r="C15" s="5" t="s">
        <v>20</v>
      </c>
      <c r="D15" s="6" t="s">
        <v>13</v>
      </c>
      <c r="E15" s="11">
        <v>7.2760000000000003E-3</v>
      </c>
      <c r="F15" s="1"/>
      <c r="G15" s="1"/>
      <c r="H15" s="1"/>
      <c r="I15" s="1"/>
      <c r="J15" s="24" t="s">
        <v>59</v>
      </c>
      <c r="K15" s="29">
        <v>9.0000000000000006E-5</v>
      </c>
      <c r="L15" s="1"/>
      <c r="M15" s="1"/>
      <c r="N15" s="18"/>
    </row>
    <row r="16" spans="2:14" ht="15" customHeight="1" x14ac:dyDescent="0.25">
      <c r="B16" s="20"/>
      <c r="C16" s="5" t="s">
        <v>21</v>
      </c>
      <c r="D16" s="6" t="s">
        <v>13</v>
      </c>
      <c r="E16" s="11">
        <v>7.234E-3</v>
      </c>
      <c r="F16" s="1"/>
      <c r="G16" s="1"/>
      <c r="H16" s="1"/>
      <c r="I16" s="1"/>
      <c r="J16" s="1"/>
      <c r="K16" s="1"/>
      <c r="L16" s="1"/>
      <c r="M16" s="1"/>
      <c r="N16" s="18"/>
    </row>
    <row r="17" spans="2:14" ht="15" customHeight="1" x14ac:dyDescent="0.25">
      <c r="B17" s="20"/>
      <c r="C17" s="5" t="s">
        <v>22</v>
      </c>
      <c r="D17" s="6" t="s">
        <v>13</v>
      </c>
      <c r="E17" s="11">
        <v>3.6499999999999998E-4</v>
      </c>
      <c r="F17" s="1"/>
      <c r="G17" s="1"/>
      <c r="H17" s="1"/>
      <c r="I17" s="1"/>
      <c r="J17" s="1"/>
      <c r="K17" s="1"/>
      <c r="L17" s="1"/>
      <c r="M17" s="1"/>
      <c r="N17" s="18"/>
    </row>
    <row r="18" spans="2:14" ht="15.75" customHeight="1" x14ac:dyDescent="0.25">
      <c r="B18" s="20"/>
      <c r="C18" s="7" t="s">
        <v>23</v>
      </c>
      <c r="D18" s="8"/>
      <c r="E18" s="12">
        <v>0.174926</v>
      </c>
      <c r="F18" s="1"/>
      <c r="G18" s="1"/>
      <c r="H18" s="1"/>
      <c r="I18" s="1"/>
      <c r="J18" s="1"/>
      <c r="K18" s="1"/>
      <c r="L18" s="1"/>
      <c r="M18" s="1"/>
      <c r="N18" s="18"/>
    </row>
    <row r="19" spans="2:14" ht="15" customHeight="1" x14ac:dyDescent="0.25">
      <c r="B19" s="20"/>
      <c r="C19" s="5" t="s">
        <v>24</v>
      </c>
      <c r="D19" s="6" t="s">
        <v>25</v>
      </c>
      <c r="E19" s="11">
        <v>0.10168000000000001</v>
      </c>
      <c r="F19" s="1"/>
      <c r="G19" s="1"/>
      <c r="H19" s="1"/>
      <c r="I19" s="1"/>
      <c r="J19" s="1"/>
      <c r="K19" s="1"/>
      <c r="L19" s="1"/>
      <c r="M19" s="1"/>
      <c r="N19" s="18"/>
    </row>
    <row r="20" spans="2:14" ht="15" customHeight="1" x14ac:dyDescent="0.25">
      <c r="B20" s="20"/>
      <c r="C20" s="5" t="s">
        <v>26</v>
      </c>
      <c r="D20" s="6" t="s">
        <v>25</v>
      </c>
      <c r="E20" s="11">
        <v>9.5984E-2</v>
      </c>
      <c r="F20" s="1"/>
      <c r="G20" s="1"/>
      <c r="H20" s="1"/>
      <c r="I20" s="1"/>
      <c r="J20" s="1"/>
      <c r="K20" s="1"/>
      <c r="L20" s="1"/>
      <c r="M20" s="1"/>
      <c r="N20" s="18"/>
    </row>
    <row r="21" spans="2:14" ht="15" customHeight="1" x14ac:dyDescent="0.25">
      <c r="B21" s="20"/>
      <c r="C21" s="5" t="s">
        <v>20</v>
      </c>
      <c r="D21" s="6" t="s">
        <v>25</v>
      </c>
      <c r="E21" s="11">
        <v>6.2819E-2</v>
      </c>
      <c r="F21" s="1"/>
      <c r="G21" s="1"/>
      <c r="H21" s="1"/>
      <c r="I21" s="1"/>
      <c r="J21" s="1"/>
      <c r="K21" s="1"/>
      <c r="L21" s="1"/>
      <c r="M21" s="1"/>
      <c r="N21" s="18"/>
    </row>
    <row r="22" spans="2:14" ht="15" customHeight="1" x14ac:dyDescent="0.25">
      <c r="B22" s="20"/>
      <c r="C22" s="5" t="s">
        <v>27</v>
      </c>
      <c r="D22" s="6" t="s">
        <v>25</v>
      </c>
      <c r="E22" s="11">
        <v>4.9937000000000002E-2</v>
      </c>
      <c r="F22" s="1"/>
      <c r="G22" s="1"/>
      <c r="H22" s="1"/>
      <c r="I22" s="1"/>
      <c r="J22" s="1"/>
      <c r="K22" s="1"/>
      <c r="L22" s="1"/>
      <c r="M22" s="1"/>
      <c r="N22" s="18"/>
    </row>
    <row r="23" spans="2:14" ht="15" customHeight="1" x14ac:dyDescent="0.25">
      <c r="B23" s="20"/>
      <c r="C23" s="5" t="s">
        <v>28</v>
      </c>
      <c r="D23" s="6" t="s">
        <v>25</v>
      </c>
      <c r="E23" s="11">
        <v>4.6774000000000003E-2</v>
      </c>
      <c r="F23" s="1"/>
      <c r="G23" s="1"/>
      <c r="H23" s="1"/>
      <c r="I23" s="1"/>
      <c r="J23" s="1"/>
      <c r="K23" s="1"/>
      <c r="L23" s="1"/>
      <c r="M23" s="1"/>
      <c r="N23" s="18"/>
    </row>
    <row r="24" spans="2:14" ht="15" customHeight="1" x14ac:dyDescent="0.25">
      <c r="B24" s="20"/>
      <c r="C24" s="5" t="s">
        <v>22</v>
      </c>
      <c r="D24" s="6" t="s">
        <v>25</v>
      </c>
      <c r="E24" s="11">
        <v>3.2143999999999999E-2</v>
      </c>
      <c r="F24" s="1"/>
      <c r="G24" s="105" t="s">
        <v>8</v>
      </c>
      <c r="H24" s="110"/>
      <c r="I24" s="110"/>
      <c r="J24" s="110"/>
      <c r="K24" s="110"/>
      <c r="L24" s="57">
        <v>3.0111516039673671</v>
      </c>
      <c r="M24" s="27"/>
      <c r="N24" s="28"/>
    </row>
    <row r="25" spans="2:14" ht="15" customHeight="1" x14ac:dyDescent="0.25">
      <c r="B25" s="20"/>
      <c r="C25" s="5" t="s">
        <v>29</v>
      </c>
      <c r="D25" s="6" t="s">
        <v>25</v>
      </c>
      <c r="E25" s="11">
        <v>2.9343000000000001E-2</v>
      </c>
      <c r="F25" s="1"/>
      <c r="G25" s="1"/>
      <c r="H25" s="1"/>
      <c r="I25" s="1"/>
      <c r="J25" s="1"/>
      <c r="K25" s="1"/>
      <c r="L25" s="1"/>
      <c r="M25" s="1"/>
      <c r="N25" s="18"/>
    </row>
    <row r="26" spans="2:14" ht="15" customHeight="1" x14ac:dyDescent="0.25">
      <c r="B26" s="20"/>
      <c r="C26" s="5" t="s">
        <v>30</v>
      </c>
      <c r="D26" s="6" t="s">
        <v>25</v>
      </c>
      <c r="E26" s="11">
        <v>2.418E-2</v>
      </c>
      <c r="F26" s="1"/>
      <c r="G26" s="105" t="s">
        <v>9</v>
      </c>
      <c r="H26" s="110"/>
      <c r="I26" s="110"/>
      <c r="J26" s="110"/>
      <c r="K26" s="110"/>
      <c r="L26" s="110"/>
      <c r="M26" s="110"/>
      <c r="N26" s="111"/>
    </row>
    <row r="27" spans="2:14" ht="15" customHeight="1" x14ac:dyDescent="0.25">
      <c r="B27" s="20"/>
      <c r="C27" s="5" t="s">
        <v>31</v>
      </c>
      <c r="D27" s="6" t="s">
        <v>25</v>
      </c>
      <c r="E27" s="11">
        <v>2.317E-2</v>
      </c>
      <c r="F27" s="1"/>
      <c r="G27" s="1"/>
      <c r="H27" s="1"/>
      <c r="I27" s="1"/>
      <c r="J27" s="1"/>
      <c r="K27" s="1"/>
      <c r="L27" s="1"/>
      <c r="M27" s="1"/>
      <c r="N27" s="18"/>
    </row>
    <row r="28" spans="2:14" ht="15" customHeight="1" x14ac:dyDescent="0.25">
      <c r="B28" s="20"/>
      <c r="C28" s="5" t="s">
        <v>32</v>
      </c>
      <c r="D28" s="6" t="s">
        <v>25</v>
      </c>
      <c r="E28" s="11">
        <v>1.7426000000000001E-2</v>
      </c>
      <c r="F28" s="1"/>
      <c r="G28" s="1"/>
      <c r="H28" s="1"/>
      <c r="I28" s="1"/>
      <c r="J28" s="1"/>
      <c r="K28" s="1"/>
      <c r="L28" s="1"/>
      <c r="M28" s="1"/>
      <c r="N28" s="18"/>
    </row>
    <row r="29" spans="2:14" ht="15" customHeight="1" x14ac:dyDescent="0.25">
      <c r="B29" s="20"/>
      <c r="C29" s="5" t="s">
        <v>33</v>
      </c>
      <c r="D29" s="6" t="s">
        <v>25</v>
      </c>
      <c r="E29" s="11">
        <v>1.6698000000000001E-2</v>
      </c>
      <c r="F29" s="1"/>
      <c r="G29" s="1"/>
      <c r="H29" s="1"/>
      <c r="I29" s="1"/>
      <c r="J29" s="1"/>
      <c r="K29" s="1"/>
      <c r="L29" s="1"/>
      <c r="M29" s="1"/>
      <c r="N29" s="18"/>
    </row>
    <row r="30" spans="2:14" ht="15" customHeight="1" x14ac:dyDescent="0.25">
      <c r="B30" s="20"/>
      <c r="C30" s="5" t="s">
        <v>34</v>
      </c>
      <c r="D30" s="6" t="s">
        <v>25</v>
      </c>
      <c r="E30" s="11">
        <v>1.4138E-2</v>
      </c>
      <c r="F30" s="1"/>
      <c r="G30" s="1"/>
      <c r="H30" s="1"/>
      <c r="I30" s="1"/>
      <c r="J30" s="1"/>
      <c r="K30" s="1"/>
      <c r="L30" s="1"/>
      <c r="M30" s="1"/>
      <c r="N30" s="18"/>
    </row>
    <row r="31" spans="2:14" ht="15" customHeight="1" x14ac:dyDescent="0.25">
      <c r="B31" s="20"/>
      <c r="C31" s="5" t="s">
        <v>35</v>
      </c>
      <c r="D31" s="6" t="s">
        <v>25</v>
      </c>
      <c r="E31" s="11">
        <v>3.5729999999999998E-3</v>
      </c>
      <c r="F31" s="1"/>
      <c r="G31" s="1"/>
      <c r="H31" s="1"/>
      <c r="I31" s="1"/>
      <c r="J31" s="1"/>
      <c r="K31" s="1"/>
      <c r="L31" s="1"/>
      <c r="M31" s="1"/>
      <c r="N31" s="18"/>
    </row>
    <row r="32" spans="2:14" ht="15" customHeight="1" x14ac:dyDescent="0.25">
      <c r="B32" s="20"/>
      <c r="C32" s="5" t="s">
        <v>12</v>
      </c>
      <c r="D32" s="6" t="s">
        <v>25</v>
      </c>
      <c r="E32" s="11">
        <v>3.3779999999999999E-3</v>
      </c>
      <c r="F32" s="1"/>
      <c r="G32" s="1"/>
      <c r="H32" s="1"/>
      <c r="I32" s="1"/>
      <c r="J32" s="1"/>
      <c r="K32" s="1"/>
      <c r="L32" s="1"/>
      <c r="M32" s="1"/>
      <c r="N32" s="18"/>
    </row>
    <row r="33" spans="2:14" ht="15" customHeight="1" x14ac:dyDescent="0.25">
      <c r="B33" s="20"/>
      <c r="C33" s="5" t="s">
        <v>36</v>
      </c>
      <c r="D33" s="6" t="s">
        <v>25</v>
      </c>
      <c r="E33" s="11">
        <v>1.859E-3</v>
      </c>
      <c r="F33" s="1"/>
      <c r="G33" s="1"/>
      <c r="H33" s="1"/>
      <c r="I33" s="1"/>
      <c r="J33" s="1"/>
      <c r="K33" s="1"/>
      <c r="L33" s="1"/>
      <c r="M33" s="1"/>
      <c r="N33" s="18"/>
    </row>
    <row r="34" spans="2:14" ht="15" customHeight="1" x14ac:dyDescent="0.25">
      <c r="B34" s="20"/>
      <c r="C34" s="5" t="s">
        <v>37</v>
      </c>
      <c r="D34" s="6" t="s">
        <v>25</v>
      </c>
      <c r="E34" s="11">
        <v>1.091E-3</v>
      </c>
      <c r="F34" s="1"/>
      <c r="G34" s="1"/>
      <c r="H34" s="1"/>
      <c r="I34" s="1"/>
      <c r="J34" s="1"/>
      <c r="K34" s="1"/>
      <c r="L34" s="1"/>
      <c r="M34" s="1"/>
      <c r="N34" s="18"/>
    </row>
    <row r="35" spans="2:14" ht="15" customHeight="1" x14ac:dyDescent="0.25">
      <c r="B35" s="20"/>
      <c r="C35" s="5" t="s">
        <v>38</v>
      </c>
      <c r="D35" s="6" t="s">
        <v>25</v>
      </c>
      <c r="E35" s="11">
        <v>3.7199999999999999E-4</v>
      </c>
      <c r="F35" s="1"/>
      <c r="G35" s="1"/>
      <c r="H35" s="1"/>
      <c r="I35" s="1"/>
      <c r="J35" s="1"/>
      <c r="K35" s="1"/>
      <c r="L35" s="1"/>
      <c r="M35" s="1"/>
      <c r="N35" s="18"/>
    </row>
    <row r="36" spans="2:14" ht="15" customHeight="1" x14ac:dyDescent="0.25">
      <c r="B36" s="20"/>
      <c r="C36" s="5" t="s">
        <v>14</v>
      </c>
      <c r="D36" s="6" t="s">
        <v>25</v>
      </c>
      <c r="E36" s="11">
        <v>1.12E-4</v>
      </c>
      <c r="F36" s="1"/>
      <c r="G36" s="1"/>
      <c r="H36" s="1"/>
      <c r="I36" s="1"/>
      <c r="J36" s="1"/>
      <c r="K36" s="1"/>
      <c r="L36" s="1"/>
      <c r="M36" s="1"/>
      <c r="N36" s="18"/>
    </row>
    <row r="37" spans="2:14" ht="15.75" customHeight="1" x14ac:dyDescent="0.25">
      <c r="B37" s="20"/>
      <c r="C37" s="7" t="s">
        <v>39</v>
      </c>
      <c r="D37" s="8"/>
      <c r="E37" s="12">
        <v>0.52467799999999998</v>
      </c>
      <c r="F37" s="1"/>
      <c r="G37" s="1"/>
      <c r="H37" s="1"/>
      <c r="I37" s="1"/>
      <c r="J37" s="1"/>
      <c r="K37" s="1"/>
      <c r="L37" s="1"/>
      <c r="M37" s="1"/>
      <c r="N37" s="18"/>
    </row>
    <row r="38" spans="2:14" ht="15" customHeight="1" x14ac:dyDescent="0.25">
      <c r="B38" s="20"/>
      <c r="C38" s="5" t="s">
        <v>40</v>
      </c>
      <c r="D38" s="6"/>
      <c r="E38" s="11">
        <v>2.8219999999999999E-3</v>
      </c>
      <c r="F38" s="1"/>
      <c r="G38" s="1"/>
      <c r="H38" s="1"/>
      <c r="I38" s="1"/>
      <c r="J38" s="1"/>
      <c r="K38" s="1"/>
      <c r="L38" s="1"/>
      <c r="M38" s="1"/>
      <c r="N38" s="18"/>
    </row>
    <row r="39" spans="2:14" ht="15.75" customHeight="1" x14ac:dyDescent="0.25">
      <c r="B39" s="20"/>
      <c r="C39" s="7" t="s">
        <v>41</v>
      </c>
      <c r="D39" s="8"/>
      <c r="E39" s="12">
        <v>2.8219999999999999E-3</v>
      </c>
      <c r="F39" s="1"/>
      <c r="G39" s="1"/>
      <c r="H39" s="1"/>
      <c r="I39" s="1"/>
      <c r="J39" s="1"/>
      <c r="K39" s="1"/>
      <c r="L39" s="1"/>
      <c r="M39" s="1"/>
      <c r="N39" s="18"/>
    </row>
    <row r="40" spans="2:14" ht="15" customHeight="1" x14ac:dyDescent="0.25">
      <c r="B40" s="20"/>
      <c r="C40" s="5" t="s">
        <v>42</v>
      </c>
      <c r="D40" s="6" t="s">
        <v>182</v>
      </c>
      <c r="E40" s="11">
        <v>0.132383</v>
      </c>
      <c r="F40" s="1"/>
      <c r="G40" s="1"/>
      <c r="H40" s="1"/>
      <c r="I40" s="1"/>
      <c r="J40" s="1"/>
      <c r="K40" s="1"/>
      <c r="L40" s="1"/>
      <c r="M40" s="1"/>
      <c r="N40" s="18"/>
    </row>
    <row r="41" spans="2:14" ht="15" customHeight="1" x14ac:dyDescent="0.25">
      <c r="B41" s="20"/>
      <c r="C41" s="5" t="s">
        <v>43</v>
      </c>
      <c r="D41" s="6" t="s">
        <v>182</v>
      </c>
      <c r="E41" s="11">
        <v>8.9748999999999995E-2</v>
      </c>
      <c r="F41" s="1"/>
      <c r="G41" s="1"/>
      <c r="H41" s="1"/>
      <c r="I41" s="1"/>
      <c r="J41" s="1"/>
      <c r="K41" s="1"/>
      <c r="L41" s="1"/>
      <c r="M41" s="1"/>
      <c r="N41" s="18"/>
    </row>
    <row r="42" spans="2:14" ht="15" customHeight="1" x14ac:dyDescent="0.25">
      <c r="B42" s="20"/>
      <c r="C42" s="5" t="s">
        <v>44</v>
      </c>
      <c r="D42" s="6" t="s">
        <v>182</v>
      </c>
      <c r="E42" s="11">
        <v>2.1888000000000001E-2</v>
      </c>
      <c r="F42" s="1"/>
      <c r="G42" s="1"/>
      <c r="H42" s="1"/>
      <c r="I42" s="1"/>
      <c r="J42" s="1"/>
      <c r="K42" s="1"/>
      <c r="L42" s="1"/>
      <c r="M42" s="1"/>
      <c r="N42" s="18"/>
    </row>
    <row r="43" spans="2:14" ht="15" customHeight="1" x14ac:dyDescent="0.25">
      <c r="B43" s="20"/>
      <c r="C43" s="5" t="s">
        <v>45</v>
      </c>
      <c r="D43" s="6" t="s">
        <v>182</v>
      </c>
      <c r="E43" s="11">
        <v>1.9209E-2</v>
      </c>
      <c r="F43" s="1"/>
      <c r="G43" s="1"/>
      <c r="H43" s="1"/>
      <c r="I43" s="1"/>
      <c r="J43" s="1"/>
      <c r="K43" s="1"/>
      <c r="L43" s="1"/>
      <c r="M43" s="1"/>
      <c r="N43" s="18"/>
    </row>
    <row r="44" spans="2:14" ht="15" customHeight="1" x14ac:dyDescent="0.25">
      <c r="B44" s="20"/>
      <c r="C44" s="5" t="s">
        <v>46</v>
      </c>
      <c r="D44" s="6" t="s">
        <v>182</v>
      </c>
      <c r="E44" s="11">
        <v>3.457E-3</v>
      </c>
      <c r="F44" s="1"/>
      <c r="G44" s="1"/>
      <c r="H44" s="1"/>
      <c r="I44" s="1"/>
      <c r="J44" s="1"/>
      <c r="K44" s="1"/>
      <c r="L44" s="1"/>
      <c r="M44" s="1"/>
      <c r="N44" s="18"/>
    </row>
    <row r="45" spans="2:14" ht="15" customHeight="1" x14ac:dyDescent="0.25">
      <c r="B45" s="20"/>
      <c r="C45" s="5" t="s">
        <v>47</v>
      </c>
      <c r="D45" s="6" t="s">
        <v>182</v>
      </c>
      <c r="E45" s="11">
        <v>1.841E-3</v>
      </c>
      <c r="F45" s="1"/>
      <c r="G45" s="1"/>
      <c r="H45" s="1"/>
      <c r="I45" s="1"/>
      <c r="J45" s="1"/>
      <c r="K45" s="1"/>
      <c r="L45" s="1"/>
      <c r="M45" s="1"/>
      <c r="N45" s="18"/>
    </row>
    <row r="46" spans="2:14" ht="15.75" customHeight="1" x14ac:dyDescent="0.25">
      <c r="B46" s="20"/>
      <c r="C46" s="7" t="s">
        <v>48</v>
      </c>
      <c r="D46" s="8"/>
      <c r="E46" s="12">
        <v>0.26852700000000002</v>
      </c>
      <c r="F46" s="1"/>
      <c r="G46" s="1"/>
      <c r="H46" s="1"/>
      <c r="I46" s="1"/>
      <c r="J46" s="1"/>
      <c r="K46" s="1"/>
      <c r="L46" s="1"/>
      <c r="M46" s="1"/>
      <c r="N46" s="18"/>
    </row>
    <row r="47" spans="2:14" ht="15" customHeight="1" x14ac:dyDescent="0.25">
      <c r="B47" s="20"/>
      <c r="C47" s="5" t="s">
        <v>263</v>
      </c>
      <c r="D47" s="6" t="s">
        <v>182</v>
      </c>
      <c r="E47" s="11">
        <v>9.0000000000000006E-5</v>
      </c>
      <c r="F47" s="1"/>
      <c r="G47" s="1"/>
      <c r="H47" s="1"/>
      <c r="I47" s="1"/>
      <c r="J47" s="1"/>
      <c r="K47" s="1"/>
      <c r="L47" s="1"/>
      <c r="M47" s="1"/>
      <c r="N47" s="18"/>
    </row>
    <row r="48" spans="2:14" ht="15.75" customHeight="1" x14ac:dyDescent="0.25">
      <c r="B48" s="20"/>
      <c r="C48" s="7" t="s">
        <v>49</v>
      </c>
      <c r="D48" s="8"/>
      <c r="E48" s="12">
        <v>9.0000000000000006E-5</v>
      </c>
      <c r="F48" s="1"/>
      <c r="G48" s="1"/>
      <c r="H48" s="1"/>
      <c r="I48" s="1"/>
      <c r="J48" s="1"/>
      <c r="K48" s="1"/>
      <c r="L48" s="1"/>
      <c r="M48" s="1"/>
      <c r="N48" s="18"/>
    </row>
    <row r="49" spans="2:14" ht="15" customHeight="1" x14ac:dyDescent="0.25">
      <c r="B49" s="20"/>
      <c r="C49" s="5" t="s">
        <v>50</v>
      </c>
      <c r="D49" s="6"/>
      <c r="E49" s="11">
        <v>3.9230000000000003E-3</v>
      </c>
      <c r="F49" s="1"/>
      <c r="G49" s="1"/>
      <c r="H49" s="1"/>
      <c r="I49" s="1"/>
      <c r="J49" s="1"/>
      <c r="K49" s="1"/>
      <c r="L49" s="1"/>
      <c r="M49" s="1"/>
      <c r="N49" s="18"/>
    </row>
    <row r="50" spans="2:14" ht="15.75" customHeight="1" x14ac:dyDescent="0.25">
      <c r="B50" s="20"/>
      <c r="C50" s="7" t="s">
        <v>51</v>
      </c>
      <c r="D50" s="8"/>
      <c r="E50" s="12">
        <v>3.9230000000000003E-3</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75" customHeight="1" x14ac:dyDescent="0.25">
      <c r="B52" s="20"/>
      <c r="C52" s="7" t="s">
        <v>52</v>
      </c>
      <c r="D52" s="8"/>
      <c r="E52" s="12">
        <v>2.5034000000000001E-2</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53</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x14ac:dyDescent="0.25">
      <c r="B56" s="20"/>
      <c r="C56" s="1"/>
      <c r="D56" s="1"/>
      <c r="E56" s="1"/>
      <c r="F56" s="1"/>
      <c r="G56" s="1"/>
      <c r="H56" s="1"/>
      <c r="I56" s="1"/>
      <c r="J56" s="1"/>
      <c r="K56" s="1"/>
      <c r="L56" s="1"/>
      <c r="M56" s="1"/>
      <c r="N56" s="18"/>
    </row>
    <row r="57" spans="2:14" ht="15" customHeight="1" thickBot="1" x14ac:dyDescent="0.3">
      <c r="B57" s="21"/>
      <c r="C57" s="22"/>
      <c r="D57" s="22"/>
      <c r="E57" s="22"/>
      <c r="F57" s="22"/>
      <c r="G57" s="22"/>
      <c r="H57" s="22"/>
      <c r="I57" s="22"/>
      <c r="J57" s="22"/>
      <c r="K57" s="22"/>
      <c r="L57" s="22"/>
      <c r="M57" s="22"/>
      <c r="N57" s="23"/>
    </row>
    <row r="58" spans="2:14" ht="15" customHeight="1" thickBot="1" x14ac:dyDescent="0.3"/>
    <row r="59" spans="2:14" ht="15" customHeight="1" x14ac:dyDescent="0.25">
      <c r="B59" s="88" t="s">
        <v>213</v>
      </c>
      <c r="C59" s="89"/>
      <c r="D59" s="89"/>
      <c r="E59" s="89"/>
      <c r="F59" s="89"/>
      <c r="G59" s="89"/>
      <c r="H59" s="89"/>
      <c r="I59" s="89"/>
      <c r="J59" s="89"/>
      <c r="K59" s="89"/>
      <c r="L59" s="89"/>
      <c r="M59" s="89"/>
      <c r="N59" s="90"/>
    </row>
    <row r="60" spans="2:14" ht="15" customHeight="1" x14ac:dyDescent="0.25">
      <c r="B60" s="91"/>
      <c r="C60" s="92"/>
      <c r="D60" s="92"/>
      <c r="E60" s="92"/>
      <c r="F60" s="92"/>
      <c r="G60" s="92"/>
      <c r="H60" s="92"/>
      <c r="I60" s="92"/>
      <c r="J60" s="92"/>
      <c r="K60" s="92"/>
      <c r="L60" s="92"/>
      <c r="M60" s="92"/>
      <c r="N60" s="93"/>
    </row>
    <row r="61" spans="2:14" ht="15" customHeight="1" x14ac:dyDescent="0.25">
      <c r="B61" s="91"/>
      <c r="C61" s="92"/>
      <c r="D61" s="92"/>
      <c r="E61" s="92"/>
      <c r="F61" s="92"/>
      <c r="G61" s="92"/>
      <c r="H61" s="92"/>
      <c r="I61" s="92"/>
      <c r="J61" s="92"/>
      <c r="K61" s="92"/>
      <c r="L61" s="92"/>
      <c r="M61" s="92"/>
      <c r="N61" s="93"/>
    </row>
    <row r="62" spans="2:14" ht="15" customHeight="1" thickBot="1" x14ac:dyDescent="0.3">
      <c r="B62" s="94"/>
      <c r="C62" s="95"/>
      <c r="D62" s="95"/>
      <c r="E62" s="95"/>
      <c r="F62" s="95"/>
      <c r="G62" s="95"/>
      <c r="H62" s="95"/>
      <c r="I62" s="95"/>
      <c r="J62" s="95"/>
      <c r="K62" s="95"/>
      <c r="L62" s="95"/>
      <c r="M62" s="95"/>
      <c r="N62" s="96"/>
    </row>
    <row r="63" spans="2:14" ht="15" customHeight="1" thickBot="1" x14ac:dyDescent="0.3"/>
    <row r="64" spans="2:14" ht="127.5" customHeight="1" thickBot="1" x14ac:dyDescent="0.3">
      <c r="B64" s="97" t="s">
        <v>214</v>
      </c>
      <c r="C64" s="98"/>
      <c r="D64" s="98"/>
      <c r="E64" s="98"/>
      <c r="F64" s="98"/>
      <c r="G64" s="98"/>
      <c r="H64" s="98"/>
      <c r="I64" s="98"/>
      <c r="J64" s="98"/>
      <c r="K64" s="98"/>
      <c r="L64" s="98"/>
      <c r="M64" s="98"/>
      <c r="N64" s="99"/>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mergeCells count="7">
    <mergeCell ref="B59:N62"/>
    <mergeCell ref="B64:N64"/>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7C2C-DBDB-4388-A763-37A3E8CCD35A}">
  <dimension ref="B1:N77"/>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77</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325</v>
      </c>
      <c r="E5" s="10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38</v>
      </c>
      <c r="D8" s="6" t="s">
        <v>25</v>
      </c>
      <c r="E8" s="11">
        <v>0.100684</v>
      </c>
      <c r="F8" s="1"/>
      <c r="G8" s="24" t="s">
        <v>6</v>
      </c>
      <c r="H8" s="25">
        <v>1</v>
      </c>
      <c r="I8" s="1"/>
      <c r="J8" s="24" t="s">
        <v>54</v>
      </c>
      <c r="K8" s="24" t="s">
        <v>5</v>
      </c>
      <c r="L8" s="1"/>
      <c r="M8" s="1"/>
      <c r="N8" s="18"/>
    </row>
    <row r="9" spans="2:14" ht="15" customHeight="1" x14ac:dyDescent="0.25">
      <c r="B9" s="20"/>
      <c r="C9" s="5" t="s">
        <v>33</v>
      </c>
      <c r="D9" s="6" t="s">
        <v>25</v>
      </c>
      <c r="E9" s="11">
        <v>8.1851999999999994E-2</v>
      </c>
      <c r="F9" s="1"/>
      <c r="G9" s="1"/>
      <c r="H9" s="1"/>
      <c r="I9" s="1"/>
      <c r="J9" s="24" t="s">
        <v>52</v>
      </c>
      <c r="K9" s="29">
        <v>2.2602000000000001E-2</v>
      </c>
      <c r="L9" s="1"/>
      <c r="M9" s="1"/>
      <c r="N9" s="18"/>
    </row>
    <row r="10" spans="2:14" ht="15" customHeight="1" x14ac:dyDescent="0.25">
      <c r="B10" s="20"/>
      <c r="C10" s="5" t="s">
        <v>20</v>
      </c>
      <c r="D10" s="6" t="s">
        <v>25</v>
      </c>
      <c r="E10" s="11">
        <v>7.9416E-2</v>
      </c>
      <c r="F10" s="1"/>
      <c r="G10" s="1"/>
      <c r="H10" s="1"/>
      <c r="I10" s="1"/>
      <c r="J10" s="24" t="s">
        <v>55</v>
      </c>
      <c r="K10" s="29">
        <v>8.5649999999999997E-3</v>
      </c>
      <c r="L10" s="1"/>
      <c r="M10" s="1"/>
      <c r="N10" s="18"/>
    </row>
    <row r="11" spans="2:14" ht="15" customHeight="1" x14ac:dyDescent="0.25">
      <c r="B11" s="20"/>
      <c r="C11" s="5" t="s">
        <v>34</v>
      </c>
      <c r="D11" s="6" t="s">
        <v>25</v>
      </c>
      <c r="E11" s="11">
        <v>7.3992000000000002E-2</v>
      </c>
      <c r="F11" s="1"/>
      <c r="G11" s="1"/>
      <c r="H11" s="1"/>
      <c r="I11" s="1"/>
      <c r="J11" s="24" t="s">
        <v>57</v>
      </c>
      <c r="K11" s="29">
        <v>0.69034800000000007</v>
      </c>
      <c r="L11" s="1"/>
      <c r="M11" s="1"/>
      <c r="N11" s="18"/>
    </row>
    <row r="12" spans="2:14" ht="15" customHeight="1" x14ac:dyDescent="0.25">
      <c r="B12" s="20"/>
      <c r="C12" s="5" t="s">
        <v>37</v>
      </c>
      <c r="D12" s="6" t="s">
        <v>25</v>
      </c>
      <c r="E12" s="11">
        <v>4.6373999999999999E-2</v>
      </c>
      <c r="F12" s="1"/>
      <c r="G12" s="1"/>
      <c r="H12" s="1"/>
      <c r="I12" s="1"/>
      <c r="J12" s="24" t="s">
        <v>40</v>
      </c>
      <c r="K12" s="29">
        <v>2.882E-3</v>
      </c>
      <c r="L12" s="1"/>
      <c r="M12" s="1"/>
      <c r="N12" s="18"/>
    </row>
    <row r="13" spans="2:14" ht="15" customHeight="1" x14ac:dyDescent="0.25">
      <c r="B13" s="20"/>
      <c r="C13" s="5" t="s">
        <v>24</v>
      </c>
      <c r="D13" s="6" t="s">
        <v>25</v>
      </c>
      <c r="E13" s="11">
        <v>4.0753999999999999E-2</v>
      </c>
      <c r="F13" s="1"/>
      <c r="G13" s="1"/>
      <c r="H13" s="1"/>
      <c r="I13" s="1"/>
      <c r="J13" s="24" t="s">
        <v>58</v>
      </c>
      <c r="K13" s="29">
        <v>0.274594</v>
      </c>
      <c r="L13" s="1"/>
      <c r="M13" s="1"/>
      <c r="N13" s="18"/>
    </row>
    <row r="14" spans="2:14" ht="15" customHeight="1" x14ac:dyDescent="0.25">
      <c r="B14" s="20"/>
      <c r="C14" s="5" t="s">
        <v>73</v>
      </c>
      <c r="D14" s="6" t="s">
        <v>25</v>
      </c>
      <c r="E14" s="11">
        <v>4.0694000000000001E-2</v>
      </c>
      <c r="F14" s="1"/>
      <c r="G14" s="1"/>
      <c r="H14" s="1"/>
      <c r="I14" s="1"/>
      <c r="J14" s="24"/>
      <c r="K14" s="29"/>
      <c r="L14" s="1"/>
      <c r="M14" s="1"/>
      <c r="N14" s="18"/>
    </row>
    <row r="15" spans="2:14" ht="15" customHeight="1" x14ac:dyDescent="0.25">
      <c r="B15" s="20"/>
      <c r="C15" s="5" t="s">
        <v>26</v>
      </c>
      <c r="D15" s="6" t="s">
        <v>25</v>
      </c>
      <c r="E15" s="11">
        <v>3.5886000000000001E-2</v>
      </c>
      <c r="F15" s="1"/>
      <c r="G15" s="1"/>
      <c r="H15" s="1"/>
      <c r="I15" s="1"/>
      <c r="J15" s="24" t="s">
        <v>59</v>
      </c>
      <c r="K15" s="29">
        <v>1.7899999999999999E-4</v>
      </c>
      <c r="L15" s="1"/>
      <c r="M15" s="1"/>
      <c r="N15" s="18"/>
    </row>
    <row r="16" spans="2:14" ht="15" customHeight="1" x14ac:dyDescent="0.25">
      <c r="B16" s="20"/>
      <c r="C16" s="5" t="s">
        <v>62</v>
      </c>
      <c r="D16" s="6" t="s">
        <v>25</v>
      </c>
      <c r="E16" s="11">
        <v>3.4195000000000003E-2</v>
      </c>
      <c r="F16" s="1"/>
      <c r="G16" s="1"/>
      <c r="H16" s="1"/>
      <c r="I16" s="1"/>
      <c r="J16" s="24" t="s">
        <v>84</v>
      </c>
      <c r="K16" s="29">
        <v>8.3000000000000001E-4</v>
      </c>
      <c r="L16" s="1"/>
      <c r="M16" s="1"/>
      <c r="N16" s="18"/>
    </row>
    <row r="17" spans="2:14" ht="15" customHeight="1" x14ac:dyDescent="0.25">
      <c r="B17" s="20"/>
      <c r="C17" s="5" t="s">
        <v>27</v>
      </c>
      <c r="D17" s="6" t="s">
        <v>25</v>
      </c>
      <c r="E17" s="11">
        <v>2.4815E-2</v>
      </c>
      <c r="F17" s="1"/>
      <c r="G17" s="1"/>
      <c r="H17" s="1"/>
      <c r="I17" s="1"/>
      <c r="J17" s="1"/>
      <c r="K17" s="1"/>
      <c r="L17" s="1"/>
      <c r="M17" s="1"/>
      <c r="N17" s="18"/>
    </row>
    <row r="18" spans="2:14" ht="15" customHeight="1" x14ac:dyDescent="0.25">
      <c r="B18" s="20"/>
      <c r="C18" s="5" t="s">
        <v>69</v>
      </c>
      <c r="D18" s="6" t="s">
        <v>25</v>
      </c>
      <c r="E18" s="11">
        <v>1.9092000000000001E-2</v>
      </c>
      <c r="F18" s="1"/>
      <c r="G18" s="1"/>
      <c r="H18" s="1"/>
      <c r="I18" s="1"/>
      <c r="J18" s="1"/>
      <c r="K18" s="1"/>
      <c r="L18" s="1"/>
      <c r="M18" s="1"/>
      <c r="N18" s="18"/>
    </row>
    <row r="19" spans="2:14" ht="15" customHeight="1" x14ac:dyDescent="0.25">
      <c r="B19" s="20"/>
      <c r="C19" s="5" t="s">
        <v>78</v>
      </c>
      <c r="D19" s="6" t="s">
        <v>25</v>
      </c>
      <c r="E19" s="11">
        <v>1.8152000000000001E-2</v>
      </c>
      <c r="F19" s="1"/>
      <c r="G19" s="1"/>
      <c r="H19" s="1"/>
      <c r="I19" s="1"/>
      <c r="J19" s="1"/>
      <c r="K19" s="1"/>
      <c r="L19" s="1"/>
      <c r="M19" s="1"/>
      <c r="N19" s="18"/>
    </row>
    <row r="20" spans="2:14" ht="15" customHeight="1" x14ac:dyDescent="0.25">
      <c r="B20" s="20"/>
      <c r="C20" s="5" t="s">
        <v>79</v>
      </c>
      <c r="D20" s="6" t="s">
        <v>25</v>
      </c>
      <c r="E20" s="11">
        <v>1.6584999999999999E-2</v>
      </c>
      <c r="F20" s="1"/>
      <c r="G20" s="1"/>
      <c r="H20" s="1"/>
      <c r="I20" s="1"/>
      <c r="J20" s="1"/>
      <c r="K20" s="1"/>
      <c r="L20" s="1"/>
      <c r="M20" s="1"/>
      <c r="N20" s="18"/>
    </row>
    <row r="21" spans="2:14" ht="15" customHeight="1" x14ac:dyDescent="0.25">
      <c r="B21" s="20"/>
      <c r="C21" s="5" t="s">
        <v>29</v>
      </c>
      <c r="D21" s="6" t="s">
        <v>25</v>
      </c>
      <c r="E21" s="11">
        <v>1.4537E-2</v>
      </c>
      <c r="F21" s="1"/>
      <c r="G21" s="1"/>
      <c r="H21" s="1"/>
      <c r="I21" s="1"/>
      <c r="J21" s="1"/>
      <c r="K21" s="1"/>
      <c r="L21" s="1"/>
      <c r="M21" s="1"/>
      <c r="N21" s="18"/>
    </row>
    <row r="22" spans="2:14" ht="15" customHeight="1" x14ac:dyDescent="0.25">
      <c r="B22" s="20"/>
      <c r="C22" s="5" t="s">
        <v>68</v>
      </c>
      <c r="D22" s="6" t="s">
        <v>25</v>
      </c>
      <c r="E22" s="11">
        <v>1.4382000000000001E-2</v>
      </c>
      <c r="F22" s="1"/>
      <c r="G22" s="1"/>
      <c r="H22" s="1"/>
      <c r="I22" s="1"/>
      <c r="J22" s="1"/>
      <c r="K22" s="1"/>
      <c r="L22" s="1"/>
      <c r="M22" s="1"/>
      <c r="N22" s="18"/>
    </row>
    <row r="23" spans="2:14" ht="15" customHeight="1" x14ac:dyDescent="0.25">
      <c r="B23" s="20"/>
      <c r="C23" s="5" t="s">
        <v>35</v>
      </c>
      <c r="D23" s="6" t="s">
        <v>25</v>
      </c>
      <c r="E23" s="11">
        <v>9.3130000000000001E-3</v>
      </c>
      <c r="F23" s="1"/>
      <c r="G23" s="1"/>
      <c r="H23" s="1"/>
      <c r="I23" s="1"/>
      <c r="J23" s="1"/>
      <c r="K23" s="1"/>
      <c r="L23" s="1"/>
      <c r="M23" s="1"/>
      <c r="N23" s="18"/>
    </row>
    <row r="24" spans="2:14" ht="15" customHeight="1" x14ac:dyDescent="0.25">
      <c r="B24" s="20"/>
      <c r="C24" s="5" t="s">
        <v>80</v>
      </c>
      <c r="D24" s="6" t="s">
        <v>25</v>
      </c>
      <c r="E24" s="11">
        <v>9.0100000000000006E-3</v>
      </c>
      <c r="F24" s="1"/>
      <c r="G24" s="105" t="s">
        <v>8</v>
      </c>
      <c r="H24" s="110"/>
      <c r="I24" s="110"/>
      <c r="J24" s="110"/>
      <c r="K24" s="110"/>
      <c r="L24" s="57">
        <v>3.965314923400205</v>
      </c>
      <c r="M24" s="27"/>
      <c r="N24" s="28"/>
    </row>
    <row r="25" spans="2:14" ht="15" customHeight="1" x14ac:dyDescent="0.25">
      <c r="B25" s="20"/>
      <c r="C25" s="5" t="s">
        <v>22</v>
      </c>
      <c r="D25" s="6" t="s">
        <v>25</v>
      </c>
      <c r="E25" s="11">
        <v>7.8659999999999997E-3</v>
      </c>
      <c r="F25" s="1"/>
      <c r="G25" s="1"/>
      <c r="H25" s="1"/>
      <c r="I25" s="1"/>
      <c r="J25" s="1"/>
      <c r="K25" s="1"/>
      <c r="L25" s="1"/>
      <c r="M25" s="1"/>
      <c r="N25" s="18"/>
    </row>
    <row r="26" spans="2:14" ht="15" customHeight="1" x14ac:dyDescent="0.25">
      <c r="B26" s="20"/>
      <c r="C26" s="5" t="s">
        <v>30</v>
      </c>
      <c r="D26" s="6" t="s">
        <v>25</v>
      </c>
      <c r="E26" s="11">
        <v>4.6369999999999996E-3</v>
      </c>
      <c r="F26" s="1"/>
      <c r="G26" s="105" t="s">
        <v>9</v>
      </c>
      <c r="H26" s="110"/>
      <c r="I26" s="110"/>
      <c r="J26" s="110"/>
      <c r="K26" s="110"/>
      <c r="L26" s="110"/>
      <c r="M26" s="110"/>
      <c r="N26" s="111"/>
    </row>
    <row r="27" spans="2:14" ht="15" customHeight="1" x14ac:dyDescent="0.25">
      <c r="B27" s="20"/>
      <c r="C27" s="5" t="s">
        <v>28</v>
      </c>
      <c r="D27" s="6" t="s">
        <v>25</v>
      </c>
      <c r="E27" s="11">
        <v>3.679E-3</v>
      </c>
      <c r="F27" s="1"/>
      <c r="G27" s="1"/>
      <c r="H27" s="1"/>
      <c r="I27" s="1"/>
      <c r="J27" s="1"/>
      <c r="K27" s="1"/>
      <c r="L27" s="1"/>
      <c r="M27" s="1"/>
      <c r="N27" s="18"/>
    </row>
    <row r="28" spans="2:14" ht="15" customHeight="1" x14ac:dyDescent="0.25">
      <c r="B28" s="20"/>
      <c r="C28" s="5" t="s">
        <v>81</v>
      </c>
      <c r="D28" s="6" t="s">
        <v>25</v>
      </c>
      <c r="E28" s="11">
        <v>1.8159999999999999E-3</v>
      </c>
      <c r="F28" s="1"/>
      <c r="G28" s="1"/>
      <c r="H28" s="1"/>
      <c r="I28" s="1"/>
      <c r="J28" s="1"/>
      <c r="K28" s="1"/>
      <c r="L28" s="1"/>
      <c r="M28" s="1"/>
      <c r="N28" s="18"/>
    </row>
    <row r="29" spans="2:14" ht="15" customHeight="1" x14ac:dyDescent="0.25">
      <c r="B29" s="20"/>
      <c r="C29" s="5" t="s">
        <v>74</v>
      </c>
      <c r="D29" s="6" t="s">
        <v>25</v>
      </c>
      <c r="E29" s="11">
        <v>1.797E-3</v>
      </c>
      <c r="F29" s="1"/>
      <c r="G29" s="1"/>
      <c r="H29" s="1"/>
      <c r="I29" s="1"/>
      <c r="J29" s="1"/>
      <c r="K29" s="1"/>
      <c r="L29" s="1"/>
      <c r="M29" s="1"/>
      <c r="N29" s="18"/>
    </row>
    <row r="30" spans="2:14" ht="15" customHeight="1" x14ac:dyDescent="0.25">
      <c r="B30" s="20"/>
      <c r="C30" s="5" t="s">
        <v>32</v>
      </c>
      <c r="D30" s="6" t="s">
        <v>25</v>
      </c>
      <c r="E30" s="11">
        <v>7.3200000000000001E-4</v>
      </c>
      <c r="F30" s="1"/>
      <c r="G30" s="1"/>
      <c r="H30" s="1"/>
      <c r="I30" s="1"/>
      <c r="J30" s="1"/>
      <c r="K30" s="1"/>
      <c r="L30" s="1"/>
      <c r="M30" s="1"/>
      <c r="N30" s="18"/>
    </row>
    <row r="31" spans="2:14" ht="15.75" customHeight="1" x14ac:dyDescent="0.25">
      <c r="B31" s="20"/>
      <c r="C31" s="5" t="s">
        <v>210</v>
      </c>
      <c r="D31" s="6" t="s">
        <v>25</v>
      </c>
      <c r="E31" s="11">
        <v>8.2509999999999997E-3</v>
      </c>
      <c r="F31" s="1"/>
      <c r="G31" s="1"/>
      <c r="H31" s="1"/>
      <c r="I31" s="1"/>
      <c r="J31" s="1"/>
      <c r="K31" s="1"/>
      <c r="L31" s="1"/>
      <c r="M31" s="1"/>
      <c r="N31" s="18"/>
    </row>
    <row r="32" spans="2:14" ht="15" customHeight="1" x14ac:dyDescent="0.25">
      <c r="B32" s="20"/>
      <c r="C32" s="5" t="s">
        <v>211</v>
      </c>
      <c r="D32" s="6" t="s">
        <v>25</v>
      </c>
      <c r="E32" s="11">
        <v>1.8370000000000001E-3</v>
      </c>
      <c r="F32" s="1"/>
      <c r="G32" s="1"/>
      <c r="H32" s="1"/>
      <c r="I32" s="1"/>
      <c r="J32" s="1"/>
      <c r="K32" s="1"/>
      <c r="L32" s="1"/>
      <c r="M32" s="1"/>
      <c r="N32" s="18"/>
    </row>
    <row r="33" spans="2:14" ht="15.75" customHeight="1" x14ac:dyDescent="0.25">
      <c r="B33" s="20"/>
      <c r="C33" s="7" t="s">
        <v>39</v>
      </c>
      <c r="D33" s="8"/>
      <c r="E33" s="12">
        <v>0.69034800000000007</v>
      </c>
      <c r="F33" s="1"/>
      <c r="G33" s="1"/>
      <c r="H33" s="1"/>
      <c r="I33" s="1"/>
      <c r="J33" s="1"/>
      <c r="K33" s="1"/>
      <c r="L33" s="1"/>
      <c r="M33" s="1"/>
      <c r="N33" s="18"/>
    </row>
    <row r="34" spans="2:14" ht="15" customHeight="1" x14ac:dyDescent="0.25">
      <c r="B34" s="20"/>
      <c r="C34" s="5" t="s">
        <v>40</v>
      </c>
      <c r="D34" s="6"/>
      <c r="E34" s="11">
        <v>2.882E-3</v>
      </c>
      <c r="F34" s="1"/>
      <c r="G34" s="1"/>
      <c r="H34" s="1"/>
      <c r="I34" s="1"/>
      <c r="J34" s="1"/>
      <c r="K34" s="1"/>
      <c r="L34" s="1"/>
      <c r="M34" s="1"/>
      <c r="N34" s="18"/>
    </row>
    <row r="35" spans="2:14" ht="15" customHeight="1" x14ac:dyDescent="0.25">
      <c r="B35" s="20"/>
      <c r="C35" s="7" t="s">
        <v>41</v>
      </c>
      <c r="D35" s="8"/>
      <c r="E35" s="12">
        <v>2.882E-3</v>
      </c>
      <c r="F35" s="1"/>
      <c r="G35" s="1"/>
      <c r="H35" s="1"/>
      <c r="I35" s="1"/>
      <c r="J35" s="1"/>
      <c r="K35" s="1"/>
      <c r="L35" s="1"/>
      <c r="M35" s="1"/>
      <c r="N35" s="18"/>
    </row>
    <row r="36" spans="2:14" ht="15" customHeight="1" x14ac:dyDescent="0.25">
      <c r="B36" s="20"/>
      <c r="C36" s="5" t="s">
        <v>42</v>
      </c>
      <c r="D36" s="6" t="s">
        <v>182</v>
      </c>
      <c r="E36" s="11">
        <v>0.20914099999999999</v>
      </c>
      <c r="F36" s="1"/>
      <c r="G36" s="1"/>
      <c r="H36" s="1"/>
      <c r="I36" s="1"/>
      <c r="J36" s="1"/>
      <c r="K36" s="1"/>
      <c r="L36" s="1"/>
      <c r="M36" s="1"/>
      <c r="N36" s="18"/>
    </row>
    <row r="37" spans="2:14" ht="15" customHeight="1" x14ac:dyDescent="0.25">
      <c r="B37" s="20"/>
      <c r="C37" s="5" t="s">
        <v>47</v>
      </c>
      <c r="D37" s="6" t="s">
        <v>182</v>
      </c>
      <c r="E37" s="11">
        <v>3.8072000000000002E-2</v>
      </c>
      <c r="F37" s="1"/>
      <c r="G37" s="1"/>
      <c r="H37" s="1"/>
      <c r="I37" s="1"/>
      <c r="J37" s="1"/>
      <c r="K37" s="1"/>
      <c r="L37" s="1"/>
      <c r="M37" s="1"/>
      <c r="N37" s="18"/>
    </row>
    <row r="38" spans="2:14" ht="15" customHeight="1" x14ac:dyDescent="0.25">
      <c r="B38" s="20"/>
      <c r="C38" s="5" t="s">
        <v>44</v>
      </c>
      <c r="D38" s="6" t="s">
        <v>182</v>
      </c>
      <c r="E38" s="11">
        <v>1.5584000000000001E-2</v>
      </c>
      <c r="F38" s="1"/>
      <c r="G38" s="1"/>
      <c r="H38" s="1"/>
      <c r="I38" s="1"/>
      <c r="J38" s="1"/>
      <c r="K38" s="1"/>
      <c r="L38" s="1"/>
      <c r="M38" s="1"/>
      <c r="N38" s="18"/>
    </row>
    <row r="39" spans="2:14" ht="15" customHeight="1" x14ac:dyDescent="0.25">
      <c r="B39" s="20"/>
      <c r="C39" s="5" t="s">
        <v>82</v>
      </c>
      <c r="D39" s="6" t="s">
        <v>182</v>
      </c>
      <c r="E39" s="11">
        <v>8.1040000000000001E-3</v>
      </c>
      <c r="F39" s="1"/>
      <c r="G39" s="1"/>
      <c r="H39" s="1"/>
      <c r="I39" s="1"/>
      <c r="J39" s="1"/>
      <c r="K39" s="1"/>
      <c r="L39" s="1"/>
      <c r="M39" s="1"/>
      <c r="N39" s="18"/>
    </row>
    <row r="40" spans="2:14" ht="15.75" customHeight="1" x14ac:dyDescent="0.25">
      <c r="B40" s="20"/>
      <c r="C40" s="5" t="s">
        <v>46</v>
      </c>
      <c r="D40" s="6" t="s">
        <v>182</v>
      </c>
      <c r="E40" s="11">
        <v>1.856E-3</v>
      </c>
      <c r="F40" s="1"/>
      <c r="G40" s="1"/>
      <c r="H40" s="1"/>
      <c r="I40" s="1"/>
      <c r="J40" s="1"/>
      <c r="K40" s="1"/>
      <c r="L40" s="1"/>
      <c r="M40" s="1"/>
      <c r="N40" s="18"/>
    </row>
    <row r="41" spans="2:14" ht="15" customHeight="1" x14ac:dyDescent="0.25">
      <c r="B41" s="20"/>
      <c r="C41" s="5" t="s">
        <v>43</v>
      </c>
      <c r="D41" s="6" t="s">
        <v>182</v>
      </c>
      <c r="E41" s="11">
        <v>1.8370000000000001E-3</v>
      </c>
      <c r="F41" s="1"/>
      <c r="G41" s="1"/>
      <c r="H41" s="1"/>
      <c r="I41" s="1"/>
      <c r="J41" s="1"/>
      <c r="K41" s="1"/>
      <c r="L41" s="1"/>
      <c r="M41" s="1"/>
      <c r="N41" s="18"/>
    </row>
    <row r="42" spans="2:14" ht="15" customHeight="1" x14ac:dyDescent="0.25">
      <c r="B42" s="20"/>
      <c r="C42" s="7" t="s">
        <v>48</v>
      </c>
      <c r="D42" s="8"/>
      <c r="E42" s="12">
        <v>0.274594</v>
      </c>
      <c r="F42" s="1"/>
      <c r="G42" s="1"/>
      <c r="H42" s="1"/>
      <c r="I42" s="1"/>
      <c r="J42" s="1"/>
      <c r="K42" s="1"/>
      <c r="L42" s="1"/>
      <c r="M42" s="1"/>
      <c r="N42" s="18"/>
    </row>
    <row r="43" spans="2:14" ht="15.75" customHeight="1" x14ac:dyDescent="0.25">
      <c r="B43" s="20"/>
      <c r="C43" s="5" t="s">
        <v>212</v>
      </c>
      <c r="D43" s="6" t="s">
        <v>182</v>
      </c>
      <c r="E43" s="11">
        <v>1.7899999999999999E-4</v>
      </c>
      <c r="F43" s="1"/>
      <c r="G43" s="1"/>
      <c r="H43" s="1"/>
      <c r="I43" s="1"/>
      <c r="J43" s="1"/>
      <c r="K43" s="1"/>
      <c r="L43" s="1"/>
      <c r="M43" s="1"/>
      <c r="N43" s="18"/>
    </row>
    <row r="44" spans="2:14" ht="15" customHeight="1" x14ac:dyDescent="0.25">
      <c r="B44" s="20"/>
      <c r="C44" s="7" t="s">
        <v>49</v>
      </c>
      <c r="D44" s="8"/>
      <c r="E44" s="12">
        <v>1.7899999999999999E-4</v>
      </c>
      <c r="F44" s="1"/>
      <c r="G44" s="1"/>
      <c r="H44" s="1"/>
      <c r="I44" s="1"/>
      <c r="J44" s="1"/>
      <c r="K44" s="1"/>
      <c r="L44" s="1"/>
      <c r="M44" s="1"/>
      <c r="N44" s="18"/>
    </row>
    <row r="45" spans="2:14" ht="15.75" customHeight="1" x14ac:dyDescent="0.25">
      <c r="B45" s="20"/>
      <c r="C45" s="5" t="s">
        <v>50</v>
      </c>
      <c r="D45" s="6"/>
      <c r="E45" s="11">
        <v>8.5649999999999997E-3</v>
      </c>
      <c r="F45" s="1"/>
      <c r="G45" s="1"/>
      <c r="H45" s="1"/>
      <c r="I45" s="1"/>
      <c r="J45" s="1"/>
      <c r="K45" s="1"/>
      <c r="L45" s="1"/>
      <c r="M45" s="1"/>
      <c r="N45" s="18"/>
    </row>
    <row r="46" spans="2:14" ht="15" customHeight="1" x14ac:dyDescent="0.25">
      <c r="B46" s="20"/>
      <c r="C46" s="7" t="s">
        <v>51</v>
      </c>
      <c r="D46" s="8"/>
      <c r="E46" s="12">
        <v>8.5649999999999997E-3</v>
      </c>
      <c r="F46" s="1"/>
      <c r="G46" s="1"/>
      <c r="H46" s="1"/>
      <c r="I46" s="1"/>
      <c r="J46" s="1"/>
      <c r="K46" s="1"/>
      <c r="L46" s="1"/>
      <c r="M46" s="1"/>
      <c r="N46" s="18"/>
    </row>
    <row r="47" spans="2:14" ht="15.75" customHeight="1" x14ac:dyDescent="0.25">
      <c r="B47" s="20"/>
      <c r="C47" s="5" t="s">
        <v>69</v>
      </c>
      <c r="D47" s="6" t="s">
        <v>25</v>
      </c>
      <c r="E47" s="11">
        <v>8.3000000000000001E-4</v>
      </c>
      <c r="F47" s="1"/>
      <c r="G47" s="1"/>
      <c r="H47" s="1"/>
      <c r="I47" s="1"/>
      <c r="J47" s="1"/>
      <c r="K47" s="1"/>
      <c r="L47" s="1"/>
      <c r="M47" s="1"/>
      <c r="N47" s="18"/>
    </row>
    <row r="48" spans="2:14" ht="15" customHeight="1" x14ac:dyDescent="0.25">
      <c r="B48" s="20"/>
      <c r="C48" s="7" t="s">
        <v>83</v>
      </c>
      <c r="D48" s="8"/>
      <c r="E48" s="12">
        <v>8.3000000000000001E-4</v>
      </c>
      <c r="F48" s="1"/>
      <c r="G48" s="1"/>
      <c r="H48" s="1"/>
      <c r="I48" s="1"/>
      <c r="J48" s="1"/>
      <c r="K48" s="1"/>
      <c r="L48" s="1"/>
      <c r="M48" s="1"/>
      <c r="N48" s="18"/>
    </row>
    <row r="49" spans="2:14" ht="15.75" customHeight="1" x14ac:dyDescent="0.25">
      <c r="B49" s="20"/>
      <c r="C49" s="5"/>
      <c r="D49" s="6"/>
      <c r="E49" s="11"/>
      <c r="F49" s="1"/>
      <c r="G49" s="1"/>
      <c r="H49" s="1"/>
      <c r="I49" s="1"/>
      <c r="J49" s="1"/>
      <c r="K49" s="1"/>
      <c r="L49" s="1"/>
      <c r="M49" s="1"/>
      <c r="N49" s="18"/>
    </row>
    <row r="50" spans="2:14" ht="15" customHeight="1" x14ac:dyDescent="0.25">
      <c r="B50" s="20"/>
      <c r="C50" s="7" t="s">
        <v>52</v>
      </c>
      <c r="D50" s="8"/>
      <c r="E50" s="12">
        <v>2.2602000000000001E-2</v>
      </c>
      <c r="F50" s="1"/>
      <c r="G50" s="1"/>
      <c r="H50" s="1"/>
      <c r="I50" s="1"/>
      <c r="J50" s="1"/>
      <c r="K50" s="1"/>
      <c r="L50" s="1"/>
      <c r="M50" s="1"/>
      <c r="N50" s="18"/>
    </row>
    <row r="51" spans="2:14" ht="15.75" customHeight="1" x14ac:dyDescent="0.25">
      <c r="B51" s="20"/>
      <c r="C51" s="5"/>
      <c r="D51" s="6"/>
      <c r="E51" s="11"/>
      <c r="F51" s="1"/>
      <c r="G51" s="1"/>
      <c r="H51" s="1"/>
      <c r="I51" s="1"/>
      <c r="J51" s="1"/>
      <c r="K51" s="1"/>
      <c r="L51" s="1"/>
      <c r="M51" s="1"/>
      <c r="N51" s="18"/>
    </row>
    <row r="52" spans="2:14" ht="15" customHeight="1" x14ac:dyDescent="0.25">
      <c r="B52" s="20"/>
      <c r="C52" s="9" t="s">
        <v>53</v>
      </c>
      <c r="D52" s="10"/>
      <c r="E52" s="13">
        <v>1</v>
      </c>
      <c r="F52" s="1"/>
      <c r="G52" s="1"/>
      <c r="H52" s="1"/>
      <c r="I52" s="1"/>
      <c r="J52" s="1"/>
      <c r="K52" s="1"/>
      <c r="L52" s="1"/>
      <c r="M52" s="1"/>
      <c r="N52" s="18"/>
    </row>
    <row r="53" spans="2:14" ht="15" customHeight="1" x14ac:dyDescent="0.25">
      <c r="B53" s="20"/>
      <c r="F53" s="1"/>
      <c r="G53" s="1"/>
      <c r="H53" s="1"/>
      <c r="I53" s="1"/>
      <c r="J53" s="1"/>
      <c r="K53" s="1"/>
      <c r="L53" s="1"/>
      <c r="M53" s="1"/>
      <c r="N53" s="18"/>
    </row>
    <row r="54" spans="2:14" ht="15" customHeight="1" x14ac:dyDescent="0.25">
      <c r="B54" s="20"/>
      <c r="C54" t="s">
        <v>215</v>
      </c>
      <c r="F54" s="1"/>
      <c r="G54" s="1"/>
      <c r="H54" s="1"/>
      <c r="I54" s="1"/>
      <c r="J54" s="1"/>
      <c r="K54" s="1"/>
      <c r="L54" s="1"/>
      <c r="M54" s="1"/>
      <c r="N54" s="18"/>
    </row>
    <row r="55" spans="2:14" ht="15" customHeight="1" thickBot="1" x14ac:dyDescent="0.3">
      <c r="B55" s="21"/>
      <c r="C55" s="22"/>
      <c r="D55" s="22"/>
      <c r="E55" s="22"/>
      <c r="F55" s="22"/>
      <c r="G55" s="22"/>
      <c r="H55" s="22"/>
      <c r="I55" s="22"/>
      <c r="J55" s="22"/>
      <c r="K55" s="22"/>
      <c r="L55" s="22"/>
      <c r="M55" s="22"/>
      <c r="N55" s="23"/>
    </row>
    <row r="56" spans="2:14" ht="15" customHeight="1" thickBot="1" x14ac:dyDescent="0.3"/>
    <row r="57" spans="2:14" ht="15" customHeight="1" x14ac:dyDescent="0.25">
      <c r="B57" s="88" t="s">
        <v>213</v>
      </c>
      <c r="C57" s="89"/>
      <c r="D57" s="89"/>
      <c r="E57" s="89"/>
      <c r="F57" s="89"/>
      <c r="G57" s="89"/>
      <c r="H57" s="89"/>
      <c r="I57" s="89"/>
      <c r="J57" s="89"/>
      <c r="K57" s="89"/>
      <c r="L57" s="89"/>
      <c r="M57" s="89"/>
      <c r="N57" s="90"/>
    </row>
    <row r="58" spans="2:14" ht="15" customHeight="1" x14ac:dyDescent="0.25">
      <c r="B58" s="91"/>
      <c r="C58" s="92"/>
      <c r="D58" s="92"/>
      <c r="E58" s="92"/>
      <c r="F58" s="92"/>
      <c r="G58" s="92"/>
      <c r="H58" s="92"/>
      <c r="I58" s="92"/>
      <c r="J58" s="92"/>
      <c r="K58" s="92"/>
      <c r="L58" s="92"/>
      <c r="M58" s="92"/>
      <c r="N58" s="93"/>
    </row>
    <row r="59" spans="2:14" ht="15" customHeight="1" x14ac:dyDescent="0.25">
      <c r="B59" s="91"/>
      <c r="C59" s="92"/>
      <c r="D59" s="92"/>
      <c r="E59" s="92"/>
      <c r="F59" s="92"/>
      <c r="G59" s="92"/>
      <c r="H59" s="92"/>
      <c r="I59" s="92"/>
      <c r="J59" s="92"/>
      <c r="K59" s="92"/>
      <c r="L59" s="92"/>
      <c r="M59" s="92"/>
      <c r="N59" s="93"/>
    </row>
    <row r="60" spans="2:14" ht="15" customHeight="1" thickBot="1" x14ac:dyDescent="0.3">
      <c r="B60" s="94"/>
      <c r="C60" s="95"/>
      <c r="D60" s="95"/>
      <c r="E60" s="95"/>
      <c r="F60" s="95"/>
      <c r="G60" s="95"/>
      <c r="H60" s="95"/>
      <c r="I60" s="95"/>
      <c r="J60" s="95"/>
      <c r="K60" s="95"/>
      <c r="L60" s="95"/>
      <c r="M60" s="95"/>
      <c r="N60" s="96"/>
    </row>
    <row r="61" spans="2:14" ht="15" customHeight="1" thickBot="1" x14ac:dyDescent="0.3"/>
    <row r="62" spans="2:14" ht="127.5" customHeight="1" thickBot="1" x14ac:dyDescent="0.3">
      <c r="B62" s="97" t="s">
        <v>214</v>
      </c>
      <c r="C62" s="98"/>
      <c r="D62" s="98"/>
      <c r="E62" s="98"/>
      <c r="F62" s="98"/>
      <c r="G62" s="98"/>
      <c r="H62" s="98"/>
      <c r="I62" s="98"/>
      <c r="J62" s="98"/>
      <c r="K62" s="98"/>
      <c r="L62" s="98"/>
      <c r="M62" s="98"/>
      <c r="N62" s="99"/>
    </row>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mergeCells count="7">
    <mergeCell ref="B57:N60"/>
    <mergeCell ref="B62:N6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1D21-FC07-4712-8986-53CF055E964C}">
  <dimension ref="B1:N58"/>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130</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131</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14</v>
      </c>
      <c r="D8" s="6" t="s">
        <v>13</v>
      </c>
      <c r="E8" s="11">
        <v>3.0199E-2</v>
      </c>
      <c r="F8" s="1"/>
      <c r="G8" s="24" t="s">
        <v>6</v>
      </c>
      <c r="H8" s="29">
        <v>0.58267400000000003</v>
      </c>
      <c r="I8" s="1"/>
      <c r="J8" s="24" t="s">
        <v>54</v>
      </c>
      <c r="K8" s="24" t="s">
        <v>5</v>
      </c>
      <c r="L8" s="1"/>
      <c r="M8" s="1"/>
      <c r="N8" s="18"/>
    </row>
    <row r="9" spans="2:14" ht="15.75" customHeight="1" x14ac:dyDescent="0.25">
      <c r="B9" s="20"/>
      <c r="C9" s="7" t="s">
        <v>23</v>
      </c>
      <c r="D9" s="8"/>
      <c r="E9" s="12">
        <v>3.0199E-2</v>
      </c>
      <c r="F9" s="1"/>
      <c r="G9" s="24" t="s">
        <v>101</v>
      </c>
      <c r="H9" s="29">
        <v>0.26296999999999998</v>
      </c>
      <c r="I9" s="1"/>
      <c r="J9" s="24" t="s">
        <v>52</v>
      </c>
      <c r="K9" s="29">
        <v>2.3727000000000002E-2</v>
      </c>
      <c r="L9" s="1"/>
      <c r="M9" s="1"/>
      <c r="N9" s="18"/>
    </row>
    <row r="10" spans="2:14" ht="15" customHeight="1" x14ac:dyDescent="0.25">
      <c r="B10" s="20"/>
      <c r="C10" s="5" t="s">
        <v>20</v>
      </c>
      <c r="D10" s="6" t="s">
        <v>25</v>
      </c>
      <c r="E10" s="11">
        <v>7.6452999999999993E-2</v>
      </c>
      <c r="F10" s="1"/>
      <c r="G10" s="24" t="s">
        <v>102</v>
      </c>
      <c r="H10" s="29">
        <v>0.15435599999999999</v>
      </c>
      <c r="I10" s="1"/>
      <c r="J10" s="24" t="s">
        <v>55</v>
      </c>
      <c r="K10" s="29">
        <v>3.0460000000000001E-2</v>
      </c>
      <c r="L10" s="1"/>
      <c r="M10" s="1"/>
      <c r="N10" s="18"/>
    </row>
    <row r="11" spans="2:14" ht="15" customHeight="1" x14ac:dyDescent="0.25">
      <c r="B11" s="20"/>
      <c r="C11" s="5" t="s">
        <v>68</v>
      </c>
      <c r="D11" s="6" t="s">
        <v>25</v>
      </c>
      <c r="E11" s="11">
        <v>6.0909999999999999E-2</v>
      </c>
      <c r="F11" s="1"/>
      <c r="G11" s="1"/>
      <c r="H11" s="1"/>
      <c r="I11" s="1"/>
      <c r="J11" s="24" t="s">
        <v>56</v>
      </c>
      <c r="K11" s="29">
        <v>3.0199E-2</v>
      </c>
      <c r="L11" s="1"/>
      <c r="M11" s="1"/>
      <c r="N11" s="18"/>
    </row>
    <row r="12" spans="2:14" ht="15" customHeight="1" x14ac:dyDescent="0.25">
      <c r="B12" s="20"/>
      <c r="C12" s="5" t="s">
        <v>92</v>
      </c>
      <c r="D12" s="6" t="s">
        <v>88</v>
      </c>
      <c r="E12" s="11">
        <v>4.6836000000000003E-2</v>
      </c>
      <c r="F12" s="1"/>
      <c r="G12" s="1"/>
      <c r="H12" s="1"/>
      <c r="I12" s="1"/>
      <c r="J12" s="24" t="s">
        <v>57</v>
      </c>
      <c r="K12" s="29">
        <v>0.58550800000000003</v>
      </c>
      <c r="L12" s="1"/>
      <c r="M12" s="1"/>
      <c r="N12" s="18"/>
    </row>
    <row r="13" spans="2:14" ht="15" customHeight="1" x14ac:dyDescent="0.25">
      <c r="B13" s="20"/>
      <c r="C13" s="5" t="s">
        <v>94</v>
      </c>
      <c r="D13" s="6" t="s">
        <v>88</v>
      </c>
      <c r="E13" s="11">
        <v>4.6533999999999999E-2</v>
      </c>
      <c r="F13" s="1"/>
      <c r="G13" s="1"/>
      <c r="H13" s="1"/>
      <c r="I13" s="1"/>
      <c r="J13" s="24" t="s">
        <v>40</v>
      </c>
      <c r="K13" s="29">
        <v>2.7989999999999998E-3</v>
      </c>
      <c r="L13" s="1"/>
      <c r="M13" s="1"/>
      <c r="N13" s="18"/>
    </row>
    <row r="14" spans="2:14" ht="15" customHeight="1" x14ac:dyDescent="0.25">
      <c r="B14" s="20"/>
      <c r="C14" s="5" t="s">
        <v>90</v>
      </c>
      <c r="D14" s="6" t="s">
        <v>88</v>
      </c>
      <c r="E14" s="11">
        <v>4.6399000000000003E-2</v>
      </c>
      <c r="F14" s="1"/>
      <c r="G14" s="1"/>
      <c r="H14" s="1"/>
      <c r="I14" s="1"/>
      <c r="J14" s="24" t="s">
        <v>58</v>
      </c>
      <c r="K14" s="29">
        <v>0.32730599999999999</v>
      </c>
      <c r="L14" s="1"/>
      <c r="M14" s="1"/>
      <c r="N14" s="18"/>
    </row>
    <row r="15" spans="2:14" ht="15" customHeight="1" x14ac:dyDescent="0.25">
      <c r="B15" s="20"/>
      <c r="C15" s="5" t="s">
        <v>87</v>
      </c>
      <c r="D15" s="6" t="s">
        <v>88</v>
      </c>
      <c r="E15" s="11">
        <v>4.6283999999999999E-2</v>
      </c>
      <c r="F15" s="1"/>
      <c r="G15" s="1"/>
      <c r="H15" s="1"/>
      <c r="I15" s="1"/>
      <c r="J15" s="24"/>
      <c r="K15" s="29"/>
      <c r="L15" s="1"/>
      <c r="M15" s="1"/>
      <c r="N15" s="18"/>
    </row>
    <row r="16" spans="2:14" ht="15" customHeight="1" x14ac:dyDescent="0.25">
      <c r="B16" s="20"/>
      <c r="C16" s="5" t="s">
        <v>97</v>
      </c>
      <c r="D16" s="6" t="s">
        <v>96</v>
      </c>
      <c r="E16" s="11">
        <v>4.6271E-2</v>
      </c>
      <c r="F16" s="1"/>
      <c r="G16" s="1"/>
      <c r="H16" s="1"/>
      <c r="I16" s="1"/>
      <c r="J16" s="1"/>
      <c r="K16" s="1"/>
      <c r="L16" s="1"/>
      <c r="M16" s="1"/>
      <c r="N16" s="18"/>
    </row>
    <row r="17" spans="2:14" ht="15" customHeight="1" x14ac:dyDescent="0.25">
      <c r="B17" s="20"/>
      <c r="C17" s="5" t="s">
        <v>132</v>
      </c>
      <c r="D17" s="6" t="s">
        <v>96</v>
      </c>
      <c r="E17" s="11">
        <v>4.614E-2</v>
      </c>
      <c r="F17" s="1"/>
      <c r="G17" s="1"/>
      <c r="H17" s="1"/>
      <c r="I17" s="1"/>
      <c r="J17" s="1"/>
      <c r="K17" s="1"/>
      <c r="L17" s="1"/>
      <c r="M17" s="1"/>
      <c r="N17" s="18"/>
    </row>
    <row r="18" spans="2:14" ht="15" customHeight="1" x14ac:dyDescent="0.25">
      <c r="B18" s="20"/>
      <c r="C18" s="5" t="s">
        <v>95</v>
      </c>
      <c r="D18" s="6" t="s">
        <v>96</v>
      </c>
      <c r="E18" s="11">
        <v>3.0998000000000001E-2</v>
      </c>
      <c r="F18" s="1"/>
      <c r="G18" s="1"/>
      <c r="H18" s="1"/>
      <c r="I18" s="1"/>
      <c r="J18" s="1"/>
      <c r="K18" s="1"/>
      <c r="L18" s="1"/>
      <c r="M18" s="1"/>
      <c r="N18" s="18"/>
    </row>
    <row r="19" spans="2:14" ht="15" customHeight="1" x14ac:dyDescent="0.25">
      <c r="B19" s="20"/>
      <c r="C19" s="5" t="s">
        <v>133</v>
      </c>
      <c r="D19" s="6" t="s">
        <v>96</v>
      </c>
      <c r="E19" s="11">
        <v>3.0946999999999999E-2</v>
      </c>
      <c r="F19" s="1"/>
      <c r="G19" s="1"/>
      <c r="H19" s="1"/>
      <c r="I19" s="1"/>
      <c r="J19" s="1"/>
      <c r="K19" s="1"/>
      <c r="L19" s="1"/>
      <c r="M19" s="1"/>
      <c r="N19" s="18"/>
    </row>
    <row r="20" spans="2:14" ht="15" customHeight="1" x14ac:dyDescent="0.25">
      <c r="B20" s="20"/>
      <c r="C20" s="5" t="s">
        <v>93</v>
      </c>
      <c r="D20" s="6" t="s">
        <v>88</v>
      </c>
      <c r="E20" s="11">
        <v>3.0858E-2</v>
      </c>
      <c r="F20" s="1"/>
      <c r="G20" s="1"/>
      <c r="H20" s="1"/>
      <c r="I20" s="1"/>
      <c r="J20" s="1"/>
      <c r="K20" s="1"/>
      <c r="L20" s="1"/>
      <c r="M20" s="1"/>
      <c r="N20" s="18"/>
    </row>
    <row r="21" spans="2:14" ht="15" customHeight="1" x14ac:dyDescent="0.25">
      <c r="B21" s="20"/>
      <c r="C21" s="5" t="s">
        <v>69</v>
      </c>
      <c r="D21" s="6" t="s">
        <v>25</v>
      </c>
      <c r="E21" s="11">
        <v>3.0818999999999999E-2</v>
      </c>
      <c r="F21" s="1"/>
      <c r="G21" s="1"/>
      <c r="H21" s="1"/>
      <c r="I21" s="1"/>
      <c r="J21" s="1"/>
      <c r="K21" s="1"/>
      <c r="L21" s="1"/>
      <c r="M21" s="1"/>
      <c r="N21" s="18"/>
    </row>
    <row r="22" spans="2:14" ht="15" customHeight="1" x14ac:dyDescent="0.25">
      <c r="B22" s="20"/>
      <c r="C22" s="5" t="s">
        <v>89</v>
      </c>
      <c r="D22" s="6" t="s">
        <v>88</v>
      </c>
      <c r="E22" s="11">
        <v>3.0616999999999998E-2</v>
      </c>
      <c r="F22" s="1"/>
      <c r="G22" s="1"/>
      <c r="H22" s="1"/>
      <c r="I22" s="1"/>
      <c r="J22" s="1"/>
      <c r="K22" s="1"/>
      <c r="L22" s="1"/>
      <c r="M22" s="1"/>
      <c r="N22" s="18"/>
    </row>
    <row r="23" spans="2:14" ht="15" customHeight="1" x14ac:dyDescent="0.25">
      <c r="B23" s="20"/>
      <c r="C23" s="5" t="s">
        <v>98</v>
      </c>
      <c r="D23" s="6" t="s">
        <v>88</v>
      </c>
      <c r="E23" s="11">
        <v>1.5442000000000001E-2</v>
      </c>
      <c r="F23" s="1"/>
      <c r="G23" s="1"/>
      <c r="H23" s="1"/>
      <c r="I23" s="1"/>
      <c r="J23" s="1"/>
      <c r="K23" s="1"/>
      <c r="L23" s="1"/>
      <c r="M23" s="1"/>
      <c r="N23" s="18"/>
    </row>
    <row r="24" spans="2:14" ht="15.75" customHeight="1" x14ac:dyDescent="0.25">
      <c r="B24" s="20"/>
      <c r="C24" s="7" t="s">
        <v>39</v>
      </c>
      <c r="D24" s="8"/>
      <c r="E24" s="12">
        <v>0.58550800000000003</v>
      </c>
      <c r="F24" s="1"/>
      <c r="G24" s="105" t="s">
        <v>8</v>
      </c>
      <c r="H24" s="110"/>
      <c r="I24" s="110"/>
      <c r="J24" s="110"/>
      <c r="K24" s="110"/>
      <c r="L24" s="26">
        <v>3.5976774595838208</v>
      </c>
      <c r="M24" s="27"/>
      <c r="N24" s="28"/>
    </row>
    <row r="25" spans="2:14" ht="15" customHeight="1" x14ac:dyDescent="0.25">
      <c r="B25" s="20"/>
      <c r="C25" s="5" t="s">
        <v>40</v>
      </c>
      <c r="D25" s="6"/>
      <c r="E25" s="11">
        <v>2.7989999999999998E-3</v>
      </c>
      <c r="F25" s="1"/>
      <c r="G25" s="1"/>
      <c r="H25" s="1"/>
      <c r="I25" s="1"/>
      <c r="J25" s="1"/>
      <c r="K25" s="1"/>
      <c r="L25" s="1"/>
      <c r="M25" s="1"/>
      <c r="N25" s="18"/>
    </row>
    <row r="26" spans="2:14" ht="15.75" customHeight="1" x14ac:dyDescent="0.25">
      <c r="B26" s="20"/>
      <c r="C26" s="7" t="s">
        <v>41</v>
      </c>
      <c r="D26" s="8"/>
      <c r="E26" s="12">
        <v>2.7989999999999998E-3</v>
      </c>
      <c r="F26" s="1"/>
      <c r="G26" s="105" t="s">
        <v>9</v>
      </c>
      <c r="H26" s="110"/>
      <c r="I26" s="110"/>
      <c r="J26" s="110"/>
      <c r="K26" s="110"/>
      <c r="L26" s="110"/>
      <c r="M26" s="110"/>
      <c r="N26" s="111"/>
    </row>
    <row r="27" spans="2:14" ht="15" customHeight="1" x14ac:dyDescent="0.25">
      <c r="B27" s="20"/>
      <c r="C27" s="5" t="s">
        <v>42</v>
      </c>
      <c r="D27" s="6" t="s">
        <v>182</v>
      </c>
      <c r="E27" s="11">
        <v>0.16156999999999999</v>
      </c>
      <c r="F27" s="1"/>
      <c r="G27" s="1"/>
      <c r="H27" s="1"/>
      <c r="I27" s="1"/>
      <c r="J27" s="1"/>
      <c r="K27" s="1"/>
      <c r="L27" s="1"/>
      <c r="M27" s="1"/>
      <c r="N27" s="18"/>
    </row>
    <row r="28" spans="2:14" ht="15" customHeight="1" x14ac:dyDescent="0.25">
      <c r="B28" s="20"/>
      <c r="C28" s="5" t="s">
        <v>47</v>
      </c>
      <c r="D28" s="6" t="s">
        <v>182</v>
      </c>
      <c r="E28" s="11">
        <v>0.13422899999999999</v>
      </c>
      <c r="F28" s="1"/>
      <c r="G28" s="1"/>
      <c r="H28" s="1"/>
      <c r="I28" s="1"/>
      <c r="J28" s="1"/>
      <c r="K28" s="1"/>
      <c r="L28" s="1"/>
      <c r="M28" s="1"/>
      <c r="N28" s="18"/>
    </row>
    <row r="29" spans="2:14" ht="15" customHeight="1" x14ac:dyDescent="0.25">
      <c r="B29" s="20"/>
      <c r="C29" s="5" t="s">
        <v>43</v>
      </c>
      <c r="D29" s="6" t="s">
        <v>182</v>
      </c>
      <c r="E29" s="11">
        <v>3.1507E-2</v>
      </c>
      <c r="F29" s="1"/>
      <c r="G29" s="1"/>
      <c r="H29" s="1"/>
      <c r="I29" s="1"/>
      <c r="J29" s="1"/>
      <c r="K29" s="1"/>
      <c r="L29" s="1"/>
      <c r="M29" s="1"/>
      <c r="N29" s="18"/>
    </row>
    <row r="30" spans="2:14" ht="15.75" customHeight="1" x14ac:dyDescent="0.25">
      <c r="B30" s="20"/>
      <c r="C30" s="7" t="s">
        <v>48</v>
      </c>
      <c r="D30" s="8"/>
      <c r="E30" s="12">
        <v>0.32730599999999999</v>
      </c>
      <c r="F30" s="1"/>
      <c r="G30" s="1"/>
      <c r="H30" s="1"/>
      <c r="I30" s="1"/>
      <c r="J30" s="1"/>
      <c r="K30" s="1"/>
      <c r="L30" s="1"/>
      <c r="M30" s="1"/>
      <c r="N30" s="18"/>
    </row>
    <row r="31" spans="2:14" ht="15" customHeight="1" x14ac:dyDescent="0.25">
      <c r="B31" s="20"/>
      <c r="C31" s="5" t="s">
        <v>50</v>
      </c>
      <c r="D31" s="6"/>
      <c r="E31" s="11">
        <v>3.0460000000000001E-2</v>
      </c>
      <c r="F31" s="1"/>
      <c r="G31" s="1"/>
      <c r="H31" s="1"/>
      <c r="I31" s="1"/>
      <c r="J31" s="1"/>
      <c r="K31" s="1"/>
      <c r="L31" s="1"/>
      <c r="M31" s="1"/>
      <c r="N31" s="18"/>
    </row>
    <row r="32" spans="2:14" ht="15.75" customHeight="1" x14ac:dyDescent="0.25">
      <c r="B32" s="20"/>
      <c r="C32" s="7" t="s">
        <v>51</v>
      </c>
      <c r="D32" s="8"/>
      <c r="E32" s="12">
        <v>3.0460000000000001E-2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52</v>
      </c>
      <c r="D34" s="8"/>
      <c r="E34" s="12">
        <v>2.3727000000000002E-2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75" customHeight="1" x14ac:dyDescent="0.25">
      <c r="B36" s="20"/>
      <c r="C36" s="9" t="s">
        <v>53</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52" t="s">
        <v>134</v>
      </c>
      <c r="D38" s="52"/>
      <c r="E38" s="53">
        <v>0.60125600000000001</v>
      </c>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8" t="s">
        <v>213</v>
      </c>
      <c r="C45" s="89"/>
      <c r="D45" s="89"/>
      <c r="E45" s="89"/>
      <c r="F45" s="89"/>
      <c r="G45" s="89"/>
      <c r="H45" s="89"/>
      <c r="I45" s="89"/>
      <c r="J45" s="89"/>
      <c r="K45" s="89"/>
      <c r="L45" s="89"/>
      <c r="M45" s="89"/>
      <c r="N45" s="90"/>
    </row>
    <row r="46" spans="2:14" ht="15" customHeight="1" x14ac:dyDescent="0.25">
      <c r="B46" s="91"/>
      <c r="C46" s="92"/>
      <c r="D46" s="92"/>
      <c r="E46" s="92"/>
      <c r="F46" s="92"/>
      <c r="G46" s="92"/>
      <c r="H46" s="92"/>
      <c r="I46" s="92"/>
      <c r="J46" s="92"/>
      <c r="K46" s="92"/>
      <c r="L46" s="92"/>
      <c r="M46" s="92"/>
      <c r="N46" s="93"/>
    </row>
    <row r="47" spans="2:14" ht="15" customHeight="1" x14ac:dyDescent="0.25">
      <c r="B47" s="91"/>
      <c r="C47" s="92"/>
      <c r="D47" s="92"/>
      <c r="E47" s="92"/>
      <c r="F47" s="92"/>
      <c r="G47" s="92"/>
      <c r="H47" s="92"/>
      <c r="I47" s="92"/>
      <c r="J47" s="92"/>
      <c r="K47" s="92"/>
      <c r="L47" s="92"/>
      <c r="M47" s="92"/>
      <c r="N47" s="93"/>
    </row>
    <row r="48" spans="2:14" ht="15" customHeight="1" thickBot="1" x14ac:dyDescent="0.3">
      <c r="B48" s="94"/>
      <c r="C48" s="95"/>
      <c r="D48" s="95"/>
      <c r="E48" s="95"/>
      <c r="F48" s="95"/>
      <c r="G48" s="95"/>
      <c r="H48" s="95"/>
      <c r="I48" s="95"/>
      <c r="J48" s="95"/>
      <c r="K48" s="95"/>
      <c r="L48" s="95"/>
      <c r="M48" s="95"/>
      <c r="N48" s="96"/>
    </row>
    <row r="49" spans="2:14" ht="15" customHeight="1" thickBot="1" x14ac:dyDescent="0.3"/>
    <row r="50" spans="2:14" ht="77.25" customHeight="1" thickBot="1" x14ac:dyDescent="0.3">
      <c r="B50" s="97" t="s">
        <v>320</v>
      </c>
      <c r="C50" s="98"/>
      <c r="D50" s="98"/>
      <c r="E50" s="98"/>
      <c r="F50" s="98"/>
      <c r="G50" s="98"/>
      <c r="H50" s="98"/>
      <c r="I50" s="98"/>
      <c r="J50" s="98"/>
      <c r="K50" s="98"/>
      <c r="L50" s="98"/>
      <c r="M50" s="98"/>
      <c r="N50" s="99"/>
    </row>
    <row r="51" spans="2:14" ht="15" customHeight="1" thickBot="1" x14ac:dyDescent="0.3"/>
    <row r="52" spans="2:14" ht="126" customHeight="1" thickBot="1" x14ac:dyDescent="0.3">
      <c r="B52" s="97" t="s">
        <v>214</v>
      </c>
      <c r="C52" s="98"/>
      <c r="D52" s="98"/>
      <c r="E52" s="98"/>
      <c r="F52" s="98"/>
      <c r="G52" s="98"/>
      <c r="H52" s="98"/>
      <c r="I52" s="98"/>
      <c r="J52" s="98"/>
      <c r="K52" s="98"/>
      <c r="L52" s="98"/>
      <c r="M52" s="98"/>
      <c r="N52" s="99"/>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57A6-EDF2-4BA9-B96F-1E3B4D20770E}">
  <dimension ref="B1:N50"/>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85</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86</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87</v>
      </c>
      <c r="D8" s="6" t="s">
        <v>88</v>
      </c>
      <c r="E8" s="11">
        <v>0.123421</v>
      </c>
      <c r="F8" s="1"/>
      <c r="G8" s="24" t="s">
        <v>101</v>
      </c>
      <c r="H8" s="29">
        <v>0.63550700000000004</v>
      </c>
      <c r="I8" s="1"/>
      <c r="J8" s="24" t="s">
        <v>54</v>
      </c>
      <c r="K8" s="24" t="s">
        <v>5</v>
      </c>
      <c r="L8" s="1"/>
      <c r="M8" s="1"/>
      <c r="N8" s="18"/>
    </row>
    <row r="9" spans="2:14" ht="15" customHeight="1" x14ac:dyDescent="0.25">
      <c r="B9" s="20"/>
      <c r="C9" s="5" t="s">
        <v>89</v>
      </c>
      <c r="D9" s="6" t="s">
        <v>88</v>
      </c>
      <c r="E9" s="11">
        <v>9.3377000000000002E-2</v>
      </c>
      <c r="F9" s="1"/>
      <c r="G9" s="24" t="s">
        <v>6</v>
      </c>
      <c r="H9" s="29">
        <v>0.27137899999999998</v>
      </c>
      <c r="I9" s="1"/>
      <c r="J9" s="24" t="s">
        <v>52</v>
      </c>
      <c r="K9" s="29">
        <v>2.0143000000000001E-2</v>
      </c>
      <c r="L9" s="1"/>
      <c r="M9" s="1"/>
      <c r="N9" s="18"/>
    </row>
    <row r="10" spans="2:14" ht="15" customHeight="1" x14ac:dyDescent="0.25">
      <c r="B10" s="20"/>
      <c r="C10" s="5" t="s">
        <v>90</v>
      </c>
      <c r="D10" s="6" t="s">
        <v>88</v>
      </c>
      <c r="E10" s="11">
        <v>9.3007999999999993E-2</v>
      </c>
      <c r="F10" s="1"/>
      <c r="G10" s="24" t="s">
        <v>102</v>
      </c>
      <c r="H10" s="29">
        <v>9.3114000000000002E-2</v>
      </c>
      <c r="I10" s="1"/>
      <c r="J10" s="24" t="s">
        <v>55</v>
      </c>
      <c r="K10" s="29">
        <v>7.234E-3</v>
      </c>
      <c r="L10" s="1"/>
      <c r="M10" s="1"/>
      <c r="N10" s="18"/>
    </row>
    <row r="11" spans="2:14" ht="15" customHeight="1" x14ac:dyDescent="0.25">
      <c r="B11" s="20"/>
      <c r="C11" s="5" t="s">
        <v>91</v>
      </c>
      <c r="D11" s="6" t="s">
        <v>88</v>
      </c>
      <c r="E11" s="11">
        <v>7.7336000000000002E-2</v>
      </c>
      <c r="F11" s="1"/>
      <c r="G11" s="1"/>
      <c r="H11" s="1"/>
      <c r="I11" s="1"/>
      <c r="J11" s="24" t="s">
        <v>57</v>
      </c>
      <c r="K11" s="29">
        <v>0.72862099999999996</v>
      </c>
      <c r="L11" s="1"/>
      <c r="M11" s="1"/>
      <c r="N11" s="18"/>
    </row>
    <row r="12" spans="2:14" ht="15" customHeight="1" x14ac:dyDescent="0.25">
      <c r="B12" s="20"/>
      <c r="C12" s="5" t="s">
        <v>92</v>
      </c>
      <c r="D12" s="6" t="s">
        <v>88</v>
      </c>
      <c r="E12" s="11">
        <v>6.268E-2</v>
      </c>
      <c r="F12" s="1"/>
      <c r="G12" s="1"/>
      <c r="H12" s="1"/>
      <c r="I12" s="1"/>
      <c r="J12" s="24" t="s">
        <v>40</v>
      </c>
      <c r="K12" s="29">
        <v>4.5490000000000001E-3</v>
      </c>
      <c r="L12" s="1"/>
      <c r="M12" s="1"/>
      <c r="N12" s="18"/>
    </row>
    <row r="13" spans="2:14" ht="15" customHeight="1" x14ac:dyDescent="0.25">
      <c r="B13" s="20"/>
      <c r="C13" s="5" t="s">
        <v>93</v>
      </c>
      <c r="D13" s="6" t="s">
        <v>88</v>
      </c>
      <c r="E13" s="11">
        <v>6.1984999999999998E-2</v>
      </c>
      <c r="F13" s="1"/>
      <c r="G13" s="1"/>
      <c r="H13" s="1"/>
      <c r="I13" s="1"/>
      <c r="J13" s="24" t="s">
        <v>58</v>
      </c>
      <c r="K13" s="29">
        <v>0.239453</v>
      </c>
      <c r="L13" s="1"/>
      <c r="M13" s="1"/>
      <c r="N13" s="18"/>
    </row>
    <row r="14" spans="2:14" ht="15" customHeight="1" x14ac:dyDescent="0.25">
      <c r="B14" s="20"/>
      <c r="C14" s="5" t="s">
        <v>94</v>
      </c>
      <c r="D14" s="6" t="s">
        <v>88</v>
      </c>
      <c r="E14" s="11">
        <v>6.1886999999999998E-2</v>
      </c>
      <c r="F14" s="1"/>
      <c r="G14" s="1"/>
      <c r="H14" s="1"/>
      <c r="I14" s="1"/>
      <c r="J14" s="1"/>
      <c r="K14" s="1"/>
      <c r="L14" s="1"/>
      <c r="M14" s="1"/>
      <c r="N14" s="18"/>
    </row>
    <row r="15" spans="2:14" ht="15" customHeight="1" x14ac:dyDescent="0.25">
      <c r="B15" s="20"/>
      <c r="C15" s="5" t="s">
        <v>95</v>
      </c>
      <c r="D15" s="6" t="s">
        <v>96</v>
      </c>
      <c r="E15" s="11">
        <v>4.6670000000000003E-2</v>
      </c>
      <c r="F15" s="1"/>
      <c r="G15" s="1"/>
      <c r="H15" s="1"/>
      <c r="I15" s="1"/>
      <c r="J15" s="1"/>
      <c r="K15" s="1"/>
      <c r="L15" s="1"/>
      <c r="M15" s="1"/>
      <c r="N15" s="18"/>
    </row>
    <row r="16" spans="2:14" ht="15" customHeight="1" x14ac:dyDescent="0.25">
      <c r="B16" s="20"/>
      <c r="C16" s="5" t="s">
        <v>97</v>
      </c>
      <c r="D16" s="6" t="s">
        <v>96</v>
      </c>
      <c r="E16" s="11">
        <v>4.6443999999999999E-2</v>
      </c>
      <c r="F16" s="1"/>
      <c r="G16" s="1"/>
      <c r="H16" s="1"/>
      <c r="I16" s="1"/>
      <c r="J16" s="1"/>
      <c r="K16" s="1"/>
      <c r="L16" s="1"/>
      <c r="M16" s="1"/>
      <c r="N16" s="18"/>
    </row>
    <row r="17" spans="2:14" ht="15" customHeight="1" x14ac:dyDescent="0.25">
      <c r="B17" s="20"/>
      <c r="C17" s="5" t="s">
        <v>98</v>
      </c>
      <c r="D17" s="6" t="s">
        <v>88</v>
      </c>
      <c r="E17" s="11">
        <v>3.0998000000000001E-2</v>
      </c>
      <c r="F17" s="1"/>
      <c r="G17" s="1"/>
      <c r="H17" s="1"/>
      <c r="I17" s="1"/>
      <c r="J17" s="1"/>
      <c r="K17" s="1"/>
      <c r="L17" s="1"/>
      <c r="M17" s="1"/>
      <c r="N17" s="18"/>
    </row>
    <row r="18" spans="2:14" ht="15" customHeight="1" x14ac:dyDescent="0.25">
      <c r="B18" s="20"/>
      <c r="C18" s="5" t="s">
        <v>99</v>
      </c>
      <c r="D18" s="6" t="s">
        <v>88</v>
      </c>
      <c r="E18" s="11">
        <v>3.0814999999999999E-2</v>
      </c>
      <c r="F18" s="1"/>
      <c r="G18" s="1"/>
      <c r="H18" s="1"/>
      <c r="I18" s="1"/>
      <c r="J18" s="1"/>
      <c r="K18" s="1"/>
      <c r="L18" s="1"/>
      <c r="M18" s="1"/>
      <c r="N18" s="18"/>
    </row>
    <row r="19" spans="2:14" ht="15.75" customHeight="1" x14ac:dyDescent="0.25">
      <c r="B19" s="20"/>
      <c r="C19" s="7" t="s">
        <v>39</v>
      </c>
      <c r="D19" s="8"/>
      <c r="E19" s="12">
        <v>0.72862099999999996</v>
      </c>
      <c r="F19" s="1"/>
      <c r="G19" s="1"/>
      <c r="H19" s="1"/>
      <c r="I19" s="1"/>
      <c r="J19" s="1"/>
      <c r="K19" s="1"/>
      <c r="L19" s="1"/>
      <c r="M19" s="1"/>
      <c r="N19" s="18"/>
    </row>
    <row r="20" spans="2:14" ht="15" customHeight="1" x14ac:dyDescent="0.25">
      <c r="B20" s="20"/>
      <c r="C20" s="5" t="s">
        <v>40</v>
      </c>
      <c r="D20" s="6"/>
      <c r="E20" s="11">
        <v>4.5490000000000001E-3</v>
      </c>
      <c r="F20" s="1"/>
      <c r="G20" s="1"/>
      <c r="H20" s="1"/>
      <c r="I20" s="1"/>
      <c r="J20" s="1"/>
      <c r="K20" s="1"/>
      <c r="L20" s="1"/>
      <c r="M20" s="1"/>
      <c r="N20" s="18"/>
    </row>
    <row r="21" spans="2:14" ht="15.75" customHeight="1" x14ac:dyDescent="0.25">
      <c r="B21" s="20"/>
      <c r="C21" s="7" t="s">
        <v>41</v>
      </c>
      <c r="D21" s="8"/>
      <c r="E21" s="12">
        <v>4.5490000000000001E-3</v>
      </c>
      <c r="F21" s="1"/>
      <c r="G21" s="1"/>
      <c r="H21" s="1"/>
      <c r="I21" s="1"/>
      <c r="J21" s="1"/>
      <c r="K21" s="1"/>
      <c r="L21" s="1"/>
      <c r="M21" s="1"/>
      <c r="N21" s="18"/>
    </row>
    <row r="22" spans="2:14" ht="15" customHeight="1" x14ac:dyDescent="0.25">
      <c r="B22" s="20"/>
      <c r="C22" s="5" t="s">
        <v>100</v>
      </c>
      <c r="D22" s="6" t="s">
        <v>182</v>
      </c>
      <c r="E22" s="11">
        <v>0.20765500000000001</v>
      </c>
      <c r="F22" s="1"/>
      <c r="G22" s="1"/>
      <c r="H22" s="1"/>
      <c r="I22" s="1"/>
      <c r="J22" s="1"/>
      <c r="K22" s="1"/>
      <c r="L22" s="1"/>
      <c r="M22" s="1"/>
      <c r="N22" s="18"/>
    </row>
    <row r="23" spans="2:14" ht="15" customHeight="1" x14ac:dyDescent="0.25">
      <c r="B23" s="20"/>
      <c r="C23" s="5" t="s">
        <v>42</v>
      </c>
      <c r="D23" s="6" t="s">
        <v>182</v>
      </c>
      <c r="E23" s="11">
        <v>3.1798E-2</v>
      </c>
      <c r="F23" s="1"/>
      <c r="G23" s="1"/>
      <c r="H23" s="1"/>
      <c r="I23" s="1"/>
      <c r="J23" s="1"/>
      <c r="K23" s="1"/>
      <c r="L23" s="1"/>
      <c r="M23" s="1"/>
      <c r="N23" s="18"/>
    </row>
    <row r="24" spans="2:14" ht="15.75" customHeight="1" x14ac:dyDescent="0.25">
      <c r="B24" s="20"/>
      <c r="C24" s="7" t="s">
        <v>48</v>
      </c>
      <c r="D24" s="8"/>
      <c r="E24" s="12">
        <v>0.239453</v>
      </c>
      <c r="F24" s="1"/>
      <c r="G24" s="105" t="s">
        <v>8</v>
      </c>
      <c r="H24" s="110"/>
      <c r="I24" s="110"/>
      <c r="J24" s="110"/>
      <c r="K24" s="110"/>
      <c r="L24" s="26">
        <v>4.2676331634956854</v>
      </c>
      <c r="M24" s="27"/>
      <c r="N24" s="28"/>
    </row>
    <row r="25" spans="2:14" ht="15" customHeight="1" x14ac:dyDescent="0.25">
      <c r="B25" s="20"/>
      <c r="C25" s="5" t="s">
        <v>50</v>
      </c>
      <c r="D25" s="6"/>
      <c r="E25" s="11">
        <v>7.234E-3</v>
      </c>
      <c r="F25" s="1"/>
      <c r="G25" s="1"/>
      <c r="H25" s="1"/>
      <c r="I25" s="1"/>
      <c r="J25" s="1"/>
      <c r="K25" s="1"/>
      <c r="L25" s="1"/>
      <c r="M25" s="1"/>
      <c r="N25" s="18"/>
    </row>
    <row r="26" spans="2:14" ht="15.75" customHeight="1" x14ac:dyDescent="0.25">
      <c r="B26" s="20"/>
      <c r="C26" s="7" t="s">
        <v>51</v>
      </c>
      <c r="D26" s="8"/>
      <c r="E26" s="12">
        <v>7.234E-3</v>
      </c>
      <c r="F26" s="1"/>
      <c r="G26" s="105" t="s">
        <v>9</v>
      </c>
      <c r="H26" s="110"/>
      <c r="I26" s="110"/>
      <c r="J26" s="110"/>
      <c r="K26" s="110"/>
      <c r="L26" s="110"/>
      <c r="M26" s="110"/>
      <c r="N26" s="111"/>
    </row>
    <row r="27" spans="2:14" ht="15" customHeight="1" x14ac:dyDescent="0.25">
      <c r="B27" s="20"/>
      <c r="C27" s="5"/>
      <c r="D27" s="6"/>
      <c r="E27" s="11"/>
      <c r="F27" s="1"/>
      <c r="G27" s="1"/>
      <c r="H27" s="1"/>
      <c r="I27" s="1"/>
      <c r="J27" s="1"/>
      <c r="K27" s="1"/>
      <c r="L27" s="1"/>
      <c r="M27" s="1"/>
      <c r="N27" s="18"/>
    </row>
    <row r="28" spans="2:14" ht="15.75" customHeight="1" x14ac:dyDescent="0.25">
      <c r="B28" s="20"/>
      <c r="C28" s="7" t="s">
        <v>52</v>
      </c>
      <c r="D28" s="8"/>
      <c r="E28" s="12">
        <v>2.0143000000000001E-2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53</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8" t="s">
        <v>213</v>
      </c>
      <c r="C45" s="89"/>
      <c r="D45" s="89"/>
      <c r="E45" s="89"/>
      <c r="F45" s="89"/>
      <c r="G45" s="89"/>
      <c r="H45" s="89"/>
      <c r="I45" s="89"/>
      <c r="J45" s="89"/>
      <c r="K45" s="89"/>
      <c r="L45" s="89"/>
      <c r="M45" s="89"/>
      <c r="N45" s="90"/>
    </row>
    <row r="46" spans="2:14" ht="15" customHeight="1" x14ac:dyDescent="0.25">
      <c r="B46" s="91"/>
      <c r="C46" s="92"/>
      <c r="D46" s="92"/>
      <c r="E46" s="92"/>
      <c r="F46" s="92"/>
      <c r="G46" s="92"/>
      <c r="H46" s="92"/>
      <c r="I46" s="92"/>
      <c r="J46" s="92"/>
      <c r="K46" s="92"/>
      <c r="L46" s="92"/>
      <c r="M46" s="92"/>
      <c r="N46" s="93"/>
    </row>
    <row r="47" spans="2:14" ht="15" customHeight="1" x14ac:dyDescent="0.25">
      <c r="B47" s="91"/>
      <c r="C47" s="92"/>
      <c r="D47" s="92"/>
      <c r="E47" s="92"/>
      <c r="F47" s="92"/>
      <c r="G47" s="92"/>
      <c r="H47" s="92"/>
      <c r="I47" s="92"/>
      <c r="J47" s="92"/>
      <c r="K47" s="92"/>
      <c r="L47" s="92"/>
      <c r="M47" s="92"/>
      <c r="N47" s="93"/>
    </row>
    <row r="48" spans="2:14" ht="15" customHeight="1" thickBot="1" x14ac:dyDescent="0.3">
      <c r="B48" s="94"/>
      <c r="C48" s="95"/>
      <c r="D48" s="95"/>
      <c r="E48" s="95"/>
      <c r="F48" s="95"/>
      <c r="G48" s="95"/>
      <c r="H48" s="95"/>
      <c r="I48" s="95"/>
      <c r="J48" s="95"/>
      <c r="K48" s="95"/>
      <c r="L48" s="95"/>
      <c r="M48" s="95"/>
      <c r="N48" s="96"/>
    </row>
    <row r="49" spans="2:14" ht="15" customHeight="1" thickBot="1" x14ac:dyDescent="0.3"/>
    <row r="50" spans="2:14" ht="137.25" customHeight="1" thickBot="1" x14ac:dyDescent="0.3">
      <c r="B50" s="97" t="s">
        <v>214</v>
      </c>
      <c r="C50" s="98"/>
      <c r="D50" s="98"/>
      <c r="E50" s="98"/>
      <c r="F50" s="98"/>
      <c r="G50" s="98"/>
      <c r="H50" s="98"/>
      <c r="I50" s="98"/>
      <c r="J50" s="98"/>
      <c r="K50" s="98"/>
      <c r="L50" s="98"/>
      <c r="M50" s="98"/>
      <c r="N50" s="9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D62F2-54EC-4821-92F7-7701188DAB97}">
  <dimension ref="B1:N50"/>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168</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169</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40</v>
      </c>
      <c r="D8" s="6"/>
      <c r="E8" s="11">
        <v>1.214E-3</v>
      </c>
      <c r="F8" s="1"/>
      <c r="G8" s="24" t="s">
        <v>6</v>
      </c>
      <c r="H8" s="25">
        <v>1</v>
      </c>
      <c r="I8" s="1"/>
      <c r="J8" s="24" t="s">
        <v>54</v>
      </c>
      <c r="K8" s="24" t="s">
        <v>5</v>
      </c>
      <c r="L8" s="1"/>
      <c r="M8" s="1"/>
      <c r="N8" s="18"/>
    </row>
    <row r="9" spans="2:14" ht="15.75" customHeight="1" x14ac:dyDescent="0.25">
      <c r="B9" s="20"/>
      <c r="C9" s="7" t="s">
        <v>41</v>
      </c>
      <c r="D9" s="8"/>
      <c r="E9" s="12">
        <v>1.214E-3</v>
      </c>
      <c r="F9" s="1"/>
      <c r="G9" s="1"/>
      <c r="H9" s="1"/>
      <c r="I9" s="1"/>
      <c r="J9" s="24" t="s">
        <v>52</v>
      </c>
      <c r="K9" s="29">
        <v>1.0070000000000001E-2</v>
      </c>
      <c r="L9" s="1"/>
      <c r="M9" s="1"/>
      <c r="N9" s="18"/>
    </row>
    <row r="10" spans="2:14" ht="15" customHeight="1" x14ac:dyDescent="0.25">
      <c r="B10" s="20"/>
      <c r="C10" s="5" t="s">
        <v>63</v>
      </c>
      <c r="D10" s="6" t="s">
        <v>182</v>
      </c>
      <c r="E10" s="11">
        <v>0.94756600000000002</v>
      </c>
      <c r="F10" s="1"/>
      <c r="G10" s="1"/>
      <c r="H10" s="1"/>
      <c r="I10" s="1"/>
      <c r="J10" s="24" t="s">
        <v>55</v>
      </c>
      <c r="K10" s="29">
        <v>1.1391E-2</v>
      </c>
      <c r="L10" s="1"/>
      <c r="M10" s="1"/>
      <c r="N10" s="18"/>
    </row>
    <row r="11" spans="2:14" ht="15" customHeight="1" x14ac:dyDescent="0.25">
      <c r="B11" s="20"/>
      <c r="C11" s="5" t="s">
        <v>170</v>
      </c>
      <c r="D11" s="6" t="s">
        <v>182</v>
      </c>
      <c r="E11" s="11">
        <v>2.9759000000000001E-2</v>
      </c>
      <c r="F11" s="1"/>
      <c r="G11" s="1"/>
      <c r="H11" s="1"/>
      <c r="I11" s="1"/>
      <c r="J11" s="24" t="s">
        <v>40</v>
      </c>
      <c r="K11" s="29">
        <v>1.214E-3</v>
      </c>
      <c r="L11" s="1"/>
      <c r="M11" s="1"/>
      <c r="N11" s="18"/>
    </row>
    <row r="12" spans="2:14" ht="15.75" customHeight="1" x14ac:dyDescent="0.25">
      <c r="B12" s="20"/>
      <c r="C12" s="7" t="s">
        <v>48</v>
      </c>
      <c r="D12" s="8"/>
      <c r="E12" s="12">
        <v>0.977325</v>
      </c>
      <c r="F12" s="1"/>
      <c r="G12" s="1"/>
      <c r="H12" s="1"/>
      <c r="I12" s="1"/>
      <c r="J12" s="24" t="s">
        <v>58</v>
      </c>
      <c r="K12" s="29">
        <v>0.977325</v>
      </c>
      <c r="L12" s="1"/>
      <c r="M12" s="1"/>
      <c r="N12" s="18"/>
    </row>
    <row r="13" spans="2:14" ht="15" customHeight="1" x14ac:dyDescent="0.25">
      <c r="B13" s="20"/>
      <c r="C13" s="5" t="s">
        <v>50</v>
      </c>
      <c r="D13" s="6"/>
      <c r="E13" s="11">
        <v>1.1391E-2</v>
      </c>
      <c r="F13" s="1"/>
      <c r="G13" s="1"/>
      <c r="H13" s="1"/>
      <c r="I13" s="1"/>
      <c r="J13" s="1"/>
      <c r="K13" s="1"/>
      <c r="L13" s="1"/>
      <c r="M13" s="1"/>
      <c r="N13" s="18"/>
    </row>
    <row r="14" spans="2:14" ht="15.75" customHeight="1" x14ac:dyDescent="0.25">
      <c r="B14" s="20"/>
      <c r="C14" s="7" t="s">
        <v>51</v>
      </c>
      <c r="D14" s="8"/>
      <c r="E14" s="12">
        <v>1.1391E-2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52</v>
      </c>
      <c r="D16" s="8"/>
      <c r="E16" s="12">
        <v>1.0070000000000001E-2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53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29.30486314701843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88" t="s">
        <v>213</v>
      </c>
      <c r="C45" s="89"/>
      <c r="D45" s="89"/>
      <c r="E45" s="89"/>
      <c r="F45" s="89"/>
      <c r="G45" s="89"/>
      <c r="H45" s="89"/>
      <c r="I45" s="89"/>
      <c r="J45" s="89"/>
      <c r="K45" s="89"/>
      <c r="L45" s="89"/>
      <c r="M45" s="89"/>
      <c r="N45" s="90"/>
    </row>
    <row r="46" spans="2:14" x14ac:dyDescent="0.25">
      <c r="B46" s="91"/>
      <c r="C46" s="92"/>
      <c r="D46" s="92"/>
      <c r="E46" s="92"/>
      <c r="F46" s="92"/>
      <c r="G46" s="92"/>
      <c r="H46" s="92"/>
      <c r="I46" s="92"/>
      <c r="J46" s="92"/>
      <c r="K46" s="92"/>
      <c r="L46" s="92"/>
      <c r="M46" s="92"/>
      <c r="N46" s="93"/>
    </row>
    <row r="47" spans="2:14" x14ac:dyDescent="0.25">
      <c r="B47" s="91"/>
      <c r="C47" s="92"/>
      <c r="D47" s="92"/>
      <c r="E47" s="92"/>
      <c r="F47" s="92"/>
      <c r="G47" s="92"/>
      <c r="H47" s="92"/>
      <c r="I47" s="92"/>
      <c r="J47" s="92"/>
      <c r="K47" s="92"/>
      <c r="L47" s="92"/>
      <c r="M47" s="92"/>
      <c r="N47" s="93"/>
    </row>
    <row r="48" spans="2:14" ht="15.75" thickBot="1" x14ac:dyDescent="0.3">
      <c r="B48" s="94"/>
      <c r="C48" s="95"/>
      <c r="D48" s="95"/>
      <c r="E48" s="95"/>
      <c r="F48" s="95"/>
      <c r="G48" s="95"/>
      <c r="H48" s="95"/>
      <c r="I48" s="95"/>
      <c r="J48" s="95"/>
      <c r="K48" s="95"/>
      <c r="L48" s="95"/>
      <c r="M48" s="95"/>
      <c r="N48" s="96"/>
    </row>
    <row r="49" spans="2:14" ht="15.75" thickBot="1" x14ac:dyDescent="0.3"/>
    <row r="50" spans="2:14" ht="137.25" customHeight="1" thickBot="1" x14ac:dyDescent="0.3">
      <c r="B50" s="97" t="s">
        <v>214</v>
      </c>
      <c r="C50" s="98"/>
      <c r="D50" s="98"/>
      <c r="E50" s="98"/>
      <c r="F50" s="98"/>
      <c r="G50" s="98"/>
      <c r="H50" s="98"/>
      <c r="I50" s="98"/>
      <c r="J50" s="98"/>
      <c r="K50" s="98"/>
      <c r="L50" s="98"/>
      <c r="M50" s="98"/>
      <c r="N50" s="9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988F-0F13-46A9-960B-7A4D3B3E1798}">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137</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138</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63</v>
      </c>
      <c r="D8" s="6" t="s">
        <v>182</v>
      </c>
      <c r="E8" s="11">
        <v>0.98101000000000005</v>
      </c>
      <c r="F8" s="1"/>
      <c r="G8" s="24" t="s">
        <v>6</v>
      </c>
      <c r="H8" s="25">
        <v>1</v>
      </c>
      <c r="I8" s="1"/>
      <c r="J8" s="24" t="s">
        <v>54</v>
      </c>
      <c r="K8" s="24" t="s">
        <v>5</v>
      </c>
      <c r="L8" s="1"/>
      <c r="M8" s="1"/>
      <c r="N8" s="18"/>
    </row>
    <row r="9" spans="2:14" ht="15" customHeight="1" x14ac:dyDescent="0.25">
      <c r="B9" s="20"/>
      <c r="C9" s="5" t="s">
        <v>120</v>
      </c>
      <c r="D9" s="6" t="s">
        <v>182</v>
      </c>
      <c r="E9" s="50">
        <v>2.0999999999999999E-5</v>
      </c>
      <c r="F9" s="1"/>
      <c r="G9" s="1"/>
      <c r="H9" s="1"/>
      <c r="I9" s="1"/>
      <c r="J9" s="24" t="s">
        <v>52</v>
      </c>
      <c r="K9" s="29">
        <v>1.8304999999999998E-2</v>
      </c>
      <c r="L9" s="1"/>
      <c r="M9" s="1"/>
      <c r="N9" s="18"/>
    </row>
    <row r="10" spans="2:14" ht="15.75" customHeight="1" x14ac:dyDescent="0.25">
      <c r="B10" s="20"/>
      <c r="C10" s="7" t="s">
        <v>48</v>
      </c>
      <c r="D10" s="8"/>
      <c r="E10" s="12">
        <v>0.98103099999999999</v>
      </c>
      <c r="F10" s="1"/>
      <c r="G10" s="1"/>
      <c r="H10" s="1"/>
      <c r="I10" s="1"/>
      <c r="J10" s="24" t="s">
        <v>55</v>
      </c>
      <c r="K10" s="29">
        <v>6.6399999999999999E-4</v>
      </c>
      <c r="L10" s="1"/>
      <c r="M10" s="1"/>
      <c r="N10" s="18"/>
    </row>
    <row r="11" spans="2:14" ht="15" customHeight="1" x14ac:dyDescent="0.25">
      <c r="B11" s="20"/>
      <c r="C11" s="5" t="s">
        <v>50</v>
      </c>
      <c r="D11" s="6"/>
      <c r="E11" s="11">
        <v>6.6399999999999999E-4</v>
      </c>
      <c r="F11" s="1"/>
      <c r="G11" s="1"/>
      <c r="H11" s="1"/>
      <c r="I11" s="1"/>
      <c r="J11" s="24" t="s">
        <v>58</v>
      </c>
      <c r="K11" s="29">
        <v>0.98103099999999999</v>
      </c>
      <c r="L11" s="1"/>
      <c r="M11" s="1"/>
      <c r="N11" s="18"/>
    </row>
    <row r="12" spans="2:14" ht="15.75" customHeight="1" x14ac:dyDescent="0.25">
      <c r="B12" s="20"/>
      <c r="C12" s="7" t="s">
        <v>51</v>
      </c>
      <c r="D12" s="8"/>
      <c r="E12" s="12">
        <v>6.6399999999999999E-4</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52</v>
      </c>
      <c r="D14" s="8"/>
      <c r="E14" s="12">
        <v>1.8304999999999998E-2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53</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28.74631907621804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97" t="s">
        <v>214</v>
      </c>
      <c r="C45" s="98"/>
      <c r="D45" s="98"/>
      <c r="E45" s="98"/>
      <c r="F45" s="98"/>
      <c r="G45" s="98"/>
      <c r="H45" s="98"/>
      <c r="I45" s="98"/>
      <c r="J45" s="98"/>
      <c r="K45" s="98"/>
      <c r="L45" s="98"/>
      <c r="M45" s="98"/>
      <c r="N45" s="99"/>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C9DC-B4C1-494E-8B50-966B250A7EFD}">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135</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136</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42</v>
      </c>
      <c r="D8" s="6" t="s">
        <v>182</v>
      </c>
      <c r="E8" s="11">
        <v>0.58721199999999996</v>
      </c>
      <c r="F8" s="1"/>
      <c r="G8" s="24" t="s">
        <v>6</v>
      </c>
      <c r="H8" s="25">
        <v>1</v>
      </c>
      <c r="I8" s="1"/>
      <c r="J8" s="24" t="s">
        <v>54</v>
      </c>
      <c r="K8" s="24" t="s">
        <v>5</v>
      </c>
      <c r="L8" s="1"/>
      <c r="M8" s="1"/>
      <c r="N8" s="18"/>
    </row>
    <row r="9" spans="2:14" ht="15" customHeight="1" x14ac:dyDescent="0.25">
      <c r="B9" s="20"/>
      <c r="C9" s="5" t="s">
        <v>100</v>
      </c>
      <c r="D9" s="6" t="s">
        <v>182</v>
      </c>
      <c r="E9" s="11">
        <v>0.204678</v>
      </c>
      <c r="F9" s="1"/>
      <c r="G9" s="1"/>
      <c r="H9" s="1"/>
      <c r="I9" s="1"/>
      <c r="J9" s="24" t="s">
        <v>52</v>
      </c>
      <c r="K9" s="29">
        <v>1.0179000000000001E-2</v>
      </c>
      <c r="L9" s="1"/>
      <c r="M9" s="1"/>
      <c r="N9" s="18"/>
    </row>
    <row r="10" spans="2:14" ht="15" customHeight="1" x14ac:dyDescent="0.25">
      <c r="B10" s="20"/>
      <c r="C10" s="5" t="s">
        <v>44</v>
      </c>
      <c r="D10" s="6" t="s">
        <v>182</v>
      </c>
      <c r="E10" s="11">
        <v>7.5213000000000002E-2</v>
      </c>
      <c r="F10" s="1"/>
      <c r="G10" s="1"/>
      <c r="H10" s="1"/>
      <c r="I10" s="1"/>
      <c r="J10" s="24" t="s">
        <v>55</v>
      </c>
      <c r="K10" s="29">
        <v>1.5857E-2</v>
      </c>
      <c r="L10" s="1"/>
      <c r="M10" s="1"/>
      <c r="N10" s="18"/>
    </row>
    <row r="11" spans="2:14" ht="15" customHeight="1" x14ac:dyDescent="0.25">
      <c r="B11" s="20"/>
      <c r="C11" s="5" t="s">
        <v>47</v>
      </c>
      <c r="D11" s="6" t="s">
        <v>182</v>
      </c>
      <c r="E11" s="11">
        <v>7.3566999999999994E-2</v>
      </c>
      <c r="F11" s="1"/>
      <c r="G11" s="1"/>
      <c r="H11" s="1"/>
      <c r="I11" s="1"/>
      <c r="J11" s="24" t="s">
        <v>58</v>
      </c>
      <c r="K11" s="29">
        <v>0.97396400000000005</v>
      </c>
      <c r="L11" s="1"/>
      <c r="M11" s="1"/>
      <c r="N11" s="18"/>
    </row>
    <row r="12" spans="2:14" ht="15" customHeight="1" x14ac:dyDescent="0.25">
      <c r="B12" s="20"/>
      <c r="C12" s="5" t="s">
        <v>82</v>
      </c>
      <c r="D12" s="6" t="s">
        <v>182</v>
      </c>
      <c r="E12" s="11">
        <v>2.9867000000000001E-2</v>
      </c>
      <c r="F12" s="1"/>
      <c r="G12" s="1"/>
      <c r="H12" s="1"/>
      <c r="I12" s="1"/>
      <c r="J12" s="1"/>
      <c r="K12" s="1"/>
      <c r="L12" s="1"/>
      <c r="M12" s="1"/>
      <c r="N12" s="18"/>
    </row>
    <row r="13" spans="2:14" ht="15" customHeight="1" x14ac:dyDescent="0.25">
      <c r="B13" s="20"/>
      <c r="C13" s="5" t="s">
        <v>120</v>
      </c>
      <c r="D13" s="6" t="s">
        <v>182</v>
      </c>
      <c r="E13" s="11">
        <v>2.0999999999999999E-3</v>
      </c>
      <c r="F13" s="1"/>
      <c r="G13" s="1"/>
      <c r="H13" s="1"/>
      <c r="I13" s="1"/>
      <c r="J13" s="1"/>
      <c r="K13" s="1"/>
      <c r="L13" s="1"/>
      <c r="M13" s="1"/>
      <c r="N13" s="18"/>
    </row>
    <row r="14" spans="2:14" ht="15" customHeight="1" x14ac:dyDescent="0.25">
      <c r="B14" s="20"/>
      <c r="C14" s="5" t="s">
        <v>70</v>
      </c>
      <c r="D14" s="6" t="s">
        <v>182</v>
      </c>
      <c r="E14" s="11">
        <v>1.3270000000000001E-3</v>
      </c>
      <c r="F14" s="1"/>
      <c r="G14" s="1"/>
      <c r="H14" s="1"/>
      <c r="I14" s="1"/>
      <c r="J14" s="1"/>
      <c r="K14" s="1"/>
      <c r="L14" s="1"/>
      <c r="M14" s="1"/>
      <c r="N14" s="18"/>
    </row>
    <row r="15" spans="2:14" ht="15.75" customHeight="1" x14ac:dyDescent="0.25">
      <c r="B15" s="20"/>
      <c r="C15" s="7" t="s">
        <v>48</v>
      </c>
      <c r="D15" s="8"/>
      <c r="E15" s="12">
        <v>0.97396400000000005</v>
      </c>
      <c r="F15" s="1"/>
      <c r="G15" s="1"/>
      <c r="H15" s="1"/>
      <c r="I15" s="1"/>
      <c r="J15" s="1"/>
      <c r="K15" s="1"/>
      <c r="L15" s="1"/>
      <c r="M15" s="1"/>
      <c r="N15" s="18"/>
    </row>
    <row r="16" spans="2:14" ht="15" customHeight="1" x14ac:dyDescent="0.25">
      <c r="B16" s="20"/>
      <c r="C16" s="5" t="s">
        <v>50</v>
      </c>
      <c r="D16" s="6"/>
      <c r="E16" s="11">
        <v>1.5857E-2</v>
      </c>
      <c r="F16" s="1"/>
      <c r="G16" s="1"/>
      <c r="H16" s="1"/>
      <c r="I16" s="1"/>
      <c r="J16" s="1"/>
      <c r="K16" s="1"/>
      <c r="L16" s="1"/>
      <c r="M16" s="1"/>
      <c r="N16" s="18"/>
    </row>
    <row r="17" spans="2:14" ht="15.75" customHeight="1" x14ac:dyDescent="0.25">
      <c r="B17" s="20"/>
      <c r="C17" s="7" t="s">
        <v>51</v>
      </c>
      <c r="D17" s="8"/>
      <c r="E17" s="12">
        <v>1.5857E-2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52</v>
      </c>
      <c r="D19" s="8"/>
      <c r="E19" s="12">
        <v>1.0179000000000001E-2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53</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9.3656746137589124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97" t="s">
        <v>214</v>
      </c>
      <c r="C45" s="98"/>
      <c r="D45" s="98"/>
      <c r="E45" s="98"/>
      <c r="F45" s="98"/>
      <c r="G45" s="98"/>
      <c r="H45" s="98"/>
      <c r="I45" s="98"/>
      <c r="J45" s="98"/>
      <c r="K45" s="98"/>
      <c r="L45" s="98"/>
      <c r="M45" s="98"/>
      <c r="N45" s="99"/>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513D-2654-4B3C-A795-911D27238637}">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112</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113</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114</v>
      </c>
      <c r="D8" s="6" t="s">
        <v>182</v>
      </c>
      <c r="E8" s="11">
        <v>0.31781500000000001</v>
      </c>
      <c r="F8" s="1"/>
      <c r="G8" s="24" t="s">
        <v>6</v>
      </c>
      <c r="H8" s="25">
        <v>1</v>
      </c>
      <c r="I8" s="1"/>
      <c r="J8" s="24" t="s">
        <v>54</v>
      </c>
      <c r="K8" s="24" t="s">
        <v>5</v>
      </c>
      <c r="L8" s="1"/>
      <c r="M8" s="1"/>
      <c r="N8" s="18"/>
    </row>
    <row r="9" spans="2:14" ht="15" customHeight="1" x14ac:dyDescent="0.25">
      <c r="B9" s="20"/>
      <c r="C9" s="5" t="s">
        <v>76</v>
      </c>
      <c r="D9" s="6" t="s">
        <v>182</v>
      </c>
      <c r="E9" s="11">
        <v>0.30963600000000002</v>
      </c>
      <c r="F9" s="1"/>
      <c r="G9" s="1"/>
      <c r="H9" s="1"/>
      <c r="I9" s="1"/>
      <c r="J9" s="24" t="s">
        <v>52</v>
      </c>
      <c r="K9" s="29">
        <v>2.5451000000000001E-2</v>
      </c>
      <c r="L9" s="1"/>
      <c r="M9" s="1"/>
      <c r="N9" s="18"/>
    </row>
    <row r="10" spans="2:14" ht="15" customHeight="1" x14ac:dyDescent="0.25">
      <c r="B10" s="20"/>
      <c r="C10" s="5" t="s">
        <v>115</v>
      </c>
      <c r="D10" s="6" t="s">
        <v>182</v>
      </c>
      <c r="E10" s="11">
        <v>0.18263599999999999</v>
      </c>
      <c r="F10" s="1"/>
      <c r="G10" s="1"/>
      <c r="H10" s="1"/>
      <c r="I10" s="1"/>
      <c r="J10" s="24" t="s">
        <v>55</v>
      </c>
      <c r="K10" s="29">
        <v>2.2569999999999999E-3</v>
      </c>
      <c r="L10" s="1"/>
      <c r="M10" s="1"/>
      <c r="N10" s="18"/>
    </row>
    <row r="11" spans="2:14" ht="15" customHeight="1" x14ac:dyDescent="0.25">
      <c r="B11" s="20"/>
      <c r="C11" s="5" t="s">
        <v>116</v>
      </c>
      <c r="D11" s="6" t="s">
        <v>182</v>
      </c>
      <c r="E11" s="11">
        <v>0.10043100000000001</v>
      </c>
      <c r="F11" s="1"/>
      <c r="G11" s="1"/>
      <c r="H11" s="1"/>
      <c r="I11" s="1"/>
      <c r="J11" s="24" t="s">
        <v>58</v>
      </c>
      <c r="K11" s="29">
        <v>0.97229200000000005</v>
      </c>
      <c r="L11" s="1"/>
      <c r="M11" s="1"/>
      <c r="N11" s="18"/>
    </row>
    <row r="12" spans="2:14" ht="15" customHeight="1" x14ac:dyDescent="0.25">
      <c r="B12" s="20"/>
      <c r="C12" s="5" t="s">
        <v>117</v>
      </c>
      <c r="D12" s="6" t="s">
        <v>182</v>
      </c>
      <c r="E12" s="11">
        <v>6.1774000000000003E-2</v>
      </c>
      <c r="F12" s="1"/>
      <c r="G12" s="1"/>
      <c r="H12" s="1"/>
      <c r="I12" s="1"/>
      <c r="J12" s="1"/>
      <c r="K12" s="1"/>
      <c r="L12" s="1"/>
      <c r="M12" s="1"/>
      <c r="N12" s="18"/>
    </row>
    <row r="13" spans="2:14" ht="15.75" customHeight="1" x14ac:dyDescent="0.25">
      <c r="B13" s="20"/>
      <c r="C13" s="7" t="s">
        <v>48</v>
      </c>
      <c r="D13" s="8"/>
      <c r="E13" s="12">
        <v>0.97229200000000005</v>
      </c>
      <c r="F13" s="1"/>
      <c r="G13" s="1"/>
      <c r="H13" s="1"/>
      <c r="I13" s="1"/>
      <c r="J13" s="1"/>
      <c r="K13" s="1"/>
      <c r="L13" s="1"/>
      <c r="M13" s="1"/>
      <c r="N13" s="18"/>
    </row>
    <row r="14" spans="2:14" ht="15" customHeight="1" x14ac:dyDescent="0.25">
      <c r="B14" s="20"/>
      <c r="C14" s="5" t="s">
        <v>50</v>
      </c>
      <c r="D14" s="6"/>
      <c r="E14" s="11">
        <v>2.2569999999999999E-3</v>
      </c>
      <c r="F14" s="1"/>
      <c r="G14" s="1"/>
      <c r="H14" s="1"/>
      <c r="I14" s="1"/>
      <c r="J14" s="1"/>
      <c r="K14" s="1"/>
      <c r="L14" s="1"/>
      <c r="M14" s="1"/>
      <c r="N14" s="18"/>
    </row>
    <row r="15" spans="2:14" ht="15.75" customHeight="1" x14ac:dyDescent="0.25">
      <c r="B15" s="20"/>
      <c r="C15" s="7" t="s">
        <v>51</v>
      </c>
      <c r="D15" s="8"/>
      <c r="E15" s="12">
        <v>2.2569999999999999E-3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52</v>
      </c>
      <c r="D17" s="8"/>
      <c r="E17" s="12">
        <v>2.5451000000000001E-2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53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1.4425872072583981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97" t="s">
        <v>214</v>
      </c>
      <c r="C45" s="98"/>
      <c r="D45" s="98"/>
      <c r="E45" s="98"/>
      <c r="F45" s="98"/>
      <c r="G45" s="98"/>
      <c r="H45" s="98"/>
      <c r="I45" s="98"/>
      <c r="J45" s="98"/>
      <c r="K45" s="98"/>
      <c r="L45" s="98"/>
      <c r="M45" s="98"/>
      <c r="N45" s="99"/>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FC55-CF19-479E-8B03-5AF29D5E6B42}">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125</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126</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111</v>
      </c>
      <c r="D8" s="6" t="s">
        <v>182</v>
      </c>
      <c r="E8" s="11">
        <v>0.71663100000000002</v>
      </c>
      <c r="F8" s="1"/>
      <c r="G8" s="24" t="s">
        <v>6</v>
      </c>
      <c r="H8" s="25">
        <v>1</v>
      </c>
      <c r="I8" s="1"/>
      <c r="J8" s="24" t="s">
        <v>54</v>
      </c>
      <c r="K8" s="24" t="s">
        <v>5</v>
      </c>
      <c r="L8" s="1"/>
      <c r="M8" s="1"/>
      <c r="N8" s="18"/>
    </row>
    <row r="9" spans="2:14" ht="15" customHeight="1" x14ac:dyDescent="0.25">
      <c r="B9" s="20"/>
      <c r="C9" s="5" t="s">
        <v>70</v>
      </c>
      <c r="D9" s="6" t="s">
        <v>182</v>
      </c>
      <c r="E9" s="11">
        <v>0.13777200000000001</v>
      </c>
      <c r="F9" s="1"/>
      <c r="G9" s="1"/>
      <c r="H9" s="1"/>
      <c r="I9" s="1"/>
      <c r="J9" s="24" t="s">
        <v>52</v>
      </c>
      <c r="K9" s="29">
        <v>1.9116000000000001E-2</v>
      </c>
      <c r="L9" s="1"/>
      <c r="M9" s="1"/>
      <c r="N9" s="18"/>
    </row>
    <row r="10" spans="2:14" ht="15" customHeight="1" x14ac:dyDescent="0.25">
      <c r="B10" s="20"/>
      <c r="C10" s="5" t="s">
        <v>64</v>
      </c>
      <c r="D10" s="6" t="s">
        <v>182</v>
      </c>
      <c r="E10" s="11">
        <v>0.120799</v>
      </c>
      <c r="F10" s="1"/>
      <c r="G10" s="1"/>
      <c r="H10" s="1"/>
      <c r="I10" s="1"/>
      <c r="J10" s="24" t="s">
        <v>55</v>
      </c>
      <c r="K10" s="29">
        <v>5.6820000000000004E-3</v>
      </c>
      <c r="L10" s="1"/>
      <c r="M10" s="1"/>
      <c r="N10" s="18"/>
    </row>
    <row r="11" spans="2:14" ht="15.75" customHeight="1" x14ac:dyDescent="0.25">
      <c r="B11" s="20"/>
      <c r="C11" s="7" t="s">
        <v>48</v>
      </c>
      <c r="D11" s="8"/>
      <c r="E11" s="12">
        <v>0.97520200000000001</v>
      </c>
      <c r="F11" s="1"/>
      <c r="G11" s="1"/>
      <c r="H11" s="1"/>
      <c r="I11" s="1"/>
      <c r="J11" s="24" t="s">
        <v>58</v>
      </c>
      <c r="K11" s="29">
        <v>0.97520200000000001</v>
      </c>
      <c r="L11" s="1"/>
      <c r="M11" s="1"/>
      <c r="N11" s="18"/>
    </row>
    <row r="12" spans="2:14" ht="15" customHeight="1" x14ac:dyDescent="0.25">
      <c r="B12" s="20"/>
      <c r="C12" s="5" t="s">
        <v>50</v>
      </c>
      <c r="D12" s="6"/>
      <c r="E12" s="11">
        <v>5.6820000000000004E-3</v>
      </c>
      <c r="F12" s="1"/>
      <c r="G12" s="1"/>
      <c r="H12" s="1"/>
      <c r="I12" s="1"/>
      <c r="J12" s="1"/>
      <c r="K12" s="1"/>
      <c r="L12" s="1"/>
      <c r="M12" s="1"/>
      <c r="N12" s="18"/>
    </row>
    <row r="13" spans="2:14" ht="15.75" customHeight="1" x14ac:dyDescent="0.25">
      <c r="B13" s="20"/>
      <c r="C13" s="7" t="s">
        <v>51</v>
      </c>
      <c r="D13" s="8"/>
      <c r="E13" s="12">
        <v>5.6820000000000004E-3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52</v>
      </c>
      <c r="D15" s="8"/>
      <c r="E15" s="12">
        <v>1.9116000000000001E-2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53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2.645119689317073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97" t="s">
        <v>214</v>
      </c>
      <c r="C45" s="98"/>
      <c r="D45" s="98"/>
      <c r="E45" s="98"/>
      <c r="F45" s="98"/>
      <c r="G45" s="98"/>
      <c r="H45" s="98"/>
      <c r="I45" s="98"/>
      <c r="J45" s="98"/>
      <c r="K45" s="98"/>
      <c r="L45" s="98"/>
      <c r="M45" s="98"/>
      <c r="N45" s="99"/>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11FF-90BB-46BA-B445-3BC2A340C03D}">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118</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119</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120</v>
      </c>
      <c r="D8" s="6" t="s">
        <v>182</v>
      </c>
      <c r="E8" s="11">
        <v>0.59554300000000004</v>
      </c>
      <c r="F8" s="1"/>
      <c r="G8" s="24" t="s">
        <v>6</v>
      </c>
      <c r="H8" s="25">
        <v>1</v>
      </c>
      <c r="I8" s="1"/>
      <c r="J8" s="24" t="s">
        <v>54</v>
      </c>
      <c r="K8" s="24" t="s">
        <v>5</v>
      </c>
      <c r="L8" s="1"/>
      <c r="M8" s="1"/>
      <c r="N8" s="18"/>
    </row>
    <row r="9" spans="2:14" ht="15" customHeight="1" x14ac:dyDescent="0.25">
      <c r="B9" s="20"/>
      <c r="C9" s="5" t="s">
        <v>121</v>
      </c>
      <c r="D9" s="6" t="s">
        <v>182</v>
      </c>
      <c r="E9" s="11">
        <v>0.31726300000000002</v>
      </c>
      <c r="F9" s="1"/>
      <c r="G9" s="1"/>
      <c r="H9" s="1"/>
      <c r="I9" s="1"/>
      <c r="J9" s="24" t="s">
        <v>52</v>
      </c>
      <c r="K9" s="29">
        <v>1.1653E-2</v>
      </c>
      <c r="L9" s="1"/>
      <c r="M9" s="1"/>
      <c r="N9" s="18"/>
    </row>
    <row r="10" spans="2:14" ht="15" customHeight="1" x14ac:dyDescent="0.25">
      <c r="B10" s="20"/>
      <c r="C10" s="5" t="s">
        <v>111</v>
      </c>
      <c r="D10" s="6" t="s">
        <v>182</v>
      </c>
      <c r="E10" s="11">
        <v>7.0017999999999997E-2</v>
      </c>
      <c r="F10" s="1"/>
      <c r="G10" s="1"/>
      <c r="H10" s="1"/>
      <c r="I10" s="1"/>
      <c r="J10" s="24" t="s">
        <v>55</v>
      </c>
      <c r="K10" s="29">
        <v>5.5230000000000001E-3</v>
      </c>
      <c r="L10" s="1"/>
      <c r="M10" s="1"/>
      <c r="N10" s="18"/>
    </row>
    <row r="11" spans="2:14" ht="15.75" customHeight="1" x14ac:dyDescent="0.25">
      <c r="B11" s="20"/>
      <c r="C11" s="7" t="s">
        <v>48</v>
      </c>
      <c r="D11" s="8"/>
      <c r="E11" s="12">
        <v>0.98282400000000003</v>
      </c>
      <c r="F11" s="1"/>
      <c r="G11" s="1"/>
      <c r="H11" s="1"/>
      <c r="I11" s="1"/>
      <c r="J11" s="24" t="s">
        <v>58</v>
      </c>
      <c r="K11" s="29">
        <v>0.98282400000000003</v>
      </c>
      <c r="L11" s="1"/>
      <c r="M11" s="1"/>
      <c r="N11" s="18"/>
    </row>
    <row r="12" spans="2:14" ht="15" customHeight="1" x14ac:dyDescent="0.25">
      <c r="B12" s="20"/>
      <c r="C12" s="5" t="s">
        <v>50</v>
      </c>
      <c r="D12" s="6"/>
      <c r="E12" s="11">
        <v>5.5230000000000001E-3</v>
      </c>
      <c r="F12" s="1"/>
      <c r="G12" s="1"/>
      <c r="H12" s="1"/>
      <c r="I12" s="1"/>
      <c r="J12" s="1"/>
      <c r="K12" s="1"/>
      <c r="L12" s="1"/>
      <c r="M12" s="1"/>
      <c r="N12" s="18"/>
    </row>
    <row r="13" spans="2:14" ht="15.75" customHeight="1" x14ac:dyDescent="0.25">
      <c r="B13" s="20"/>
      <c r="C13" s="7" t="s">
        <v>51</v>
      </c>
      <c r="D13" s="8"/>
      <c r="E13" s="12">
        <v>5.5230000000000001E-3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52</v>
      </c>
      <c r="D15" s="8"/>
      <c r="E15" s="12">
        <v>1.1653E-2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53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3.1219914985236086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97" t="s">
        <v>214</v>
      </c>
      <c r="C45" s="98"/>
      <c r="D45" s="98"/>
      <c r="E45" s="98"/>
      <c r="F45" s="98"/>
      <c r="G45" s="98"/>
      <c r="H45" s="98"/>
      <c r="I45" s="98"/>
      <c r="J45" s="98"/>
      <c r="K45" s="98"/>
      <c r="L45" s="98"/>
      <c r="M45" s="98"/>
      <c r="N45" s="99"/>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2772-F9A4-41F8-A685-9A08EDB7A0D1}">
  <dimension ref="B1:N46"/>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122</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123</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47</v>
      </c>
      <c r="D8" s="6" t="s">
        <v>182</v>
      </c>
      <c r="E8" s="11">
        <v>0.77479200000000004</v>
      </c>
      <c r="F8" s="1"/>
      <c r="G8" s="24" t="s">
        <v>6</v>
      </c>
      <c r="H8" s="25">
        <v>1</v>
      </c>
      <c r="I8" s="1"/>
      <c r="J8" s="24" t="s">
        <v>54</v>
      </c>
      <c r="K8" s="24" t="s">
        <v>5</v>
      </c>
      <c r="L8" s="1"/>
      <c r="M8" s="1"/>
      <c r="N8" s="18"/>
    </row>
    <row r="9" spans="2:14" ht="15" customHeight="1" x14ac:dyDescent="0.25">
      <c r="B9" s="20"/>
      <c r="C9" s="5" t="s">
        <v>105</v>
      </c>
      <c r="D9" s="6" t="s">
        <v>182</v>
      </c>
      <c r="E9" s="11">
        <v>0.20086899999999999</v>
      </c>
      <c r="F9" s="1"/>
      <c r="G9" s="1"/>
      <c r="H9" s="1"/>
      <c r="I9" s="1"/>
      <c r="J9" s="24" t="s">
        <v>52</v>
      </c>
      <c r="K9" s="29">
        <v>1.3143E-2</v>
      </c>
      <c r="L9" s="1"/>
      <c r="M9" s="1"/>
      <c r="N9" s="18"/>
    </row>
    <row r="10" spans="2:14" ht="15.75" customHeight="1" x14ac:dyDescent="0.25">
      <c r="B10" s="20"/>
      <c r="C10" s="7" t="s">
        <v>48</v>
      </c>
      <c r="D10" s="8"/>
      <c r="E10" s="12">
        <v>0.975661</v>
      </c>
      <c r="F10" s="1"/>
      <c r="G10" s="1"/>
      <c r="H10" s="1"/>
      <c r="I10" s="1"/>
      <c r="J10" s="24" t="s">
        <v>55</v>
      </c>
      <c r="K10" s="29">
        <v>1.1195999999999999E-2</v>
      </c>
      <c r="L10" s="1"/>
      <c r="M10" s="1"/>
      <c r="N10" s="18"/>
    </row>
    <row r="11" spans="2:14" ht="15" customHeight="1" x14ac:dyDescent="0.25">
      <c r="B11" s="20"/>
      <c r="C11" s="5" t="s">
        <v>50</v>
      </c>
      <c r="D11" s="6"/>
      <c r="E11" s="11">
        <v>1.1195999999999999E-2</v>
      </c>
      <c r="F11" s="1"/>
      <c r="G11" s="1"/>
      <c r="H11" s="1"/>
      <c r="I11" s="1"/>
      <c r="J11" s="24" t="s">
        <v>58</v>
      </c>
      <c r="K11" s="29">
        <v>0.975661</v>
      </c>
      <c r="L11" s="1"/>
      <c r="M11" s="1"/>
      <c r="N11" s="18"/>
    </row>
    <row r="12" spans="2:14" ht="15.75" customHeight="1" x14ac:dyDescent="0.25">
      <c r="B12" s="20"/>
      <c r="C12" s="7" t="s">
        <v>51</v>
      </c>
      <c r="D12" s="8"/>
      <c r="E12" s="12">
        <v>1.1195999999999999E-2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52</v>
      </c>
      <c r="D14" s="8"/>
      <c r="E14" s="12">
        <v>1.3143E-2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53</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7.1154007282479173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5" spans="2:14" ht="15.75" thickBot="1" x14ac:dyDescent="0.3"/>
    <row r="46" spans="2:14" ht="129" customHeight="1" thickBot="1" x14ac:dyDescent="0.3">
      <c r="B46" s="97" t="s">
        <v>214</v>
      </c>
      <c r="C46" s="98"/>
      <c r="D46" s="98"/>
      <c r="E46" s="98"/>
      <c r="F46" s="98"/>
      <c r="G46" s="98"/>
      <c r="H46" s="98"/>
      <c r="I46" s="98"/>
      <c r="J46" s="98"/>
      <c r="K46" s="98"/>
      <c r="L46" s="98"/>
      <c r="M46" s="98"/>
      <c r="N46" s="99"/>
    </row>
  </sheetData>
  <mergeCells count="6">
    <mergeCell ref="B46:N46"/>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7B9A-D137-468D-9103-F11800D5DADE}">
  <dimension ref="B1:N46"/>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106</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107</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108</v>
      </c>
      <c r="D8" s="6" t="s">
        <v>182</v>
      </c>
      <c r="E8" s="11">
        <v>0.12911400000000001</v>
      </c>
      <c r="F8" s="1"/>
      <c r="G8" s="24" t="s">
        <v>6</v>
      </c>
      <c r="H8" s="25">
        <v>1</v>
      </c>
      <c r="I8" s="1"/>
      <c r="J8" s="24" t="s">
        <v>54</v>
      </c>
      <c r="K8" s="24" t="s">
        <v>5</v>
      </c>
      <c r="L8" s="1"/>
      <c r="M8" s="1"/>
      <c r="N8" s="18"/>
    </row>
    <row r="9" spans="2:14" ht="15.75" customHeight="1" x14ac:dyDescent="0.25">
      <c r="B9" s="20"/>
      <c r="C9" s="7" t="s">
        <v>48</v>
      </c>
      <c r="D9" s="8"/>
      <c r="E9" s="12">
        <v>0.12911400000000001</v>
      </c>
      <c r="F9" s="1"/>
      <c r="G9" s="1"/>
      <c r="H9" s="1"/>
      <c r="I9" s="1"/>
      <c r="J9" s="24" t="s">
        <v>52</v>
      </c>
      <c r="K9" s="29">
        <v>1.5751000000000001E-2</v>
      </c>
      <c r="L9" s="1"/>
      <c r="M9" s="1"/>
      <c r="N9" s="18"/>
    </row>
    <row r="10" spans="2:14" ht="15" customHeight="1" x14ac:dyDescent="0.25">
      <c r="B10" s="20"/>
      <c r="C10" s="5" t="s">
        <v>307</v>
      </c>
      <c r="D10" s="6" t="s">
        <v>182</v>
      </c>
      <c r="E10" s="11">
        <v>0.155337</v>
      </c>
      <c r="F10" s="1"/>
      <c r="G10" s="1"/>
      <c r="H10" s="1"/>
      <c r="I10" s="1"/>
      <c r="J10" s="24" t="s">
        <v>55</v>
      </c>
      <c r="K10" s="29">
        <v>1.5946999999999999E-2</v>
      </c>
      <c r="L10" s="1"/>
      <c r="M10" s="1"/>
      <c r="N10" s="18"/>
    </row>
    <row r="11" spans="2:14" ht="15.75" customHeight="1" x14ac:dyDescent="0.25">
      <c r="B11" s="20"/>
      <c r="C11" s="5" t="s">
        <v>231</v>
      </c>
      <c r="D11" s="6" t="s">
        <v>182</v>
      </c>
      <c r="E11" s="11">
        <v>0.129993</v>
      </c>
      <c r="F11" s="1"/>
      <c r="G11" s="1"/>
      <c r="H11" s="1"/>
      <c r="I11" s="1"/>
      <c r="J11" s="24" t="s">
        <v>58</v>
      </c>
      <c r="K11" s="29">
        <v>0.12911400000000001</v>
      </c>
      <c r="L11" s="1"/>
      <c r="M11" s="1"/>
      <c r="N11" s="18"/>
    </row>
    <row r="12" spans="2:14" ht="15" customHeight="1" x14ac:dyDescent="0.25">
      <c r="B12" s="20"/>
      <c r="C12" s="5" t="s">
        <v>304</v>
      </c>
      <c r="D12" s="6" t="s">
        <v>182</v>
      </c>
      <c r="E12" s="11">
        <v>8.8482000000000005E-2</v>
      </c>
      <c r="F12" s="1"/>
      <c r="G12" s="1"/>
      <c r="H12" s="1"/>
      <c r="I12" s="1"/>
      <c r="J12" s="24" t="s">
        <v>59</v>
      </c>
      <c r="K12" s="29">
        <v>0.83918800000000005</v>
      </c>
      <c r="L12" s="1"/>
      <c r="M12" s="1"/>
      <c r="N12" s="18"/>
    </row>
    <row r="13" spans="2:14" ht="15.75" customHeight="1" x14ac:dyDescent="0.25">
      <c r="B13" s="20"/>
      <c r="C13" s="5" t="s">
        <v>241</v>
      </c>
      <c r="D13" s="6" t="s">
        <v>182</v>
      </c>
      <c r="E13" s="11">
        <v>5.4239000000000002E-2</v>
      </c>
      <c r="F13" s="1"/>
      <c r="G13" s="1"/>
      <c r="H13" s="1"/>
      <c r="I13" s="1"/>
      <c r="J13" s="1"/>
      <c r="K13" s="1"/>
      <c r="L13" s="1"/>
      <c r="M13" s="1"/>
      <c r="N13" s="18"/>
    </row>
    <row r="14" spans="2:14" ht="15" customHeight="1" x14ac:dyDescent="0.25">
      <c r="B14" s="20"/>
      <c r="C14" s="5" t="s">
        <v>314</v>
      </c>
      <c r="D14" s="6" t="s">
        <v>182</v>
      </c>
      <c r="E14" s="11">
        <v>4.4336E-2</v>
      </c>
      <c r="F14" s="1"/>
      <c r="G14" s="1"/>
      <c r="H14" s="1"/>
      <c r="I14" s="1"/>
      <c r="J14" s="1"/>
      <c r="K14" s="1"/>
      <c r="L14" s="1"/>
      <c r="M14" s="1"/>
      <c r="N14" s="18"/>
    </row>
    <row r="15" spans="2:14" ht="15.75" customHeight="1" x14ac:dyDescent="0.25">
      <c r="B15" s="20"/>
      <c r="C15" s="5" t="s">
        <v>301</v>
      </c>
      <c r="D15" s="6" t="s">
        <v>182</v>
      </c>
      <c r="E15" s="11">
        <v>4.4091999999999999E-2</v>
      </c>
      <c r="F15" s="1"/>
      <c r="G15" s="1"/>
      <c r="H15" s="1"/>
      <c r="I15" s="1"/>
      <c r="J15" s="1"/>
      <c r="K15" s="1"/>
      <c r="L15" s="1"/>
      <c r="M15" s="1"/>
      <c r="N15" s="18"/>
    </row>
    <row r="16" spans="2:14" ht="15" customHeight="1" x14ac:dyDescent="0.25">
      <c r="B16" s="20"/>
      <c r="C16" s="5" t="s">
        <v>305</v>
      </c>
      <c r="D16" s="6" t="s">
        <v>182</v>
      </c>
      <c r="E16" s="11">
        <v>4.4033000000000003E-2</v>
      </c>
      <c r="F16" s="1"/>
      <c r="G16" s="1"/>
      <c r="H16" s="1"/>
      <c r="I16" s="1"/>
      <c r="J16" s="1"/>
      <c r="K16" s="1"/>
      <c r="L16" s="1"/>
      <c r="M16" s="1"/>
      <c r="N16" s="18"/>
    </row>
    <row r="17" spans="2:14" ht="15" customHeight="1" x14ac:dyDescent="0.25">
      <c r="B17" s="20"/>
      <c r="C17" s="5" t="s">
        <v>300</v>
      </c>
      <c r="D17" s="6" t="s">
        <v>182</v>
      </c>
      <c r="E17" s="11">
        <v>4.3931999999999999E-2</v>
      </c>
      <c r="F17" s="1"/>
      <c r="G17" s="1"/>
      <c r="H17" s="1"/>
      <c r="I17" s="1"/>
      <c r="J17" s="1"/>
      <c r="K17" s="1"/>
      <c r="L17" s="1"/>
      <c r="M17" s="1"/>
      <c r="N17" s="18"/>
    </row>
    <row r="18" spans="2:14" ht="15" customHeight="1" x14ac:dyDescent="0.25">
      <c r="B18" s="20"/>
      <c r="C18" s="5" t="s">
        <v>306</v>
      </c>
      <c r="D18" s="6" t="s">
        <v>182</v>
      </c>
      <c r="E18" s="11">
        <v>3.5948000000000001E-2</v>
      </c>
      <c r="F18" s="1"/>
      <c r="G18" s="1"/>
      <c r="H18" s="1"/>
      <c r="I18" s="1"/>
      <c r="J18" s="1"/>
      <c r="K18" s="1"/>
      <c r="L18" s="1"/>
      <c r="M18" s="1"/>
      <c r="N18" s="18"/>
    </row>
    <row r="19" spans="2:14" ht="15" customHeight="1" x14ac:dyDescent="0.25">
      <c r="B19" s="20"/>
      <c r="C19" s="5" t="s">
        <v>310</v>
      </c>
      <c r="D19" s="6" t="s">
        <v>182</v>
      </c>
      <c r="E19" s="11">
        <v>3.5667999999999998E-2</v>
      </c>
      <c r="F19" s="1"/>
      <c r="G19" s="1"/>
      <c r="H19" s="1"/>
      <c r="I19" s="1"/>
      <c r="J19" s="1"/>
      <c r="K19" s="1"/>
      <c r="L19" s="1"/>
      <c r="M19" s="1"/>
      <c r="N19" s="18"/>
    </row>
    <row r="20" spans="2:14" ht="15" customHeight="1" x14ac:dyDescent="0.25">
      <c r="B20" s="20"/>
      <c r="C20" s="5" t="s">
        <v>308</v>
      </c>
      <c r="D20" s="6" t="s">
        <v>182</v>
      </c>
      <c r="E20" s="11">
        <v>3.5457000000000002E-2</v>
      </c>
      <c r="F20" s="1"/>
      <c r="G20" s="1"/>
      <c r="H20" s="1"/>
      <c r="I20" s="1"/>
      <c r="J20" s="1"/>
      <c r="K20" s="1"/>
      <c r="L20" s="1"/>
      <c r="M20" s="1"/>
      <c r="N20" s="18"/>
    </row>
    <row r="21" spans="2:14" ht="15" customHeight="1" x14ac:dyDescent="0.25">
      <c r="B21" s="20"/>
      <c r="C21" s="5" t="s">
        <v>255</v>
      </c>
      <c r="D21" s="6" t="s">
        <v>182</v>
      </c>
      <c r="E21" s="11">
        <v>3.0967999999999999E-2</v>
      </c>
      <c r="F21" s="1"/>
      <c r="G21" s="1"/>
      <c r="H21" s="1"/>
      <c r="I21" s="1"/>
      <c r="J21" s="1"/>
      <c r="K21" s="1"/>
      <c r="L21" s="1"/>
      <c r="M21" s="1"/>
      <c r="N21" s="18"/>
    </row>
    <row r="22" spans="2:14" ht="15" customHeight="1" x14ac:dyDescent="0.25">
      <c r="B22" s="20"/>
      <c r="C22" s="5" t="s">
        <v>309</v>
      </c>
      <c r="D22" s="6" t="s">
        <v>182</v>
      </c>
      <c r="E22" s="11">
        <v>3.0258E-2</v>
      </c>
      <c r="F22" s="1"/>
      <c r="G22" s="1"/>
      <c r="H22" s="1"/>
      <c r="I22" s="1"/>
      <c r="J22" s="1"/>
      <c r="K22" s="1"/>
      <c r="L22" s="1"/>
      <c r="M22" s="1"/>
      <c r="N22" s="18"/>
    </row>
    <row r="23" spans="2:14" ht="15" customHeight="1" x14ac:dyDescent="0.25">
      <c r="B23" s="20"/>
      <c r="C23" s="5" t="s">
        <v>299</v>
      </c>
      <c r="D23" s="6" t="s">
        <v>182</v>
      </c>
      <c r="E23" s="11">
        <v>2.1721000000000001E-2</v>
      </c>
      <c r="F23" s="1"/>
      <c r="G23" s="1"/>
      <c r="H23" s="1"/>
      <c r="I23" s="1"/>
      <c r="J23" s="1"/>
      <c r="K23" s="1"/>
      <c r="L23" s="1"/>
      <c r="M23" s="1"/>
      <c r="N23" s="18"/>
    </row>
    <row r="24" spans="2:14" ht="15" customHeight="1" x14ac:dyDescent="0.25">
      <c r="B24" s="20"/>
      <c r="C24" s="5" t="s">
        <v>312</v>
      </c>
      <c r="D24" s="6" t="s">
        <v>182</v>
      </c>
      <c r="E24" s="11">
        <v>1.7616E-2</v>
      </c>
      <c r="F24" s="1"/>
      <c r="G24" s="105" t="s">
        <v>8</v>
      </c>
      <c r="H24" s="110"/>
      <c r="I24" s="110"/>
      <c r="J24" s="110"/>
      <c r="K24" s="110"/>
      <c r="L24" s="26">
        <v>1.9731690306514096</v>
      </c>
      <c r="M24" s="27"/>
      <c r="N24" s="28"/>
    </row>
    <row r="25" spans="2:14" ht="15" customHeight="1" x14ac:dyDescent="0.25">
      <c r="B25" s="20"/>
      <c r="C25" s="5" t="s">
        <v>311</v>
      </c>
      <c r="D25" s="6" t="s">
        <v>182</v>
      </c>
      <c r="E25" s="11">
        <v>8.8090000000000009E-3</v>
      </c>
      <c r="F25" s="1"/>
      <c r="G25" s="1"/>
      <c r="H25" s="1"/>
      <c r="I25" s="1"/>
      <c r="J25" s="1"/>
      <c r="K25" s="1"/>
      <c r="L25" s="1"/>
      <c r="M25" s="1"/>
      <c r="N25" s="18"/>
    </row>
    <row r="26" spans="2:14" ht="15" customHeight="1" x14ac:dyDescent="0.25">
      <c r="B26" s="20"/>
      <c r="C26" s="5" t="s">
        <v>313</v>
      </c>
      <c r="D26" s="6" t="s">
        <v>182</v>
      </c>
      <c r="E26" s="11">
        <v>8.8050000000000003E-3</v>
      </c>
      <c r="F26" s="1"/>
      <c r="G26" s="105" t="s">
        <v>9</v>
      </c>
      <c r="H26" s="110"/>
      <c r="I26" s="110"/>
      <c r="J26" s="110"/>
      <c r="K26" s="110"/>
      <c r="L26" s="110"/>
      <c r="M26" s="110"/>
      <c r="N26" s="111"/>
    </row>
    <row r="27" spans="2:14" ht="15" customHeight="1" x14ac:dyDescent="0.25">
      <c r="B27" s="20"/>
      <c r="C27" s="5" t="s">
        <v>303</v>
      </c>
      <c r="D27" s="6" t="s">
        <v>182</v>
      </c>
      <c r="E27" s="11">
        <v>5.1180000000000002E-3</v>
      </c>
      <c r="F27" s="1"/>
      <c r="G27" s="1"/>
      <c r="H27" s="1"/>
      <c r="I27" s="1"/>
      <c r="J27" s="1"/>
      <c r="K27" s="1"/>
      <c r="L27" s="1"/>
      <c r="M27" s="1"/>
      <c r="N27" s="18"/>
    </row>
    <row r="28" spans="2:14" ht="15" customHeight="1" x14ac:dyDescent="0.25">
      <c r="B28" s="20"/>
      <c r="C28" s="5" t="s">
        <v>302</v>
      </c>
      <c r="D28" s="6" t="s">
        <v>182</v>
      </c>
      <c r="E28" s="11">
        <v>4.3759999999999997E-3</v>
      </c>
      <c r="F28" s="1"/>
      <c r="G28" s="1"/>
      <c r="H28" s="1"/>
      <c r="I28" s="1"/>
      <c r="J28" s="1"/>
      <c r="K28" s="1"/>
      <c r="L28" s="1"/>
      <c r="M28" s="1"/>
      <c r="N28" s="18"/>
    </row>
    <row r="29" spans="2:14" ht="15" customHeight="1" x14ac:dyDescent="0.25">
      <c r="B29" s="20"/>
      <c r="C29" s="7" t="s">
        <v>49</v>
      </c>
      <c r="D29" s="8"/>
      <c r="E29" s="12">
        <v>0.83918800000000005</v>
      </c>
      <c r="F29" s="1"/>
      <c r="G29" s="1"/>
      <c r="H29" s="1"/>
      <c r="I29" s="1"/>
      <c r="J29" s="1"/>
      <c r="K29" s="1"/>
      <c r="L29" s="1"/>
      <c r="M29" s="1"/>
      <c r="N29" s="18"/>
    </row>
    <row r="30" spans="2:14" ht="15" customHeight="1" x14ac:dyDescent="0.25">
      <c r="B30" s="20"/>
      <c r="C30" s="5" t="s">
        <v>50</v>
      </c>
      <c r="D30" s="6"/>
      <c r="E30" s="11">
        <v>1.5946999999999999E-2</v>
      </c>
      <c r="F30" s="1"/>
      <c r="G30" s="1"/>
      <c r="H30" s="1"/>
      <c r="I30" s="1"/>
      <c r="J30" s="1"/>
      <c r="K30" s="1"/>
      <c r="L30" s="1"/>
      <c r="M30" s="1"/>
      <c r="N30" s="18"/>
    </row>
    <row r="31" spans="2:14" ht="15" customHeight="1" x14ac:dyDescent="0.25">
      <c r="B31" s="20"/>
      <c r="C31" s="7" t="s">
        <v>51</v>
      </c>
      <c r="D31" s="8"/>
      <c r="E31" s="12">
        <v>1.5946999999999999E-2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52</v>
      </c>
      <c r="D33" s="8"/>
      <c r="E33" s="12">
        <v>1.5751000000000001E-2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53</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5" spans="2:14" ht="15.75" thickBot="1" x14ac:dyDescent="0.3"/>
    <row r="46" spans="2:14" ht="129" customHeight="1" thickBot="1" x14ac:dyDescent="0.3">
      <c r="B46" s="97" t="s">
        <v>214</v>
      </c>
      <c r="C46" s="98"/>
      <c r="D46" s="98"/>
      <c r="E46" s="98"/>
      <c r="F46" s="98"/>
      <c r="G46" s="98"/>
      <c r="H46" s="98"/>
      <c r="I46" s="98"/>
      <c r="J46" s="98"/>
      <c r="K46" s="98"/>
      <c r="L46" s="98"/>
      <c r="M46" s="98"/>
      <c r="N46" s="99"/>
    </row>
  </sheetData>
  <sortState ref="C10:E28">
    <sortCondition descending="1" ref="E10"/>
  </sortState>
  <mergeCells count="6">
    <mergeCell ref="B46:N46"/>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DD69-7BB5-4979-BD7B-EAF7299D9FB8}">
  <dimension ref="B1:N46"/>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109</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110</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111</v>
      </c>
      <c r="D8" s="6" t="s">
        <v>182</v>
      </c>
      <c r="E8" s="11">
        <v>0.16333900000000001</v>
      </c>
      <c r="F8" s="1"/>
      <c r="G8" s="24" t="s">
        <v>6</v>
      </c>
      <c r="H8" s="25">
        <v>1</v>
      </c>
      <c r="I8" s="1"/>
      <c r="J8" s="24" t="s">
        <v>54</v>
      </c>
      <c r="K8" s="24" t="s">
        <v>5</v>
      </c>
      <c r="L8" s="1"/>
      <c r="M8" s="1"/>
      <c r="N8" s="18"/>
    </row>
    <row r="9" spans="2:14" ht="15.75" customHeight="1" x14ac:dyDescent="0.25">
      <c r="B9" s="20"/>
      <c r="C9" s="7" t="s">
        <v>48</v>
      </c>
      <c r="D9" s="8"/>
      <c r="E9" s="12">
        <v>0.16333900000000001</v>
      </c>
      <c r="F9" s="1"/>
      <c r="G9" s="1"/>
      <c r="H9" s="1"/>
      <c r="I9" s="1"/>
      <c r="J9" s="24" t="s">
        <v>52</v>
      </c>
      <c r="K9" s="29">
        <v>1.1083000000000001E-2</v>
      </c>
      <c r="L9" s="1"/>
      <c r="M9" s="1"/>
      <c r="N9" s="18"/>
    </row>
    <row r="10" spans="2:14" ht="15" customHeight="1" x14ac:dyDescent="0.25">
      <c r="B10" s="20"/>
      <c r="C10" s="5" t="s">
        <v>292</v>
      </c>
      <c r="D10" s="6" t="s">
        <v>182</v>
      </c>
      <c r="E10" s="11">
        <v>0.17891699999999999</v>
      </c>
      <c r="F10" s="1"/>
      <c r="G10" s="1"/>
      <c r="H10" s="1"/>
      <c r="I10" s="1"/>
      <c r="J10" s="24" t="s">
        <v>55</v>
      </c>
      <c r="K10" s="29">
        <v>5.2389999999999997E-3</v>
      </c>
      <c r="L10" s="1"/>
      <c r="M10" s="1"/>
      <c r="N10" s="18"/>
    </row>
    <row r="11" spans="2:14" ht="15.75" customHeight="1" x14ac:dyDescent="0.25">
      <c r="B11" s="20"/>
      <c r="C11" s="5" t="s">
        <v>263</v>
      </c>
      <c r="D11" s="6" t="s">
        <v>182</v>
      </c>
      <c r="E11" s="11">
        <v>0.15638099999999999</v>
      </c>
      <c r="F11" s="1"/>
      <c r="G11" s="1"/>
      <c r="H11" s="1"/>
      <c r="I11" s="1"/>
      <c r="J11" s="24" t="s">
        <v>58</v>
      </c>
      <c r="K11" s="29">
        <v>0.16333900000000001</v>
      </c>
      <c r="L11" s="1"/>
      <c r="M11" s="1"/>
      <c r="N11" s="18"/>
    </row>
    <row r="12" spans="2:14" ht="15" customHeight="1" x14ac:dyDescent="0.25">
      <c r="B12" s="20"/>
      <c r="C12" s="5" t="s">
        <v>290</v>
      </c>
      <c r="D12" s="6" t="s">
        <v>182</v>
      </c>
      <c r="E12" s="11">
        <v>0.13523099999999999</v>
      </c>
      <c r="F12" s="1"/>
      <c r="G12" s="1"/>
      <c r="H12" s="1"/>
      <c r="I12" s="1"/>
      <c r="J12" s="24" t="s">
        <v>59</v>
      </c>
      <c r="K12" s="29">
        <v>0.82033900000000004</v>
      </c>
      <c r="L12" s="1"/>
      <c r="M12" s="1"/>
      <c r="N12" s="18"/>
    </row>
    <row r="13" spans="2:14" ht="15.75" customHeight="1" x14ac:dyDescent="0.25">
      <c r="B13" s="20"/>
      <c r="C13" s="5" t="s">
        <v>298</v>
      </c>
      <c r="D13" s="6" t="s">
        <v>182</v>
      </c>
      <c r="E13" s="11">
        <v>0.123141</v>
      </c>
      <c r="F13" s="1"/>
      <c r="G13" s="1"/>
      <c r="H13" s="1"/>
      <c r="I13" s="1"/>
      <c r="J13" s="1"/>
      <c r="K13" s="1"/>
      <c r="L13" s="1"/>
      <c r="M13" s="1"/>
      <c r="N13" s="18"/>
    </row>
    <row r="14" spans="2:14" ht="15" customHeight="1" x14ac:dyDescent="0.25">
      <c r="B14" s="20"/>
      <c r="C14" s="5" t="s">
        <v>295</v>
      </c>
      <c r="D14" s="6" t="s">
        <v>182</v>
      </c>
      <c r="E14" s="11">
        <v>6.1499999999999999E-2</v>
      </c>
      <c r="F14" s="1"/>
      <c r="G14" s="1"/>
      <c r="H14" s="1"/>
      <c r="I14" s="1"/>
      <c r="J14" s="1"/>
      <c r="K14" s="1"/>
      <c r="L14" s="1"/>
      <c r="M14" s="1"/>
      <c r="N14" s="18"/>
    </row>
    <row r="15" spans="2:14" ht="15.75" customHeight="1" x14ac:dyDescent="0.25">
      <c r="B15" s="20"/>
      <c r="C15" s="5" t="s">
        <v>293</v>
      </c>
      <c r="D15" s="6" t="s">
        <v>182</v>
      </c>
      <c r="E15" s="11">
        <v>5.9893000000000002E-2</v>
      </c>
      <c r="F15" s="1"/>
      <c r="G15" s="1"/>
      <c r="H15" s="1"/>
      <c r="I15" s="1"/>
      <c r="J15" s="1"/>
      <c r="K15" s="1"/>
      <c r="L15" s="1"/>
      <c r="M15" s="1"/>
      <c r="N15" s="18"/>
    </row>
    <row r="16" spans="2:14" ht="15" customHeight="1" x14ac:dyDescent="0.25">
      <c r="B16" s="20"/>
      <c r="C16" s="5" t="s">
        <v>294</v>
      </c>
      <c r="D16" s="6" t="s">
        <v>182</v>
      </c>
      <c r="E16" s="11">
        <v>3.6936999999999998E-2</v>
      </c>
      <c r="F16" s="1"/>
      <c r="G16" s="1"/>
      <c r="H16" s="1"/>
      <c r="I16" s="1"/>
      <c r="J16" s="1"/>
      <c r="K16" s="1"/>
      <c r="L16" s="1"/>
      <c r="M16" s="1"/>
      <c r="N16" s="18"/>
    </row>
    <row r="17" spans="2:14" ht="15" customHeight="1" x14ac:dyDescent="0.25">
      <c r="B17" s="20"/>
      <c r="C17" s="5" t="s">
        <v>297</v>
      </c>
      <c r="D17" s="6" t="s">
        <v>182</v>
      </c>
      <c r="E17" s="11">
        <v>3.0741999999999998E-2</v>
      </c>
      <c r="F17" s="1"/>
      <c r="G17" s="1"/>
      <c r="H17" s="1"/>
      <c r="I17" s="1"/>
      <c r="J17" s="1"/>
      <c r="K17" s="1"/>
      <c r="L17" s="1"/>
      <c r="M17" s="1"/>
      <c r="N17" s="18"/>
    </row>
    <row r="18" spans="2:14" ht="15" customHeight="1" x14ac:dyDescent="0.25">
      <c r="B18" s="20"/>
      <c r="C18" s="5" t="s">
        <v>296</v>
      </c>
      <c r="D18" s="6" t="s">
        <v>182</v>
      </c>
      <c r="E18" s="11">
        <v>2.7668999999999999E-2</v>
      </c>
      <c r="F18" s="1"/>
      <c r="G18" s="1"/>
      <c r="H18" s="1"/>
      <c r="I18" s="1"/>
      <c r="J18" s="1"/>
      <c r="K18" s="1"/>
      <c r="L18" s="1"/>
      <c r="M18" s="1"/>
      <c r="N18" s="18"/>
    </row>
    <row r="19" spans="2:14" ht="15" customHeight="1" x14ac:dyDescent="0.25">
      <c r="B19" s="20"/>
      <c r="C19" s="5" t="s">
        <v>289</v>
      </c>
      <c r="D19" s="6" t="s">
        <v>182</v>
      </c>
      <c r="E19" s="11">
        <v>6.1869999999999998E-3</v>
      </c>
      <c r="F19" s="1"/>
      <c r="G19" s="1"/>
      <c r="H19" s="1"/>
      <c r="I19" s="1"/>
      <c r="J19" s="1"/>
      <c r="K19" s="1"/>
      <c r="L19" s="1"/>
      <c r="M19" s="1"/>
      <c r="N19" s="18"/>
    </row>
    <row r="20" spans="2:14" ht="15" customHeight="1" x14ac:dyDescent="0.25">
      <c r="B20" s="20"/>
      <c r="C20" s="5" t="s">
        <v>291</v>
      </c>
      <c r="D20" s="6" t="s">
        <v>182</v>
      </c>
      <c r="E20" s="11">
        <v>3.741E-3</v>
      </c>
      <c r="F20" s="1"/>
      <c r="G20" s="1"/>
      <c r="H20" s="1"/>
      <c r="I20" s="1"/>
      <c r="J20" s="1"/>
      <c r="K20" s="1"/>
      <c r="L20" s="1"/>
      <c r="M20" s="1"/>
      <c r="N20" s="18"/>
    </row>
    <row r="21" spans="2:14" ht="15" customHeight="1" x14ac:dyDescent="0.25">
      <c r="B21" s="20"/>
      <c r="C21" s="7" t="s">
        <v>49</v>
      </c>
      <c r="D21" s="8"/>
      <c r="E21" s="12">
        <v>0.82033900000000004</v>
      </c>
      <c r="F21" s="1"/>
      <c r="G21" s="1"/>
      <c r="H21" s="1"/>
      <c r="I21" s="1"/>
      <c r="J21" s="1"/>
      <c r="K21" s="1"/>
      <c r="L21" s="1"/>
      <c r="M21" s="1"/>
      <c r="N21" s="18"/>
    </row>
    <row r="22" spans="2:14" ht="15" customHeight="1" x14ac:dyDescent="0.25">
      <c r="B22" s="20"/>
      <c r="C22" s="5" t="s">
        <v>50</v>
      </c>
      <c r="D22" s="6"/>
      <c r="E22" s="11">
        <v>5.2389999999999997E-3</v>
      </c>
      <c r="F22" s="1"/>
      <c r="G22" s="1"/>
      <c r="H22" s="1"/>
      <c r="I22" s="1"/>
      <c r="J22" s="1"/>
      <c r="K22" s="1"/>
      <c r="L22" s="1"/>
      <c r="M22" s="1"/>
      <c r="N22" s="18"/>
    </row>
    <row r="23" spans="2:14" ht="15" customHeight="1" x14ac:dyDescent="0.25">
      <c r="B23" s="20"/>
      <c r="C23" s="7" t="s">
        <v>51</v>
      </c>
      <c r="D23" s="8"/>
      <c r="E23" s="12">
        <v>5.2389999999999997E-3</v>
      </c>
      <c r="F23" s="1"/>
      <c r="G23" s="1"/>
      <c r="H23" s="1"/>
      <c r="I23" s="1"/>
      <c r="J23" s="1"/>
      <c r="K23" s="1"/>
      <c r="L23" s="1"/>
      <c r="M23" s="1"/>
      <c r="N23" s="18"/>
    </row>
    <row r="24" spans="2:14" ht="15" customHeight="1" x14ac:dyDescent="0.25">
      <c r="B24" s="20"/>
      <c r="C24" s="5"/>
      <c r="D24" s="6"/>
      <c r="E24" s="11"/>
      <c r="F24" s="1"/>
      <c r="G24" s="105" t="s">
        <v>8</v>
      </c>
      <c r="H24" s="110"/>
      <c r="I24" s="110"/>
      <c r="J24" s="110"/>
      <c r="K24" s="110"/>
      <c r="L24" s="26">
        <v>2.8267374911345984</v>
      </c>
      <c r="M24" s="27"/>
      <c r="N24" s="28"/>
    </row>
    <row r="25" spans="2:14" ht="15" customHeight="1" x14ac:dyDescent="0.25">
      <c r="B25" s="20"/>
      <c r="C25" s="7" t="s">
        <v>52</v>
      </c>
      <c r="D25" s="8"/>
      <c r="E25" s="12">
        <v>1.1083000000000001E-2</v>
      </c>
      <c r="F25" s="1"/>
      <c r="G25" s="1"/>
      <c r="H25" s="1"/>
      <c r="I25" s="1"/>
      <c r="J25" s="1"/>
      <c r="K25" s="1"/>
      <c r="L25" s="1"/>
      <c r="M25" s="1"/>
      <c r="N25" s="18"/>
    </row>
    <row r="26" spans="2:14" ht="15" customHeight="1" x14ac:dyDescent="0.25">
      <c r="B26" s="20"/>
      <c r="C26" s="5"/>
      <c r="D26" s="6"/>
      <c r="E26" s="11"/>
      <c r="F26" s="1"/>
      <c r="G26" s="105" t="s">
        <v>9</v>
      </c>
      <c r="H26" s="110"/>
      <c r="I26" s="110"/>
      <c r="J26" s="110"/>
      <c r="K26" s="110"/>
      <c r="L26" s="110"/>
      <c r="M26" s="110"/>
      <c r="N26" s="111"/>
    </row>
    <row r="27" spans="2:14" ht="15" customHeight="1" x14ac:dyDescent="0.25">
      <c r="B27" s="20"/>
      <c r="C27" s="9" t="s">
        <v>53</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5" spans="2:14" ht="15.75" thickBot="1" x14ac:dyDescent="0.3"/>
    <row r="46" spans="2:14" ht="129" customHeight="1" thickBot="1" x14ac:dyDescent="0.3">
      <c r="B46" s="97" t="s">
        <v>214</v>
      </c>
      <c r="C46" s="98"/>
      <c r="D46" s="98"/>
      <c r="E46" s="98"/>
      <c r="F46" s="98"/>
      <c r="G46" s="98"/>
      <c r="H46" s="98"/>
      <c r="I46" s="98"/>
      <c r="J46" s="98"/>
      <c r="K46" s="98"/>
      <c r="L46" s="98"/>
      <c r="M46" s="98"/>
      <c r="N46" s="99"/>
    </row>
  </sheetData>
  <sortState ref="C10:E20">
    <sortCondition descending="1" ref="E10"/>
  </sortState>
  <mergeCells count="6">
    <mergeCell ref="B46:N46"/>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75E8-3F07-446D-998D-19D4B1EEFF70}">
  <dimension ref="B1:N46"/>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103</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104</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47</v>
      </c>
      <c r="D8" s="6" t="s">
        <v>182</v>
      </c>
      <c r="E8" s="11">
        <v>0.130854</v>
      </c>
      <c r="F8" s="1"/>
      <c r="G8" s="24" t="s">
        <v>6</v>
      </c>
      <c r="H8" s="25">
        <v>1</v>
      </c>
      <c r="I8" s="1"/>
      <c r="J8" s="24" t="s">
        <v>54</v>
      </c>
      <c r="K8" s="24" t="s">
        <v>5</v>
      </c>
      <c r="L8" s="1"/>
      <c r="M8" s="1"/>
      <c r="N8" s="18"/>
    </row>
    <row r="9" spans="2:14" ht="15" customHeight="1" x14ac:dyDescent="0.25">
      <c r="B9" s="20"/>
      <c r="C9" s="5" t="s">
        <v>105</v>
      </c>
      <c r="D9" s="6" t="s">
        <v>182</v>
      </c>
      <c r="E9" s="11">
        <v>1.2925000000000001E-2</v>
      </c>
      <c r="F9" s="1"/>
      <c r="G9" s="1"/>
      <c r="H9" s="1"/>
      <c r="I9" s="1"/>
      <c r="J9" s="24" t="s">
        <v>52</v>
      </c>
      <c r="K9" s="29">
        <v>-0.101976</v>
      </c>
      <c r="L9" s="1"/>
      <c r="M9" s="1"/>
      <c r="N9" s="18"/>
    </row>
    <row r="10" spans="2:14" ht="15.75" customHeight="1" x14ac:dyDescent="0.25">
      <c r="B10" s="20"/>
      <c r="C10" s="7" t="s">
        <v>48</v>
      </c>
      <c r="D10" s="8"/>
      <c r="E10" s="12">
        <v>0.14377899999999999</v>
      </c>
      <c r="F10" s="1"/>
      <c r="G10" s="1"/>
      <c r="H10" s="1"/>
      <c r="I10" s="1"/>
      <c r="J10" s="24" t="s">
        <v>55</v>
      </c>
      <c r="K10" s="29">
        <v>6.4207E-2</v>
      </c>
      <c r="L10" s="1"/>
      <c r="M10" s="1"/>
      <c r="N10" s="18"/>
    </row>
    <row r="11" spans="2:14" ht="15" customHeight="1" x14ac:dyDescent="0.25">
      <c r="B11" s="20"/>
      <c r="C11" s="5" t="s">
        <v>286</v>
      </c>
      <c r="D11" s="6" t="s">
        <v>182</v>
      </c>
      <c r="E11" s="11">
        <v>0.138263</v>
      </c>
      <c r="F11" s="1"/>
      <c r="G11" s="1"/>
      <c r="H11" s="1"/>
      <c r="I11" s="1"/>
      <c r="J11" s="24" t="s">
        <v>58</v>
      </c>
      <c r="K11" s="29">
        <v>0.14377899999999999</v>
      </c>
      <c r="L11" s="1"/>
      <c r="M11" s="1"/>
      <c r="N11" s="18"/>
    </row>
    <row r="12" spans="2:14" ht="15.75" customHeight="1" x14ac:dyDescent="0.25">
      <c r="B12" s="20"/>
      <c r="C12" s="5" t="s">
        <v>285</v>
      </c>
      <c r="D12" s="6" t="s">
        <v>182</v>
      </c>
      <c r="E12" s="11">
        <v>0.13824900000000001</v>
      </c>
      <c r="F12" s="1"/>
      <c r="G12" s="1"/>
      <c r="H12" s="1"/>
      <c r="I12" s="1"/>
      <c r="J12" s="24" t="s">
        <v>59</v>
      </c>
      <c r="K12" s="29">
        <v>0.89398999999999995</v>
      </c>
      <c r="L12" s="1"/>
      <c r="M12" s="1"/>
      <c r="N12" s="18"/>
    </row>
    <row r="13" spans="2:14" ht="15" customHeight="1" x14ac:dyDescent="0.25">
      <c r="B13" s="20"/>
      <c r="C13" s="5" t="s">
        <v>283</v>
      </c>
      <c r="D13" s="6" t="s">
        <v>182</v>
      </c>
      <c r="E13" s="11">
        <v>0.11624</v>
      </c>
      <c r="F13" s="1"/>
      <c r="G13" s="1"/>
      <c r="H13" s="1"/>
      <c r="I13" s="1"/>
      <c r="J13" s="1"/>
      <c r="K13" s="1"/>
      <c r="L13" s="1"/>
      <c r="M13" s="1"/>
      <c r="N13" s="18"/>
    </row>
    <row r="14" spans="2:14" ht="15.75" customHeight="1" x14ac:dyDescent="0.25">
      <c r="B14" s="20"/>
      <c r="C14" s="5" t="s">
        <v>272</v>
      </c>
      <c r="D14" s="6" t="s">
        <v>182</v>
      </c>
      <c r="E14" s="11">
        <v>8.3543999999999993E-2</v>
      </c>
      <c r="F14" s="1"/>
      <c r="G14" s="1"/>
      <c r="H14" s="1"/>
      <c r="I14" s="1"/>
      <c r="J14" s="1"/>
      <c r="K14" s="1"/>
      <c r="L14" s="1"/>
      <c r="M14" s="1"/>
      <c r="N14" s="18"/>
    </row>
    <row r="15" spans="2:14" ht="15" customHeight="1" x14ac:dyDescent="0.25">
      <c r="B15" s="20"/>
      <c r="C15" s="5" t="s">
        <v>284</v>
      </c>
      <c r="D15" s="6" t="s">
        <v>182</v>
      </c>
      <c r="E15" s="11">
        <v>7.7542E-2</v>
      </c>
      <c r="F15" s="1"/>
      <c r="G15" s="1"/>
      <c r="H15" s="1"/>
      <c r="I15" s="1"/>
      <c r="J15" s="1"/>
      <c r="K15" s="1"/>
      <c r="L15" s="1"/>
      <c r="M15" s="1"/>
      <c r="N15" s="18"/>
    </row>
    <row r="16" spans="2:14" ht="15.75" customHeight="1" x14ac:dyDescent="0.25">
      <c r="B16" s="20"/>
      <c r="C16" s="5" t="s">
        <v>281</v>
      </c>
      <c r="D16" s="6" t="s">
        <v>182</v>
      </c>
      <c r="E16" s="11">
        <v>6.3278000000000001E-2</v>
      </c>
      <c r="F16" s="1"/>
      <c r="G16" s="1"/>
      <c r="H16" s="1"/>
      <c r="I16" s="1"/>
      <c r="J16" s="1"/>
      <c r="K16" s="1"/>
      <c r="L16" s="1"/>
      <c r="M16" s="1"/>
      <c r="N16" s="18"/>
    </row>
    <row r="17" spans="2:14" ht="15" customHeight="1" x14ac:dyDescent="0.25">
      <c r="B17" s="20"/>
      <c r="C17" s="5" t="s">
        <v>274</v>
      </c>
      <c r="D17" s="6" t="s">
        <v>182</v>
      </c>
      <c r="E17" s="11">
        <v>4.0584000000000002E-2</v>
      </c>
      <c r="F17" s="1"/>
      <c r="G17" s="1"/>
      <c r="H17" s="1"/>
      <c r="I17" s="1"/>
      <c r="J17" s="1"/>
      <c r="K17" s="1"/>
      <c r="L17" s="1"/>
      <c r="M17" s="1"/>
      <c r="N17" s="18"/>
    </row>
    <row r="18" spans="2:14" ht="15" customHeight="1" x14ac:dyDescent="0.25">
      <c r="B18" s="20"/>
      <c r="C18" s="5" t="s">
        <v>276</v>
      </c>
      <c r="D18" s="6" t="s">
        <v>182</v>
      </c>
      <c r="E18" s="11">
        <v>3.1296999999999998E-2</v>
      </c>
      <c r="F18" s="1"/>
      <c r="G18" s="1"/>
      <c r="H18" s="1"/>
      <c r="I18" s="1"/>
      <c r="J18" s="1"/>
      <c r="K18" s="1"/>
      <c r="L18" s="1"/>
      <c r="M18" s="1"/>
      <c r="N18" s="18"/>
    </row>
    <row r="19" spans="2:14" ht="15" customHeight="1" x14ac:dyDescent="0.25">
      <c r="B19" s="20"/>
      <c r="C19" s="5" t="s">
        <v>277</v>
      </c>
      <c r="D19" s="6" t="s">
        <v>182</v>
      </c>
      <c r="E19" s="11">
        <v>2.7609000000000002E-2</v>
      </c>
      <c r="F19" s="1"/>
      <c r="G19" s="1"/>
      <c r="H19" s="1"/>
      <c r="I19" s="1"/>
      <c r="J19" s="1"/>
      <c r="K19" s="1"/>
      <c r="L19" s="1"/>
      <c r="M19" s="1"/>
      <c r="N19" s="18"/>
    </row>
    <row r="20" spans="2:14" ht="15" customHeight="1" x14ac:dyDescent="0.25">
      <c r="B20" s="20"/>
      <c r="C20" s="5" t="s">
        <v>270</v>
      </c>
      <c r="D20" s="6" t="s">
        <v>182</v>
      </c>
      <c r="E20" s="11">
        <v>2.6714000000000002E-2</v>
      </c>
      <c r="F20" s="1"/>
      <c r="G20" s="1"/>
      <c r="H20" s="1"/>
      <c r="I20" s="1"/>
      <c r="J20" s="1"/>
      <c r="K20" s="1"/>
      <c r="L20" s="1"/>
      <c r="M20" s="1"/>
      <c r="N20" s="18"/>
    </row>
    <row r="21" spans="2:14" ht="15" customHeight="1" x14ac:dyDescent="0.25">
      <c r="B21" s="20"/>
      <c r="C21" s="5" t="s">
        <v>267</v>
      </c>
      <c r="D21" s="6" t="s">
        <v>182</v>
      </c>
      <c r="E21" s="11">
        <v>2.5089E-2</v>
      </c>
      <c r="F21" s="1"/>
      <c r="G21" s="1"/>
      <c r="H21" s="1"/>
      <c r="I21" s="1"/>
      <c r="J21" s="1"/>
      <c r="K21" s="1"/>
      <c r="L21" s="1"/>
      <c r="M21" s="1"/>
      <c r="N21" s="18"/>
    </row>
    <row r="22" spans="2:14" ht="15" customHeight="1" x14ac:dyDescent="0.25">
      <c r="B22" s="20"/>
      <c r="C22" s="5" t="s">
        <v>264</v>
      </c>
      <c r="D22" s="6" t="s">
        <v>182</v>
      </c>
      <c r="E22" s="11">
        <v>1.3958E-2</v>
      </c>
      <c r="F22" s="1"/>
      <c r="G22" s="1"/>
      <c r="H22" s="1"/>
      <c r="I22" s="1"/>
      <c r="J22" s="1"/>
      <c r="K22" s="1"/>
      <c r="L22" s="1"/>
      <c r="M22" s="1"/>
      <c r="N22" s="18"/>
    </row>
    <row r="23" spans="2:14" ht="15" customHeight="1" x14ac:dyDescent="0.25">
      <c r="B23" s="20"/>
      <c r="C23" s="5" t="s">
        <v>275</v>
      </c>
      <c r="D23" s="6" t="s">
        <v>182</v>
      </c>
      <c r="E23" s="11">
        <v>1.3875E-2</v>
      </c>
      <c r="F23" s="1"/>
      <c r="G23" s="1"/>
      <c r="H23" s="1"/>
      <c r="I23" s="1"/>
      <c r="J23" s="1"/>
      <c r="K23" s="1"/>
      <c r="L23" s="1"/>
      <c r="M23" s="1"/>
      <c r="N23" s="18"/>
    </row>
    <row r="24" spans="2:14" ht="15" customHeight="1" x14ac:dyDescent="0.25">
      <c r="B24" s="20"/>
      <c r="C24" s="5" t="s">
        <v>282</v>
      </c>
      <c r="D24" s="6" t="s">
        <v>182</v>
      </c>
      <c r="E24" s="11">
        <v>1.3828999999999999E-2</v>
      </c>
      <c r="F24" s="1"/>
      <c r="G24" s="105" t="s">
        <v>8</v>
      </c>
      <c r="H24" s="110"/>
      <c r="I24" s="110"/>
      <c r="J24" s="110"/>
      <c r="K24" s="110"/>
      <c r="L24" s="26">
        <v>7.7088331777516759</v>
      </c>
      <c r="M24" s="27"/>
      <c r="N24" s="28"/>
    </row>
    <row r="25" spans="2:14" ht="15" customHeight="1" x14ac:dyDescent="0.25">
      <c r="B25" s="20"/>
      <c r="C25" s="5" t="s">
        <v>273</v>
      </c>
      <c r="D25" s="6" t="s">
        <v>182</v>
      </c>
      <c r="E25" s="11">
        <v>1.3517E-2</v>
      </c>
      <c r="F25" s="1"/>
      <c r="G25" s="1"/>
      <c r="H25" s="1"/>
      <c r="I25" s="1"/>
      <c r="J25" s="1"/>
      <c r="K25" s="1"/>
      <c r="L25" s="1"/>
      <c r="M25" s="1"/>
      <c r="N25" s="18"/>
    </row>
    <row r="26" spans="2:14" ht="15" customHeight="1" x14ac:dyDescent="0.25">
      <c r="B26" s="20"/>
      <c r="C26" s="5" t="s">
        <v>269</v>
      </c>
      <c r="D26" s="6" t="s">
        <v>182</v>
      </c>
      <c r="E26" s="11">
        <v>1.34E-2</v>
      </c>
      <c r="F26" s="1"/>
      <c r="G26" s="105" t="s">
        <v>9</v>
      </c>
      <c r="H26" s="110"/>
      <c r="I26" s="110"/>
      <c r="J26" s="110"/>
      <c r="K26" s="110"/>
      <c r="L26" s="110"/>
      <c r="M26" s="110"/>
      <c r="N26" s="111"/>
    </row>
    <row r="27" spans="2:14" ht="15" customHeight="1" x14ac:dyDescent="0.25">
      <c r="B27" s="20"/>
      <c r="C27" s="5" t="s">
        <v>268</v>
      </c>
      <c r="D27" s="6" t="s">
        <v>182</v>
      </c>
      <c r="E27" s="11">
        <v>1.3384999999999999E-2</v>
      </c>
      <c r="F27" s="1"/>
      <c r="G27" s="1"/>
      <c r="H27" s="1"/>
      <c r="I27" s="1"/>
      <c r="J27" s="1"/>
      <c r="K27" s="1"/>
      <c r="L27" s="1"/>
      <c r="M27" s="1"/>
      <c r="N27" s="18"/>
    </row>
    <row r="28" spans="2:14" ht="15" customHeight="1" x14ac:dyDescent="0.25">
      <c r="B28" s="20"/>
      <c r="C28" s="5" t="s">
        <v>266</v>
      </c>
      <c r="D28" s="6" t="s">
        <v>182</v>
      </c>
      <c r="E28" s="11">
        <v>1.3202E-2</v>
      </c>
      <c r="F28" s="1"/>
      <c r="G28" s="1"/>
      <c r="H28" s="1"/>
      <c r="I28" s="1"/>
      <c r="J28" s="1"/>
      <c r="K28" s="1"/>
      <c r="L28" s="1"/>
      <c r="M28" s="1"/>
      <c r="N28" s="18"/>
    </row>
    <row r="29" spans="2:14" ht="15" customHeight="1" x14ac:dyDescent="0.25">
      <c r="B29" s="20"/>
      <c r="C29" s="5" t="s">
        <v>280</v>
      </c>
      <c r="D29" s="6" t="s">
        <v>182</v>
      </c>
      <c r="E29" s="11">
        <v>8.2260000000000007E-3</v>
      </c>
      <c r="F29" s="1"/>
      <c r="G29" s="1"/>
      <c r="H29" s="1"/>
      <c r="I29" s="1"/>
      <c r="J29" s="1"/>
      <c r="K29" s="1"/>
      <c r="L29" s="1"/>
      <c r="M29" s="1"/>
      <c r="N29" s="18"/>
    </row>
    <row r="30" spans="2:14" ht="15" customHeight="1" x14ac:dyDescent="0.25">
      <c r="B30" s="20"/>
      <c r="C30" s="5" t="s">
        <v>279</v>
      </c>
      <c r="D30" s="6" t="s">
        <v>182</v>
      </c>
      <c r="E30" s="11">
        <v>6.7219999999999997E-3</v>
      </c>
      <c r="F30" s="1"/>
      <c r="G30" s="1"/>
      <c r="H30" s="1"/>
      <c r="I30" s="1"/>
      <c r="J30" s="1"/>
      <c r="K30" s="1"/>
      <c r="L30" s="1"/>
      <c r="M30" s="1"/>
      <c r="N30" s="18"/>
    </row>
    <row r="31" spans="2:14" ht="15" customHeight="1" x14ac:dyDescent="0.25">
      <c r="B31" s="20"/>
      <c r="C31" s="5" t="s">
        <v>278</v>
      </c>
      <c r="D31" s="6" t="s">
        <v>182</v>
      </c>
      <c r="E31" s="11">
        <v>5.2830000000000004E-3</v>
      </c>
      <c r="F31" s="1"/>
      <c r="G31" s="1"/>
      <c r="H31" s="1"/>
      <c r="I31" s="1"/>
      <c r="J31" s="1"/>
      <c r="K31" s="1"/>
      <c r="L31" s="1"/>
      <c r="M31" s="1"/>
      <c r="N31" s="18"/>
    </row>
    <row r="32" spans="2:14" ht="15" customHeight="1" x14ac:dyDescent="0.25">
      <c r="B32" s="20"/>
      <c r="C32" s="5" t="s">
        <v>271</v>
      </c>
      <c r="D32" s="6" t="s">
        <v>182</v>
      </c>
      <c r="E32" s="11">
        <v>5.1139999999999996E-3</v>
      </c>
      <c r="F32" s="1"/>
      <c r="G32" s="1"/>
      <c r="H32" s="1"/>
      <c r="I32" s="1"/>
      <c r="J32" s="1"/>
      <c r="K32" s="1"/>
      <c r="L32" s="1"/>
      <c r="M32" s="1"/>
      <c r="N32" s="18"/>
    </row>
    <row r="33" spans="2:14" ht="15" customHeight="1" x14ac:dyDescent="0.25">
      <c r="B33" s="20"/>
      <c r="C33" s="5" t="s">
        <v>265</v>
      </c>
      <c r="D33" s="6" t="s">
        <v>182</v>
      </c>
      <c r="E33" s="11">
        <v>2.379E-3</v>
      </c>
      <c r="F33" s="1"/>
      <c r="G33" s="1"/>
      <c r="H33" s="1"/>
      <c r="I33" s="1"/>
      <c r="J33" s="1"/>
      <c r="K33" s="1"/>
      <c r="L33" s="1"/>
      <c r="M33" s="1"/>
      <c r="N33" s="18"/>
    </row>
    <row r="34" spans="2:14" ht="15" customHeight="1" x14ac:dyDescent="0.25">
      <c r="B34" s="20"/>
      <c r="C34" s="5" t="s">
        <v>287</v>
      </c>
      <c r="D34" s="6" t="s">
        <v>182</v>
      </c>
      <c r="E34" s="11">
        <v>1.3470000000000001E-3</v>
      </c>
      <c r="F34" s="1"/>
      <c r="G34" s="1"/>
      <c r="H34" s="1"/>
      <c r="I34" s="1"/>
      <c r="J34" s="1"/>
      <c r="K34" s="1"/>
      <c r="L34" s="1"/>
      <c r="M34" s="1"/>
      <c r="N34" s="18"/>
    </row>
    <row r="35" spans="2:14" ht="15" customHeight="1" x14ac:dyDescent="0.25">
      <c r="B35" s="20"/>
      <c r="C35" s="5" t="s">
        <v>288</v>
      </c>
      <c r="D35" s="6" t="s">
        <v>182</v>
      </c>
      <c r="E35" s="11">
        <v>1.3439999999999999E-3</v>
      </c>
      <c r="F35" s="1"/>
      <c r="G35" s="1"/>
      <c r="H35" s="1"/>
      <c r="I35" s="1"/>
      <c r="J35" s="1"/>
      <c r="K35" s="1"/>
      <c r="L35" s="1"/>
      <c r="M35" s="1"/>
      <c r="N35" s="18"/>
    </row>
    <row r="36" spans="2:14" ht="15" customHeight="1" x14ac:dyDescent="0.25">
      <c r="B36" s="20"/>
      <c r="C36" s="7" t="s">
        <v>49</v>
      </c>
      <c r="D36" s="8"/>
      <c r="E36" s="12">
        <v>0.89398999999999995</v>
      </c>
      <c r="F36" s="1"/>
      <c r="G36" s="1"/>
      <c r="H36" s="1"/>
      <c r="I36" s="1"/>
      <c r="J36" s="1"/>
      <c r="K36" s="1"/>
      <c r="L36" s="1"/>
      <c r="M36" s="1"/>
      <c r="N36" s="18"/>
    </row>
    <row r="37" spans="2:14" ht="15" customHeight="1" x14ac:dyDescent="0.25">
      <c r="B37" s="20"/>
      <c r="C37" s="5" t="s">
        <v>50</v>
      </c>
      <c r="D37" s="6"/>
      <c r="E37" s="11">
        <v>6.4207E-2</v>
      </c>
      <c r="F37" s="1"/>
      <c r="G37" s="1"/>
      <c r="H37" s="1"/>
      <c r="I37" s="1"/>
      <c r="J37" s="1"/>
      <c r="K37" s="1"/>
      <c r="L37" s="1"/>
      <c r="M37" s="1"/>
      <c r="N37" s="18"/>
    </row>
    <row r="38" spans="2:14" ht="15" customHeight="1" x14ac:dyDescent="0.25">
      <c r="B38" s="20"/>
      <c r="C38" s="7" t="s">
        <v>51</v>
      </c>
      <c r="D38" s="8"/>
      <c r="E38" s="12">
        <v>6.4207E-2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7" t="s">
        <v>52</v>
      </c>
      <c r="D40" s="8"/>
      <c r="E40" s="12">
        <v>-0.101976</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53</v>
      </c>
      <c r="D42" s="10"/>
      <c r="E42" s="13">
        <v>1</v>
      </c>
      <c r="F42" s="1"/>
      <c r="G42" s="1"/>
      <c r="H42" s="1"/>
      <c r="I42" s="1"/>
      <c r="J42" s="1"/>
      <c r="K42" s="1"/>
      <c r="L42" s="1"/>
      <c r="M42" s="1"/>
      <c r="N42" s="18"/>
    </row>
    <row r="43" spans="2:14" ht="15" customHeight="1" x14ac:dyDescent="0.25">
      <c r="B43" s="20"/>
      <c r="F43" s="1"/>
      <c r="G43" s="1"/>
      <c r="H43" s="1"/>
      <c r="I43" s="1"/>
      <c r="J43" s="1"/>
      <c r="K43" s="1"/>
      <c r="L43" s="1"/>
      <c r="M43" s="1"/>
      <c r="N43" s="18"/>
    </row>
    <row r="44" spans="2:14" ht="15.75" thickBot="1" x14ac:dyDescent="0.3">
      <c r="B44" s="21"/>
      <c r="C44" s="22"/>
      <c r="D44" s="22"/>
      <c r="E44" s="22"/>
      <c r="F44" s="22"/>
      <c r="G44" s="22"/>
      <c r="H44" s="22"/>
      <c r="I44" s="22"/>
      <c r="J44" s="22"/>
      <c r="K44" s="22"/>
      <c r="L44" s="22"/>
      <c r="M44" s="22"/>
      <c r="N44" s="23"/>
    </row>
    <row r="45" spans="2:14" ht="15.75" thickBot="1" x14ac:dyDescent="0.3"/>
    <row r="46" spans="2:14" ht="129" customHeight="1" thickBot="1" x14ac:dyDescent="0.3">
      <c r="B46" s="97" t="s">
        <v>214</v>
      </c>
      <c r="C46" s="98"/>
      <c r="D46" s="98"/>
      <c r="E46" s="98"/>
      <c r="F46" s="98"/>
      <c r="G46" s="98"/>
      <c r="H46" s="98"/>
      <c r="I46" s="98"/>
      <c r="J46" s="98"/>
      <c r="K46" s="98"/>
      <c r="L46" s="98"/>
      <c r="M46" s="98"/>
      <c r="N46" s="99"/>
    </row>
  </sheetData>
  <mergeCells count="6">
    <mergeCell ref="B46:N46"/>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A0B9-88AE-42AF-B91C-6F177EC96B3D}">
  <dimension ref="B1:N45"/>
  <sheetViews>
    <sheetView showGridLines="0" zoomScale="75" zoomScaleNormal="75" workbookViewId="0"/>
  </sheetViews>
  <sheetFormatPr defaultRowHeight="15" x14ac:dyDescent="0.25"/>
  <cols>
    <col min="1" max="1" width="2.85546875" customWidth="1"/>
    <col min="2" max="2" width="3.85546875" customWidth="1"/>
    <col min="3" max="3" width="5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100" t="s">
        <v>0</v>
      </c>
      <c r="D3" s="108"/>
      <c r="E3" s="108"/>
      <c r="F3" s="108"/>
      <c r="G3" s="108"/>
      <c r="H3" s="108"/>
      <c r="I3" s="108"/>
      <c r="J3" s="108"/>
      <c r="K3" s="108"/>
      <c r="L3" s="108"/>
      <c r="M3" s="108"/>
      <c r="N3" s="109"/>
    </row>
    <row r="4" spans="2:14" ht="15.75" customHeight="1" x14ac:dyDescent="0.25">
      <c r="B4" s="20"/>
      <c r="C4" s="14"/>
      <c r="D4" s="1"/>
      <c r="E4" s="1"/>
      <c r="F4" s="1"/>
      <c r="G4" s="1"/>
      <c r="H4" s="1"/>
      <c r="I4" s="1"/>
      <c r="J4" s="1"/>
      <c r="K4" s="1"/>
      <c r="L4" s="1"/>
      <c r="M4" s="1"/>
      <c r="N4" s="18"/>
    </row>
    <row r="5" spans="2:14" ht="18" customHeight="1" x14ac:dyDescent="0.25">
      <c r="B5" s="20"/>
      <c r="C5" s="15" t="s">
        <v>1</v>
      </c>
      <c r="D5" s="103" t="s">
        <v>2</v>
      </c>
      <c r="E5" s="11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105" t="s">
        <v>7</v>
      </c>
      <c r="H7" s="110"/>
      <c r="I7" s="110"/>
      <c r="J7" s="110"/>
      <c r="K7" s="110"/>
      <c r="L7" s="110"/>
      <c r="M7" s="110"/>
      <c r="N7" s="111"/>
    </row>
    <row r="8" spans="2:14" ht="15" customHeight="1" x14ac:dyDescent="0.25">
      <c r="B8" s="20"/>
      <c r="C8" s="5" t="s">
        <v>315</v>
      </c>
      <c r="D8" s="6"/>
      <c r="E8" s="11">
        <v>0.61578900000000003</v>
      </c>
      <c r="F8" s="1"/>
      <c r="G8" s="24" t="s">
        <v>6</v>
      </c>
      <c r="H8" s="25">
        <v>1</v>
      </c>
      <c r="I8" s="49"/>
      <c r="J8" s="47" t="s">
        <v>54</v>
      </c>
      <c r="K8" s="47" t="s">
        <v>5</v>
      </c>
      <c r="L8" s="49"/>
      <c r="M8" s="1"/>
      <c r="N8" s="18"/>
    </row>
    <row r="9" spans="2:14" ht="15" customHeight="1" x14ac:dyDescent="0.25">
      <c r="B9" s="20"/>
      <c r="C9" s="5" t="s">
        <v>316</v>
      </c>
      <c r="D9" s="6"/>
      <c r="E9" s="11">
        <v>0.38333800000000001</v>
      </c>
      <c r="F9" s="1"/>
      <c r="G9" s="1"/>
      <c r="H9" s="1"/>
      <c r="I9" s="49"/>
      <c r="J9" s="47" t="s">
        <v>52</v>
      </c>
      <c r="K9" s="48">
        <v>-5.7499999999999999E-4</v>
      </c>
      <c r="L9" s="49"/>
      <c r="M9" s="1"/>
      <c r="N9" s="18"/>
    </row>
    <row r="10" spans="2:14" ht="15" customHeight="1" x14ac:dyDescent="0.25">
      <c r="B10" s="20"/>
      <c r="C10" s="5" t="s">
        <v>318</v>
      </c>
      <c r="D10" s="6"/>
      <c r="E10" s="11">
        <v>5.5000000000000002E-5</v>
      </c>
      <c r="F10" s="1"/>
      <c r="G10" s="1"/>
      <c r="H10" s="1"/>
      <c r="I10" s="49"/>
      <c r="J10" s="47" t="s">
        <v>55</v>
      </c>
      <c r="K10" s="48">
        <v>1.3929999999999999E-3</v>
      </c>
      <c r="L10" s="49"/>
      <c r="M10" s="1"/>
      <c r="N10" s="18"/>
    </row>
    <row r="11" spans="2:14" ht="15.75" customHeight="1" x14ac:dyDescent="0.25">
      <c r="B11" s="20"/>
      <c r="C11" s="7" t="s">
        <v>317</v>
      </c>
      <c r="D11" s="8"/>
      <c r="E11" s="12">
        <v>0.99918200000000001</v>
      </c>
      <c r="F11" s="1"/>
      <c r="G11" s="1"/>
      <c r="H11" s="1"/>
      <c r="I11" s="49"/>
      <c r="J11" s="47" t="s">
        <v>319</v>
      </c>
      <c r="K11" s="48">
        <v>0.99918200000000001</v>
      </c>
      <c r="L11" s="49"/>
      <c r="M11" s="1"/>
      <c r="N11" s="18"/>
    </row>
    <row r="12" spans="2:14" ht="15" customHeight="1" x14ac:dyDescent="0.25">
      <c r="B12" s="20"/>
      <c r="C12" s="5" t="s">
        <v>50</v>
      </c>
      <c r="D12" s="6"/>
      <c r="E12" s="11">
        <v>1.3929999999999999E-3</v>
      </c>
      <c r="F12" s="1"/>
      <c r="G12" s="1"/>
      <c r="H12" s="1"/>
      <c r="I12" s="49"/>
      <c r="J12" s="47"/>
      <c r="K12" s="47"/>
      <c r="L12" s="49"/>
      <c r="M12" s="1"/>
      <c r="N12" s="18"/>
    </row>
    <row r="13" spans="2:14" ht="15.75" customHeight="1" x14ac:dyDescent="0.25">
      <c r="B13" s="20"/>
      <c r="C13" s="7" t="s">
        <v>51</v>
      </c>
      <c r="D13" s="8"/>
      <c r="E13" s="12">
        <v>1.3929999999999999E-3</v>
      </c>
      <c r="F13" s="1"/>
      <c r="G13" s="1"/>
      <c r="H13" s="1"/>
      <c r="I13" s="49"/>
      <c r="J13" s="49"/>
      <c r="K13" s="49"/>
      <c r="L13" s="49"/>
      <c r="M13" s="1"/>
      <c r="N13" s="18"/>
    </row>
    <row r="14" spans="2:14" ht="15" customHeight="1" x14ac:dyDescent="0.25">
      <c r="B14" s="20"/>
      <c r="C14" s="5"/>
      <c r="D14" s="6"/>
      <c r="E14" s="11"/>
      <c r="F14" s="1"/>
      <c r="G14" s="1"/>
      <c r="H14" s="1"/>
      <c r="I14" s="49"/>
      <c r="J14" s="49"/>
      <c r="K14" s="49"/>
      <c r="L14" s="49"/>
      <c r="M14" s="1"/>
      <c r="N14" s="18"/>
    </row>
    <row r="15" spans="2:14" ht="15.75" customHeight="1" x14ac:dyDescent="0.25">
      <c r="B15" s="20"/>
      <c r="C15" s="7" t="s">
        <v>52</v>
      </c>
      <c r="D15" s="8"/>
      <c r="E15" s="12">
        <v>-5.7499999999999999E-4</v>
      </c>
      <c r="F15" s="1"/>
      <c r="G15" s="1"/>
      <c r="H15" s="1"/>
      <c r="I15" s="49"/>
      <c r="J15" s="49"/>
      <c r="K15" s="49"/>
      <c r="L15" s="49"/>
      <c r="M15" s="1"/>
      <c r="N15" s="18"/>
    </row>
    <row r="16" spans="2:14" ht="15" customHeight="1" x14ac:dyDescent="0.25">
      <c r="B16" s="20"/>
      <c r="C16" s="5"/>
      <c r="D16" s="6"/>
      <c r="E16" s="11"/>
      <c r="F16" s="1"/>
      <c r="G16" s="1"/>
      <c r="H16" s="1"/>
      <c r="I16" s="49"/>
      <c r="J16" s="49"/>
      <c r="K16" s="49"/>
      <c r="L16" s="49"/>
      <c r="M16" s="1"/>
      <c r="N16" s="18"/>
    </row>
    <row r="17" spans="2:14" ht="15" customHeight="1" x14ac:dyDescent="0.25">
      <c r="B17" s="20"/>
      <c r="C17" s="9" t="s">
        <v>53</v>
      </c>
      <c r="D17" s="10"/>
      <c r="E17" s="13">
        <v>1</v>
      </c>
      <c r="F17" s="1"/>
      <c r="G17" s="1"/>
      <c r="H17" s="1"/>
      <c r="I17" s="49"/>
      <c r="J17" s="49"/>
      <c r="K17" s="49"/>
      <c r="L17" s="49"/>
      <c r="M17" s="1"/>
      <c r="N17" s="18"/>
    </row>
    <row r="18" spans="2:14" ht="15" customHeight="1" x14ac:dyDescent="0.25">
      <c r="B18" s="20"/>
      <c r="C18" s="1"/>
      <c r="D18" s="1"/>
      <c r="E18" s="1"/>
      <c r="F18" s="1"/>
      <c r="G18" s="1"/>
      <c r="H18" s="1"/>
      <c r="I18" s="49"/>
      <c r="J18" s="49"/>
      <c r="K18" s="49"/>
      <c r="L18" s="49"/>
      <c r="M18" s="1"/>
      <c r="N18" s="18"/>
    </row>
    <row r="19" spans="2:14" ht="15" customHeight="1" x14ac:dyDescent="0.25">
      <c r="B19" s="20"/>
      <c r="C19" s="1"/>
      <c r="D19" s="1"/>
      <c r="E19" s="1"/>
      <c r="F19" s="1"/>
      <c r="G19" s="1"/>
      <c r="H19" s="1"/>
      <c r="I19" s="49"/>
      <c r="J19" s="49"/>
      <c r="K19" s="49"/>
      <c r="L19" s="49"/>
      <c r="M19" s="1"/>
      <c r="N19" s="18"/>
    </row>
    <row r="20" spans="2:14" ht="15" customHeight="1" x14ac:dyDescent="0.25">
      <c r="B20" s="20"/>
      <c r="C20" s="1"/>
      <c r="D20" s="1"/>
      <c r="E20" s="1"/>
      <c r="F20" s="1"/>
      <c r="G20" s="1"/>
      <c r="H20" s="1"/>
      <c r="I20" s="49"/>
      <c r="J20" s="49"/>
      <c r="K20" s="49"/>
      <c r="L20" s="49"/>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05" t="s">
        <v>8</v>
      </c>
      <c r="H24" s="110"/>
      <c r="I24" s="110"/>
      <c r="J24" s="110"/>
      <c r="K24" s="110"/>
      <c r="L24" s="26">
        <v>3.6602303555461564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105" t="s">
        <v>9</v>
      </c>
      <c r="H26" s="110"/>
      <c r="I26" s="110"/>
      <c r="J26" s="110"/>
      <c r="K26" s="110"/>
      <c r="L26" s="110"/>
      <c r="M26" s="110"/>
      <c r="N26" s="11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97" t="s">
        <v>214</v>
      </c>
      <c r="C45" s="98"/>
      <c r="D45" s="98"/>
      <c r="E45" s="98"/>
      <c r="F45" s="98"/>
      <c r="G45" s="98"/>
      <c r="H45" s="98"/>
      <c r="I45" s="98"/>
      <c r="J45" s="98"/>
      <c r="K45" s="98"/>
      <c r="L45" s="98"/>
      <c r="M45" s="98"/>
      <c r="N45" s="99"/>
    </row>
  </sheetData>
  <sortState ref="C8:E10">
    <sortCondition descending="1" ref="E8"/>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BA74-9FD5-4432-A88A-2A02FB43EA1C}">
  <sheetPr>
    <tabColor rgb="FFE5E3E3"/>
    <pageSetUpPr fitToPage="1"/>
  </sheetPr>
  <dimension ref="B1:X691"/>
  <sheetViews>
    <sheetView showGridLines="0" zoomScale="75" zoomScaleNormal="75" workbookViewId="0"/>
  </sheetViews>
  <sheetFormatPr defaultRowHeight="15" x14ac:dyDescent="0.2"/>
  <cols>
    <col min="1" max="1" width="2.85546875" style="58" customWidth="1"/>
    <col min="2" max="2" width="3.85546875" style="58" customWidth="1"/>
    <col min="3" max="3" width="60.5703125" style="58" customWidth="1"/>
    <col min="4" max="4" width="15.42578125" style="58" bestFit="1" customWidth="1"/>
    <col min="5" max="5" width="9.140625" style="58"/>
    <col min="6" max="6" width="10.7109375" style="58" customWidth="1"/>
    <col min="7" max="7" width="10.5703125" style="58" bestFit="1" customWidth="1"/>
    <col min="8" max="9" width="9.140625" style="58"/>
    <col min="10" max="11" width="16.42578125" style="58" customWidth="1"/>
    <col min="12" max="18" width="9.140625" style="58"/>
    <col min="19" max="19" width="9.85546875" style="58" customWidth="1"/>
    <col min="20" max="21" width="9.28515625" style="58" bestFit="1" customWidth="1"/>
    <col min="22" max="16384" width="9.140625" style="58"/>
  </cols>
  <sheetData>
    <row r="1" spans="2:24" ht="15.75" thickBot="1" x14ac:dyDescent="0.25"/>
    <row r="2" spans="2:24" x14ac:dyDescent="0.2">
      <c r="B2" s="59"/>
      <c r="C2" s="60"/>
      <c r="D2" s="60"/>
      <c r="E2" s="60"/>
      <c r="F2" s="60"/>
      <c r="G2" s="60"/>
      <c r="H2" s="60"/>
      <c r="I2" s="60"/>
      <c r="J2" s="60"/>
      <c r="K2" s="60"/>
      <c r="L2" s="60"/>
      <c r="M2" s="61"/>
    </row>
    <row r="3" spans="2:24" ht="20.25" customHeight="1" x14ac:dyDescent="0.2">
      <c r="B3" s="62"/>
      <c r="C3" s="113" t="s">
        <v>345</v>
      </c>
      <c r="D3" s="113"/>
      <c r="E3" s="113"/>
      <c r="F3" s="113"/>
      <c r="G3" s="113"/>
      <c r="H3" s="113"/>
      <c r="I3" s="113"/>
      <c r="J3" s="113"/>
      <c r="K3" s="113"/>
      <c r="L3" s="113"/>
      <c r="M3" s="114"/>
    </row>
    <row r="4" spans="2:24" ht="15.75" x14ac:dyDescent="0.25">
      <c r="B4" s="62"/>
      <c r="C4" s="14"/>
      <c r="D4" s="51"/>
      <c r="E4" s="51"/>
      <c r="F4" s="63"/>
      <c r="G4" s="63"/>
      <c r="H4" s="63"/>
      <c r="I4" s="63"/>
      <c r="J4" s="63"/>
      <c r="K4" s="63"/>
      <c r="L4" s="63"/>
      <c r="M4" s="64"/>
    </row>
    <row r="5" spans="2:24" ht="20.25" customHeight="1" x14ac:dyDescent="0.25">
      <c r="B5" s="62"/>
      <c r="C5" s="15" t="s">
        <v>1</v>
      </c>
      <c r="D5" s="65" t="s">
        <v>344</v>
      </c>
      <c r="E5" s="66"/>
      <c r="F5" s="63"/>
      <c r="G5" s="63"/>
      <c r="H5" s="63"/>
      <c r="I5" s="63"/>
      <c r="J5" s="63"/>
      <c r="K5" s="63"/>
      <c r="L5" s="63"/>
      <c r="M5" s="64"/>
    </row>
    <row r="6" spans="2:24" x14ac:dyDescent="0.2">
      <c r="B6" s="62"/>
      <c r="C6" s="63"/>
      <c r="D6" s="63"/>
      <c r="E6" s="63"/>
      <c r="F6" s="63"/>
      <c r="G6" s="63"/>
      <c r="H6" s="63"/>
      <c r="I6" s="63"/>
      <c r="J6" s="63"/>
      <c r="K6" s="63"/>
      <c r="L6" s="63"/>
      <c r="M6" s="64"/>
    </row>
    <row r="7" spans="2:24" ht="15.75" x14ac:dyDescent="0.2">
      <c r="B7" s="62"/>
      <c r="C7" s="67" t="s">
        <v>3</v>
      </c>
      <c r="D7" s="68" t="s">
        <v>5</v>
      </c>
      <c r="E7" s="63"/>
      <c r="F7" s="115" t="s">
        <v>9</v>
      </c>
      <c r="G7" s="115"/>
      <c r="H7" s="115"/>
      <c r="I7" s="115"/>
      <c r="J7" s="115"/>
      <c r="K7" s="115"/>
      <c r="L7" s="115"/>
      <c r="M7" s="116"/>
    </row>
    <row r="8" spans="2:24" x14ac:dyDescent="0.2">
      <c r="B8" s="62"/>
      <c r="C8" s="69" t="s">
        <v>326</v>
      </c>
      <c r="D8" s="70">
        <v>0.98646100000000003</v>
      </c>
      <c r="E8" s="63"/>
      <c r="F8" s="63"/>
      <c r="G8" s="71"/>
      <c r="H8" s="63"/>
      <c r="I8" s="63" t="s">
        <v>327</v>
      </c>
      <c r="J8" s="72">
        <f>D9</f>
        <v>0.98646100000000003</v>
      </c>
      <c r="K8" s="63"/>
      <c r="L8" s="63"/>
      <c r="M8" s="64"/>
      <c r="S8" s="73"/>
      <c r="W8" s="58" t="s">
        <v>328</v>
      </c>
      <c r="X8" s="58">
        <v>0.25058799999999998</v>
      </c>
    </row>
    <row r="9" spans="2:24" ht="15.75" x14ac:dyDescent="0.25">
      <c r="B9" s="62"/>
      <c r="C9" s="74" t="s">
        <v>327</v>
      </c>
      <c r="D9" s="75">
        <v>0.98646100000000003</v>
      </c>
      <c r="E9" s="63"/>
      <c r="F9" s="63"/>
      <c r="G9" s="63"/>
      <c r="H9" s="63"/>
      <c r="I9" s="63" t="s">
        <v>52</v>
      </c>
      <c r="J9" s="72">
        <f>D13</f>
        <v>-2.464E-3</v>
      </c>
      <c r="K9" s="63"/>
      <c r="L9" s="63"/>
      <c r="M9" s="64"/>
      <c r="S9" s="73"/>
      <c r="W9" s="58" t="s">
        <v>329</v>
      </c>
      <c r="X9" s="58">
        <v>6.1296999999999997E-2</v>
      </c>
    </row>
    <row r="10" spans="2:24" x14ac:dyDescent="0.2">
      <c r="B10" s="62"/>
      <c r="C10" s="76" t="s">
        <v>50</v>
      </c>
      <c r="D10" s="77">
        <v>1.6003E-2</v>
      </c>
      <c r="E10" s="63"/>
      <c r="F10" s="63"/>
      <c r="G10" s="63"/>
      <c r="I10" s="58" t="s">
        <v>51</v>
      </c>
      <c r="J10" s="72">
        <f>D11</f>
        <v>1.6003E-2</v>
      </c>
      <c r="K10" s="63"/>
      <c r="L10" s="63"/>
      <c r="M10" s="64"/>
      <c r="S10" s="73"/>
      <c r="W10" s="58" t="s">
        <v>330</v>
      </c>
      <c r="X10" s="58">
        <v>3.0130999999999998E-2</v>
      </c>
    </row>
    <row r="11" spans="2:24" ht="15.75" x14ac:dyDescent="0.2">
      <c r="B11" s="62"/>
      <c r="C11" s="78" t="s">
        <v>51</v>
      </c>
      <c r="D11" s="79">
        <v>1.6003E-2</v>
      </c>
      <c r="E11" s="63"/>
      <c r="F11" s="63"/>
      <c r="G11" s="63"/>
      <c r="J11" s="63"/>
      <c r="K11" s="63"/>
      <c r="L11" s="63"/>
      <c r="M11" s="64"/>
      <c r="S11" s="73"/>
      <c r="W11" s="58" t="s">
        <v>331</v>
      </c>
      <c r="X11" s="58">
        <v>2.7299E-2</v>
      </c>
    </row>
    <row r="12" spans="2:24" x14ac:dyDescent="0.2">
      <c r="B12" s="62"/>
      <c r="C12" s="76"/>
      <c r="D12" s="80"/>
      <c r="E12" s="63"/>
      <c r="F12" s="63"/>
      <c r="G12" s="63"/>
      <c r="J12" s="63"/>
      <c r="K12" s="63"/>
      <c r="L12" s="63"/>
      <c r="M12" s="64"/>
      <c r="S12" s="73"/>
      <c r="W12" s="58" t="s">
        <v>332</v>
      </c>
      <c r="X12" s="58">
        <v>2.5925E-2</v>
      </c>
    </row>
    <row r="13" spans="2:24" ht="15.75" x14ac:dyDescent="0.2">
      <c r="B13" s="62"/>
      <c r="C13" s="78" t="s">
        <v>52</v>
      </c>
      <c r="D13" s="79">
        <v>-2.464E-3</v>
      </c>
      <c r="E13" s="63"/>
      <c r="F13" s="63"/>
      <c r="G13" s="63"/>
      <c r="J13" s="63"/>
      <c r="K13" s="63"/>
      <c r="L13" s="63"/>
      <c r="M13" s="64"/>
      <c r="S13" s="73"/>
      <c r="W13" s="58" t="s">
        <v>333</v>
      </c>
      <c r="X13" s="58">
        <v>2.3822000000000003E-2</v>
      </c>
    </row>
    <row r="14" spans="2:24" x14ac:dyDescent="0.2">
      <c r="B14" s="62"/>
      <c r="C14" s="76"/>
      <c r="D14" s="80"/>
      <c r="E14" s="63"/>
      <c r="F14" s="63"/>
      <c r="G14" s="63"/>
      <c r="H14" s="63"/>
      <c r="I14" s="63"/>
      <c r="J14" s="63"/>
      <c r="K14" s="63"/>
      <c r="L14" s="63"/>
      <c r="M14" s="64"/>
      <c r="S14" s="73"/>
      <c r="W14" s="58" t="s">
        <v>334</v>
      </c>
      <c r="X14" s="58">
        <v>2.3753E-2</v>
      </c>
    </row>
    <row r="15" spans="2:24" ht="15.75" x14ac:dyDescent="0.2">
      <c r="B15" s="62"/>
      <c r="C15" s="81" t="s">
        <v>53</v>
      </c>
      <c r="D15" s="82">
        <f>D13+D11+D9</f>
        <v>1</v>
      </c>
      <c r="E15" s="63"/>
      <c r="F15" s="63"/>
      <c r="G15" s="63"/>
      <c r="H15" s="63"/>
      <c r="I15" s="63"/>
      <c r="J15" s="63"/>
      <c r="K15" s="63"/>
      <c r="L15" s="63"/>
      <c r="M15" s="64"/>
      <c r="S15" s="73"/>
      <c r="W15" s="58" t="s">
        <v>335</v>
      </c>
      <c r="X15" s="58">
        <v>1.8620999999999999E-2</v>
      </c>
    </row>
    <row r="16" spans="2:24" x14ac:dyDescent="0.2">
      <c r="B16" s="62"/>
      <c r="E16" s="63"/>
      <c r="F16" s="63"/>
      <c r="G16" s="63"/>
      <c r="H16" s="63"/>
      <c r="I16" s="63"/>
      <c r="J16" s="63"/>
      <c r="K16" s="63"/>
      <c r="L16" s="63"/>
      <c r="M16" s="64"/>
      <c r="S16" s="73"/>
      <c r="W16" s="58" t="s">
        <v>336</v>
      </c>
      <c r="X16" s="58">
        <v>1.7219000000000002E-2</v>
      </c>
    </row>
    <row r="17" spans="2:24" ht="15.75" x14ac:dyDescent="0.25">
      <c r="B17" s="62"/>
      <c r="C17" s="83"/>
      <c r="D17" s="84"/>
      <c r="E17" s="63"/>
      <c r="F17" s="63"/>
      <c r="G17" s="63"/>
      <c r="H17" s="63"/>
      <c r="I17" s="63"/>
      <c r="J17" s="63"/>
      <c r="K17" s="63"/>
      <c r="L17" s="63"/>
      <c r="M17" s="64"/>
      <c r="S17" s="73"/>
      <c r="W17" s="58" t="s">
        <v>337</v>
      </c>
      <c r="X17" s="58">
        <v>1.6056000000000001E-2</v>
      </c>
    </row>
    <row r="18" spans="2:24" x14ac:dyDescent="0.2">
      <c r="B18" s="62"/>
      <c r="C18" s="85"/>
      <c r="D18" s="85"/>
      <c r="E18" s="63"/>
      <c r="F18" s="63"/>
      <c r="G18" s="63"/>
      <c r="H18" s="63"/>
      <c r="I18" s="63"/>
      <c r="J18" s="63"/>
      <c r="K18" s="63"/>
      <c r="L18" s="63"/>
      <c r="M18" s="64"/>
      <c r="S18" s="73"/>
      <c r="W18" s="58" t="s">
        <v>338</v>
      </c>
      <c r="X18" s="58">
        <v>1.41E-2</v>
      </c>
    </row>
    <row r="19" spans="2:24" ht="15.75" x14ac:dyDescent="0.25">
      <c r="B19" s="62"/>
      <c r="C19" s="83"/>
      <c r="D19" s="86"/>
      <c r="E19" s="63"/>
      <c r="F19" s="63"/>
      <c r="G19" s="63"/>
      <c r="H19" s="63"/>
      <c r="I19" s="63"/>
      <c r="J19" s="63"/>
      <c r="K19" s="63"/>
      <c r="L19" s="63"/>
      <c r="M19" s="64"/>
      <c r="S19" s="73"/>
      <c r="W19" s="58" t="s">
        <v>339</v>
      </c>
      <c r="X19" s="58">
        <v>1.1167E-2</v>
      </c>
    </row>
    <row r="20" spans="2:24" x14ac:dyDescent="0.2">
      <c r="B20" s="62"/>
      <c r="E20" s="63"/>
      <c r="F20" s="63"/>
      <c r="G20" s="63"/>
      <c r="H20" s="63"/>
      <c r="I20" s="63"/>
      <c r="J20" s="63"/>
      <c r="K20" s="63"/>
      <c r="L20" s="63"/>
      <c r="M20" s="64"/>
      <c r="S20" s="73"/>
      <c r="W20" s="58" t="s">
        <v>340</v>
      </c>
      <c r="X20" s="58">
        <v>1.1159000000000001E-2</v>
      </c>
    </row>
    <row r="21" spans="2:24" x14ac:dyDescent="0.2">
      <c r="B21" s="62"/>
      <c r="E21" s="63"/>
      <c r="F21" s="63"/>
      <c r="G21" s="63"/>
      <c r="H21" s="63"/>
      <c r="I21" s="63"/>
      <c r="J21" s="63"/>
      <c r="K21" s="63"/>
      <c r="L21" s="63"/>
      <c r="M21" s="64"/>
      <c r="S21" s="73"/>
      <c r="W21" s="58" t="s">
        <v>341</v>
      </c>
      <c r="X21" s="58">
        <v>1.0543E-2</v>
      </c>
    </row>
    <row r="22" spans="2:24" ht="16.5" thickBot="1" x14ac:dyDescent="0.3">
      <c r="B22" s="87"/>
      <c r="C22" s="117"/>
      <c r="D22" s="117"/>
      <c r="E22" s="117"/>
      <c r="F22" s="117"/>
      <c r="G22" s="117"/>
      <c r="H22" s="117"/>
      <c r="I22" s="117"/>
      <c r="J22" s="117"/>
      <c r="K22" s="117"/>
      <c r="L22" s="117"/>
      <c r="M22" s="118"/>
      <c r="S22" s="73"/>
    </row>
    <row r="23" spans="2:24" ht="15.75" thickBot="1" x14ac:dyDescent="0.25">
      <c r="S23" s="73"/>
    </row>
    <row r="24" spans="2:24" ht="15" customHeight="1" x14ac:dyDescent="0.2">
      <c r="B24" s="119" t="s">
        <v>342</v>
      </c>
      <c r="C24" s="120"/>
      <c r="D24" s="120"/>
      <c r="E24" s="120"/>
      <c r="F24" s="120"/>
      <c r="G24" s="120"/>
      <c r="H24" s="120"/>
      <c r="I24" s="120"/>
      <c r="J24" s="120"/>
      <c r="K24" s="120"/>
      <c r="L24" s="120"/>
      <c r="M24" s="120"/>
      <c r="N24" s="121"/>
      <c r="S24" s="73"/>
    </row>
    <row r="25" spans="2:24" ht="15.75" customHeight="1" x14ac:dyDescent="0.2">
      <c r="B25" s="122"/>
      <c r="C25" s="123"/>
      <c r="D25" s="123"/>
      <c r="E25" s="123"/>
      <c r="F25" s="123"/>
      <c r="G25" s="123"/>
      <c r="H25" s="123"/>
      <c r="I25" s="123"/>
      <c r="J25" s="123"/>
      <c r="K25" s="123"/>
      <c r="L25" s="123"/>
      <c r="M25" s="123"/>
      <c r="N25" s="124"/>
      <c r="S25" s="73"/>
    </row>
    <row r="26" spans="2:24" ht="15.75" customHeight="1" x14ac:dyDescent="0.2">
      <c r="B26" s="122"/>
      <c r="C26" s="123"/>
      <c r="D26" s="123"/>
      <c r="E26" s="123"/>
      <c r="F26" s="123"/>
      <c r="G26" s="123"/>
      <c r="H26" s="123"/>
      <c r="I26" s="123"/>
      <c r="J26" s="123"/>
      <c r="K26" s="123"/>
      <c r="L26" s="123"/>
      <c r="M26" s="123"/>
      <c r="N26" s="124"/>
      <c r="S26" s="73"/>
    </row>
    <row r="27" spans="2:24" ht="15.75" customHeight="1" x14ac:dyDescent="0.2">
      <c r="B27" s="122"/>
      <c r="C27" s="123"/>
      <c r="D27" s="123"/>
      <c r="E27" s="123"/>
      <c r="F27" s="123"/>
      <c r="G27" s="123"/>
      <c r="H27" s="123"/>
      <c r="I27" s="123"/>
      <c r="J27" s="123"/>
      <c r="K27" s="123"/>
      <c r="L27" s="123"/>
      <c r="M27" s="123"/>
      <c r="N27" s="124"/>
      <c r="S27" s="73"/>
    </row>
    <row r="28" spans="2:24" ht="15.75" customHeight="1" x14ac:dyDescent="0.2">
      <c r="B28" s="122"/>
      <c r="C28" s="123"/>
      <c r="D28" s="123"/>
      <c r="E28" s="123"/>
      <c r="F28" s="123"/>
      <c r="G28" s="123"/>
      <c r="H28" s="123"/>
      <c r="I28" s="123"/>
      <c r="J28" s="123"/>
      <c r="K28" s="123"/>
      <c r="L28" s="123"/>
      <c r="M28" s="123"/>
      <c r="N28" s="124"/>
      <c r="S28" s="73"/>
    </row>
    <row r="29" spans="2:24" ht="15.75" customHeight="1" x14ac:dyDescent="0.2">
      <c r="B29" s="122"/>
      <c r="C29" s="123"/>
      <c r="D29" s="123"/>
      <c r="E29" s="123"/>
      <c r="F29" s="123"/>
      <c r="G29" s="123"/>
      <c r="H29" s="123"/>
      <c r="I29" s="123"/>
      <c r="J29" s="123"/>
      <c r="K29" s="123"/>
      <c r="L29" s="123"/>
      <c r="M29" s="123"/>
      <c r="N29" s="124"/>
      <c r="S29" s="73"/>
    </row>
    <row r="30" spans="2:24" ht="28.5" customHeight="1" thickBot="1" x14ac:dyDescent="0.25">
      <c r="B30" s="125"/>
      <c r="C30" s="126"/>
      <c r="D30" s="126"/>
      <c r="E30" s="126"/>
      <c r="F30" s="126"/>
      <c r="G30" s="126"/>
      <c r="H30" s="126"/>
      <c r="I30" s="126"/>
      <c r="J30" s="126"/>
      <c r="K30" s="126"/>
      <c r="L30" s="126"/>
      <c r="M30" s="126"/>
      <c r="N30" s="127"/>
      <c r="S30" s="73"/>
    </row>
    <row r="31" spans="2:24" ht="15.75" thickBot="1" x14ac:dyDescent="0.25">
      <c r="S31" s="73"/>
    </row>
    <row r="32" spans="2:24" x14ac:dyDescent="0.2">
      <c r="B32" s="119" t="s">
        <v>343</v>
      </c>
      <c r="C32" s="120"/>
      <c r="D32" s="120"/>
      <c r="E32" s="120"/>
      <c r="F32" s="120"/>
      <c r="G32" s="120"/>
      <c r="H32" s="120"/>
      <c r="I32" s="120"/>
      <c r="J32" s="120"/>
      <c r="K32" s="120"/>
      <c r="L32" s="120"/>
      <c r="M32" s="120"/>
      <c r="N32" s="121"/>
      <c r="S32" s="73"/>
    </row>
    <row r="33" spans="2:19" x14ac:dyDescent="0.2">
      <c r="B33" s="122"/>
      <c r="C33" s="123"/>
      <c r="D33" s="123"/>
      <c r="E33" s="123"/>
      <c r="F33" s="123"/>
      <c r="G33" s="123"/>
      <c r="H33" s="123"/>
      <c r="I33" s="123"/>
      <c r="J33" s="123"/>
      <c r="K33" s="123"/>
      <c r="L33" s="123"/>
      <c r="M33" s="123"/>
      <c r="N33" s="124"/>
      <c r="S33" s="73"/>
    </row>
    <row r="34" spans="2:19" x14ac:dyDescent="0.2">
      <c r="B34" s="122"/>
      <c r="C34" s="123"/>
      <c r="D34" s="123"/>
      <c r="E34" s="123"/>
      <c r="F34" s="123"/>
      <c r="G34" s="123"/>
      <c r="H34" s="123"/>
      <c r="I34" s="123"/>
      <c r="J34" s="123"/>
      <c r="K34" s="123"/>
      <c r="L34" s="123"/>
      <c r="M34" s="123"/>
      <c r="N34" s="124"/>
      <c r="S34" s="73"/>
    </row>
    <row r="35" spans="2:19" x14ac:dyDescent="0.2">
      <c r="B35" s="122"/>
      <c r="C35" s="123"/>
      <c r="D35" s="123"/>
      <c r="E35" s="123"/>
      <c r="F35" s="123"/>
      <c r="G35" s="123"/>
      <c r="H35" s="123"/>
      <c r="I35" s="123"/>
      <c r="J35" s="123"/>
      <c r="K35" s="123"/>
      <c r="L35" s="123"/>
      <c r="M35" s="123"/>
      <c r="N35" s="124"/>
      <c r="S35" s="73"/>
    </row>
    <row r="36" spans="2:19" x14ac:dyDescent="0.2">
      <c r="B36" s="122"/>
      <c r="C36" s="123"/>
      <c r="D36" s="123"/>
      <c r="E36" s="123"/>
      <c r="F36" s="123"/>
      <c r="G36" s="123"/>
      <c r="H36" s="123"/>
      <c r="I36" s="123"/>
      <c r="J36" s="123"/>
      <c r="K36" s="123"/>
      <c r="L36" s="123"/>
      <c r="M36" s="123"/>
      <c r="N36" s="124"/>
      <c r="S36" s="73"/>
    </row>
    <row r="37" spans="2:19" x14ac:dyDescent="0.2">
      <c r="B37" s="122"/>
      <c r="C37" s="123"/>
      <c r="D37" s="123"/>
      <c r="E37" s="123"/>
      <c r="F37" s="123"/>
      <c r="G37" s="123"/>
      <c r="H37" s="123"/>
      <c r="I37" s="123"/>
      <c r="J37" s="123"/>
      <c r="K37" s="123"/>
      <c r="L37" s="123"/>
      <c r="M37" s="123"/>
      <c r="N37" s="124"/>
      <c r="S37" s="73"/>
    </row>
    <row r="38" spans="2:19" ht="15.75" thickBot="1" x14ac:dyDescent="0.25">
      <c r="B38" s="125"/>
      <c r="C38" s="126"/>
      <c r="D38" s="126"/>
      <c r="E38" s="126"/>
      <c r="F38" s="126"/>
      <c r="G38" s="126"/>
      <c r="H38" s="126"/>
      <c r="I38" s="126"/>
      <c r="J38" s="126"/>
      <c r="K38" s="126"/>
      <c r="L38" s="126"/>
      <c r="M38" s="126"/>
      <c r="N38" s="127"/>
      <c r="S38" s="73"/>
    </row>
    <row r="39" spans="2:19" x14ac:dyDescent="0.2">
      <c r="S39" s="73"/>
    </row>
    <row r="40" spans="2:19" x14ac:dyDescent="0.2">
      <c r="S40" s="73"/>
    </row>
    <row r="41" spans="2:19" x14ac:dyDescent="0.2">
      <c r="S41" s="73"/>
    </row>
    <row r="42" spans="2:19" x14ac:dyDescent="0.2">
      <c r="S42" s="73"/>
    </row>
    <row r="43" spans="2:19" x14ac:dyDescent="0.2">
      <c r="S43" s="73"/>
    </row>
    <row r="44" spans="2:19" x14ac:dyDescent="0.2">
      <c r="S44" s="73"/>
    </row>
    <row r="45" spans="2:19" x14ac:dyDescent="0.2">
      <c r="S45" s="73"/>
    </row>
    <row r="46" spans="2:19" x14ac:dyDescent="0.2">
      <c r="S46" s="73"/>
    </row>
    <row r="47" spans="2:19" x14ac:dyDescent="0.2">
      <c r="S47" s="73"/>
    </row>
    <row r="48" spans="2:19" x14ac:dyDescent="0.2">
      <c r="S48" s="73"/>
    </row>
    <row r="49" spans="19:19" x14ac:dyDescent="0.2">
      <c r="S49" s="73"/>
    </row>
    <row r="50" spans="19:19" x14ac:dyDescent="0.2">
      <c r="S50" s="73"/>
    </row>
    <row r="51" spans="19:19" x14ac:dyDescent="0.2">
      <c r="S51" s="73"/>
    </row>
    <row r="52" spans="19:19" x14ac:dyDescent="0.2">
      <c r="S52" s="73"/>
    </row>
    <row r="53" spans="19:19" x14ac:dyDescent="0.2">
      <c r="S53" s="73"/>
    </row>
    <row r="54" spans="19:19" x14ac:dyDescent="0.2">
      <c r="S54" s="73"/>
    </row>
    <row r="55" spans="19:19" x14ac:dyDescent="0.2">
      <c r="S55" s="73"/>
    </row>
    <row r="56" spans="19:19" x14ac:dyDescent="0.2">
      <c r="S56" s="73"/>
    </row>
    <row r="57" spans="19:19" x14ac:dyDescent="0.2">
      <c r="S57" s="73"/>
    </row>
    <row r="58" spans="19:19" x14ac:dyDescent="0.2">
      <c r="S58" s="73"/>
    </row>
    <row r="59" spans="19:19" x14ac:dyDescent="0.2">
      <c r="S59" s="73"/>
    </row>
    <row r="60" spans="19:19" x14ac:dyDescent="0.2">
      <c r="S60" s="73"/>
    </row>
    <row r="61" spans="19:19" x14ac:dyDescent="0.2">
      <c r="S61" s="73"/>
    </row>
    <row r="62" spans="19:19" x14ac:dyDescent="0.2">
      <c r="S62" s="73"/>
    </row>
    <row r="63" spans="19:19" x14ac:dyDescent="0.2">
      <c r="S63" s="73"/>
    </row>
    <row r="64" spans="19:19" x14ac:dyDescent="0.2">
      <c r="S64" s="73"/>
    </row>
    <row r="65" spans="19:19" x14ac:dyDescent="0.2">
      <c r="S65" s="73"/>
    </row>
    <row r="66" spans="19:19" x14ac:dyDescent="0.2">
      <c r="S66" s="73"/>
    </row>
    <row r="67" spans="19:19" x14ac:dyDescent="0.2">
      <c r="S67" s="73"/>
    </row>
    <row r="68" spans="19:19" x14ac:dyDescent="0.2">
      <c r="S68" s="73"/>
    </row>
    <row r="69" spans="19:19" x14ac:dyDescent="0.2">
      <c r="S69" s="73"/>
    </row>
    <row r="70" spans="19:19" x14ac:dyDescent="0.2">
      <c r="S70" s="73"/>
    </row>
    <row r="71" spans="19:19" x14ac:dyDescent="0.2">
      <c r="S71" s="73"/>
    </row>
    <row r="72" spans="19:19" x14ac:dyDescent="0.2">
      <c r="S72" s="73"/>
    </row>
    <row r="73" spans="19:19" x14ac:dyDescent="0.2">
      <c r="S73" s="73"/>
    </row>
    <row r="74" spans="19:19" x14ac:dyDescent="0.2">
      <c r="S74" s="73"/>
    </row>
    <row r="75" spans="19:19" x14ac:dyDescent="0.2">
      <c r="S75" s="73"/>
    </row>
    <row r="76" spans="19:19" x14ac:dyDescent="0.2">
      <c r="S76" s="73"/>
    </row>
    <row r="77" spans="19:19" x14ac:dyDescent="0.2">
      <c r="S77" s="73"/>
    </row>
    <row r="78" spans="19:19" x14ac:dyDescent="0.2">
      <c r="S78" s="73"/>
    </row>
    <row r="79" spans="19:19" x14ac:dyDescent="0.2">
      <c r="S79" s="73"/>
    </row>
    <row r="80" spans="19:19" x14ac:dyDescent="0.2">
      <c r="S80" s="73"/>
    </row>
    <row r="81" spans="19:19" x14ac:dyDescent="0.2">
      <c r="S81" s="73"/>
    </row>
    <row r="82" spans="19:19" x14ac:dyDescent="0.2">
      <c r="S82" s="73"/>
    </row>
    <row r="83" spans="19:19" x14ac:dyDescent="0.2">
      <c r="S83" s="73"/>
    </row>
    <row r="84" spans="19:19" x14ac:dyDescent="0.2">
      <c r="S84" s="73"/>
    </row>
    <row r="85" spans="19:19" x14ac:dyDescent="0.2">
      <c r="S85" s="73"/>
    </row>
    <row r="86" spans="19:19" x14ac:dyDescent="0.2">
      <c r="S86" s="73"/>
    </row>
    <row r="87" spans="19:19" x14ac:dyDescent="0.2">
      <c r="S87" s="73"/>
    </row>
    <row r="88" spans="19:19" x14ac:dyDescent="0.2">
      <c r="S88" s="73"/>
    </row>
    <row r="89" spans="19:19" x14ac:dyDescent="0.2">
      <c r="S89" s="73"/>
    </row>
    <row r="90" spans="19:19" x14ac:dyDescent="0.2">
      <c r="S90" s="73"/>
    </row>
    <row r="91" spans="19:19" x14ac:dyDescent="0.2">
      <c r="S91" s="73"/>
    </row>
    <row r="92" spans="19:19" x14ac:dyDescent="0.2">
      <c r="S92" s="73"/>
    </row>
    <row r="93" spans="19:19" x14ac:dyDescent="0.2">
      <c r="S93" s="73"/>
    </row>
    <row r="94" spans="19:19" x14ac:dyDescent="0.2">
      <c r="S94" s="73"/>
    </row>
    <row r="95" spans="19:19" x14ac:dyDescent="0.2">
      <c r="S95" s="73"/>
    </row>
    <row r="96" spans="19:19" x14ac:dyDescent="0.2">
      <c r="S96" s="73"/>
    </row>
    <row r="97" spans="19:19" x14ac:dyDescent="0.2">
      <c r="S97" s="73"/>
    </row>
    <row r="98" spans="19:19" x14ac:dyDescent="0.2">
      <c r="S98" s="73"/>
    </row>
    <row r="99" spans="19:19" x14ac:dyDescent="0.2">
      <c r="S99" s="73"/>
    </row>
    <row r="100" spans="19:19" x14ac:dyDescent="0.2">
      <c r="S100" s="73"/>
    </row>
    <row r="101" spans="19:19" x14ac:dyDescent="0.2">
      <c r="S101" s="73"/>
    </row>
    <row r="102" spans="19:19" x14ac:dyDescent="0.2">
      <c r="S102" s="73"/>
    </row>
    <row r="103" spans="19:19" x14ac:dyDescent="0.2">
      <c r="S103" s="73"/>
    </row>
    <row r="104" spans="19:19" x14ac:dyDescent="0.2">
      <c r="S104" s="73"/>
    </row>
    <row r="105" spans="19:19" x14ac:dyDescent="0.2">
      <c r="S105" s="73"/>
    </row>
    <row r="106" spans="19:19" x14ac:dyDescent="0.2">
      <c r="S106" s="73"/>
    </row>
    <row r="107" spans="19:19" x14ac:dyDescent="0.2">
      <c r="S107" s="73"/>
    </row>
    <row r="108" spans="19:19" x14ac:dyDescent="0.2">
      <c r="S108" s="73"/>
    </row>
    <row r="109" spans="19:19" x14ac:dyDescent="0.2">
      <c r="S109" s="73"/>
    </row>
    <row r="110" spans="19:19" x14ac:dyDescent="0.2">
      <c r="S110" s="73"/>
    </row>
    <row r="111" spans="19:19" x14ac:dyDescent="0.2">
      <c r="S111" s="73"/>
    </row>
    <row r="112" spans="19:19" x14ac:dyDescent="0.2">
      <c r="S112" s="73"/>
    </row>
    <row r="113" spans="19:19" x14ac:dyDescent="0.2">
      <c r="S113" s="73"/>
    </row>
    <row r="114" spans="19:19" x14ac:dyDescent="0.2">
      <c r="S114" s="73"/>
    </row>
    <row r="115" spans="19:19" x14ac:dyDescent="0.2">
      <c r="S115" s="73"/>
    </row>
    <row r="116" spans="19:19" x14ac:dyDescent="0.2">
      <c r="S116" s="73"/>
    </row>
    <row r="117" spans="19:19" x14ac:dyDescent="0.2">
      <c r="S117" s="73"/>
    </row>
    <row r="118" spans="19:19" x14ac:dyDescent="0.2">
      <c r="S118" s="73"/>
    </row>
    <row r="119" spans="19:19" x14ac:dyDescent="0.2">
      <c r="S119" s="73"/>
    </row>
    <row r="120" spans="19:19" x14ac:dyDescent="0.2">
      <c r="S120" s="73"/>
    </row>
    <row r="121" spans="19:19" x14ac:dyDescent="0.2">
      <c r="S121" s="73"/>
    </row>
    <row r="122" spans="19:19" x14ac:dyDescent="0.2">
      <c r="S122" s="73"/>
    </row>
    <row r="123" spans="19:19" x14ac:dyDescent="0.2">
      <c r="S123" s="73"/>
    </row>
    <row r="124" spans="19:19" x14ac:dyDescent="0.2">
      <c r="S124" s="73"/>
    </row>
    <row r="125" spans="19:19" x14ac:dyDescent="0.2">
      <c r="S125" s="73"/>
    </row>
    <row r="126" spans="19:19" x14ac:dyDescent="0.2">
      <c r="S126" s="73"/>
    </row>
    <row r="127" spans="19:19" x14ac:dyDescent="0.2">
      <c r="S127" s="73"/>
    </row>
    <row r="128" spans="19:19" x14ac:dyDescent="0.2">
      <c r="S128" s="73"/>
    </row>
    <row r="129" spans="19:19" x14ac:dyDescent="0.2">
      <c r="S129" s="73"/>
    </row>
    <row r="130" spans="19:19" x14ac:dyDescent="0.2">
      <c r="S130" s="73"/>
    </row>
    <row r="131" spans="19:19" x14ac:dyDescent="0.2">
      <c r="S131" s="73"/>
    </row>
    <row r="132" spans="19:19" x14ac:dyDescent="0.2">
      <c r="S132" s="73"/>
    </row>
    <row r="133" spans="19:19" x14ac:dyDescent="0.2">
      <c r="S133" s="73"/>
    </row>
    <row r="134" spans="19:19" x14ac:dyDescent="0.2">
      <c r="S134" s="73"/>
    </row>
    <row r="135" spans="19:19" x14ac:dyDescent="0.2">
      <c r="S135" s="73"/>
    </row>
    <row r="136" spans="19:19" x14ac:dyDescent="0.2">
      <c r="S136" s="73"/>
    </row>
    <row r="137" spans="19:19" x14ac:dyDescent="0.2">
      <c r="S137" s="73"/>
    </row>
    <row r="138" spans="19:19" x14ac:dyDescent="0.2">
      <c r="S138" s="73"/>
    </row>
    <row r="139" spans="19:19" x14ac:dyDescent="0.2">
      <c r="S139" s="73"/>
    </row>
    <row r="140" spans="19:19" x14ac:dyDescent="0.2">
      <c r="S140" s="73"/>
    </row>
    <row r="141" spans="19:19" x14ac:dyDescent="0.2">
      <c r="S141" s="73"/>
    </row>
    <row r="142" spans="19:19" x14ac:dyDescent="0.2">
      <c r="S142" s="73"/>
    </row>
    <row r="143" spans="19:19" x14ac:dyDescent="0.2">
      <c r="S143" s="73"/>
    </row>
    <row r="144" spans="19:19" x14ac:dyDescent="0.2">
      <c r="S144" s="73"/>
    </row>
    <row r="145" spans="19:19" x14ac:dyDescent="0.2">
      <c r="S145" s="73"/>
    </row>
    <row r="146" spans="19:19" x14ac:dyDescent="0.2">
      <c r="S146" s="73"/>
    </row>
    <row r="147" spans="19:19" x14ac:dyDescent="0.2">
      <c r="S147" s="73"/>
    </row>
    <row r="148" spans="19:19" x14ac:dyDescent="0.2">
      <c r="S148" s="73"/>
    </row>
    <row r="149" spans="19:19" x14ac:dyDescent="0.2">
      <c r="S149" s="73"/>
    </row>
    <row r="150" spans="19:19" x14ac:dyDescent="0.2">
      <c r="S150" s="73"/>
    </row>
    <row r="151" spans="19:19" x14ac:dyDescent="0.2">
      <c r="S151" s="73"/>
    </row>
    <row r="152" spans="19:19" x14ac:dyDescent="0.2">
      <c r="S152" s="73"/>
    </row>
    <row r="153" spans="19:19" x14ac:dyDescent="0.2">
      <c r="S153" s="73"/>
    </row>
    <row r="154" spans="19:19" x14ac:dyDescent="0.2">
      <c r="S154" s="73"/>
    </row>
    <row r="155" spans="19:19" x14ac:dyDescent="0.2">
      <c r="S155" s="73"/>
    </row>
    <row r="156" spans="19:19" x14ac:dyDescent="0.2">
      <c r="S156" s="73"/>
    </row>
    <row r="157" spans="19:19" x14ac:dyDescent="0.2">
      <c r="S157" s="73"/>
    </row>
    <row r="158" spans="19:19" x14ac:dyDescent="0.2">
      <c r="S158" s="73"/>
    </row>
    <row r="159" spans="19:19" x14ac:dyDescent="0.2">
      <c r="S159" s="73"/>
    </row>
    <row r="160" spans="19:19" x14ac:dyDescent="0.2">
      <c r="S160" s="73"/>
    </row>
    <row r="161" spans="19:19" x14ac:dyDescent="0.2">
      <c r="S161" s="73"/>
    </row>
    <row r="162" spans="19:19" x14ac:dyDescent="0.2">
      <c r="S162" s="73"/>
    </row>
    <row r="163" spans="19:19" x14ac:dyDescent="0.2">
      <c r="S163" s="73"/>
    </row>
    <row r="164" spans="19:19" x14ac:dyDescent="0.2">
      <c r="S164" s="73"/>
    </row>
    <row r="165" spans="19:19" x14ac:dyDescent="0.2">
      <c r="S165" s="73"/>
    </row>
    <row r="166" spans="19:19" x14ac:dyDescent="0.2">
      <c r="S166" s="73"/>
    </row>
    <row r="167" spans="19:19" x14ac:dyDescent="0.2">
      <c r="S167" s="73"/>
    </row>
    <row r="168" spans="19:19" x14ac:dyDescent="0.2">
      <c r="S168" s="73"/>
    </row>
    <row r="169" spans="19:19" x14ac:dyDescent="0.2">
      <c r="S169" s="73"/>
    </row>
    <row r="170" spans="19:19" x14ac:dyDescent="0.2">
      <c r="S170" s="73"/>
    </row>
    <row r="171" spans="19:19" x14ac:dyDescent="0.2">
      <c r="S171" s="73"/>
    </row>
    <row r="172" spans="19:19" x14ac:dyDescent="0.2">
      <c r="S172" s="73"/>
    </row>
    <row r="173" spans="19:19" x14ac:dyDescent="0.2">
      <c r="S173" s="73"/>
    </row>
    <row r="174" spans="19:19" x14ac:dyDescent="0.2">
      <c r="S174" s="73"/>
    </row>
    <row r="175" spans="19:19" x14ac:dyDescent="0.2">
      <c r="S175" s="73"/>
    </row>
    <row r="176" spans="19:19" x14ac:dyDescent="0.2">
      <c r="S176" s="73"/>
    </row>
    <row r="177" spans="19:19" x14ac:dyDescent="0.2">
      <c r="S177" s="73"/>
    </row>
    <row r="178" spans="19:19" x14ac:dyDescent="0.2">
      <c r="S178" s="73"/>
    </row>
    <row r="179" spans="19:19" x14ac:dyDescent="0.2">
      <c r="S179" s="73"/>
    </row>
    <row r="180" spans="19:19" x14ac:dyDescent="0.2">
      <c r="S180" s="73"/>
    </row>
    <row r="181" spans="19:19" x14ac:dyDescent="0.2">
      <c r="S181" s="73"/>
    </row>
    <row r="182" spans="19:19" x14ac:dyDescent="0.2">
      <c r="S182" s="73"/>
    </row>
    <row r="183" spans="19:19" x14ac:dyDescent="0.2">
      <c r="S183" s="73"/>
    </row>
    <row r="184" spans="19:19" x14ac:dyDescent="0.2">
      <c r="S184" s="73"/>
    </row>
    <row r="185" spans="19:19" x14ac:dyDescent="0.2">
      <c r="S185" s="73"/>
    </row>
    <row r="186" spans="19:19" x14ac:dyDescent="0.2">
      <c r="S186" s="73"/>
    </row>
    <row r="187" spans="19:19" x14ac:dyDescent="0.2">
      <c r="S187" s="73"/>
    </row>
    <row r="188" spans="19:19" x14ac:dyDescent="0.2">
      <c r="S188" s="73"/>
    </row>
    <row r="189" spans="19:19" x14ac:dyDescent="0.2">
      <c r="S189" s="73"/>
    </row>
    <row r="190" spans="19:19" x14ac:dyDescent="0.2">
      <c r="S190" s="73"/>
    </row>
    <row r="191" spans="19:19" x14ac:dyDescent="0.2">
      <c r="S191" s="73"/>
    </row>
    <row r="192" spans="19:19" x14ac:dyDescent="0.2">
      <c r="S192" s="73"/>
    </row>
    <row r="193" spans="19:19" x14ac:dyDescent="0.2">
      <c r="S193" s="73"/>
    </row>
    <row r="194" spans="19:19" x14ac:dyDescent="0.2">
      <c r="S194" s="73"/>
    </row>
    <row r="195" spans="19:19" x14ac:dyDescent="0.2">
      <c r="S195" s="73"/>
    </row>
    <row r="196" spans="19:19" x14ac:dyDescent="0.2">
      <c r="S196" s="73"/>
    </row>
    <row r="197" spans="19:19" x14ac:dyDescent="0.2">
      <c r="S197" s="73"/>
    </row>
    <row r="198" spans="19:19" x14ac:dyDescent="0.2">
      <c r="S198" s="73"/>
    </row>
    <row r="199" spans="19:19" x14ac:dyDescent="0.2">
      <c r="S199" s="73"/>
    </row>
    <row r="200" spans="19:19" x14ac:dyDescent="0.2">
      <c r="S200" s="73"/>
    </row>
    <row r="201" spans="19:19" x14ac:dyDescent="0.2">
      <c r="S201" s="73"/>
    </row>
    <row r="202" spans="19:19" x14ac:dyDescent="0.2">
      <c r="S202" s="73"/>
    </row>
    <row r="203" spans="19:19" x14ac:dyDescent="0.2">
      <c r="S203" s="73"/>
    </row>
    <row r="204" spans="19:19" x14ac:dyDescent="0.2">
      <c r="S204" s="73"/>
    </row>
    <row r="205" spans="19:19" x14ac:dyDescent="0.2">
      <c r="S205" s="73"/>
    </row>
    <row r="206" spans="19:19" x14ac:dyDescent="0.2">
      <c r="S206" s="73"/>
    </row>
    <row r="207" spans="19:19" x14ac:dyDescent="0.2">
      <c r="S207" s="73"/>
    </row>
    <row r="208" spans="19:19" x14ac:dyDescent="0.2">
      <c r="S208" s="73"/>
    </row>
    <row r="209" spans="19:19" x14ac:dyDescent="0.2">
      <c r="S209" s="73"/>
    </row>
    <row r="210" spans="19:19" x14ac:dyDescent="0.2">
      <c r="S210" s="73"/>
    </row>
    <row r="211" spans="19:19" x14ac:dyDescent="0.2">
      <c r="S211" s="73"/>
    </row>
    <row r="212" spans="19:19" x14ac:dyDescent="0.2">
      <c r="S212" s="73"/>
    </row>
    <row r="213" spans="19:19" x14ac:dyDescent="0.2">
      <c r="S213" s="73"/>
    </row>
    <row r="214" spans="19:19" x14ac:dyDescent="0.2">
      <c r="S214" s="73"/>
    </row>
    <row r="215" spans="19:19" x14ac:dyDescent="0.2">
      <c r="S215" s="73"/>
    </row>
    <row r="216" spans="19:19" x14ac:dyDescent="0.2">
      <c r="S216" s="73"/>
    </row>
    <row r="217" spans="19:19" x14ac:dyDescent="0.2">
      <c r="S217" s="73"/>
    </row>
    <row r="218" spans="19:19" x14ac:dyDescent="0.2">
      <c r="S218" s="73"/>
    </row>
    <row r="219" spans="19:19" x14ac:dyDescent="0.2">
      <c r="S219" s="73"/>
    </row>
    <row r="220" spans="19:19" x14ac:dyDescent="0.2">
      <c r="S220" s="73"/>
    </row>
    <row r="221" spans="19:19" x14ac:dyDescent="0.2">
      <c r="S221" s="73"/>
    </row>
    <row r="222" spans="19:19" x14ac:dyDescent="0.2">
      <c r="S222" s="73"/>
    </row>
    <row r="223" spans="19:19" x14ac:dyDescent="0.2">
      <c r="S223" s="73"/>
    </row>
    <row r="224" spans="19:19" x14ac:dyDescent="0.2">
      <c r="S224" s="73"/>
    </row>
    <row r="225" spans="19:19" x14ac:dyDescent="0.2">
      <c r="S225" s="73"/>
    </row>
    <row r="226" spans="19:19" x14ac:dyDescent="0.2">
      <c r="S226" s="73"/>
    </row>
    <row r="227" spans="19:19" x14ac:dyDescent="0.2">
      <c r="S227" s="73"/>
    </row>
    <row r="228" spans="19:19" x14ac:dyDescent="0.2">
      <c r="S228" s="73"/>
    </row>
    <row r="229" spans="19:19" x14ac:dyDescent="0.2">
      <c r="S229" s="73"/>
    </row>
    <row r="230" spans="19:19" x14ac:dyDescent="0.2">
      <c r="S230" s="73"/>
    </row>
    <row r="231" spans="19:19" x14ac:dyDescent="0.2">
      <c r="S231" s="73"/>
    </row>
    <row r="232" spans="19:19" x14ac:dyDescent="0.2">
      <c r="S232" s="73"/>
    </row>
    <row r="233" spans="19:19" x14ac:dyDescent="0.2">
      <c r="S233" s="73"/>
    </row>
    <row r="234" spans="19:19" x14ac:dyDescent="0.2">
      <c r="S234" s="73"/>
    </row>
    <row r="235" spans="19:19" x14ac:dyDescent="0.2">
      <c r="S235" s="73"/>
    </row>
    <row r="236" spans="19:19" x14ac:dyDescent="0.2">
      <c r="S236" s="73"/>
    </row>
    <row r="237" spans="19:19" x14ac:dyDescent="0.2">
      <c r="S237" s="73"/>
    </row>
    <row r="238" spans="19:19" x14ac:dyDescent="0.2">
      <c r="S238" s="73"/>
    </row>
    <row r="239" spans="19:19" x14ac:dyDescent="0.2">
      <c r="S239" s="73"/>
    </row>
    <row r="240" spans="19:19" x14ac:dyDescent="0.2">
      <c r="S240" s="73"/>
    </row>
    <row r="241" spans="19:19" x14ac:dyDescent="0.2">
      <c r="S241" s="73"/>
    </row>
    <row r="242" spans="19:19" x14ac:dyDescent="0.2">
      <c r="S242" s="73"/>
    </row>
    <row r="243" spans="19:19" x14ac:dyDescent="0.2">
      <c r="S243" s="73"/>
    </row>
    <row r="244" spans="19:19" x14ac:dyDescent="0.2">
      <c r="S244" s="73"/>
    </row>
    <row r="245" spans="19:19" x14ac:dyDescent="0.2">
      <c r="S245" s="73"/>
    </row>
    <row r="246" spans="19:19" x14ac:dyDescent="0.2">
      <c r="S246" s="73"/>
    </row>
    <row r="247" spans="19:19" x14ac:dyDescent="0.2">
      <c r="S247" s="73"/>
    </row>
    <row r="248" spans="19:19" x14ac:dyDescent="0.2">
      <c r="S248" s="73"/>
    </row>
    <row r="249" spans="19:19" x14ac:dyDescent="0.2">
      <c r="S249" s="73"/>
    </row>
    <row r="250" spans="19:19" x14ac:dyDescent="0.2">
      <c r="S250" s="73"/>
    </row>
    <row r="251" spans="19:19" x14ac:dyDescent="0.2">
      <c r="S251" s="73"/>
    </row>
    <row r="252" spans="19:19" x14ac:dyDescent="0.2">
      <c r="S252" s="73"/>
    </row>
    <row r="253" spans="19:19" x14ac:dyDescent="0.2">
      <c r="S253" s="73"/>
    </row>
    <row r="254" spans="19:19" x14ac:dyDescent="0.2">
      <c r="S254" s="73"/>
    </row>
    <row r="255" spans="19:19" x14ac:dyDescent="0.2">
      <c r="S255" s="73"/>
    </row>
    <row r="256" spans="19:19" x14ac:dyDescent="0.2">
      <c r="S256" s="73"/>
    </row>
    <row r="257" spans="19:19" x14ac:dyDescent="0.2">
      <c r="S257" s="73"/>
    </row>
    <row r="258" spans="19:19" x14ac:dyDescent="0.2">
      <c r="S258" s="73"/>
    </row>
    <row r="259" spans="19:19" x14ac:dyDescent="0.2">
      <c r="S259" s="73"/>
    </row>
    <row r="260" spans="19:19" x14ac:dyDescent="0.2">
      <c r="S260" s="73"/>
    </row>
    <row r="261" spans="19:19" x14ac:dyDescent="0.2">
      <c r="S261" s="73"/>
    </row>
    <row r="262" spans="19:19" x14ac:dyDescent="0.2">
      <c r="S262" s="73"/>
    </row>
    <row r="263" spans="19:19" x14ac:dyDescent="0.2">
      <c r="S263" s="73"/>
    </row>
    <row r="264" spans="19:19" x14ac:dyDescent="0.2">
      <c r="S264" s="73"/>
    </row>
    <row r="265" spans="19:19" x14ac:dyDescent="0.2">
      <c r="S265" s="73"/>
    </row>
    <row r="266" spans="19:19" x14ac:dyDescent="0.2">
      <c r="S266" s="73"/>
    </row>
    <row r="267" spans="19:19" x14ac:dyDescent="0.2">
      <c r="S267" s="73"/>
    </row>
    <row r="268" spans="19:19" x14ac:dyDescent="0.2">
      <c r="S268" s="73"/>
    </row>
    <row r="269" spans="19:19" x14ac:dyDescent="0.2">
      <c r="S269" s="73"/>
    </row>
    <row r="270" spans="19:19" x14ac:dyDescent="0.2">
      <c r="S270" s="73"/>
    </row>
    <row r="271" spans="19:19" x14ac:dyDescent="0.2">
      <c r="S271" s="73"/>
    </row>
    <row r="272" spans="19:19" x14ac:dyDescent="0.2">
      <c r="S272" s="73"/>
    </row>
    <row r="273" spans="19:19" x14ac:dyDescent="0.2">
      <c r="S273" s="73"/>
    </row>
    <row r="274" spans="19:19" x14ac:dyDescent="0.2">
      <c r="S274" s="73"/>
    </row>
    <row r="275" spans="19:19" x14ac:dyDescent="0.2">
      <c r="S275" s="73"/>
    </row>
    <row r="276" spans="19:19" x14ac:dyDescent="0.2">
      <c r="S276" s="73"/>
    </row>
    <row r="277" spans="19:19" x14ac:dyDescent="0.2">
      <c r="S277" s="73"/>
    </row>
    <row r="278" spans="19:19" x14ac:dyDescent="0.2">
      <c r="S278" s="73"/>
    </row>
    <row r="279" spans="19:19" x14ac:dyDescent="0.2">
      <c r="S279" s="73"/>
    </row>
    <row r="280" spans="19:19" x14ac:dyDescent="0.2">
      <c r="S280" s="73"/>
    </row>
    <row r="281" spans="19:19" x14ac:dyDescent="0.2">
      <c r="S281" s="73"/>
    </row>
    <row r="282" spans="19:19" x14ac:dyDescent="0.2">
      <c r="S282" s="73"/>
    </row>
    <row r="283" spans="19:19" x14ac:dyDescent="0.2">
      <c r="S283" s="73"/>
    </row>
    <row r="284" spans="19:19" x14ac:dyDescent="0.2">
      <c r="S284" s="73"/>
    </row>
    <row r="285" spans="19:19" x14ac:dyDescent="0.2">
      <c r="S285" s="73"/>
    </row>
    <row r="286" spans="19:19" x14ac:dyDescent="0.2">
      <c r="S286" s="73"/>
    </row>
    <row r="287" spans="19:19" x14ac:dyDescent="0.2">
      <c r="S287" s="73"/>
    </row>
    <row r="288" spans="19:19" x14ac:dyDescent="0.2">
      <c r="S288" s="73"/>
    </row>
    <row r="289" spans="19:19" x14ac:dyDescent="0.2">
      <c r="S289" s="73"/>
    </row>
    <row r="290" spans="19:19" x14ac:dyDescent="0.2">
      <c r="S290" s="73"/>
    </row>
    <row r="291" spans="19:19" x14ac:dyDescent="0.2">
      <c r="S291" s="73"/>
    </row>
    <row r="292" spans="19:19" x14ac:dyDescent="0.2">
      <c r="S292" s="73"/>
    </row>
    <row r="293" spans="19:19" x14ac:dyDescent="0.2">
      <c r="S293" s="73"/>
    </row>
    <row r="294" spans="19:19" x14ac:dyDescent="0.2">
      <c r="S294" s="73"/>
    </row>
    <row r="295" spans="19:19" x14ac:dyDescent="0.2">
      <c r="S295" s="73"/>
    </row>
    <row r="296" spans="19:19" x14ac:dyDescent="0.2">
      <c r="S296" s="73"/>
    </row>
    <row r="297" spans="19:19" x14ac:dyDescent="0.2">
      <c r="S297" s="73"/>
    </row>
    <row r="298" spans="19:19" x14ac:dyDescent="0.2">
      <c r="S298" s="73"/>
    </row>
    <row r="299" spans="19:19" x14ac:dyDescent="0.2">
      <c r="S299" s="73"/>
    </row>
    <row r="300" spans="19:19" x14ac:dyDescent="0.2">
      <c r="S300" s="73"/>
    </row>
    <row r="301" spans="19:19" x14ac:dyDescent="0.2">
      <c r="S301" s="73"/>
    </row>
    <row r="302" spans="19:19" x14ac:dyDescent="0.2">
      <c r="S302" s="73"/>
    </row>
    <row r="303" spans="19:19" x14ac:dyDescent="0.2">
      <c r="S303" s="73"/>
    </row>
    <row r="304" spans="19:19" x14ac:dyDescent="0.2">
      <c r="S304" s="73"/>
    </row>
    <row r="305" spans="19:19" x14ac:dyDescent="0.2">
      <c r="S305" s="73"/>
    </row>
    <row r="306" spans="19:19" x14ac:dyDescent="0.2">
      <c r="S306" s="73"/>
    </row>
    <row r="307" spans="19:19" x14ac:dyDescent="0.2">
      <c r="S307" s="73"/>
    </row>
    <row r="308" spans="19:19" x14ac:dyDescent="0.2">
      <c r="S308" s="73"/>
    </row>
    <row r="309" spans="19:19" x14ac:dyDescent="0.2">
      <c r="S309" s="73"/>
    </row>
    <row r="310" spans="19:19" x14ac:dyDescent="0.2">
      <c r="S310" s="73"/>
    </row>
    <row r="311" spans="19:19" x14ac:dyDescent="0.2">
      <c r="S311" s="73"/>
    </row>
    <row r="312" spans="19:19" x14ac:dyDescent="0.2">
      <c r="S312" s="73"/>
    </row>
    <row r="313" spans="19:19" x14ac:dyDescent="0.2">
      <c r="S313" s="73"/>
    </row>
    <row r="314" spans="19:19" x14ac:dyDescent="0.2">
      <c r="S314" s="73"/>
    </row>
    <row r="315" spans="19:19" x14ac:dyDescent="0.2">
      <c r="S315" s="73"/>
    </row>
    <row r="316" spans="19:19" x14ac:dyDescent="0.2">
      <c r="S316" s="73"/>
    </row>
    <row r="317" spans="19:19" x14ac:dyDescent="0.2">
      <c r="S317" s="73"/>
    </row>
    <row r="318" spans="19:19" x14ac:dyDescent="0.2">
      <c r="S318" s="73"/>
    </row>
    <row r="319" spans="19:19" x14ac:dyDescent="0.2">
      <c r="S319" s="73"/>
    </row>
    <row r="320" spans="19:19" x14ac:dyDescent="0.2">
      <c r="S320" s="73"/>
    </row>
    <row r="321" spans="19:19" x14ac:dyDescent="0.2">
      <c r="S321" s="73"/>
    </row>
    <row r="322" spans="19:19" x14ac:dyDescent="0.2">
      <c r="S322" s="73"/>
    </row>
    <row r="323" spans="19:19" x14ac:dyDescent="0.2">
      <c r="S323" s="73"/>
    </row>
    <row r="324" spans="19:19" x14ac:dyDescent="0.2">
      <c r="S324" s="73"/>
    </row>
    <row r="325" spans="19:19" x14ac:dyDescent="0.2">
      <c r="S325" s="73"/>
    </row>
    <row r="326" spans="19:19" x14ac:dyDescent="0.2">
      <c r="S326" s="73"/>
    </row>
    <row r="327" spans="19:19" x14ac:dyDescent="0.2">
      <c r="S327" s="73"/>
    </row>
    <row r="328" spans="19:19" x14ac:dyDescent="0.2">
      <c r="S328" s="73"/>
    </row>
    <row r="329" spans="19:19" x14ac:dyDescent="0.2">
      <c r="S329" s="73"/>
    </row>
    <row r="330" spans="19:19" x14ac:dyDescent="0.2">
      <c r="S330" s="73"/>
    </row>
    <row r="331" spans="19:19" x14ac:dyDescent="0.2">
      <c r="S331" s="73"/>
    </row>
    <row r="332" spans="19:19" x14ac:dyDescent="0.2">
      <c r="S332" s="73"/>
    </row>
    <row r="333" spans="19:19" x14ac:dyDescent="0.2">
      <c r="S333" s="73"/>
    </row>
    <row r="334" spans="19:19" x14ac:dyDescent="0.2">
      <c r="S334" s="73"/>
    </row>
    <row r="335" spans="19:19" x14ac:dyDescent="0.2">
      <c r="S335" s="73"/>
    </row>
    <row r="336" spans="19:19" x14ac:dyDescent="0.2">
      <c r="S336" s="73"/>
    </row>
    <row r="337" spans="19:19" x14ac:dyDescent="0.2">
      <c r="S337" s="73"/>
    </row>
    <row r="338" spans="19:19" x14ac:dyDescent="0.2">
      <c r="S338" s="73"/>
    </row>
    <row r="339" spans="19:19" x14ac:dyDescent="0.2">
      <c r="S339" s="73"/>
    </row>
    <row r="340" spans="19:19" x14ac:dyDescent="0.2">
      <c r="S340" s="73"/>
    </row>
    <row r="341" spans="19:19" x14ac:dyDescent="0.2">
      <c r="S341" s="73"/>
    </row>
    <row r="342" spans="19:19" x14ac:dyDescent="0.2">
      <c r="S342" s="73"/>
    </row>
    <row r="343" spans="19:19" x14ac:dyDescent="0.2">
      <c r="S343" s="73"/>
    </row>
    <row r="344" spans="19:19" x14ac:dyDescent="0.2">
      <c r="S344" s="73"/>
    </row>
    <row r="345" spans="19:19" x14ac:dyDescent="0.2">
      <c r="S345" s="73"/>
    </row>
    <row r="346" spans="19:19" x14ac:dyDescent="0.2">
      <c r="S346" s="73"/>
    </row>
    <row r="347" spans="19:19" x14ac:dyDescent="0.2">
      <c r="S347" s="73"/>
    </row>
    <row r="348" spans="19:19" x14ac:dyDescent="0.2">
      <c r="S348" s="73"/>
    </row>
    <row r="349" spans="19:19" x14ac:dyDescent="0.2">
      <c r="S349" s="73"/>
    </row>
    <row r="350" spans="19:19" x14ac:dyDescent="0.2">
      <c r="S350" s="73"/>
    </row>
    <row r="351" spans="19:19" x14ac:dyDescent="0.2">
      <c r="S351" s="73"/>
    </row>
    <row r="352" spans="19:19" x14ac:dyDescent="0.2">
      <c r="S352" s="73"/>
    </row>
    <row r="353" spans="19:19" x14ac:dyDescent="0.2">
      <c r="S353" s="73"/>
    </row>
    <row r="354" spans="19:19" x14ac:dyDescent="0.2">
      <c r="S354" s="73"/>
    </row>
    <row r="355" spans="19:19" x14ac:dyDescent="0.2">
      <c r="S355" s="73"/>
    </row>
    <row r="356" spans="19:19" x14ac:dyDescent="0.2">
      <c r="S356" s="73"/>
    </row>
    <row r="357" spans="19:19" x14ac:dyDescent="0.2">
      <c r="S357" s="73"/>
    </row>
    <row r="358" spans="19:19" x14ac:dyDescent="0.2">
      <c r="S358" s="73"/>
    </row>
    <row r="359" spans="19:19" x14ac:dyDescent="0.2">
      <c r="S359" s="73"/>
    </row>
    <row r="360" spans="19:19" x14ac:dyDescent="0.2">
      <c r="S360" s="73"/>
    </row>
    <row r="361" spans="19:19" x14ac:dyDescent="0.2">
      <c r="S361" s="73"/>
    </row>
    <row r="362" spans="19:19" x14ac:dyDescent="0.2">
      <c r="S362" s="73"/>
    </row>
    <row r="363" spans="19:19" x14ac:dyDescent="0.2">
      <c r="S363" s="73"/>
    </row>
    <row r="364" spans="19:19" x14ac:dyDescent="0.2">
      <c r="S364" s="73"/>
    </row>
    <row r="365" spans="19:19" x14ac:dyDescent="0.2">
      <c r="S365" s="73"/>
    </row>
    <row r="366" spans="19:19" x14ac:dyDescent="0.2">
      <c r="S366" s="73"/>
    </row>
    <row r="367" spans="19:19" x14ac:dyDescent="0.2">
      <c r="S367" s="73"/>
    </row>
    <row r="368" spans="19:19" x14ac:dyDescent="0.2">
      <c r="S368" s="73"/>
    </row>
    <row r="369" spans="19:19" x14ac:dyDescent="0.2">
      <c r="S369" s="73"/>
    </row>
    <row r="370" spans="19:19" x14ac:dyDescent="0.2">
      <c r="S370" s="73"/>
    </row>
    <row r="371" spans="19:19" x14ac:dyDescent="0.2">
      <c r="S371" s="73"/>
    </row>
    <row r="372" spans="19:19" x14ac:dyDescent="0.2">
      <c r="S372" s="73"/>
    </row>
    <row r="373" spans="19:19" x14ac:dyDescent="0.2">
      <c r="S373" s="73"/>
    </row>
    <row r="374" spans="19:19" x14ac:dyDescent="0.2">
      <c r="S374" s="73"/>
    </row>
    <row r="375" spans="19:19" x14ac:dyDescent="0.2">
      <c r="S375" s="73"/>
    </row>
    <row r="376" spans="19:19" x14ac:dyDescent="0.2">
      <c r="S376" s="73"/>
    </row>
    <row r="377" spans="19:19" x14ac:dyDescent="0.2">
      <c r="S377" s="73"/>
    </row>
    <row r="378" spans="19:19" x14ac:dyDescent="0.2">
      <c r="S378" s="73"/>
    </row>
    <row r="379" spans="19:19" x14ac:dyDescent="0.2">
      <c r="S379" s="73"/>
    </row>
    <row r="380" spans="19:19" x14ac:dyDescent="0.2">
      <c r="S380" s="73"/>
    </row>
    <row r="381" spans="19:19" x14ac:dyDescent="0.2">
      <c r="S381" s="73"/>
    </row>
    <row r="382" spans="19:19" x14ac:dyDescent="0.2">
      <c r="S382" s="73"/>
    </row>
    <row r="383" spans="19:19" x14ac:dyDescent="0.2">
      <c r="S383" s="73"/>
    </row>
    <row r="384" spans="19:19" x14ac:dyDescent="0.2">
      <c r="S384" s="73"/>
    </row>
    <row r="385" spans="19:19" x14ac:dyDescent="0.2">
      <c r="S385" s="73"/>
    </row>
    <row r="386" spans="19:19" x14ac:dyDescent="0.2">
      <c r="S386" s="73"/>
    </row>
    <row r="387" spans="19:19" x14ac:dyDescent="0.2">
      <c r="S387" s="73"/>
    </row>
    <row r="388" spans="19:19" x14ac:dyDescent="0.2">
      <c r="S388" s="73"/>
    </row>
    <row r="389" spans="19:19" x14ac:dyDescent="0.2">
      <c r="S389" s="73"/>
    </row>
    <row r="390" spans="19:19" x14ac:dyDescent="0.2">
      <c r="S390" s="73"/>
    </row>
    <row r="391" spans="19:19" x14ac:dyDescent="0.2">
      <c r="S391" s="73"/>
    </row>
    <row r="392" spans="19:19" x14ac:dyDescent="0.2">
      <c r="S392" s="73"/>
    </row>
    <row r="393" spans="19:19" x14ac:dyDescent="0.2">
      <c r="S393" s="73"/>
    </row>
    <row r="394" spans="19:19" x14ac:dyDescent="0.2">
      <c r="S394" s="73"/>
    </row>
    <row r="395" spans="19:19" x14ac:dyDescent="0.2">
      <c r="S395" s="73"/>
    </row>
    <row r="396" spans="19:19" x14ac:dyDescent="0.2">
      <c r="S396" s="73"/>
    </row>
    <row r="397" spans="19:19" x14ac:dyDescent="0.2">
      <c r="S397" s="73"/>
    </row>
    <row r="398" spans="19:19" x14ac:dyDescent="0.2">
      <c r="S398" s="73"/>
    </row>
    <row r="399" spans="19:19" x14ac:dyDescent="0.2">
      <c r="S399" s="73"/>
    </row>
    <row r="400" spans="19:19" x14ac:dyDescent="0.2">
      <c r="S400" s="73"/>
    </row>
    <row r="401" spans="19:19" x14ac:dyDescent="0.2">
      <c r="S401" s="73"/>
    </row>
    <row r="402" spans="19:19" x14ac:dyDescent="0.2">
      <c r="S402" s="73"/>
    </row>
    <row r="403" spans="19:19" x14ac:dyDescent="0.2">
      <c r="S403" s="73"/>
    </row>
    <row r="404" spans="19:19" x14ac:dyDescent="0.2">
      <c r="S404" s="73"/>
    </row>
    <row r="405" spans="19:19" x14ac:dyDescent="0.2">
      <c r="S405" s="73"/>
    </row>
    <row r="406" spans="19:19" x14ac:dyDescent="0.2">
      <c r="S406" s="73"/>
    </row>
    <row r="407" spans="19:19" x14ac:dyDescent="0.2">
      <c r="S407" s="73"/>
    </row>
    <row r="408" spans="19:19" x14ac:dyDescent="0.2">
      <c r="S408" s="73"/>
    </row>
    <row r="409" spans="19:19" x14ac:dyDescent="0.2">
      <c r="S409" s="73"/>
    </row>
    <row r="410" spans="19:19" x14ac:dyDescent="0.2">
      <c r="S410" s="73"/>
    </row>
    <row r="411" spans="19:19" x14ac:dyDescent="0.2">
      <c r="S411" s="73"/>
    </row>
    <row r="412" spans="19:19" x14ac:dyDescent="0.2">
      <c r="S412" s="73"/>
    </row>
    <row r="413" spans="19:19" x14ac:dyDescent="0.2">
      <c r="S413" s="73"/>
    </row>
    <row r="414" spans="19:19" x14ac:dyDescent="0.2">
      <c r="S414" s="73"/>
    </row>
    <row r="415" spans="19:19" x14ac:dyDescent="0.2">
      <c r="S415" s="73"/>
    </row>
    <row r="416" spans="19:19" x14ac:dyDescent="0.2">
      <c r="S416" s="73"/>
    </row>
    <row r="417" spans="19:19" x14ac:dyDescent="0.2">
      <c r="S417" s="73"/>
    </row>
    <row r="418" spans="19:19" x14ac:dyDescent="0.2">
      <c r="S418" s="73"/>
    </row>
    <row r="419" spans="19:19" x14ac:dyDescent="0.2">
      <c r="S419" s="73"/>
    </row>
    <row r="420" spans="19:19" x14ac:dyDescent="0.2">
      <c r="S420" s="73"/>
    </row>
    <row r="421" spans="19:19" x14ac:dyDescent="0.2">
      <c r="S421" s="73"/>
    </row>
    <row r="422" spans="19:19" x14ac:dyDescent="0.2">
      <c r="S422" s="73"/>
    </row>
    <row r="423" spans="19:19" x14ac:dyDescent="0.2">
      <c r="S423" s="73"/>
    </row>
    <row r="424" spans="19:19" x14ac:dyDescent="0.2">
      <c r="S424" s="73"/>
    </row>
    <row r="425" spans="19:19" x14ac:dyDescent="0.2">
      <c r="S425" s="73"/>
    </row>
    <row r="426" spans="19:19" x14ac:dyDescent="0.2">
      <c r="S426" s="73"/>
    </row>
    <row r="427" spans="19:19" x14ac:dyDescent="0.2">
      <c r="S427" s="73"/>
    </row>
    <row r="428" spans="19:19" x14ac:dyDescent="0.2">
      <c r="S428" s="73"/>
    </row>
    <row r="429" spans="19:19" x14ac:dyDescent="0.2">
      <c r="S429" s="73"/>
    </row>
    <row r="430" spans="19:19" x14ac:dyDescent="0.2">
      <c r="S430" s="73"/>
    </row>
    <row r="431" spans="19:19" x14ac:dyDescent="0.2">
      <c r="S431" s="73"/>
    </row>
    <row r="432" spans="19:19" x14ac:dyDescent="0.2">
      <c r="S432" s="73"/>
    </row>
    <row r="433" spans="19:19" x14ac:dyDescent="0.2">
      <c r="S433" s="73"/>
    </row>
    <row r="434" spans="19:19" x14ac:dyDescent="0.2">
      <c r="S434" s="73"/>
    </row>
    <row r="435" spans="19:19" x14ac:dyDescent="0.2">
      <c r="S435" s="73"/>
    </row>
    <row r="436" spans="19:19" x14ac:dyDescent="0.2">
      <c r="S436" s="73"/>
    </row>
    <row r="437" spans="19:19" x14ac:dyDescent="0.2">
      <c r="S437" s="73"/>
    </row>
    <row r="438" spans="19:19" x14ac:dyDescent="0.2">
      <c r="S438" s="73"/>
    </row>
    <row r="439" spans="19:19" x14ac:dyDescent="0.2">
      <c r="S439" s="73"/>
    </row>
    <row r="440" spans="19:19" x14ac:dyDescent="0.2">
      <c r="S440" s="73"/>
    </row>
    <row r="441" spans="19:19" x14ac:dyDescent="0.2">
      <c r="S441" s="73"/>
    </row>
    <row r="442" spans="19:19" x14ac:dyDescent="0.2">
      <c r="S442" s="73"/>
    </row>
    <row r="443" spans="19:19" x14ac:dyDescent="0.2">
      <c r="S443" s="73"/>
    </row>
    <row r="444" spans="19:19" x14ac:dyDescent="0.2">
      <c r="S444" s="73"/>
    </row>
    <row r="445" spans="19:19" x14ac:dyDescent="0.2">
      <c r="S445" s="73"/>
    </row>
    <row r="446" spans="19:19" x14ac:dyDescent="0.2">
      <c r="S446" s="73"/>
    </row>
    <row r="447" spans="19:19" x14ac:dyDescent="0.2">
      <c r="S447" s="73"/>
    </row>
    <row r="448" spans="19:19" x14ac:dyDescent="0.2">
      <c r="S448" s="73"/>
    </row>
    <row r="449" spans="19:19" x14ac:dyDescent="0.2">
      <c r="S449" s="73"/>
    </row>
    <row r="450" spans="19:19" x14ac:dyDescent="0.2">
      <c r="S450" s="73"/>
    </row>
    <row r="451" spans="19:19" x14ac:dyDescent="0.2">
      <c r="S451" s="73"/>
    </row>
    <row r="452" spans="19:19" x14ac:dyDescent="0.2">
      <c r="S452" s="73"/>
    </row>
    <row r="453" spans="19:19" x14ac:dyDescent="0.2">
      <c r="S453" s="73"/>
    </row>
    <row r="454" spans="19:19" x14ac:dyDescent="0.2">
      <c r="S454" s="73"/>
    </row>
    <row r="455" spans="19:19" x14ac:dyDescent="0.2">
      <c r="S455" s="73"/>
    </row>
    <row r="456" spans="19:19" x14ac:dyDescent="0.2">
      <c r="S456" s="73"/>
    </row>
    <row r="457" spans="19:19" x14ac:dyDescent="0.2">
      <c r="S457" s="73"/>
    </row>
    <row r="458" spans="19:19" x14ac:dyDescent="0.2">
      <c r="S458" s="73"/>
    </row>
    <row r="459" spans="19:19" x14ac:dyDescent="0.2">
      <c r="S459" s="73"/>
    </row>
    <row r="460" spans="19:19" x14ac:dyDescent="0.2">
      <c r="S460" s="73"/>
    </row>
    <row r="461" spans="19:19" x14ac:dyDescent="0.2">
      <c r="S461" s="73"/>
    </row>
    <row r="462" spans="19:19" x14ac:dyDescent="0.2">
      <c r="S462" s="73"/>
    </row>
    <row r="463" spans="19:19" x14ac:dyDescent="0.2">
      <c r="S463" s="73"/>
    </row>
    <row r="464" spans="19:19" x14ac:dyDescent="0.2">
      <c r="S464" s="73"/>
    </row>
    <row r="465" spans="19:19" x14ac:dyDescent="0.2">
      <c r="S465" s="73"/>
    </row>
    <row r="466" spans="19:19" x14ac:dyDescent="0.2">
      <c r="S466" s="73"/>
    </row>
    <row r="467" spans="19:19" x14ac:dyDescent="0.2">
      <c r="S467" s="73"/>
    </row>
    <row r="468" spans="19:19" x14ac:dyDescent="0.2">
      <c r="S468" s="73"/>
    </row>
    <row r="469" spans="19:19" x14ac:dyDescent="0.2">
      <c r="S469" s="73"/>
    </row>
    <row r="470" spans="19:19" x14ac:dyDescent="0.2">
      <c r="S470" s="73"/>
    </row>
    <row r="471" spans="19:19" x14ac:dyDescent="0.2">
      <c r="S471" s="73"/>
    </row>
    <row r="472" spans="19:19" x14ac:dyDescent="0.2">
      <c r="S472" s="73"/>
    </row>
    <row r="473" spans="19:19" x14ac:dyDescent="0.2">
      <c r="S473" s="73"/>
    </row>
    <row r="474" spans="19:19" x14ac:dyDescent="0.2">
      <c r="S474" s="73"/>
    </row>
    <row r="475" spans="19:19" x14ac:dyDescent="0.2">
      <c r="S475" s="73"/>
    </row>
    <row r="476" spans="19:19" x14ac:dyDescent="0.2">
      <c r="S476" s="73"/>
    </row>
    <row r="477" spans="19:19" x14ac:dyDescent="0.2">
      <c r="S477" s="73"/>
    </row>
    <row r="478" spans="19:19" x14ac:dyDescent="0.2">
      <c r="S478" s="73"/>
    </row>
    <row r="479" spans="19:19" x14ac:dyDescent="0.2">
      <c r="S479" s="73"/>
    </row>
    <row r="480" spans="19:19" x14ac:dyDescent="0.2">
      <c r="S480" s="73"/>
    </row>
    <row r="481" spans="19:19" x14ac:dyDescent="0.2">
      <c r="S481" s="73"/>
    </row>
    <row r="482" spans="19:19" x14ac:dyDescent="0.2">
      <c r="S482" s="73"/>
    </row>
    <row r="483" spans="19:19" x14ac:dyDescent="0.2">
      <c r="S483" s="73"/>
    </row>
    <row r="484" spans="19:19" x14ac:dyDescent="0.2">
      <c r="S484" s="73"/>
    </row>
    <row r="485" spans="19:19" x14ac:dyDescent="0.2">
      <c r="S485" s="73"/>
    </row>
    <row r="486" spans="19:19" x14ac:dyDescent="0.2">
      <c r="S486" s="73"/>
    </row>
    <row r="487" spans="19:19" x14ac:dyDescent="0.2">
      <c r="S487" s="73"/>
    </row>
    <row r="488" spans="19:19" x14ac:dyDescent="0.2">
      <c r="S488" s="73"/>
    </row>
    <row r="489" spans="19:19" x14ac:dyDescent="0.2">
      <c r="S489" s="73"/>
    </row>
    <row r="490" spans="19:19" x14ac:dyDescent="0.2">
      <c r="S490" s="73"/>
    </row>
    <row r="491" spans="19:19" x14ac:dyDescent="0.2">
      <c r="S491" s="73"/>
    </row>
    <row r="492" spans="19:19" x14ac:dyDescent="0.2">
      <c r="S492" s="73"/>
    </row>
    <row r="493" spans="19:19" x14ac:dyDescent="0.2">
      <c r="S493" s="73"/>
    </row>
    <row r="494" spans="19:19" x14ac:dyDescent="0.2">
      <c r="S494" s="73"/>
    </row>
    <row r="495" spans="19:19" x14ac:dyDescent="0.2">
      <c r="S495" s="73"/>
    </row>
    <row r="496" spans="19:19" x14ac:dyDescent="0.2">
      <c r="S496" s="73"/>
    </row>
    <row r="497" spans="19:19" x14ac:dyDescent="0.2">
      <c r="S497" s="73"/>
    </row>
    <row r="498" spans="19:19" x14ac:dyDescent="0.2">
      <c r="S498" s="73"/>
    </row>
    <row r="499" spans="19:19" x14ac:dyDescent="0.2">
      <c r="S499" s="73"/>
    </row>
    <row r="500" spans="19:19" x14ac:dyDescent="0.2">
      <c r="S500" s="73"/>
    </row>
    <row r="501" spans="19:19" x14ac:dyDescent="0.2">
      <c r="S501" s="73"/>
    </row>
    <row r="502" spans="19:19" x14ac:dyDescent="0.2">
      <c r="S502" s="73"/>
    </row>
    <row r="503" spans="19:19" x14ac:dyDescent="0.2">
      <c r="S503" s="73"/>
    </row>
    <row r="504" spans="19:19" x14ac:dyDescent="0.2">
      <c r="S504" s="73"/>
    </row>
    <row r="505" spans="19:19" x14ac:dyDescent="0.2">
      <c r="S505" s="73"/>
    </row>
    <row r="506" spans="19:19" x14ac:dyDescent="0.2">
      <c r="S506" s="73"/>
    </row>
    <row r="507" spans="19:19" x14ac:dyDescent="0.2">
      <c r="S507" s="73"/>
    </row>
    <row r="508" spans="19:19" x14ac:dyDescent="0.2">
      <c r="S508" s="73"/>
    </row>
    <row r="509" spans="19:19" x14ac:dyDescent="0.2">
      <c r="S509" s="73"/>
    </row>
    <row r="510" spans="19:19" x14ac:dyDescent="0.2">
      <c r="S510" s="73"/>
    </row>
    <row r="511" spans="19:19" x14ac:dyDescent="0.2">
      <c r="S511" s="73"/>
    </row>
    <row r="512" spans="19:19" x14ac:dyDescent="0.2">
      <c r="S512" s="73"/>
    </row>
    <row r="513" spans="19:19" x14ac:dyDescent="0.2">
      <c r="S513" s="73"/>
    </row>
    <row r="514" spans="19:19" x14ac:dyDescent="0.2">
      <c r="S514" s="73"/>
    </row>
    <row r="515" spans="19:19" x14ac:dyDescent="0.2">
      <c r="S515" s="73"/>
    </row>
    <row r="516" spans="19:19" x14ac:dyDescent="0.2">
      <c r="S516" s="73"/>
    </row>
    <row r="517" spans="19:19" x14ac:dyDescent="0.2">
      <c r="S517" s="73"/>
    </row>
    <row r="518" spans="19:19" x14ac:dyDescent="0.2">
      <c r="S518" s="73"/>
    </row>
    <row r="519" spans="19:19" x14ac:dyDescent="0.2">
      <c r="S519" s="73"/>
    </row>
    <row r="520" spans="19:19" x14ac:dyDescent="0.2">
      <c r="S520" s="73"/>
    </row>
    <row r="521" spans="19:19" x14ac:dyDescent="0.2">
      <c r="S521" s="73"/>
    </row>
    <row r="522" spans="19:19" x14ac:dyDescent="0.2">
      <c r="S522" s="73"/>
    </row>
    <row r="523" spans="19:19" x14ac:dyDescent="0.2">
      <c r="S523" s="73"/>
    </row>
    <row r="524" spans="19:19" x14ac:dyDescent="0.2">
      <c r="S524" s="73"/>
    </row>
    <row r="525" spans="19:19" x14ac:dyDescent="0.2">
      <c r="S525" s="73"/>
    </row>
    <row r="526" spans="19:19" x14ac:dyDescent="0.2">
      <c r="S526" s="73"/>
    </row>
    <row r="527" spans="19:19" x14ac:dyDescent="0.2">
      <c r="S527" s="73"/>
    </row>
    <row r="528" spans="19:19" x14ac:dyDescent="0.2">
      <c r="S528" s="73"/>
    </row>
    <row r="529" spans="19:19" x14ac:dyDescent="0.2">
      <c r="S529" s="73"/>
    </row>
    <row r="530" spans="19:19" x14ac:dyDescent="0.2">
      <c r="S530" s="73"/>
    </row>
    <row r="531" spans="19:19" x14ac:dyDescent="0.2">
      <c r="S531" s="73"/>
    </row>
    <row r="532" spans="19:19" x14ac:dyDescent="0.2">
      <c r="S532" s="73"/>
    </row>
    <row r="533" spans="19:19" x14ac:dyDescent="0.2">
      <c r="S533" s="73"/>
    </row>
    <row r="534" spans="19:19" x14ac:dyDescent="0.2">
      <c r="S534" s="73"/>
    </row>
    <row r="535" spans="19:19" x14ac:dyDescent="0.2">
      <c r="S535" s="73"/>
    </row>
    <row r="536" spans="19:19" x14ac:dyDescent="0.2">
      <c r="S536" s="73"/>
    </row>
    <row r="537" spans="19:19" x14ac:dyDescent="0.2">
      <c r="S537" s="73"/>
    </row>
    <row r="538" spans="19:19" x14ac:dyDescent="0.2">
      <c r="S538" s="73"/>
    </row>
    <row r="539" spans="19:19" x14ac:dyDescent="0.2">
      <c r="S539" s="73"/>
    </row>
    <row r="540" spans="19:19" x14ac:dyDescent="0.2">
      <c r="S540" s="73"/>
    </row>
    <row r="541" spans="19:19" x14ac:dyDescent="0.2">
      <c r="S541" s="73"/>
    </row>
    <row r="542" spans="19:19" x14ac:dyDescent="0.2">
      <c r="S542" s="73"/>
    </row>
    <row r="543" spans="19:19" x14ac:dyDescent="0.2">
      <c r="S543" s="73"/>
    </row>
    <row r="544" spans="19:19" x14ac:dyDescent="0.2">
      <c r="S544" s="73"/>
    </row>
    <row r="545" spans="19:19" x14ac:dyDescent="0.2">
      <c r="S545" s="73"/>
    </row>
    <row r="546" spans="19:19" x14ac:dyDescent="0.2">
      <c r="S546" s="73"/>
    </row>
    <row r="547" spans="19:19" x14ac:dyDescent="0.2">
      <c r="S547" s="73"/>
    </row>
    <row r="548" spans="19:19" x14ac:dyDescent="0.2">
      <c r="S548" s="73"/>
    </row>
    <row r="549" spans="19:19" x14ac:dyDescent="0.2">
      <c r="S549" s="73"/>
    </row>
    <row r="550" spans="19:19" x14ac:dyDescent="0.2">
      <c r="S550" s="73"/>
    </row>
    <row r="551" spans="19:19" x14ac:dyDescent="0.2">
      <c r="S551" s="73"/>
    </row>
    <row r="552" spans="19:19" x14ac:dyDescent="0.2">
      <c r="S552" s="73"/>
    </row>
    <row r="553" spans="19:19" x14ac:dyDescent="0.2">
      <c r="S553" s="73"/>
    </row>
    <row r="554" spans="19:19" x14ac:dyDescent="0.2">
      <c r="S554" s="73"/>
    </row>
    <row r="555" spans="19:19" x14ac:dyDescent="0.2">
      <c r="S555" s="73"/>
    </row>
    <row r="556" spans="19:19" x14ac:dyDescent="0.2">
      <c r="S556" s="73"/>
    </row>
    <row r="557" spans="19:19" x14ac:dyDescent="0.2">
      <c r="S557" s="73"/>
    </row>
    <row r="558" spans="19:19" x14ac:dyDescent="0.2">
      <c r="S558" s="73"/>
    </row>
    <row r="559" spans="19:19" x14ac:dyDescent="0.2">
      <c r="S559" s="73"/>
    </row>
    <row r="560" spans="19:19" x14ac:dyDescent="0.2">
      <c r="S560" s="73"/>
    </row>
    <row r="561" spans="19:19" x14ac:dyDescent="0.2">
      <c r="S561" s="73"/>
    </row>
    <row r="562" spans="19:19" x14ac:dyDescent="0.2">
      <c r="S562" s="73"/>
    </row>
    <row r="563" spans="19:19" x14ac:dyDescent="0.2">
      <c r="S563" s="73"/>
    </row>
    <row r="564" spans="19:19" x14ac:dyDescent="0.2">
      <c r="S564" s="73"/>
    </row>
    <row r="565" spans="19:19" x14ac:dyDescent="0.2">
      <c r="S565" s="73"/>
    </row>
    <row r="566" spans="19:19" x14ac:dyDescent="0.2">
      <c r="S566" s="73"/>
    </row>
    <row r="567" spans="19:19" x14ac:dyDescent="0.2">
      <c r="S567" s="73"/>
    </row>
    <row r="568" spans="19:19" x14ac:dyDescent="0.2">
      <c r="S568" s="73"/>
    </row>
    <row r="569" spans="19:19" x14ac:dyDescent="0.2">
      <c r="S569" s="73"/>
    </row>
    <row r="570" spans="19:19" x14ac:dyDescent="0.2">
      <c r="S570" s="73"/>
    </row>
    <row r="571" spans="19:19" x14ac:dyDescent="0.2">
      <c r="S571" s="73"/>
    </row>
    <row r="572" spans="19:19" x14ac:dyDescent="0.2">
      <c r="S572" s="73"/>
    </row>
    <row r="573" spans="19:19" x14ac:dyDescent="0.2">
      <c r="S573" s="73"/>
    </row>
    <row r="574" spans="19:19" x14ac:dyDescent="0.2">
      <c r="S574" s="73"/>
    </row>
    <row r="575" spans="19:19" x14ac:dyDescent="0.2">
      <c r="S575" s="73"/>
    </row>
    <row r="576" spans="19:19" x14ac:dyDescent="0.2">
      <c r="S576" s="73"/>
    </row>
    <row r="577" spans="19:19" x14ac:dyDescent="0.2">
      <c r="S577" s="73"/>
    </row>
    <row r="578" spans="19:19" x14ac:dyDescent="0.2">
      <c r="S578" s="73"/>
    </row>
    <row r="579" spans="19:19" x14ac:dyDescent="0.2">
      <c r="S579" s="73"/>
    </row>
    <row r="580" spans="19:19" x14ac:dyDescent="0.2">
      <c r="S580" s="73"/>
    </row>
    <row r="581" spans="19:19" x14ac:dyDescent="0.2">
      <c r="S581" s="73"/>
    </row>
    <row r="582" spans="19:19" x14ac:dyDescent="0.2">
      <c r="S582" s="73"/>
    </row>
    <row r="583" spans="19:19" x14ac:dyDescent="0.2">
      <c r="S583" s="73"/>
    </row>
    <row r="584" spans="19:19" x14ac:dyDescent="0.2">
      <c r="S584" s="73"/>
    </row>
    <row r="585" spans="19:19" x14ac:dyDescent="0.2">
      <c r="S585" s="73"/>
    </row>
    <row r="586" spans="19:19" x14ac:dyDescent="0.2">
      <c r="S586" s="73"/>
    </row>
    <row r="587" spans="19:19" x14ac:dyDescent="0.2">
      <c r="S587" s="73"/>
    </row>
    <row r="588" spans="19:19" x14ac:dyDescent="0.2">
      <c r="S588" s="73"/>
    </row>
    <row r="589" spans="19:19" x14ac:dyDescent="0.2">
      <c r="S589" s="73"/>
    </row>
    <row r="590" spans="19:19" x14ac:dyDescent="0.2">
      <c r="S590" s="73"/>
    </row>
    <row r="591" spans="19:19" x14ac:dyDescent="0.2">
      <c r="S591" s="73"/>
    </row>
    <row r="592" spans="19:19" x14ac:dyDescent="0.2">
      <c r="S592" s="73"/>
    </row>
    <row r="593" spans="19:19" x14ac:dyDescent="0.2">
      <c r="S593" s="73"/>
    </row>
    <row r="594" spans="19:19" x14ac:dyDescent="0.2">
      <c r="S594" s="73"/>
    </row>
    <row r="595" spans="19:19" x14ac:dyDescent="0.2">
      <c r="S595" s="73"/>
    </row>
    <row r="596" spans="19:19" x14ac:dyDescent="0.2">
      <c r="S596" s="73"/>
    </row>
    <row r="597" spans="19:19" x14ac:dyDescent="0.2">
      <c r="S597" s="73"/>
    </row>
    <row r="598" spans="19:19" x14ac:dyDescent="0.2">
      <c r="S598" s="73"/>
    </row>
    <row r="599" spans="19:19" x14ac:dyDescent="0.2">
      <c r="S599" s="73"/>
    </row>
    <row r="600" spans="19:19" x14ac:dyDescent="0.2">
      <c r="S600" s="73"/>
    </row>
    <row r="601" spans="19:19" x14ac:dyDescent="0.2">
      <c r="S601" s="73"/>
    </row>
    <row r="602" spans="19:19" x14ac:dyDescent="0.2">
      <c r="S602" s="73"/>
    </row>
    <row r="603" spans="19:19" x14ac:dyDescent="0.2">
      <c r="S603" s="73"/>
    </row>
    <row r="604" spans="19:19" x14ac:dyDescent="0.2">
      <c r="S604" s="73"/>
    </row>
    <row r="605" spans="19:19" x14ac:dyDescent="0.2">
      <c r="S605" s="73"/>
    </row>
    <row r="606" spans="19:19" x14ac:dyDescent="0.2">
      <c r="S606" s="73"/>
    </row>
    <row r="607" spans="19:19" x14ac:dyDescent="0.2">
      <c r="S607" s="73"/>
    </row>
    <row r="608" spans="19:19" x14ac:dyDescent="0.2">
      <c r="S608" s="73"/>
    </row>
    <row r="609" spans="19:19" x14ac:dyDescent="0.2">
      <c r="S609" s="73"/>
    </row>
    <row r="610" spans="19:19" x14ac:dyDescent="0.2">
      <c r="S610" s="73"/>
    </row>
    <row r="611" spans="19:19" x14ac:dyDescent="0.2">
      <c r="S611" s="73"/>
    </row>
    <row r="612" spans="19:19" x14ac:dyDescent="0.2">
      <c r="S612" s="73"/>
    </row>
    <row r="613" spans="19:19" x14ac:dyDescent="0.2">
      <c r="S613" s="73"/>
    </row>
    <row r="614" spans="19:19" x14ac:dyDescent="0.2">
      <c r="S614" s="73"/>
    </row>
    <row r="615" spans="19:19" x14ac:dyDescent="0.2">
      <c r="S615" s="73"/>
    </row>
    <row r="616" spans="19:19" x14ac:dyDescent="0.2">
      <c r="S616" s="73"/>
    </row>
    <row r="617" spans="19:19" x14ac:dyDescent="0.2">
      <c r="S617" s="73"/>
    </row>
    <row r="618" spans="19:19" x14ac:dyDescent="0.2">
      <c r="S618" s="73"/>
    </row>
    <row r="619" spans="19:19" x14ac:dyDescent="0.2">
      <c r="S619" s="73"/>
    </row>
    <row r="620" spans="19:19" x14ac:dyDescent="0.2">
      <c r="S620" s="73"/>
    </row>
    <row r="621" spans="19:19" x14ac:dyDescent="0.2">
      <c r="S621" s="73"/>
    </row>
    <row r="622" spans="19:19" x14ac:dyDescent="0.2">
      <c r="S622" s="73"/>
    </row>
    <row r="623" spans="19:19" x14ac:dyDescent="0.2">
      <c r="S623" s="73"/>
    </row>
    <row r="624" spans="19:19" x14ac:dyDescent="0.2">
      <c r="S624" s="73"/>
    </row>
    <row r="625" spans="19:19" x14ac:dyDescent="0.2">
      <c r="S625" s="73"/>
    </row>
    <row r="626" spans="19:19" x14ac:dyDescent="0.2">
      <c r="S626" s="73"/>
    </row>
    <row r="627" spans="19:19" x14ac:dyDescent="0.2">
      <c r="S627" s="73"/>
    </row>
    <row r="628" spans="19:19" x14ac:dyDescent="0.2">
      <c r="S628" s="73"/>
    </row>
    <row r="629" spans="19:19" x14ac:dyDescent="0.2">
      <c r="S629" s="73"/>
    </row>
    <row r="630" spans="19:19" x14ac:dyDescent="0.2">
      <c r="S630" s="73"/>
    </row>
    <row r="631" spans="19:19" x14ac:dyDescent="0.2">
      <c r="S631" s="73"/>
    </row>
    <row r="632" spans="19:19" x14ac:dyDescent="0.2">
      <c r="S632" s="73"/>
    </row>
    <row r="633" spans="19:19" x14ac:dyDescent="0.2">
      <c r="S633" s="73"/>
    </row>
    <row r="634" spans="19:19" x14ac:dyDescent="0.2">
      <c r="S634" s="73"/>
    </row>
    <row r="635" spans="19:19" x14ac:dyDescent="0.2">
      <c r="S635" s="73"/>
    </row>
    <row r="636" spans="19:19" x14ac:dyDescent="0.2">
      <c r="S636" s="73"/>
    </row>
    <row r="637" spans="19:19" x14ac:dyDescent="0.2">
      <c r="S637" s="73"/>
    </row>
    <row r="638" spans="19:19" x14ac:dyDescent="0.2">
      <c r="S638" s="73"/>
    </row>
    <row r="639" spans="19:19" x14ac:dyDescent="0.2">
      <c r="S639" s="73"/>
    </row>
    <row r="640" spans="19:19" x14ac:dyDescent="0.2">
      <c r="S640" s="73"/>
    </row>
    <row r="641" spans="19:19" x14ac:dyDescent="0.2">
      <c r="S641" s="73"/>
    </row>
    <row r="642" spans="19:19" x14ac:dyDescent="0.2">
      <c r="S642" s="73"/>
    </row>
    <row r="643" spans="19:19" x14ac:dyDescent="0.2">
      <c r="S643" s="73"/>
    </row>
    <row r="644" spans="19:19" x14ac:dyDescent="0.2">
      <c r="S644" s="73"/>
    </row>
    <row r="645" spans="19:19" x14ac:dyDescent="0.2">
      <c r="S645" s="73"/>
    </row>
    <row r="646" spans="19:19" x14ac:dyDescent="0.2">
      <c r="S646" s="73"/>
    </row>
    <row r="647" spans="19:19" x14ac:dyDescent="0.2">
      <c r="S647" s="73"/>
    </row>
    <row r="648" spans="19:19" x14ac:dyDescent="0.2">
      <c r="S648" s="73"/>
    </row>
    <row r="649" spans="19:19" x14ac:dyDescent="0.2">
      <c r="S649" s="73"/>
    </row>
    <row r="650" spans="19:19" x14ac:dyDescent="0.2">
      <c r="S650" s="73"/>
    </row>
    <row r="651" spans="19:19" x14ac:dyDescent="0.2">
      <c r="S651" s="73"/>
    </row>
    <row r="652" spans="19:19" x14ac:dyDescent="0.2">
      <c r="S652" s="73"/>
    </row>
    <row r="653" spans="19:19" x14ac:dyDescent="0.2">
      <c r="S653" s="73"/>
    </row>
    <row r="654" spans="19:19" x14ac:dyDescent="0.2">
      <c r="S654" s="73"/>
    </row>
    <row r="655" spans="19:19" x14ac:dyDescent="0.2">
      <c r="S655" s="73"/>
    </row>
    <row r="656" spans="19:19" x14ac:dyDescent="0.2">
      <c r="S656" s="73"/>
    </row>
    <row r="657" spans="19:19" x14ac:dyDescent="0.2">
      <c r="S657" s="73"/>
    </row>
    <row r="658" spans="19:19" x14ac:dyDescent="0.2">
      <c r="S658" s="73"/>
    </row>
    <row r="659" spans="19:19" x14ac:dyDescent="0.2">
      <c r="S659" s="73"/>
    </row>
    <row r="660" spans="19:19" x14ac:dyDescent="0.2">
      <c r="S660" s="73"/>
    </row>
    <row r="661" spans="19:19" x14ac:dyDescent="0.2">
      <c r="S661" s="73"/>
    </row>
    <row r="662" spans="19:19" x14ac:dyDescent="0.2">
      <c r="S662" s="73"/>
    </row>
    <row r="663" spans="19:19" x14ac:dyDescent="0.2">
      <c r="S663" s="73"/>
    </row>
    <row r="664" spans="19:19" x14ac:dyDescent="0.2">
      <c r="S664" s="73"/>
    </row>
    <row r="665" spans="19:19" x14ac:dyDescent="0.2">
      <c r="S665" s="73"/>
    </row>
    <row r="666" spans="19:19" x14ac:dyDescent="0.2">
      <c r="S666" s="73"/>
    </row>
    <row r="667" spans="19:19" x14ac:dyDescent="0.2">
      <c r="S667" s="73"/>
    </row>
    <row r="668" spans="19:19" x14ac:dyDescent="0.2">
      <c r="S668" s="73"/>
    </row>
    <row r="669" spans="19:19" x14ac:dyDescent="0.2">
      <c r="S669" s="73"/>
    </row>
    <row r="670" spans="19:19" x14ac:dyDescent="0.2">
      <c r="S670" s="73"/>
    </row>
    <row r="671" spans="19:19" x14ac:dyDescent="0.2">
      <c r="S671" s="73"/>
    </row>
    <row r="672" spans="19:19" x14ac:dyDescent="0.2">
      <c r="S672" s="73"/>
    </row>
    <row r="673" spans="19:19" x14ac:dyDescent="0.2">
      <c r="S673" s="73"/>
    </row>
    <row r="674" spans="19:19" x14ac:dyDescent="0.2">
      <c r="S674" s="73"/>
    </row>
    <row r="675" spans="19:19" x14ac:dyDescent="0.2">
      <c r="S675" s="73"/>
    </row>
    <row r="676" spans="19:19" x14ac:dyDescent="0.2">
      <c r="S676" s="73"/>
    </row>
    <row r="677" spans="19:19" x14ac:dyDescent="0.2">
      <c r="S677" s="73"/>
    </row>
    <row r="678" spans="19:19" x14ac:dyDescent="0.2">
      <c r="S678" s="73"/>
    </row>
    <row r="679" spans="19:19" x14ac:dyDescent="0.2">
      <c r="S679" s="73"/>
    </row>
    <row r="680" spans="19:19" x14ac:dyDescent="0.2">
      <c r="S680" s="73"/>
    </row>
    <row r="681" spans="19:19" x14ac:dyDescent="0.2">
      <c r="S681" s="73"/>
    </row>
    <row r="682" spans="19:19" x14ac:dyDescent="0.2">
      <c r="S682" s="73"/>
    </row>
    <row r="683" spans="19:19" x14ac:dyDescent="0.2">
      <c r="S683" s="73"/>
    </row>
    <row r="684" spans="19:19" x14ac:dyDescent="0.2">
      <c r="S684" s="73"/>
    </row>
    <row r="685" spans="19:19" x14ac:dyDescent="0.2">
      <c r="S685" s="73"/>
    </row>
    <row r="686" spans="19:19" x14ac:dyDescent="0.2">
      <c r="S686" s="73"/>
    </row>
    <row r="687" spans="19:19" x14ac:dyDescent="0.2">
      <c r="S687" s="73"/>
    </row>
    <row r="688" spans="19:19" x14ac:dyDescent="0.2">
      <c r="S688" s="73"/>
    </row>
    <row r="689" spans="19:19" x14ac:dyDescent="0.2">
      <c r="S689" s="73"/>
    </row>
    <row r="690" spans="19:19" x14ac:dyDescent="0.2">
      <c r="S690" s="73"/>
    </row>
    <row r="691" spans="19:19" x14ac:dyDescent="0.2">
      <c r="S691" s="73"/>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Long Dur</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2024-10-01T04:39:16Z</dcterms:created>
  <dcterms:modified xsi:type="dcterms:W3CDTF">2024-10-03T07:02:02Z</dcterms:modified>
</cp:coreProperties>
</file>