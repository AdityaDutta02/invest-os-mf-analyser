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Sept 2024\"/>
    </mc:Choice>
  </mc:AlternateContent>
  <xr:revisionPtr revIDLastSave="0" documentId="13_ncr:1_{68C16064-D35F-4B87-9AFB-0DD2EBF0A078}" xr6:coauthVersionLast="36" xr6:coauthVersionMax="36" xr10:uidLastSave="{00000000-0000-0000-0000-000000000000}"/>
  <bookViews>
    <workbookView xWindow="0" yWindow="0" windowWidth="10215" windowHeight="7515" xr2:uid="{977D4A53-E822-4214-95A1-F4CC5F055C5E}"/>
  </bookViews>
  <sheets>
    <sheet name="BANDHAN OF" sheetId="24" r:id="rId1"/>
    <sheet name="BANDHAN CF" sheetId="20" r:id="rId2"/>
    <sheet name="BANDHAN LDF" sheetId="22" r:id="rId3"/>
    <sheet name="BANDHAN MMF" sheetId="23" r:id="rId4"/>
    <sheet name="BANDHAN USTF" sheetId="25" r:id="rId5"/>
    <sheet name="BANDHAN DBF" sheetId="16" r:id="rId6"/>
    <sheet name="BANDHAN BPDF" sheetId="3" r:id="rId7"/>
    <sheet name="BANDHAN BOND IP" sheetId="4" r:id="rId8"/>
    <sheet name="BANDHAN BOND MT" sheetId="5" r:id="rId9"/>
    <sheet name="BANDHAN BOND ST" sheetId="6" r:id="rId10"/>
    <sheet name="BANDHAN CBF" sheetId="7" r:id="rId11"/>
    <sheet name="BANDHAN CRF" sheetId="8" r:id="rId12"/>
    <sheet name="BANDHAN FRF" sheetId="17" r:id="rId13"/>
    <sheet name="BANDHAN Long Dur"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E34" i="7" l="1"/>
</calcChain>
</file>

<file path=xl/sharedStrings.xml><?xml version="1.0" encoding="utf-8"?>
<sst xmlns="http://schemas.openxmlformats.org/spreadsheetml/2006/main" count="1464" uniqueCount="318">
  <si>
    <t>Bandhan All Seasons Bond Fund (31 August, 2024 )</t>
  </si>
  <si>
    <t>Name</t>
  </si>
  <si>
    <t>Rating</t>
  </si>
  <si>
    <t>Total</t>
  </si>
  <si>
    <t>Asset Quality</t>
  </si>
  <si>
    <t>Average Maturity Years</t>
  </si>
  <si>
    <t>Asset Allocation</t>
  </si>
  <si>
    <t>Bandhan Banking &amp; PSU Debt Fund (31 August, 2024 )</t>
  </si>
  <si>
    <t>AAA EQUIVALENT</t>
  </si>
  <si>
    <t>Bandhan Bond Fund - Income Plan (31 August, 2024 )</t>
  </si>
  <si>
    <t>Net Assets as on 31 August, 2024</t>
  </si>
  <si>
    <t>477.57 crs</t>
  </si>
  <si>
    <t>HDFC Bank Limited</t>
  </si>
  <si>
    <t xml:space="preserve"> A1+</t>
  </si>
  <si>
    <t>Bank of Baroda</t>
  </si>
  <si>
    <t>Certificate of Deposit Total</t>
  </si>
  <si>
    <t>Tata Capital Limited</t>
  </si>
  <si>
    <t xml:space="preserve"> AAA</t>
  </si>
  <si>
    <t>Bajaj Housing Finance Limited</t>
  </si>
  <si>
    <t>National Bank For Agriculture and Rural Development</t>
  </si>
  <si>
    <t>REC Limited</t>
  </si>
  <si>
    <t>Corporate Bond Total</t>
  </si>
  <si>
    <t>Corporate Debt Market Development Fund</t>
  </si>
  <si>
    <t>Corporate Debt Market Development Fund Total</t>
  </si>
  <si>
    <t>7.3% GOI (MD 19/06/2053)</t>
  </si>
  <si>
    <t>7.18% GOI (MD 14/08/2033)</t>
  </si>
  <si>
    <t>7.17% GOI (MD 17/04/2030)</t>
  </si>
  <si>
    <t>6.54% GOI (MD 17/01/2032)</t>
  </si>
  <si>
    <t>6.79% GOI (MD 15/05/2027)</t>
  </si>
  <si>
    <t>7.73% GOI (MD 19/12/2034)</t>
  </si>
  <si>
    <t>Government Bond Total</t>
  </si>
  <si>
    <t>Clearing Corporation of India Ltd</t>
  </si>
  <si>
    <t>TRI Party Repo Total</t>
  </si>
  <si>
    <t>Net Current Asset</t>
  </si>
  <si>
    <t>Grand Total</t>
  </si>
  <si>
    <t>Company</t>
  </si>
  <si>
    <t>TRI Party Repo</t>
  </si>
  <si>
    <t>Certificate of Deposit</t>
  </si>
  <si>
    <t>Corporate Bond</t>
  </si>
  <si>
    <t>Government Bond</t>
  </si>
  <si>
    <t>Bandhan Bond Fund - Medium Term Plan (31 August, 2024 )</t>
  </si>
  <si>
    <t>1512.80 crs</t>
  </si>
  <si>
    <t>Axis Bank Limited</t>
  </si>
  <si>
    <t>Canara Bank</t>
  </si>
  <si>
    <t>Punjab National Bank</t>
  </si>
  <si>
    <t>Tata Capital Housing Finance Limited</t>
  </si>
  <si>
    <t>Indian Railway Finance Corporation Limited</t>
  </si>
  <si>
    <t>Bajaj Finance Limited</t>
  </si>
  <si>
    <t>8.24% GOI (MD 15/02/2027)</t>
  </si>
  <si>
    <t>State Government Bond Total</t>
  </si>
  <si>
    <t>State Government Bond</t>
  </si>
  <si>
    <t>Bandhan Bond Fund - Short Term Plan (31 August, 2024 )</t>
  </si>
  <si>
    <t>8908.66 crs</t>
  </si>
  <si>
    <t>Kotak Mahindra Bank Limited</t>
  </si>
  <si>
    <t>Export Import Bank of India</t>
  </si>
  <si>
    <t>Commercial Paper Total</t>
  </si>
  <si>
    <t>Kotak Mahindra Prime Limited</t>
  </si>
  <si>
    <t>Sundaram Finance Limited</t>
  </si>
  <si>
    <t>5.63% GOI (MD 12/04/2026)</t>
  </si>
  <si>
    <t>Commercial Paper</t>
  </si>
  <si>
    <t>Bandhan Corporate Bond Fund (31 August, 2024 )</t>
  </si>
  <si>
    <t>13633.46 crs</t>
  </si>
  <si>
    <t>National Housing Bank</t>
  </si>
  <si>
    <t>Reliance Jio Infocomm Limited</t>
  </si>
  <si>
    <t>Grasim Industries Limited</t>
  </si>
  <si>
    <t>Nuclear Power Corporation Of India Limited</t>
  </si>
  <si>
    <t>Power Grid Corporation of India Limited</t>
  </si>
  <si>
    <t>Power Finance Corporation Limited</t>
  </si>
  <si>
    <t>Mahindra &amp; Mahindra Limited</t>
  </si>
  <si>
    <t>Small Industries Dev Bank of India</t>
  </si>
  <si>
    <t>NTPC Limited</t>
  </si>
  <si>
    <t>Reliance Industries Limited</t>
  </si>
  <si>
    <t>National Highways Authority Of India</t>
  </si>
  <si>
    <t>ICICI Bank Limited</t>
  </si>
  <si>
    <t>Hindustan Petroleum Corporation Limited</t>
  </si>
  <si>
    <t>7.26% GOI (MD 22/08/2032)</t>
  </si>
  <si>
    <t>7.26% GOI (MD 06/02/2033)</t>
  </si>
  <si>
    <t>Zero Coupon Bond Total</t>
  </si>
  <si>
    <t>Zero Coupon Bond</t>
  </si>
  <si>
    <t>Bandhan Credit Risk Fund (31 August, 2024 )</t>
  </si>
  <si>
    <t>330.45 crs</t>
  </si>
  <si>
    <t>Century Textiles &amp; Industries Limited</t>
  </si>
  <si>
    <t xml:space="preserve"> AA</t>
  </si>
  <si>
    <t>Tata Projects Limited</t>
  </si>
  <si>
    <t>Godrej Industries Limited</t>
  </si>
  <si>
    <t>TVS Credit Services Limited</t>
  </si>
  <si>
    <t>AU Small Finance Bank Limited</t>
  </si>
  <si>
    <t>Aadhar Housing Finance Limited</t>
  </si>
  <si>
    <t>Nirma Limited</t>
  </si>
  <si>
    <t>Muthoot Finance Limited</t>
  </si>
  <si>
    <t xml:space="preserve"> AA+</t>
  </si>
  <si>
    <t>Godrej Properties Limited</t>
  </si>
  <si>
    <t>Nuvoco Vistas Corporation Limited</t>
  </si>
  <si>
    <t>7.18% GOI (MD 24/07/2037)</t>
  </si>
  <si>
    <t>AA</t>
  </si>
  <si>
    <t>AA+</t>
  </si>
  <si>
    <t>Bandhan CRISIL IBX 90:10 SDL+Gilt Apr32 Index Fund (31 August, 2024 )</t>
  </si>
  <si>
    <t>370.59 crs</t>
  </si>
  <si>
    <t>6.1% GOI (MD 12/07/2031)</t>
  </si>
  <si>
    <t>Bandhan CRISIL IBX 90:10 SDL+Gilt Nov26 Index Fund (31 August, 2024 )</t>
  </si>
  <si>
    <t>115.61 crs</t>
  </si>
  <si>
    <t>5.74% GOI (MD 15/11/2026)</t>
  </si>
  <si>
    <t>Bandhan CRISIL IBX 90:10 SDL+Gilt Sep27 Index Fund (31 August, 2024 )</t>
  </si>
  <si>
    <t>167.26 crs</t>
  </si>
  <si>
    <t>7.38% GOI (MD 20/06/2027)</t>
  </si>
  <si>
    <t>Bandhan CRISIL IBX Gilt April 2026 Index Fund (31 August, 2024 )</t>
  </si>
  <si>
    <t>488.12 crs</t>
  </si>
  <si>
    <t>6.99% GOI (MD 17/04/2026)</t>
  </si>
  <si>
    <t>7.59% GOI(MD 11/01/2026)</t>
  </si>
  <si>
    <t>5.15% GOI (MD 09/11/2025)</t>
  </si>
  <si>
    <t>7.27% GOI (MD 08/04/2026)</t>
  </si>
  <si>
    <t>Bandhan CRISIL IBX Gilt April 2028 Index Fund (31 August, 2024 )</t>
  </si>
  <si>
    <t>4940.19 crs</t>
  </si>
  <si>
    <t>7.17% GOI (MD 08/01/2028)</t>
  </si>
  <si>
    <t>8.28% GOI (M/D 21/09/2027)</t>
  </si>
  <si>
    <t>Bandhan CRISIL IBX GILT APRIL 2032 INDEX FUND (31 August, 2024 )</t>
  </si>
  <si>
    <t>401.96 crs</t>
  </si>
  <si>
    <t>Average Maturity in Days</t>
  </si>
  <si>
    <t>Bandhan CRISIL IBX Gilt June 2027 Index Fund (31 August, 2024 )</t>
  </si>
  <si>
    <t>8296.29 crs</t>
  </si>
  <si>
    <t>Bandhan Dynamic Bond Fund (31 August, 2024 )</t>
  </si>
  <si>
    <t>2713.22 crs</t>
  </si>
  <si>
    <t>8.20% GOI (MD 24/09/2025)</t>
  </si>
  <si>
    <t>Bandhan Floating Rate Fund (31 August, 2024 )</t>
  </si>
  <si>
    <t>319.76 crs</t>
  </si>
  <si>
    <t>Cholamandalam Investment and Finance Company Ltd</t>
  </si>
  <si>
    <t>Bharti Telecom Limited</t>
  </si>
  <si>
    <t>Interest Rate Swaps</t>
  </si>
  <si>
    <t>Bandhan Government Sec Fund-Constant Maturity Plan (31 August, 2024 )</t>
  </si>
  <si>
    <t>339.70 crs</t>
  </si>
  <si>
    <t>7.1% GOI (MD 08/04/2034)</t>
  </si>
  <si>
    <t>Bandhan Government Securities Fund-Investment Plan (31 August, 2024 )</t>
  </si>
  <si>
    <t>2647.50 crs</t>
  </si>
  <si>
    <t>Bandhan Liquid Fund (31 August, 2024 )</t>
  </si>
  <si>
    <t>12792.36 crs</t>
  </si>
  <si>
    <t>Union Bank of India</t>
  </si>
  <si>
    <t>Bank of India</t>
  </si>
  <si>
    <t>IndusInd Bank Limited</t>
  </si>
  <si>
    <t>Reliance Retail Ventures Limited</t>
  </si>
  <si>
    <t>HDFC Securities Limited</t>
  </si>
  <si>
    <t>Godrej Consumer Products Limited</t>
  </si>
  <si>
    <t>Tata Motors Finance Limited</t>
  </si>
  <si>
    <t>ICICI Securities Limited</t>
  </si>
  <si>
    <t>Mahindra &amp; Mahindra Financial Services Limited</t>
  </si>
  <si>
    <t>Titan Company Limited</t>
  </si>
  <si>
    <t>UltraTech Cement Limited</t>
  </si>
  <si>
    <t>Kotak Securities Limited</t>
  </si>
  <si>
    <t>Larsen &amp; Toubro Limited</t>
  </si>
  <si>
    <t>Tata Power Company Limited</t>
  </si>
  <si>
    <t>Floating Rate Note Total</t>
  </si>
  <si>
    <t>Government Bond Strips Total</t>
  </si>
  <si>
    <t>91 Days Tbill (MD 05/09/2024)</t>
  </si>
  <si>
    <t>91 Days Tbill (MD 21/11/2024)</t>
  </si>
  <si>
    <t>182 Days Tbill (MD 26/09/2024)</t>
  </si>
  <si>
    <t>91 Days Tbill (MD 12/09/2024)</t>
  </si>
  <si>
    <t>364 Days Tbill (MD 27/09/2024)</t>
  </si>
  <si>
    <t>182 Days Tbill (MD 05/09/2024)</t>
  </si>
  <si>
    <t>182 Days Tbill (MD 19/09/2024)</t>
  </si>
  <si>
    <t>364 Days Tbill (MD 31/10/2024)</t>
  </si>
  <si>
    <t>364 Days Tbill (MD 24/10/2024)</t>
  </si>
  <si>
    <t>Treasury Bill Total</t>
  </si>
  <si>
    <t>Kotak Mahindra Investments Limited</t>
  </si>
  <si>
    <t>Floating Rate Note</t>
  </si>
  <si>
    <t>Government Bond Strips</t>
  </si>
  <si>
    <t>Treasury Bill</t>
  </si>
  <si>
    <t>Bandhan Long Duration Fund (31 August, 2024 )</t>
  </si>
  <si>
    <t>135.99 crs</t>
  </si>
  <si>
    <t>7.46% GOI (MD 06/11/2073)</t>
  </si>
  <si>
    <t>Bandhan Low Duration Fund (31 August, 2024 )</t>
  </si>
  <si>
    <t>5868.00 crs</t>
  </si>
  <si>
    <t>182 Days Tbill (MD 05/12/2024)</t>
  </si>
  <si>
    <t>Bandhan Money Manager Fund (31 August, 2024 )</t>
  </si>
  <si>
    <t>Panatone Finvest Limited</t>
  </si>
  <si>
    <t>Bandhan Overnight Fund (31 August, 2024 )</t>
  </si>
  <si>
    <t>1395.36 crs</t>
  </si>
  <si>
    <t>REPO Total</t>
  </si>
  <si>
    <t>182 Days Tbill (MD 12/09/2024)</t>
  </si>
  <si>
    <t>REPO</t>
  </si>
  <si>
    <t>Bandhan Ultra Short Term Fund (31 August, 2024 )</t>
  </si>
  <si>
    <t>3686.68 crs</t>
  </si>
  <si>
    <t>Bajaj Financial Securities Limited</t>
  </si>
  <si>
    <t>L&amp;T Finance Limited</t>
  </si>
  <si>
    <t xml:space="preserve">SOV </t>
  </si>
  <si>
    <t>GOI Strips (MD 22/10/2024)</t>
  </si>
  <si>
    <t>8.28% Maharashtra SDL (MD 29/07/2025)</t>
  </si>
  <si>
    <t>8.31% Andhra Pradesh SDL (MD 29/07/2025)</t>
  </si>
  <si>
    <t>8.16% Maharastra SDL (23/09/2025)</t>
  </si>
  <si>
    <t>7.98% Karnataka SDL (14/10/2025)</t>
  </si>
  <si>
    <t>7.99% Maharastra SDL (MD 28/10/2025)</t>
  </si>
  <si>
    <t>8.17% Tamilnadu SDL (MD 26/11/2025)</t>
  </si>
  <si>
    <t>8.39% Madhya Pradesh SDL (MD 27/01/2026)</t>
  </si>
  <si>
    <t>8.54% Bihar SDL (MD 10/02/2026)</t>
  </si>
  <si>
    <t>8.82% Bihar SDL (MD 24/02/2026)</t>
  </si>
  <si>
    <t>8.83% Uttar Pradesh SDL (MD 24/02/2026)</t>
  </si>
  <si>
    <t>8.67% Karnataka SDL (MD 24/02/2026)</t>
  </si>
  <si>
    <t>8.76% Madhya Pradesh SDL (MD 24/02/2026)</t>
  </si>
  <si>
    <t>8.65% Rajasthan SDL(MD 24/02/2026)</t>
  </si>
  <si>
    <t>7.99% Karnatak SDL (MD 28/10/2025)</t>
  </si>
  <si>
    <t>8.07% Rajasthan SDL (MD 31/01/2028)</t>
  </si>
  <si>
    <t>8.28% Karnataka SDL (MD 06/03/2026)</t>
  </si>
  <si>
    <t>6.9% Tamilnadu SDL (MD 16/10/2025)</t>
  </si>
  <si>
    <t>8.27% Haryana SDL (MD 13/05/2025)</t>
  </si>
  <si>
    <t>8.34% Uttar Pradesh SDL (MD 13/01/2026)</t>
  </si>
  <si>
    <t>8.23% Chhatisgarh SDL (MD 09/12/2025)</t>
  </si>
  <si>
    <t>6.10% Rajasthan SDL (MD 25/05/2026)</t>
  </si>
  <si>
    <t>8.52% Telangana SDL (MD 10/02/2026)</t>
  </si>
  <si>
    <t>6.18% Gujarat SDL MD (MD 31/03/2026)</t>
  </si>
  <si>
    <t>7.47% Gujarat SDL (MD 27/10/2025)</t>
  </si>
  <si>
    <t>7.41% Uttar Pradesh SDL (MD 09/11/2026)</t>
  </si>
  <si>
    <t>8.2% Uttar Pradesh SDL (MD 24/06/2025)</t>
  </si>
  <si>
    <t>GOI Strips (MD 19/03/2025)</t>
  </si>
  <si>
    <t>7.36% GOI (MD12/09/2052)-Strips (C)-(MD12/03/2025)</t>
  </si>
  <si>
    <t>GOI Strips (MD 12/12/2024 )</t>
  </si>
  <si>
    <t>8.07% Gujrat SDL (MD 11/02/2025)</t>
  </si>
  <si>
    <t>8.17% West Bengal SDL (MD 27/05/2025)</t>
  </si>
  <si>
    <t>8.72% Tamil Nadu SDL (MD 29/10/2024)</t>
  </si>
  <si>
    <t>8.06% Tamilnadu SDL (MD 29/04/2025)</t>
  </si>
  <si>
    <t>8.24% Tamilnadu SDL (MD 10/06/2025)</t>
  </si>
  <si>
    <t>8.24% Maharashtra SDL (MD 24/12/2024)</t>
  </si>
  <si>
    <t>5.95% Tamilnadu SDL (MD 13/05/2025)</t>
  </si>
  <si>
    <t>6.69% Madhya Pradesh SDL (MD 17/03/2025)</t>
  </si>
  <si>
    <t>8.09% Andhra Pradesh SDL (MD 28/01/2025)</t>
  </si>
  <si>
    <t>5.75% Rajasthan SDL (MD 10/06/2025)</t>
  </si>
  <si>
    <t>5.8% Maharashtra SDL (MD 02/02/2025)</t>
  </si>
  <si>
    <t>5.88% Gujarat SDL (MD 31/03/2025)</t>
  </si>
  <si>
    <t>8.43% Maharashtra SDL (MD 12/11/2024)</t>
  </si>
  <si>
    <t>Indian Oil Corporation Limited</t>
  </si>
  <si>
    <t>NHPC Limited</t>
  </si>
  <si>
    <t>7.18% Tamilnadu SDL (MD 26/07/2027)</t>
  </si>
  <si>
    <t>8.37% Tamil Nadu SDL (MD 05/12/2028)</t>
  </si>
  <si>
    <t>Tata Capital Limited*</t>
  </si>
  <si>
    <t>Power Grid Corporation of India Limited*</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</si>
  <si>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</si>
  <si>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</si>
  <si>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</si>
  <si>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</si>
  <si>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</si>
  <si>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</si>
  <si>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</si>
  <si>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</si>
  <si>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</si>
  <si>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</si>
  <si>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</si>
  <si>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</si>
  <si>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</si>
  <si>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</si>
  <si>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</si>
  <si>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</si>
  <si>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</si>
  <si>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</si>
  <si>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</si>
  <si>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</si>
  <si>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</si>
  <si>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</si>
  <si>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</si>
  <si>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</si>
  <si>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</si>
  <si>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</si>
  <si>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</si>
  <si>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</si>
  <si>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</si>
  <si>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</si>
  <si>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</si>
  <si>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</si>
  <si>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</si>
  <si>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</si>
  <si>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</si>
  <si>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</si>
  <si>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</si>
  <si>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</si>
  <si>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</si>
  <si>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</si>
  <si>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</si>
  <si>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</si>
  <si>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</si>
  <si>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</si>
  <si>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</si>
  <si>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</si>
  <si>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</si>
  <si>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</si>
  <si>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</si>
  <si>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</si>
  <si>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</si>
  <si>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</si>
  <si>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Bond Fund -Short Term Pl Direct Pl-Growth</t>
  </si>
  <si>
    <t>Bandhan Floating Rate Fund Direct Growth</t>
  </si>
  <si>
    <t>Bandhan-Bandhan Banking &amp; PSU Debt Fund -Direct Gr</t>
  </si>
  <si>
    <t>Mutual Fund Units Total</t>
  </si>
  <si>
    <t>Mutual Fund Units</t>
  </si>
  <si>
    <t>7518.29 crs</t>
  </si>
  <si>
    <t>13887.95 crs</t>
  </si>
  <si>
    <t>162.25 crs</t>
  </si>
  <si>
    <t>AAA EQUIVALENT / A1+</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</si>
  <si>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</si>
  <si>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</si>
  <si>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</si>
  <si>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*Reduced Face Value Bonds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</si>
  <si>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</si>
  <si>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</si>
  <si>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</si>
  <si>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</si>
  <si>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</si>
  <si>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</si>
  <si>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</si>
  <si>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</si>
  <si>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</si>
  <si>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</si>
  <si>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</si>
  <si>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</si>
  <si>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</si>
  <si>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</si>
  <si>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</si>
  <si>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</si>
  <si>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</si>
  <si>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</si>
  <si>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</si>
  <si>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150.44 crs</t>
  </si>
  <si>
    <t>BANDHAN US TREASURY BOND 0-1 YEAR FUND OF FUND (31 August,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</si>
</sst>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0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Font="1" applyBorder="1"/>
    <xf numFmtId="4" fontId="5" fillId="2" borderId="0" xfId="0" applyNumberFormat="1" applyFont="1" applyFill="1" applyBorder="1" applyAlignment="1">
      <alignment vertical="center"/>
    </xf>
    <xf numFmtId="3" fontId="5" fillId="2" borderId="0" xfId="0" applyNumberFormat="1" applyFont="1" applyFill="1" applyBorder="1" applyAlignment="1">
      <alignment vertical="center"/>
    </xf>
    <xf numFmtId="3" fontId="5" fillId="2" borderId="0" xfId="0" applyNumberFormat="1" applyFont="1" applyFill="1" applyBorder="1" applyAlignment="1">
      <alignment horizontal="center" vertical="center"/>
    </xf>
    <xf numFmtId="1" fontId="5" fillId="2" borderId="0" xfId="0" applyNumberFormat="1" applyFont="1" applyFill="1" applyBorder="1" applyAlignment="1">
      <alignment horizontal="center" vertical="center"/>
    </xf>
    <xf numFmtId="0" fontId="10" fillId="0" borderId="0" xfId="0" applyFont="1"/>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2" fillId="0" borderId="0" xfId="0" applyFont="1" applyBorder="1"/>
    <xf numFmtId="0" fontId="10" fillId="0" borderId="0" xfId="0" applyFont="1" applyBorder="1"/>
    <xf numFmtId="0" fontId="10" fillId="0" borderId="23" xfId="0" applyFont="1" applyBorder="1"/>
    <xf numFmtId="0" fontId="11" fillId="3" borderId="0" xfId="0" applyFont="1" applyFill="1" applyBorder="1" applyAlignment="1">
      <alignment vertical="center"/>
    </xf>
    <xf numFmtId="0" fontId="12"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0" fillId="0" borderId="0" xfId="0" applyFont="1" applyFill="1" applyBorder="1"/>
    <xf numFmtId="10" fontId="13" fillId="0" borderId="0" xfId="1" applyNumberFormat="1" applyFont="1" applyFill="1" applyBorder="1" applyAlignment="1">
      <alignment horizontal="right"/>
    </xf>
    <xf numFmtId="0" fontId="10" fillId="0" borderId="24" xfId="0" applyFont="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1" fillId="3" borderId="0"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3" fillId="0" borderId="25" xfId="0" applyFont="1" applyBorder="1" applyAlignment="1"/>
    <xf numFmtId="0" fontId="13" fillId="0" borderId="26" xfId="0" applyFont="1" applyBorder="1" applyAlignment="1"/>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22" xfId="0" applyFont="1" applyBorder="1" applyAlignment="1">
      <alignment horizontal="left" vertical="top" wrapText="1"/>
    </xf>
    <xf numFmtId="0" fontId="12" fillId="0" borderId="0"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3A-435F-B616-AFAC6D5425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9E3A-435F-B616-AFAC6D5425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38-44D7-9502-E0666B7D819C}"/>
                </c:ext>
              </c:extLst>
            </c:dLbl>
            <c:dLbl>
              <c:idx val="1"/>
              <c:layout>
                <c:manualLayout>
                  <c:x val="-0.12296843649361817"/>
                  <c:y val="-8.91240594925634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E38-44D7-9502-E0666B7D819C}"/>
                </c:ext>
              </c:extLst>
            </c:dLbl>
            <c:dLbl>
              <c:idx val="2"/>
              <c:layout>
                <c:manualLayout>
                  <c:x val="5.0762869041798039E-2"/>
                  <c:y val="0.200030796150481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E38-44D7-9502-E0666B7D819C}"/>
                </c:ext>
              </c:extLst>
            </c:dLbl>
            <c:dLbl>
              <c:idx val="3"/>
              <c:layout>
                <c:manualLayout>
                  <c:x val="-8.8137129272117212E-2"/>
                  <c:y val="-1.91919510061242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E38-44D7-9502-E0666B7D81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-4.3210000000000002E-3</c:v>
                </c:pt>
                <c:pt idx="1">
                  <c:v>0.37737599999999999</c:v>
                </c:pt>
                <c:pt idx="2">
                  <c:v>0.57331900000000002</c:v>
                </c:pt>
                <c:pt idx="3">
                  <c:v>5.3626E-2</c:v>
                </c:pt>
              </c:numCache>
            </c:numRef>
          </c:val>
          <c:extLst>
            <c:ext xmlns:c16="http://schemas.microsoft.com/office/drawing/2014/chart" uri="{C3380CC4-5D6E-409C-BE32-E72D297353CC}">
              <c16:uniqueId val="{0000000C-4E38-44D7-9502-E0666B7D81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8792856058945526"/>
                  <c:y val="-1.65929203539823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592920353982302"/>
                    </c:manualLayout>
                  </c15:layout>
                </c:ext>
                <c:ext xmlns:c16="http://schemas.microsoft.com/office/drawing/2014/chart" uri="{C3380CC4-5D6E-409C-BE32-E72D297353CC}">
                  <c16:uniqueId val="{0000000D-776A-4B69-A9DC-0E512FBBF5EA}"/>
                </c:ext>
              </c:extLst>
            </c:dLbl>
            <c:dLbl>
              <c:idx val="1"/>
              <c:layout>
                <c:manualLayout>
                  <c:x val="-0.1798736279485407"/>
                  <c:y val="-1.87185561981743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6A-4B69-A9DC-0E512FBBF5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CF'!$G$8:$G$9</c:f>
              <c:strCache>
                <c:ptCount val="2"/>
                <c:pt idx="0">
                  <c:v>AAA EQUIVALENT / A1+</c:v>
                </c:pt>
                <c:pt idx="1">
                  <c:v>AA+</c:v>
                </c:pt>
              </c:strCache>
            </c:strRef>
          </c:cat>
          <c:val>
            <c:numRef>
              <c:f>'BANDHAN CF'!$H$8:$H$9</c:f>
              <c:numCache>
                <c:formatCode>0.00%</c:formatCode>
                <c:ptCount val="2"/>
                <c:pt idx="0">
                  <c:v>0.99335499999999999</c:v>
                </c:pt>
                <c:pt idx="1">
                  <c:v>6.6449999999999999E-3</c:v>
                </c:pt>
              </c:numCache>
            </c:numRef>
          </c:val>
          <c:extLst>
            <c:ext xmlns:c16="http://schemas.microsoft.com/office/drawing/2014/chart" uri="{C3380CC4-5D6E-409C-BE32-E72D297353CC}">
              <c16:uniqueId val="{0000000C-776A-4B69-A9DC-0E512FBBF5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2E-4E7D-952A-4B21F9E56DC7}"/>
                </c:ext>
              </c:extLst>
            </c:dLbl>
            <c:dLbl>
              <c:idx val="1"/>
              <c:layout>
                <c:manualLayout>
                  <c:x val="0.15195139017687037"/>
                  <c:y val="2.98916779049027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02E-4E7D-952A-4B21F9E56DC7}"/>
                </c:ext>
              </c:extLst>
            </c:dLbl>
            <c:dLbl>
              <c:idx val="2"/>
              <c:layout>
                <c:manualLayout>
                  <c:x val="-1.535551096798125E-2"/>
                  <c:y val="-0.19130325836342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02E-4E7D-952A-4B21F9E56DC7}"/>
                </c:ext>
              </c:extLst>
            </c:dLbl>
            <c:dLbl>
              <c:idx val="3"/>
              <c:layout>
                <c:manualLayout>
                  <c:x val="-2.9938457906894402E-2"/>
                  <c:y val="0.132739374429025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02E-4E7D-952A-4B21F9E56DC7}"/>
                </c:ext>
              </c:extLst>
            </c:dLbl>
            <c:dLbl>
              <c:idx val="4"/>
              <c:layout>
                <c:manualLayout>
                  <c:x val="0.47355106307643025"/>
                  <c:y val="0.11868760603819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02E-4E7D-952A-4B21F9E56DC7}"/>
                </c:ext>
              </c:extLst>
            </c:dLbl>
            <c:dLbl>
              <c:idx val="5"/>
              <c:layout>
                <c:manualLayout>
                  <c:x val="2.2296784636395826E-3"/>
                  <c:y val="0.548781833210075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02E-4E7D-952A-4B21F9E56DC7}"/>
                </c:ext>
              </c:extLst>
            </c:dLbl>
            <c:dLbl>
              <c:idx val="6"/>
              <c:layout>
                <c:manualLayout>
                  <c:x val="0.22240132189043821"/>
                  <c:y val="0.58881141514769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02E-4E7D-952A-4B21F9E56DC7}"/>
                </c:ext>
              </c:extLst>
            </c:dLbl>
            <c:dLbl>
              <c:idx val="7"/>
              <c:layout>
                <c:manualLayout>
                  <c:x val="-2.1758249169603266E-2"/>
                  <c:y val="-0.186346369687214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02E-4E7D-952A-4B21F9E56DC7}"/>
                </c:ext>
              </c:extLst>
            </c:dLbl>
            <c:dLbl>
              <c:idx val="8"/>
              <c:layout>
                <c:manualLayout>
                  <c:x val="-0.12603188386248293"/>
                  <c:y val="1.66810806107800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102E-4E7D-952A-4B21F9E56DC7}"/>
                </c:ext>
              </c:extLst>
            </c:dLbl>
            <c:dLbl>
              <c:idx val="9"/>
              <c:layout>
                <c:manualLayout>
                  <c:x val="-0.16963622721677993"/>
                  <c:y val="7.792230391090617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102E-4E7D-952A-4B21F9E56D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CF'!$J$9:$J$18</c:f>
              <c:strCache>
                <c:ptCount val="10"/>
                <c:pt idx="0">
                  <c:v>Net Current Asset</c:v>
                </c:pt>
                <c:pt idx="1">
                  <c:v>TRI Party Repo</c:v>
                </c:pt>
                <c:pt idx="2">
                  <c:v>Certificate of Deposit</c:v>
                </c:pt>
                <c:pt idx="3">
                  <c:v>Corporate Bond</c:v>
                </c:pt>
                <c:pt idx="4">
                  <c:v>Commercial Paper</c:v>
                </c:pt>
                <c:pt idx="5">
                  <c:v>Corporate Debt Market Development Fund</c:v>
                </c:pt>
                <c:pt idx="6">
                  <c:v>Floating Rate Note</c:v>
                </c:pt>
                <c:pt idx="7">
                  <c:v>Government Bond Strips</c:v>
                </c:pt>
                <c:pt idx="8">
                  <c:v>Treasury Bill</c:v>
                </c:pt>
                <c:pt idx="9">
                  <c:v>Zero Coupon Bond</c:v>
                </c:pt>
              </c:strCache>
            </c:strRef>
          </c:cat>
          <c:val>
            <c:numRef>
              <c:f>'BANDHAN CF'!$K$9:$K$18</c:f>
              <c:numCache>
                <c:formatCode>0.00%</c:formatCode>
                <c:ptCount val="10"/>
                <c:pt idx="0">
                  <c:v>-1.786E-3</c:v>
                </c:pt>
                <c:pt idx="1">
                  <c:v>1.1469E-2</c:v>
                </c:pt>
                <c:pt idx="2">
                  <c:v>0.302201</c:v>
                </c:pt>
                <c:pt idx="3">
                  <c:v>6.7598000000000005E-2</c:v>
                </c:pt>
                <c:pt idx="4">
                  <c:v>0.431282</c:v>
                </c:pt>
                <c:pt idx="5">
                  <c:v>2.6570000000000001E-3</c:v>
                </c:pt>
                <c:pt idx="6">
                  <c:v>7.4229999999999999E-3</c:v>
                </c:pt>
                <c:pt idx="7">
                  <c:v>2.7569999999999999E-3</c:v>
                </c:pt>
                <c:pt idx="8">
                  <c:v>0.17252700000000001</c:v>
                </c:pt>
                <c:pt idx="9">
                  <c:v>3.872E-3</c:v>
                </c:pt>
              </c:numCache>
            </c:numRef>
          </c:val>
          <c:extLst>
            <c:ext xmlns:c16="http://schemas.microsoft.com/office/drawing/2014/chart" uri="{C3380CC4-5D6E-409C-BE32-E72D297353CC}">
              <c16:uniqueId val="{0000000C-102E-4E7D-952A-4B21F9E56D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231002040162537"/>
                  <c:y val="-3.85462555066079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19823788546256"/>
                    </c:manualLayout>
                  </c15:layout>
                </c:ext>
                <c:ext xmlns:c16="http://schemas.microsoft.com/office/drawing/2014/chart" uri="{C3380CC4-5D6E-409C-BE32-E72D297353CC}">
                  <c16:uniqueId val="{0000000D-28E4-4B19-8E91-65F947E18FD0}"/>
                </c:ext>
              </c:extLst>
            </c:dLbl>
            <c:dLbl>
              <c:idx val="1"/>
              <c:layout>
                <c:manualLayout>
                  <c:x val="-5.6281171491679174E-2"/>
                  <c:y val="-3.68028721079468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8E4-4B19-8E91-65F947E18F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 / A1+</c:v>
                </c:pt>
                <c:pt idx="1">
                  <c:v>AA+</c:v>
                </c:pt>
              </c:strCache>
            </c:strRef>
          </c:cat>
          <c:val>
            <c:numRef>
              <c:f>'BANDHAN LDF'!$H$8:$H$9</c:f>
              <c:numCache>
                <c:formatCode>0.00%</c:formatCode>
                <c:ptCount val="2"/>
                <c:pt idx="0">
                  <c:v>0.95691999999999999</c:v>
                </c:pt>
                <c:pt idx="1">
                  <c:v>4.308E-2</c:v>
                </c:pt>
              </c:numCache>
            </c:numRef>
          </c:val>
          <c:extLst>
            <c:ext xmlns:c16="http://schemas.microsoft.com/office/drawing/2014/chart" uri="{C3380CC4-5D6E-409C-BE32-E72D297353CC}">
              <c16:uniqueId val="{0000000C-28E4-4B19-8E91-65F947E18F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12399669527390439"/>
                  <c:y val="7.754999956878336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67B-4648-B866-C917C6C5BD17}"/>
                </c:ext>
              </c:extLst>
            </c:dLbl>
            <c:dLbl>
              <c:idx val="1"/>
              <c:layout>
                <c:manualLayout>
                  <c:x val="0.25469945539462813"/>
                  <c:y val="-8.88592595147950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67B-4648-B866-C917C6C5BD17}"/>
                </c:ext>
              </c:extLst>
            </c:dLbl>
            <c:dLbl>
              <c:idx val="2"/>
              <c:layout>
                <c:manualLayout>
                  <c:x val="-7.8720767505774843E-3"/>
                  <c:y val="0.490563082681477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67B-4648-B866-C917C6C5BD17}"/>
                </c:ext>
              </c:extLst>
            </c:dLbl>
            <c:dLbl>
              <c:idx val="3"/>
              <c:layout>
                <c:manualLayout>
                  <c:x val="0.52229020890589961"/>
                  <c:y val="0.114203413510879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67B-4648-B866-C917C6C5BD17}"/>
                </c:ext>
              </c:extLst>
            </c:dLbl>
            <c:dLbl>
              <c:idx val="4"/>
              <c:layout>
                <c:manualLayout>
                  <c:x val="0.31027196546898445"/>
                  <c:y val="0.598624591422238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67B-4648-B866-C917C6C5BD17}"/>
                </c:ext>
              </c:extLst>
            </c:dLbl>
            <c:dLbl>
              <c:idx val="5"/>
              <c:layout>
                <c:manualLayout>
                  <c:x val="-2.0792628437505269E-2"/>
                  <c:y val="0.560215953290614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67B-4648-B866-C917C6C5BD17}"/>
                </c:ext>
              </c:extLst>
            </c:dLbl>
            <c:dLbl>
              <c:idx val="6"/>
              <c:layout>
                <c:manualLayout>
                  <c:x val="-4.9405823736701007E-2"/>
                  <c:y val="-0.216979586204517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67B-4648-B866-C917C6C5BD17}"/>
                </c:ext>
              </c:extLst>
            </c:dLbl>
            <c:dLbl>
              <c:idx val="7"/>
              <c:layout>
                <c:manualLayout>
                  <c:x val="-8.708012274696926E-2"/>
                  <c:y val="-2.22231804814102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67B-4648-B866-C917C6C5BD17}"/>
                </c:ext>
              </c:extLst>
            </c:dLbl>
            <c:dLbl>
              <c:idx val="8"/>
              <c:layout>
                <c:manualLayout>
                  <c:x val="0.20957139725842622"/>
                  <c:y val="-4.06885667221498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567B-4648-B866-C917C6C5BD17}"/>
                </c:ext>
              </c:extLst>
            </c:dLbl>
            <c:dLbl>
              <c:idx val="9"/>
              <c:layout>
                <c:manualLayout>
                  <c:x val="-0.10328660068455041"/>
                  <c:y val="-6.7132495623151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567B-4648-B866-C917C6C5BD1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LDF'!$K$9:$K$18</c:f>
              <c:numCache>
                <c:formatCode>0.00%</c:formatCode>
                <c:ptCount val="10"/>
                <c:pt idx="0">
                  <c:v>3.3077000000000002E-2</c:v>
                </c:pt>
                <c:pt idx="1">
                  <c:v>2.5609999999999999E-3</c:v>
                </c:pt>
                <c:pt idx="2">
                  <c:v>0.34136</c:v>
                </c:pt>
                <c:pt idx="3">
                  <c:v>0.42414099999999999</c:v>
                </c:pt>
                <c:pt idx="4">
                  <c:v>3.669E-2</c:v>
                </c:pt>
                <c:pt idx="5">
                  <c:v>2.6649999999999998E-3</c:v>
                </c:pt>
                <c:pt idx="6">
                  <c:v>1.212E-3</c:v>
                </c:pt>
                <c:pt idx="7">
                  <c:v>0.12895999999999999</c:v>
                </c:pt>
                <c:pt idx="8">
                  <c:v>4.1879999999999999E-3</c:v>
                </c:pt>
                <c:pt idx="9">
                  <c:v>2.5146000000000002E-2</c:v>
                </c:pt>
              </c:numCache>
            </c:numRef>
          </c:val>
          <c:extLst>
            <c:ext xmlns:c16="http://schemas.microsoft.com/office/drawing/2014/chart" uri="{C3380CC4-5D6E-409C-BE32-E72D297353CC}">
              <c16:uniqueId val="{0000000C-567B-4648-B866-C917C6C5BD1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11059029826837"/>
                  <c:y val="-2.21238938053097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B0-4C0D-B2F7-3719D4B0D7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 / A1+</c:v>
                </c:pt>
              </c:strCache>
            </c:strRef>
          </c:cat>
          <c:val>
            <c:numRef>
              <c:f>'BANDHAN MMF'!$H$8</c:f>
              <c:numCache>
                <c:formatCode>0%</c:formatCode>
                <c:ptCount val="1"/>
                <c:pt idx="0">
                  <c:v>1</c:v>
                </c:pt>
              </c:numCache>
            </c:numRef>
          </c:val>
          <c:extLst>
            <c:ext xmlns:c16="http://schemas.microsoft.com/office/drawing/2014/chart" uri="{C3380CC4-5D6E-409C-BE32-E72D297353CC}">
              <c16:uniqueId val="{0000000C-93B0-4C0D-B2F7-3719D4B0D7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207913638739483"/>
                  <c:y val="-2.1518289426075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45-4CAE-BDCD-1DB2A31D995A}"/>
                </c:ext>
              </c:extLst>
            </c:dLbl>
            <c:dLbl>
              <c:idx val="1"/>
              <c:layout>
                <c:manualLayout>
                  <c:x val="0.17775059434487178"/>
                  <c:y val="-9.32052585330553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45-4CAE-BDCD-1DB2A31D995A}"/>
                </c:ext>
              </c:extLst>
            </c:dLbl>
            <c:dLbl>
              <c:idx val="2"/>
              <c:layout>
                <c:manualLayout>
                  <c:x val="4.9334839569036741E-4"/>
                  <c:y val="7.98942090663174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45-4CAE-BDCD-1DB2A31D995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45-4CAE-BDCD-1DB2A31D995A}"/>
                </c:ext>
              </c:extLst>
            </c:dLbl>
            <c:dLbl>
              <c:idx val="4"/>
              <c:layout>
                <c:manualLayout>
                  <c:x val="-9.8597346102615113E-2"/>
                  <c:y val="0.628228260307724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945-4CAE-BDCD-1DB2A31D995A}"/>
                </c:ext>
              </c:extLst>
            </c:dLbl>
            <c:dLbl>
              <c:idx val="5"/>
              <c:layout>
                <c:manualLayout>
                  <c:x val="5.6932337419278696E-3"/>
                  <c:y val="-0.13132066369165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945-4CAE-BDCD-1DB2A31D995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945-4CAE-BDCD-1DB2A31D99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MMF'!$J$9:$J$15</c:f>
              <c:strCache>
                <c:ptCount val="7"/>
                <c:pt idx="0">
                  <c:v>Net Current Asset</c:v>
                </c:pt>
                <c:pt idx="1">
                  <c:v>TRI Party Repo</c:v>
                </c:pt>
                <c:pt idx="2">
                  <c:v>Certificate of Deposit</c:v>
                </c:pt>
                <c:pt idx="3">
                  <c:v>Commercial Paper</c:v>
                </c:pt>
                <c:pt idx="4">
                  <c:v>Corporate Debt Market Development Fund</c:v>
                </c:pt>
                <c:pt idx="5">
                  <c:v>Government Bond Strips</c:v>
                </c:pt>
                <c:pt idx="6">
                  <c:v>State Government Bond</c:v>
                </c:pt>
              </c:strCache>
            </c:strRef>
          </c:cat>
          <c:val>
            <c:numRef>
              <c:f>'BANDHAN MMF'!$K$9:$K$15</c:f>
              <c:numCache>
                <c:formatCode>0.00%</c:formatCode>
                <c:ptCount val="7"/>
                <c:pt idx="0">
                  <c:v>-7.6660000000000001E-3</c:v>
                </c:pt>
                <c:pt idx="1">
                  <c:v>0.105157</c:v>
                </c:pt>
                <c:pt idx="2">
                  <c:v>0.62787400000000004</c:v>
                </c:pt>
                <c:pt idx="3">
                  <c:v>0.160635</c:v>
                </c:pt>
                <c:pt idx="4">
                  <c:v>1.7359999999999999E-3</c:v>
                </c:pt>
                <c:pt idx="5">
                  <c:v>1.8151E-2</c:v>
                </c:pt>
                <c:pt idx="6">
                  <c:v>9.4113000000000002E-2</c:v>
                </c:pt>
              </c:numCache>
            </c:numRef>
          </c:val>
          <c:extLst>
            <c:ext xmlns:c16="http://schemas.microsoft.com/office/drawing/2014/chart" uri="{C3380CC4-5D6E-409C-BE32-E72D297353CC}">
              <c16:uniqueId val="{0000000C-D945-4CAE-BDCD-1DB2A31D99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760213458328416"/>
                  <c:y val="-2.0925110132158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7DA-4FC7-B5E3-AF77436C8C9F}"/>
                </c:ext>
              </c:extLst>
            </c:dLbl>
            <c:dLbl>
              <c:idx val="1"/>
              <c:layout>
                <c:manualLayout>
                  <c:x val="-0.13528638149353386"/>
                  <c:y val="-7.75517707863609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7DA-4FC7-B5E3-AF77436C8C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 / A1+</c:v>
                </c:pt>
                <c:pt idx="1">
                  <c:v>AA+</c:v>
                </c:pt>
              </c:strCache>
            </c:strRef>
          </c:cat>
          <c:val>
            <c:numRef>
              <c:f>'BANDHAN USTF'!$H$8:$H$9</c:f>
              <c:numCache>
                <c:formatCode>0.00%</c:formatCode>
                <c:ptCount val="2"/>
                <c:pt idx="0">
                  <c:v>0.95523000000000002</c:v>
                </c:pt>
                <c:pt idx="1">
                  <c:v>4.4769999999999997E-2</c:v>
                </c:pt>
              </c:numCache>
            </c:numRef>
          </c:val>
          <c:extLst>
            <c:ext xmlns:c16="http://schemas.microsoft.com/office/drawing/2014/chart" uri="{C3380CC4-5D6E-409C-BE32-E72D297353CC}">
              <c16:uniqueId val="{0000000C-E7DA-4FC7-B5E3-AF77436C8C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AF-4673-B61C-89F46DEB04A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AF-4673-B61C-89F46DEB04AF}"/>
                </c:ext>
              </c:extLst>
            </c:dLbl>
            <c:dLbl>
              <c:idx val="2"/>
              <c:layout>
                <c:manualLayout>
                  <c:x val="-8.3621541418671702E-2"/>
                  <c:y val="0.207375270398892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AF-4673-B61C-89F46DEB04AF}"/>
                </c:ext>
              </c:extLst>
            </c:dLbl>
            <c:dLbl>
              <c:idx val="3"/>
              <c:layout>
                <c:manualLayout>
                  <c:x val="0.34304338296042758"/>
                  <c:y val="0.326859911741801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AF-4673-B61C-89F46DEB04AF}"/>
                </c:ext>
              </c:extLst>
            </c:dLbl>
            <c:dLbl>
              <c:idx val="4"/>
              <c:layout>
                <c:manualLayout>
                  <c:x val="-0.25539327926621591"/>
                  <c:y val="-1.6504975339621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6AF-4673-B61C-89F46DEB04AF}"/>
                </c:ext>
              </c:extLst>
            </c:dLbl>
            <c:dLbl>
              <c:idx val="5"/>
              <c:layout>
                <c:manualLayout>
                  <c:x val="-0.26908867119661434"/>
                  <c:y val="0.707509907415419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6AF-4673-B61C-89F46DEB04AF}"/>
                </c:ext>
              </c:extLst>
            </c:dLbl>
            <c:dLbl>
              <c:idx val="6"/>
              <c:layout>
                <c:manualLayout>
                  <c:x val="-0.15757060479859716"/>
                  <c:y val="-1.28130137578956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6AF-4673-B61C-89F46DEB04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USTF'!$J$9:$J$15</c:f>
              <c:strCache>
                <c:ptCount val="7"/>
                <c:pt idx="0">
                  <c:v>Net Current Asset</c:v>
                </c:pt>
                <c:pt idx="1">
                  <c:v>TRI Party Repo</c:v>
                </c:pt>
                <c:pt idx="2">
                  <c:v>Certificate of Deposit</c:v>
                </c:pt>
                <c:pt idx="3">
                  <c:v>Corporate Bond</c:v>
                </c:pt>
                <c:pt idx="4">
                  <c:v>Commercial Paper</c:v>
                </c:pt>
                <c:pt idx="5">
                  <c:v>Corporate Debt Market Development Fund</c:v>
                </c:pt>
                <c:pt idx="6">
                  <c:v>Zero Coupon Bond</c:v>
                </c:pt>
              </c:strCache>
            </c:strRef>
          </c:cat>
          <c:val>
            <c:numRef>
              <c:f>'BANDHAN USTF'!$K$9:$K$15</c:f>
              <c:numCache>
                <c:formatCode>0.00%</c:formatCode>
                <c:ptCount val="7"/>
                <c:pt idx="0">
                  <c:v>1.7735000000000001E-2</c:v>
                </c:pt>
                <c:pt idx="1">
                  <c:v>0.12778600000000001</c:v>
                </c:pt>
                <c:pt idx="2">
                  <c:v>0.35918899999999998</c:v>
                </c:pt>
                <c:pt idx="3">
                  <c:v>0.45655000000000001</c:v>
                </c:pt>
                <c:pt idx="4">
                  <c:v>2.9388000000000001E-2</c:v>
                </c:pt>
                <c:pt idx="5">
                  <c:v>2.7669999999999999E-3</c:v>
                </c:pt>
                <c:pt idx="6">
                  <c:v>6.5849999999999997E-3</c:v>
                </c:pt>
              </c:numCache>
            </c:numRef>
          </c:val>
          <c:extLst>
            <c:ext xmlns:c16="http://schemas.microsoft.com/office/drawing/2014/chart" uri="{C3380CC4-5D6E-409C-BE32-E72D297353CC}">
              <c16:uniqueId val="{0000000C-16AF-4673-B61C-89F46DEB04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DA-4230-B7BC-7A3AB13F4E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F3DA-4230-B7BC-7A3AB13F4E1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734228363317540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27B-4439-AC9D-49F50833A66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27B-4439-AC9D-49F50833A66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27B-4439-AC9D-49F50833A661}"/>
                </c:ext>
              </c:extLst>
            </c:dLbl>
            <c:dLbl>
              <c:idx val="3"/>
              <c:layout>
                <c:manualLayout>
                  <c:x val="-0.10821612234230893"/>
                  <c:y val="-1.34911636045494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27B-4439-AC9D-49F50833A6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-4.4103000000000003E-2</c:v>
                </c:pt>
                <c:pt idx="1">
                  <c:v>5.7326000000000002E-2</c:v>
                </c:pt>
                <c:pt idx="2">
                  <c:v>2.2569999999999999E-3</c:v>
                </c:pt>
                <c:pt idx="3">
                  <c:v>0.98451999999999995</c:v>
                </c:pt>
              </c:numCache>
            </c:numRef>
          </c:val>
          <c:extLst>
            <c:ext xmlns:c16="http://schemas.microsoft.com/office/drawing/2014/chart" uri="{C3380CC4-5D6E-409C-BE32-E72D297353CC}">
              <c16:uniqueId val="{0000000C-027B-4439-AC9D-49F50833A6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672300999848254"/>
                  <c:y val="-2.21238938053097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94-4B96-80ED-7E0EA0190E7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1594-4B96-80ED-7E0EA0190E7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D5-4208-881F-3DB3D440F39B}"/>
                </c:ext>
              </c:extLst>
            </c:dLbl>
            <c:dLbl>
              <c:idx val="1"/>
              <c:layout>
                <c:manualLayout>
                  <c:x val="6.9874892512097581E-2"/>
                  <c:y val="-4.61108605917652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FD5-4208-881F-3DB3D440F39B}"/>
                </c:ext>
              </c:extLst>
            </c:dLbl>
            <c:dLbl>
              <c:idx val="2"/>
              <c:layout>
                <c:manualLayout>
                  <c:x val="9.972870896491258E-2"/>
                  <c:y val="-5.52405563841964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FD5-4208-881F-3DB3D440F39B}"/>
                </c:ext>
              </c:extLst>
            </c:dLbl>
            <c:dLbl>
              <c:idx val="3"/>
              <c:layout>
                <c:manualLayout>
                  <c:x val="0.23170066937564282"/>
                  <c:y val="-2.69003434042110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FD5-4208-881F-3DB3D440F39B}"/>
                </c:ext>
              </c:extLst>
            </c:dLbl>
            <c:dLbl>
              <c:idx val="4"/>
              <c:layout>
                <c:manualLayout>
                  <c:x val="6.9941324250956853E-3"/>
                  <c:y val="0.506615213847167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FD5-4208-881F-3DB3D440F39B}"/>
                </c:ext>
              </c:extLst>
            </c:dLbl>
            <c:dLbl>
              <c:idx val="5"/>
              <c:layout>
                <c:manualLayout>
                  <c:x val="-0.13358200273145729"/>
                  <c:y val="-0.144498595164591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FD5-4208-881F-3DB3D440F39B}"/>
                </c:ext>
              </c:extLst>
            </c:dLbl>
            <c:dLbl>
              <c:idx val="6"/>
              <c:layout>
                <c:manualLayout>
                  <c:x val="-0.17906928122207422"/>
                  <c:y val="-1.03711540462728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FD5-4208-881F-3DB3D440F3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3.2155000000000003E-2</c:v>
                </c:pt>
                <c:pt idx="1">
                  <c:v>1.2222999999999999E-2</c:v>
                </c:pt>
                <c:pt idx="2">
                  <c:v>0.12581200000000001</c:v>
                </c:pt>
                <c:pt idx="3">
                  <c:v>0.61580599999999996</c:v>
                </c:pt>
                <c:pt idx="4">
                  <c:v>2.7200000000000002E-3</c:v>
                </c:pt>
                <c:pt idx="5">
                  <c:v>0.211197</c:v>
                </c:pt>
                <c:pt idx="6">
                  <c:v>8.7000000000000001E-5</c:v>
                </c:pt>
              </c:numCache>
            </c:numRef>
          </c:val>
          <c:extLst>
            <c:ext xmlns:c16="http://schemas.microsoft.com/office/drawing/2014/chart" uri="{C3380CC4-5D6E-409C-BE32-E72D297353CC}">
              <c16:uniqueId val="{0000000C-1FD5-4208-881F-3DB3D440F3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5D-403B-8BB3-E7C52BD25B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E95D-403B-8BB3-E7C52BD25B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8046443204235444"/>
                  <c:y val="-1.5567015661503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23-4BB9-9380-207C17B076E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423-4BB9-9380-207C17B076E7}"/>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423-4BB9-9380-207C17B076E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423-4BB9-9380-207C17B076E7}"/>
                </c:ext>
              </c:extLst>
            </c:dLbl>
            <c:dLbl>
              <c:idx val="4"/>
              <c:layout>
                <c:manualLayout>
                  <c:x val="-6.4006980390834439E-2"/>
                  <c:y val="0.191456260275157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423-4BB9-9380-207C17B076E7}"/>
                </c:ext>
              </c:extLst>
            </c:dLbl>
            <c:dLbl>
              <c:idx val="5"/>
              <c:layout>
                <c:manualLayout>
                  <c:x val="0.35883567418098433"/>
                  <c:y val="0.232724755559401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423-4BB9-9380-207C17B076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IP'!$K$9:$K$14</c:f>
              <c:numCache>
                <c:formatCode>0.00%</c:formatCode>
                <c:ptCount val="6"/>
                <c:pt idx="0">
                  <c:v>1.4300999999999999E-2</c:v>
                </c:pt>
                <c:pt idx="1">
                  <c:v>3.307E-3</c:v>
                </c:pt>
                <c:pt idx="2">
                  <c:v>0.119148</c:v>
                </c:pt>
                <c:pt idx="3">
                  <c:v>0.19669200000000001</c:v>
                </c:pt>
                <c:pt idx="4">
                  <c:v>2.722E-3</c:v>
                </c:pt>
                <c:pt idx="5">
                  <c:v>0.66383000000000003</c:v>
                </c:pt>
              </c:numCache>
            </c:numRef>
          </c:val>
          <c:extLst>
            <c:ext xmlns:c16="http://schemas.microsoft.com/office/drawing/2014/chart" uri="{C3380CC4-5D6E-409C-BE32-E72D297353CC}">
              <c16:uniqueId val="{0000000C-5423-4BB9-9380-207C17B076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93-48E9-B8F6-535E9D91521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D393-48E9-B8F6-535E9D91521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21233337267531069"/>
                  <c:y val="-4.5834336210157138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C5-4C87-B6BD-9806B07DCB74}"/>
                </c:ext>
              </c:extLst>
            </c:dLbl>
            <c:dLbl>
              <c:idx val="1"/>
              <c:layout>
                <c:manualLayout>
                  <c:x val="-2.3382117385219781E-2"/>
                  <c:y val="-9.191967816250043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6C5-4C87-B6BD-9806B07DCB74}"/>
                </c:ext>
              </c:extLst>
            </c:dLbl>
            <c:dLbl>
              <c:idx val="2"/>
              <c:layout>
                <c:manualLayout>
                  <c:x val="9.1522365914110837E-2"/>
                  <c:y val="-8.40546023450125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6C5-4C87-B6BD-9806B07DCB74}"/>
                </c:ext>
              </c:extLst>
            </c:dLbl>
            <c:dLbl>
              <c:idx val="3"/>
              <c:layout>
                <c:manualLayout>
                  <c:x val="-0.24641597396685158"/>
                  <c:y val="0.232254581714403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6C5-4C87-B6BD-9806B07DCB74}"/>
                </c:ext>
              </c:extLst>
            </c:dLbl>
            <c:dLbl>
              <c:idx val="4"/>
              <c:layout>
                <c:manualLayout>
                  <c:x val="0.23204218584026032"/>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6C5-4C87-B6BD-9806B07DCB74}"/>
                </c:ext>
              </c:extLst>
            </c:dLbl>
            <c:dLbl>
              <c:idx val="5"/>
              <c:layout>
                <c:manualLayout>
                  <c:x val="3.4424539277344082E-2"/>
                  <c:y val="0.282421345803390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6C5-4C87-B6BD-9806B07DCB74}"/>
                </c:ext>
              </c:extLst>
            </c:dLbl>
            <c:dLbl>
              <c:idx val="6"/>
              <c:layout>
                <c:manualLayout>
                  <c:x val="-0.35920855182181455"/>
                  <c:y val="2.57425300003438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6C5-4C87-B6BD-9806B07DCB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9.6579999999999999E-3</c:v>
                </c:pt>
                <c:pt idx="1">
                  <c:v>9.0360000000000006E-3</c:v>
                </c:pt>
                <c:pt idx="2">
                  <c:v>0.16142899999999999</c:v>
                </c:pt>
                <c:pt idx="3">
                  <c:v>0.30101099999999997</c:v>
                </c:pt>
                <c:pt idx="4">
                  <c:v>3.4859999999999999E-3</c:v>
                </c:pt>
                <c:pt idx="5">
                  <c:v>0.51403399999999999</c:v>
                </c:pt>
                <c:pt idx="6">
                  <c:v>1.346E-3</c:v>
                </c:pt>
              </c:numCache>
            </c:numRef>
          </c:val>
          <c:extLst>
            <c:ext xmlns:c16="http://schemas.microsoft.com/office/drawing/2014/chart" uri="{C3380CC4-5D6E-409C-BE32-E72D297353CC}">
              <c16:uniqueId val="{0000000C-06C5-4C87-B6BD-9806B07DCB7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842-4603-A22E-FC474565E6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6842-4603-A22E-FC474565E6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2728042961439243"/>
                  <c:y val="-1.90971014368579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0B-4122-BAA2-09A5ECC7645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20B-4122-BAA2-09A5ECC76454}"/>
                </c:ext>
              </c:extLst>
            </c:dLbl>
            <c:dLbl>
              <c:idx val="2"/>
              <c:layout>
                <c:manualLayout>
                  <c:x val="-2.1294070039960207E-2"/>
                  <c:y val="-0.105534430611842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20B-4122-BAA2-09A5ECC76454}"/>
                </c:ext>
              </c:extLst>
            </c:dLbl>
            <c:dLbl>
              <c:idx val="3"/>
              <c:layout>
                <c:manualLayout>
                  <c:x val="8.1718457569677452E-2"/>
                  <c:y val="7.67348967124484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20B-4122-BAA2-09A5ECC76454}"/>
                </c:ext>
              </c:extLst>
            </c:dLbl>
            <c:dLbl>
              <c:idx val="4"/>
              <c:layout>
                <c:manualLayout>
                  <c:x val="0.26673717311032052"/>
                  <c:y val="0.202501520824586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20B-4122-BAA2-09A5ECC7645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20B-4122-BAA2-09A5ECC7645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20B-4122-BAA2-09A5ECC764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ST'!$J$9:$J$15</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BOND ST'!$K$9:$K$15</c:f>
              <c:numCache>
                <c:formatCode>0.00%</c:formatCode>
                <c:ptCount val="7"/>
                <c:pt idx="0">
                  <c:v>1.4786000000000001E-2</c:v>
                </c:pt>
                <c:pt idx="1">
                  <c:v>2.1350000000000002E-3</c:v>
                </c:pt>
                <c:pt idx="2">
                  <c:v>0.228853</c:v>
                </c:pt>
                <c:pt idx="3">
                  <c:v>0.37910100000000002</c:v>
                </c:pt>
                <c:pt idx="4">
                  <c:v>3.2589E-2</c:v>
                </c:pt>
                <c:pt idx="5">
                  <c:v>2.7690000000000002E-3</c:v>
                </c:pt>
                <c:pt idx="6">
                  <c:v>0.33976699999999999</c:v>
                </c:pt>
              </c:numCache>
            </c:numRef>
          </c:val>
          <c:extLst>
            <c:ext xmlns:c16="http://schemas.microsoft.com/office/drawing/2014/chart" uri="{C3380CC4-5D6E-409C-BE32-E72D297353CC}">
              <c16:uniqueId val="{0000000C-820B-4122-BAA2-09A5ECC7645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7.777777777777777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67-406E-9C63-5FD11EC1BF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4F67-406E-9C63-5FD11EC1BF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3C-47F5-A924-7673795F25B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33C-47F5-A924-7673795F25B1}"/>
                </c:ext>
              </c:extLst>
            </c:dLbl>
            <c:dLbl>
              <c:idx val="2"/>
              <c:layout>
                <c:manualLayout>
                  <c:x val="-0.11418899323880018"/>
                  <c:y val="0.135083461102015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33C-47F5-A924-7673795F25B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33C-47F5-A924-7673795F25B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33C-47F5-A924-7673795F25B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33C-47F5-A924-7673795F25B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33C-47F5-A924-7673795F25B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33C-47F5-A924-7673795F25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Corporate Bond</c:v>
                </c:pt>
                <c:pt idx="3">
                  <c:v>Corporate Debt Market Development Fund</c:v>
                </c:pt>
                <c:pt idx="4">
                  <c:v>Government Bond</c:v>
                </c:pt>
                <c:pt idx="6">
                  <c:v>State Government Bond</c:v>
                </c:pt>
                <c:pt idx="7">
                  <c:v>Zero Coupon Bond</c:v>
                </c:pt>
              </c:strCache>
            </c:strRef>
          </c:cat>
          <c:val>
            <c:numRef>
              <c:f>'BANDHAN CBF'!$K$9:$K$16</c:f>
              <c:numCache>
                <c:formatCode>0.00%</c:formatCode>
                <c:ptCount val="8"/>
                <c:pt idx="0">
                  <c:v>2.3845000000000002E-2</c:v>
                </c:pt>
                <c:pt idx="1">
                  <c:v>8.2899999999999998E-4</c:v>
                </c:pt>
                <c:pt idx="2">
                  <c:v>0.70285000000000009</c:v>
                </c:pt>
                <c:pt idx="3">
                  <c:v>2.928E-3</c:v>
                </c:pt>
                <c:pt idx="4">
                  <c:v>0.26852500000000001</c:v>
                </c:pt>
                <c:pt idx="6">
                  <c:v>1.8200000000000001E-4</c:v>
                </c:pt>
                <c:pt idx="7">
                  <c:v>8.4099999999999995E-4</c:v>
                </c:pt>
              </c:numCache>
            </c:numRef>
          </c:val>
          <c:extLst>
            <c:ext xmlns:c16="http://schemas.microsoft.com/office/drawing/2014/chart" uri="{C3380CC4-5D6E-409C-BE32-E72D297353CC}">
              <c16:uniqueId val="{0000000C-133C-47F5-A924-7673795F25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4.9959871183125663E-2"/>
                  <c:y val="-0.4187006139651046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2C-4B9A-9159-B41911981399}"/>
                </c:ext>
              </c:extLst>
            </c:dLbl>
            <c:dLbl>
              <c:idx val="1"/>
              <c:layout>
                <c:manualLayout>
                  <c:x val="1.9834257869800458E-3"/>
                  <c:y val="0.313955045266918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763914414338464"/>
                      <c:h val="0.16519823788546256"/>
                    </c:manualLayout>
                  </c15:layout>
                </c:ext>
                <c:ext xmlns:c16="http://schemas.microsoft.com/office/drawing/2014/chart" uri="{C3380CC4-5D6E-409C-BE32-E72D297353CC}">
                  <c16:uniqueId val="{0000000E-6F2C-4B9A-9159-B41911981399}"/>
                </c:ext>
              </c:extLst>
            </c:dLbl>
            <c:dLbl>
              <c:idx val="2"/>
              <c:layout>
                <c:manualLayout>
                  <c:x val="-0.13430828373434048"/>
                  <c:y val="-0.104747996808768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F2C-4B9A-9159-B419119813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0.589777</c:v>
                </c:pt>
                <c:pt idx="1">
                  <c:v>0.319326</c:v>
                </c:pt>
                <c:pt idx="2">
                  <c:v>9.0897000000000006E-2</c:v>
                </c:pt>
              </c:numCache>
            </c:numRef>
          </c:val>
          <c:extLst>
            <c:ext xmlns:c16="http://schemas.microsoft.com/office/drawing/2014/chart" uri="{C3380CC4-5D6E-409C-BE32-E72D297353CC}">
              <c16:uniqueId val="{0000000C-6F2C-4B9A-9159-B419119813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D25-4411-BD4F-F0F26842D91B}"/>
                </c:ext>
              </c:extLst>
            </c:dLbl>
            <c:dLbl>
              <c:idx val="1"/>
              <c:layout>
                <c:manualLayout>
                  <c:x val="0.15441054477398033"/>
                  <c:y val="1.3348496818272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D25-4411-BD4F-F0F26842D91B}"/>
                </c:ext>
              </c:extLst>
            </c:dLbl>
            <c:dLbl>
              <c:idx val="2"/>
              <c:layout>
                <c:manualLayout>
                  <c:x val="-5.0484496450791616E-2"/>
                  <c:y val="0.169261995503042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D25-4411-BD4F-F0F26842D91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D25-4411-BD4F-F0F26842D91B}"/>
                </c:ext>
              </c:extLst>
            </c:dLbl>
            <c:dLbl>
              <c:idx val="4"/>
              <c:layout>
                <c:manualLayout>
                  <c:x val="5.903227166197373E-2"/>
                  <c:y val="-0.104505464931547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D25-4411-BD4F-F0F26842D9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2.1734E-2</c:v>
                </c:pt>
                <c:pt idx="1">
                  <c:v>1.4912E-2</c:v>
                </c:pt>
                <c:pt idx="2">
                  <c:v>0.680674</c:v>
                </c:pt>
                <c:pt idx="3">
                  <c:v>4.4320000000000002E-3</c:v>
                </c:pt>
                <c:pt idx="4">
                  <c:v>0.278248</c:v>
                </c:pt>
              </c:numCache>
            </c:numRef>
          </c:val>
          <c:extLst>
            <c:ext xmlns:c16="http://schemas.microsoft.com/office/drawing/2014/chart" uri="{C3380CC4-5D6E-409C-BE32-E72D297353CC}">
              <c16:uniqueId val="{0000000C-BD25-4411-BD4F-F0F26842D9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7.0505909727022878E-2"/>
                  <c:y val="0.24498188279562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050852315837395"/>
                      <c:h val="0.16592920353982302"/>
                    </c:manualLayout>
                  </c15:layout>
                </c:ext>
                <c:ext xmlns:c16="http://schemas.microsoft.com/office/drawing/2014/chart" uri="{C3380CC4-5D6E-409C-BE32-E72D297353CC}">
                  <c16:uniqueId val="{0000000D-206E-429C-9AAB-B8210EE1256F}"/>
                </c:ext>
              </c:extLst>
            </c:dLbl>
            <c:dLbl>
              <c:idx val="1"/>
              <c:layout>
                <c:manualLayout>
                  <c:x val="7.6726466472204893E-2"/>
                  <c:y val="-0.421017699115044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06E-429C-9AAB-B8210EE1256F}"/>
                </c:ext>
              </c:extLst>
            </c:dLbl>
            <c:dLbl>
              <c:idx val="2"/>
              <c:layout>
                <c:manualLayout>
                  <c:x val="8.3509079566339003E-2"/>
                  <c:y val="-8.21113511253571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06E-429C-9AAB-B8210EE125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0.60824900000000004</c:v>
                </c:pt>
                <c:pt idx="1">
                  <c:v>0.235291</c:v>
                </c:pt>
                <c:pt idx="2">
                  <c:v>0.15645999999999999</c:v>
                </c:pt>
              </c:numCache>
            </c:numRef>
          </c:val>
          <c:extLst>
            <c:ext xmlns:c16="http://schemas.microsoft.com/office/drawing/2014/chart" uri="{C3380CC4-5D6E-409C-BE32-E72D297353CC}">
              <c16:uniqueId val="{0000000C-206E-429C-9AAB-B8210EE125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6C-4941-9324-EE40DF71407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F6C-4941-9324-EE40DF71407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F6C-4941-9324-EE40DF71407B}"/>
                </c:ext>
              </c:extLst>
            </c:dLbl>
            <c:dLbl>
              <c:idx val="3"/>
              <c:layout>
                <c:manualLayout>
                  <c:x val="-6.389974540120387E-2"/>
                  <c:y val="5.98205855388859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F6C-4941-9324-EE40DF71407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F6C-4941-9324-EE40DF71407B}"/>
                </c:ext>
              </c:extLst>
            </c:dLbl>
            <c:dLbl>
              <c:idx val="5"/>
              <c:layout>
                <c:manualLayout>
                  <c:x val="4.8297897452325952E-4"/>
                  <c:y val="-7.02787178806131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F6C-4941-9324-EE40DF71407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F6C-4941-9324-EE40DF7140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1.9774E-2</c:v>
                </c:pt>
                <c:pt idx="1">
                  <c:v>3.5230999999999998E-2</c:v>
                </c:pt>
                <c:pt idx="2">
                  <c:v>6.0863E-2</c:v>
                </c:pt>
                <c:pt idx="3">
                  <c:v>0.56207499999999999</c:v>
                </c:pt>
                <c:pt idx="4">
                  <c:v>2.8289999999999999E-3</c:v>
                </c:pt>
                <c:pt idx="5">
                  <c:v>0.31922099999999998</c:v>
                </c:pt>
              </c:numCache>
            </c:numRef>
          </c:val>
          <c:extLst>
            <c:ext xmlns:c16="http://schemas.microsoft.com/office/drawing/2014/chart" uri="{C3380CC4-5D6E-409C-BE32-E72D297353CC}">
              <c16:uniqueId val="{0000000C-AF6C-4941-9324-EE40DF7140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59-41CC-A363-291ACF41B4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9F59-41CC-A363-291ACF41B4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layout>
                <c:manualLayout>
                  <c:x val="-0.27720194236962348"/>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5E-4793-9E37-38E97FE2732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35E-4793-9E37-38E97FE2732E}"/>
                </c:ext>
              </c:extLst>
            </c:dLbl>
            <c:dLbl>
              <c:idx val="2"/>
              <c:layout>
                <c:manualLayout>
                  <c:x val="0.223958421150247"/>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35E-4793-9E37-38E97FE2732E}"/>
                </c:ext>
              </c:extLst>
            </c:dLbl>
            <c:dLbl>
              <c:idx val="3"/>
              <c:layout>
                <c:manualLayout>
                  <c:x val="-0.23321527929993763"/>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35E-4793-9E37-38E97FE273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1.3261E-2</c:v>
                </c:pt>
                <c:pt idx="1">
                  <c:v>1.6022999999999999E-2</c:v>
                </c:pt>
                <c:pt idx="2">
                  <c:v>1.6069999999999999E-3</c:v>
                </c:pt>
                <c:pt idx="3">
                  <c:v>0.969109</c:v>
                </c:pt>
              </c:numCache>
            </c:numRef>
          </c:val>
          <c:extLst>
            <c:ext xmlns:c16="http://schemas.microsoft.com/office/drawing/2014/chart" uri="{C3380CC4-5D6E-409C-BE32-E72D297353CC}">
              <c16:uniqueId val="{0000000C-335E-4793-9E37-38E97FE273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482-4DAD-AC8D-EC39E033928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4482-4DAD-AC8D-EC39E033928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84-4218-BA9F-78F093552CBE}"/>
                </c:ext>
              </c:extLst>
            </c:dLbl>
            <c:dLbl>
              <c:idx val="1"/>
              <c:layout>
                <c:manualLayout>
                  <c:x val="0.1426946163314168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D84-4218-BA9F-78F093552CBE}"/>
                </c:ext>
              </c:extLst>
            </c:dLbl>
            <c:dLbl>
              <c:idx val="2"/>
              <c:layout>
                <c:manualLayout>
                  <c:x val="-0.32926891365560035"/>
                  <c:y val="1.86253718285214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D84-4218-BA9F-78F093552C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1.1365E-2</c:v>
                </c:pt>
                <c:pt idx="1">
                  <c:v>1.658E-3</c:v>
                </c:pt>
                <c:pt idx="2">
                  <c:v>0.98697699999999999</c:v>
                </c:pt>
              </c:numCache>
            </c:numRef>
          </c:val>
          <c:extLst>
            <c:ext xmlns:c16="http://schemas.microsoft.com/office/drawing/2014/chart" uri="{C3380CC4-5D6E-409C-BE32-E72D297353CC}">
              <c16:uniqueId val="{0000000C-DD84-4218-BA9F-78F093552C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2A-412D-84C5-5593258932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7A2A-412D-84C5-5593258932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88-49DC-9615-8BDEF71A1435}"/>
                </c:ext>
              </c:extLst>
            </c:dLbl>
            <c:dLbl>
              <c:idx val="1"/>
              <c:layout>
                <c:manualLayout>
                  <c:x val="9.367229256942454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D88-49DC-9615-8BDEF71A1435}"/>
                </c:ext>
              </c:extLst>
            </c:dLbl>
            <c:dLbl>
              <c:idx val="2"/>
              <c:layout>
                <c:manualLayout>
                  <c:x val="-0.27787705070056823"/>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D88-49DC-9615-8BDEF71A14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4.5459999999999997E-3</c:v>
                </c:pt>
                <c:pt idx="1">
                  <c:v>8.5749999999999993E-3</c:v>
                </c:pt>
                <c:pt idx="2">
                  <c:v>0.98687899999999995</c:v>
                </c:pt>
              </c:numCache>
            </c:numRef>
          </c:val>
          <c:extLst>
            <c:ext xmlns:c16="http://schemas.microsoft.com/office/drawing/2014/chart" uri="{C3380CC4-5D6E-409C-BE32-E72D297353CC}">
              <c16:uniqueId val="{0000000C-AD88-49DC-9615-8BDEF71A14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6B-4454-A603-2CA2E24E24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086B-4454-A603-2CA2E24E24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75-470B-92C5-5B929C374640}"/>
                </c:ext>
              </c:extLst>
            </c:dLbl>
            <c:dLbl>
              <c:idx val="1"/>
              <c:layout>
                <c:manualLayout>
                  <c:x val="9.9399669527390447E-2"/>
                  <c:y val="9.6969378827646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875-470B-92C5-5B929C374640}"/>
                </c:ext>
              </c:extLst>
            </c:dLbl>
            <c:dLbl>
              <c:idx val="2"/>
              <c:layout>
                <c:manualLayout>
                  <c:x val="-0.22081058524001415"/>
                  <c:y val="-6.4707961504811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875-470B-92C5-5B929C3746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2.0251999999999999E-2</c:v>
                </c:pt>
                <c:pt idx="1">
                  <c:v>5.2139999999999999E-3</c:v>
                </c:pt>
                <c:pt idx="2">
                  <c:v>0.97453400000000001</c:v>
                </c:pt>
              </c:numCache>
            </c:numRef>
          </c:val>
          <c:extLst>
            <c:ext xmlns:c16="http://schemas.microsoft.com/office/drawing/2014/chart" uri="{C3380CC4-5D6E-409C-BE32-E72D297353CC}">
              <c16:uniqueId val="{0000000C-3875-470B-92C5-5B929C3746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CA8-4D0C-9BDC-83534CC761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0CA8-4D0C-9BDC-83534CC761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A4-4F50-8B16-7B893918B5EE}"/>
                </c:ext>
              </c:extLst>
            </c:dLbl>
            <c:dLbl>
              <c:idx val="1"/>
              <c:layout>
                <c:manualLayout>
                  <c:x val="0.21187121684735874"/>
                  <c:y val="1.5077515310586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A4-4F50-8B16-7B893918B5EE}"/>
                </c:ext>
              </c:extLst>
            </c:dLbl>
            <c:dLbl>
              <c:idx val="2"/>
              <c:layout>
                <c:manualLayout>
                  <c:x val="-0.27282984032777485"/>
                  <c:y val="-7.359685039370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A4-4F50-8B16-7B893918B5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1.3035E-2</c:v>
                </c:pt>
                <c:pt idx="1">
                  <c:v>1.6482E-2</c:v>
                </c:pt>
                <c:pt idx="2">
                  <c:v>0.97048299999999998</c:v>
                </c:pt>
              </c:numCache>
            </c:numRef>
          </c:val>
          <c:extLst>
            <c:ext xmlns:c16="http://schemas.microsoft.com/office/drawing/2014/chart" uri="{C3380CC4-5D6E-409C-BE32-E72D297353CC}">
              <c16:uniqueId val="{0000000C-41A4-4F50-8B16-7B893918B5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D0-4580-AECE-42B9749350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AED0-4580-AECE-42B9749350F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CB-4EF7-97D4-C325CB757E13}"/>
                </c:ext>
              </c:extLst>
            </c:dLbl>
            <c:dLbl>
              <c:idx val="1"/>
              <c:layout>
                <c:manualLayout>
                  <c:x val="0.10020426916656831"/>
                  <c:y val="-2.927384076990376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CB-4EF7-97D4-C325CB757E13}"/>
                </c:ext>
              </c:extLst>
            </c:dLbl>
            <c:dLbl>
              <c:idx val="2"/>
              <c:layout>
                <c:manualLayout>
                  <c:x val="-0.19995574027550625"/>
                  <c:y val="-1.915240594925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CB-4EF7-97D4-C325CB757E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1.7586999999999998E-2</c:v>
                </c:pt>
                <c:pt idx="1">
                  <c:v>1.9705E-2</c:v>
                </c:pt>
                <c:pt idx="2">
                  <c:v>0.96270800000000001</c:v>
                </c:pt>
              </c:numCache>
            </c:numRef>
          </c:val>
          <c:extLst>
            <c:ext xmlns:c16="http://schemas.microsoft.com/office/drawing/2014/chart" uri="{C3380CC4-5D6E-409C-BE32-E72D297353CC}">
              <c16:uniqueId val="{0000000C-4DCB-4EF7-97D4-C325CB757E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06-465C-87A0-DE4345E779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2506-465C-87A0-DE4345E779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EC-430D-9150-8BB41E36B17F}"/>
                </c:ext>
              </c:extLst>
            </c:dLbl>
            <c:dLbl>
              <c:idx val="1"/>
              <c:layout>
                <c:manualLayout>
                  <c:x val="0.14505909727022881"/>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3EC-430D-9150-8BB41E36B17F}"/>
                </c:ext>
              </c:extLst>
            </c:dLbl>
            <c:dLbl>
              <c:idx val="2"/>
              <c:layout>
                <c:manualLayout>
                  <c:x val="-0.29518209715220289"/>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3EC-430D-9150-8BB41E36B1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7.9749999999999995E-3</c:v>
                </c:pt>
                <c:pt idx="1">
                  <c:v>3.6459999999999999E-3</c:v>
                </c:pt>
                <c:pt idx="2">
                  <c:v>0.98837900000000001</c:v>
                </c:pt>
              </c:numCache>
            </c:numRef>
          </c:val>
          <c:extLst>
            <c:ext xmlns:c16="http://schemas.microsoft.com/office/drawing/2014/chart" uri="{C3380CC4-5D6E-409C-BE32-E72D297353CC}">
              <c16:uniqueId val="{0000000C-63EC-430D-9150-8BB41E36B17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11-493A-BDDD-2DFC6B4EB3F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2B11-493A-BDDD-2DFC6B4EB3F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19554839906253688"/>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0A-4FC2-B53F-51CEBF4BAB5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A0A-4FC2-B53F-51CEBF4BAB5D}"/>
                </c:ext>
              </c:extLst>
            </c:dLbl>
            <c:dLbl>
              <c:idx val="2"/>
              <c:layout>
                <c:manualLayout>
                  <c:x val="4.7241565361075051E-2"/>
                  <c:y val="-5.3644444444444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A0A-4FC2-B53F-51CEBF4BAB5D}"/>
                </c:ext>
              </c:extLst>
            </c:dLbl>
            <c:dLbl>
              <c:idx val="3"/>
              <c:layout>
                <c:manualLayout>
                  <c:x val="3.0996138865939403E-2"/>
                  <c:y val="9.03184601924759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A0A-4FC2-B53F-51CEBF4BAB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1.6611999999999998E-2</c:v>
                </c:pt>
                <c:pt idx="1">
                  <c:v>2.9321E-2</c:v>
                </c:pt>
                <c:pt idx="2">
                  <c:v>0.127058</c:v>
                </c:pt>
                <c:pt idx="3">
                  <c:v>0.82700899999999999</c:v>
                </c:pt>
              </c:numCache>
            </c:numRef>
          </c:val>
          <c:extLst>
            <c:ext xmlns:c16="http://schemas.microsoft.com/office/drawing/2014/chart" uri="{C3380CC4-5D6E-409C-BE32-E72D297353CC}">
              <c16:uniqueId val="{0000000C-BA0A-4FC2-B53F-51CEBF4BAB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A5-4070-84F4-EBFDB35217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33A5-4070-84F4-EBFDB35217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626000269773559"/>
                  <c:y val="6.18862642169728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5F-4B7A-8C77-9A729496156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C5F-4B7A-8C77-9A729496156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C5F-4B7A-8C77-9A7294961568}"/>
                </c:ext>
              </c:extLst>
            </c:dLbl>
            <c:dLbl>
              <c:idx val="3"/>
              <c:layout>
                <c:manualLayout>
                  <c:x val="3.5377430069635299E-2"/>
                  <c:y val="9.66736657917760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C5F-4B7A-8C77-9A72949615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1.1743E-2</c:v>
                </c:pt>
                <c:pt idx="1">
                  <c:v>1.397E-2</c:v>
                </c:pt>
                <c:pt idx="2">
                  <c:v>0.17194200000000001</c:v>
                </c:pt>
                <c:pt idx="3">
                  <c:v>0.80234499999999997</c:v>
                </c:pt>
              </c:numCache>
            </c:numRef>
          </c:val>
          <c:extLst>
            <c:ext xmlns:c16="http://schemas.microsoft.com/office/drawing/2014/chart" uri="{C3380CC4-5D6E-409C-BE32-E72D297353CC}">
              <c16:uniqueId val="{0000000C-AC5F-4B7A-8C77-9A72949615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7C-4705-B168-1BD43110A7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527C-4705-B168-1BD43110A7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EAC-4AD6-A686-22BD37C21BF0}"/>
                </c:ext>
              </c:extLst>
            </c:dLbl>
            <c:dLbl>
              <c:idx val="1"/>
              <c:layout>
                <c:manualLayout>
                  <c:x val="-0.23785782933450236"/>
                  <c:y val="-1.84829396325459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EAC-4AD6-A686-22BD37C21BF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EAC-4AD6-A686-22BD37C21BF0}"/>
                </c:ext>
              </c:extLst>
            </c:dLbl>
            <c:dLbl>
              <c:idx val="3"/>
              <c:layout>
                <c:manualLayout>
                  <c:x val="2.380077222681212E-3"/>
                  <c:y val="6.82183727034120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EAC-4AD6-A686-22BD37C21B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2.3654000000000001E-2</c:v>
                </c:pt>
                <c:pt idx="1">
                  <c:v>7.2220000000000001E-3</c:v>
                </c:pt>
                <c:pt idx="2">
                  <c:v>0.14399700000000001</c:v>
                </c:pt>
                <c:pt idx="3">
                  <c:v>0.82512700000000005</c:v>
                </c:pt>
              </c:numCache>
            </c:numRef>
          </c:val>
          <c:extLst>
            <c:ext xmlns:c16="http://schemas.microsoft.com/office/drawing/2014/chart" uri="{C3380CC4-5D6E-409C-BE32-E72D297353CC}">
              <c16:uniqueId val="{0000000C-1EAC-4AD6-A686-22BD37C21B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491712893492"/>
                  <c:y val="2.1612101118939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3B6-47EB-852E-845922D1FE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13B6-47EB-852E-845922D1FE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7D-46E2-B1BC-868DE524EA0A}"/>
                </c:ext>
              </c:extLst>
            </c:dLbl>
            <c:dLbl>
              <c:idx val="1"/>
              <c:layout>
                <c:manualLayout>
                  <c:x val="0.15113574668262827"/>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7D-46E2-B1BC-868DE524EA0A}"/>
                </c:ext>
              </c:extLst>
            </c:dLbl>
            <c:dLbl>
              <c:idx val="2"/>
              <c:layout>
                <c:manualLayout>
                  <c:x val="-0.31146200408032509"/>
                  <c:y val="-2.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7D-46E2-B1BC-868DE524EA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-2.6899999999999998E-4</c:v>
                </c:pt>
                <c:pt idx="1">
                  <c:v>6.5570000000000003E-3</c:v>
                </c:pt>
                <c:pt idx="2">
                  <c:v>0.99371200000000004</c:v>
                </c:pt>
              </c:numCache>
            </c:numRef>
          </c:val>
          <c:extLst>
            <c:ext xmlns:c16="http://schemas.microsoft.com/office/drawing/2014/chart" uri="{C3380CC4-5D6E-409C-BE32-E72D297353CC}">
              <c16:uniqueId val="{0000000C-357D-46E2-B1BC-868DE524EA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603-44D9-8D7C-D5061E4EA421}"/>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603-44D9-8D7C-D5061E4EA421}"/>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603-44D9-8D7C-D5061E4EA421}"/>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603-44D9-8D7C-D5061E4EA421}"/>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0.99163400000000002</c:v>
                </c:pt>
                <c:pt idx="1">
                  <c:v>-4.3160000000000004E-3</c:v>
                </c:pt>
                <c:pt idx="2">
                  <c:v>1.2682000000000001E-2</c:v>
                </c:pt>
              </c:numCache>
            </c:numRef>
          </c:val>
          <c:extLst>
            <c:ext xmlns:c16="http://schemas.microsoft.com/office/drawing/2014/chart" uri="{C3380CC4-5D6E-409C-BE32-E72D297353CC}">
              <c16:uniqueId val="{00000004-E603-44D9-8D7C-D5061E4EA421}"/>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9C67D81-6B4F-4755-A90B-909578F20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7F95372-EA2D-488D-AB56-0676D9F20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571500</xdr:colOff>
      <xdr:row>7</xdr:row>
      <xdr:rowOff>25401</xdr:rowOff>
    </xdr:from>
    <xdr:to>
      <xdr:col>13</xdr:col>
      <xdr:colOff>508000</xdr:colOff>
      <xdr:row>22</xdr:row>
      <xdr:rowOff>25401</xdr:rowOff>
    </xdr:to>
    <xdr:graphicFrame macro="">
      <xdr:nvGraphicFramePr>
        <xdr:cNvPr id="2" name="Chart 1">
          <a:extLst>
            <a:ext uri="{FF2B5EF4-FFF2-40B4-BE49-F238E27FC236}">
              <a16:creationId xmlns:a16="http://schemas.microsoft.com/office/drawing/2014/main" id="{809BEF2E-921A-4467-90A4-CE549791A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80E427B1-17CC-43A9-B31B-B4665F0E4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25400</xdr:rowOff>
    </xdr:from>
    <xdr:to>
      <xdr:col>13</xdr:col>
      <xdr:colOff>546100</xdr:colOff>
      <xdr:row>22</xdr:row>
      <xdr:rowOff>25400</xdr:rowOff>
    </xdr:to>
    <xdr:graphicFrame macro="">
      <xdr:nvGraphicFramePr>
        <xdr:cNvPr id="2" name="Chart 1">
          <a:extLst>
            <a:ext uri="{FF2B5EF4-FFF2-40B4-BE49-F238E27FC236}">
              <a16:creationId xmlns:a16="http://schemas.microsoft.com/office/drawing/2014/main" id="{6F6FCDCB-8943-4C77-B134-5F3D7F1B3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A9654556-80AD-4372-8E73-11769BDB2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596900</xdr:colOff>
      <xdr:row>7</xdr:row>
      <xdr:rowOff>38101</xdr:rowOff>
    </xdr:from>
    <xdr:to>
      <xdr:col>13</xdr:col>
      <xdr:colOff>533400</xdr:colOff>
      <xdr:row>22</xdr:row>
      <xdr:rowOff>38101</xdr:rowOff>
    </xdr:to>
    <xdr:graphicFrame macro="">
      <xdr:nvGraphicFramePr>
        <xdr:cNvPr id="2" name="Chart 1">
          <a:extLst>
            <a:ext uri="{FF2B5EF4-FFF2-40B4-BE49-F238E27FC236}">
              <a16:creationId xmlns:a16="http://schemas.microsoft.com/office/drawing/2014/main" id="{27D89E76-6926-459D-B647-7ED080C36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425BA9BA-0820-45AA-B21C-E38F7379C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546100</xdr:colOff>
      <xdr:row>7</xdr:row>
      <xdr:rowOff>25400</xdr:rowOff>
    </xdr:from>
    <xdr:to>
      <xdr:col>13</xdr:col>
      <xdr:colOff>482600</xdr:colOff>
      <xdr:row>22</xdr:row>
      <xdr:rowOff>25400</xdr:rowOff>
    </xdr:to>
    <xdr:graphicFrame macro="">
      <xdr:nvGraphicFramePr>
        <xdr:cNvPr id="2" name="Chart 1">
          <a:extLst>
            <a:ext uri="{FF2B5EF4-FFF2-40B4-BE49-F238E27FC236}">
              <a16:creationId xmlns:a16="http://schemas.microsoft.com/office/drawing/2014/main" id="{14B20724-3410-40BC-AA11-19948C878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FA3E19F6-26C9-4C66-B77C-377B74E63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D23112-17F4-4B71-8134-ABCA9A1F8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C4EC333-DF90-482B-B658-FEE07F2FC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25400</xdr:colOff>
      <xdr:row>7</xdr:row>
      <xdr:rowOff>25401</xdr:rowOff>
    </xdr:from>
    <xdr:to>
      <xdr:col>13</xdr:col>
      <xdr:colOff>571500</xdr:colOff>
      <xdr:row>22</xdr:row>
      <xdr:rowOff>25401</xdr:rowOff>
    </xdr:to>
    <xdr:graphicFrame macro="">
      <xdr:nvGraphicFramePr>
        <xdr:cNvPr id="2" name="Chart 1">
          <a:extLst>
            <a:ext uri="{FF2B5EF4-FFF2-40B4-BE49-F238E27FC236}">
              <a16:creationId xmlns:a16="http://schemas.microsoft.com/office/drawing/2014/main" id="{DB2EB062-684C-49BD-BE12-BFA6A09B8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82CBA80-0F8F-4ED6-A4F4-C6B791E3D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4108C98-6132-4C67-AB4D-97B3DB85D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888AE93A-67CB-40C3-8AFD-2323596AF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5F58C29-32D1-4F27-835D-B62283D9B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0C2E667-050B-4BEA-A059-B2C15A4C0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133D952-F27C-4565-BB6C-3ACCD23A8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D90997C5-A2FC-4D15-B9C7-20ED7B69E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584200</xdr:colOff>
      <xdr:row>7</xdr:row>
      <xdr:rowOff>38100</xdr:rowOff>
    </xdr:from>
    <xdr:to>
      <xdr:col>13</xdr:col>
      <xdr:colOff>520700</xdr:colOff>
      <xdr:row>22</xdr:row>
      <xdr:rowOff>38100</xdr:rowOff>
    </xdr:to>
    <xdr:graphicFrame macro="">
      <xdr:nvGraphicFramePr>
        <xdr:cNvPr id="2" name="Chart 1">
          <a:extLst>
            <a:ext uri="{FF2B5EF4-FFF2-40B4-BE49-F238E27FC236}">
              <a16:creationId xmlns:a16="http://schemas.microsoft.com/office/drawing/2014/main" id="{8C499C5A-FD19-4359-8872-4F03665C4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D0A0C067-2724-4F8B-A3A7-0239F6316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FD33214-8594-45C6-9AC3-7865A9505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167F3766-B740-4495-974D-853BA3371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25400</xdr:colOff>
      <xdr:row>7</xdr:row>
      <xdr:rowOff>38101</xdr:rowOff>
    </xdr:from>
    <xdr:to>
      <xdr:col>13</xdr:col>
      <xdr:colOff>571500</xdr:colOff>
      <xdr:row>22</xdr:row>
      <xdr:rowOff>38101</xdr:rowOff>
    </xdr:to>
    <xdr:graphicFrame macro="">
      <xdr:nvGraphicFramePr>
        <xdr:cNvPr id="2" name="Chart 1">
          <a:extLst>
            <a:ext uri="{FF2B5EF4-FFF2-40B4-BE49-F238E27FC236}">
              <a16:creationId xmlns:a16="http://schemas.microsoft.com/office/drawing/2014/main" id="{4FEE4D0E-422D-49AA-A85D-D37E9D8F7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450E2E62-67AA-4011-9146-A8DC8E815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53A5DAF-0BF6-4DE3-A2B2-0D537D607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59DAACA-3E2E-4F12-BE14-35D1D14E0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A9CCFD7-83B3-4A39-B689-0128F5AF5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E31AAD7-A154-4B50-ACC5-B45B08BA3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CDF0DFA-69F1-46E0-9258-CB02CF7B0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37B81C3-38DF-413C-ABBE-16B92FCA2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403C270-B45E-4BB0-8248-5414FBCA3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DD9DB86-3A9A-4DEB-9D58-2A5216E0F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090C6E-6AE9-4A92-A2C9-42E8E6BD2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1D62996-ADFB-4C87-A2A1-FF4C1D216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143E210-F470-4C14-A8A9-D80572574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FAB26D0-7EC4-46B3-B798-BB598786E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150EF91-4AE4-4CA2-B360-3132D0FE6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159350B-2334-4D9F-808F-3D4A65DF7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B6AA99F-01AB-4D17-9A29-1E1C84427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F642AEE-98E4-48CA-81AC-D899E7EE1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E5E96B7-8A5C-4477-A7A5-EEE40190A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DBA32D1-CF19-4DED-9012-EEFD76C6D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DBF0ADD-3768-458F-B46B-F38CC8C48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CDA2441-3A6D-49C8-A636-6D53D1214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12700</xdr:colOff>
      <xdr:row>7</xdr:row>
      <xdr:rowOff>38101</xdr:rowOff>
    </xdr:from>
    <xdr:to>
      <xdr:col>13</xdr:col>
      <xdr:colOff>558800</xdr:colOff>
      <xdr:row>22</xdr:row>
      <xdr:rowOff>38101</xdr:rowOff>
    </xdr:to>
    <xdr:graphicFrame macro="">
      <xdr:nvGraphicFramePr>
        <xdr:cNvPr id="2" name="Chart 1">
          <a:extLst>
            <a:ext uri="{FF2B5EF4-FFF2-40B4-BE49-F238E27FC236}">
              <a16:creationId xmlns:a16="http://schemas.microsoft.com/office/drawing/2014/main" id="{04964859-FA66-4A89-9508-455D008FF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A189DCC-9846-4FE1-B700-E88C3BDD1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8F0A3716-1329-4EFC-99FE-5A2A059DE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B6E17-9F12-4CDF-8F8B-23D517E78654}">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173</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174</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31</v>
      </c>
      <c r="D8" s="6"/>
      <c r="E8" s="11">
        <v>0.57331900000000002</v>
      </c>
      <c r="F8" s="1"/>
      <c r="G8" s="24" t="s">
        <v>8</v>
      </c>
      <c r="H8" s="28">
        <v>1</v>
      </c>
      <c r="I8" s="1"/>
      <c r="J8" s="24" t="s">
        <v>35</v>
      </c>
      <c r="K8" s="24" t="s">
        <v>3</v>
      </c>
      <c r="L8" s="1"/>
      <c r="M8" s="1"/>
      <c r="N8" s="18"/>
    </row>
    <row r="9" spans="2:14" ht="15.75" customHeight="1" x14ac:dyDescent="0.25">
      <c r="B9" s="20"/>
      <c r="C9" s="7" t="s">
        <v>175</v>
      </c>
      <c r="D9" s="8"/>
      <c r="E9" s="12">
        <v>0.57331900000000002</v>
      </c>
      <c r="F9" s="1"/>
      <c r="G9" s="1"/>
      <c r="H9" s="1"/>
      <c r="I9" s="1"/>
      <c r="J9" s="24" t="s">
        <v>33</v>
      </c>
      <c r="K9" s="29">
        <v>-4.3210000000000002E-3</v>
      </c>
      <c r="L9" s="1"/>
      <c r="M9" s="1"/>
      <c r="N9" s="18"/>
    </row>
    <row r="10" spans="2:14" ht="15" customHeight="1" x14ac:dyDescent="0.25">
      <c r="B10" s="20"/>
      <c r="C10" s="5" t="s">
        <v>157</v>
      </c>
      <c r="D10" s="6" t="s">
        <v>182</v>
      </c>
      <c r="E10" s="11">
        <v>2.5003000000000001E-2</v>
      </c>
      <c r="F10" s="1"/>
      <c r="G10" s="1"/>
      <c r="H10" s="1"/>
      <c r="I10" s="1"/>
      <c r="J10" s="24" t="s">
        <v>36</v>
      </c>
      <c r="K10" s="29">
        <v>0.37737599999999999</v>
      </c>
      <c r="L10" s="1"/>
      <c r="M10" s="1"/>
      <c r="N10" s="18"/>
    </row>
    <row r="11" spans="2:14" ht="15" customHeight="1" x14ac:dyDescent="0.25">
      <c r="B11" s="20"/>
      <c r="C11" s="5" t="s">
        <v>176</v>
      </c>
      <c r="D11" s="6" t="s">
        <v>182</v>
      </c>
      <c r="E11" s="11">
        <v>1.7881000000000001E-2</v>
      </c>
      <c r="F11" s="1"/>
      <c r="G11" s="1"/>
      <c r="H11" s="1"/>
      <c r="I11" s="1"/>
      <c r="J11" s="24" t="s">
        <v>177</v>
      </c>
      <c r="K11" s="29">
        <v>0.57331900000000002</v>
      </c>
      <c r="L11" s="1"/>
      <c r="M11" s="1"/>
      <c r="N11" s="18"/>
    </row>
    <row r="12" spans="2:14" ht="15" customHeight="1" x14ac:dyDescent="0.25">
      <c r="B12" s="20"/>
      <c r="C12" s="5" t="s">
        <v>156</v>
      </c>
      <c r="D12" s="6" t="s">
        <v>182</v>
      </c>
      <c r="E12" s="11">
        <v>1.0742E-2</v>
      </c>
      <c r="F12" s="1"/>
      <c r="G12" s="1"/>
      <c r="H12" s="1"/>
      <c r="I12" s="1"/>
      <c r="J12" s="24" t="s">
        <v>164</v>
      </c>
      <c r="K12" s="29">
        <v>5.3626E-2</v>
      </c>
      <c r="L12" s="1"/>
      <c r="M12" s="1"/>
      <c r="N12" s="18"/>
    </row>
    <row r="13" spans="2:14" ht="15.75" customHeight="1" x14ac:dyDescent="0.25">
      <c r="B13" s="20"/>
      <c r="C13" s="7" t="s">
        <v>160</v>
      </c>
      <c r="D13" s="8"/>
      <c r="E13" s="12">
        <v>5.3626E-2</v>
      </c>
      <c r="F13" s="1"/>
      <c r="G13" s="1"/>
      <c r="H13" s="1"/>
      <c r="I13" s="1"/>
      <c r="J13" s="1"/>
      <c r="K13" s="1"/>
      <c r="L13" s="1"/>
      <c r="M13" s="1"/>
      <c r="N13" s="18"/>
    </row>
    <row r="14" spans="2:14" ht="15" customHeight="1" x14ac:dyDescent="0.25">
      <c r="B14" s="20"/>
      <c r="C14" s="5" t="s">
        <v>31</v>
      </c>
      <c r="D14" s="6"/>
      <c r="E14" s="11">
        <v>0.37737599999999999</v>
      </c>
      <c r="F14" s="1"/>
      <c r="G14" s="1"/>
      <c r="H14" s="1"/>
      <c r="I14" s="1"/>
      <c r="J14" s="1"/>
      <c r="K14" s="1"/>
      <c r="L14" s="1"/>
      <c r="M14" s="1"/>
      <c r="N14" s="18"/>
    </row>
    <row r="15" spans="2:14" ht="15.75" customHeight="1" x14ac:dyDescent="0.25">
      <c r="B15" s="20"/>
      <c r="C15" s="7" t="s">
        <v>32</v>
      </c>
      <c r="D15" s="8"/>
      <c r="E15" s="12">
        <v>0.37737599999999999</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-4.3210000000000002E-3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117</v>
      </c>
      <c r="H24" s="90"/>
      <c r="I24" s="90"/>
      <c r="J24" s="90"/>
      <c r="K24" s="90"/>
      <c r="L24" s="39">
        <v>2.6451498480301243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72" t="s">
        <v>293</v>
      </c>
      <c r="C45" s="73"/>
      <c r="D45" s="73"/>
      <c r="E45" s="73"/>
      <c r="F45" s="73"/>
      <c r="G45" s="73"/>
      <c r="H45" s="73"/>
      <c r="I45" s="73"/>
      <c r="J45" s="73"/>
      <c r="K45" s="73"/>
      <c r="L45" s="73"/>
      <c r="M45" s="73"/>
      <c r="N45" s="74"/>
    </row>
    <row r="46" spans="2:14" x14ac:dyDescent="0.25">
      <c r="B46" s="75"/>
      <c r="C46" s="76"/>
      <c r="D46" s="76"/>
      <c r="E46" s="76"/>
      <c r="F46" s="76"/>
      <c r="G46" s="76"/>
      <c r="H46" s="76"/>
      <c r="I46" s="76"/>
      <c r="J46" s="76"/>
      <c r="K46" s="76"/>
      <c r="L46" s="76"/>
      <c r="M46" s="76"/>
      <c r="N46" s="77"/>
    </row>
    <row r="47" spans="2:14" ht="15.75" thickBot="1" x14ac:dyDescent="0.3">
      <c r="B47" s="78"/>
      <c r="C47" s="79"/>
      <c r="D47" s="79"/>
      <c r="E47" s="79"/>
      <c r="F47" s="79"/>
      <c r="G47" s="79"/>
      <c r="H47" s="79"/>
      <c r="I47" s="79"/>
      <c r="J47" s="79"/>
      <c r="K47" s="79"/>
      <c r="L47" s="79"/>
      <c r="M47" s="79"/>
      <c r="N47" s="80"/>
    </row>
    <row r="48" spans="2:14" ht="15.75" thickBot="1" x14ac:dyDescent="0.3"/>
    <row r="49" spans="2:14" ht="135" customHeight="1" thickBot="1" x14ac:dyDescent="0.3">
      <c r="B49" s="81" t="s">
        <v>294</v>
      </c>
      <c r="C49" s="82"/>
      <c r="D49" s="82"/>
      <c r="E49" s="82"/>
      <c r="F49" s="82"/>
      <c r="G49" s="82"/>
      <c r="H49" s="82"/>
      <c r="I49" s="82"/>
      <c r="J49" s="82"/>
      <c r="K49" s="82"/>
      <c r="L49" s="82"/>
      <c r="M49" s="82"/>
      <c r="N49" s="83"/>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97AE-D12E-47F5-A4D1-D0238E8BE855}">
  <dimension ref="B1:N89"/>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133</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134</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14</v>
      </c>
      <c r="D8" s="6" t="s">
        <v>13</v>
      </c>
      <c r="E8" s="11">
        <v>8.8718000000000005E-2</v>
      </c>
      <c r="F8" s="1"/>
      <c r="G8" s="32" t="s">
        <v>292</v>
      </c>
      <c r="H8" s="29">
        <v>0.99335499999999999</v>
      </c>
      <c r="I8" s="1"/>
      <c r="J8" s="24" t="s">
        <v>35</v>
      </c>
      <c r="K8" s="24" t="s">
        <v>3</v>
      </c>
      <c r="L8" s="1"/>
      <c r="M8" s="1"/>
      <c r="N8" s="18"/>
    </row>
    <row r="9" spans="2:14" ht="15" customHeight="1" x14ac:dyDescent="0.25">
      <c r="B9" s="20"/>
      <c r="C9" s="5" t="s">
        <v>135</v>
      </c>
      <c r="D9" s="6" t="s">
        <v>13</v>
      </c>
      <c r="E9" s="11">
        <v>5.8370999999999999E-2</v>
      </c>
      <c r="F9" s="1"/>
      <c r="G9" s="24" t="s">
        <v>95</v>
      </c>
      <c r="H9" s="29">
        <v>6.6449999999999999E-3</v>
      </c>
      <c r="I9" s="1"/>
      <c r="J9" s="24" t="s">
        <v>33</v>
      </c>
      <c r="K9" s="29">
        <v>-1.786E-3</v>
      </c>
      <c r="L9" s="1"/>
      <c r="M9" s="1"/>
      <c r="N9" s="18"/>
    </row>
    <row r="10" spans="2:14" ht="15" customHeight="1" x14ac:dyDescent="0.25">
      <c r="B10" s="20"/>
      <c r="C10" s="5" t="s">
        <v>12</v>
      </c>
      <c r="D10" s="6" t="s">
        <v>13</v>
      </c>
      <c r="E10" s="11">
        <v>5.8067000000000001E-2</v>
      </c>
      <c r="F10" s="1"/>
      <c r="G10" s="1"/>
      <c r="H10" s="1"/>
      <c r="I10" s="1"/>
      <c r="J10" s="24" t="s">
        <v>36</v>
      </c>
      <c r="K10" s="29">
        <v>1.1469E-2</v>
      </c>
      <c r="L10" s="1"/>
      <c r="M10" s="1"/>
      <c r="N10" s="18"/>
    </row>
    <row r="11" spans="2:14" ht="15" customHeight="1" x14ac:dyDescent="0.25">
      <c r="B11" s="20"/>
      <c r="C11" s="5" t="s">
        <v>43</v>
      </c>
      <c r="D11" s="6" t="s">
        <v>13</v>
      </c>
      <c r="E11" s="11">
        <v>5.0695999999999998E-2</v>
      </c>
      <c r="F11" s="1"/>
      <c r="G11" s="1"/>
      <c r="H11" s="1"/>
      <c r="I11" s="1"/>
      <c r="J11" s="24" t="s">
        <v>37</v>
      </c>
      <c r="K11" s="29">
        <v>0.302201</v>
      </c>
      <c r="L11" s="1"/>
      <c r="M11" s="1"/>
      <c r="N11" s="18"/>
    </row>
    <row r="12" spans="2:14" ht="15" customHeight="1" x14ac:dyDescent="0.25">
      <c r="B12" s="20"/>
      <c r="C12" s="5" t="s">
        <v>136</v>
      </c>
      <c r="D12" s="6" t="s">
        <v>13</v>
      </c>
      <c r="E12" s="11">
        <v>1.5389E-2</v>
      </c>
      <c r="F12" s="1"/>
      <c r="G12" s="1"/>
      <c r="H12" s="1"/>
      <c r="I12" s="1"/>
      <c r="J12" s="24" t="s">
        <v>38</v>
      </c>
      <c r="K12" s="29">
        <v>6.7598000000000005E-2</v>
      </c>
      <c r="L12" s="1"/>
      <c r="M12" s="1"/>
      <c r="N12" s="18"/>
    </row>
    <row r="13" spans="2:14" ht="15" customHeight="1" x14ac:dyDescent="0.25">
      <c r="B13" s="20"/>
      <c r="C13" s="5" t="s">
        <v>44</v>
      </c>
      <c r="D13" s="6" t="s">
        <v>13</v>
      </c>
      <c r="E13" s="11">
        <v>1.5387E-2</v>
      </c>
      <c r="F13" s="1"/>
      <c r="G13" s="1"/>
      <c r="H13" s="1"/>
      <c r="I13" s="1"/>
      <c r="J13" s="24" t="s">
        <v>59</v>
      </c>
      <c r="K13" s="29">
        <v>0.431282</v>
      </c>
      <c r="L13" s="1"/>
      <c r="M13" s="1"/>
      <c r="N13" s="18"/>
    </row>
    <row r="14" spans="2:14" ht="15" customHeight="1" x14ac:dyDescent="0.25">
      <c r="B14" s="20"/>
      <c r="C14" s="5" t="s">
        <v>137</v>
      </c>
      <c r="D14" s="6" t="s">
        <v>13</v>
      </c>
      <c r="E14" s="11">
        <v>7.7809999999999997E-3</v>
      </c>
      <c r="F14" s="1"/>
      <c r="G14" s="1"/>
      <c r="H14" s="1"/>
      <c r="I14" s="1"/>
      <c r="J14" s="24" t="s">
        <v>22</v>
      </c>
      <c r="K14" s="29">
        <v>2.6570000000000001E-3</v>
      </c>
      <c r="L14" s="1"/>
      <c r="M14" s="1"/>
      <c r="N14" s="18"/>
    </row>
    <row r="15" spans="2:14" ht="15" customHeight="1" x14ac:dyDescent="0.25">
      <c r="B15" s="20"/>
      <c r="C15" s="5" t="s">
        <v>42</v>
      </c>
      <c r="D15" s="6" t="s">
        <v>13</v>
      </c>
      <c r="E15" s="11">
        <v>5.8440000000000002E-3</v>
      </c>
      <c r="F15" s="1"/>
      <c r="G15" s="1"/>
      <c r="H15" s="1"/>
      <c r="I15" s="1"/>
      <c r="J15" s="24" t="s">
        <v>162</v>
      </c>
      <c r="K15" s="29">
        <v>7.4229999999999999E-3</v>
      </c>
      <c r="L15" s="1"/>
      <c r="M15" s="1"/>
      <c r="N15" s="18"/>
    </row>
    <row r="16" spans="2:14" ht="15" customHeight="1" x14ac:dyDescent="0.25">
      <c r="B16" s="20"/>
      <c r="C16" s="5" t="s">
        <v>73</v>
      </c>
      <c r="D16" s="6" t="s">
        <v>13</v>
      </c>
      <c r="E16" s="11">
        <v>1.9480000000000001E-3</v>
      </c>
      <c r="F16" s="1"/>
      <c r="G16" s="1"/>
      <c r="H16" s="1"/>
      <c r="I16" s="1"/>
      <c r="J16" s="24" t="s">
        <v>163</v>
      </c>
      <c r="K16" s="29">
        <v>2.7569999999999999E-3</v>
      </c>
      <c r="L16" s="1"/>
      <c r="M16" s="1"/>
      <c r="N16" s="18"/>
    </row>
    <row r="17" spans="2:14" ht="15.75" customHeight="1" x14ac:dyDescent="0.25">
      <c r="B17" s="20"/>
      <c r="C17" s="7" t="s">
        <v>15</v>
      </c>
      <c r="D17" s="8"/>
      <c r="E17" s="12">
        <v>0.302201</v>
      </c>
      <c r="F17" s="1"/>
      <c r="G17" s="1"/>
      <c r="H17" s="1"/>
      <c r="I17" s="1"/>
      <c r="J17" s="24" t="s">
        <v>164</v>
      </c>
      <c r="K17" s="29">
        <v>0.17252700000000001</v>
      </c>
      <c r="L17" s="1"/>
      <c r="M17" s="1"/>
      <c r="N17" s="18"/>
    </row>
    <row r="18" spans="2:14" ht="15" customHeight="1" x14ac:dyDescent="0.25">
      <c r="B18" s="20"/>
      <c r="C18" s="5" t="s">
        <v>138</v>
      </c>
      <c r="D18" s="6" t="s">
        <v>13</v>
      </c>
      <c r="E18" s="11">
        <v>0.10686900000000001</v>
      </c>
      <c r="F18" s="1"/>
      <c r="G18" s="1"/>
      <c r="H18" s="1"/>
      <c r="I18" s="1"/>
      <c r="J18" s="24" t="s">
        <v>78</v>
      </c>
      <c r="K18" s="29">
        <v>3.872E-3</v>
      </c>
      <c r="L18" s="1"/>
      <c r="M18" s="1"/>
      <c r="N18" s="18"/>
    </row>
    <row r="19" spans="2:14" ht="15" customHeight="1" x14ac:dyDescent="0.25">
      <c r="B19" s="20"/>
      <c r="C19" s="5" t="s">
        <v>63</v>
      </c>
      <c r="D19" s="6" t="s">
        <v>13</v>
      </c>
      <c r="E19" s="11">
        <v>3.8565000000000002E-2</v>
      </c>
      <c r="F19" s="1"/>
      <c r="G19" s="1"/>
      <c r="H19" s="1"/>
      <c r="I19" s="1"/>
      <c r="J19" s="1"/>
      <c r="K19" s="1"/>
      <c r="L19" s="1"/>
      <c r="M19" s="1"/>
      <c r="N19" s="18"/>
    </row>
    <row r="20" spans="2:14" ht="15" customHeight="1" x14ac:dyDescent="0.25">
      <c r="B20" s="20"/>
      <c r="C20" s="5" t="s">
        <v>16</v>
      </c>
      <c r="D20" s="6" t="s">
        <v>13</v>
      </c>
      <c r="E20" s="11">
        <v>3.4270000000000002E-2</v>
      </c>
      <c r="F20" s="1"/>
      <c r="G20" s="1"/>
      <c r="H20" s="1"/>
      <c r="I20" s="1"/>
      <c r="J20" s="1"/>
      <c r="K20" s="1"/>
      <c r="L20" s="1"/>
      <c r="M20" s="1"/>
      <c r="N20" s="18"/>
    </row>
    <row r="21" spans="2:14" ht="15" customHeight="1" x14ac:dyDescent="0.25">
      <c r="B21" s="20"/>
      <c r="C21" s="5" t="s">
        <v>54</v>
      </c>
      <c r="D21" s="6" t="s">
        <v>13</v>
      </c>
      <c r="E21" s="11">
        <v>3.2753999999999998E-2</v>
      </c>
      <c r="F21" s="1"/>
      <c r="G21" s="1"/>
      <c r="H21" s="1"/>
      <c r="I21" s="1"/>
      <c r="J21" s="1"/>
      <c r="K21" s="1"/>
      <c r="L21" s="1"/>
      <c r="M21" s="1"/>
      <c r="N21" s="18"/>
    </row>
    <row r="22" spans="2:14" ht="15" customHeight="1" x14ac:dyDescent="0.25">
      <c r="B22" s="20"/>
      <c r="C22" s="5" t="s">
        <v>139</v>
      </c>
      <c r="D22" s="6" t="s">
        <v>13</v>
      </c>
      <c r="E22" s="11">
        <v>3.0894999999999999E-2</v>
      </c>
      <c r="F22" s="1"/>
      <c r="G22" s="1"/>
      <c r="H22" s="1"/>
      <c r="I22" s="1"/>
      <c r="J22" s="1"/>
      <c r="K22" s="1"/>
      <c r="L22" s="1"/>
      <c r="M22" s="1"/>
      <c r="N22" s="18"/>
    </row>
    <row r="23" spans="2:14" ht="15" customHeight="1" x14ac:dyDescent="0.25">
      <c r="B23" s="20"/>
      <c r="C23" s="5" t="s">
        <v>125</v>
      </c>
      <c r="D23" s="6" t="s">
        <v>13</v>
      </c>
      <c r="E23" s="11">
        <v>2.7163E-2</v>
      </c>
      <c r="F23" s="1"/>
      <c r="G23" s="1"/>
      <c r="H23" s="1"/>
      <c r="I23" s="1"/>
      <c r="J23" s="1"/>
      <c r="K23" s="1"/>
      <c r="L23" s="1"/>
      <c r="M23" s="1"/>
      <c r="N23" s="18"/>
    </row>
    <row r="24" spans="2:14" ht="15" customHeight="1" x14ac:dyDescent="0.25">
      <c r="B24" s="20"/>
      <c r="C24" s="5" t="s">
        <v>140</v>
      </c>
      <c r="D24" s="6" t="s">
        <v>13</v>
      </c>
      <c r="E24" s="11">
        <v>2.3278E-2</v>
      </c>
      <c r="F24" s="1"/>
      <c r="G24" s="89" t="s">
        <v>117</v>
      </c>
      <c r="H24" s="90"/>
      <c r="I24" s="90"/>
      <c r="J24" s="90"/>
      <c r="K24" s="90"/>
      <c r="L24" s="40">
        <v>42.512856207068431</v>
      </c>
      <c r="M24" s="26"/>
      <c r="N24" s="27"/>
    </row>
    <row r="25" spans="2:14" ht="15" customHeight="1" x14ac:dyDescent="0.25">
      <c r="B25" s="20"/>
      <c r="C25" s="5" t="s">
        <v>141</v>
      </c>
      <c r="D25" s="6" t="s">
        <v>13</v>
      </c>
      <c r="E25" s="11">
        <v>2.3129E-2</v>
      </c>
      <c r="F25" s="1"/>
      <c r="G25" s="1"/>
      <c r="H25" s="1"/>
      <c r="I25" s="1"/>
      <c r="J25" s="1"/>
      <c r="K25" s="1"/>
      <c r="L25" s="1"/>
      <c r="M25" s="1"/>
      <c r="N25" s="18"/>
    </row>
    <row r="26" spans="2:14" ht="15" customHeight="1" x14ac:dyDescent="0.25">
      <c r="B26" s="20"/>
      <c r="C26" s="5" t="s">
        <v>69</v>
      </c>
      <c r="D26" s="6" t="s">
        <v>13</v>
      </c>
      <c r="E26" s="11">
        <v>1.9501999999999999E-2</v>
      </c>
      <c r="F26" s="1"/>
      <c r="G26" s="89" t="s">
        <v>6</v>
      </c>
      <c r="H26" s="90"/>
      <c r="I26" s="90"/>
      <c r="J26" s="90"/>
      <c r="K26" s="90"/>
      <c r="L26" s="90"/>
      <c r="M26" s="90"/>
      <c r="N26" s="91"/>
    </row>
    <row r="27" spans="2:14" ht="15" customHeight="1" x14ac:dyDescent="0.25">
      <c r="B27" s="20"/>
      <c r="C27" s="5" t="s">
        <v>142</v>
      </c>
      <c r="D27" s="6" t="s">
        <v>13</v>
      </c>
      <c r="E27" s="11">
        <v>1.925E-2</v>
      </c>
      <c r="F27" s="1"/>
      <c r="G27" s="1"/>
      <c r="H27" s="1"/>
      <c r="I27" s="1"/>
      <c r="J27" s="1"/>
      <c r="K27" s="1"/>
      <c r="L27" s="1"/>
      <c r="M27" s="1"/>
      <c r="N27" s="18"/>
    </row>
    <row r="28" spans="2:14" ht="15" customHeight="1" x14ac:dyDescent="0.25">
      <c r="B28" s="20"/>
      <c r="C28" s="5" t="s">
        <v>143</v>
      </c>
      <c r="D28" s="6" t="s">
        <v>13</v>
      </c>
      <c r="E28" s="11">
        <v>1.9219E-2</v>
      </c>
      <c r="F28" s="1"/>
      <c r="G28" s="1"/>
      <c r="H28" s="1"/>
      <c r="I28" s="1"/>
      <c r="J28" s="1"/>
      <c r="K28" s="1"/>
      <c r="L28" s="1"/>
      <c r="M28" s="1"/>
      <c r="N28" s="18"/>
    </row>
    <row r="29" spans="2:14" ht="15" customHeight="1" x14ac:dyDescent="0.25">
      <c r="B29" s="20"/>
      <c r="C29" s="5" t="s">
        <v>144</v>
      </c>
      <c r="D29" s="6" t="s">
        <v>13</v>
      </c>
      <c r="E29" s="11">
        <v>1.5598000000000001E-2</v>
      </c>
      <c r="F29" s="1"/>
      <c r="G29" s="1"/>
      <c r="H29" s="1"/>
      <c r="I29" s="1"/>
      <c r="J29" s="1"/>
      <c r="K29" s="1"/>
      <c r="L29" s="1"/>
      <c r="M29" s="1"/>
      <c r="N29" s="18"/>
    </row>
    <row r="30" spans="2:14" ht="15" customHeight="1" x14ac:dyDescent="0.25">
      <c r="B30" s="20"/>
      <c r="C30" s="5" t="s">
        <v>145</v>
      </c>
      <c r="D30" s="6" t="s">
        <v>13</v>
      </c>
      <c r="E30" s="11">
        <v>1.5585999999999999E-2</v>
      </c>
      <c r="F30" s="1"/>
      <c r="G30" s="1"/>
      <c r="H30" s="1"/>
      <c r="I30" s="1"/>
      <c r="J30" s="1"/>
      <c r="K30" s="1"/>
      <c r="L30" s="1"/>
      <c r="M30" s="1"/>
      <c r="N30" s="18"/>
    </row>
    <row r="31" spans="2:14" ht="15" customHeight="1" x14ac:dyDescent="0.25">
      <c r="B31" s="20"/>
      <c r="C31" s="5" t="s">
        <v>62</v>
      </c>
      <c r="D31" s="6" t="s">
        <v>13</v>
      </c>
      <c r="E31" s="11">
        <v>7.7799999999999996E-3</v>
      </c>
      <c r="F31" s="1"/>
      <c r="G31" s="1"/>
      <c r="H31" s="1"/>
      <c r="I31" s="1"/>
      <c r="J31" s="1"/>
      <c r="K31" s="1"/>
      <c r="L31" s="1"/>
      <c r="M31" s="1"/>
      <c r="N31" s="18"/>
    </row>
    <row r="32" spans="2:14" ht="15" customHeight="1" x14ac:dyDescent="0.25">
      <c r="B32" s="20"/>
      <c r="C32" s="5" t="s">
        <v>146</v>
      </c>
      <c r="D32" s="6" t="s">
        <v>13</v>
      </c>
      <c r="E32" s="11">
        <v>7.7060000000000002E-3</v>
      </c>
      <c r="F32" s="1"/>
      <c r="G32" s="1"/>
      <c r="H32" s="1"/>
      <c r="I32" s="1"/>
      <c r="J32" s="1"/>
      <c r="K32" s="1"/>
      <c r="L32" s="1"/>
      <c r="M32" s="1"/>
      <c r="N32" s="18"/>
    </row>
    <row r="33" spans="2:14" ht="15" customHeight="1" x14ac:dyDescent="0.25">
      <c r="B33" s="20"/>
      <c r="C33" s="5" t="s">
        <v>47</v>
      </c>
      <c r="D33" s="6" t="s">
        <v>13</v>
      </c>
      <c r="E33" s="11">
        <v>5.8510000000000003E-3</v>
      </c>
      <c r="F33" s="1"/>
      <c r="G33" s="1"/>
      <c r="H33" s="1"/>
      <c r="I33" s="1"/>
      <c r="J33" s="1"/>
      <c r="K33" s="1"/>
      <c r="L33" s="1"/>
      <c r="M33" s="1"/>
      <c r="N33" s="18"/>
    </row>
    <row r="34" spans="2:14" ht="15" customHeight="1" x14ac:dyDescent="0.25">
      <c r="B34" s="20"/>
      <c r="C34" s="5" t="s">
        <v>70</v>
      </c>
      <c r="D34" s="6" t="s">
        <v>13</v>
      </c>
      <c r="E34" s="11">
        <v>3.8670000000000002E-3</v>
      </c>
      <c r="F34" s="1"/>
      <c r="G34" s="1"/>
      <c r="H34" s="1"/>
      <c r="I34" s="1"/>
      <c r="J34" s="1"/>
      <c r="K34" s="1"/>
      <c r="L34" s="1"/>
      <c r="M34" s="1"/>
      <c r="N34" s="18"/>
    </row>
    <row r="35" spans="2:14" ht="15.75" customHeight="1" x14ac:dyDescent="0.25">
      <c r="B35" s="20"/>
      <c r="C35" s="7" t="s">
        <v>55</v>
      </c>
      <c r="D35" s="8"/>
      <c r="E35" s="12">
        <v>0.431282</v>
      </c>
      <c r="F35" s="1"/>
      <c r="G35" s="1"/>
      <c r="H35" s="1"/>
      <c r="I35" s="1"/>
      <c r="J35" s="1"/>
      <c r="K35" s="1"/>
      <c r="L35" s="1"/>
      <c r="M35" s="1"/>
      <c r="N35" s="18"/>
    </row>
    <row r="36" spans="2:14" ht="15" customHeight="1" x14ac:dyDescent="0.25">
      <c r="B36" s="20"/>
      <c r="C36" s="5" t="s">
        <v>147</v>
      </c>
      <c r="D36" s="6" t="s">
        <v>17</v>
      </c>
      <c r="E36" s="11">
        <v>3.4783000000000001E-2</v>
      </c>
      <c r="F36" s="1"/>
      <c r="G36" s="1"/>
      <c r="H36" s="1"/>
      <c r="I36" s="1"/>
      <c r="J36" s="1"/>
      <c r="K36" s="1"/>
      <c r="L36" s="1"/>
      <c r="M36" s="1"/>
      <c r="N36" s="18"/>
    </row>
    <row r="37" spans="2:14" ht="15" customHeight="1" x14ac:dyDescent="0.25">
      <c r="B37" s="20"/>
      <c r="C37" s="5" t="s">
        <v>20</v>
      </c>
      <c r="D37" s="6" t="s">
        <v>17</v>
      </c>
      <c r="E37" s="11">
        <v>1.1722E-2</v>
      </c>
      <c r="F37" s="1"/>
      <c r="G37" s="1"/>
      <c r="H37" s="1"/>
      <c r="I37" s="1"/>
      <c r="J37" s="1"/>
      <c r="K37" s="1"/>
      <c r="L37" s="1"/>
      <c r="M37" s="1"/>
      <c r="N37" s="18"/>
    </row>
    <row r="38" spans="2:14" ht="15" customHeight="1" x14ac:dyDescent="0.25">
      <c r="B38" s="20"/>
      <c r="C38" s="5" t="s">
        <v>56</v>
      </c>
      <c r="D38" s="6" t="s">
        <v>17</v>
      </c>
      <c r="E38" s="11">
        <v>7.803E-3</v>
      </c>
      <c r="F38" s="1"/>
      <c r="G38" s="1"/>
      <c r="H38" s="1"/>
      <c r="I38" s="1"/>
      <c r="J38" s="1"/>
      <c r="K38" s="1"/>
      <c r="L38" s="1"/>
      <c r="M38" s="1"/>
      <c r="N38" s="18"/>
    </row>
    <row r="39" spans="2:14" ht="15" customHeight="1" x14ac:dyDescent="0.25">
      <c r="B39" s="20"/>
      <c r="C39" s="5" t="s">
        <v>66</v>
      </c>
      <c r="D39" s="6" t="s">
        <v>17</v>
      </c>
      <c r="E39" s="11">
        <v>6.6449999999999999E-3</v>
      </c>
      <c r="F39" s="1"/>
      <c r="G39" s="1"/>
      <c r="H39" s="1"/>
      <c r="I39" s="1"/>
      <c r="J39" s="1"/>
      <c r="K39" s="1"/>
      <c r="L39" s="1"/>
      <c r="M39" s="1"/>
      <c r="N39" s="18"/>
    </row>
    <row r="40" spans="2:14" ht="15" customHeight="1" x14ac:dyDescent="0.25">
      <c r="B40" s="20"/>
      <c r="C40" s="5" t="s">
        <v>148</v>
      </c>
      <c r="D40" s="6" t="s">
        <v>90</v>
      </c>
      <c r="E40" s="11">
        <v>6.6449999999999999E-3</v>
      </c>
      <c r="F40" s="1"/>
      <c r="G40" s="1"/>
      <c r="H40" s="1"/>
      <c r="I40" s="1"/>
      <c r="J40" s="1"/>
      <c r="K40" s="1"/>
      <c r="L40" s="1"/>
      <c r="M40" s="1"/>
      <c r="N40" s="18"/>
    </row>
    <row r="41" spans="2:14" ht="15.75" customHeight="1" x14ac:dyDescent="0.25">
      <c r="B41" s="20"/>
      <c r="C41" s="7" t="s">
        <v>21</v>
      </c>
      <c r="D41" s="8"/>
      <c r="E41" s="12">
        <v>6.7598000000000005E-2</v>
      </c>
      <c r="F41" s="1"/>
      <c r="G41" s="1"/>
      <c r="H41" s="1"/>
      <c r="I41" s="1"/>
      <c r="J41" s="1"/>
      <c r="K41" s="1"/>
      <c r="L41" s="1"/>
      <c r="M41" s="1"/>
      <c r="N41" s="18"/>
    </row>
    <row r="42" spans="2:14" ht="15" customHeight="1" x14ac:dyDescent="0.25">
      <c r="B42" s="20"/>
      <c r="C42" s="5" t="s">
        <v>22</v>
      </c>
      <c r="D42" s="6"/>
      <c r="E42" s="11">
        <v>2.6570000000000001E-3</v>
      </c>
      <c r="F42" s="1"/>
      <c r="G42" s="1"/>
      <c r="H42" s="1"/>
      <c r="I42" s="1"/>
      <c r="J42" s="1"/>
      <c r="K42" s="1"/>
      <c r="L42" s="1"/>
      <c r="M42" s="1"/>
      <c r="N42" s="18"/>
    </row>
    <row r="43" spans="2:14" ht="15.75" customHeight="1" x14ac:dyDescent="0.25">
      <c r="B43" s="20"/>
      <c r="C43" s="7" t="s">
        <v>23</v>
      </c>
      <c r="D43" s="8"/>
      <c r="E43" s="12">
        <v>2.6570000000000001E-3</v>
      </c>
      <c r="F43" s="1"/>
      <c r="G43" s="1"/>
      <c r="H43" s="1"/>
      <c r="I43" s="1"/>
      <c r="J43" s="1"/>
      <c r="K43" s="1"/>
      <c r="L43" s="1"/>
      <c r="M43" s="1"/>
      <c r="N43" s="18"/>
    </row>
    <row r="44" spans="2:14" ht="15" customHeight="1" x14ac:dyDescent="0.25">
      <c r="B44" s="20"/>
      <c r="C44" s="5" t="s">
        <v>12</v>
      </c>
      <c r="D44" s="6" t="s">
        <v>17</v>
      </c>
      <c r="E44" s="11">
        <v>7.4229999999999999E-3</v>
      </c>
      <c r="F44" s="1"/>
      <c r="G44" s="1"/>
      <c r="H44" s="1"/>
      <c r="I44" s="1"/>
      <c r="J44" s="1"/>
      <c r="K44" s="1"/>
      <c r="L44" s="1"/>
      <c r="M44" s="1"/>
      <c r="N44" s="18"/>
    </row>
    <row r="45" spans="2:14" ht="15.75" customHeight="1" x14ac:dyDescent="0.25">
      <c r="B45" s="20"/>
      <c r="C45" s="7" t="s">
        <v>149</v>
      </c>
      <c r="D45" s="8"/>
      <c r="E45" s="12">
        <v>7.4229999999999999E-3</v>
      </c>
      <c r="F45" s="1"/>
      <c r="G45" s="1"/>
      <c r="H45" s="1"/>
      <c r="I45" s="1"/>
      <c r="J45" s="1"/>
      <c r="K45" s="1"/>
      <c r="L45" s="1"/>
      <c r="M45" s="1"/>
      <c r="N45" s="18"/>
    </row>
    <row r="46" spans="2:14" ht="15" customHeight="1" x14ac:dyDescent="0.25">
      <c r="B46" s="20"/>
      <c r="C46" s="5" t="s">
        <v>183</v>
      </c>
      <c r="D46" s="6" t="s">
        <v>182</v>
      </c>
      <c r="E46" s="11">
        <v>2.7569999999999999E-3</v>
      </c>
      <c r="F46" s="1"/>
      <c r="G46" s="1"/>
      <c r="H46" s="1"/>
      <c r="I46" s="1"/>
      <c r="J46" s="1"/>
      <c r="K46" s="1"/>
      <c r="L46" s="1"/>
      <c r="M46" s="1"/>
      <c r="N46" s="18"/>
    </row>
    <row r="47" spans="2:14" ht="15.75" customHeight="1" x14ac:dyDescent="0.25">
      <c r="B47" s="20"/>
      <c r="C47" s="7" t="s">
        <v>150</v>
      </c>
      <c r="D47" s="8"/>
      <c r="E47" s="12">
        <v>2.7569999999999999E-3</v>
      </c>
      <c r="F47" s="1"/>
      <c r="G47" s="1"/>
      <c r="H47" s="1"/>
      <c r="I47" s="1"/>
      <c r="J47" s="1"/>
      <c r="K47" s="1"/>
      <c r="L47" s="1"/>
      <c r="M47" s="1"/>
      <c r="N47" s="18"/>
    </row>
    <row r="48" spans="2:14" ht="15" customHeight="1" x14ac:dyDescent="0.25">
      <c r="B48" s="20"/>
      <c r="C48" s="5" t="s">
        <v>151</v>
      </c>
      <c r="D48" s="6" t="s">
        <v>182</v>
      </c>
      <c r="E48" s="11">
        <v>4.6870000000000002E-2</v>
      </c>
      <c r="F48" s="1"/>
      <c r="G48" s="1"/>
      <c r="H48" s="1"/>
      <c r="I48" s="1"/>
      <c r="J48" s="1"/>
      <c r="K48" s="1"/>
      <c r="L48" s="1"/>
      <c r="M48" s="1"/>
      <c r="N48" s="18"/>
    </row>
    <row r="49" spans="2:14" ht="15" customHeight="1" x14ac:dyDescent="0.25">
      <c r="B49" s="20"/>
      <c r="C49" s="5" t="s">
        <v>152</v>
      </c>
      <c r="D49" s="6" t="s">
        <v>182</v>
      </c>
      <c r="E49" s="11">
        <v>4.6226000000000003E-2</v>
      </c>
      <c r="F49" s="1"/>
      <c r="G49" s="1"/>
      <c r="H49" s="1"/>
      <c r="I49" s="1"/>
      <c r="J49" s="1"/>
      <c r="K49" s="1"/>
      <c r="L49" s="1"/>
      <c r="M49" s="1"/>
      <c r="N49" s="18"/>
    </row>
    <row r="50" spans="2:14" ht="15" customHeight="1" x14ac:dyDescent="0.25">
      <c r="B50" s="20"/>
      <c r="C50" s="5" t="s">
        <v>153</v>
      </c>
      <c r="D50" s="6" t="s">
        <v>182</v>
      </c>
      <c r="E50" s="11">
        <v>2.6460000000000001E-2</v>
      </c>
      <c r="F50" s="1"/>
      <c r="G50" s="1"/>
      <c r="H50" s="1"/>
      <c r="I50" s="1"/>
      <c r="J50" s="1"/>
      <c r="K50" s="1"/>
      <c r="L50" s="1"/>
      <c r="M50" s="1"/>
      <c r="N50" s="18"/>
    </row>
    <row r="51" spans="2:14" ht="15" customHeight="1" x14ac:dyDescent="0.25">
      <c r="B51" s="20"/>
      <c r="C51" s="5" t="s">
        <v>154</v>
      </c>
      <c r="D51" s="6" t="s">
        <v>182</v>
      </c>
      <c r="E51" s="11">
        <v>1.5604E-2</v>
      </c>
      <c r="F51" s="1"/>
      <c r="G51" s="1"/>
      <c r="H51" s="1"/>
      <c r="I51" s="1"/>
      <c r="J51" s="1"/>
      <c r="K51" s="1"/>
      <c r="L51" s="1"/>
      <c r="M51" s="1"/>
      <c r="N51" s="18"/>
    </row>
    <row r="52" spans="2:14" ht="15" customHeight="1" x14ac:dyDescent="0.25">
      <c r="B52" s="20"/>
      <c r="C52" s="5" t="s">
        <v>155</v>
      </c>
      <c r="D52" s="6" t="s">
        <v>182</v>
      </c>
      <c r="E52" s="11">
        <v>1.3617000000000001E-2</v>
      </c>
      <c r="F52" s="1"/>
      <c r="G52" s="1"/>
      <c r="H52" s="1"/>
      <c r="I52" s="1"/>
      <c r="J52" s="1"/>
      <c r="K52" s="1"/>
      <c r="L52" s="1"/>
      <c r="M52" s="1"/>
      <c r="N52" s="18"/>
    </row>
    <row r="53" spans="2:14" ht="15" customHeight="1" x14ac:dyDescent="0.25">
      <c r="B53" s="20"/>
      <c r="C53" s="5" t="s">
        <v>156</v>
      </c>
      <c r="D53" s="6" t="s">
        <v>182</v>
      </c>
      <c r="E53" s="11">
        <v>1.1717E-2</v>
      </c>
      <c r="F53" s="1"/>
      <c r="G53" s="1"/>
      <c r="H53" s="1"/>
      <c r="I53" s="1"/>
      <c r="J53" s="1"/>
      <c r="K53" s="1"/>
      <c r="L53" s="1"/>
      <c r="M53" s="1"/>
      <c r="N53" s="18"/>
    </row>
    <row r="54" spans="2:14" ht="15" customHeight="1" x14ac:dyDescent="0.25">
      <c r="B54" s="20"/>
      <c r="C54" s="5" t="s">
        <v>157</v>
      </c>
      <c r="D54" s="6" t="s">
        <v>182</v>
      </c>
      <c r="E54" s="11">
        <v>5.8440000000000002E-3</v>
      </c>
      <c r="F54" s="1"/>
      <c r="G54" s="1"/>
      <c r="H54" s="1"/>
      <c r="I54" s="1"/>
      <c r="J54" s="1"/>
      <c r="K54" s="1"/>
      <c r="L54" s="1"/>
      <c r="M54" s="1"/>
      <c r="N54" s="18"/>
    </row>
    <row r="55" spans="2:14" ht="15" customHeight="1" x14ac:dyDescent="0.25">
      <c r="B55" s="20"/>
      <c r="C55" s="5" t="s">
        <v>158</v>
      </c>
      <c r="D55" s="6" t="s">
        <v>182</v>
      </c>
      <c r="E55" s="11">
        <v>3.8660000000000001E-3</v>
      </c>
      <c r="F55" s="1"/>
      <c r="G55" s="1"/>
      <c r="H55" s="1"/>
      <c r="I55" s="1"/>
      <c r="J55" s="1"/>
      <c r="K55" s="1"/>
      <c r="L55" s="1"/>
      <c r="M55" s="1"/>
      <c r="N55" s="18"/>
    </row>
    <row r="56" spans="2:14" ht="15" customHeight="1" x14ac:dyDescent="0.25">
      <c r="B56" s="20"/>
      <c r="C56" s="5" t="s">
        <v>159</v>
      </c>
      <c r="D56" s="6" t="s">
        <v>182</v>
      </c>
      <c r="E56" s="11">
        <v>2.323E-3</v>
      </c>
      <c r="F56" s="1"/>
      <c r="G56" s="1"/>
      <c r="H56" s="1"/>
      <c r="I56" s="1"/>
      <c r="J56" s="1"/>
      <c r="K56" s="1"/>
      <c r="L56" s="1"/>
      <c r="M56" s="1"/>
      <c r="N56" s="18"/>
    </row>
    <row r="57" spans="2:14" ht="15.75" customHeight="1" x14ac:dyDescent="0.25">
      <c r="B57" s="20"/>
      <c r="C57" s="7" t="s">
        <v>160</v>
      </c>
      <c r="D57" s="8"/>
      <c r="E57" s="12">
        <v>0.17252700000000001</v>
      </c>
      <c r="F57" s="1"/>
      <c r="G57" s="1"/>
      <c r="H57" s="1"/>
      <c r="I57" s="1"/>
      <c r="J57" s="1"/>
      <c r="K57" s="1"/>
      <c r="L57" s="1"/>
      <c r="M57" s="1"/>
      <c r="N57" s="18"/>
    </row>
    <row r="58" spans="2:14" ht="15" customHeight="1" x14ac:dyDescent="0.25">
      <c r="B58" s="20"/>
      <c r="C58" s="5" t="s">
        <v>31</v>
      </c>
      <c r="D58" s="6"/>
      <c r="E58" s="11">
        <v>1.1469E-2</v>
      </c>
      <c r="F58" s="1"/>
      <c r="G58" s="1"/>
      <c r="H58" s="1"/>
      <c r="I58" s="1"/>
      <c r="J58" s="1"/>
      <c r="K58" s="1"/>
      <c r="L58" s="1"/>
      <c r="M58" s="1"/>
      <c r="N58" s="18"/>
    </row>
    <row r="59" spans="2:14" ht="15.75" customHeight="1" x14ac:dyDescent="0.25">
      <c r="B59" s="20"/>
      <c r="C59" s="7" t="s">
        <v>32</v>
      </c>
      <c r="D59" s="8"/>
      <c r="E59" s="12">
        <v>1.1469E-2</v>
      </c>
      <c r="F59" s="1"/>
      <c r="G59" s="1"/>
      <c r="H59" s="1"/>
      <c r="I59" s="1"/>
      <c r="J59" s="1"/>
      <c r="K59" s="1"/>
      <c r="L59" s="1"/>
      <c r="M59" s="1"/>
      <c r="N59" s="18"/>
    </row>
    <row r="60" spans="2:14" ht="15" customHeight="1" x14ac:dyDescent="0.25">
      <c r="B60" s="20"/>
      <c r="C60" s="5" t="s">
        <v>161</v>
      </c>
      <c r="D60" s="6" t="s">
        <v>17</v>
      </c>
      <c r="E60" s="11">
        <v>3.872E-3</v>
      </c>
      <c r="F60" s="1"/>
      <c r="G60" s="1"/>
      <c r="H60" s="1"/>
      <c r="I60" s="1"/>
      <c r="J60" s="1"/>
      <c r="K60" s="1"/>
      <c r="L60" s="1"/>
      <c r="M60" s="1"/>
      <c r="N60" s="18"/>
    </row>
    <row r="61" spans="2:14" ht="15.75" customHeight="1" x14ac:dyDescent="0.25">
      <c r="B61" s="20"/>
      <c r="C61" s="7" t="s">
        <v>77</v>
      </c>
      <c r="D61" s="8"/>
      <c r="E61" s="12">
        <v>3.872E-3</v>
      </c>
      <c r="F61" s="1"/>
      <c r="G61" s="1"/>
      <c r="H61" s="1"/>
      <c r="I61" s="1"/>
      <c r="J61" s="1"/>
      <c r="K61" s="1"/>
      <c r="L61" s="1"/>
      <c r="M61" s="1"/>
      <c r="N61" s="18"/>
    </row>
    <row r="62" spans="2:14" ht="15" customHeight="1" x14ac:dyDescent="0.25">
      <c r="B62" s="20"/>
      <c r="C62" s="5"/>
      <c r="D62" s="6"/>
      <c r="E62" s="11"/>
      <c r="F62" s="1"/>
      <c r="G62" s="1"/>
      <c r="H62" s="1"/>
      <c r="I62" s="1"/>
      <c r="J62" s="1"/>
      <c r="K62" s="1"/>
      <c r="L62" s="1"/>
      <c r="M62" s="1"/>
      <c r="N62" s="18"/>
    </row>
    <row r="63" spans="2:14" ht="15.75" customHeight="1" x14ac:dyDescent="0.25">
      <c r="B63" s="20"/>
      <c r="C63" s="7" t="s">
        <v>33</v>
      </c>
      <c r="D63" s="8"/>
      <c r="E63" s="12">
        <v>-1.786E-3</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9" t="s">
        <v>34</v>
      </c>
      <c r="D65" s="10"/>
      <c r="E65" s="13">
        <v>1</v>
      </c>
      <c r="F65" s="1"/>
      <c r="G65" s="1"/>
      <c r="H65" s="1"/>
      <c r="I65" s="1"/>
      <c r="J65" s="1"/>
      <c r="K65" s="1"/>
      <c r="L65" s="1"/>
      <c r="M65" s="1"/>
      <c r="N65" s="18"/>
    </row>
    <row r="66" spans="2:14" ht="15" customHeight="1" x14ac:dyDescent="0.25">
      <c r="B66" s="20"/>
      <c r="C66" s="1"/>
      <c r="D66" s="1"/>
      <c r="E66" s="1"/>
      <c r="F66" s="1"/>
      <c r="G66" s="1"/>
      <c r="H66" s="1"/>
      <c r="I66" s="1"/>
      <c r="J66" s="1"/>
      <c r="K66" s="1"/>
      <c r="L66" s="1"/>
      <c r="M66" s="1"/>
      <c r="N66" s="18"/>
    </row>
    <row r="67" spans="2:14" ht="15" customHeight="1" thickBot="1" x14ac:dyDescent="0.3">
      <c r="B67" s="21"/>
      <c r="C67" s="22"/>
      <c r="D67" s="22"/>
      <c r="E67" s="22"/>
      <c r="F67" s="22"/>
      <c r="G67" s="22"/>
      <c r="H67" s="22"/>
      <c r="I67" s="22"/>
      <c r="J67" s="22"/>
      <c r="K67" s="22"/>
      <c r="L67" s="22"/>
      <c r="M67" s="22"/>
      <c r="N67" s="23"/>
    </row>
    <row r="68" spans="2:14" ht="15" customHeight="1" thickBot="1" x14ac:dyDescent="0.3"/>
    <row r="69" spans="2:14" ht="15" customHeight="1" x14ac:dyDescent="0.25">
      <c r="B69" s="72" t="s">
        <v>295</v>
      </c>
      <c r="C69" s="73"/>
      <c r="D69" s="73"/>
      <c r="E69" s="73"/>
      <c r="F69" s="73"/>
      <c r="G69" s="73"/>
      <c r="H69" s="73"/>
      <c r="I69" s="73"/>
      <c r="J69" s="73"/>
      <c r="K69" s="73"/>
      <c r="L69" s="73"/>
      <c r="M69" s="73"/>
      <c r="N69" s="74"/>
    </row>
    <row r="70" spans="2:14" ht="15" customHeight="1" x14ac:dyDescent="0.25">
      <c r="B70" s="75"/>
      <c r="C70" s="76"/>
      <c r="D70" s="76"/>
      <c r="E70" s="76"/>
      <c r="F70" s="76"/>
      <c r="G70" s="76"/>
      <c r="H70" s="76"/>
      <c r="I70" s="76"/>
      <c r="J70" s="76"/>
      <c r="K70" s="76"/>
      <c r="L70" s="76"/>
      <c r="M70" s="76"/>
      <c r="N70" s="77"/>
    </row>
    <row r="71" spans="2:14" ht="15" customHeight="1" x14ac:dyDescent="0.25">
      <c r="B71" s="75"/>
      <c r="C71" s="76"/>
      <c r="D71" s="76"/>
      <c r="E71" s="76"/>
      <c r="F71" s="76"/>
      <c r="G71" s="76"/>
      <c r="H71" s="76"/>
      <c r="I71" s="76"/>
      <c r="J71" s="76"/>
      <c r="K71" s="76"/>
      <c r="L71" s="76"/>
      <c r="M71" s="76"/>
      <c r="N71" s="77"/>
    </row>
    <row r="72" spans="2:14" ht="15" customHeight="1" thickBot="1" x14ac:dyDescent="0.3">
      <c r="B72" s="78"/>
      <c r="C72" s="79"/>
      <c r="D72" s="79"/>
      <c r="E72" s="79"/>
      <c r="F72" s="79"/>
      <c r="G72" s="79"/>
      <c r="H72" s="79"/>
      <c r="I72" s="79"/>
      <c r="J72" s="79"/>
      <c r="K72" s="79"/>
      <c r="L72" s="79"/>
      <c r="M72" s="79"/>
      <c r="N72" s="80"/>
    </row>
    <row r="73" spans="2:14" ht="15" customHeight="1" thickBot="1" x14ac:dyDescent="0.3"/>
    <row r="74" spans="2:14" ht="113.25" customHeight="1" thickBot="1" x14ac:dyDescent="0.3">
      <c r="B74" s="81" t="s">
        <v>294</v>
      </c>
      <c r="C74" s="82"/>
      <c r="D74" s="82"/>
      <c r="E74" s="82"/>
      <c r="F74" s="82"/>
      <c r="G74" s="82"/>
      <c r="H74" s="82"/>
      <c r="I74" s="82"/>
      <c r="J74" s="82"/>
      <c r="K74" s="82"/>
      <c r="L74" s="82"/>
      <c r="M74" s="82"/>
      <c r="N74" s="83"/>
    </row>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sheetData>
  <mergeCells count="7">
    <mergeCell ref="B69:N72"/>
    <mergeCell ref="B74:N74"/>
    <mergeCell ref="C3:N3"/>
    <mergeCell ref="D5:E5"/>
    <mergeCell ref="G7:N7"/>
    <mergeCell ref="G24:K24"/>
    <mergeCell ref="G26:N2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6715-8426-4372-9CAE-6029B7DD9E0D}">
  <dimension ref="B1:N101"/>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168</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169</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42</v>
      </c>
      <c r="D8" s="6" t="s">
        <v>13</v>
      </c>
      <c r="E8" s="11">
        <v>0.10335900000000001</v>
      </c>
      <c r="F8" s="1"/>
      <c r="G8" s="32" t="s">
        <v>292</v>
      </c>
      <c r="H8" s="29">
        <v>0.95691999999999999</v>
      </c>
      <c r="I8" s="1"/>
      <c r="J8" s="24" t="s">
        <v>35</v>
      </c>
      <c r="K8" s="24" t="s">
        <v>3</v>
      </c>
      <c r="L8" s="1"/>
      <c r="M8" s="1"/>
      <c r="N8" s="18"/>
    </row>
    <row r="9" spans="2:14" ht="15" customHeight="1" x14ac:dyDescent="0.25">
      <c r="B9" s="20"/>
      <c r="C9" s="5" t="s">
        <v>12</v>
      </c>
      <c r="D9" s="6" t="s">
        <v>13</v>
      </c>
      <c r="E9" s="11">
        <v>9.7485000000000002E-2</v>
      </c>
      <c r="F9" s="1"/>
      <c r="G9" s="24" t="s">
        <v>95</v>
      </c>
      <c r="H9" s="29">
        <v>4.308E-2</v>
      </c>
      <c r="I9" s="1"/>
      <c r="J9" s="24" t="s">
        <v>33</v>
      </c>
      <c r="K9" s="29">
        <v>3.3077000000000002E-2</v>
      </c>
      <c r="L9" s="1"/>
      <c r="M9" s="1"/>
      <c r="N9" s="18"/>
    </row>
    <row r="10" spans="2:14" ht="15" customHeight="1" x14ac:dyDescent="0.25">
      <c r="B10" s="20"/>
      <c r="C10" s="5" t="s">
        <v>44</v>
      </c>
      <c r="D10" s="6" t="s">
        <v>13</v>
      </c>
      <c r="E10" s="11">
        <v>7.6646000000000006E-2</v>
      </c>
      <c r="F10" s="1"/>
      <c r="G10" s="1"/>
      <c r="H10" s="1"/>
      <c r="I10" s="1"/>
      <c r="J10" s="24" t="s">
        <v>36</v>
      </c>
      <c r="K10" s="29">
        <v>2.5609999999999999E-3</v>
      </c>
      <c r="L10" s="1"/>
      <c r="M10" s="1"/>
      <c r="N10" s="18"/>
    </row>
    <row r="11" spans="2:14" ht="15" customHeight="1" x14ac:dyDescent="0.25">
      <c r="B11" s="20"/>
      <c r="C11" s="5" t="s">
        <v>43</v>
      </c>
      <c r="D11" s="6" t="s">
        <v>13</v>
      </c>
      <c r="E11" s="11">
        <v>3.2870000000000003E-2</v>
      </c>
      <c r="F11" s="1"/>
      <c r="G11" s="1"/>
      <c r="H11" s="1"/>
      <c r="I11" s="1"/>
      <c r="J11" s="24" t="s">
        <v>37</v>
      </c>
      <c r="K11" s="29">
        <v>0.34136</v>
      </c>
      <c r="L11" s="1"/>
      <c r="M11" s="1"/>
      <c r="N11" s="18"/>
    </row>
    <row r="12" spans="2:14" ht="15" customHeight="1" x14ac:dyDescent="0.25">
      <c r="B12" s="20"/>
      <c r="C12" s="5" t="s">
        <v>14</v>
      </c>
      <c r="D12" s="6" t="s">
        <v>13</v>
      </c>
      <c r="E12" s="11">
        <v>8.2030000000000002E-3</v>
      </c>
      <c r="F12" s="1"/>
      <c r="G12" s="1"/>
      <c r="H12" s="1"/>
      <c r="I12" s="1"/>
      <c r="J12" s="24" t="s">
        <v>38</v>
      </c>
      <c r="K12" s="29">
        <v>0.42414099999999999</v>
      </c>
      <c r="L12" s="1"/>
      <c r="M12" s="1"/>
      <c r="N12" s="18"/>
    </row>
    <row r="13" spans="2:14" ht="15" customHeight="1" x14ac:dyDescent="0.25">
      <c r="B13" s="20"/>
      <c r="C13" s="5" t="s">
        <v>135</v>
      </c>
      <c r="D13" s="6" t="s">
        <v>13</v>
      </c>
      <c r="E13" s="11">
        <v>5.7670000000000004E-3</v>
      </c>
      <c r="F13" s="1"/>
      <c r="G13" s="1"/>
      <c r="H13" s="1"/>
      <c r="I13" s="1"/>
      <c r="J13" s="24" t="s">
        <v>59</v>
      </c>
      <c r="K13" s="29">
        <v>3.669E-2</v>
      </c>
      <c r="L13" s="1"/>
      <c r="M13" s="1"/>
      <c r="N13" s="18"/>
    </row>
    <row r="14" spans="2:14" ht="15" customHeight="1" x14ac:dyDescent="0.25">
      <c r="B14" s="20"/>
      <c r="C14" s="5" t="s">
        <v>19</v>
      </c>
      <c r="D14" s="6" t="s">
        <v>13</v>
      </c>
      <c r="E14" s="11">
        <v>4.9659999999999999E-3</v>
      </c>
      <c r="F14" s="1"/>
      <c r="G14" s="1"/>
      <c r="H14" s="1"/>
      <c r="I14" s="1"/>
      <c r="J14" s="24" t="s">
        <v>22</v>
      </c>
      <c r="K14" s="29">
        <v>2.6649999999999998E-3</v>
      </c>
      <c r="L14" s="1"/>
      <c r="M14" s="1"/>
      <c r="N14" s="18"/>
    </row>
    <row r="15" spans="2:14" ht="15" customHeight="1" x14ac:dyDescent="0.25">
      <c r="B15" s="20"/>
      <c r="C15" s="5" t="s">
        <v>73</v>
      </c>
      <c r="D15" s="6" t="s">
        <v>13</v>
      </c>
      <c r="E15" s="11">
        <v>4.1120000000000002E-3</v>
      </c>
      <c r="F15" s="1"/>
      <c r="G15" s="1"/>
      <c r="H15" s="1"/>
      <c r="I15" s="1"/>
      <c r="J15" s="24" t="s">
        <v>39</v>
      </c>
      <c r="K15" s="29">
        <v>1.212E-3</v>
      </c>
      <c r="L15" s="1"/>
      <c r="M15" s="1"/>
      <c r="N15" s="18"/>
    </row>
    <row r="16" spans="2:14" ht="15" customHeight="1" x14ac:dyDescent="0.25">
      <c r="B16" s="20"/>
      <c r="C16" s="5" t="s">
        <v>53</v>
      </c>
      <c r="D16" s="6" t="s">
        <v>13</v>
      </c>
      <c r="E16" s="11">
        <v>3.9890000000000004E-3</v>
      </c>
      <c r="F16" s="1"/>
      <c r="G16" s="1"/>
      <c r="H16" s="1"/>
      <c r="I16" s="1"/>
      <c r="J16" s="24" t="s">
        <v>50</v>
      </c>
      <c r="K16" s="29">
        <v>0.12895999999999999</v>
      </c>
      <c r="L16" s="1"/>
      <c r="M16" s="1"/>
      <c r="N16" s="18"/>
    </row>
    <row r="17" spans="2:14" ht="15" customHeight="1" x14ac:dyDescent="0.25">
      <c r="B17" s="20"/>
      <c r="C17" s="5" t="s">
        <v>137</v>
      </c>
      <c r="D17" s="6" t="s">
        <v>13</v>
      </c>
      <c r="E17" s="11">
        <v>3.9630000000000004E-3</v>
      </c>
      <c r="F17" s="1"/>
      <c r="G17" s="1"/>
      <c r="H17" s="1"/>
      <c r="I17" s="1"/>
      <c r="J17" s="24" t="s">
        <v>164</v>
      </c>
      <c r="K17" s="29">
        <v>4.1879999999999999E-3</v>
      </c>
      <c r="L17" s="1"/>
      <c r="M17" s="1"/>
      <c r="N17" s="18"/>
    </row>
    <row r="18" spans="2:14" ht="15.75" customHeight="1" x14ac:dyDescent="0.25">
      <c r="B18" s="20"/>
      <c r="C18" s="7" t="s">
        <v>15</v>
      </c>
      <c r="D18" s="8"/>
      <c r="E18" s="12">
        <v>0.34136</v>
      </c>
      <c r="F18" s="1"/>
      <c r="G18" s="1"/>
      <c r="H18" s="1"/>
      <c r="I18" s="1"/>
      <c r="J18" s="24" t="s">
        <v>78</v>
      </c>
      <c r="K18" s="29">
        <v>2.5146000000000002E-2</v>
      </c>
      <c r="L18" s="1"/>
      <c r="M18" s="1"/>
      <c r="N18" s="18"/>
    </row>
    <row r="19" spans="2:14" ht="15" customHeight="1" x14ac:dyDescent="0.25">
      <c r="B19" s="20"/>
      <c r="C19" s="5" t="s">
        <v>54</v>
      </c>
      <c r="D19" s="6" t="s">
        <v>13</v>
      </c>
      <c r="E19" s="11">
        <v>2.069E-2</v>
      </c>
      <c r="F19" s="1"/>
      <c r="G19" s="1"/>
      <c r="H19" s="1"/>
      <c r="I19" s="1"/>
      <c r="J19" s="1"/>
      <c r="K19" s="1"/>
      <c r="L19" s="1"/>
      <c r="M19" s="1"/>
      <c r="N19" s="18"/>
    </row>
    <row r="20" spans="2:14" ht="15" customHeight="1" x14ac:dyDescent="0.25">
      <c r="B20" s="20"/>
      <c r="C20" s="5" t="s">
        <v>142</v>
      </c>
      <c r="D20" s="6" t="s">
        <v>13</v>
      </c>
      <c r="E20" s="11">
        <v>1.6E-2</v>
      </c>
      <c r="F20" s="1"/>
      <c r="G20" s="1"/>
      <c r="H20" s="1"/>
      <c r="I20" s="1"/>
      <c r="J20" s="1"/>
      <c r="K20" s="1"/>
      <c r="L20" s="1"/>
      <c r="M20" s="1"/>
      <c r="N20" s="18"/>
    </row>
    <row r="21" spans="2:14" ht="15.75" customHeight="1" x14ac:dyDescent="0.25">
      <c r="B21" s="20"/>
      <c r="C21" s="7" t="s">
        <v>55</v>
      </c>
      <c r="D21" s="8"/>
      <c r="E21" s="12">
        <v>3.669E-2</v>
      </c>
      <c r="F21" s="1"/>
      <c r="G21" s="1"/>
      <c r="H21" s="1"/>
      <c r="I21" s="1"/>
      <c r="J21" s="1"/>
      <c r="K21" s="1"/>
      <c r="L21" s="1"/>
      <c r="M21" s="1"/>
      <c r="N21" s="18"/>
    </row>
    <row r="22" spans="2:14" ht="15" customHeight="1" x14ac:dyDescent="0.25">
      <c r="B22" s="20"/>
      <c r="C22" s="5" t="s">
        <v>18</v>
      </c>
      <c r="D22" s="6" t="s">
        <v>17</v>
      </c>
      <c r="E22" s="11">
        <v>0.10351</v>
      </c>
      <c r="F22" s="1"/>
      <c r="G22" s="1"/>
      <c r="H22" s="1"/>
      <c r="I22" s="1"/>
      <c r="J22" s="1"/>
      <c r="K22" s="1"/>
      <c r="L22" s="1"/>
      <c r="M22" s="1"/>
      <c r="N22" s="18"/>
    </row>
    <row r="23" spans="2:14" ht="15" customHeight="1" x14ac:dyDescent="0.25">
      <c r="B23" s="20"/>
      <c r="C23" s="5" t="s">
        <v>19</v>
      </c>
      <c r="D23" s="6" t="s">
        <v>17</v>
      </c>
      <c r="E23" s="11">
        <v>0.10226499999999999</v>
      </c>
      <c r="F23" s="1"/>
      <c r="G23" s="1"/>
      <c r="H23" s="1"/>
      <c r="I23" s="1"/>
      <c r="J23" s="1"/>
      <c r="K23" s="1"/>
      <c r="L23" s="1"/>
      <c r="M23" s="1"/>
      <c r="N23" s="18"/>
    </row>
    <row r="24" spans="2:14" ht="15" customHeight="1" x14ac:dyDescent="0.25">
      <c r="B24" s="20"/>
      <c r="C24" s="5" t="s">
        <v>47</v>
      </c>
      <c r="D24" s="6" t="s">
        <v>17</v>
      </c>
      <c r="E24" s="11">
        <v>6.0410999999999999E-2</v>
      </c>
      <c r="F24" s="1"/>
      <c r="G24" s="89" t="s">
        <v>117</v>
      </c>
      <c r="H24" s="90"/>
      <c r="I24" s="90"/>
      <c r="J24" s="90"/>
      <c r="K24" s="90"/>
      <c r="L24" s="38">
        <v>320.7697217785431</v>
      </c>
      <c r="M24" s="26"/>
      <c r="N24" s="27"/>
    </row>
    <row r="25" spans="2:14" ht="15" customHeight="1" x14ac:dyDescent="0.25">
      <c r="B25" s="20"/>
      <c r="C25" s="5" t="s">
        <v>20</v>
      </c>
      <c r="D25" s="6" t="s">
        <v>17</v>
      </c>
      <c r="E25" s="11">
        <v>3.7399000000000002E-2</v>
      </c>
      <c r="F25" s="1"/>
      <c r="G25" s="1"/>
      <c r="H25" s="1"/>
      <c r="I25" s="1"/>
      <c r="J25" s="1"/>
      <c r="K25" s="1"/>
      <c r="L25" s="1"/>
      <c r="M25" s="1"/>
      <c r="N25" s="18"/>
    </row>
    <row r="26" spans="2:14" ht="15" customHeight="1" x14ac:dyDescent="0.25">
      <c r="B26" s="20"/>
      <c r="C26" s="5" t="s">
        <v>69</v>
      </c>
      <c r="D26" s="6" t="s">
        <v>17</v>
      </c>
      <c r="E26" s="11">
        <v>2.9672E-2</v>
      </c>
      <c r="F26" s="1"/>
      <c r="G26" s="89" t="s">
        <v>6</v>
      </c>
      <c r="H26" s="90"/>
      <c r="I26" s="90"/>
      <c r="J26" s="90"/>
      <c r="K26" s="90"/>
      <c r="L26" s="90"/>
      <c r="M26" s="90"/>
      <c r="N26" s="91"/>
    </row>
    <row r="27" spans="2:14" ht="15" customHeight="1" x14ac:dyDescent="0.25">
      <c r="B27" s="20"/>
      <c r="C27" s="5" t="s">
        <v>12</v>
      </c>
      <c r="D27" s="6" t="s">
        <v>17</v>
      </c>
      <c r="E27" s="11">
        <v>2.1170000000000001E-2</v>
      </c>
      <c r="F27" s="1"/>
      <c r="G27" s="1"/>
      <c r="H27" s="1"/>
      <c r="I27" s="1"/>
      <c r="J27" s="1"/>
      <c r="K27" s="1"/>
      <c r="L27" s="1"/>
      <c r="M27" s="1"/>
      <c r="N27" s="18"/>
    </row>
    <row r="28" spans="2:14" ht="15" customHeight="1" x14ac:dyDescent="0.25">
      <c r="B28" s="20"/>
      <c r="C28" s="5" t="s">
        <v>126</v>
      </c>
      <c r="D28" s="6" t="s">
        <v>90</v>
      </c>
      <c r="E28" s="11">
        <v>1.8797999999999999E-2</v>
      </c>
      <c r="F28" s="1"/>
      <c r="G28" s="1"/>
      <c r="H28" s="1"/>
      <c r="I28" s="1"/>
      <c r="J28" s="1"/>
      <c r="K28" s="1"/>
      <c r="L28" s="1"/>
      <c r="M28" s="1"/>
      <c r="N28" s="18"/>
    </row>
    <row r="29" spans="2:14" ht="15" customHeight="1" x14ac:dyDescent="0.25">
      <c r="B29" s="20"/>
      <c r="C29" s="5" t="s">
        <v>45</v>
      </c>
      <c r="D29" s="6" t="s">
        <v>17</v>
      </c>
      <c r="E29" s="11">
        <v>1.6840000000000001E-2</v>
      </c>
      <c r="F29" s="1"/>
      <c r="G29" s="1"/>
      <c r="H29" s="1"/>
      <c r="I29" s="1"/>
      <c r="J29" s="1"/>
      <c r="K29" s="1"/>
      <c r="L29" s="1"/>
      <c r="M29" s="1"/>
      <c r="N29" s="18"/>
    </row>
    <row r="30" spans="2:14" ht="15" customHeight="1" x14ac:dyDescent="0.25">
      <c r="B30" s="20"/>
      <c r="C30" s="5" t="s">
        <v>16</v>
      </c>
      <c r="D30" s="6" t="s">
        <v>17</v>
      </c>
      <c r="E30" s="11">
        <v>1.1098999999999999E-2</v>
      </c>
      <c r="F30" s="1"/>
      <c r="G30" s="1"/>
      <c r="H30" s="1"/>
      <c r="I30" s="1"/>
      <c r="J30" s="1"/>
      <c r="K30" s="1"/>
      <c r="L30" s="1"/>
      <c r="M30" s="1"/>
      <c r="N30" s="18"/>
    </row>
    <row r="31" spans="2:14" ht="15" customHeight="1" x14ac:dyDescent="0.25">
      <c r="B31" s="20"/>
      <c r="C31" s="5" t="s">
        <v>67</v>
      </c>
      <c r="D31" s="6" t="s">
        <v>17</v>
      </c>
      <c r="E31" s="11">
        <v>9.3939999999999996E-3</v>
      </c>
      <c r="F31" s="1"/>
      <c r="G31" s="1"/>
      <c r="H31" s="1"/>
      <c r="I31" s="1"/>
      <c r="J31" s="1"/>
      <c r="K31" s="1"/>
      <c r="L31" s="1"/>
      <c r="M31" s="1"/>
      <c r="N31" s="18"/>
    </row>
    <row r="32" spans="2:14" ht="15" customHeight="1" x14ac:dyDescent="0.25">
      <c r="B32" s="20"/>
      <c r="C32" s="5" t="s">
        <v>56</v>
      </c>
      <c r="D32" s="6" t="s">
        <v>17</v>
      </c>
      <c r="E32" s="11">
        <v>9.3329999999999993E-3</v>
      </c>
      <c r="F32" s="1"/>
      <c r="G32" s="1"/>
      <c r="H32" s="1"/>
      <c r="I32" s="1"/>
      <c r="J32" s="1"/>
      <c r="K32" s="1"/>
      <c r="L32" s="1"/>
      <c r="M32" s="1"/>
      <c r="N32" s="18"/>
    </row>
    <row r="33" spans="2:14" ht="15" customHeight="1" x14ac:dyDescent="0.25">
      <c r="B33" s="20"/>
      <c r="C33" s="5" t="s">
        <v>125</v>
      </c>
      <c r="D33" s="6" t="s">
        <v>90</v>
      </c>
      <c r="E33" s="11">
        <v>4.2500000000000003E-3</v>
      </c>
      <c r="F33" s="1"/>
      <c r="G33" s="1"/>
      <c r="H33" s="1"/>
      <c r="I33" s="1"/>
      <c r="J33" s="1"/>
      <c r="K33" s="1"/>
      <c r="L33" s="1"/>
      <c r="M33" s="1"/>
      <c r="N33" s="18"/>
    </row>
    <row r="34" spans="2:14" ht="15.75" customHeight="1" x14ac:dyDescent="0.25">
      <c r="B34" s="20"/>
      <c r="C34" s="7" t="s">
        <v>21</v>
      </c>
      <c r="D34" s="8"/>
      <c r="E34" s="12">
        <v>0.42414099999999999</v>
      </c>
      <c r="F34" s="1"/>
      <c r="G34" s="1"/>
      <c r="H34" s="1"/>
      <c r="I34" s="1"/>
      <c r="J34" s="1"/>
      <c r="K34" s="1"/>
      <c r="L34" s="1"/>
      <c r="M34" s="1"/>
      <c r="N34" s="18"/>
    </row>
    <row r="35" spans="2:14" ht="15" customHeight="1" x14ac:dyDescent="0.25">
      <c r="B35" s="20"/>
      <c r="C35" s="5" t="s">
        <v>22</v>
      </c>
      <c r="D35" s="6"/>
      <c r="E35" s="11">
        <v>2.6649999999999998E-3</v>
      </c>
      <c r="F35" s="1"/>
      <c r="G35" s="1"/>
      <c r="H35" s="1"/>
      <c r="I35" s="1"/>
      <c r="J35" s="1"/>
      <c r="K35" s="1"/>
      <c r="L35" s="1"/>
      <c r="M35" s="1"/>
      <c r="N35" s="18"/>
    </row>
    <row r="36" spans="2:14" ht="15.75" customHeight="1" x14ac:dyDescent="0.25">
      <c r="B36" s="20"/>
      <c r="C36" s="7" t="s">
        <v>23</v>
      </c>
      <c r="D36" s="8"/>
      <c r="E36" s="12">
        <v>2.6649999999999998E-3</v>
      </c>
      <c r="F36" s="1"/>
      <c r="G36" s="1"/>
      <c r="H36" s="1"/>
      <c r="I36" s="1"/>
      <c r="J36" s="1"/>
      <c r="K36" s="1"/>
      <c r="L36" s="1"/>
      <c r="M36" s="1"/>
      <c r="N36" s="18"/>
    </row>
    <row r="37" spans="2:14" ht="15" customHeight="1" x14ac:dyDescent="0.25">
      <c r="B37" s="20"/>
      <c r="C37" s="5" t="s">
        <v>104</v>
      </c>
      <c r="D37" s="6" t="s">
        <v>182</v>
      </c>
      <c r="E37" s="11">
        <v>1.212E-3</v>
      </c>
      <c r="F37" s="1"/>
      <c r="G37" s="1"/>
      <c r="H37" s="1"/>
      <c r="I37" s="1"/>
      <c r="J37" s="1"/>
      <c r="K37" s="1"/>
      <c r="L37" s="1"/>
      <c r="M37" s="1"/>
      <c r="N37" s="18"/>
    </row>
    <row r="38" spans="2:14" ht="15.75" customHeight="1" x14ac:dyDescent="0.25">
      <c r="B38" s="20"/>
      <c r="C38" s="7" t="s">
        <v>30</v>
      </c>
      <c r="D38" s="8"/>
      <c r="E38" s="12">
        <v>1.212E-3</v>
      </c>
      <c r="F38" s="1"/>
      <c r="G38" s="1"/>
      <c r="H38" s="1"/>
      <c r="I38" s="1"/>
      <c r="J38" s="1"/>
      <c r="K38" s="1"/>
      <c r="L38" s="1"/>
      <c r="M38" s="1"/>
      <c r="N38" s="18"/>
    </row>
    <row r="39" spans="2:14" ht="15" customHeight="1" x14ac:dyDescent="0.25">
      <c r="B39" s="20"/>
      <c r="C39" s="5" t="s">
        <v>205</v>
      </c>
      <c r="D39" s="6" t="s">
        <v>182</v>
      </c>
      <c r="E39" s="11">
        <v>1.9133000000000001E-2</v>
      </c>
      <c r="F39" s="1"/>
      <c r="G39" s="1"/>
      <c r="H39" s="1"/>
      <c r="I39" s="1"/>
      <c r="J39" s="1"/>
      <c r="K39" s="1"/>
      <c r="L39" s="1"/>
      <c r="M39" s="1"/>
      <c r="N39" s="18"/>
    </row>
    <row r="40" spans="2:14" ht="15.75" customHeight="1" x14ac:dyDescent="0.25">
      <c r="B40" s="20"/>
      <c r="C40" s="5" t="s">
        <v>195</v>
      </c>
      <c r="D40" s="6" t="s">
        <v>182</v>
      </c>
      <c r="E40" s="11">
        <v>1.5755999999999999E-2</v>
      </c>
      <c r="F40" s="1"/>
      <c r="G40" s="1"/>
      <c r="H40" s="1"/>
      <c r="I40" s="1"/>
      <c r="J40" s="1"/>
      <c r="K40" s="1"/>
      <c r="L40" s="1"/>
      <c r="M40" s="1"/>
      <c r="N40" s="18"/>
    </row>
    <row r="41" spans="2:14" ht="15" customHeight="1" x14ac:dyDescent="0.25">
      <c r="B41" s="20"/>
      <c r="C41" s="5" t="s">
        <v>199</v>
      </c>
      <c r="D41" s="6" t="s">
        <v>182</v>
      </c>
      <c r="E41" s="11">
        <v>1.5617000000000001E-2</v>
      </c>
      <c r="F41" s="1"/>
      <c r="G41" s="1"/>
      <c r="H41" s="1"/>
      <c r="I41" s="1"/>
      <c r="J41" s="1"/>
      <c r="K41" s="1"/>
      <c r="L41" s="1"/>
      <c r="M41" s="1"/>
      <c r="N41" s="18"/>
    </row>
    <row r="42" spans="2:14" ht="15.75" customHeight="1" x14ac:dyDescent="0.25">
      <c r="B42" s="20"/>
      <c r="C42" s="5" t="s">
        <v>204</v>
      </c>
      <c r="D42" s="6" t="s">
        <v>182</v>
      </c>
      <c r="E42" s="11">
        <v>1.0924E-2</v>
      </c>
      <c r="F42" s="1"/>
      <c r="G42" s="1"/>
      <c r="H42" s="1"/>
      <c r="I42" s="1"/>
      <c r="J42" s="1"/>
      <c r="K42" s="1"/>
      <c r="L42" s="1"/>
      <c r="M42" s="1"/>
      <c r="N42" s="18"/>
    </row>
    <row r="43" spans="2:14" ht="15" customHeight="1" x14ac:dyDescent="0.25">
      <c r="B43" s="20"/>
      <c r="C43" s="5" t="s">
        <v>185</v>
      </c>
      <c r="D43" s="6" t="s">
        <v>182</v>
      </c>
      <c r="E43" s="11">
        <v>9.4879999999999999E-3</v>
      </c>
      <c r="F43" s="1"/>
      <c r="G43" s="1"/>
      <c r="H43" s="1"/>
      <c r="I43" s="1"/>
      <c r="J43" s="1"/>
      <c r="K43" s="1"/>
      <c r="L43" s="1"/>
      <c r="M43" s="1"/>
      <c r="N43" s="18"/>
    </row>
    <row r="44" spans="2:14" ht="15.75" customHeight="1" x14ac:dyDescent="0.25">
      <c r="B44" s="20"/>
      <c r="C44" s="5" t="s">
        <v>200</v>
      </c>
      <c r="D44" s="6" t="s">
        <v>182</v>
      </c>
      <c r="E44" s="11">
        <v>5.9639999999999997E-3</v>
      </c>
      <c r="F44" s="1"/>
      <c r="G44" s="1"/>
      <c r="H44" s="1"/>
      <c r="I44" s="1"/>
      <c r="J44" s="1"/>
      <c r="K44" s="1"/>
      <c r="L44" s="1"/>
      <c r="M44" s="1"/>
      <c r="N44" s="18"/>
    </row>
    <row r="45" spans="2:14" ht="15" customHeight="1" x14ac:dyDescent="0.25">
      <c r="B45" s="20"/>
      <c r="C45" s="5" t="s">
        <v>206</v>
      </c>
      <c r="D45" s="6" t="s">
        <v>182</v>
      </c>
      <c r="E45" s="11">
        <v>5.8960000000000002E-3</v>
      </c>
      <c r="F45" s="1"/>
      <c r="G45" s="1"/>
      <c r="H45" s="1"/>
      <c r="I45" s="1"/>
      <c r="J45" s="1"/>
      <c r="K45" s="1"/>
      <c r="L45" s="1"/>
      <c r="M45" s="1"/>
      <c r="N45" s="18"/>
    </row>
    <row r="46" spans="2:14" ht="15" customHeight="1" x14ac:dyDescent="0.25">
      <c r="B46" s="20"/>
      <c r="C46" s="5" t="s">
        <v>198</v>
      </c>
      <c r="D46" s="6" t="s">
        <v>182</v>
      </c>
      <c r="E46" s="11">
        <v>4.3870000000000003E-3</v>
      </c>
      <c r="F46" s="1"/>
      <c r="G46" s="1"/>
      <c r="H46" s="1"/>
      <c r="I46" s="1"/>
      <c r="J46" s="1"/>
      <c r="K46" s="1"/>
      <c r="L46" s="1"/>
      <c r="M46" s="1"/>
      <c r="N46" s="18"/>
    </row>
    <row r="47" spans="2:14" ht="15" customHeight="1" x14ac:dyDescent="0.25">
      <c r="B47" s="20"/>
      <c r="C47" s="5" t="s">
        <v>196</v>
      </c>
      <c r="D47" s="6" t="s">
        <v>182</v>
      </c>
      <c r="E47" s="11">
        <v>4.3579999999999999E-3</v>
      </c>
      <c r="F47" s="1"/>
      <c r="G47" s="1"/>
      <c r="H47" s="1"/>
      <c r="I47" s="1"/>
      <c r="J47" s="1"/>
      <c r="K47" s="1"/>
      <c r="L47" s="1"/>
      <c r="M47" s="1"/>
      <c r="N47" s="18"/>
    </row>
    <row r="48" spans="2:14" ht="15.75" customHeight="1" x14ac:dyDescent="0.25">
      <c r="B48" s="20"/>
      <c r="C48" s="5" t="s">
        <v>197</v>
      </c>
      <c r="D48" s="6" t="s">
        <v>182</v>
      </c>
      <c r="E48" s="11">
        <v>4.3090000000000003E-3</v>
      </c>
      <c r="F48" s="1"/>
      <c r="G48" s="1"/>
      <c r="H48" s="1"/>
      <c r="I48" s="1"/>
      <c r="J48" s="1"/>
      <c r="K48" s="1"/>
      <c r="L48" s="1"/>
      <c r="M48" s="1"/>
      <c r="N48" s="18"/>
    </row>
    <row r="49" spans="2:14" ht="15" customHeight="1" x14ac:dyDescent="0.25">
      <c r="B49" s="20"/>
      <c r="C49" s="5" t="s">
        <v>187</v>
      </c>
      <c r="D49" s="6" t="s">
        <v>182</v>
      </c>
      <c r="E49" s="11">
        <v>4.3070000000000001E-3</v>
      </c>
      <c r="F49" s="1"/>
      <c r="G49" s="1"/>
      <c r="H49" s="1"/>
      <c r="I49" s="1"/>
      <c r="J49" s="1"/>
      <c r="K49" s="1"/>
      <c r="L49" s="1"/>
      <c r="M49" s="1"/>
      <c r="N49" s="18"/>
    </row>
    <row r="50" spans="2:14" ht="15.75" customHeight="1" x14ac:dyDescent="0.25">
      <c r="B50" s="20"/>
      <c r="C50" s="5" t="s">
        <v>193</v>
      </c>
      <c r="D50" s="6" t="s">
        <v>182</v>
      </c>
      <c r="E50" s="11">
        <v>3.4949999999999998E-3</v>
      </c>
      <c r="F50" s="1"/>
      <c r="G50" s="1"/>
      <c r="H50" s="1"/>
      <c r="I50" s="1"/>
      <c r="J50" s="1"/>
      <c r="K50" s="1"/>
      <c r="L50" s="1"/>
      <c r="M50" s="1"/>
      <c r="N50" s="18"/>
    </row>
    <row r="51" spans="2:14" ht="15" customHeight="1" x14ac:dyDescent="0.25">
      <c r="B51" s="20"/>
      <c r="C51" s="5" t="s">
        <v>186</v>
      </c>
      <c r="D51" s="6" t="s">
        <v>182</v>
      </c>
      <c r="E51" s="11">
        <v>2.5869999999999999E-3</v>
      </c>
      <c r="F51" s="1"/>
      <c r="G51" s="1"/>
      <c r="H51" s="1"/>
      <c r="I51" s="1"/>
      <c r="J51" s="1"/>
      <c r="K51" s="1"/>
      <c r="L51" s="1"/>
      <c r="M51" s="1"/>
      <c r="N51" s="18"/>
    </row>
    <row r="52" spans="2:14" ht="15" customHeight="1" x14ac:dyDescent="0.25">
      <c r="B52" s="20"/>
      <c r="C52" s="5" t="s">
        <v>188</v>
      </c>
      <c r="D52" s="6" t="s">
        <v>182</v>
      </c>
      <c r="E52" s="11">
        <v>2.5860000000000002E-3</v>
      </c>
      <c r="F52" s="1"/>
      <c r="G52" s="1"/>
      <c r="H52" s="1"/>
      <c r="I52" s="1"/>
      <c r="J52" s="1"/>
      <c r="K52" s="1"/>
      <c r="L52" s="1"/>
      <c r="M52" s="1"/>
      <c r="N52" s="18"/>
    </row>
    <row r="53" spans="2:14" ht="15" customHeight="1" x14ac:dyDescent="0.25">
      <c r="B53" s="20"/>
      <c r="C53" s="5" t="s">
        <v>192</v>
      </c>
      <c r="D53" s="6" t="s">
        <v>182</v>
      </c>
      <c r="E53" s="11">
        <v>1.7470000000000001E-3</v>
      </c>
      <c r="F53" s="1"/>
      <c r="G53" s="1"/>
      <c r="H53" s="1"/>
      <c r="I53" s="1"/>
      <c r="J53" s="1"/>
      <c r="K53" s="1"/>
      <c r="L53" s="1"/>
      <c r="M53" s="1"/>
      <c r="N53" s="18"/>
    </row>
    <row r="54" spans="2:14" ht="15" customHeight="1" x14ac:dyDescent="0.25">
      <c r="B54" s="20"/>
      <c r="C54" s="5" t="s">
        <v>194</v>
      </c>
      <c r="D54" s="6" t="s">
        <v>182</v>
      </c>
      <c r="E54" s="11">
        <v>1.7440000000000001E-3</v>
      </c>
      <c r="F54" s="1"/>
      <c r="G54" s="1"/>
      <c r="H54" s="1"/>
      <c r="I54" s="1"/>
      <c r="J54" s="1"/>
      <c r="K54" s="1"/>
      <c r="L54" s="1"/>
      <c r="M54" s="1"/>
      <c r="N54" s="18"/>
    </row>
    <row r="55" spans="2:14" ht="15" customHeight="1" x14ac:dyDescent="0.25">
      <c r="B55" s="20"/>
      <c r="C55" s="5" t="s">
        <v>191</v>
      </c>
      <c r="D55" s="6" t="s">
        <v>182</v>
      </c>
      <c r="E55" s="11">
        <v>1.7390000000000001E-3</v>
      </c>
      <c r="F55" s="1"/>
      <c r="G55" s="1"/>
      <c r="H55" s="1"/>
      <c r="I55" s="1"/>
      <c r="J55" s="1"/>
      <c r="K55" s="1"/>
      <c r="L55" s="1"/>
      <c r="M55" s="1"/>
      <c r="N55" s="18"/>
    </row>
    <row r="56" spans="2:14" ht="15" customHeight="1" x14ac:dyDescent="0.25">
      <c r="B56" s="20"/>
      <c r="C56" s="5" t="s">
        <v>190</v>
      </c>
      <c r="D56" s="6" t="s">
        <v>182</v>
      </c>
      <c r="E56" s="11">
        <v>1.735E-3</v>
      </c>
      <c r="F56" s="1"/>
      <c r="G56" s="1"/>
      <c r="H56" s="1"/>
      <c r="I56" s="1"/>
      <c r="J56" s="1"/>
      <c r="K56" s="1"/>
      <c r="L56" s="1"/>
      <c r="M56" s="1"/>
      <c r="N56" s="18"/>
    </row>
    <row r="57" spans="2:14" ht="15" customHeight="1" x14ac:dyDescent="0.25">
      <c r="B57" s="20"/>
      <c r="C57" s="5" t="s">
        <v>202</v>
      </c>
      <c r="D57" s="6" t="s">
        <v>182</v>
      </c>
      <c r="E57" s="11">
        <v>1.7329999999999999E-3</v>
      </c>
      <c r="F57" s="1"/>
      <c r="G57" s="1"/>
      <c r="H57" s="1"/>
      <c r="I57" s="1"/>
      <c r="J57" s="1"/>
      <c r="K57" s="1"/>
      <c r="L57" s="1"/>
      <c r="M57" s="1"/>
      <c r="N57" s="18"/>
    </row>
    <row r="58" spans="2:14" ht="15" customHeight="1" x14ac:dyDescent="0.25">
      <c r="B58" s="20"/>
      <c r="C58" s="5" t="s">
        <v>203</v>
      </c>
      <c r="D58" s="6" t="s">
        <v>182</v>
      </c>
      <c r="E58" s="11">
        <v>1.7290000000000001E-3</v>
      </c>
      <c r="F58" s="1"/>
      <c r="G58" s="1"/>
      <c r="H58" s="1"/>
      <c r="I58" s="1"/>
      <c r="J58" s="1"/>
      <c r="K58" s="1"/>
      <c r="L58" s="1"/>
      <c r="M58" s="1"/>
      <c r="N58" s="18"/>
    </row>
    <row r="59" spans="2:14" ht="15" customHeight="1" x14ac:dyDescent="0.25">
      <c r="B59" s="20"/>
      <c r="C59" s="5" t="s">
        <v>189</v>
      </c>
      <c r="D59" s="6" t="s">
        <v>182</v>
      </c>
      <c r="E59" s="11">
        <v>1.7279999999999999E-3</v>
      </c>
      <c r="F59" s="1"/>
      <c r="G59" s="1"/>
      <c r="H59" s="1"/>
      <c r="I59" s="1"/>
      <c r="J59" s="1"/>
      <c r="K59" s="1"/>
      <c r="L59" s="1"/>
      <c r="M59" s="1"/>
      <c r="N59" s="18"/>
    </row>
    <row r="60" spans="2:14" ht="15" customHeight="1" x14ac:dyDescent="0.25">
      <c r="B60" s="20"/>
      <c r="C60" s="5" t="s">
        <v>207</v>
      </c>
      <c r="D60" s="6" t="s">
        <v>182</v>
      </c>
      <c r="E60" s="11">
        <v>1.714E-3</v>
      </c>
      <c r="F60" s="1"/>
      <c r="G60" s="1"/>
      <c r="H60" s="1"/>
      <c r="I60" s="1"/>
      <c r="J60" s="1"/>
      <c r="K60" s="1"/>
      <c r="L60" s="1"/>
      <c r="M60" s="1"/>
      <c r="N60" s="18"/>
    </row>
    <row r="61" spans="2:14" ht="15" customHeight="1" x14ac:dyDescent="0.25">
      <c r="B61" s="20"/>
      <c r="C61" s="5" t="s">
        <v>184</v>
      </c>
      <c r="D61" s="6" t="s">
        <v>182</v>
      </c>
      <c r="E61" s="11">
        <v>8.6200000000000003E-4</v>
      </c>
      <c r="F61" s="1"/>
      <c r="G61" s="1"/>
      <c r="H61" s="1"/>
      <c r="I61" s="1"/>
      <c r="J61" s="1"/>
      <c r="K61" s="1"/>
      <c r="L61" s="1"/>
      <c r="M61" s="1"/>
      <c r="N61" s="18"/>
    </row>
    <row r="62" spans="2:14" ht="15" customHeight="1" x14ac:dyDescent="0.25">
      <c r="B62" s="20"/>
      <c r="C62" s="5" t="s">
        <v>201</v>
      </c>
      <c r="D62" s="6" t="s">
        <v>182</v>
      </c>
      <c r="E62" s="11">
        <v>8.5999999999999998E-4</v>
      </c>
      <c r="F62" s="1"/>
      <c r="G62" s="1"/>
      <c r="H62" s="1"/>
      <c r="I62" s="1"/>
      <c r="J62" s="1"/>
      <c r="K62" s="1"/>
      <c r="L62" s="1"/>
      <c r="M62" s="1"/>
      <c r="N62" s="18"/>
    </row>
    <row r="63" spans="2:14" ht="15" customHeight="1" x14ac:dyDescent="0.25">
      <c r="B63" s="20"/>
      <c r="C63" s="5" t="s">
        <v>208</v>
      </c>
      <c r="D63" s="6" t="s">
        <v>182</v>
      </c>
      <c r="E63" s="11">
        <v>2.5799999999999998E-4</v>
      </c>
      <c r="F63" s="1"/>
      <c r="G63" s="1"/>
      <c r="H63" s="1"/>
      <c r="I63" s="1"/>
      <c r="J63" s="1"/>
      <c r="K63" s="1"/>
      <c r="L63" s="1"/>
      <c r="M63" s="1"/>
      <c r="N63" s="18"/>
    </row>
    <row r="64" spans="2:14" ht="15" customHeight="1" x14ac:dyDescent="0.25">
      <c r="B64" s="20"/>
      <c r="C64" s="5" t="s">
        <v>209</v>
      </c>
      <c r="D64" s="6" t="s">
        <v>182</v>
      </c>
      <c r="E64" s="11">
        <v>4.3039999999999997E-3</v>
      </c>
      <c r="F64" s="1"/>
      <c r="G64" s="1"/>
      <c r="H64" s="1"/>
      <c r="I64" s="1"/>
      <c r="J64" s="1"/>
      <c r="K64" s="1"/>
      <c r="L64" s="1"/>
      <c r="M64" s="1"/>
      <c r="N64" s="18"/>
    </row>
    <row r="65" spans="2:14" ht="15" customHeight="1" x14ac:dyDescent="0.25">
      <c r="B65" s="20"/>
      <c r="C65" s="7" t="s">
        <v>49</v>
      </c>
      <c r="D65" s="8"/>
      <c r="E65" s="12">
        <v>0.12895999999999999</v>
      </c>
      <c r="F65" s="1"/>
      <c r="G65" s="1"/>
      <c r="H65" s="1"/>
      <c r="I65" s="1"/>
      <c r="J65" s="1"/>
      <c r="K65" s="1"/>
      <c r="L65" s="1"/>
      <c r="M65" s="1"/>
      <c r="N65" s="18"/>
    </row>
    <row r="66" spans="2:14" ht="15" customHeight="1" x14ac:dyDescent="0.25">
      <c r="B66" s="20"/>
      <c r="C66" s="5" t="s">
        <v>170</v>
      </c>
      <c r="D66" s="6" t="s">
        <v>182</v>
      </c>
      <c r="E66" s="11">
        <v>4.1879999999999999E-3</v>
      </c>
      <c r="F66" s="1"/>
      <c r="G66" s="1"/>
      <c r="H66" s="1"/>
      <c r="I66" s="1"/>
      <c r="J66" s="1"/>
      <c r="K66" s="1"/>
      <c r="L66" s="1"/>
      <c r="M66" s="1"/>
      <c r="N66" s="18"/>
    </row>
    <row r="67" spans="2:14" ht="15" customHeight="1" x14ac:dyDescent="0.25">
      <c r="B67" s="20"/>
      <c r="C67" s="7" t="s">
        <v>160</v>
      </c>
      <c r="D67" s="8"/>
      <c r="E67" s="12">
        <v>4.1879999999999999E-3</v>
      </c>
      <c r="F67" s="1"/>
      <c r="G67" s="1"/>
      <c r="H67" s="1"/>
      <c r="I67" s="1"/>
      <c r="J67" s="1"/>
      <c r="K67" s="1"/>
      <c r="L67" s="1"/>
      <c r="M67" s="1"/>
      <c r="N67" s="18"/>
    </row>
    <row r="68" spans="2:14" ht="15" customHeight="1" x14ac:dyDescent="0.25">
      <c r="B68" s="20"/>
      <c r="C68" s="5" t="s">
        <v>31</v>
      </c>
      <c r="D68" s="6"/>
      <c r="E68" s="11">
        <v>2.5609999999999999E-3</v>
      </c>
      <c r="F68" s="1"/>
      <c r="G68" s="1"/>
      <c r="H68" s="1"/>
      <c r="I68" s="1"/>
      <c r="J68" s="1"/>
      <c r="K68" s="1"/>
      <c r="L68" s="1"/>
      <c r="M68" s="1"/>
      <c r="N68" s="18"/>
    </row>
    <row r="69" spans="2:14" ht="15" customHeight="1" x14ac:dyDescent="0.25">
      <c r="B69" s="20"/>
      <c r="C69" s="7" t="s">
        <v>32</v>
      </c>
      <c r="D69" s="8"/>
      <c r="E69" s="12">
        <v>2.5609999999999999E-3</v>
      </c>
      <c r="F69" s="1"/>
      <c r="G69" s="1"/>
      <c r="H69" s="1"/>
      <c r="I69" s="1"/>
      <c r="J69" s="1"/>
      <c r="K69" s="1"/>
      <c r="L69" s="1"/>
      <c r="M69" s="1"/>
      <c r="N69" s="18"/>
    </row>
    <row r="70" spans="2:14" ht="15" customHeight="1" x14ac:dyDescent="0.25">
      <c r="B70" s="20"/>
      <c r="C70" s="5" t="s">
        <v>125</v>
      </c>
      <c r="D70" s="6" t="s">
        <v>90</v>
      </c>
      <c r="E70" s="11">
        <v>2.0032000000000001E-2</v>
      </c>
      <c r="F70" s="1"/>
      <c r="G70" s="1"/>
      <c r="H70" s="1"/>
      <c r="I70" s="1"/>
      <c r="J70" s="1"/>
      <c r="K70" s="1"/>
      <c r="L70" s="1"/>
      <c r="M70" s="1"/>
      <c r="N70" s="18"/>
    </row>
    <row r="71" spans="2:14" ht="15" customHeight="1" x14ac:dyDescent="0.25">
      <c r="B71" s="20"/>
      <c r="C71" s="5" t="s">
        <v>56</v>
      </c>
      <c r="D71" s="6" t="s">
        <v>17</v>
      </c>
      <c r="E71" s="11">
        <v>4.1370000000000001E-3</v>
      </c>
      <c r="F71" s="1"/>
      <c r="G71" s="1"/>
      <c r="H71" s="1"/>
      <c r="I71" s="1"/>
      <c r="J71" s="1"/>
      <c r="K71" s="1"/>
      <c r="L71" s="1"/>
      <c r="M71" s="1"/>
      <c r="N71" s="18"/>
    </row>
    <row r="72" spans="2:14" ht="15" customHeight="1" x14ac:dyDescent="0.25">
      <c r="B72" s="20"/>
      <c r="C72" s="5" t="s">
        <v>47</v>
      </c>
      <c r="D72" s="6" t="s">
        <v>17</v>
      </c>
      <c r="E72" s="11">
        <v>9.77E-4</v>
      </c>
      <c r="F72" s="1"/>
      <c r="G72" s="1"/>
      <c r="H72" s="1"/>
      <c r="I72" s="1"/>
      <c r="J72" s="1"/>
      <c r="K72" s="1"/>
      <c r="L72" s="1"/>
      <c r="M72" s="1"/>
      <c r="N72" s="18"/>
    </row>
    <row r="73" spans="2:14" ht="15" customHeight="1" x14ac:dyDescent="0.25">
      <c r="B73" s="20"/>
      <c r="C73" s="7" t="s">
        <v>77</v>
      </c>
      <c r="D73" s="8"/>
      <c r="E73" s="12">
        <v>2.5146000000000002E-2</v>
      </c>
      <c r="F73" s="1"/>
      <c r="G73" s="1"/>
      <c r="H73" s="1"/>
      <c r="I73" s="1"/>
      <c r="J73" s="1"/>
      <c r="K73" s="1"/>
      <c r="L73" s="1"/>
      <c r="M73" s="1"/>
      <c r="N73" s="18"/>
    </row>
    <row r="74" spans="2:14" ht="15" customHeight="1" x14ac:dyDescent="0.25">
      <c r="B74" s="20"/>
      <c r="C74" s="5"/>
      <c r="D74" s="6"/>
      <c r="E74" s="11"/>
      <c r="F74" s="1"/>
      <c r="G74" s="1"/>
      <c r="H74" s="1"/>
      <c r="I74" s="1"/>
      <c r="J74" s="1"/>
      <c r="K74" s="1"/>
      <c r="L74" s="1"/>
      <c r="M74" s="1"/>
      <c r="N74" s="18"/>
    </row>
    <row r="75" spans="2:14" ht="15" customHeight="1" x14ac:dyDescent="0.25">
      <c r="B75" s="20"/>
      <c r="C75" s="7" t="s">
        <v>33</v>
      </c>
      <c r="D75" s="8"/>
      <c r="E75" s="12">
        <v>3.3077000000000002E-2</v>
      </c>
      <c r="F75" s="1"/>
      <c r="G75" s="1"/>
      <c r="H75" s="1"/>
      <c r="I75" s="1"/>
      <c r="J75" s="1"/>
      <c r="K75" s="1"/>
      <c r="L75" s="1"/>
      <c r="M75" s="1"/>
      <c r="N75" s="18"/>
    </row>
    <row r="76" spans="2:14" ht="15" customHeight="1" x14ac:dyDescent="0.25">
      <c r="B76" s="20"/>
      <c r="C76" s="5"/>
      <c r="D76" s="6"/>
      <c r="E76" s="11"/>
      <c r="F76" s="1"/>
      <c r="G76" s="1"/>
      <c r="H76" s="1"/>
      <c r="I76" s="1"/>
      <c r="J76" s="1"/>
      <c r="K76" s="1"/>
      <c r="L76" s="1"/>
      <c r="M76" s="1"/>
      <c r="N76" s="18"/>
    </row>
    <row r="77" spans="2:14" ht="15" customHeight="1" x14ac:dyDescent="0.25">
      <c r="B77" s="20"/>
      <c r="C77" s="9" t="s">
        <v>34</v>
      </c>
      <c r="D77" s="10"/>
      <c r="E77" s="13">
        <v>1</v>
      </c>
      <c r="F77" s="1"/>
      <c r="G77" s="1"/>
      <c r="H77" s="1"/>
      <c r="I77" s="1"/>
      <c r="J77" s="1"/>
      <c r="K77" s="1"/>
      <c r="L77" s="1"/>
      <c r="M77" s="1"/>
      <c r="N77" s="18"/>
    </row>
    <row r="78" spans="2:14" ht="15" customHeight="1" x14ac:dyDescent="0.25">
      <c r="B78" s="20"/>
      <c r="C78" s="1"/>
      <c r="D78" s="1"/>
      <c r="E78" s="1"/>
      <c r="F78" s="1"/>
      <c r="G78" s="1"/>
      <c r="H78" s="1"/>
      <c r="I78" s="1"/>
      <c r="J78" s="1"/>
      <c r="K78" s="1"/>
      <c r="L78" s="1"/>
      <c r="M78" s="1"/>
      <c r="N78" s="18"/>
    </row>
    <row r="79" spans="2:14" ht="15" customHeight="1" thickBot="1" x14ac:dyDescent="0.3">
      <c r="B79" s="21"/>
      <c r="C79" s="22"/>
      <c r="D79" s="22"/>
      <c r="E79" s="22"/>
      <c r="F79" s="22"/>
      <c r="G79" s="22"/>
      <c r="H79" s="22"/>
      <c r="I79" s="22"/>
      <c r="J79" s="22"/>
      <c r="K79" s="22"/>
      <c r="L79" s="22"/>
      <c r="M79" s="22"/>
      <c r="N79" s="23"/>
    </row>
    <row r="80" spans="2:14" ht="15" customHeight="1" thickBot="1" x14ac:dyDescent="0.3"/>
    <row r="81" spans="2:14" ht="15" customHeight="1" x14ac:dyDescent="0.25">
      <c r="B81" s="72" t="s">
        <v>295</v>
      </c>
      <c r="C81" s="73"/>
      <c r="D81" s="73"/>
      <c r="E81" s="73"/>
      <c r="F81" s="73"/>
      <c r="G81" s="73"/>
      <c r="H81" s="73"/>
      <c r="I81" s="73"/>
      <c r="J81" s="73"/>
      <c r="K81" s="73"/>
      <c r="L81" s="73"/>
      <c r="M81" s="73"/>
      <c r="N81" s="74"/>
    </row>
    <row r="82" spans="2:14" ht="15" customHeight="1" x14ac:dyDescent="0.25">
      <c r="B82" s="75"/>
      <c r="C82" s="76"/>
      <c r="D82" s="76"/>
      <c r="E82" s="76"/>
      <c r="F82" s="76"/>
      <c r="G82" s="76"/>
      <c r="H82" s="76"/>
      <c r="I82" s="76"/>
      <c r="J82" s="76"/>
      <c r="K82" s="76"/>
      <c r="L82" s="76"/>
      <c r="M82" s="76"/>
      <c r="N82" s="77"/>
    </row>
    <row r="83" spans="2:14" ht="15" customHeight="1" x14ac:dyDescent="0.25">
      <c r="B83" s="75"/>
      <c r="C83" s="76"/>
      <c r="D83" s="76"/>
      <c r="E83" s="76"/>
      <c r="F83" s="76"/>
      <c r="G83" s="76"/>
      <c r="H83" s="76"/>
      <c r="I83" s="76"/>
      <c r="J83" s="76"/>
      <c r="K83" s="76"/>
      <c r="L83" s="76"/>
      <c r="M83" s="76"/>
      <c r="N83" s="77"/>
    </row>
    <row r="84" spans="2:14" ht="15" customHeight="1" thickBot="1" x14ac:dyDescent="0.3">
      <c r="B84" s="78"/>
      <c r="C84" s="79"/>
      <c r="D84" s="79"/>
      <c r="E84" s="79"/>
      <c r="F84" s="79"/>
      <c r="G84" s="79"/>
      <c r="H84" s="79"/>
      <c r="I84" s="79"/>
      <c r="J84" s="79"/>
      <c r="K84" s="79"/>
      <c r="L84" s="79"/>
      <c r="M84" s="79"/>
      <c r="N84" s="80"/>
    </row>
    <row r="85" spans="2:14" ht="15" customHeight="1" thickBot="1" x14ac:dyDescent="0.3"/>
    <row r="86" spans="2:14" ht="119.25" customHeight="1" thickBot="1" x14ac:dyDescent="0.3">
      <c r="B86" s="81" t="s">
        <v>294</v>
      </c>
      <c r="C86" s="82"/>
      <c r="D86" s="82"/>
      <c r="E86" s="82"/>
      <c r="F86" s="82"/>
      <c r="G86" s="82"/>
      <c r="H86" s="82"/>
      <c r="I86" s="82"/>
      <c r="J86" s="82"/>
      <c r="K86" s="82"/>
      <c r="L86" s="82"/>
      <c r="M86" s="82"/>
      <c r="N86" s="83"/>
    </row>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sheetData>
  <sortState ref="C39:E63">
    <sortCondition descending="1" ref="E39"/>
  </sortState>
  <mergeCells count="7">
    <mergeCell ref="B81:N84"/>
    <mergeCell ref="B86:N8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0550E-2297-4B35-A572-6A9E70F2D8E4}">
  <dimension ref="B1:N82"/>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171</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289</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12</v>
      </c>
      <c r="D8" s="6" t="s">
        <v>13</v>
      </c>
      <c r="E8" s="11">
        <v>0.102606</v>
      </c>
      <c r="F8" s="1"/>
      <c r="G8" s="32" t="s">
        <v>292</v>
      </c>
      <c r="H8" s="28">
        <v>1</v>
      </c>
      <c r="I8" s="1"/>
      <c r="J8" s="24" t="s">
        <v>35</v>
      </c>
      <c r="K8" s="24" t="s">
        <v>3</v>
      </c>
      <c r="L8" s="1"/>
      <c r="M8" s="1"/>
      <c r="N8" s="18"/>
    </row>
    <row r="9" spans="2:14" ht="15" customHeight="1" x14ac:dyDescent="0.25">
      <c r="B9" s="20"/>
      <c r="C9" s="5" t="s">
        <v>19</v>
      </c>
      <c r="D9" s="6" t="s">
        <v>13</v>
      </c>
      <c r="E9" s="11">
        <v>9.9686999999999998E-2</v>
      </c>
      <c r="F9" s="1"/>
      <c r="G9" s="1"/>
      <c r="H9" s="1"/>
      <c r="I9" s="1"/>
      <c r="J9" s="24" t="s">
        <v>33</v>
      </c>
      <c r="K9" s="29">
        <v>-7.6660000000000001E-3</v>
      </c>
      <c r="L9" s="1"/>
      <c r="M9" s="1"/>
      <c r="N9" s="18"/>
    </row>
    <row r="10" spans="2:14" ht="15" customHeight="1" x14ac:dyDescent="0.25">
      <c r="B10" s="20"/>
      <c r="C10" s="5" t="s">
        <v>42</v>
      </c>
      <c r="D10" s="6" t="s">
        <v>13</v>
      </c>
      <c r="E10" s="11">
        <v>8.6368E-2</v>
      </c>
      <c r="F10" s="1"/>
      <c r="G10" s="1"/>
      <c r="H10" s="1"/>
      <c r="I10" s="1"/>
      <c r="J10" s="24" t="s">
        <v>36</v>
      </c>
      <c r="K10" s="29">
        <v>0.105157</v>
      </c>
      <c r="L10" s="1"/>
      <c r="M10" s="1"/>
      <c r="N10" s="18"/>
    </row>
    <row r="11" spans="2:14" ht="15" customHeight="1" x14ac:dyDescent="0.25">
      <c r="B11" s="20"/>
      <c r="C11" s="5" t="s">
        <v>44</v>
      </c>
      <c r="D11" s="6" t="s">
        <v>13</v>
      </c>
      <c r="E11" s="11">
        <v>7.7608999999999997E-2</v>
      </c>
      <c r="F11" s="1"/>
      <c r="G11" s="1"/>
      <c r="H11" s="1"/>
      <c r="I11" s="1"/>
      <c r="J11" s="24" t="s">
        <v>37</v>
      </c>
      <c r="K11" s="29">
        <v>0.62787400000000004</v>
      </c>
      <c r="L11" s="1"/>
      <c r="M11" s="1"/>
      <c r="N11" s="18"/>
    </row>
    <row r="12" spans="2:14" ht="15" customHeight="1" x14ac:dyDescent="0.25">
      <c r="B12" s="20"/>
      <c r="C12" s="5" t="s">
        <v>43</v>
      </c>
      <c r="D12" s="6" t="s">
        <v>13</v>
      </c>
      <c r="E12" s="11">
        <v>5.9707000000000003E-2</v>
      </c>
      <c r="F12" s="1"/>
      <c r="G12" s="1"/>
      <c r="H12" s="1"/>
      <c r="I12" s="1"/>
      <c r="J12" s="24" t="s">
        <v>59</v>
      </c>
      <c r="K12" s="29">
        <v>0.160635</v>
      </c>
      <c r="L12" s="1"/>
      <c r="M12" s="1"/>
      <c r="N12" s="18"/>
    </row>
    <row r="13" spans="2:14" ht="15" customHeight="1" x14ac:dyDescent="0.25">
      <c r="B13" s="20"/>
      <c r="C13" s="5" t="s">
        <v>135</v>
      </c>
      <c r="D13" s="6" t="s">
        <v>13</v>
      </c>
      <c r="E13" s="11">
        <v>5.4434999999999997E-2</v>
      </c>
      <c r="F13" s="1"/>
      <c r="G13" s="1"/>
      <c r="H13" s="1"/>
      <c r="I13" s="1"/>
      <c r="J13" s="24" t="s">
        <v>22</v>
      </c>
      <c r="K13" s="29">
        <v>1.7359999999999999E-3</v>
      </c>
      <c r="L13" s="1"/>
      <c r="M13" s="1"/>
      <c r="N13" s="18"/>
    </row>
    <row r="14" spans="2:14" ht="15" customHeight="1" x14ac:dyDescent="0.25">
      <c r="B14" s="20"/>
      <c r="C14" s="5" t="s">
        <v>53</v>
      </c>
      <c r="D14" s="6" t="s">
        <v>13</v>
      </c>
      <c r="E14" s="11">
        <v>4.7697000000000003E-2</v>
      </c>
      <c r="F14" s="1"/>
      <c r="G14" s="1"/>
      <c r="H14" s="1"/>
      <c r="I14" s="1"/>
      <c r="J14" s="24" t="s">
        <v>163</v>
      </c>
      <c r="K14" s="29">
        <v>1.8151E-2</v>
      </c>
      <c r="L14" s="1"/>
      <c r="M14" s="1"/>
      <c r="N14" s="18"/>
    </row>
    <row r="15" spans="2:14" ht="15" customHeight="1" x14ac:dyDescent="0.25">
      <c r="B15" s="20"/>
      <c r="C15" s="5" t="s">
        <v>73</v>
      </c>
      <c r="D15" s="6" t="s">
        <v>13</v>
      </c>
      <c r="E15" s="11">
        <v>4.1980999999999997E-2</v>
      </c>
      <c r="F15" s="1"/>
      <c r="G15" s="1"/>
      <c r="H15" s="1"/>
      <c r="I15" s="1"/>
      <c r="J15" s="24" t="s">
        <v>50</v>
      </c>
      <c r="K15" s="29">
        <v>9.4113000000000002E-2</v>
      </c>
      <c r="L15" s="1"/>
      <c r="M15" s="1"/>
      <c r="N15" s="18"/>
    </row>
    <row r="16" spans="2:14" ht="15" customHeight="1" x14ac:dyDescent="0.25">
      <c r="B16" s="20"/>
      <c r="C16" s="5" t="s">
        <v>137</v>
      </c>
      <c r="D16" s="6" t="s">
        <v>13</v>
      </c>
      <c r="E16" s="11">
        <v>2.2232999999999999E-2</v>
      </c>
      <c r="F16" s="1"/>
      <c r="G16" s="1"/>
      <c r="H16" s="1"/>
      <c r="I16" s="1"/>
      <c r="J16" s="1"/>
      <c r="K16" s="1"/>
      <c r="L16" s="1"/>
      <c r="M16" s="1"/>
      <c r="N16" s="18"/>
    </row>
    <row r="17" spans="2:14" ht="15" customHeight="1" x14ac:dyDescent="0.25">
      <c r="B17" s="20"/>
      <c r="C17" s="5" t="s">
        <v>69</v>
      </c>
      <c r="D17" s="6" t="s">
        <v>13</v>
      </c>
      <c r="E17" s="11">
        <v>1.9508999999999999E-2</v>
      </c>
      <c r="F17" s="1"/>
      <c r="G17" s="1"/>
      <c r="H17" s="1"/>
      <c r="I17" s="1"/>
      <c r="J17" s="1"/>
      <c r="K17" s="1"/>
      <c r="L17" s="1"/>
      <c r="M17" s="1"/>
      <c r="N17" s="18"/>
    </row>
    <row r="18" spans="2:14" ht="15" customHeight="1" x14ac:dyDescent="0.25">
      <c r="B18" s="20"/>
      <c r="C18" s="5" t="s">
        <v>14</v>
      </c>
      <c r="D18" s="6" t="s">
        <v>13</v>
      </c>
      <c r="E18" s="11">
        <v>1.285E-2</v>
      </c>
      <c r="F18" s="1"/>
      <c r="G18" s="1"/>
      <c r="H18" s="1"/>
      <c r="I18" s="1"/>
      <c r="J18" s="1"/>
      <c r="K18" s="1"/>
      <c r="L18" s="1"/>
      <c r="M18" s="1"/>
      <c r="N18" s="18"/>
    </row>
    <row r="19" spans="2:14" ht="15" customHeight="1" x14ac:dyDescent="0.25">
      <c r="B19" s="20"/>
      <c r="C19" s="5" t="s">
        <v>54</v>
      </c>
      <c r="D19" s="6" t="s">
        <v>13</v>
      </c>
      <c r="E19" s="11">
        <v>3.192E-3</v>
      </c>
      <c r="F19" s="1"/>
      <c r="G19" s="1"/>
      <c r="H19" s="1"/>
      <c r="I19" s="1"/>
      <c r="J19" s="1"/>
      <c r="K19" s="1"/>
      <c r="L19" s="1"/>
      <c r="M19" s="1"/>
      <c r="N19" s="18"/>
    </row>
    <row r="20" spans="2:14" ht="15.75" customHeight="1" x14ac:dyDescent="0.25">
      <c r="B20" s="20"/>
      <c r="C20" s="7" t="s">
        <v>15</v>
      </c>
      <c r="D20" s="8"/>
      <c r="E20" s="12">
        <v>0.62787400000000004</v>
      </c>
      <c r="F20" s="1"/>
      <c r="G20" s="1"/>
      <c r="H20" s="1"/>
      <c r="I20" s="1"/>
      <c r="J20" s="1"/>
      <c r="K20" s="1"/>
      <c r="L20" s="1"/>
      <c r="M20" s="1"/>
      <c r="N20" s="18"/>
    </row>
    <row r="21" spans="2:14" ht="15" customHeight="1" x14ac:dyDescent="0.25">
      <c r="B21" s="20"/>
      <c r="C21" s="5" t="s">
        <v>54</v>
      </c>
      <c r="D21" s="6" t="s">
        <v>13</v>
      </c>
      <c r="E21" s="11">
        <v>3.5452999999999998E-2</v>
      </c>
      <c r="F21" s="1"/>
      <c r="G21" s="1"/>
      <c r="H21" s="1"/>
      <c r="I21" s="1"/>
      <c r="J21" s="1"/>
      <c r="K21" s="1"/>
      <c r="L21" s="1"/>
      <c r="M21" s="1"/>
      <c r="N21" s="18"/>
    </row>
    <row r="22" spans="2:14" ht="15" customHeight="1" x14ac:dyDescent="0.25">
      <c r="B22" s="20"/>
      <c r="C22" s="5" t="s">
        <v>146</v>
      </c>
      <c r="D22" s="6" t="s">
        <v>13</v>
      </c>
      <c r="E22" s="11">
        <v>2.2775E-2</v>
      </c>
      <c r="F22" s="1"/>
      <c r="G22" s="1"/>
      <c r="H22" s="1"/>
      <c r="I22" s="1"/>
      <c r="J22" s="1"/>
      <c r="K22" s="1"/>
      <c r="L22" s="1"/>
      <c r="M22" s="1"/>
      <c r="N22" s="18"/>
    </row>
    <row r="23" spans="2:14" ht="15" customHeight="1" x14ac:dyDescent="0.25">
      <c r="B23" s="20"/>
      <c r="C23" s="5" t="s">
        <v>142</v>
      </c>
      <c r="D23" s="6" t="s">
        <v>13</v>
      </c>
      <c r="E23" s="11">
        <v>1.9175000000000001E-2</v>
      </c>
      <c r="F23" s="1"/>
      <c r="G23" s="1"/>
      <c r="H23" s="1"/>
      <c r="I23" s="1"/>
      <c r="J23" s="1"/>
      <c r="K23" s="1"/>
      <c r="L23" s="1"/>
      <c r="M23" s="1"/>
      <c r="N23" s="18"/>
    </row>
    <row r="24" spans="2:14" ht="15" customHeight="1" x14ac:dyDescent="0.25">
      <c r="B24" s="20"/>
      <c r="C24" s="5" t="s">
        <v>172</v>
      </c>
      <c r="D24" s="6" t="s">
        <v>13</v>
      </c>
      <c r="E24" s="11">
        <v>1.6146000000000001E-2</v>
      </c>
      <c r="F24" s="1"/>
      <c r="G24" s="89" t="s">
        <v>117</v>
      </c>
      <c r="H24" s="90"/>
      <c r="I24" s="90"/>
      <c r="J24" s="90"/>
      <c r="K24" s="90"/>
      <c r="L24" s="39">
        <v>152.62140936886118</v>
      </c>
      <c r="M24" s="26"/>
      <c r="N24" s="27"/>
    </row>
    <row r="25" spans="2:14" ht="15" customHeight="1" x14ac:dyDescent="0.25">
      <c r="B25" s="20"/>
      <c r="C25" s="5" t="s">
        <v>56</v>
      </c>
      <c r="D25" s="6" t="s">
        <v>13</v>
      </c>
      <c r="E25" s="11">
        <v>1.2867999999999999E-2</v>
      </c>
      <c r="F25" s="1"/>
      <c r="G25" s="1"/>
      <c r="H25" s="1"/>
      <c r="I25" s="1"/>
      <c r="J25" s="1"/>
      <c r="K25" s="1"/>
      <c r="L25" s="1"/>
      <c r="M25" s="1"/>
      <c r="N25" s="18"/>
    </row>
    <row r="26" spans="2:14" ht="15" customHeight="1" x14ac:dyDescent="0.25">
      <c r="B26" s="20"/>
      <c r="C26" s="5" t="s">
        <v>125</v>
      </c>
      <c r="D26" s="6" t="s">
        <v>13</v>
      </c>
      <c r="E26" s="11">
        <v>1.2812E-2</v>
      </c>
      <c r="F26" s="1"/>
      <c r="G26" s="89" t="s">
        <v>6</v>
      </c>
      <c r="H26" s="90"/>
      <c r="I26" s="90"/>
      <c r="J26" s="90"/>
      <c r="K26" s="90"/>
      <c r="L26" s="90"/>
      <c r="M26" s="90"/>
      <c r="N26" s="91"/>
    </row>
    <row r="27" spans="2:14" ht="15" customHeight="1" x14ac:dyDescent="0.25">
      <c r="B27" s="20"/>
      <c r="C27" s="5" t="s">
        <v>89</v>
      </c>
      <c r="D27" s="6" t="s">
        <v>13</v>
      </c>
      <c r="E27" s="11">
        <v>1.2536E-2</v>
      </c>
      <c r="F27" s="1"/>
      <c r="G27" s="1"/>
      <c r="H27" s="1"/>
      <c r="I27" s="1"/>
      <c r="J27" s="1"/>
      <c r="K27" s="1"/>
      <c r="L27" s="1"/>
      <c r="M27" s="1"/>
      <c r="N27" s="18"/>
    </row>
    <row r="28" spans="2:14" ht="15" customHeight="1" x14ac:dyDescent="0.25">
      <c r="B28" s="20"/>
      <c r="C28" s="5" t="s">
        <v>45</v>
      </c>
      <c r="D28" s="6" t="s">
        <v>13</v>
      </c>
      <c r="E28" s="11">
        <v>6.4479999999999997E-3</v>
      </c>
      <c r="F28" s="1"/>
      <c r="G28" s="1"/>
      <c r="H28" s="1"/>
      <c r="I28" s="1"/>
      <c r="J28" s="1"/>
      <c r="K28" s="1"/>
      <c r="L28" s="1"/>
      <c r="M28" s="1"/>
      <c r="N28" s="18"/>
    </row>
    <row r="29" spans="2:14" ht="15" customHeight="1" x14ac:dyDescent="0.25">
      <c r="B29" s="20"/>
      <c r="C29" s="5" t="s">
        <v>139</v>
      </c>
      <c r="D29" s="6" t="s">
        <v>13</v>
      </c>
      <c r="E29" s="11">
        <v>6.4460000000000003E-3</v>
      </c>
      <c r="F29" s="1"/>
      <c r="G29" s="1"/>
      <c r="H29" s="1"/>
      <c r="I29" s="1"/>
      <c r="J29" s="1"/>
      <c r="K29" s="1"/>
      <c r="L29" s="1"/>
      <c r="M29" s="1"/>
      <c r="N29" s="18"/>
    </row>
    <row r="30" spans="2:14" ht="15" customHeight="1" x14ac:dyDescent="0.25">
      <c r="B30" s="20"/>
      <c r="C30" s="5" t="s">
        <v>126</v>
      </c>
      <c r="D30" s="6" t="s">
        <v>13</v>
      </c>
      <c r="E30" s="11">
        <v>6.3949999999999996E-3</v>
      </c>
      <c r="F30" s="1"/>
      <c r="G30" s="1"/>
      <c r="H30" s="1"/>
      <c r="I30" s="1"/>
      <c r="J30" s="1"/>
      <c r="K30" s="1"/>
      <c r="L30" s="1"/>
      <c r="M30" s="1"/>
      <c r="N30" s="18"/>
    </row>
    <row r="31" spans="2:14" ht="15" customHeight="1" x14ac:dyDescent="0.25">
      <c r="B31" s="20"/>
      <c r="C31" s="5" t="s">
        <v>143</v>
      </c>
      <c r="D31" s="6" t="s">
        <v>13</v>
      </c>
      <c r="E31" s="11">
        <v>6.3870000000000003E-3</v>
      </c>
      <c r="F31" s="1"/>
      <c r="G31" s="1"/>
      <c r="H31" s="1"/>
      <c r="I31" s="1"/>
      <c r="J31" s="1"/>
      <c r="K31" s="1"/>
      <c r="L31" s="1"/>
      <c r="M31" s="1"/>
      <c r="N31" s="18"/>
    </row>
    <row r="32" spans="2:14" ht="15" customHeight="1" x14ac:dyDescent="0.25">
      <c r="B32" s="20"/>
      <c r="C32" s="5" t="s">
        <v>47</v>
      </c>
      <c r="D32" s="6" t="s">
        <v>13</v>
      </c>
      <c r="E32" s="11">
        <v>3.1939999999999998E-3</v>
      </c>
      <c r="F32" s="1"/>
      <c r="G32" s="1"/>
      <c r="H32" s="1"/>
      <c r="I32" s="1"/>
      <c r="J32" s="1"/>
      <c r="K32" s="1"/>
      <c r="L32" s="1"/>
      <c r="M32" s="1"/>
      <c r="N32" s="18"/>
    </row>
    <row r="33" spans="2:14" ht="15.75" customHeight="1" x14ac:dyDescent="0.25">
      <c r="B33" s="20"/>
      <c r="C33" s="7" t="s">
        <v>55</v>
      </c>
      <c r="D33" s="8"/>
      <c r="E33" s="12">
        <v>0.160635</v>
      </c>
      <c r="F33" s="1"/>
      <c r="G33" s="1"/>
      <c r="H33" s="1"/>
      <c r="I33" s="1"/>
      <c r="J33" s="1"/>
      <c r="K33" s="1"/>
      <c r="L33" s="1"/>
      <c r="M33" s="1"/>
      <c r="N33" s="18"/>
    </row>
    <row r="34" spans="2:14" ht="15" customHeight="1" x14ac:dyDescent="0.25">
      <c r="B34" s="20"/>
      <c r="C34" s="5" t="s">
        <v>22</v>
      </c>
      <c r="D34" s="6"/>
      <c r="E34" s="11">
        <v>1.7359999999999999E-3</v>
      </c>
      <c r="F34" s="1"/>
      <c r="G34" s="1"/>
      <c r="H34" s="1"/>
      <c r="I34" s="1"/>
      <c r="J34" s="1"/>
      <c r="K34" s="1"/>
      <c r="L34" s="1"/>
      <c r="M34" s="1"/>
      <c r="N34" s="18"/>
    </row>
    <row r="35" spans="2:14" ht="15.75" customHeight="1" x14ac:dyDescent="0.25">
      <c r="B35" s="20"/>
      <c r="C35" s="7" t="s">
        <v>23</v>
      </c>
      <c r="D35" s="8"/>
      <c r="E35" s="12">
        <v>1.7359999999999999E-3</v>
      </c>
      <c r="F35" s="1"/>
      <c r="G35" s="1"/>
      <c r="H35" s="1"/>
      <c r="I35" s="1"/>
      <c r="J35" s="1"/>
      <c r="K35" s="1"/>
      <c r="L35" s="1"/>
      <c r="M35" s="1"/>
      <c r="N35" s="18"/>
    </row>
    <row r="36" spans="2:14" ht="15" customHeight="1" x14ac:dyDescent="0.25">
      <c r="B36" s="20"/>
      <c r="C36" s="5" t="s">
        <v>210</v>
      </c>
      <c r="D36" s="6" t="s">
        <v>182</v>
      </c>
      <c r="E36" s="11">
        <v>1.1636000000000001E-2</v>
      </c>
      <c r="F36" s="1"/>
      <c r="G36" s="1"/>
      <c r="H36" s="1"/>
      <c r="I36" s="1"/>
      <c r="J36" s="1"/>
      <c r="K36" s="1"/>
      <c r="L36" s="1"/>
      <c r="M36" s="1"/>
      <c r="N36" s="18"/>
    </row>
    <row r="37" spans="2:14" ht="15.75" customHeight="1" x14ac:dyDescent="0.25">
      <c r="B37" s="20"/>
      <c r="C37" s="5" t="s">
        <v>211</v>
      </c>
      <c r="D37" s="6" t="s">
        <v>182</v>
      </c>
      <c r="E37" s="11">
        <v>5.8129999999999996E-3</v>
      </c>
      <c r="F37" s="1"/>
      <c r="G37" s="1"/>
      <c r="H37" s="1"/>
      <c r="I37" s="1"/>
      <c r="J37" s="1"/>
      <c r="K37" s="1"/>
      <c r="L37" s="1"/>
      <c r="M37" s="1"/>
      <c r="N37" s="18"/>
    </row>
    <row r="38" spans="2:14" ht="15" customHeight="1" x14ac:dyDescent="0.25">
      <c r="B38" s="20"/>
      <c r="C38" s="5" t="s">
        <v>212</v>
      </c>
      <c r="D38" s="6" t="s">
        <v>182</v>
      </c>
      <c r="E38" s="11">
        <v>7.0200000000000004E-4</v>
      </c>
      <c r="F38" s="1"/>
      <c r="G38" s="1"/>
      <c r="H38" s="1"/>
      <c r="I38" s="1"/>
      <c r="J38" s="1"/>
      <c r="K38" s="1"/>
      <c r="L38" s="1"/>
      <c r="M38" s="1"/>
      <c r="N38" s="18"/>
    </row>
    <row r="39" spans="2:14" ht="15.75" customHeight="1" x14ac:dyDescent="0.25">
      <c r="B39" s="20"/>
      <c r="C39" s="7" t="s">
        <v>150</v>
      </c>
      <c r="D39" s="8"/>
      <c r="E39" s="12">
        <v>1.8151E-2</v>
      </c>
      <c r="F39" s="1"/>
      <c r="G39" s="1"/>
      <c r="H39" s="1"/>
      <c r="I39" s="1"/>
      <c r="J39" s="1"/>
      <c r="K39" s="1"/>
      <c r="L39" s="1"/>
      <c r="M39" s="1"/>
      <c r="N39" s="18"/>
    </row>
    <row r="40" spans="2:14" ht="15" customHeight="1" x14ac:dyDescent="0.25">
      <c r="B40" s="20"/>
      <c r="C40" s="5" t="s">
        <v>224</v>
      </c>
      <c r="D40" s="6" t="s">
        <v>182</v>
      </c>
      <c r="E40" s="11">
        <v>2.3023999999999999E-2</v>
      </c>
      <c r="F40" s="1"/>
      <c r="G40" s="1"/>
      <c r="H40" s="1"/>
      <c r="I40" s="1"/>
      <c r="J40" s="1"/>
      <c r="K40" s="1"/>
      <c r="L40" s="1"/>
      <c r="M40" s="1"/>
      <c r="N40" s="18"/>
    </row>
    <row r="41" spans="2:14" ht="15.75" customHeight="1" x14ac:dyDescent="0.25">
      <c r="B41" s="20"/>
      <c r="C41" s="5" t="s">
        <v>223</v>
      </c>
      <c r="D41" s="6" t="s">
        <v>182</v>
      </c>
      <c r="E41" s="11">
        <v>2.1849E-2</v>
      </c>
      <c r="F41" s="1"/>
      <c r="G41" s="1"/>
      <c r="H41" s="1"/>
      <c r="I41" s="1"/>
      <c r="J41" s="1"/>
      <c r="K41" s="1"/>
      <c r="L41" s="1"/>
      <c r="M41" s="1"/>
      <c r="N41" s="18"/>
    </row>
    <row r="42" spans="2:14" ht="15" customHeight="1" x14ac:dyDescent="0.25">
      <c r="B42" s="20"/>
      <c r="C42" s="5" t="s">
        <v>213</v>
      </c>
      <c r="D42" s="6" t="s">
        <v>182</v>
      </c>
      <c r="E42" s="11">
        <v>1.2031E-2</v>
      </c>
      <c r="F42" s="1"/>
      <c r="G42" s="1"/>
      <c r="H42" s="1"/>
      <c r="I42" s="1"/>
      <c r="J42" s="1"/>
      <c r="K42" s="1"/>
      <c r="L42" s="1"/>
      <c r="M42" s="1"/>
      <c r="N42" s="18"/>
    </row>
    <row r="43" spans="2:14" ht="15.75" customHeight="1" x14ac:dyDescent="0.25">
      <c r="B43" s="20"/>
      <c r="C43" s="5" t="s">
        <v>217</v>
      </c>
      <c r="D43" s="6" t="s">
        <v>182</v>
      </c>
      <c r="E43" s="11">
        <v>9.4070000000000004E-3</v>
      </c>
      <c r="F43" s="1"/>
      <c r="G43" s="1"/>
      <c r="H43" s="1"/>
      <c r="I43" s="1"/>
      <c r="J43" s="1"/>
      <c r="K43" s="1"/>
      <c r="L43" s="1"/>
      <c r="M43" s="1"/>
      <c r="N43" s="18"/>
    </row>
    <row r="44" spans="2:14" ht="15" customHeight="1" x14ac:dyDescent="0.25">
      <c r="B44" s="20"/>
      <c r="C44" s="5" t="s">
        <v>219</v>
      </c>
      <c r="D44" s="6" t="s">
        <v>182</v>
      </c>
      <c r="E44" s="11">
        <v>6.6109999999999997E-3</v>
      </c>
      <c r="F44" s="1"/>
      <c r="G44" s="1"/>
      <c r="H44" s="1"/>
      <c r="I44" s="1"/>
      <c r="J44" s="1"/>
      <c r="K44" s="1"/>
      <c r="L44" s="1"/>
      <c r="M44" s="1"/>
      <c r="N44" s="18"/>
    </row>
    <row r="45" spans="2:14" ht="15" customHeight="1" x14ac:dyDescent="0.25">
      <c r="B45" s="20"/>
      <c r="C45" s="5" t="s">
        <v>221</v>
      </c>
      <c r="D45" s="6" t="s">
        <v>182</v>
      </c>
      <c r="E45" s="11">
        <v>6.5279999999999999E-3</v>
      </c>
      <c r="F45" s="1"/>
      <c r="G45" s="1"/>
      <c r="H45" s="1"/>
      <c r="I45" s="1"/>
      <c r="J45" s="1"/>
      <c r="K45" s="1"/>
      <c r="L45" s="1"/>
      <c r="M45" s="1"/>
      <c r="N45" s="18"/>
    </row>
    <row r="46" spans="2:14" ht="15" customHeight="1" x14ac:dyDescent="0.25">
      <c r="B46" s="20"/>
      <c r="C46" s="5" t="s">
        <v>215</v>
      </c>
      <c r="D46" s="6" t="s">
        <v>182</v>
      </c>
      <c r="E46" s="11">
        <v>3.3349999999999999E-3</v>
      </c>
      <c r="F46" s="1"/>
      <c r="G46" s="1"/>
      <c r="H46" s="1"/>
      <c r="I46" s="1"/>
      <c r="J46" s="1"/>
      <c r="K46" s="1"/>
      <c r="L46" s="1"/>
      <c r="M46" s="1"/>
      <c r="N46" s="18"/>
    </row>
    <row r="47" spans="2:14" ht="15" customHeight="1" x14ac:dyDescent="0.25">
      <c r="B47" s="20"/>
      <c r="C47" s="5" t="s">
        <v>216</v>
      </c>
      <c r="D47" s="6" t="s">
        <v>182</v>
      </c>
      <c r="E47" s="11">
        <v>2.6809999999999998E-3</v>
      </c>
      <c r="F47" s="1"/>
      <c r="G47" s="1"/>
      <c r="H47" s="1"/>
      <c r="I47" s="1"/>
      <c r="J47" s="1"/>
      <c r="K47" s="1"/>
      <c r="L47" s="1"/>
      <c r="M47" s="1"/>
      <c r="N47" s="18"/>
    </row>
    <row r="48" spans="2:14" ht="15" customHeight="1" x14ac:dyDescent="0.25">
      <c r="B48" s="20"/>
      <c r="C48" s="5" t="s">
        <v>222</v>
      </c>
      <c r="D48" s="6" t="s">
        <v>182</v>
      </c>
      <c r="E48" s="11">
        <v>2.6380000000000002E-3</v>
      </c>
      <c r="F48" s="1"/>
      <c r="G48" s="1"/>
      <c r="H48" s="1"/>
      <c r="I48" s="1"/>
      <c r="J48" s="1"/>
      <c r="K48" s="1"/>
      <c r="L48" s="1"/>
      <c r="M48" s="1"/>
      <c r="N48" s="18"/>
    </row>
    <row r="49" spans="2:14" ht="15" customHeight="1" x14ac:dyDescent="0.25">
      <c r="B49" s="20"/>
      <c r="C49" s="5" t="s">
        <v>218</v>
      </c>
      <c r="D49" s="6" t="s">
        <v>182</v>
      </c>
      <c r="E49" s="11">
        <v>2.0040000000000001E-3</v>
      </c>
      <c r="F49" s="1"/>
      <c r="G49" s="1"/>
      <c r="H49" s="1"/>
      <c r="I49" s="1"/>
      <c r="J49" s="1"/>
      <c r="K49" s="1"/>
      <c r="L49" s="1"/>
      <c r="M49" s="1"/>
      <c r="N49" s="18"/>
    </row>
    <row r="50" spans="2:14" ht="15" customHeight="1" x14ac:dyDescent="0.25">
      <c r="B50" s="20"/>
      <c r="C50" s="5" t="s">
        <v>214</v>
      </c>
      <c r="D50" s="6" t="s">
        <v>182</v>
      </c>
      <c r="E50" s="11">
        <v>1.3420000000000001E-3</v>
      </c>
      <c r="F50" s="1"/>
      <c r="G50" s="1"/>
      <c r="H50" s="1"/>
      <c r="I50" s="1"/>
      <c r="J50" s="1"/>
      <c r="K50" s="1"/>
      <c r="L50" s="1"/>
      <c r="M50" s="1"/>
      <c r="N50" s="18"/>
    </row>
    <row r="51" spans="2:14" ht="15" customHeight="1" x14ac:dyDescent="0.25">
      <c r="B51" s="20"/>
      <c r="C51" s="5" t="s">
        <v>225</v>
      </c>
      <c r="D51" s="6" t="s">
        <v>182</v>
      </c>
      <c r="E51" s="11">
        <v>1.3339999999999999E-3</v>
      </c>
      <c r="F51" s="1"/>
      <c r="G51" s="1"/>
      <c r="H51" s="1"/>
      <c r="I51" s="1"/>
      <c r="J51" s="1"/>
      <c r="K51" s="1"/>
      <c r="L51" s="1"/>
      <c r="M51" s="1"/>
      <c r="N51" s="18"/>
    </row>
    <row r="52" spans="2:14" ht="15" customHeight="1" x14ac:dyDescent="0.25">
      <c r="B52" s="20"/>
      <c r="C52" s="5" t="s">
        <v>220</v>
      </c>
      <c r="D52" s="6" t="s">
        <v>182</v>
      </c>
      <c r="E52" s="11">
        <v>1.3290000000000001E-3</v>
      </c>
      <c r="F52" s="1"/>
      <c r="G52" s="1"/>
      <c r="H52" s="1"/>
      <c r="I52" s="1"/>
      <c r="J52" s="1"/>
      <c r="K52" s="1"/>
      <c r="L52" s="1"/>
      <c r="M52" s="1"/>
      <c r="N52" s="18"/>
    </row>
    <row r="53" spans="2:14" ht="15" customHeight="1" x14ac:dyDescent="0.25">
      <c r="B53" s="20"/>
      <c r="C53" s="7" t="s">
        <v>49</v>
      </c>
      <c r="D53" s="8"/>
      <c r="E53" s="12">
        <v>9.4113000000000002E-2</v>
      </c>
      <c r="F53" s="1"/>
      <c r="G53" s="1"/>
      <c r="H53" s="1"/>
      <c r="I53" s="1"/>
      <c r="J53" s="1"/>
      <c r="K53" s="1"/>
      <c r="L53" s="1"/>
      <c r="M53" s="1"/>
      <c r="N53" s="18"/>
    </row>
    <row r="54" spans="2:14" ht="15" customHeight="1" x14ac:dyDescent="0.25">
      <c r="B54" s="20"/>
      <c r="C54" s="5" t="s">
        <v>31</v>
      </c>
      <c r="D54" s="6"/>
      <c r="E54" s="11">
        <v>0.105157</v>
      </c>
      <c r="F54" s="1"/>
      <c r="G54" s="1"/>
      <c r="H54" s="1"/>
      <c r="I54" s="1"/>
      <c r="J54" s="1"/>
      <c r="K54" s="1"/>
      <c r="L54" s="1"/>
      <c r="M54" s="1"/>
      <c r="N54" s="18"/>
    </row>
    <row r="55" spans="2:14" ht="15" customHeight="1" x14ac:dyDescent="0.25">
      <c r="B55" s="20"/>
      <c r="C55" s="7" t="s">
        <v>32</v>
      </c>
      <c r="D55" s="8"/>
      <c r="E55" s="12">
        <v>0.105157</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33</v>
      </c>
      <c r="D57" s="8"/>
      <c r="E57" s="12">
        <v>-7.6660000000000001E-3</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34</v>
      </c>
      <c r="D59" s="10"/>
      <c r="E59" s="13">
        <v>1</v>
      </c>
      <c r="F59" s="1"/>
      <c r="G59" s="1"/>
      <c r="H59" s="1"/>
      <c r="I59" s="1"/>
      <c r="J59" s="1"/>
      <c r="K59" s="1"/>
      <c r="L59" s="1"/>
      <c r="M59" s="1"/>
      <c r="N59" s="18"/>
    </row>
    <row r="60" spans="2:14" ht="15" customHeight="1" thickBot="1" x14ac:dyDescent="0.3">
      <c r="B60" s="21"/>
      <c r="C60" s="22"/>
      <c r="D60" s="22"/>
      <c r="E60" s="22"/>
      <c r="F60" s="22"/>
      <c r="G60" s="22"/>
      <c r="H60" s="22"/>
      <c r="I60" s="22"/>
      <c r="J60" s="22"/>
      <c r="K60" s="22"/>
      <c r="L60" s="22"/>
      <c r="M60" s="22"/>
      <c r="N60" s="23"/>
    </row>
    <row r="61" spans="2:14" ht="15" customHeight="1" thickBot="1" x14ac:dyDescent="0.3"/>
    <row r="62" spans="2:14" ht="15" customHeight="1" x14ac:dyDescent="0.25">
      <c r="B62" s="72" t="s">
        <v>295</v>
      </c>
      <c r="C62" s="73"/>
      <c r="D62" s="73"/>
      <c r="E62" s="73"/>
      <c r="F62" s="73"/>
      <c r="G62" s="73"/>
      <c r="H62" s="73"/>
      <c r="I62" s="73"/>
      <c r="J62" s="73"/>
      <c r="K62" s="73"/>
      <c r="L62" s="73"/>
      <c r="M62" s="73"/>
      <c r="N62" s="74"/>
    </row>
    <row r="63" spans="2:14" ht="15" customHeight="1" x14ac:dyDescent="0.25">
      <c r="B63" s="75"/>
      <c r="C63" s="76"/>
      <c r="D63" s="76"/>
      <c r="E63" s="76"/>
      <c r="F63" s="76"/>
      <c r="G63" s="76"/>
      <c r="H63" s="76"/>
      <c r="I63" s="76"/>
      <c r="J63" s="76"/>
      <c r="K63" s="76"/>
      <c r="L63" s="76"/>
      <c r="M63" s="76"/>
      <c r="N63" s="77"/>
    </row>
    <row r="64" spans="2:14" ht="15" customHeight="1" x14ac:dyDescent="0.25">
      <c r="B64" s="75"/>
      <c r="C64" s="76"/>
      <c r="D64" s="76"/>
      <c r="E64" s="76"/>
      <c r="F64" s="76"/>
      <c r="G64" s="76"/>
      <c r="H64" s="76"/>
      <c r="I64" s="76"/>
      <c r="J64" s="76"/>
      <c r="K64" s="76"/>
      <c r="L64" s="76"/>
      <c r="M64" s="76"/>
      <c r="N64" s="77"/>
    </row>
    <row r="65" spans="2:14" ht="15" customHeight="1" thickBot="1" x14ac:dyDescent="0.3">
      <c r="B65" s="78"/>
      <c r="C65" s="79"/>
      <c r="D65" s="79"/>
      <c r="E65" s="79"/>
      <c r="F65" s="79"/>
      <c r="G65" s="79"/>
      <c r="H65" s="79"/>
      <c r="I65" s="79"/>
      <c r="J65" s="79"/>
      <c r="K65" s="79"/>
      <c r="L65" s="79"/>
      <c r="M65" s="79"/>
      <c r="N65" s="80"/>
    </row>
    <row r="66" spans="2:14" ht="15" customHeight="1" thickBot="1" x14ac:dyDescent="0.3"/>
    <row r="67" spans="2:14" ht="128.25" customHeight="1" thickBot="1" x14ac:dyDescent="0.3">
      <c r="B67" s="81" t="s">
        <v>294</v>
      </c>
      <c r="C67" s="82"/>
      <c r="D67" s="82"/>
      <c r="E67" s="82"/>
      <c r="F67" s="82"/>
      <c r="G67" s="82"/>
      <c r="H67" s="82"/>
      <c r="I67" s="82"/>
      <c r="J67" s="82"/>
      <c r="K67" s="82"/>
      <c r="L67" s="82"/>
      <c r="M67" s="82"/>
      <c r="N67" s="83"/>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sheetData>
  <sortState ref="C40:E52">
    <sortCondition descending="1" ref="E40"/>
  </sortState>
  <mergeCells count="7">
    <mergeCell ref="B62:N65"/>
    <mergeCell ref="B67:N67"/>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FDF7-46B9-4885-BD91-3B4EF19F07E4}">
  <dimension ref="B1:N69"/>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178</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179</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42</v>
      </c>
      <c r="D8" s="6" t="s">
        <v>13</v>
      </c>
      <c r="E8" s="11">
        <v>0.109338</v>
      </c>
      <c r="F8" s="1"/>
      <c r="G8" s="32" t="s">
        <v>292</v>
      </c>
      <c r="H8" s="29">
        <v>0.95523000000000002</v>
      </c>
      <c r="I8" s="1"/>
      <c r="J8" s="24" t="s">
        <v>35</v>
      </c>
      <c r="K8" s="24" t="s">
        <v>3</v>
      </c>
      <c r="L8" s="1"/>
      <c r="M8" s="1"/>
      <c r="N8" s="18"/>
    </row>
    <row r="9" spans="2:14" ht="15" customHeight="1" x14ac:dyDescent="0.25">
      <c r="B9" s="20"/>
      <c r="C9" s="5" t="s">
        <v>44</v>
      </c>
      <c r="D9" s="6" t="s">
        <v>13</v>
      </c>
      <c r="E9" s="11">
        <v>5.9622000000000001E-2</v>
      </c>
      <c r="F9" s="1"/>
      <c r="G9" s="24" t="s">
        <v>95</v>
      </c>
      <c r="H9" s="29">
        <v>4.4769999999999997E-2</v>
      </c>
      <c r="I9" s="1"/>
      <c r="J9" s="24" t="s">
        <v>33</v>
      </c>
      <c r="K9" s="29">
        <v>1.7735000000000001E-2</v>
      </c>
      <c r="L9" s="1"/>
      <c r="M9" s="1"/>
      <c r="N9" s="18"/>
    </row>
    <row r="10" spans="2:14" ht="15" customHeight="1" x14ac:dyDescent="0.25">
      <c r="B10" s="20"/>
      <c r="C10" s="5" t="s">
        <v>12</v>
      </c>
      <c r="D10" s="6" t="s">
        <v>13</v>
      </c>
      <c r="E10" s="11">
        <v>5.9379000000000001E-2</v>
      </c>
      <c r="F10" s="1"/>
      <c r="G10" s="1"/>
      <c r="H10" s="1"/>
      <c r="I10" s="1"/>
      <c r="J10" s="24" t="s">
        <v>36</v>
      </c>
      <c r="K10" s="29">
        <v>0.12778600000000001</v>
      </c>
      <c r="L10" s="1"/>
      <c r="M10" s="1"/>
      <c r="N10" s="18"/>
    </row>
    <row r="11" spans="2:14" ht="15" customHeight="1" x14ac:dyDescent="0.25">
      <c r="B11" s="20"/>
      <c r="C11" s="5" t="s">
        <v>14</v>
      </c>
      <c r="D11" s="6" t="s">
        <v>13</v>
      </c>
      <c r="E11" s="11">
        <v>5.2544E-2</v>
      </c>
      <c r="F11" s="1"/>
      <c r="G11" s="1"/>
      <c r="H11" s="1"/>
      <c r="I11" s="1"/>
      <c r="J11" s="24" t="s">
        <v>37</v>
      </c>
      <c r="K11" s="29">
        <v>0.35918899999999998</v>
      </c>
      <c r="L11" s="1"/>
      <c r="M11" s="1"/>
      <c r="N11" s="18"/>
    </row>
    <row r="12" spans="2:14" ht="15" customHeight="1" x14ac:dyDescent="0.25">
      <c r="B12" s="20"/>
      <c r="C12" s="5" t="s">
        <v>43</v>
      </c>
      <c r="D12" s="6" t="s">
        <v>13</v>
      </c>
      <c r="E12" s="11">
        <v>2.6384999999999999E-2</v>
      </c>
      <c r="F12" s="1"/>
      <c r="G12" s="1"/>
      <c r="H12" s="1"/>
      <c r="I12" s="1"/>
      <c r="J12" s="24" t="s">
        <v>38</v>
      </c>
      <c r="K12" s="29">
        <v>0.45655000000000001</v>
      </c>
      <c r="L12" s="1"/>
      <c r="M12" s="1"/>
      <c r="N12" s="18"/>
    </row>
    <row r="13" spans="2:14" ht="15" customHeight="1" x14ac:dyDescent="0.25">
      <c r="B13" s="20"/>
      <c r="C13" s="5" t="s">
        <v>135</v>
      </c>
      <c r="D13" s="6" t="s">
        <v>13</v>
      </c>
      <c r="E13" s="11">
        <v>2.085E-2</v>
      </c>
      <c r="F13" s="1"/>
      <c r="G13" s="1"/>
      <c r="H13" s="1"/>
      <c r="I13" s="1"/>
      <c r="J13" s="24" t="s">
        <v>59</v>
      </c>
      <c r="K13" s="29">
        <v>2.9388000000000001E-2</v>
      </c>
      <c r="L13" s="1"/>
      <c r="M13" s="1"/>
      <c r="N13" s="18"/>
    </row>
    <row r="14" spans="2:14" ht="15" customHeight="1" x14ac:dyDescent="0.25">
      <c r="B14" s="20"/>
      <c r="C14" s="5" t="s">
        <v>19</v>
      </c>
      <c r="D14" s="6" t="s">
        <v>13</v>
      </c>
      <c r="E14" s="11">
        <v>1.8457000000000001E-2</v>
      </c>
      <c r="F14" s="1"/>
      <c r="G14" s="1"/>
      <c r="H14" s="1"/>
      <c r="I14" s="1"/>
      <c r="J14" s="24" t="s">
        <v>22</v>
      </c>
      <c r="K14" s="29">
        <v>2.7669999999999999E-3</v>
      </c>
      <c r="L14" s="1"/>
      <c r="M14" s="1"/>
      <c r="N14" s="18"/>
    </row>
    <row r="15" spans="2:14" ht="15" customHeight="1" x14ac:dyDescent="0.25">
      <c r="B15" s="20"/>
      <c r="C15" s="5" t="s">
        <v>137</v>
      </c>
      <c r="D15" s="6" t="s">
        <v>13</v>
      </c>
      <c r="E15" s="11">
        <v>1.2614E-2</v>
      </c>
      <c r="F15" s="1"/>
      <c r="G15" s="1"/>
      <c r="H15" s="1"/>
      <c r="I15" s="1"/>
      <c r="J15" s="24" t="s">
        <v>78</v>
      </c>
      <c r="K15" s="29">
        <v>6.5849999999999997E-3</v>
      </c>
      <c r="L15" s="1"/>
      <c r="M15" s="1"/>
      <c r="N15" s="18"/>
    </row>
    <row r="16" spans="2:14" ht="15.75" customHeight="1" x14ac:dyDescent="0.25">
      <c r="B16" s="20"/>
      <c r="C16" s="7" t="s">
        <v>15</v>
      </c>
      <c r="D16" s="8"/>
      <c r="E16" s="12">
        <v>0.35918899999999998</v>
      </c>
      <c r="F16" s="1"/>
      <c r="G16" s="1"/>
      <c r="H16" s="1"/>
      <c r="I16" s="1"/>
      <c r="J16" s="1"/>
      <c r="K16" s="1"/>
      <c r="L16" s="1"/>
      <c r="M16" s="1"/>
      <c r="N16" s="18"/>
    </row>
    <row r="17" spans="2:14" ht="15" customHeight="1" x14ac:dyDescent="0.25">
      <c r="B17" s="20"/>
      <c r="C17" s="5" t="s">
        <v>180</v>
      </c>
      <c r="D17" s="6" t="s">
        <v>13</v>
      </c>
      <c r="E17" s="11">
        <v>2.5478000000000001E-2</v>
      </c>
      <c r="F17" s="1"/>
      <c r="G17" s="1"/>
      <c r="H17" s="1"/>
      <c r="I17" s="1"/>
      <c r="J17" s="1"/>
      <c r="K17" s="1"/>
      <c r="L17" s="1"/>
      <c r="M17" s="1"/>
      <c r="N17" s="18"/>
    </row>
    <row r="18" spans="2:14" ht="15" customHeight="1" x14ac:dyDescent="0.25">
      <c r="B18" s="20"/>
      <c r="C18" s="5" t="s">
        <v>142</v>
      </c>
      <c r="D18" s="6" t="s">
        <v>13</v>
      </c>
      <c r="E18" s="11">
        <v>3.9100000000000003E-3</v>
      </c>
      <c r="F18" s="1"/>
      <c r="G18" s="1"/>
      <c r="H18" s="1"/>
      <c r="I18" s="1"/>
      <c r="J18" s="1"/>
      <c r="K18" s="1"/>
      <c r="L18" s="1"/>
      <c r="M18" s="1"/>
      <c r="N18" s="18"/>
    </row>
    <row r="19" spans="2:14" ht="15.75" customHeight="1" x14ac:dyDescent="0.25">
      <c r="B19" s="20"/>
      <c r="C19" s="7" t="s">
        <v>55</v>
      </c>
      <c r="D19" s="8"/>
      <c r="E19" s="12">
        <v>2.9388000000000001E-2</v>
      </c>
      <c r="F19" s="1"/>
      <c r="G19" s="1"/>
      <c r="H19" s="1"/>
      <c r="I19" s="1"/>
      <c r="J19" s="1"/>
      <c r="K19" s="1"/>
      <c r="L19" s="1"/>
      <c r="M19" s="1"/>
      <c r="N19" s="18"/>
    </row>
    <row r="20" spans="2:14" ht="15" customHeight="1" x14ac:dyDescent="0.25">
      <c r="B20" s="20"/>
      <c r="C20" s="5" t="s">
        <v>19</v>
      </c>
      <c r="D20" s="6" t="s">
        <v>17</v>
      </c>
      <c r="E20" s="11">
        <v>9.9380999999999997E-2</v>
      </c>
      <c r="F20" s="1"/>
      <c r="G20" s="1"/>
      <c r="H20" s="1"/>
      <c r="I20" s="1"/>
      <c r="J20" s="1"/>
      <c r="K20" s="1"/>
      <c r="L20" s="1"/>
      <c r="M20" s="1"/>
      <c r="N20" s="18"/>
    </row>
    <row r="21" spans="2:14" ht="15" customHeight="1" x14ac:dyDescent="0.25">
      <c r="B21" s="20"/>
      <c r="C21" s="5" t="s">
        <v>20</v>
      </c>
      <c r="D21" s="6" t="s">
        <v>17</v>
      </c>
      <c r="E21" s="11">
        <v>6.8095000000000003E-2</v>
      </c>
      <c r="F21" s="1"/>
      <c r="G21" s="1"/>
      <c r="H21" s="1"/>
      <c r="I21" s="1"/>
      <c r="J21" s="1"/>
      <c r="K21" s="1"/>
      <c r="L21" s="1"/>
      <c r="M21" s="1"/>
      <c r="N21" s="18"/>
    </row>
    <row r="22" spans="2:14" ht="15" customHeight="1" x14ac:dyDescent="0.25">
      <c r="B22" s="20"/>
      <c r="C22" s="5" t="s">
        <v>18</v>
      </c>
      <c r="D22" s="6" t="s">
        <v>17</v>
      </c>
      <c r="E22" s="11">
        <v>5.3380999999999998E-2</v>
      </c>
      <c r="F22" s="1"/>
      <c r="G22" s="1"/>
      <c r="H22" s="1"/>
      <c r="I22" s="1"/>
      <c r="J22" s="1"/>
      <c r="K22" s="1"/>
      <c r="L22" s="1"/>
      <c r="M22" s="1"/>
      <c r="N22" s="18"/>
    </row>
    <row r="23" spans="2:14" ht="15" customHeight="1" x14ac:dyDescent="0.25">
      <c r="B23" s="20"/>
      <c r="C23" s="5" t="s">
        <v>67</v>
      </c>
      <c r="D23" s="6" t="s">
        <v>17</v>
      </c>
      <c r="E23" s="11">
        <v>5.1533000000000002E-2</v>
      </c>
      <c r="F23" s="1"/>
      <c r="G23" s="1"/>
      <c r="H23" s="1"/>
      <c r="I23" s="1"/>
      <c r="J23" s="1"/>
      <c r="K23" s="1"/>
      <c r="L23" s="1"/>
      <c r="M23" s="1"/>
      <c r="N23" s="18"/>
    </row>
    <row r="24" spans="2:14" ht="15" customHeight="1" x14ac:dyDescent="0.25">
      <c r="B24" s="20"/>
      <c r="C24" s="5" t="s">
        <v>12</v>
      </c>
      <c r="D24" s="6" t="s">
        <v>17</v>
      </c>
      <c r="E24" s="11">
        <v>4.7419999999999997E-2</v>
      </c>
      <c r="F24" s="1"/>
      <c r="G24" s="89" t="s">
        <v>117</v>
      </c>
      <c r="H24" s="90"/>
      <c r="I24" s="90"/>
      <c r="J24" s="90"/>
      <c r="K24" s="90"/>
      <c r="L24" s="39">
        <v>173.40280469986888</v>
      </c>
      <c r="M24" s="26"/>
      <c r="N24" s="27"/>
    </row>
    <row r="25" spans="2:14" ht="15" customHeight="1" x14ac:dyDescent="0.25">
      <c r="B25" s="20"/>
      <c r="C25" s="5" t="s">
        <v>56</v>
      </c>
      <c r="D25" s="6" t="s">
        <v>17</v>
      </c>
      <c r="E25" s="11">
        <v>4.0537999999999998E-2</v>
      </c>
      <c r="F25" s="1"/>
      <c r="G25" s="1"/>
      <c r="H25" s="1"/>
      <c r="I25" s="1"/>
      <c r="J25" s="1"/>
      <c r="K25" s="1"/>
      <c r="L25" s="1"/>
      <c r="M25" s="1"/>
      <c r="N25" s="18"/>
    </row>
    <row r="26" spans="2:14" ht="15" customHeight="1" x14ac:dyDescent="0.25">
      <c r="B26" s="20"/>
      <c r="C26" s="5" t="s">
        <v>126</v>
      </c>
      <c r="D26" s="6" t="s">
        <v>90</v>
      </c>
      <c r="E26" s="11">
        <v>3.2611000000000001E-2</v>
      </c>
      <c r="F26" s="1"/>
      <c r="G26" s="89" t="s">
        <v>6</v>
      </c>
      <c r="H26" s="90"/>
      <c r="I26" s="90"/>
      <c r="J26" s="90"/>
      <c r="K26" s="90"/>
      <c r="L26" s="90"/>
      <c r="M26" s="90"/>
      <c r="N26" s="91"/>
    </row>
    <row r="27" spans="2:14" ht="15" customHeight="1" x14ac:dyDescent="0.25">
      <c r="B27" s="20"/>
      <c r="C27" s="5" t="s">
        <v>147</v>
      </c>
      <c r="D27" s="6" t="s">
        <v>17</v>
      </c>
      <c r="E27" s="11">
        <v>1.6253E-2</v>
      </c>
      <c r="F27" s="1"/>
      <c r="G27" s="1"/>
      <c r="H27" s="1"/>
      <c r="I27" s="1"/>
      <c r="J27" s="1"/>
      <c r="K27" s="1"/>
      <c r="L27" s="1"/>
      <c r="M27" s="1"/>
      <c r="N27" s="18"/>
    </row>
    <row r="28" spans="2:14" ht="15" customHeight="1" x14ac:dyDescent="0.25">
      <c r="B28" s="20"/>
      <c r="C28" s="5" t="s">
        <v>125</v>
      </c>
      <c r="D28" s="6" t="s">
        <v>90</v>
      </c>
      <c r="E28" s="11">
        <v>1.2159E-2</v>
      </c>
      <c r="F28" s="1"/>
      <c r="G28" s="1"/>
      <c r="H28" s="1"/>
      <c r="I28" s="1"/>
      <c r="J28" s="1"/>
      <c r="K28" s="1"/>
      <c r="L28" s="1"/>
      <c r="M28" s="1"/>
      <c r="N28" s="18"/>
    </row>
    <row r="29" spans="2:14" ht="15" customHeight="1" x14ac:dyDescent="0.25">
      <c r="B29" s="20"/>
      <c r="C29" s="5" t="s">
        <v>47</v>
      </c>
      <c r="D29" s="6" t="s">
        <v>17</v>
      </c>
      <c r="E29" s="11">
        <v>9.4789999999999996E-3</v>
      </c>
      <c r="F29" s="1"/>
      <c r="G29" s="1"/>
      <c r="H29" s="1"/>
      <c r="I29" s="1"/>
      <c r="J29" s="1"/>
      <c r="K29" s="1"/>
      <c r="L29" s="1"/>
      <c r="M29" s="1"/>
      <c r="N29" s="18"/>
    </row>
    <row r="30" spans="2:14" ht="15" customHeight="1" x14ac:dyDescent="0.25">
      <c r="B30" s="20"/>
      <c r="C30" s="5" t="s">
        <v>62</v>
      </c>
      <c r="D30" s="6" t="s">
        <v>17</v>
      </c>
      <c r="E30" s="11">
        <v>9.4730000000000005E-3</v>
      </c>
      <c r="F30" s="1"/>
      <c r="G30" s="1"/>
      <c r="H30" s="1"/>
      <c r="I30" s="1"/>
      <c r="J30" s="1"/>
      <c r="K30" s="1"/>
      <c r="L30" s="1"/>
      <c r="M30" s="1"/>
      <c r="N30" s="18"/>
    </row>
    <row r="31" spans="2:14" ht="15" customHeight="1" x14ac:dyDescent="0.25">
      <c r="B31" s="20"/>
      <c r="C31" s="5" t="s">
        <v>46</v>
      </c>
      <c r="D31" s="6" t="s">
        <v>17</v>
      </c>
      <c r="E31" s="11">
        <v>6.7669999999999996E-3</v>
      </c>
      <c r="F31" s="1"/>
      <c r="G31" s="1"/>
      <c r="H31" s="1"/>
      <c r="I31" s="1"/>
      <c r="J31" s="1"/>
      <c r="K31" s="1"/>
      <c r="L31" s="1"/>
      <c r="M31" s="1"/>
      <c r="N31" s="18"/>
    </row>
    <row r="32" spans="2:14" ht="15" customHeight="1" x14ac:dyDescent="0.25">
      <c r="B32" s="20"/>
      <c r="C32" s="5" t="s">
        <v>181</v>
      </c>
      <c r="D32" s="6" t="s">
        <v>17</v>
      </c>
      <c r="E32" s="11">
        <v>6.7629999999999999E-3</v>
      </c>
      <c r="F32" s="1"/>
      <c r="G32" s="1"/>
      <c r="H32" s="1"/>
      <c r="I32" s="1"/>
      <c r="J32" s="1"/>
      <c r="K32" s="1"/>
      <c r="L32" s="1"/>
      <c r="M32" s="1"/>
      <c r="N32" s="18"/>
    </row>
    <row r="33" spans="2:14" ht="15" customHeight="1" x14ac:dyDescent="0.25">
      <c r="B33" s="20"/>
      <c r="C33" s="5" t="s">
        <v>45</v>
      </c>
      <c r="D33" s="6" t="s">
        <v>17</v>
      </c>
      <c r="E33" s="11">
        <v>1.3519999999999999E-3</v>
      </c>
      <c r="F33" s="1"/>
      <c r="G33" s="1"/>
      <c r="H33" s="1"/>
      <c r="I33" s="1"/>
      <c r="J33" s="1"/>
      <c r="K33" s="1"/>
      <c r="L33" s="1"/>
      <c r="M33" s="1"/>
      <c r="N33" s="18"/>
    </row>
    <row r="34" spans="2:14" ht="15" customHeight="1" x14ac:dyDescent="0.25">
      <c r="B34" s="20"/>
      <c r="C34" s="5" t="s">
        <v>16</v>
      </c>
      <c r="D34" s="6" t="s">
        <v>17</v>
      </c>
      <c r="E34" s="11">
        <v>1.3450000000000001E-3</v>
      </c>
      <c r="F34" s="1"/>
      <c r="G34" s="1"/>
      <c r="H34" s="1"/>
      <c r="I34" s="1"/>
      <c r="J34" s="1"/>
      <c r="K34" s="1"/>
      <c r="L34" s="1"/>
      <c r="M34" s="1"/>
      <c r="N34" s="18"/>
    </row>
    <row r="35" spans="2:14" ht="15.75" customHeight="1" x14ac:dyDescent="0.25">
      <c r="B35" s="20"/>
      <c r="C35" s="7" t="s">
        <v>21</v>
      </c>
      <c r="D35" s="8"/>
      <c r="E35" s="12">
        <v>0.45655000000000001</v>
      </c>
      <c r="F35" s="1"/>
      <c r="G35" s="1"/>
      <c r="H35" s="1"/>
      <c r="I35" s="1"/>
      <c r="J35" s="1"/>
      <c r="K35" s="1"/>
      <c r="L35" s="1"/>
      <c r="M35" s="1"/>
      <c r="N35" s="18"/>
    </row>
    <row r="36" spans="2:14" ht="15" customHeight="1" x14ac:dyDescent="0.25">
      <c r="B36" s="20"/>
      <c r="C36" s="5" t="s">
        <v>22</v>
      </c>
      <c r="D36" s="6"/>
      <c r="E36" s="11">
        <v>2.7669999999999999E-3</v>
      </c>
      <c r="F36" s="1"/>
      <c r="G36" s="1"/>
      <c r="H36" s="1"/>
      <c r="I36" s="1"/>
      <c r="J36" s="1"/>
      <c r="K36" s="1"/>
      <c r="L36" s="1"/>
      <c r="M36" s="1"/>
      <c r="N36" s="18"/>
    </row>
    <row r="37" spans="2:14" ht="15.75" customHeight="1" x14ac:dyDescent="0.25">
      <c r="B37" s="20"/>
      <c r="C37" s="7" t="s">
        <v>23</v>
      </c>
      <c r="D37" s="8"/>
      <c r="E37" s="12">
        <v>2.7669999999999999E-3</v>
      </c>
      <c r="F37" s="1"/>
      <c r="G37" s="1"/>
      <c r="H37" s="1"/>
      <c r="I37" s="1"/>
      <c r="J37" s="1"/>
      <c r="K37" s="1"/>
      <c r="L37" s="1"/>
      <c r="M37" s="1"/>
      <c r="N37" s="18"/>
    </row>
    <row r="38" spans="2:14" ht="15" customHeight="1" x14ac:dyDescent="0.25">
      <c r="B38" s="20"/>
      <c r="C38" s="5" t="s">
        <v>31</v>
      </c>
      <c r="D38" s="6"/>
      <c r="E38" s="11">
        <v>0.12778600000000001</v>
      </c>
      <c r="F38" s="1"/>
      <c r="G38" s="1"/>
      <c r="H38" s="1"/>
      <c r="I38" s="1"/>
      <c r="J38" s="1"/>
      <c r="K38" s="1"/>
      <c r="L38" s="1"/>
      <c r="M38" s="1"/>
      <c r="N38" s="18"/>
    </row>
    <row r="39" spans="2:14" ht="15.75" customHeight="1" x14ac:dyDescent="0.25">
      <c r="B39" s="20"/>
      <c r="C39" s="7" t="s">
        <v>32</v>
      </c>
      <c r="D39" s="8"/>
      <c r="E39" s="12">
        <v>0.12778600000000001</v>
      </c>
      <c r="F39" s="1"/>
      <c r="G39" s="1"/>
      <c r="H39" s="1"/>
      <c r="I39" s="1"/>
      <c r="J39" s="1"/>
      <c r="K39" s="1"/>
      <c r="L39" s="1"/>
      <c r="M39" s="1"/>
      <c r="N39" s="18"/>
    </row>
    <row r="40" spans="2:14" ht="15" customHeight="1" x14ac:dyDescent="0.25">
      <c r="B40" s="20"/>
      <c r="C40" s="5" t="s">
        <v>56</v>
      </c>
      <c r="D40" s="6" t="s">
        <v>17</v>
      </c>
      <c r="E40" s="11">
        <v>6.5849999999999997E-3</v>
      </c>
      <c r="F40" s="1"/>
      <c r="G40" s="1"/>
      <c r="H40" s="1"/>
      <c r="I40" s="1"/>
      <c r="J40" s="1"/>
      <c r="K40" s="1"/>
      <c r="L40" s="1"/>
      <c r="M40" s="1"/>
      <c r="N40" s="18"/>
    </row>
    <row r="41" spans="2:14" ht="15.75" customHeight="1" x14ac:dyDescent="0.25">
      <c r="B41" s="20"/>
      <c r="C41" s="7" t="s">
        <v>77</v>
      </c>
      <c r="D41" s="8"/>
      <c r="E41" s="12">
        <v>6.5849999999999997E-3</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75" customHeight="1" x14ac:dyDescent="0.25">
      <c r="B43" s="20"/>
      <c r="C43" s="7" t="s">
        <v>33</v>
      </c>
      <c r="D43" s="8"/>
      <c r="E43" s="12">
        <v>1.7735000000000001E-2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34</v>
      </c>
      <c r="D45" s="10"/>
      <c r="E45" s="13">
        <v>1</v>
      </c>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5" customHeight="1" x14ac:dyDescent="0.25">
      <c r="B49" s="72" t="s">
        <v>295</v>
      </c>
      <c r="C49" s="73"/>
      <c r="D49" s="73"/>
      <c r="E49" s="73"/>
      <c r="F49" s="73"/>
      <c r="G49" s="73"/>
      <c r="H49" s="73"/>
      <c r="I49" s="73"/>
      <c r="J49" s="73"/>
      <c r="K49" s="73"/>
      <c r="L49" s="73"/>
      <c r="M49" s="73"/>
      <c r="N49" s="74"/>
    </row>
    <row r="50" spans="2:14" ht="15" customHeight="1" x14ac:dyDescent="0.25">
      <c r="B50" s="75"/>
      <c r="C50" s="76"/>
      <c r="D50" s="76"/>
      <c r="E50" s="76"/>
      <c r="F50" s="76"/>
      <c r="G50" s="76"/>
      <c r="H50" s="76"/>
      <c r="I50" s="76"/>
      <c r="J50" s="76"/>
      <c r="K50" s="76"/>
      <c r="L50" s="76"/>
      <c r="M50" s="76"/>
      <c r="N50" s="77"/>
    </row>
    <row r="51" spans="2:14" ht="15" customHeight="1" x14ac:dyDescent="0.25">
      <c r="B51" s="75"/>
      <c r="C51" s="76"/>
      <c r="D51" s="76"/>
      <c r="E51" s="76"/>
      <c r="F51" s="76"/>
      <c r="G51" s="76"/>
      <c r="H51" s="76"/>
      <c r="I51" s="76"/>
      <c r="J51" s="76"/>
      <c r="K51" s="76"/>
      <c r="L51" s="76"/>
      <c r="M51" s="76"/>
      <c r="N51" s="77"/>
    </row>
    <row r="52" spans="2:14" ht="15" customHeight="1" thickBot="1" x14ac:dyDescent="0.3">
      <c r="B52" s="78"/>
      <c r="C52" s="79"/>
      <c r="D52" s="79"/>
      <c r="E52" s="79"/>
      <c r="F52" s="79"/>
      <c r="G52" s="79"/>
      <c r="H52" s="79"/>
      <c r="I52" s="79"/>
      <c r="J52" s="79"/>
      <c r="K52" s="79"/>
      <c r="L52" s="79"/>
      <c r="M52" s="79"/>
      <c r="N52" s="80"/>
    </row>
    <row r="53" spans="2:14" ht="15" customHeight="1" thickBot="1" x14ac:dyDescent="0.3"/>
    <row r="54" spans="2:14" ht="123" customHeight="1" thickBot="1" x14ac:dyDescent="0.3">
      <c r="B54" s="81" t="s">
        <v>294</v>
      </c>
      <c r="C54" s="82"/>
      <c r="D54" s="82"/>
      <c r="E54" s="82"/>
      <c r="F54" s="82"/>
      <c r="G54" s="82"/>
      <c r="H54" s="82"/>
      <c r="I54" s="82"/>
      <c r="J54" s="82"/>
      <c r="K54" s="82"/>
      <c r="L54" s="82"/>
      <c r="M54" s="82"/>
      <c r="N54" s="83"/>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mergeCells count="7">
    <mergeCell ref="B49:N52"/>
    <mergeCell ref="B54:N54"/>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F93D-8CB9-4671-840C-03F078A683AA}">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120</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121</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22</v>
      </c>
      <c r="D8" s="6"/>
      <c r="E8" s="11">
        <v>2.2569999999999999E-3</v>
      </c>
      <c r="F8" s="1"/>
      <c r="G8" s="24" t="s">
        <v>8</v>
      </c>
      <c r="H8" s="28">
        <v>1</v>
      </c>
      <c r="I8" s="1"/>
      <c r="J8" s="24" t="s">
        <v>35</v>
      </c>
      <c r="K8" s="24" t="s">
        <v>3</v>
      </c>
      <c r="L8" s="1"/>
      <c r="M8" s="1"/>
      <c r="N8" s="18"/>
    </row>
    <row r="9" spans="2:14" ht="15.75" customHeight="1" x14ac:dyDescent="0.25">
      <c r="B9" s="20"/>
      <c r="C9" s="7" t="s">
        <v>23</v>
      </c>
      <c r="D9" s="8"/>
      <c r="E9" s="12">
        <v>2.2569999999999999E-3</v>
      </c>
      <c r="F9" s="1"/>
      <c r="G9" s="1"/>
      <c r="H9" s="1"/>
      <c r="I9" s="1"/>
      <c r="J9" s="24" t="s">
        <v>33</v>
      </c>
      <c r="K9" s="29">
        <v>-4.4103000000000003E-2</v>
      </c>
      <c r="L9" s="1"/>
      <c r="M9" s="1"/>
      <c r="N9" s="18"/>
    </row>
    <row r="10" spans="2:14" ht="15" customHeight="1" x14ac:dyDescent="0.25">
      <c r="B10" s="20"/>
      <c r="C10" s="5" t="s">
        <v>24</v>
      </c>
      <c r="D10" s="6" t="s">
        <v>182</v>
      </c>
      <c r="E10" s="11">
        <v>0.98444600000000004</v>
      </c>
      <c r="F10" s="1"/>
      <c r="G10" s="1"/>
      <c r="H10" s="1"/>
      <c r="I10" s="1"/>
      <c r="J10" s="24" t="s">
        <v>36</v>
      </c>
      <c r="K10" s="29">
        <v>5.7326000000000002E-2</v>
      </c>
      <c r="L10" s="1"/>
      <c r="M10" s="1"/>
      <c r="N10" s="18"/>
    </row>
    <row r="11" spans="2:14" ht="15" customHeight="1" x14ac:dyDescent="0.25">
      <c r="B11" s="20"/>
      <c r="C11" s="5" t="s">
        <v>113</v>
      </c>
      <c r="D11" s="6" t="s">
        <v>182</v>
      </c>
      <c r="E11" s="30">
        <v>3.6999999999999998E-5</v>
      </c>
      <c r="F11" s="1"/>
      <c r="G11" s="1"/>
      <c r="H11" s="1"/>
      <c r="I11" s="1"/>
      <c r="J11" s="24" t="s">
        <v>22</v>
      </c>
      <c r="K11" s="29">
        <v>2.2569999999999999E-3</v>
      </c>
      <c r="L11" s="1"/>
      <c r="M11" s="1"/>
      <c r="N11" s="18"/>
    </row>
    <row r="12" spans="2:14" ht="15" customHeight="1" x14ac:dyDescent="0.25">
      <c r="B12" s="20"/>
      <c r="C12" s="5" t="s">
        <v>122</v>
      </c>
      <c r="D12" s="6" t="s">
        <v>182</v>
      </c>
      <c r="E12" s="30">
        <v>3.6999999999999998E-5</v>
      </c>
      <c r="F12" s="1"/>
      <c r="G12" s="1"/>
      <c r="H12" s="1"/>
      <c r="I12" s="1"/>
      <c r="J12" s="24" t="s">
        <v>39</v>
      </c>
      <c r="K12" s="29">
        <v>0.98451999999999995</v>
      </c>
      <c r="L12" s="1"/>
      <c r="M12" s="1"/>
      <c r="N12" s="18"/>
    </row>
    <row r="13" spans="2:14" ht="15.75" customHeight="1" x14ac:dyDescent="0.25">
      <c r="B13" s="20"/>
      <c r="C13" s="7" t="s">
        <v>30</v>
      </c>
      <c r="D13" s="8"/>
      <c r="E13" s="12">
        <v>0.98451999999999995</v>
      </c>
      <c r="F13" s="1"/>
      <c r="G13" s="1"/>
      <c r="H13" s="1"/>
      <c r="I13" s="1"/>
      <c r="J13" s="1"/>
      <c r="K13" s="1"/>
      <c r="L13" s="1"/>
      <c r="M13" s="1"/>
      <c r="N13" s="18"/>
    </row>
    <row r="14" spans="2:14" ht="15" customHeight="1" x14ac:dyDescent="0.25">
      <c r="B14" s="20"/>
      <c r="C14" s="5" t="s">
        <v>31</v>
      </c>
      <c r="D14" s="6"/>
      <c r="E14" s="11">
        <v>5.7326000000000002E-2</v>
      </c>
      <c r="F14" s="1"/>
      <c r="G14" s="1"/>
      <c r="H14" s="1"/>
      <c r="I14" s="1"/>
      <c r="J14" s="1"/>
      <c r="K14" s="1"/>
      <c r="L14" s="1"/>
      <c r="M14" s="1"/>
      <c r="N14" s="18"/>
    </row>
    <row r="15" spans="2:14" ht="15.75" customHeight="1" x14ac:dyDescent="0.25">
      <c r="B15" s="20"/>
      <c r="C15" s="7" t="s">
        <v>32</v>
      </c>
      <c r="D15" s="8"/>
      <c r="E15" s="12">
        <v>5.7326000000000002E-2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-4.4103000000000003E-2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37">
        <v>28.836291271208072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72" t="s">
        <v>295</v>
      </c>
      <c r="C45" s="73"/>
      <c r="D45" s="73"/>
      <c r="E45" s="73"/>
      <c r="F45" s="73"/>
      <c r="G45" s="73"/>
      <c r="H45" s="73"/>
      <c r="I45" s="73"/>
      <c r="J45" s="73"/>
      <c r="K45" s="73"/>
      <c r="L45" s="73"/>
      <c r="M45" s="73"/>
      <c r="N45" s="74"/>
    </row>
    <row r="46" spans="2:14" x14ac:dyDescent="0.25">
      <c r="B46" s="75"/>
      <c r="C46" s="76"/>
      <c r="D46" s="76"/>
      <c r="E46" s="76"/>
      <c r="F46" s="76"/>
      <c r="G46" s="76"/>
      <c r="H46" s="76"/>
      <c r="I46" s="76"/>
      <c r="J46" s="76"/>
      <c r="K46" s="76"/>
      <c r="L46" s="76"/>
      <c r="M46" s="76"/>
      <c r="N46" s="77"/>
    </row>
    <row r="47" spans="2:14" x14ac:dyDescent="0.25">
      <c r="B47" s="75"/>
      <c r="C47" s="76"/>
      <c r="D47" s="76"/>
      <c r="E47" s="76"/>
      <c r="F47" s="76"/>
      <c r="G47" s="76"/>
      <c r="H47" s="76"/>
      <c r="I47" s="76"/>
      <c r="J47" s="76"/>
      <c r="K47" s="76"/>
      <c r="L47" s="76"/>
      <c r="M47" s="76"/>
      <c r="N47" s="77"/>
    </row>
    <row r="48" spans="2:14" ht="15.75" thickBot="1" x14ac:dyDescent="0.3">
      <c r="B48" s="78"/>
      <c r="C48" s="79"/>
      <c r="D48" s="79"/>
      <c r="E48" s="79"/>
      <c r="F48" s="79"/>
      <c r="G48" s="79"/>
      <c r="H48" s="79"/>
      <c r="I48" s="79"/>
      <c r="J48" s="79"/>
      <c r="K48" s="79"/>
      <c r="L48" s="79"/>
      <c r="M48" s="79"/>
      <c r="N48" s="80"/>
    </row>
    <row r="49" spans="2:14" ht="15.75" thickBot="1" x14ac:dyDescent="0.3"/>
    <row r="50" spans="2:14" ht="123.75" customHeight="1" thickBot="1" x14ac:dyDescent="0.3">
      <c r="B50" s="81" t="s">
        <v>294</v>
      </c>
      <c r="C50" s="82"/>
      <c r="D50" s="82"/>
      <c r="E50" s="82"/>
      <c r="F50" s="82"/>
      <c r="G50" s="82"/>
      <c r="H50" s="82"/>
      <c r="I50" s="82"/>
      <c r="J50" s="82"/>
      <c r="K50" s="82"/>
      <c r="L50" s="82"/>
      <c r="M50" s="82"/>
      <c r="N50" s="83"/>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4744-7644-4928-AEC6-0CF02C308DBD}">
  <dimension ref="B1:N7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7</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290</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73</v>
      </c>
      <c r="D8" s="6" t="s">
        <v>13</v>
      </c>
      <c r="E8" s="11">
        <v>3.7746000000000002E-2</v>
      </c>
      <c r="F8" s="1"/>
      <c r="G8" s="24" t="s">
        <v>8</v>
      </c>
      <c r="H8" s="28">
        <v>1</v>
      </c>
      <c r="I8" s="31"/>
      <c r="J8" s="32" t="s">
        <v>35</v>
      </c>
      <c r="K8" s="32" t="s">
        <v>3</v>
      </c>
      <c r="L8" s="31"/>
      <c r="M8" s="31"/>
      <c r="N8" s="18"/>
    </row>
    <row r="9" spans="2:14" ht="15" customHeight="1" x14ac:dyDescent="0.25">
      <c r="B9" s="20"/>
      <c r="C9" s="5" t="s">
        <v>14</v>
      </c>
      <c r="D9" s="6" t="s">
        <v>13</v>
      </c>
      <c r="E9" s="11">
        <v>3.0116E-2</v>
      </c>
      <c r="F9" s="1"/>
      <c r="G9" s="1"/>
      <c r="H9" s="1"/>
      <c r="I9" s="31"/>
      <c r="J9" s="32" t="s">
        <v>33</v>
      </c>
      <c r="K9" s="33">
        <v>3.2155000000000003E-2</v>
      </c>
      <c r="L9" s="31"/>
      <c r="M9" s="31"/>
      <c r="N9" s="18"/>
    </row>
    <row r="10" spans="2:14" ht="15" customHeight="1" x14ac:dyDescent="0.25">
      <c r="B10" s="20"/>
      <c r="C10" s="5" t="s">
        <v>44</v>
      </c>
      <c r="D10" s="6" t="s">
        <v>13</v>
      </c>
      <c r="E10" s="11">
        <v>1.9088000000000001E-2</v>
      </c>
      <c r="F10" s="1"/>
      <c r="G10" s="1"/>
      <c r="H10" s="1"/>
      <c r="I10" s="31"/>
      <c r="J10" s="32" t="s">
        <v>36</v>
      </c>
      <c r="K10" s="33">
        <v>1.2222999999999999E-2</v>
      </c>
      <c r="L10" s="31"/>
      <c r="M10" s="31"/>
      <c r="N10" s="18"/>
    </row>
    <row r="11" spans="2:14" ht="15" customHeight="1" x14ac:dyDescent="0.25">
      <c r="B11" s="20"/>
      <c r="C11" s="5" t="s">
        <v>53</v>
      </c>
      <c r="D11" s="6" t="s">
        <v>13</v>
      </c>
      <c r="E11" s="11">
        <v>1.7361999999999999E-2</v>
      </c>
      <c r="F11" s="1"/>
      <c r="G11" s="1"/>
      <c r="H11" s="1"/>
      <c r="I11" s="31"/>
      <c r="J11" s="32" t="s">
        <v>37</v>
      </c>
      <c r="K11" s="33">
        <v>0.12581200000000001</v>
      </c>
      <c r="L11" s="31"/>
      <c r="M11" s="31"/>
      <c r="N11" s="18"/>
    </row>
    <row r="12" spans="2:14" ht="15" customHeight="1" x14ac:dyDescent="0.25">
      <c r="B12" s="20"/>
      <c r="C12" s="5" t="s">
        <v>42</v>
      </c>
      <c r="D12" s="6" t="s">
        <v>13</v>
      </c>
      <c r="E12" s="11">
        <v>1.4024E-2</v>
      </c>
      <c r="F12" s="1"/>
      <c r="G12" s="1"/>
      <c r="H12" s="1"/>
      <c r="I12" s="31"/>
      <c r="J12" s="32" t="s">
        <v>38</v>
      </c>
      <c r="K12" s="33">
        <v>0.61580599999999996</v>
      </c>
      <c r="L12" s="31"/>
      <c r="M12" s="31"/>
      <c r="N12" s="18"/>
    </row>
    <row r="13" spans="2:14" ht="15" customHeight="1" x14ac:dyDescent="0.25">
      <c r="B13" s="20"/>
      <c r="C13" s="5" t="s">
        <v>43</v>
      </c>
      <c r="D13" s="6" t="s">
        <v>13</v>
      </c>
      <c r="E13" s="11">
        <v>7.1250000000000003E-3</v>
      </c>
      <c r="F13" s="1"/>
      <c r="G13" s="1"/>
      <c r="H13" s="1"/>
      <c r="I13" s="31"/>
      <c r="J13" s="32" t="s">
        <v>22</v>
      </c>
      <c r="K13" s="33">
        <v>2.7200000000000002E-3</v>
      </c>
      <c r="L13" s="31"/>
      <c r="M13" s="31"/>
      <c r="N13" s="18"/>
    </row>
    <row r="14" spans="2:14" ht="15" customHeight="1" x14ac:dyDescent="0.25">
      <c r="B14" s="20"/>
      <c r="C14" s="5" t="s">
        <v>69</v>
      </c>
      <c r="D14" s="6" t="s">
        <v>13</v>
      </c>
      <c r="E14" s="11">
        <v>3.5100000000000002E-4</v>
      </c>
      <c r="F14" s="1"/>
      <c r="G14" s="1"/>
      <c r="H14" s="1"/>
      <c r="I14" s="31"/>
      <c r="J14" s="32" t="s">
        <v>39</v>
      </c>
      <c r="K14" s="33">
        <v>0.211197</v>
      </c>
      <c r="L14" s="31"/>
      <c r="M14" s="31"/>
      <c r="N14" s="18"/>
    </row>
    <row r="15" spans="2:14" ht="15.75" customHeight="1" x14ac:dyDescent="0.25">
      <c r="B15" s="20"/>
      <c r="C15" s="7" t="s">
        <v>15</v>
      </c>
      <c r="D15" s="8"/>
      <c r="E15" s="12">
        <v>0.12581200000000001</v>
      </c>
      <c r="F15" s="1"/>
      <c r="G15" s="1"/>
      <c r="H15" s="1"/>
      <c r="I15" s="31"/>
      <c r="J15" s="32" t="s">
        <v>50</v>
      </c>
      <c r="K15" s="33">
        <v>8.7000000000000001E-5</v>
      </c>
      <c r="L15" s="31"/>
      <c r="M15" s="31"/>
      <c r="N15" s="18"/>
    </row>
    <row r="16" spans="2:14" ht="15" customHeight="1" x14ac:dyDescent="0.25">
      <c r="B16" s="20"/>
      <c r="C16" s="5" t="s">
        <v>12</v>
      </c>
      <c r="D16" s="6" t="s">
        <v>17</v>
      </c>
      <c r="E16" s="11">
        <v>0.10088000000000001</v>
      </c>
      <c r="F16" s="1"/>
      <c r="G16" s="1"/>
      <c r="H16" s="1"/>
      <c r="I16" s="31"/>
      <c r="J16" s="32"/>
      <c r="K16" s="32"/>
      <c r="L16" s="31"/>
      <c r="M16" s="31"/>
      <c r="N16" s="18"/>
    </row>
    <row r="17" spans="2:14" ht="15" customHeight="1" x14ac:dyDescent="0.25">
      <c r="B17" s="20"/>
      <c r="C17" s="5" t="s">
        <v>46</v>
      </c>
      <c r="D17" s="6" t="s">
        <v>17</v>
      </c>
      <c r="E17" s="11">
        <v>9.2871000000000009E-2</v>
      </c>
      <c r="F17" s="1"/>
      <c r="G17" s="1"/>
      <c r="H17" s="1"/>
      <c r="I17" s="31"/>
      <c r="J17" s="32"/>
      <c r="K17" s="32"/>
      <c r="L17" s="31"/>
      <c r="M17" s="31"/>
      <c r="N17" s="18"/>
    </row>
    <row r="18" spans="2:14" ht="15" customHeight="1" x14ac:dyDescent="0.25">
      <c r="B18" s="20"/>
      <c r="C18" s="5" t="s">
        <v>19</v>
      </c>
      <c r="D18" s="6" t="s">
        <v>17</v>
      </c>
      <c r="E18" s="11">
        <v>6.7941000000000001E-2</v>
      </c>
      <c r="F18" s="1"/>
      <c r="G18" s="1"/>
      <c r="H18" s="1"/>
      <c r="I18" s="31"/>
      <c r="J18" s="31"/>
      <c r="K18" s="31"/>
      <c r="L18" s="31"/>
      <c r="M18" s="31"/>
      <c r="N18" s="18"/>
    </row>
    <row r="19" spans="2:14" ht="15" customHeight="1" x14ac:dyDescent="0.25">
      <c r="B19" s="20"/>
      <c r="C19" s="5" t="s">
        <v>67</v>
      </c>
      <c r="D19" s="6" t="s">
        <v>17</v>
      </c>
      <c r="E19" s="11">
        <v>5.9567000000000009E-2</v>
      </c>
      <c r="F19" s="1"/>
      <c r="G19" s="1"/>
      <c r="H19" s="1"/>
      <c r="I19" s="31"/>
      <c r="J19" s="31"/>
      <c r="K19" s="31"/>
      <c r="L19" s="31"/>
      <c r="M19" s="31"/>
      <c r="N19" s="18"/>
    </row>
    <row r="20" spans="2:14" ht="15" customHeight="1" x14ac:dyDescent="0.25">
      <c r="B20" s="20"/>
      <c r="C20" s="5" t="s">
        <v>62</v>
      </c>
      <c r="D20" s="6" t="s">
        <v>17</v>
      </c>
      <c r="E20" s="11">
        <v>5.8828999999999999E-2</v>
      </c>
      <c r="F20" s="1"/>
      <c r="G20" s="1"/>
      <c r="H20" s="1"/>
      <c r="I20" s="31"/>
      <c r="J20" s="31"/>
      <c r="K20" s="31"/>
      <c r="L20" s="31"/>
      <c r="M20" s="31"/>
      <c r="N20" s="18"/>
    </row>
    <row r="21" spans="2:14" ht="15" customHeight="1" x14ac:dyDescent="0.25">
      <c r="B21" s="20"/>
      <c r="C21" s="5" t="s">
        <v>20</v>
      </c>
      <c r="D21" s="6" t="s">
        <v>17</v>
      </c>
      <c r="E21" s="11">
        <v>4.8301999999999998E-2</v>
      </c>
      <c r="F21" s="1"/>
      <c r="G21" s="1"/>
      <c r="H21" s="1"/>
      <c r="I21" s="31"/>
      <c r="J21" s="31"/>
      <c r="K21" s="31"/>
      <c r="L21" s="31"/>
      <c r="M21" s="31"/>
      <c r="N21" s="18"/>
    </row>
    <row r="22" spans="2:14" ht="15" customHeight="1" x14ac:dyDescent="0.25">
      <c r="B22" s="20"/>
      <c r="C22" s="5" t="s">
        <v>69</v>
      </c>
      <c r="D22" s="6" t="s">
        <v>17</v>
      </c>
      <c r="E22" s="11">
        <v>3.2896000000000002E-2</v>
      </c>
      <c r="F22" s="1"/>
      <c r="G22" s="1"/>
      <c r="H22" s="1"/>
      <c r="I22" s="31"/>
      <c r="J22" s="31"/>
      <c r="K22" s="31"/>
      <c r="L22" s="31"/>
      <c r="M22" s="31"/>
      <c r="N22" s="18"/>
    </row>
    <row r="23" spans="2:14" ht="15" customHeight="1" x14ac:dyDescent="0.25">
      <c r="B23" s="20"/>
      <c r="C23" s="5" t="s">
        <v>74</v>
      </c>
      <c r="D23" s="6" t="s">
        <v>17</v>
      </c>
      <c r="E23" s="11">
        <v>3.1350000000000003E-2</v>
      </c>
      <c r="F23" s="1"/>
      <c r="G23" s="1"/>
      <c r="H23" s="1"/>
      <c r="I23" s="1"/>
      <c r="J23" s="1"/>
      <c r="K23" s="1"/>
      <c r="L23" s="1"/>
      <c r="M23" s="1"/>
      <c r="N23" s="18"/>
    </row>
    <row r="24" spans="2:14" ht="15" customHeight="1" x14ac:dyDescent="0.25">
      <c r="B24" s="20"/>
      <c r="C24" s="5" t="s">
        <v>65</v>
      </c>
      <c r="D24" s="6" t="s">
        <v>17</v>
      </c>
      <c r="E24" s="11">
        <v>2.8290000000000003E-2</v>
      </c>
      <c r="F24" s="1"/>
      <c r="G24" s="89" t="s">
        <v>5</v>
      </c>
      <c r="H24" s="90"/>
      <c r="I24" s="90"/>
      <c r="J24" s="90"/>
      <c r="K24" s="90"/>
      <c r="L24" s="25">
        <v>2.9994930348311284</v>
      </c>
      <c r="M24" s="26"/>
      <c r="N24" s="27"/>
    </row>
    <row r="25" spans="2:14" ht="15" customHeight="1" x14ac:dyDescent="0.25">
      <c r="B25" s="20"/>
      <c r="C25" s="5" t="s">
        <v>70</v>
      </c>
      <c r="D25" s="6" t="s">
        <v>17</v>
      </c>
      <c r="E25" s="11">
        <v>2.3359000000000001E-2</v>
      </c>
      <c r="F25" s="1"/>
      <c r="G25" s="1"/>
      <c r="H25" s="1"/>
      <c r="I25" s="1"/>
      <c r="J25" s="1"/>
      <c r="K25" s="1"/>
      <c r="L25" s="1"/>
      <c r="M25" s="1"/>
      <c r="N25" s="18"/>
    </row>
    <row r="26" spans="2:14" ht="15" customHeight="1" x14ac:dyDescent="0.25">
      <c r="B26" s="20"/>
      <c r="C26" s="5" t="s">
        <v>226</v>
      </c>
      <c r="D26" s="6" t="s">
        <v>17</v>
      </c>
      <c r="E26" s="11">
        <v>2.2314999999999998E-2</v>
      </c>
      <c r="F26" s="1"/>
      <c r="G26" s="89" t="s">
        <v>6</v>
      </c>
      <c r="H26" s="90"/>
      <c r="I26" s="90"/>
      <c r="J26" s="90"/>
      <c r="K26" s="90"/>
      <c r="L26" s="90"/>
      <c r="M26" s="90"/>
      <c r="N26" s="91"/>
    </row>
    <row r="27" spans="2:14" ht="15" customHeight="1" x14ac:dyDescent="0.25">
      <c r="B27" s="20"/>
      <c r="C27" s="5" t="s">
        <v>18</v>
      </c>
      <c r="D27" s="6" t="s">
        <v>17</v>
      </c>
      <c r="E27" s="11">
        <v>2.1607999999999999E-2</v>
      </c>
      <c r="F27" s="1"/>
      <c r="G27" s="1"/>
      <c r="H27" s="1"/>
      <c r="I27" s="1"/>
      <c r="J27" s="1"/>
      <c r="K27" s="1"/>
      <c r="L27" s="1"/>
      <c r="M27" s="1"/>
      <c r="N27" s="18"/>
    </row>
    <row r="28" spans="2:14" ht="15" customHeight="1" x14ac:dyDescent="0.25">
      <c r="B28" s="20"/>
      <c r="C28" s="5" t="s">
        <v>54</v>
      </c>
      <c r="D28" s="6" t="s">
        <v>17</v>
      </c>
      <c r="E28" s="11">
        <v>1.6121E-2</v>
      </c>
      <c r="F28" s="1"/>
      <c r="G28" s="1"/>
      <c r="H28" s="1"/>
      <c r="I28" s="1"/>
      <c r="J28" s="1"/>
      <c r="K28" s="1"/>
      <c r="L28" s="1"/>
      <c r="M28" s="1"/>
      <c r="N28" s="18"/>
    </row>
    <row r="29" spans="2:14" ht="15" customHeight="1" x14ac:dyDescent="0.25">
      <c r="B29" s="20"/>
      <c r="C29" s="5" t="s">
        <v>73</v>
      </c>
      <c r="D29" s="6" t="s">
        <v>17</v>
      </c>
      <c r="E29" s="11">
        <v>5.0729999999999994E-3</v>
      </c>
      <c r="F29" s="1"/>
      <c r="G29" s="1"/>
      <c r="H29" s="1"/>
      <c r="I29" s="1"/>
      <c r="J29" s="1"/>
      <c r="K29" s="1"/>
      <c r="L29" s="1"/>
      <c r="M29" s="1"/>
      <c r="N29" s="18"/>
    </row>
    <row r="30" spans="2:14" ht="15" customHeight="1" x14ac:dyDescent="0.25">
      <c r="B30" s="20"/>
      <c r="C30" s="5" t="s">
        <v>66</v>
      </c>
      <c r="D30" s="6" t="s">
        <v>17</v>
      </c>
      <c r="E30" s="11">
        <v>3.4479999999999997E-3</v>
      </c>
      <c r="F30" s="1"/>
      <c r="G30" s="1"/>
      <c r="H30" s="1"/>
      <c r="I30" s="1"/>
      <c r="J30" s="1"/>
      <c r="K30" s="1"/>
      <c r="L30" s="1"/>
      <c r="M30" s="1"/>
      <c r="N30" s="18"/>
    </row>
    <row r="31" spans="2:14" ht="15" customHeight="1" x14ac:dyDescent="0.25">
      <c r="B31" s="20"/>
      <c r="C31" s="5" t="s">
        <v>227</v>
      </c>
      <c r="D31" s="6" t="s">
        <v>17</v>
      </c>
      <c r="E31" s="11">
        <v>1.7979999999999999E-3</v>
      </c>
      <c r="F31" s="1"/>
      <c r="G31" s="1"/>
      <c r="H31" s="1"/>
      <c r="I31" s="1"/>
      <c r="J31" s="1"/>
      <c r="K31" s="1"/>
      <c r="L31" s="1"/>
      <c r="M31" s="1"/>
      <c r="N31" s="18"/>
    </row>
    <row r="32" spans="2:14" ht="15" customHeight="1" x14ac:dyDescent="0.25">
      <c r="B32" s="20"/>
      <c r="C32" s="5" t="s">
        <v>63</v>
      </c>
      <c r="D32" s="6" t="s">
        <v>17</v>
      </c>
      <c r="E32" s="11">
        <v>1.0499999999999999E-3</v>
      </c>
      <c r="F32" s="1"/>
      <c r="G32" s="1"/>
      <c r="H32" s="1"/>
      <c r="I32" s="1"/>
      <c r="J32" s="1"/>
      <c r="K32" s="1"/>
      <c r="L32" s="1"/>
      <c r="M32" s="1"/>
      <c r="N32" s="18"/>
    </row>
    <row r="33" spans="2:14" ht="15" customHeight="1" x14ac:dyDescent="0.25">
      <c r="B33" s="20"/>
      <c r="C33" s="5" t="s">
        <v>42</v>
      </c>
      <c r="D33" s="6" t="s">
        <v>17</v>
      </c>
      <c r="E33" s="11">
        <v>1.08E-4</v>
      </c>
      <c r="F33" s="1"/>
      <c r="G33" s="1"/>
      <c r="H33" s="1"/>
      <c r="I33" s="1"/>
      <c r="J33" s="1"/>
      <c r="K33" s="1"/>
      <c r="L33" s="1"/>
      <c r="M33" s="1"/>
      <c r="N33" s="18"/>
    </row>
    <row r="34" spans="2:14" ht="15.75" customHeight="1" x14ac:dyDescent="0.25">
      <c r="B34" s="20"/>
      <c r="C34" s="7" t="s">
        <v>21</v>
      </c>
      <c r="D34" s="8"/>
      <c r="E34" s="12">
        <v>0.61580599999999996</v>
      </c>
      <c r="F34" s="1"/>
      <c r="G34" s="1"/>
      <c r="H34" s="1"/>
      <c r="I34" s="1"/>
      <c r="J34" s="1"/>
      <c r="K34" s="1"/>
      <c r="L34" s="1"/>
      <c r="M34" s="1"/>
      <c r="N34" s="18"/>
    </row>
    <row r="35" spans="2:14" ht="15" customHeight="1" x14ac:dyDescent="0.25">
      <c r="B35" s="20"/>
      <c r="C35" s="5" t="s">
        <v>22</v>
      </c>
      <c r="D35" s="6"/>
      <c r="E35" s="11">
        <v>2.7200000000000002E-3</v>
      </c>
      <c r="F35" s="1"/>
      <c r="G35" s="1"/>
      <c r="H35" s="1"/>
      <c r="I35" s="1"/>
      <c r="J35" s="1"/>
      <c r="K35" s="1"/>
      <c r="L35" s="1"/>
      <c r="M35" s="1"/>
      <c r="N35" s="18"/>
    </row>
    <row r="36" spans="2:14" ht="15.75" customHeight="1" x14ac:dyDescent="0.25">
      <c r="B36" s="20"/>
      <c r="C36" s="7" t="s">
        <v>23</v>
      </c>
      <c r="D36" s="8"/>
      <c r="E36" s="12">
        <v>2.7200000000000002E-3</v>
      </c>
      <c r="F36" s="1"/>
      <c r="G36" s="1"/>
      <c r="H36" s="1"/>
      <c r="I36" s="1"/>
      <c r="J36" s="1"/>
      <c r="K36" s="1"/>
      <c r="L36" s="1"/>
      <c r="M36" s="1"/>
      <c r="N36" s="18"/>
    </row>
    <row r="37" spans="2:14" ht="15" customHeight="1" x14ac:dyDescent="0.25">
      <c r="B37" s="20"/>
      <c r="C37" s="5" t="s">
        <v>25</v>
      </c>
      <c r="D37" s="6" t="s">
        <v>182</v>
      </c>
      <c r="E37" s="11">
        <v>0.114444</v>
      </c>
      <c r="F37" s="1"/>
      <c r="G37" s="1"/>
      <c r="H37" s="1"/>
      <c r="I37" s="1"/>
      <c r="J37" s="1"/>
      <c r="K37" s="1"/>
      <c r="L37" s="1"/>
      <c r="M37" s="1"/>
      <c r="N37" s="18"/>
    </row>
    <row r="38" spans="2:14" ht="15" customHeight="1" x14ac:dyDescent="0.25">
      <c r="B38" s="20"/>
      <c r="C38" s="5" t="s">
        <v>26</v>
      </c>
      <c r="D38" s="6" t="s">
        <v>182</v>
      </c>
      <c r="E38" s="11">
        <v>4.2049000000000003E-2</v>
      </c>
      <c r="F38" s="1"/>
      <c r="G38" s="1"/>
      <c r="H38" s="1"/>
      <c r="I38" s="1"/>
      <c r="J38" s="1"/>
      <c r="K38" s="1"/>
      <c r="L38" s="1"/>
      <c r="M38" s="1"/>
      <c r="N38" s="18"/>
    </row>
    <row r="39" spans="2:14" ht="15" customHeight="1" x14ac:dyDescent="0.25">
      <c r="B39" s="20"/>
      <c r="C39" s="5" t="s">
        <v>27</v>
      </c>
      <c r="D39" s="6" t="s">
        <v>182</v>
      </c>
      <c r="E39" s="11">
        <v>2.1194000000000001E-2</v>
      </c>
      <c r="F39" s="1"/>
      <c r="G39" s="1"/>
      <c r="H39" s="1"/>
      <c r="I39" s="1"/>
      <c r="J39" s="1"/>
      <c r="K39" s="1"/>
      <c r="L39" s="1"/>
      <c r="M39" s="1"/>
      <c r="N39" s="18"/>
    </row>
    <row r="40" spans="2:14" ht="15" customHeight="1" x14ac:dyDescent="0.25">
      <c r="B40" s="20"/>
      <c r="C40" s="5" t="s">
        <v>75</v>
      </c>
      <c r="D40" s="6" t="s">
        <v>182</v>
      </c>
      <c r="E40" s="11">
        <v>2.0990000000000002E-2</v>
      </c>
      <c r="F40" s="1"/>
      <c r="G40" s="1"/>
      <c r="H40" s="1"/>
      <c r="I40" s="1"/>
      <c r="J40" s="1"/>
      <c r="K40" s="1"/>
      <c r="L40" s="1"/>
      <c r="M40" s="1"/>
      <c r="N40" s="18"/>
    </row>
    <row r="41" spans="2:14" ht="15" customHeight="1" x14ac:dyDescent="0.25">
      <c r="B41" s="20"/>
      <c r="C41" s="5" t="s">
        <v>76</v>
      </c>
      <c r="D41" s="6" t="s">
        <v>182</v>
      </c>
      <c r="E41" s="11">
        <v>1.252E-2</v>
      </c>
      <c r="F41" s="1"/>
      <c r="G41" s="1"/>
      <c r="H41" s="1"/>
      <c r="I41" s="1"/>
      <c r="J41" s="1"/>
      <c r="K41" s="1"/>
      <c r="L41" s="1"/>
      <c r="M41" s="1"/>
      <c r="N41" s="18"/>
    </row>
    <row r="42" spans="2:14" ht="15.75" customHeight="1" x14ac:dyDescent="0.25">
      <c r="B42" s="20"/>
      <c r="C42" s="7" t="s">
        <v>30</v>
      </c>
      <c r="D42" s="8"/>
      <c r="E42" s="12">
        <v>0.211197</v>
      </c>
      <c r="F42" s="1"/>
      <c r="G42" s="1"/>
      <c r="H42" s="1"/>
      <c r="I42" s="1"/>
      <c r="J42" s="1"/>
      <c r="K42" s="1"/>
      <c r="L42" s="1"/>
      <c r="M42" s="1"/>
      <c r="N42" s="18"/>
    </row>
    <row r="43" spans="2:14" ht="15" customHeight="1" x14ac:dyDescent="0.25">
      <c r="B43" s="20"/>
      <c r="C43" s="5" t="s">
        <v>228</v>
      </c>
      <c r="D43" s="6" t="s">
        <v>182</v>
      </c>
      <c r="E43" s="11">
        <v>8.7000000000000001E-5</v>
      </c>
      <c r="F43" s="1"/>
      <c r="G43" s="1"/>
      <c r="H43" s="1"/>
      <c r="I43" s="1"/>
      <c r="J43" s="1"/>
      <c r="K43" s="1"/>
      <c r="L43" s="1"/>
      <c r="M43" s="1"/>
      <c r="N43" s="18"/>
    </row>
    <row r="44" spans="2:14" ht="15.75" customHeight="1" x14ac:dyDescent="0.25">
      <c r="B44" s="20"/>
      <c r="C44" s="7" t="s">
        <v>49</v>
      </c>
      <c r="D44" s="8"/>
      <c r="E44" s="12">
        <v>8.7000000000000001E-5</v>
      </c>
      <c r="F44" s="1"/>
      <c r="G44" s="1"/>
      <c r="H44" s="1"/>
      <c r="I44" s="1"/>
      <c r="J44" s="1"/>
      <c r="K44" s="1"/>
      <c r="L44" s="1"/>
      <c r="M44" s="1"/>
      <c r="N44" s="18"/>
    </row>
    <row r="45" spans="2:14" ht="15" customHeight="1" x14ac:dyDescent="0.25">
      <c r="B45" s="20"/>
      <c r="C45" s="5" t="s">
        <v>31</v>
      </c>
      <c r="D45" s="6"/>
      <c r="E45" s="11">
        <v>1.2222999999999999E-2</v>
      </c>
      <c r="F45" s="1"/>
      <c r="G45" s="1"/>
      <c r="H45" s="1"/>
      <c r="I45" s="1"/>
      <c r="J45" s="1"/>
      <c r="K45" s="1"/>
      <c r="L45" s="1"/>
      <c r="M45" s="1"/>
      <c r="N45" s="18"/>
    </row>
    <row r="46" spans="2:14" ht="15.75" customHeight="1" x14ac:dyDescent="0.25">
      <c r="B46" s="20"/>
      <c r="C46" s="7" t="s">
        <v>32</v>
      </c>
      <c r="D46" s="8"/>
      <c r="E46" s="12">
        <v>1.2222999999999999E-2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33</v>
      </c>
      <c r="D48" s="8"/>
      <c r="E48" s="12">
        <v>3.2155000000000003E-2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34</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72" t="s">
        <v>295</v>
      </c>
      <c r="C54" s="73"/>
      <c r="D54" s="73"/>
      <c r="E54" s="73"/>
      <c r="F54" s="73"/>
      <c r="G54" s="73"/>
      <c r="H54" s="73"/>
      <c r="I54" s="73"/>
      <c r="J54" s="73"/>
      <c r="K54" s="73"/>
      <c r="L54" s="73"/>
      <c r="M54" s="73"/>
      <c r="N54" s="74"/>
    </row>
    <row r="55" spans="2:14" ht="15" customHeight="1" x14ac:dyDescent="0.25">
      <c r="B55" s="75"/>
      <c r="C55" s="76"/>
      <c r="D55" s="76"/>
      <c r="E55" s="76"/>
      <c r="F55" s="76"/>
      <c r="G55" s="76"/>
      <c r="H55" s="76"/>
      <c r="I55" s="76"/>
      <c r="J55" s="76"/>
      <c r="K55" s="76"/>
      <c r="L55" s="76"/>
      <c r="M55" s="76"/>
      <c r="N55" s="77"/>
    </row>
    <row r="56" spans="2:14" ht="15" customHeight="1" x14ac:dyDescent="0.25">
      <c r="B56" s="75"/>
      <c r="C56" s="76"/>
      <c r="D56" s="76"/>
      <c r="E56" s="76"/>
      <c r="F56" s="76"/>
      <c r="G56" s="76"/>
      <c r="H56" s="76"/>
      <c r="I56" s="76"/>
      <c r="J56" s="76"/>
      <c r="K56" s="76"/>
      <c r="L56" s="76"/>
      <c r="M56" s="76"/>
      <c r="N56" s="77"/>
    </row>
    <row r="57" spans="2:14" ht="15" customHeight="1" thickBot="1" x14ac:dyDescent="0.3">
      <c r="B57" s="78"/>
      <c r="C57" s="79"/>
      <c r="D57" s="79"/>
      <c r="E57" s="79"/>
      <c r="F57" s="79"/>
      <c r="G57" s="79"/>
      <c r="H57" s="79"/>
      <c r="I57" s="79"/>
      <c r="J57" s="79"/>
      <c r="K57" s="79"/>
      <c r="L57" s="79"/>
      <c r="M57" s="79"/>
      <c r="N57" s="80"/>
    </row>
    <row r="58" spans="2:14" ht="15" customHeight="1" thickBot="1" x14ac:dyDescent="0.3"/>
    <row r="59" spans="2:14" ht="135" customHeight="1" thickBot="1" x14ac:dyDescent="0.3">
      <c r="B59" s="81" t="s">
        <v>294</v>
      </c>
      <c r="C59" s="82"/>
      <c r="D59" s="82"/>
      <c r="E59" s="82"/>
      <c r="F59" s="82"/>
      <c r="G59" s="82"/>
      <c r="H59" s="82"/>
      <c r="I59" s="82"/>
      <c r="J59" s="82"/>
      <c r="K59" s="82"/>
      <c r="L59" s="82"/>
      <c r="M59" s="82"/>
      <c r="N59" s="83"/>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C37:E41">
    <sortCondition descending="1" ref="E37"/>
  </sortState>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529C-14AA-4EC5-B22A-004FD1A4C31B}">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9</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11</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12</v>
      </c>
      <c r="D8" s="6" t="s">
        <v>13</v>
      </c>
      <c r="E8" s="11">
        <v>6.8574999999999997E-2</v>
      </c>
      <c r="F8" s="1"/>
      <c r="G8" s="24" t="s">
        <v>8</v>
      </c>
      <c r="H8" s="28">
        <v>1</v>
      </c>
      <c r="I8" s="1"/>
      <c r="J8" s="24" t="s">
        <v>35</v>
      </c>
      <c r="K8" s="24" t="s">
        <v>3</v>
      </c>
      <c r="L8" s="1"/>
      <c r="M8" s="1"/>
      <c r="N8" s="18"/>
    </row>
    <row r="9" spans="2:14" ht="15" customHeight="1" x14ac:dyDescent="0.25">
      <c r="B9" s="20"/>
      <c r="C9" s="5" t="s">
        <v>14</v>
      </c>
      <c r="D9" s="6" t="s">
        <v>13</v>
      </c>
      <c r="E9" s="11">
        <v>5.0573E-2</v>
      </c>
      <c r="F9" s="1"/>
      <c r="G9" s="1"/>
      <c r="H9" s="1"/>
      <c r="I9" s="1"/>
      <c r="J9" s="24" t="s">
        <v>33</v>
      </c>
      <c r="K9" s="29">
        <v>1.4300999999999999E-2</v>
      </c>
      <c r="L9" s="1"/>
      <c r="M9" s="1"/>
      <c r="N9" s="18"/>
    </row>
    <row r="10" spans="2:14" ht="15.75" customHeight="1" x14ac:dyDescent="0.25">
      <c r="B10" s="20"/>
      <c r="C10" s="7" t="s">
        <v>15</v>
      </c>
      <c r="D10" s="8"/>
      <c r="E10" s="12">
        <v>0.119148</v>
      </c>
      <c r="F10" s="1"/>
      <c r="G10" s="1"/>
      <c r="H10" s="1"/>
      <c r="I10" s="1"/>
      <c r="J10" s="24" t="s">
        <v>36</v>
      </c>
      <c r="K10" s="29">
        <v>3.307E-3</v>
      </c>
      <c r="L10" s="1"/>
      <c r="M10" s="1"/>
      <c r="N10" s="18"/>
    </row>
    <row r="11" spans="2:14" ht="15" customHeight="1" x14ac:dyDescent="0.25">
      <c r="B11" s="20"/>
      <c r="C11" s="5" t="s">
        <v>16</v>
      </c>
      <c r="D11" s="6" t="s">
        <v>17</v>
      </c>
      <c r="E11" s="11">
        <v>8.7934999999999999E-2</v>
      </c>
      <c r="F11" s="1"/>
      <c r="G11" s="1"/>
      <c r="H11" s="1"/>
      <c r="I11" s="1"/>
      <c r="J11" s="24" t="s">
        <v>37</v>
      </c>
      <c r="K11" s="29">
        <v>0.119148</v>
      </c>
      <c r="L11" s="1"/>
      <c r="M11" s="1"/>
      <c r="N11" s="18"/>
    </row>
    <row r="12" spans="2:14" ht="15" customHeight="1" x14ac:dyDescent="0.25">
      <c r="B12" s="20"/>
      <c r="C12" s="5" t="s">
        <v>18</v>
      </c>
      <c r="D12" s="6" t="s">
        <v>17</v>
      </c>
      <c r="E12" s="11">
        <v>5.253E-2</v>
      </c>
      <c r="F12" s="1"/>
      <c r="G12" s="1"/>
      <c r="H12" s="1"/>
      <c r="I12" s="1"/>
      <c r="J12" s="24" t="s">
        <v>38</v>
      </c>
      <c r="K12" s="29">
        <v>0.19669200000000001</v>
      </c>
      <c r="L12" s="1"/>
      <c r="M12" s="1"/>
      <c r="N12" s="18"/>
    </row>
    <row r="13" spans="2:14" ht="15" customHeight="1" x14ac:dyDescent="0.25">
      <c r="B13" s="20"/>
      <c r="C13" s="5" t="s">
        <v>19</v>
      </c>
      <c r="D13" s="6" t="s">
        <v>17</v>
      </c>
      <c r="E13" s="11">
        <v>5.2134E-2</v>
      </c>
      <c r="F13" s="1"/>
      <c r="G13" s="1"/>
      <c r="H13" s="1"/>
      <c r="I13" s="1"/>
      <c r="J13" s="24" t="s">
        <v>22</v>
      </c>
      <c r="K13" s="29">
        <v>2.722E-3</v>
      </c>
      <c r="L13" s="1"/>
      <c r="M13" s="1"/>
      <c r="N13" s="18"/>
    </row>
    <row r="14" spans="2:14" ht="15" customHeight="1" x14ac:dyDescent="0.25">
      <c r="B14" s="20"/>
      <c r="C14" s="5" t="s">
        <v>20</v>
      </c>
      <c r="D14" s="6" t="s">
        <v>17</v>
      </c>
      <c r="E14" s="11">
        <v>4.0930000000000003E-3</v>
      </c>
      <c r="F14" s="1"/>
      <c r="G14" s="1"/>
      <c r="H14" s="1"/>
      <c r="I14" s="1"/>
      <c r="J14" s="24" t="s">
        <v>39</v>
      </c>
      <c r="K14" s="29">
        <v>0.66383000000000003</v>
      </c>
      <c r="L14" s="1"/>
      <c r="M14" s="1"/>
      <c r="N14" s="18"/>
    </row>
    <row r="15" spans="2:14" ht="15.75" customHeight="1" x14ac:dyDescent="0.25">
      <c r="B15" s="20"/>
      <c r="C15" s="7" t="s">
        <v>21</v>
      </c>
      <c r="D15" s="8"/>
      <c r="E15" s="12">
        <v>0.19669200000000001</v>
      </c>
      <c r="F15" s="1"/>
      <c r="G15" s="1"/>
      <c r="H15" s="1"/>
      <c r="I15" s="1"/>
      <c r="J15" s="1"/>
      <c r="K15" s="1"/>
      <c r="L15" s="1"/>
      <c r="M15" s="1"/>
      <c r="N15" s="18"/>
    </row>
    <row r="16" spans="2:14" ht="15" customHeight="1" x14ac:dyDescent="0.25">
      <c r="B16" s="20"/>
      <c r="C16" s="5" t="s">
        <v>22</v>
      </c>
      <c r="D16" s="6"/>
      <c r="E16" s="11">
        <v>2.722E-3</v>
      </c>
      <c r="F16" s="1"/>
      <c r="G16" s="1"/>
      <c r="H16" s="1"/>
      <c r="I16" s="1"/>
      <c r="J16" s="1"/>
      <c r="K16" s="1"/>
      <c r="L16" s="1"/>
      <c r="M16" s="1"/>
      <c r="N16" s="18"/>
    </row>
    <row r="17" spans="2:14" ht="15.75" customHeight="1" x14ac:dyDescent="0.25">
      <c r="B17" s="20"/>
      <c r="C17" s="7" t="s">
        <v>23</v>
      </c>
      <c r="D17" s="8"/>
      <c r="E17" s="12">
        <v>2.722E-3</v>
      </c>
      <c r="F17" s="1"/>
      <c r="G17" s="1"/>
      <c r="H17" s="1"/>
      <c r="I17" s="1"/>
      <c r="J17" s="1"/>
      <c r="K17" s="1"/>
      <c r="L17" s="1"/>
      <c r="M17" s="1"/>
      <c r="N17" s="18"/>
    </row>
    <row r="18" spans="2:14" ht="15" customHeight="1" x14ac:dyDescent="0.25">
      <c r="B18" s="20"/>
      <c r="C18" s="5" t="s">
        <v>24</v>
      </c>
      <c r="D18" s="6" t="s">
        <v>182</v>
      </c>
      <c r="E18" s="11">
        <v>0.366927</v>
      </c>
      <c r="F18" s="1"/>
      <c r="G18" s="1"/>
      <c r="H18" s="1"/>
      <c r="I18" s="1"/>
      <c r="J18" s="1"/>
      <c r="K18" s="1"/>
      <c r="L18" s="1"/>
      <c r="M18" s="1"/>
      <c r="N18" s="18"/>
    </row>
    <row r="19" spans="2:14" ht="15" customHeight="1" x14ac:dyDescent="0.25">
      <c r="B19" s="20"/>
      <c r="C19" s="5" t="s">
        <v>25</v>
      </c>
      <c r="D19" s="6" t="s">
        <v>182</v>
      </c>
      <c r="E19" s="11">
        <v>0.27307199999999998</v>
      </c>
      <c r="F19" s="1"/>
      <c r="G19" s="1"/>
      <c r="H19" s="1"/>
      <c r="I19" s="1"/>
      <c r="J19" s="1"/>
      <c r="K19" s="1"/>
      <c r="L19" s="1"/>
      <c r="M19" s="1"/>
      <c r="N19" s="18"/>
    </row>
    <row r="20" spans="2:14" ht="15" customHeight="1" x14ac:dyDescent="0.25">
      <c r="B20" s="20"/>
      <c r="C20" s="5" t="s">
        <v>26</v>
      </c>
      <c r="D20" s="6" t="s">
        <v>182</v>
      </c>
      <c r="E20" s="11">
        <v>1.0633E-2</v>
      </c>
      <c r="F20" s="1"/>
      <c r="G20" s="1"/>
      <c r="H20" s="1"/>
      <c r="I20" s="1"/>
      <c r="J20" s="1"/>
      <c r="K20" s="1"/>
      <c r="L20" s="1"/>
      <c r="M20" s="1"/>
      <c r="N20" s="18"/>
    </row>
    <row r="21" spans="2:14" ht="15" customHeight="1" x14ac:dyDescent="0.25">
      <c r="B21" s="20"/>
      <c r="C21" s="5" t="s">
        <v>27</v>
      </c>
      <c r="D21" s="6" t="s">
        <v>182</v>
      </c>
      <c r="E21" s="11">
        <v>1.0272E-2</v>
      </c>
      <c r="F21" s="1"/>
      <c r="G21" s="1"/>
      <c r="H21" s="1"/>
      <c r="I21" s="1"/>
      <c r="J21" s="1"/>
      <c r="K21" s="1"/>
      <c r="L21" s="1"/>
      <c r="M21" s="1"/>
      <c r="N21" s="18"/>
    </row>
    <row r="22" spans="2:14" ht="15" customHeight="1" x14ac:dyDescent="0.25">
      <c r="B22" s="20"/>
      <c r="C22" s="5" t="s">
        <v>28</v>
      </c>
      <c r="D22" s="6" t="s">
        <v>182</v>
      </c>
      <c r="E22" s="11">
        <v>2.0950000000000001E-3</v>
      </c>
      <c r="F22" s="1"/>
      <c r="G22" s="1"/>
      <c r="H22" s="1"/>
      <c r="I22" s="1"/>
      <c r="J22" s="1"/>
      <c r="K22" s="1"/>
      <c r="L22" s="1"/>
      <c r="M22" s="1"/>
      <c r="N22" s="18"/>
    </row>
    <row r="23" spans="2:14" ht="15" customHeight="1" x14ac:dyDescent="0.25">
      <c r="B23" s="20"/>
      <c r="C23" s="5" t="s">
        <v>29</v>
      </c>
      <c r="D23" s="6" t="s">
        <v>182</v>
      </c>
      <c r="E23" s="11">
        <v>8.3100000000000003E-4</v>
      </c>
      <c r="F23" s="1"/>
      <c r="G23" s="1"/>
      <c r="H23" s="1"/>
      <c r="I23" s="1"/>
      <c r="J23" s="1"/>
      <c r="K23" s="1"/>
      <c r="L23" s="1"/>
      <c r="M23" s="1"/>
      <c r="N23" s="18"/>
    </row>
    <row r="24" spans="2:14" ht="15.75" customHeight="1" x14ac:dyDescent="0.25">
      <c r="B24" s="20"/>
      <c r="C24" s="7" t="s">
        <v>30</v>
      </c>
      <c r="D24" s="8"/>
      <c r="E24" s="12">
        <v>0.66383000000000003</v>
      </c>
      <c r="F24" s="1"/>
      <c r="G24" s="89" t="s">
        <v>5</v>
      </c>
      <c r="H24" s="90"/>
      <c r="I24" s="90"/>
      <c r="J24" s="90"/>
      <c r="K24" s="90"/>
      <c r="L24" s="25">
        <v>13.891366260870621</v>
      </c>
      <c r="M24" s="26"/>
      <c r="N24" s="27"/>
    </row>
    <row r="25" spans="2:14" ht="15" customHeight="1" x14ac:dyDescent="0.25">
      <c r="B25" s="20"/>
      <c r="C25" s="5" t="s">
        <v>31</v>
      </c>
      <c r="D25" s="6"/>
      <c r="E25" s="11">
        <v>3.307E-3</v>
      </c>
      <c r="F25" s="1"/>
      <c r="G25" s="1"/>
      <c r="H25" s="1"/>
      <c r="I25" s="1"/>
      <c r="J25" s="1"/>
      <c r="K25" s="1"/>
      <c r="L25" s="1"/>
      <c r="M25" s="1"/>
      <c r="N25" s="18"/>
    </row>
    <row r="26" spans="2:14" ht="15.75" customHeight="1" x14ac:dyDescent="0.25">
      <c r="B26" s="20"/>
      <c r="C26" s="7" t="s">
        <v>32</v>
      </c>
      <c r="D26" s="8"/>
      <c r="E26" s="12">
        <v>3.307E-3</v>
      </c>
      <c r="F26" s="1"/>
      <c r="G26" s="89" t="s">
        <v>6</v>
      </c>
      <c r="H26" s="90"/>
      <c r="I26" s="90"/>
      <c r="J26" s="90"/>
      <c r="K26" s="90"/>
      <c r="L26" s="90"/>
      <c r="M26" s="90"/>
      <c r="N26" s="91"/>
    </row>
    <row r="27" spans="2:14" ht="15" customHeight="1" x14ac:dyDescent="0.25">
      <c r="B27" s="20"/>
      <c r="C27" s="5"/>
      <c r="D27" s="6"/>
      <c r="E27" s="11"/>
      <c r="F27" s="1"/>
      <c r="G27" s="1"/>
      <c r="H27" s="1"/>
      <c r="I27" s="1"/>
      <c r="J27" s="1"/>
      <c r="K27" s="1"/>
      <c r="L27" s="1"/>
      <c r="M27" s="1"/>
      <c r="N27" s="18"/>
    </row>
    <row r="28" spans="2:14" ht="15.75" customHeight="1" x14ac:dyDescent="0.25">
      <c r="B28" s="20"/>
      <c r="C28" s="7" t="s">
        <v>33</v>
      </c>
      <c r="D28" s="8"/>
      <c r="E28" s="12">
        <v>1.4300999999999999E-2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34</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2" t="s">
        <v>295</v>
      </c>
      <c r="C45" s="73"/>
      <c r="D45" s="73"/>
      <c r="E45" s="73"/>
      <c r="F45" s="73"/>
      <c r="G45" s="73"/>
      <c r="H45" s="73"/>
      <c r="I45" s="73"/>
      <c r="J45" s="73"/>
      <c r="K45" s="73"/>
      <c r="L45" s="73"/>
      <c r="M45" s="73"/>
      <c r="N45" s="74"/>
    </row>
    <row r="46" spans="2:14" ht="15" customHeight="1" x14ac:dyDescent="0.25">
      <c r="B46" s="75"/>
      <c r="C46" s="76"/>
      <c r="D46" s="76"/>
      <c r="E46" s="76"/>
      <c r="F46" s="76"/>
      <c r="G46" s="76"/>
      <c r="H46" s="76"/>
      <c r="I46" s="76"/>
      <c r="J46" s="76"/>
      <c r="K46" s="76"/>
      <c r="L46" s="76"/>
      <c r="M46" s="76"/>
      <c r="N46" s="77"/>
    </row>
    <row r="47" spans="2:14" ht="15" customHeight="1" x14ac:dyDescent="0.25">
      <c r="B47" s="75"/>
      <c r="C47" s="76"/>
      <c r="D47" s="76"/>
      <c r="E47" s="76"/>
      <c r="F47" s="76"/>
      <c r="G47" s="76"/>
      <c r="H47" s="76"/>
      <c r="I47" s="76"/>
      <c r="J47" s="76"/>
      <c r="K47" s="76"/>
      <c r="L47" s="76"/>
      <c r="M47" s="76"/>
      <c r="N47" s="77"/>
    </row>
    <row r="48" spans="2:14" ht="15" customHeight="1" thickBot="1" x14ac:dyDescent="0.3">
      <c r="B48" s="78"/>
      <c r="C48" s="79"/>
      <c r="D48" s="79"/>
      <c r="E48" s="79"/>
      <c r="F48" s="79"/>
      <c r="G48" s="79"/>
      <c r="H48" s="79"/>
      <c r="I48" s="79"/>
      <c r="J48" s="79"/>
      <c r="K48" s="79"/>
      <c r="L48" s="79"/>
      <c r="M48" s="79"/>
      <c r="N48" s="80"/>
    </row>
    <row r="49" spans="2:14" ht="15" customHeight="1" thickBot="1" x14ac:dyDescent="0.3"/>
    <row r="50" spans="2:14" ht="128.25" customHeight="1" thickBot="1" x14ac:dyDescent="0.3">
      <c r="B50" s="81" t="s">
        <v>294</v>
      </c>
      <c r="C50" s="82"/>
      <c r="D50" s="82"/>
      <c r="E50" s="82"/>
      <c r="F50" s="82"/>
      <c r="G50" s="82"/>
      <c r="H50" s="82"/>
      <c r="I50" s="82"/>
      <c r="J50" s="82"/>
      <c r="K50" s="82"/>
      <c r="L50" s="82"/>
      <c r="M50" s="82"/>
      <c r="N50" s="83"/>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96CB-A2B2-48D1-8FEC-2F10EAB5724F}">
  <dimension ref="B1:N56"/>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40</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41</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12</v>
      </c>
      <c r="D8" s="6" t="s">
        <v>13</v>
      </c>
      <c r="E8" s="11">
        <v>7.7867000000000006E-2</v>
      </c>
      <c r="F8" s="1"/>
      <c r="G8" s="24" t="s">
        <v>8</v>
      </c>
      <c r="H8" s="28">
        <v>1</v>
      </c>
      <c r="I8" s="1"/>
      <c r="J8" s="24" t="s">
        <v>35</v>
      </c>
      <c r="K8" s="24" t="s">
        <v>3</v>
      </c>
      <c r="L8" s="1"/>
      <c r="M8" s="1"/>
      <c r="N8" s="18"/>
    </row>
    <row r="9" spans="2:14" ht="15" customHeight="1" x14ac:dyDescent="0.25">
      <c r="B9" s="20"/>
      <c r="C9" s="5" t="s">
        <v>42</v>
      </c>
      <c r="D9" s="6" t="s">
        <v>13</v>
      </c>
      <c r="E9" s="11">
        <v>5.1486999999999998E-2</v>
      </c>
      <c r="F9" s="1"/>
      <c r="G9" s="1"/>
      <c r="H9" s="1"/>
      <c r="I9" s="1"/>
      <c r="J9" s="24" t="s">
        <v>33</v>
      </c>
      <c r="K9" s="29">
        <v>9.6579999999999999E-3</v>
      </c>
      <c r="L9" s="1"/>
      <c r="M9" s="1"/>
      <c r="N9" s="18"/>
    </row>
    <row r="10" spans="2:14" ht="15" customHeight="1" x14ac:dyDescent="0.25">
      <c r="B10" s="20"/>
      <c r="C10" s="5" t="s">
        <v>43</v>
      </c>
      <c r="D10" s="6" t="s">
        <v>13</v>
      </c>
      <c r="E10" s="11">
        <v>1.6067000000000001E-2</v>
      </c>
      <c r="F10" s="1"/>
      <c r="G10" s="1"/>
      <c r="H10" s="1"/>
      <c r="I10" s="1"/>
      <c r="J10" s="24" t="s">
        <v>36</v>
      </c>
      <c r="K10" s="29">
        <v>9.0360000000000006E-3</v>
      </c>
      <c r="L10" s="1"/>
      <c r="M10" s="1"/>
      <c r="N10" s="18"/>
    </row>
    <row r="11" spans="2:14" ht="15" customHeight="1" x14ac:dyDescent="0.25">
      <c r="B11" s="20"/>
      <c r="C11" s="5" t="s">
        <v>44</v>
      </c>
      <c r="D11" s="6" t="s">
        <v>13</v>
      </c>
      <c r="E11" s="11">
        <v>1.6008000000000001E-2</v>
      </c>
      <c r="F11" s="1"/>
      <c r="G11" s="1"/>
      <c r="H11" s="1"/>
      <c r="I11" s="1"/>
      <c r="J11" s="24" t="s">
        <v>37</v>
      </c>
      <c r="K11" s="29">
        <v>0.16142899999999999</v>
      </c>
      <c r="L11" s="1"/>
      <c r="M11" s="1"/>
      <c r="N11" s="18"/>
    </row>
    <row r="12" spans="2:14" ht="15.75" customHeight="1" x14ac:dyDescent="0.25">
      <c r="B12" s="20"/>
      <c r="C12" s="7" t="s">
        <v>15</v>
      </c>
      <c r="D12" s="8"/>
      <c r="E12" s="12">
        <v>0.16142899999999999</v>
      </c>
      <c r="F12" s="1"/>
      <c r="G12" s="1"/>
      <c r="H12" s="1"/>
      <c r="I12" s="1"/>
      <c r="J12" s="24" t="s">
        <v>38</v>
      </c>
      <c r="K12" s="29">
        <v>0.30101099999999997</v>
      </c>
      <c r="L12" s="1"/>
      <c r="M12" s="1"/>
      <c r="N12" s="18"/>
    </row>
    <row r="13" spans="2:14" ht="15" customHeight="1" x14ac:dyDescent="0.25">
      <c r="B13" s="20"/>
      <c r="C13" s="5" t="s">
        <v>18</v>
      </c>
      <c r="D13" s="6" t="s">
        <v>17</v>
      </c>
      <c r="E13" s="11">
        <v>9.9421999999999996E-2</v>
      </c>
      <c r="F13" s="1"/>
      <c r="G13" s="1"/>
      <c r="H13" s="1"/>
      <c r="I13" s="1"/>
      <c r="J13" s="24" t="s">
        <v>22</v>
      </c>
      <c r="K13" s="29">
        <v>3.4859999999999999E-3</v>
      </c>
      <c r="L13" s="1"/>
      <c r="M13" s="1"/>
      <c r="N13" s="18"/>
    </row>
    <row r="14" spans="2:14" ht="15" customHeight="1" x14ac:dyDescent="0.25">
      <c r="B14" s="20"/>
      <c r="C14" s="5" t="s">
        <v>45</v>
      </c>
      <c r="D14" s="6" t="s">
        <v>17</v>
      </c>
      <c r="E14" s="11">
        <v>6.9128999999999996E-2</v>
      </c>
      <c r="F14" s="1"/>
      <c r="G14" s="1"/>
      <c r="H14" s="1"/>
      <c r="I14" s="1"/>
      <c r="J14" s="24" t="s">
        <v>39</v>
      </c>
      <c r="K14" s="29">
        <v>0.51403399999999999</v>
      </c>
      <c r="L14" s="1"/>
      <c r="M14" s="1"/>
      <c r="N14" s="18"/>
    </row>
    <row r="15" spans="2:14" ht="15" customHeight="1" x14ac:dyDescent="0.25">
      <c r="B15" s="20"/>
      <c r="C15" s="5" t="s">
        <v>16</v>
      </c>
      <c r="D15" s="6" t="s">
        <v>17</v>
      </c>
      <c r="E15" s="11">
        <v>5.407E-2</v>
      </c>
      <c r="F15" s="1"/>
      <c r="G15" s="1"/>
      <c r="H15" s="1"/>
      <c r="I15" s="1"/>
      <c r="J15" s="24" t="s">
        <v>50</v>
      </c>
      <c r="K15" s="29">
        <v>1.346E-3</v>
      </c>
      <c r="L15" s="1"/>
      <c r="M15" s="1"/>
      <c r="N15" s="18"/>
    </row>
    <row r="16" spans="2:14" ht="15" customHeight="1" x14ac:dyDescent="0.25">
      <c r="B16" s="20"/>
      <c r="C16" s="5" t="s">
        <v>12</v>
      </c>
      <c r="D16" s="6" t="s">
        <v>17</v>
      </c>
      <c r="E16" s="11">
        <v>3.2048E-2</v>
      </c>
      <c r="F16" s="1"/>
      <c r="G16" s="1"/>
      <c r="H16" s="1"/>
      <c r="I16" s="1"/>
      <c r="J16" s="1"/>
      <c r="K16" s="1"/>
      <c r="L16" s="1"/>
      <c r="M16" s="1"/>
      <c r="N16" s="18"/>
    </row>
    <row r="17" spans="2:14" ht="15" customHeight="1" x14ac:dyDescent="0.25">
      <c r="B17" s="20"/>
      <c r="C17" s="5" t="s">
        <v>46</v>
      </c>
      <c r="D17" s="6" t="s">
        <v>17</v>
      </c>
      <c r="E17" s="11">
        <v>2.3227999999999999E-2</v>
      </c>
      <c r="F17" s="1"/>
      <c r="G17" s="1"/>
      <c r="H17" s="1"/>
      <c r="I17" s="1"/>
      <c r="J17" s="1"/>
      <c r="K17" s="1"/>
      <c r="L17" s="1"/>
      <c r="M17" s="1"/>
      <c r="N17" s="18"/>
    </row>
    <row r="18" spans="2:14" ht="15" customHeight="1" x14ac:dyDescent="0.25">
      <c r="B18" s="20"/>
      <c r="C18" s="5" t="s">
        <v>47</v>
      </c>
      <c r="D18" s="6" t="s">
        <v>17</v>
      </c>
      <c r="E18" s="11">
        <v>1.6500999999999998E-2</v>
      </c>
      <c r="F18" s="1"/>
      <c r="G18" s="1"/>
      <c r="H18" s="1"/>
      <c r="I18" s="1"/>
      <c r="J18" s="1"/>
      <c r="K18" s="1"/>
      <c r="L18" s="1"/>
      <c r="M18" s="1"/>
      <c r="N18" s="18"/>
    </row>
    <row r="19" spans="2:14" ht="15" customHeight="1" x14ac:dyDescent="0.25">
      <c r="B19" s="20"/>
      <c r="C19" s="5" t="s">
        <v>20</v>
      </c>
      <c r="D19" s="6" t="s">
        <v>17</v>
      </c>
      <c r="E19" s="11">
        <v>6.613E-3</v>
      </c>
      <c r="F19" s="1"/>
      <c r="G19" s="1"/>
      <c r="H19" s="1"/>
      <c r="I19" s="1"/>
      <c r="J19" s="1"/>
      <c r="K19" s="1"/>
      <c r="L19" s="1"/>
      <c r="M19" s="1"/>
      <c r="N19" s="18"/>
    </row>
    <row r="20" spans="2:14" ht="15.75" customHeight="1" x14ac:dyDescent="0.25">
      <c r="B20" s="20"/>
      <c r="C20" s="7" t="s">
        <v>21</v>
      </c>
      <c r="D20" s="8"/>
      <c r="E20" s="12">
        <v>0.30101099999999997</v>
      </c>
      <c r="F20" s="1"/>
      <c r="G20" s="1"/>
      <c r="H20" s="1"/>
      <c r="I20" s="1"/>
      <c r="J20" s="1"/>
      <c r="K20" s="1"/>
      <c r="L20" s="1"/>
      <c r="M20" s="1"/>
      <c r="N20" s="18"/>
    </row>
    <row r="21" spans="2:14" ht="15" customHeight="1" x14ac:dyDescent="0.25">
      <c r="B21" s="20"/>
      <c r="C21" s="5" t="s">
        <v>22</v>
      </c>
      <c r="D21" s="6"/>
      <c r="E21" s="11">
        <v>3.4859999999999999E-3</v>
      </c>
      <c r="F21" s="1"/>
      <c r="G21" s="1"/>
      <c r="H21" s="1"/>
      <c r="I21" s="1"/>
      <c r="J21" s="1"/>
      <c r="K21" s="1"/>
      <c r="L21" s="1"/>
      <c r="M21" s="1"/>
      <c r="N21" s="18"/>
    </row>
    <row r="22" spans="2:14" ht="15.75" customHeight="1" x14ac:dyDescent="0.25">
      <c r="B22" s="20"/>
      <c r="C22" s="7" t="s">
        <v>23</v>
      </c>
      <c r="D22" s="8"/>
      <c r="E22" s="12">
        <v>3.4859999999999999E-3</v>
      </c>
      <c r="F22" s="1"/>
      <c r="G22" s="1"/>
      <c r="H22" s="1"/>
      <c r="I22" s="1"/>
      <c r="J22" s="1"/>
      <c r="K22" s="1"/>
      <c r="L22" s="1"/>
      <c r="M22" s="1"/>
      <c r="N22" s="18"/>
    </row>
    <row r="23" spans="2:14" ht="15" customHeight="1" x14ac:dyDescent="0.25">
      <c r="B23" s="20"/>
      <c r="C23" s="5" t="s">
        <v>27</v>
      </c>
      <c r="D23" s="6" t="s">
        <v>182</v>
      </c>
      <c r="E23" s="11">
        <v>0.26266800000000001</v>
      </c>
      <c r="F23" s="1"/>
      <c r="G23" s="1"/>
      <c r="H23" s="1"/>
      <c r="I23" s="1"/>
      <c r="J23" s="1"/>
      <c r="K23" s="1"/>
      <c r="L23" s="1"/>
      <c r="M23" s="1"/>
      <c r="N23" s="18"/>
    </row>
    <row r="24" spans="2:14" ht="15" customHeight="1" x14ac:dyDescent="0.25">
      <c r="B24" s="20"/>
      <c r="C24" s="5" t="s">
        <v>25</v>
      </c>
      <c r="D24" s="6" t="s">
        <v>182</v>
      </c>
      <c r="E24" s="11">
        <v>0.23571800000000001</v>
      </c>
      <c r="F24" s="1"/>
      <c r="G24" s="89" t="s">
        <v>5</v>
      </c>
      <c r="H24" s="90"/>
      <c r="I24" s="90"/>
      <c r="J24" s="90"/>
      <c r="K24" s="90"/>
      <c r="L24" s="25">
        <v>4.9836349386314609</v>
      </c>
      <c r="M24" s="26"/>
      <c r="N24" s="27"/>
    </row>
    <row r="25" spans="2:14" ht="15" customHeight="1" x14ac:dyDescent="0.25">
      <c r="B25" s="20"/>
      <c r="C25" s="5" t="s">
        <v>26</v>
      </c>
      <c r="D25" s="6" t="s">
        <v>182</v>
      </c>
      <c r="E25" s="11">
        <v>1.5441E-2</v>
      </c>
      <c r="F25" s="1"/>
      <c r="G25" s="1"/>
      <c r="H25" s="1"/>
      <c r="I25" s="1"/>
      <c r="J25" s="1"/>
      <c r="K25" s="1"/>
      <c r="L25" s="1"/>
      <c r="M25" s="1"/>
      <c r="N25" s="18"/>
    </row>
    <row r="26" spans="2:14" ht="15" customHeight="1" x14ac:dyDescent="0.25">
      <c r="B26" s="20"/>
      <c r="C26" s="5" t="s">
        <v>28</v>
      </c>
      <c r="D26" s="6" t="s">
        <v>182</v>
      </c>
      <c r="E26" s="11">
        <v>1.3200000000000001E-4</v>
      </c>
      <c r="F26" s="1"/>
      <c r="G26" s="89" t="s">
        <v>6</v>
      </c>
      <c r="H26" s="90"/>
      <c r="I26" s="90"/>
      <c r="J26" s="90"/>
      <c r="K26" s="90"/>
      <c r="L26" s="90"/>
      <c r="M26" s="90"/>
      <c r="N26" s="91"/>
    </row>
    <row r="27" spans="2:14" ht="15" customHeight="1" x14ac:dyDescent="0.25">
      <c r="B27" s="20"/>
      <c r="C27" s="5" t="s">
        <v>48</v>
      </c>
      <c r="D27" s="6" t="s">
        <v>182</v>
      </c>
      <c r="E27" s="11">
        <v>7.4999999999999993E-5</v>
      </c>
      <c r="F27" s="1"/>
      <c r="G27" s="1"/>
      <c r="H27" s="1"/>
      <c r="I27" s="1"/>
      <c r="J27" s="1"/>
      <c r="K27" s="1"/>
      <c r="L27" s="1"/>
      <c r="M27" s="1"/>
      <c r="N27" s="18"/>
    </row>
    <row r="28" spans="2:14" ht="15.75" customHeight="1" x14ac:dyDescent="0.25">
      <c r="B28" s="20"/>
      <c r="C28" s="7" t="s">
        <v>30</v>
      </c>
      <c r="D28" s="8"/>
      <c r="E28" s="12">
        <v>0.51403399999999999</v>
      </c>
      <c r="F28" s="1"/>
      <c r="G28" s="1"/>
      <c r="H28" s="1"/>
      <c r="I28" s="1"/>
      <c r="J28" s="1"/>
      <c r="K28" s="1"/>
      <c r="L28" s="1"/>
      <c r="M28" s="1"/>
      <c r="N28" s="18"/>
    </row>
    <row r="29" spans="2:14" ht="15" customHeight="1" x14ac:dyDescent="0.25">
      <c r="B29" s="20"/>
      <c r="C29" s="5" t="s">
        <v>229</v>
      </c>
      <c r="D29" s="6" t="s">
        <v>182</v>
      </c>
      <c r="E29" s="11">
        <v>1.346E-3</v>
      </c>
      <c r="F29" s="1"/>
      <c r="G29" s="1"/>
      <c r="H29" s="1"/>
      <c r="I29" s="1"/>
      <c r="J29" s="1"/>
      <c r="K29" s="1"/>
      <c r="L29" s="1"/>
      <c r="M29" s="1"/>
      <c r="N29" s="18"/>
    </row>
    <row r="30" spans="2:14" ht="15.75" customHeight="1" x14ac:dyDescent="0.25">
      <c r="B30" s="20"/>
      <c r="C30" s="7" t="s">
        <v>49</v>
      </c>
      <c r="D30" s="8"/>
      <c r="E30" s="12">
        <v>1.346E-3</v>
      </c>
      <c r="F30" s="1"/>
      <c r="G30" s="1"/>
      <c r="H30" s="1"/>
      <c r="I30" s="1"/>
      <c r="J30" s="1"/>
      <c r="K30" s="1"/>
      <c r="L30" s="1"/>
      <c r="M30" s="1"/>
      <c r="N30" s="18"/>
    </row>
    <row r="31" spans="2:14" ht="15" customHeight="1" x14ac:dyDescent="0.25">
      <c r="B31" s="20"/>
      <c r="C31" s="5" t="s">
        <v>31</v>
      </c>
      <c r="D31" s="6"/>
      <c r="E31" s="11">
        <v>9.0360000000000006E-3</v>
      </c>
      <c r="F31" s="1"/>
      <c r="G31" s="1"/>
      <c r="H31" s="1"/>
      <c r="I31" s="1"/>
      <c r="J31" s="1"/>
      <c r="K31" s="1"/>
      <c r="L31" s="1"/>
      <c r="M31" s="1"/>
      <c r="N31" s="18"/>
    </row>
    <row r="32" spans="2:14" ht="15.75" customHeight="1" x14ac:dyDescent="0.25">
      <c r="B32" s="20"/>
      <c r="C32" s="7" t="s">
        <v>32</v>
      </c>
      <c r="D32" s="8"/>
      <c r="E32" s="12">
        <v>9.0360000000000006E-3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33</v>
      </c>
      <c r="D34" s="8"/>
      <c r="E34" s="12">
        <v>9.6579999999999999E-3</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34</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2" t="s">
        <v>295</v>
      </c>
      <c r="C45" s="73"/>
      <c r="D45" s="73"/>
      <c r="E45" s="73"/>
      <c r="F45" s="73"/>
      <c r="G45" s="73"/>
      <c r="H45" s="73"/>
      <c r="I45" s="73"/>
      <c r="J45" s="73"/>
      <c r="K45" s="73"/>
      <c r="L45" s="73"/>
      <c r="M45" s="73"/>
      <c r="N45" s="74"/>
    </row>
    <row r="46" spans="2:14" ht="15" customHeight="1" x14ac:dyDescent="0.25">
      <c r="B46" s="75"/>
      <c r="C46" s="76"/>
      <c r="D46" s="76"/>
      <c r="E46" s="76"/>
      <c r="F46" s="76"/>
      <c r="G46" s="76"/>
      <c r="H46" s="76"/>
      <c r="I46" s="76"/>
      <c r="J46" s="76"/>
      <c r="K46" s="76"/>
      <c r="L46" s="76"/>
      <c r="M46" s="76"/>
      <c r="N46" s="77"/>
    </row>
    <row r="47" spans="2:14" ht="15" customHeight="1" x14ac:dyDescent="0.25">
      <c r="B47" s="75"/>
      <c r="C47" s="76"/>
      <c r="D47" s="76"/>
      <c r="E47" s="76"/>
      <c r="F47" s="76"/>
      <c r="G47" s="76"/>
      <c r="H47" s="76"/>
      <c r="I47" s="76"/>
      <c r="J47" s="76"/>
      <c r="K47" s="76"/>
      <c r="L47" s="76"/>
      <c r="M47" s="76"/>
      <c r="N47" s="77"/>
    </row>
    <row r="48" spans="2:14" ht="15" customHeight="1" thickBot="1" x14ac:dyDescent="0.3">
      <c r="B48" s="78"/>
      <c r="C48" s="79"/>
      <c r="D48" s="79"/>
      <c r="E48" s="79"/>
      <c r="F48" s="79"/>
      <c r="G48" s="79"/>
      <c r="H48" s="79"/>
      <c r="I48" s="79"/>
      <c r="J48" s="79"/>
      <c r="K48" s="79"/>
      <c r="L48" s="79"/>
      <c r="M48" s="79"/>
      <c r="N48" s="80"/>
    </row>
    <row r="49" spans="2:14" ht="15" customHeight="1" thickBot="1" x14ac:dyDescent="0.3"/>
    <row r="50" spans="2:14" ht="123" customHeight="1" thickBot="1" x14ac:dyDescent="0.3">
      <c r="B50" s="81" t="s">
        <v>294</v>
      </c>
      <c r="C50" s="82"/>
      <c r="D50" s="82"/>
      <c r="E50" s="82"/>
      <c r="F50" s="82"/>
      <c r="G50" s="82"/>
      <c r="H50" s="82"/>
      <c r="I50" s="82"/>
      <c r="J50" s="82"/>
      <c r="K50" s="82"/>
      <c r="L50" s="82"/>
      <c r="M50" s="82"/>
      <c r="N50" s="83"/>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0A6D6-FCA7-4682-8AAE-7A1C4196D407}">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51</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52</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42</v>
      </c>
      <c r="D8" s="6" t="s">
        <v>13</v>
      </c>
      <c r="E8" s="11">
        <v>0.11135100000000001</v>
      </c>
      <c r="F8" s="1"/>
      <c r="G8" s="24" t="s">
        <v>8</v>
      </c>
      <c r="H8" s="28">
        <v>1</v>
      </c>
      <c r="I8" s="1"/>
      <c r="J8" s="24" t="s">
        <v>35</v>
      </c>
      <c r="K8" s="24" t="s">
        <v>3</v>
      </c>
      <c r="L8" s="1"/>
      <c r="M8" s="1"/>
      <c r="N8" s="18"/>
    </row>
    <row r="9" spans="2:14" ht="15" customHeight="1" x14ac:dyDescent="0.25">
      <c r="B9" s="20"/>
      <c r="C9" s="5" t="s">
        <v>12</v>
      </c>
      <c r="D9" s="6" t="s">
        <v>13</v>
      </c>
      <c r="E9" s="11">
        <v>5.7106999999999998E-2</v>
      </c>
      <c r="F9" s="1"/>
      <c r="G9" s="1"/>
      <c r="H9" s="1"/>
      <c r="I9" s="1"/>
      <c r="J9" s="24" t="s">
        <v>33</v>
      </c>
      <c r="K9" s="29">
        <v>1.4786000000000001E-2</v>
      </c>
      <c r="L9" s="1"/>
      <c r="M9" s="1"/>
      <c r="N9" s="18"/>
    </row>
    <row r="10" spans="2:14" ht="15" customHeight="1" x14ac:dyDescent="0.25">
      <c r="B10" s="20"/>
      <c r="C10" s="5" t="s">
        <v>44</v>
      </c>
      <c r="D10" s="6" t="s">
        <v>13</v>
      </c>
      <c r="E10" s="11">
        <v>4.5183000000000001E-2</v>
      </c>
      <c r="F10" s="1"/>
      <c r="G10" s="1"/>
      <c r="H10" s="1"/>
      <c r="I10" s="1"/>
      <c r="J10" s="24" t="s">
        <v>36</v>
      </c>
      <c r="K10" s="29">
        <v>2.1350000000000002E-3</v>
      </c>
      <c r="L10" s="1"/>
      <c r="M10" s="1"/>
      <c r="N10" s="18"/>
    </row>
    <row r="11" spans="2:14" ht="15" customHeight="1" x14ac:dyDescent="0.25">
      <c r="B11" s="20"/>
      <c r="C11" s="5" t="s">
        <v>14</v>
      </c>
      <c r="D11" s="6" t="s">
        <v>13</v>
      </c>
      <c r="E11" s="11">
        <v>1.0872E-2</v>
      </c>
      <c r="F11" s="1"/>
      <c r="G11" s="1"/>
      <c r="H11" s="1"/>
      <c r="I11" s="1"/>
      <c r="J11" s="24" t="s">
        <v>37</v>
      </c>
      <c r="K11" s="29">
        <v>0.228853</v>
      </c>
      <c r="L11" s="1"/>
      <c r="M11" s="1"/>
      <c r="N11" s="18"/>
    </row>
    <row r="12" spans="2:14" ht="15" customHeight="1" x14ac:dyDescent="0.25">
      <c r="B12" s="20"/>
      <c r="C12" s="5" t="s">
        <v>53</v>
      </c>
      <c r="D12" s="6" t="s">
        <v>13</v>
      </c>
      <c r="E12" s="11">
        <v>2.7039999999999998E-3</v>
      </c>
      <c r="F12" s="1"/>
      <c r="G12" s="1"/>
      <c r="H12" s="1"/>
      <c r="I12" s="1"/>
      <c r="J12" s="24" t="s">
        <v>38</v>
      </c>
      <c r="K12" s="29">
        <v>0.37910100000000002</v>
      </c>
      <c r="L12" s="1"/>
      <c r="M12" s="1"/>
      <c r="N12" s="18"/>
    </row>
    <row r="13" spans="2:14" ht="15" customHeight="1" x14ac:dyDescent="0.25">
      <c r="B13" s="20"/>
      <c r="C13" s="5" t="s">
        <v>43</v>
      </c>
      <c r="D13" s="6" t="s">
        <v>13</v>
      </c>
      <c r="E13" s="11">
        <v>1.6360000000000001E-3</v>
      </c>
      <c r="F13" s="1"/>
      <c r="G13" s="1"/>
      <c r="H13" s="1"/>
      <c r="I13" s="1"/>
      <c r="J13" s="24" t="s">
        <v>59</v>
      </c>
      <c r="K13" s="29">
        <v>3.2589E-2</v>
      </c>
      <c r="L13" s="1"/>
      <c r="M13" s="1"/>
      <c r="N13" s="18"/>
    </row>
    <row r="14" spans="2:14" ht="15.75" customHeight="1" x14ac:dyDescent="0.25">
      <c r="B14" s="20"/>
      <c r="C14" s="7" t="s">
        <v>15</v>
      </c>
      <c r="D14" s="8"/>
      <c r="E14" s="12">
        <v>0.228853</v>
      </c>
      <c r="F14" s="1"/>
      <c r="G14" s="1"/>
      <c r="H14" s="1"/>
      <c r="I14" s="1"/>
      <c r="J14" s="24" t="s">
        <v>22</v>
      </c>
      <c r="K14" s="29">
        <v>2.7690000000000002E-3</v>
      </c>
      <c r="L14" s="1"/>
      <c r="M14" s="1"/>
      <c r="N14" s="18"/>
    </row>
    <row r="15" spans="2:14" ht="15" customHeight="1" x14ac:dyDescent="0.25">
      <c r="B15" s="20"/>
      <c r="C15" s="5" t="s">
        <v>54</v>
      </c>
      <c r="D15" s="6" t="s">
        <v>13</v>
      </c>
      <c r="E15" s="11">
        <v>3.2589E-2</v>
      </c>
      <c r="F15" s="1"/>
      <c r="G15" s="1"/>
      <c r="H15" s="1"/>
      <c r="I15" s="1"/>
      <c r="J15" s="24" t="s">
        <v>39</v>
      </c>
      <c r="K15" s="29">
        <v>0.33976699999999999</v>
      </c>
      <c r="L15" s="1"/>
      <c r="M15" s="1"/>
      <c r="N15" s="18"/>
    </row>
    <row r="16" spans="2:14" ht="15.75" customHeight="1" x14ac:dyDescent="0.25">
      <c r="B16" s="20"/>
      <c r="C16" s="7" t="s">
        <v>55</v>
      </c>
      <c r="D16" s="8"/>
      <c r="E16" s="12">
        <v>3.2589E-2</v>
      </c>
      <c r="F16" s="1"/>
      <c r="G16" s="1"/>
      <c r="H16" s="1"/>
      <c r="I16" s="1"/>
      <c r="J16" s="1"/>
      <c r="K16" s="1"/>
      <c r="L16" s="1"/>
      <c r="M16" s="1"/>
      <c r="N16" s="18"/>
    </row>
    <row r="17" spans="2:14" ht="15" customHeight="1" x14ac:dyDescent="0.25">
      <c r="B17" s="20"/>
      <c r="C17" s="5" t="s">
        <v>19</v>
      </c>
      <c r="D17" s="6" t="s">
        <v>17</v>
      </c>
      <c r="E17" s="11">
        <v>9.3998999999999999E-2</v>
      </c>
      <c r="F17" s="1"/>
      <c r="G17" s="1"/>
      <c r="H17" s="1"/>
      <c r="I17" s="1"/>
      <c r="J17" s="1"/>
      <c r="K17" s="1"/>
      <c r="L17" s="1"/>
      <c r="M17" s="1"/>
      <c r="N17" s="18"/>
    </row>
    <row r="18" spans="2:14" ht="15" customHeight="1" x14ac:dyDescent="0.25">
      <c r="B18" s="20"/>
      <c r="C18" s="5" t="s">
        <v>18</v>
      </c>
      <c r="D18" s="6" t="s">
        <v>17</v>
      </c>
      <c r="E18" s="11">
        <v>8.1569000000000003E-2</v>
      </c>
      <c r="F18" s="1"/>
      <c r="G18" s="1"/>
      <c r="H18" s="1"/>
      <c r="I18" s="1"/>
      <c r="J18" s="1"/>
      <c r="K18" s="1"/>
      <c r="L18" s="1"/>
      <c r="M18" s="1"/>
      <c r="N18" s="18"/>
    </row>
    <row r="19" spans="2:14" ht="15" customHeight="1" x14ac:dyDescent="0.25">
      <c r="B19" s="20"/>
      <c r="C19" s="5" t="s">
        <v>16</v>
      </c>
      <c r="D19" s="6" t="s">
        <v>17</v>
      </c>
      <c r="E19" s="11">
        <v>5.3430999999999999E-2</v>
      </c>
      <c r="F19" s="1"/>
      <c r="G19" s="1"/>
      <c r="H19" s="1"/>
      <c r="I19" s="1"/>
      <c r="J19" s="1"/>
      <c r="K19" s="1"/>
      <c r="L19" s="1"/>
      <c r="M19" s="1"/>
      <c r="N19" s="18"/>
    </row>
    <row r="20" spans="2:14" ht="15" customHeight="1" x14ac:dyDescent="0.25">
      <c r="B20" s="20"/>
      <c r="C20" s="5" t="s">
        <v>47</v>
      </c>
      <c r="D20" s="6" t="s">
        <v>17</v>
      </c>
      <c r="E20" s="11">
        <v>5.0457000000000002E-2</v>
      </c>
      <c r="F20" s="1"/>
      <c r="G20" s="1"/>
      <c r="H20" s="1"/>
      <c r="I20" s="1"/>
      <c r="J20" s="1"/>
      <c r="K20" s="1"/>
      <c r="L20" s="1"/>
      <c r="M20" s="1"/>
      <c r="N20" s="18"/>
    </row>
    <row r="21" spans="2:14" ht="15" customHeight="1" x14ac:dyDescent="0.25">
      <c r="B21" s="20"/>
      <c r="C21" s="5" t="s">
        <v>45</v>
      </c>
      <c r="D21" s="6" t="s">
        <v>17</v>
      </c>
      <c r="E21" s="11">
        <v>4.4832999999999998E-2</v>
      </c>
      <c r="F21" s="1"/>
      <c r="G21" s="1"/>
      <c r="H21" s="1"/>
      <c r="I21" s="1"/>
      <c r="J21" s="1"/>
      <c r="K21" s="1"/>
      <c r="L21" s="1"/>
      <c r="M21" s="1"/>
      <c r="N21" s="18"/>
    </row>
    <row r="22" spans="2:14" ht="15" customHeight="1" x14ac:dyDescent="0.25">
      <c r="B22" s="20"/>
      <c r="C22" s="5" t="s">
        <v>56</v>
      </c>
      <c r="D22" s="6" t="s">
        <v>17</v>
      </c>
      <c r="E22" s="11">
        <v>2.3473000000000001E-2</v>
      </c>
      <c r="F22" s="1"/>
      <c r="G22" s="1"/>
      <c r="H22" s="1"/>
      <c r="I22" s="1"/>
      <c r="J22" s="1"/>
      <c r="K22" s="1"/>
      <c r="L22" s="1"/>
      <c r="M22" s="1"/>
      <c r="N22" s="18"/>
    </row>
    <row r="23" spans="2:14" ht="15" customHeight="1" x14ac:dyDescent="0.25">
      <c r="B23" s="20"/>
      <c r="C23" s="5" t="s">
        <v>57</v>
      </c>
      <c r="D23" s="6" t="s">
        <v>17</v>
      </c>
      <c r="E23" s="11">
        <v>1.6837999999999999E-2</v>
      </c>
      <c r="F23" s="1"/>
      <c r="G23" s="1"/>
      <c r="H23" s="1"/>
      <c r="I23" s="1"/>
      <c r="J23" s="1"/>
      <c r="K23" s="1"/>
      <c r="L23" s="1"/>
      <c r="M23" s="1"/>
      <c r="N23" s="18"/>
    </row>
    <row r="24" spans="2:14" ht="15" customHeight="1" x14ac:dyDescent="0.25">
      <c r="B24" s="20"/>
      <c r="C24" s="5" t="s">
        <v>12</v>
      </c>
      <c r="D24" s="6" t="s">
        <v>17</v>
      </c>
      <c r="E24" s="11">
        <v>1.1129E-2</v>
      </c>
      <c r="F24" s="1"/>
      <c r="G24" s="89" t="s">
        <v>5</v>
      </c>
      <c r="H24" s="90"/>
      <c r="I24" s="90"/>
      <c r="J24" s="90"/>
      <c r="K24" s="90"/>
      <c r="L24" s="25">
        <v>3.7406933795585093</v>
      </c>
      <c r="M24" s="26"/>
      <c r="N24" s="27"/>
    </row>
    <row r="25" spans="2:14" ht="15" customHeight="1" x14ac:dyDescent="0.25">
      <c r="B25" s="20"/>
      <c r="C25" s="5" t="s">
        <v>20</v>
      </c>
      <c r="D25" s="6" t="s">
        <v>17</v>
      </c>
      <c r="E25" s="11">
        <v>3.372E-3</v>
      </c>
      <c r="F25" s="1"/>
      <c r="G25" s="1"/>
      <c r="H25" s="1"/>
      <c r="I25" s="1"/>
      <c r="J25" s="1"/>
      <c r="K25" s="1"/>
      <c r="L25" s="1"/>
      <c r="M25" s="1"/>
      <c r="N25" s="18"/>
    </row>
    <row r="26" spans="2:14" ht="15.75" customHeight="1" x14ac:dyDescent="0.25">
      <c r="B26" s="20"/>
      <c r="C26" s="7" t="s">
        <v>21</v>
      </c>
      <c r="D26" s="8"/>
      <c r="E26" s="12">
        <v>0.37910100000000002</v>
      </c>
      <c r="F26" s="1"/>
      <c r="G26" s="89" t="s">
        <v>6</v>
      </c>
      <c r="H26" s="90"/>
      <c r="I26" s="90"/>
      <c r="J26" s="90"/>
      <c r="K26" s="90"/>
      <c r="L26" s="90"/>
      <c r="M26" s="90"/>
      <c r="N26" s="91"/>
    </row>
    <row r="27" spans="2:14" ht="15" customHeight="1" x14ac:dyDescent="0.25">
      <c r="B27" s="20"/>
      <c r="C27" s="5" t="s">
        <v>22</v>
      </c>
      <c r="D27" s="6"/>
      <c r="E27" s="11">
        <v>2.7690000000000002E-3</v>
      </c>
      <c r="F27" s="1"/>
      <c r="G27" s="1"/>
      <c r="H27" s="1"/>
      <c r="I27" s="1"/>
      <c r="J27" s="1"/>
      <c r="K27" s="1"/>
      <c r="L27" s="1"/>
      <c r="M27" s="1"/>
      <c r="N27" s="18"/>
    </row>
    <row r="28" spans="2:14" ht="15.75" customHeight="1" x14ac:dyDescent="0.25">
      <c r="B28" s="20"/>
      <c r="C28" s="7" t="s">
        <v>23</v>
      </c>
      <c r="D28" s="8"/>
      <c r="E28" s="12">
        <v>2.7690000000000002E-3</v>
      </c>
      <c r="F28" s="1"/>
      <c r="G28" s="1"/>
      <c r="H28" s="1"/>
      <c r="I28" s="1"/>
      <c r="J28" s="1"/>
      <c r="K28" s="1"/>
      <c r="L28" s="1"/>
      <c r="M28" s="1"/>
      <c r="N28" s="18"/>
    </row>
    <row r="29" spans="2:14" ht="15" customHeight="1" x14ac:dyDescent="0.25">
      <c r="B29" s="20"/>
      <c r="C29" s="5" t="s">
        <v>25</v>
      </c>
      <c r="D29" s="6" t="s">
        <v>182</v>
      </c>
      <c r="E29" s="11">
        <v>0.30672700000000003</v>
      </c>
      <c r="F29" s="1"/>
      <c r="G29" s="1"/>
      <c r="H29" s="1"/>
      <c r="I29" s="1"/>
      <c r="J29" s="1"/>
      <c r="K29" s="1"/>
      <c r="L29" s="1"/>
      <c r="M29" s="1"/>
      <c r="N29" s="18"/>
    </row>
    <row r="30" spans="2:14" ht="15" customHeight="1" x14ac:dyDescent="0.25">
      <c r="B30" s="20"/>
      <c r="C30" s="5" t="s">
        <v>26</v>
      </c>
      <c r="D30" s="6" t="s">
        <v>182</v>
      </c>
      <c r="E30" s="11">
        <v>3.2718999999999998E-2</v>
      </c>
      <c r="F30" s="1"/>
      <c r="G30" s="1"/>
      <c r="H30" s="1"/>
      <c r="I30" s="1"/>
      <c r="J30" s="1"/>
      <c r="K30" s="1"/>
      <c r="L30" s="1"/>
      <c r="M30" s="1"/>
      <c r="N30" s="18"/>
    </row>
    <row r="31" spans="2:14" ht="15" customHeight="1" x14ac:dyDescent="0.25">
      <c r="B31" s="20"/>
      <c r="C31" s="5" t="s">
        <v>48</v>
      </c>
      <c r="D31" s="6" t="s">
        <v>182</v>
      </c>
      <c r="E31" s="11">
        <v>1.16E-4</v>
      </c>
      <c r="F31" s="1"/>
      <c r="G31" s="1"/>
      <c r="H31" s="1"/>
      <c r="I31" s="1"/>
      <c r="J31" s="1"/>
      <c r="K31" s="1"/>
      <c r="L31" s="1"/>
      <c r="M31" s="1"/>
      <c r="N31" s="18"/>
    </row>
    <row r="32" spans="2:14" ht="15" customHeight="1" x14ac:dyDescent="0.25">
      <c r="B32" s="20"/>
      <c r="C32" s="5" t="s">
        <v>58</v>
      </c>
      <c r="D32" s="6" t="s">
        <v>182</v>
      </c>
      <c r="E32" s="11">
        <v>1.1E-4</v>
      </c>
      <c r="F32" s="1"/>
      <c r="G32" s="1"/>
      <c r="H32" s="1"/>
      <c r="I32" s="1"/>
      <c r="J32" s="1"/>
      <c r="K32" s="1"/>
      <c r="L32" s="1"/>
      <c r="M32" s="1"/>
      <c r="N32" s="18"/>
    </row>
    <row r="33" spans="2:14" ht="15" customHeight="1" x14ac:dyDescent="0.25">
      <c r="B33" s="20"/>
      <c r="C33" s="5" t="s">
        <v>28</v>
      </c>
      <c r="D33" s="6" t="s">
        <v>182</v>
      </c>
      <c r="E33" s="11">
        <v>9.5000000000000005E-5</v>
      </c>
      <c r="F33" s="1"/>
      <c r="G33" s="1"/>
      <c r="H33" s="1"/>
      <c r="I33" s="1"/>
      <c r="J33" s="1"/>
      <c r="K33" s="1"/>
      <c r="L33" s="1"/>
      <c r="M33" s="1"/>
      <c r="N33" s="18"/>
    </row>
    <row r="34" spans="2:14" ht="15.75" customHeight="1" x14ac:dyDescent="0.25">
      <c r="B34" s="20"/>
      <c r="C34" s="7" t="s">
        <v>30</v>
      </c>
      <c r="D34" s="8"/>
      <c r="E34" s="12">
        <v>0.33976699999999999</v>
      </c>
      <c r="F34" s="1"/>
      <c r="G34" s="1"/>
      <c r="H34" s="1"/>
      <c r="I34" s="1"/>
      <c r="J34" s="1"/>
      <c r="K34" s="1"/>
      <c r="L34" s="1"/>
      <c r="M34" s="1"/>
      <c r="N34" s="18"/>
    </row>
    <row r="35" spans="2:14" ht="15" customHeight="1" x14ac:dyDescent="0.25">
      <c r="B35" s="20"/>
      <c r="C35" s="5" t="s">
        <v>31</v>
      </c>
      <c r="D35" s="6"/>
      <c r="E35" s="11">
        <v>2.1350000000000002E-3</v>
      </c>
      <c r="F35" s="1"/>
      <c r="G35" s="1"/>
      <c r="H35" s="1"/>
      <c r="I35" s="1"/>
      <c r="J35" s="1"/>
      <c r="K35" s="1"/>
      <c r="L35" s="1"/>
      <c r="M35" s="1"/>
      <c r="N35" s="18"/>
    </row>
    <row r="36" spans="2:14" ht="15.75" customHeight="1" x14ac:dyDescent="0.25">
      <c r="B36" s="20"/>
      <c r="C36" s="7" t="s">
        <v>32</v>
      </c>
      <c r="D36" s="8"/>
      <c r="E36" s="12">
        <v>2.1350000000000002E-3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75" customHeight="1" x14ac:dyDescent="0.25">
      <c r="B38" s="20"/>
      <c r="C38" s="7" t="s">
        <v>33</v>
      </c>
      <c r="D38" s="8"/>
      <c r="E38" s="12">
        <v>1.4786000000000001E-2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34</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2" t="s">
        <v>295</v>
      </c>
      <c r="C45" s="73"/>
      <c r="D45" s="73"/>
      <c r="E45" s="73"/>
      <c r="F45" s="73"/>
      <c r="G45" s="73"/>
      <c r="H45" s="73"/>
      <c r="I45" s="73"/>
      <c r="J45" s="73"/>
      <c r="K45" s="73"/>
      <c r="L45" s="73"/>
      <c r="M45" s="73"/>
      <c r="N45" s="74"/>
    </row>
    <row r="46" spans="2:14" ht="15" customHeight="1" x14ac:dyDescent="0.25">
      <c r="B46" s="75"/>
      <c r="C46" s="76"/>
      <c r="D46" s="76"/>
      <c r="E46" s="76"/>
      <c r="F46" s="76"/>
      <c r="G46" s="76"/>
      <c r="H46" s="76"/>
      <c r="I46" s="76"/>
      <c r="J46" s="76"/>
      <c r="K46" s="76"/>
      <c r="L46" s="76"/>
      <c r="M46" s="76"/>
      <c r="N46" s="77"/>
    </row>
    <row r="47" spans="2:14" ht="15" customHeight="1" x14ac:dyDescent="0.25">
      <c r="B47" s="75"/>
      <c r="C47" s="76"/>
      <c r="D47" s="76"/>
      <c r="E47" s="76"/>
      <c r="F47" s="76"/>
      <c r="G47" s="76"/>
      <c r="H47" s="76"/>
      <c r="I47" s="76"/>
      <c r="J47" s="76"/>
      <c r="K47" s="76"/>
      <c r="L47" s="76"/>
      <c r="M47" s="76"/>
      <c r="N47" s="77"/>
    </row>
    <row r="48" spans="2:14" ht="15" customHeight="1" thickBot="1" x14ac:dyDescent="0.3">
      <c r="B48" s="78"/>
      <c r="C48" s="79"/>
      <c r="D48" s="79"/>
      <c r="E48" s="79"/>
      <c r="F48" s="79"/>
      <c r="G48" s="79"/>
      <c r="H48" s="79"/>
      <c r="I48" s="79"/>
      <c r="J48" s="79"/>
      <c r="K48" s="79"/>
      <c r="L48" s="79"/>
      <c r="M48" s="79"/>
      <c r="N48" s="80"/>
    </row>
    <row r="49" spans="2:14" ht="15" customHeight="1" thickBot="1" x14ac:dyDescent="0.3"/>
    <row r="50" spans="2:14" ht="126" customHeight="1" thickBot="1" x14ac:dyDescent="0.3">
      <c r="B50" s="81" t="s">
        <v>294</v>
      </c>
      <c r="C50" s="82"/>
      <c r="D50" s="82"/>
      <c r="E50" s="82"/>
      <c r="F50" s="82"/>
      <c r="G50" s="82"/>
      <c r="H50" s="82"/>
      <c r="I50" s="82"/>
      <c r="J50" s="82"/>
      <c r="K50" s="82"/>
      <c r="L50" s="82"/>
      <c r="M50" s="82"/>
      <c r="N50" s="83"/>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011E9-0F79-4084-85A3-51C851F30665}">
  <dimension ref="B1:N75"/>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60</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61</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18</v>
      </c>
      <c r="D8" s="6" t="s">
        <v>17</v>
      </c>
      <c r="E8" s="11">
        <v>0.109921</v>
      </c>
      <c r="F8" s="1"/>
      <c r="G8" s="24" t="s">
        <v>8</v>
      </c>
      <c r="H8" s="28">
        <v>1</v>
      </c>
      <c r="I8" s="1"/>
      <c r="J8" s="24" t="s">
        <v>35</v>
      </c>
      <c r="K8" s="24" t="s">
        <v>3</v>
      </c>
      <c r="L8" s="1"/>
      <c r="M8" s="1"/>
      <c r="N8" s="18"/>
    </row>
    <row r="9" spans="2:14" ht="15" customHeight="1" x14ac:dyDescent="0.25">
      <c r="B9" s="20"/>
      <c r="C9" s="5" t="s">
        <v>19</v>
      </c>
      <c r="D9" s="6" t="s">
        <v>17</v>
      </c>
      <c r="E9" s="11">
        <v>8.0966999999999997E-2</v>
      </c>
      <c r="F9" s="1"/>
      <c r="G9" s="1"/>
      <c r="H9" s="1"/>
      <c r="I9" s="1"/>
      <c r="J9" s="24" t="s">
        <v>33</v>
      </c>
      <c r="K9" s="29">
        <v>2.3845000000000002E-2</v>
      </c>
      <c r="L9" s="1"/>
      <c r="M9" s="1"/>
      <c r="N9" s="18"/>
    </row>
    <row r="10" spans="2:14" ht="15" customHeight="1" x14ac:dyDescent="0.25">
      <c r="B10" s="20"/>
      <c r="C10" s="5" t="s">
        <v>54</v>
      </c>
      <c r="D10" s="6" t="s">
        <v>17</v>
      </c>
      <c r="E10" s="11">
        <v>7.9529000000000002E-2</v>
      </c>
      <c r="F10" s="1"/>
      <c r="G10" s="1"/>
      <c r="H10" s="1"/>
      <c r="I10" s="1"/>
      <c r="J10" s="24" t="s">
        <v>36</v>
      </c>
      <c r="K10" s="29">
        <v>8.2899999999999998E-4</v>
      </c>
      <c r="L10" s="1"/>
      <c r="M10" s="1"/>
      <c r="N10" s="18"/>
    </row>
    <row r="11" spans="2:14" ht="15" customHeight="1" x14ac:dyDescent="0.25">
      <c r="B11" s="20"/>
      <c r="C11" s="5" t="s">
        <v>62</v>
      </c>
      <c r="D11" s="6" t="s">
        <v>17</v>
      </c>
      <c r="E11" s="11">
        <v>7.7189999999999995E-2</v>
      </c>
      <c r="F11" s="1"/>
      <c r="G11" s="1"/>
      <c r="H11" s="1"/>
      <c r="I11" s="1"/>
      <c r="J11" s="24" t="s">
        <v>38</v>
      </c>
      <c r="K11" s="29">
        <v>0.70285000000000009</v>
      </c>
      <c r="L11" s="1"/>
      <c r="M11" s="1"/>
      <c r="N11" s="18"/>
    </row>
    <row r="12" spans="2:14" ht="15" customHeight="1" x14ac:dyDescent="0.25">
      <c r="B12" s="20"/>
      <c r="C12" s="5" t="s">
        <v>63</v>
      </c>
      <c r="D12" s="6" t="s">
        <v>17</v>
      </c>
      <c r="E12" s="11">
        <v>4.7077000000000001E-2</v>
      </c>
      <c r="F12" s="1"/>
      <c r="G12" s="1"/>
      <c r="H12" s="1"/>
      <c r="I12" s="1"/>
      <c r="J12" s="24" t="s">
        <v>22</v>
      </c>
      <c r="K12" s="29">
        <v>2.928E-3</v>
      </c>
      <c r="L12" s="1"/>
      <c r="M12" s="1"/>
      <c r="N12" s="18"/>
    </row>
    <row r="13" spans="2:14" ht="15" customHeight="1" x14ac:dyDescent="0.25">
      <c r="B13" s="20"/>
      <c r="C13" s="5" t="s">
        <v>12</v>
      </c>
      <c r="D13" s="6" t="s">
        <v>17</v>
      </c>
      <c r="E13" s="11">
        <v>4.5002E-2</v>
      </c>
      <c r="F13" s="1"/>
      <c r="G13" s="1"/>
      <c r="H13" s="1"/>
      <c r="I13" s="1"/>
      <c r="J13" s="24" t="s">
        <v>39</v>
      </c>
      <c r="K13" s="29">
        <v>0.26852500000000001</v>
      </c>
      <c r="L13" s="1"/>
      <c r="M13" s="1"/>
      <c r="N13" s="18"/>
    </row>
    <row r="14" spans="2:14" ht="15" customHeight="1" x14ac:dyDescent="0.25">
      <c r="B14" s="20"/>
      <c r="C14" s="5" t="s">
        <v>56</v>
      </c>
      <c r="D14" s="6" t="s">
        <v>17</v>
      </c>
      <c r="E14" s="11">
        <v>4.2166000000000002E-2</v>
      </c>
      <c r="F14" s="1"/>
      <c r="G14" s="1"/>
      <c r="H14" s="1"/>
      <c r="I14" s="1"/>
      <c r="J14" s="24"/>
      <c r="K14" s="29"/>
      <c r="L14" s="1"/>
      <c r="M14" s="1"/>
      <c r="N14" s="18"/>
    </row>
    <row r="15" spans="2:14" ht="15" customHeight="1" x14ac:dyDescent="0.25">
      <c r="B15" s="20"/>
      <c r="C15" s="5" t="s">
        <v>46</v>
      </c>
      <c r="D15" s="6" t="s">
        <v>17</v>
      </c>
      <c r="E15" s="11">
        <v>4.2120999999999999E-2</v>
      </c>
      <c r="F15" s="1"/>
      <c r="G15" s="1"/>
      <c r="H15" s="1"/>
      <c r="I15" s="1"/>
      <c r="J15" s="24" t="s">
        <v>50</v>
      </c>
      <c r="K15" s="29">
        <v>1.8200000000000001E-4</v>
      </c>
      <c r="L15" s="1"/>
      <c r="M15" s="1"/>
      <c r="N15" s="18"/>
    </row>
    <row r="16" spans="2:14" ht="15" customHeight="1" x14ac:dyDescent="0.25">
      <c r="B16" s="20"/>
      <c r="C16" s="5" t="s">
        <v>16</v>
      </c>
      <c r="D16" s="6" t="s">
        <v>17</v>
      </c>
      <c r="E16" s="11">
        <v>3.4854000000000003E-2</v>
      </c>
      <c r="F16" s="1"/>
      <c r="G16" s="1"/>
      <c r="H16" s="1"/>
      <c r="I16" s="1"/>
      <c r="J16" s="24" t="s">
        <v>78</v>
      </c>
      <c r="K16" s="29">
        <v>8.4099999999999995E-4</v>
      </c>
      <c r="L16" s="1"/>
      <c r="M16" s="1"/>
      <c r="N16" s="18"/>
    </row>
    <row r="17" spans="2:14" ht="15" customHeight="1" x14ac:dyDescent="0.25">
      <c r="B17" s="20"/>
      <c r="C17" s="5" t="s">
        <v>47</v>
      </c>
      <c r="D17" s="6" t="s">
        <v>17</v>
      </c>
      <c r="E17" s="11">
        <v>1.9456999999999999E-2</v>
      </c>
      <c r="F17" s="1"/>
      <c r="G17" s="1"/>
      <c r="H17" s="1"/>
      <c r="I17" s="1"/>
      <c r="J17" s="1"/>
      <c r="K17" s="1"/>
      <c r="L17" s="1"/>
      <c r="M17" s="1"/>
      <c r="N17" s="18"/>
    </row>
    <row r="18" spans="2:14" ht="15" customHeight="1" x14ac:dyDescent="0.25">
      <c r="B18" s="20"/>
      <c r="C18" s="5" t="s">
        <v>64</v>
      </c>
      <c r="D18" s="6" t="s">
        <v>17</v>
      </c>
      <c r="E18" s="11">
        <v>1.8429000000000001E-2</v>
      </c>
      <c r="F18" s="1"/>
      <c r="G18" s="1"/>
      <c r="H18" s="1"/>
      <c r="I18" s="1"/>
      <c r="J18" s="1"/>
      <c r="K18" s="1"/>
      <c r="L18" s="1"/>
      <c r="M18" s="1"/>
      <c r="N18" s="18"/>
    </row>
    <row r="19" spans="2:14" ht="15" customHeight="1" x14ac:dyDescent="0.25">
      <c r="B19" s="20"/>
      <c r="C19" s="5" t="s">
        <v>20</v>
      </c>
      <c r="D19" s="6" t="s">
        <v>17</v>
      </c>
      <c r="E19" s="11">
        <v>1.6809999999999999E-2</v>
      </c>
      <c r="F19" s="1"/>
      <c r="G19" s="1"/>
      <c r="H19" s="1"/>
      <c r="I19" s="1"/>
      <c r="J19" s="1"/>
      <c r="K19" s="1"/>
      <c r="L19" s="1"/>
      <c r="M19" s="1"/>
      <c r="N19" s="18"/>
    </row>
    <row r="20" spans="2:14" ht="15" customHeight="1" x14ac:dyDescent="0.25">
      <c r="B20" s="20"/>
      <c r="C20" s="5" t="s">
        <v>45</v>
      </c>
      <c r="D20" s="6" t="s">
        <v>17</v>
      </c>
      <c r="E20" s="11">
        <v>1.4631999999999999E-2</v>
      </c>
      <c r="F20" s="1"/>
      <c r="G20" s="1"/>
      <c r="H20" s="1"/>
      <c r="I20" s="1"/>
      <c r="J20" s="1"/>
      <c r="K20" s="1"/>
      <c r="L20" s="1"/>
      <c r="M20" s="1"/>
      <c r="N20" s="18"/>
    </row>
    <row r="21" spans="2:14" ht="15" customHeight="1" x14ac:dyDescent="0.25">
      <c r="B21" s="20"/>
      <c r="C21" s="5" t="s">
        <v>65</v>
      </c>
      <c r="D21" s="6" t="s">
        <v>17</v>
      </c>
      <c r="E21" s="11">
        <v>1.4038999999999999E-2</v>
      </c>
      <c r="F21" s="1"/>
      <c r="G21" s="1"/>
      <c r="H21" s="1"/>
      <c r="I21" s="1"/>
      <c r="J21" s="1"/>
      <c r="K21" s="1"/>
      <c r="L21" s="1"/>
      <c r="M21" s="1"/>
      <c r="N21" s="18"/>
    </row>
    <row r="22" spans="2:14" ht="15" customHeight="1" x14ac:dyDescent="0.25">
      <c r="B22" s="20"/>
      <c r="C22" s="5" t="s">
        <v>66</v>
      </c>
      <c r="D22" s="6" t="s">
        <v>17</v>
      </c>
      <c r="E22" s="11">
        <v>9.4870000000000006E-3</v>
      </c>
      <c r="F22" s="1"/>
      <c r="G22" s="1"/>
      <c r="H22" s="1"/>
      <c r="I22" s="1"/>
      <c r="J22" s="1"/>
      <c r="K22" s="1"/>
      <c r="L22" s="1"/>
      <c r="M22" s="1"/>
      <c r="N22" s="18"/>
    </row>
    <row r="23" spans="2:14" ht="15" customHeight="1" x14ac:dyDescent="0.25">
      <c r="B23" s="20"/>
      <c r="C23" s="5" t="s">
        <v>67</v>
      </c>
      <c r="D23" s="6" t="s">
        <v>17</v>
      </c>
      <c r="E23" s="11">
        <v>9.2630000000000004E-3</v>
      </c>
      <c r="F23" s="1"/>
      <c r="G23" s="1"/>
      <c r="H23" s="1"/>
      <c r="I23" s="1"/>
      <c r="J23" s="1"/>
      <c r="K23" s="1"/>
      <c r="L23" s="1"/>
      <c r="M23" s="1"/>
      <c r="N23" s="18"/>
    </row>
    <row r="24" spans="2:14" ht="15" customHeight="1" x14ac:dyDescent="0.25">
      <c r="B24" s="20"/>
      <c r="C24" s="5" t="s">
        <v>68</v>
      </c>
      <c r="D24" s="6" t="s">
        <v>17</v>
      </c>
      <c r="E24" s="11">
        <v>9.1789999999999997E-3</v>
      </c>
      <c r="F24" s="1"/>
      <c r="G24" s="89" t="s">
        <v>5</v>
      </c>
      <c r="H24" s="90"/>
      <c r="I24" s="90"/>
      <c r="J24" s="90"/>
      <c r="K24" s="90"/>
      <c r="L24" s="25">
        <v>3.9840184970765833</v>
      </c>
      <c r="M24" s="26"/>
      <c r="N24" s="27"/>
    </row>
    <row r="25" spans="2:14" ht="15" customHeight="1" x14ac:dyDescent="0.25">
      <c r="B25" s="20"/>
      <c r="C25" s="5" t="s">
        <v>69</v>
      </c>
      <c r="D25" s="6" t="s">
        <v>17</v>
      </c>
      <c r="E25" s="11">
        <v>8.0210000000000004E-3</v>
      </c>
      <c r="F25" s="1"/>
      <c r="G25" s="1"/>
      <c r="H25" s="1"/>
      <c r="I25" s="1"/>
      <c r="J25" s="1"/>
      <c r="K25" s="1"/>
      <c r="L25" s="1"/>
      <c r="M25" s="1"/>
      <c r="N25" s="18"/>
    </row>
    <row r="26" spans="2:14" ht="15" customHeight="1" x14ac:dyDescent="0.25">
      <c r="B26" s="20"/>
      <c r="C26" s="5" t="s">
        <v>70</v>
      </c>
      <c r="D26" s="6" t="s">
        <v>17</v>
      </c>
      <c r="E26" s="11">
        <v>4.7200000000000002E-3</v>
      </c>
      <c r="F26" s="1"/>
      <c r="G26" s="89" t="s">
        <v>6</v>
      </c>
      <c r="H26" s="90"/>
      <c r="I26" s="90"/>
      <c r="J26" s="90"/>
      <c r="K26" s="90"/>
      <c r="L26" s="90"/>
      <c r="M26" s="90"/>
      <c r="N26" s="91"/>
    </row>
    <row r="27" spans="2:14" ht="15" customHeight="1" x14ac:dyDescent="0.25">
      <c r="B27" s="20"/>
      <c r="C27" s="5" t="s">
        <v>71</v>
      </c>
      <c r="D27" s="6" t="s">
        <v>17</v>
      </c>
      <c r="E27" s="11">
        <v>3.823E-3</v>
      </c>
      <c r="F27" s="1"/>
      <c r="G27" s="1"/>
      <c r="H27" s="1"/>
      <c r="I27" s="1"/>
      <c r="J27" s="1"/>
      <c r="K27" s="1"/>
      <c r="L27" s="1"/>
      <c r="M27" s="1"/>
      <c r="N27" s="18"/>
    </row>
    <row r="28" spans="2:14" ht="15" customHeight="1" x14ac:dyDescent="0.25">
      <c r="B28" s="20"/>
      <c r="C28" s="5" t="s">
        <v>72</v>
      </c>
      <c r="D28" s="6" t="s">
        <v>17</v>
      </c>
      <c r="E28" s="11">
        <v>1.843E-3</v>
      </c>
      <c r="F28" s="1"/>
      <c r="G28" s="1"/>
      <c r="H28" s="1"/>
      <c r="I28" s="1"/>
      <c r="J28" s="1"/>
      <c r="K28" s="1"/>
      <c r="L28" s="1"/>
      <c r="M28" s="1"/>
      <c r="N28" s="18"/>
    </row>
    <row r="29" spans="2:14" ht="15" customHeight="1" x14ac:dyDescent="0.25">
      <c r="B29" s="20"/>
      <c r="C29" s="5" t="s">
        <v>57</v>
      </c>
      <c r="D29" s="6" t="s">
        <v>17</v>
      </c>
      <c r="E29" s="11">
        <v>1.8320000000000001E-3</v>
      </c>
      <c r="F29" s="1"/>
      <c r="G29" s="1"/>
      <c r="H29" s="1"/>
      <c r="I29" s="1"/>
      <c r="J29" s="1"/>
      <c r="K29" s="1"/>
      <c r="L29" s="1"/>
      <c r="M29" s="1"/>
      <c r="N29" s="18"/>
    </row>
    <row r="30" spans="2:14" ht="15" customHeight="1" x14ac:dyDescent="0.25">
      <c r="B30" s="20"/>
      <c r="C30" s="5" t="s">
        <v>73</v>
      </c>
      <c r="D30" s="6" t="s">
        <v>17</v>
      </c>
      <c r="E30" s="11">
        <v>1.467E-3</v>
      </c>
      <c r="F30" s="1"/>
      <c r="G30" s="1"/>
      <c r="H30" s="1"/>
      <c r="I30" s="1"/>
      <c r="J30" s="1"/>
      <c r="K30" s="1"/>
      <c r="L30" s="1"/>
      <c r="M30" s="1"/>
      <c r="N30" s="18"/>
    </row>
    <row r="31" spans="2:14" ht="15" customHeight="1" x14ac:dyDescent="0.25">
      <c r="B31" s="20"/>
      <c r="C31" s="5" t="s">
        <v>74</v>
      </c>
      <c r="D31" s="6" t="s">
        <v>17</v>
      </c>
      <c r="E31" s="11">
        <v>7.4299999999999995E-4</v>
      </c>
      <c r="F31" s="1"/>
      <c r="G31" s="1"/>
      <c r="H31" s="1"/>
      <c r="I31" s="1"/>
      <c r="J31" s="1"/>
      <c r="K31" s="1"/>
      <c r="L31" s="1"/>
      <c r="M31" s="1"/>
      <c r="N31" s="18"/>
    </row>
    <row r="32" spans="2:14" ht="15.75" customHeight="1" x14ac:dyDescent="0.25">
      <c r="B32" s="20"/>
      <c r="C32" s="5" t="s">
        <v>230</v>
      </c>
      <c r="D32" s="6" t="s">
        <v>17</v>
      </c>
      <c r="E32" s="11">
        <v>8.4049999999999993E-3</v>
      </c>
      <c r="F32" s="1"/>
      <c r="G32" s="1"/>
      <c r="H32" s="1"/>
      <c r="I32" s="1"/>
      <c r="J32" s="1"/>
      <c r="K32" s="1"/>
      <c r="L32" s="1"/>
      <c r="M32" s="1"/>
      <c r="N32" s="18"/>
    </row>
    <row r="33" spans="2:14" ht="15" customHeight="1" x14ac:dyDescent="0.25">
      <c r="B33" s="20"/>
      <c r="C33" s="5" t="s">
        <v>231</v>
      </c>
      <c r="D33" s="6" t="s">
        <v>17</v>
      </c>
      <c r="E33" s="11">
        <v>1.8730000000000001E-3</v>
      </c>
      <c r="F33" s="1"/>
      <c r="G33" s="1"/>
      <c r="H33" s="1"/>
      <c r="I33" s="1"/>
      <c r="J33" s="1"/>
      <c r="K33" s="1"/>
      <c r="L33" s="1"/>
      <c r="M33" s="1"/>
      <c r="N33" s="18"/>
    </row>
    <row r="34" spans="2:14" ht="15.75" customHeight="1" x14ac:dyDescent="0.25">
      <c r="B34" s="20"/>
      <c r="C34" s="7" t="s">
        <v>21</v>
      </c>
      <c r="D34" s="8"/>
      <c r="E34" s="12">
        <f>SUM(E8:E33)</f>
        <v>0.70285000000000009</v>
      </c>
      <c r="F34" s="1"/>
      <c r="G34" s="1"/>
      <c r="H34" s="1"/>
      <c r="I34" s="1"/>
      <c r="J34" s="1"/>
      <c r="K34" s="1"/>
      <c r="L34" s="1"/>
      <c r="M34" s="1"/>
      <c r="N34" s="18"/>
    </row>
    <row r="35" spans="2:14" ht="15" customHeight="1" x14ac:dyDescent="0.25">
      <c r="B35" s="20"/>
      <c r="C35" s="5" t="s">
        <v>22</v>
      </c>
      <c r="D35" s="6"/>
      <c r="E35" s="11">
        <v>2.928E-3</v>
      </c>
      <c r="F35" s="1"/>
      <c r="G35" s="1"/>
      <c r="H35" s="1"/>
      <c r="I35" s="1"/>
      <c r="J35" s="1"/>
      <c r="K35" s="1"/>
      <c r="L35" s="1"/>
      <c r="M35" s="1"/>
      <c r="N35" s="18"/>
    </row>
    <row r="36" spans="2:14" ht="15" customHeight="1" x14ac:dyDescent="0.25">
      <c r="B36" s="20"/>
      <c r="C36" s="7" t="s">
        <v>23</v>
      </c>
      <c r="D36" s="8"/>
      <c r="E36" s="12">
        <v>2.928E-3</v>
      </c>
      <c r="F36" s="1"/>
      <c r="G36" s="1"/>
      <c r="H36" s="1"/>
      <c r="I36" s="1"/>
      <c r="J36" s="1"/>
      <c r="K36" s="1"/>
      <c r="L36" s="1"/>
      <c r="M36" s="1"/>
      <c r="N36" s="18"/>
    </row>
    <row r="37" spans="2:14" ht="15" customHeight="1" x14ac:dyDescent="0.25">
      <c r="B37" s="20"/>
      <c r="C37" s="5" t="s">
        <v>25</v>
      </c>
      <c r="D37" s="6" t="s">
        <v>182</v>
      </c>
      <c r="E37" s="11">
        <v>0.19766300000000001</v>
      </c>
      <c r="F37" s="1"/>
      <c r="G37" s="1"/>
      <c r="H37" s="1"/>
      <c r="I37" s="1"/>
      <c r="J37" s="1"/>
      <c r="K37" s="1"/>
      <c r="L37" s="1"/>
      <c r="M37" s="1"/>
      <c r="N37" s="18"/>
    </row>
    <row r="38" spans="2:14" ht="15" customHeight="1" x14ac:dyDescent="0.25">
      <c r="B38" s="20"/>
      <c r="C38" s="5" t="s">
        <v>27</v>
      </c>
      <c r="D38" s="6" t="s">
        <v>182</v>
      </c>
      <c r="E38" s="11">
        <v>4.4978999999999998E-2</v>
      </c>
      <c r="F38" s="1"/>
      <c r="G38" s="1"/>
      <c r="H38" s="1"/>
      <c r="I38" s="1"/>
      <c r="J38" s="1"/>
      <c r="K38" s="1"/>
      <c r="L38" s="1"/>
      <c r="M38" s="1"/>
      <c r="N38" s="18"/>
    </row>
    <row r="39" spans="2:14" ht="15.75" customHeight="1" x14ac:dyDescent="0.25">
      <c r="B39" s="20"/>
      <c r="C39" s="5" t="s">
        <v>75</v>
      </c>
      <c r="D39" s="6" t="s">
        <v>182</v>
      </c>
      <c r="E39" s="11">
        <v>1.5755000000000002E-2</v>
      </c>
      <c r="F39" s="1"/>
      <c r="G39" s="1"/>
      <c r="H39" s="1"/>
      <c r="I39" s="1"/>
      <c r="J39" s="1"/>
      <c r="K39" s="1"/>
      <c r="L39" s="1"/>
      <c r="M39" s="1"/>
      <c r="N39" s="18"/>
    </row>
    <row r="40" spans="2:14" ht="15" customHeight="1" x14ac:dyDescent="0.25">
      <c r="B40" s="20"/>
      <c r="C40" s="5" t="s">
        <v>76</v>
      </c>
      <c r="D40" s="6" t="s">
        <v>182</v>
      </c>
      <c r="E40" s="11">
        <v>1.0128E-2</v>
      </c>
      <c r="F40" s="1"/>
      <c r="G40" s="1"/>
      <c r="H40" s="1"/>
      <c r="I40" s="1"/>
      <c r="J40" s="1"/>
      <c r="K40" s="1"/>
      <c r="L40" s="1"/>
      <c r="M40" s="1"/>
      <c r="N40" s="18"/>
    </row>
    <row r="41" spans="2:14" ht="15" customHeight="1" x14ac:dyDescent="0.25">
      <c r="B41" s="20"/>
      <c r="C41" s="7" t="s">
        <v>30</v>
      </c>
      <c r="D41" s="8"/>
      <c r="E41" s="12">
        <v>0.26852500000000001</v>
      </c>
      <c r="F41" s="1"/>
      <c r="G41" s="1"/>
      <c r="H41" s="1"/>
      <c r="I41" s="1"/>
      <c r="J41" s="1"/>
      <c r="K41" s="1"/>
      <c r="L41" s="1"/>
      <c r="M41" s="1"/>
      <c r="N41" s="18"/>
    </row>
    <row r="42" spans="2:14" ht="15.75" customHeight="1" x14ac:dyDescent="0.25">
      <c r="B42" s="20"/>
      <c r="C42" s="5" t="s">
        <v>232</v>
      </c>
      <c r="D42" s="6" t="s">
        <v>182</v>
      </c>
      <c r="E42" s="11">
        <v>1.8200000000000001E-4</v>
      </c>
      <c r="F42" s="1"/>
      <c r="G42" s="1"/>
      <c r="H42" s="1"/>
      <c r="I42" s="1"/>
      <c r="J42" s="1"/>
      <c r="K42" s="1"/>
      <c r="L42" s="1"/>
      <c r="M42" s="1"/>
      <c r="N42" s="18"/>
    </row>
    <row r="43" spans="2:14" ht="15" customHeight="1" x14ac:dyDescent="0.25">
      <c r="B43" s="20"/>
      <c r="C43" s="7" t="s">
        <v>49</v>
      </c>
      <c r="D43" s="8"/>
      <c r="E43" s="12">
        <v>1.8200000000000001E-4</v>
      </c>
      <c r="F43" s="1"/>
      <c r="G43" s="1"/>
      <c r="H43" s="1"/>
      <c r="I43" s="1"/>
      <c r="J43" s="1"/>
      <c r="K43" s="1"/>
      <c r="L43" s="1"/>
      <c r="M43" s="1"/>
      <c r="N43" s="18"/>
    </row>
    <row r="44" spans="2:14" ht="15.75" customHeight="1" x14ac:dyDescent="0.25">
      <c r="B44" s="20"/>
      <c r="C44" s="5" t="s">
        <v>31</v>
      </c>
      <c r="D44" s="6"/>
      <c r="E44" s="11">
        <v>8.2899999999999998E-4</v>
      </c>
      <c r="F44" s="1"/>
      <c r="G44" s="1"/>
      <c r="H44" s="1"/>
      <c r="I44" s="1"/>
      <c r="J44" s="1"/>
      <c r="K44" s="1"/>
      <c r="L44" s="1"/>
      <c r="M44" s="1"/>
      <c r="N44" s="18"/>
    </row>
    <row r="45" spans="2:14" ht="15" customHeight="1" x14ac:dyDescent="0.25">
      <c r="B45" s="20"/>
      <c r="C45" s="7" t="s">
        <v>32</v>
      </c>
      <c r="D45" s="8"/>
      <c r="E45" s="12">
        <v>8.2899999999999998E-4</v>
      </c>
      <c r="F45" s="1"/>
      <c r="G45" s="1"/>
      <c r="H45" s="1"/>
      <c r="I45" s="1"/>
      <c r="J45" s="1"/>
      <c r="K45" s="1"/>
      <c r="L45" s="1"/>
      <c r="M45" s="1"/>
      <c r="N45" s="18"/>
    </row>
    <row r="46" spans="2:14" ht="15.75" customHeight="1" x14ac:dyDescent="0.25">
      <c r="B46" s="20"/>
      <c r="C46" s="5" t="s">
        <v>47</v>
      </c>
      <c r="D46" s="6" t="s">
        <v>17</v>
      </c>
      <c r="E46" s="11">
        <v>8.4099999999999995E-4</v>
      </c>
      <c r="F46" s="1"/>
      <c r="G46" s="1"/>
      <c r="H46" s="1"/>
      <c r="I46" s="1"/>
      <c r="J46" s="1"/>
      <c r="K46" s="1"/>
      <c r="L46" s="1"/>
      <c r="M46" s="1"/>
      <c r="N46" s="18"/>
    </row>
    <row r="47" spans="2:14" ht="15" customHeight="1" x14ac:dyDescent="0.25">
      <c r="B47" s="20"/>
      <c r="C47" s="7" t="s">
        <v>77</v>
      </c>
      <c r="D47" s="8"/>
      <c r="E47" s="12">
        <v>8.4099999999999995E-4</v>
      </c>
      <c r="F47" s="1"/>
      <c r="G47" s="1"/>
      <c r="H47" s="1"/>
      <c r="I47" s="1"/>
      <c r="J47" s="1"/>
      <c r="K47" s="1"/>
      <c r="L47" s="1"/>
      <c r="M47" s="1"/>
      <c r="N47" s="18"/>
    </row>
    <row r="48" spans="2:14" ht="15.75" customHeight="1" x14ac:dyDescent="0.25">
      <c r="B48" s="20"/>
      <c r="C48" s="5"/>
      <c r="D48" s="6"/>
      <c r="E48" s="11"/>
      <c r="F48" s="1"/>
      <c r="G48" s="1"/>
      <c r="H48" s="1"/>
      <c r="I48" s="1"/>
      <c r="J48" s="1"/>
      <c r="K48" s="1"/>
      <c r="L48" s="1"/>
      <c r="M48" s="1"/>
      <c r="N48" s="18"/>
    </row>
    <row r="49" spans="2:14" ht="15" customHeight="1" x14ac:dyDescent="0.25">
      <c r="B49" s="20"/>
      <c r="C49" s="7" t="s">
        <v>33</v>
      </c>
      <c r="D49" s="8"/>
      <c r="E49" s="12">
        <v>2.3845000000000002E-2</v>
      </c>
      <c r="F49" s="1"/>
      <c r="G49" s="1"/>
      <c r="H49" s="1"/>
      <c r="I49" s="1"/>
      <c r="J49" s="1"/>
      <c r="K49" s="1"/>
      <c r="L49" s="1"/>
      <c r="M49" s="1"/>
      <c r="N49" s="18"/>
    </row>
    <row r="50" spans="2:14" ht="15.75" customHeight="1" x14ac:dyDescent="0.25">
      <c r="B50" s="20"/>
      <c r="C50" s="5"/>
      <c r="D50" s="6"/>
      <c r="E50" s="11"/>
      <c r="F50" s="1"/>
      <c r="G50" s="1"/>
      <c r="H50" s="1"/>
      <c r="I50" s="1"/>
      <c r="J50" s="1"/>
      <c r="K50" s="1"/>
      <c r="L50" s="1"/>
      <c r="M50" s="1"/>
      <c r="N50" s="18"/>
    </row>
    <row r="51" spans="2:14" ht="15" customHeight="1" x14ac:dyDescent="0.25">
      <c r="B51" s="20"/>
      <c r="C51" s="9" t="s">
        <v>34</v>
      </c>
      <c r="D51" s="10"/>
      <c r="E51" s="13">
        <v>1</v>
      </c>
      <c r="F51" s="1"/>
      <c r="G51" s="1"/>
      <c r="H51" s="1"/>
      <c r="I51" s="1"/>
      <c r="J51" s="1"/>
      <c r="K51" s="1"/>
      <c r="L51" s="1"/>
      <c r="M51" s="1"/>
      <c r="N51" s="18"/>
    </row>
    <row r="52" spans="2:14" ht="15" customHeight="1" x14ac:dyDescent="0.25">
      <c r="B52" s="20"/>
      <c r="C52" t="s">
        <v>296</v>
      </c>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5" customHeight="1" x14ac:dyDescent="0.25">
      <c r="B55" s="72" t="s">
        <v>295</v>
      </c>
      <c r="C55" s="73"/>
      <c r="D55" s="73"/>
      <c r="E55" s="73"/>
      <c r="F55" s="73"/>
      <c r="G55" s="73"/>
      <c r="H55" s="73"/>
      <c r="I55" s="73"/>
      <c r="J55" s="73"/>
      <c r="K55" s="73"/>
      <c r="L55" s="73"/>
      <c r="M55" s="73"/>
      <c r="N55" s="74"/>
    </row>
    <row r="56" spans="2:14" ht="15" customHeight="1" x14ac:dyDescent="0.25">
      <c r="B56" s="75"/>
      <c r="C56" s="76"/>
      <c r="D56" s="76"/>
      <c r="E56" s="76"/>
      <c r="F56" s="76"/>
      <c r="G56" s="76"/>
      <c r="H56" s="76"/>
      <c r="I56" s="76"/>
      <c r="J56" s="76"/>
      <c r="K56" s="76"/>
      <c r="L56" s="76"/>
      <c r="M56" s="76"/>
      <c r="N56" s="77"/>
    </row>
    <row r="57" spans="2:14" ht="15" customHeight="1" x14ac:dyDescent="0.25">
      <c r="B57" s="75"/>
      <c r="C57" s="76"/>
      <c r="D57" s="76"/>
      <c r="E57" s="76"/>
      <c r="F57" s="76"/>
      <c r="G57" s="76"/>
      <c r="H57" s="76"/>
      <c r="I57" s="76"/>
      <c r="J57" s="76"/>
      <c r="K57" s="76"/>
      <c r="L57" s="76"/>
      <c r="M57" s="76"/>
      <c r="N57" s="77"/>
    </row>
    <row r="58" spans="2:14" ht="15" customHeight="1" thickBot="1" x14ac:dyDescent="0.3">
      <c r="B58" s="78"/>
      <c r="C58" s="79"/>
      <c r="D58" s="79"/>
      <c r="E58" s="79"/>
      <c r="F58" s="79"/>
      <c r="G58" s="79"/>
      <c r="H58" s="79"/>
      <c r="I58" s="79"/>
      <c r="J58" s="79"/>
      <c r="K58" s="79"/>
      <c r="L58" s="79"/>
      <c r="M58" s="79"/>
      <c r="N58" s="80"/>
    </row>
    <row r="59" spans="2:14" ht="15" customHeight="1" thickBot="1" x14ac:dyDescent="0.3"/>
    <row r="60" spans="2:14" ht="117.75" customHeight="1" thickBot="1" x14ac:dyDescent="0.3">
      <c r="B60" s="81" t="s">
        <v>294</v>
      </c>
      <c r="C60" s="82"/>
      <c r="D60" s="82"/>
      <c r="E60" s="82"/>
      <c r="F60" s="82"/>
      <c r="G60" s="82"/>
      <c r="H60" s="82"/>
      <c r="I60" s="82"/>
      <c r="J60" s="82"/>
      <c r="K60" s="82"/>
      <c r="L60" s="82"/>
      <c r="M60" s="82"/>
      <c r="N60" s="83"/>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mergeCells count="7">
    <mergeCell ref="B55:N58"/>
    <mergeCell ref="B60:N60"/>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92402-80CC-4890-A16C-F27910C80989}">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79</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80</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81</v>
      </c>
      <c r="D8" s="6" t="s">
        <v>82</v>
      </c>
      <c r="E8" s="11">
        <v>0.120644</v>
      </c>
      <c r="F8" s="1"/>
      <c r="G8" s="24" t="s">
        <v>94</v>
      </c>
      <c r="H8" s="29">
        <v>0.589777</v>
      </c>
      <c r="I8" s="1"/>
      <c r="J8" s="24" t="s">
        <v>35</v>
      </c>
      <c r="K8" s="24" t="s">
        <v>3</v>
      </c>
      <c r="L8" s="1"/>
      <c r="M8" s="1"/>
      <c r="N8" s="18"/>
    </row>
    <row r="9" spans="2:14" ht="15" customHeight="1" x14ac:dyDescent="0.25">
      <c r="B9" s="20"/>
      <c r="C9" s="5" t="s">
        <v>83</v>
      </c>
      <c r="D9" s="6" t="s">
        <v>82</v>
      </c>
      <c r="E9" s="11">
        <v>9.0924000000000005E-2</v>
      </c>
      <c r="F9" s="1"/>
      <c r="G9" s="24" t="s">
        <v>8</v>
      </c>
      <c r="H9" s="29">
        <v>0.319326</v>
      </c>
      <c r="I9" s="1"/>
      <c r="J9" s="24" t="s">
        <v>33</v>
      </c>
      <c r="K9" s="29">
        <v>2.1734E-2</v>
      </c>
      <c r="L9" s="1"/>
      <c r="M9" s="1"/>
      <c r="N9" s="18"/>
    </row>
    <row r="10" spans="2:14" ht="15" customHeight="1" x14ac:dyDescent="0.25">
      <c r="B10" s="20"/>
      <c r="C10" s="5" t="s">
        <v>84</v>
      </c>
      <c r="D10" s="6" t="s">
        <v>82</v>
      </c>
      <c r="E10" s="11">
        <v>9.0056999999999998E-2</v>
      </c>
      <c r="F10" s="1"/>
      <c r="G10" s="24" t="s">
        <v>95</v>
      </c>
      <c r="H10" s="29">
        <v>9.0897000000000006E-2</v>
      </c>
      <c r="I10" s="1"/>
      <c r="J10" s="24" t="s">
        <v>36</v>
      </c>
      <c r="K10" s="29">
        <v>1.4912E-2</v>
      </c>
      <c r="L10" s="1"/>
      <c r="M10" s="1"/>
      <c r="N10" s="18"/>
    </row>
    <row r="11" spans="2:14" ht="15" customHeight="1" x14ac:dyDescent="0.25">
      <c r="B11" s="20"/>
      <c r="C11" s="5" t="s">
        <v>85</v>
      </c>
      <c r="D11" s="6" t="s">
        <v>82</v>
      </c>
      <c r="E11" s="11">
        <v>7.5623999999999997E-2</v>
      </c>
      <c r="F11" s="1"/>
      <c r="G11" s="1"/>
      <c r="H11" s="1"/>
      <c r="I11" s="1"/>
      <c r="J11" s="24" t="s">
        <v>38</v>
      </c>
      <c r="K11" s="29">
        <v>0.680674</v>
      </c>
      <c r="L11" s="1"/>
      <c r="M11" s="1"/>
      <c r="N11" s="18"/>
    </row>
    <row r="12" spans="2:14" ht="15" customHeight="1" x14ac:dyDescent="0.25">
      <c r="B12" s="20"/>
      <c r="C12" s="5" t="s">
        <v>86</v>
      </c>
      <c r="D12" s="6" t="s">
        <v>82</v>
      </c>
      <c r="E12" s="11">
        <v>6.1330000000000003E-2</v>
      </c>
      <c r="F12" s="1"/>
      <c r="G12" s="1"/>
      <c r="H12" s="1"/>
      <c r="I12" s="1"/>
      <c r="J12" s="24" t="s">
        <v>22</v>
      </c>
      <c r="K12" s="29">
        <v>4.4320000000000002E-3</v>
      </c>
      <c r="L12" s="1"/>
      <c r="M12" s="1"/>
      <c r="N12" s="18"/>
    </row>
    <row r="13" spans="2:14" ht="15" customHeight="1" x14ac:dyDescent="0.25">
      <c r="B13" s="20"/>
      <c r="C13" s="5" t="s">
        <v>87</v>
      </c>
      <c r="D13" s="6" t="s">
        <v>82</v>
      </c>
      <c r="E13" s="11">
        <v>6.0567999999999997E-2</v>
      </c>
      <c r="F13" s="1"/>
      <c r="G13" s="1"/>
      <c r="H13" s="1"/>
      <c r="I13" s="1"/>
      <c r="J13" s="24" t="s">
        <v>39</v>
      </c>
      <c r="K13" s="29">
        <v>0.278248</v>
      </c>
      <c r="L13" s="1"/>
      <c r="M13" s="1"/>
      <c r="N13" s="18"/>
    </row>
    <row r="14" spans="2:14" ht="15" customHeight="1" x14ac:dyDescent="0.25">
      <c r="B14" s="20"/>
      <c r="C14" s="5" t="s">
        <v>88</v>
      </c>
      <c r="D14" s="6" t="s">
        <v>82</v>
      </c>
      <c r="E14" s="11">
        <v>6.0509E-2</v>
      </c>
      <c r="F14" s="1"/>
      <c r="G14" s="1"/>
      <c r="H14" s="1"/>
      <c r="I14" s="1"/>
      <c r="J14" s="1"/>
      <c r="K14" s="1"/>
      <c r="L14" s="1"/>
      <c r="M14" s="1"/>
      <c r="N14" s="18"/>
    </row>
    <row r="15" spans="2:14" ht="15" customHeight="1" x14ac:dyDescent="0.25">
      <c r="B15" s="20"/>
      <c r="C15" s="5" t="s">
        <v>89</v>
      </c>
      <c r="D15" s="6" t="s">
        <v>90</v>
      </c>
      <c r="E15" s="11">
        <v>4.5555999999999999E-2</v>
      </c>
      <c r="F15" s="1"/>
      <c r="G15" s="1"/>
      <c r="H15" s="1"/>
      <c r="I15" s="1"/>
      <c r="J15" s="1"/>
      <c r="K15" s="1"/>
      <c r="L15" s="1"/>
      <c r="M15" s="1"/>
      <c r="N15" s="18"/>
    </row>
    <row r="16" spans="2:14" ht="15" customHeight="1" x14ac:dyDescent="0.25">
      <c r="B16" s="20"/>
      <c r="C16" s="5" t="s">
        <v>91</v>
      </c>
      <c r="D16" s="6" t="s">
        <v>90</v>
      </c>
      <c r="E16" s="11">
        <v>4.5340999999999999E-2</v>
      </c>
      <c r="F16" s="1"/>
      <c r="G16" s="1"/>
      <c r="H16" s="1"/>
      <c r="I16" s="1"/>
      <c r="J16" s="1"/>
      <c r="K16" s="1"/>
      <c r="L16" s="1"/>
      <c r="M16" s="1"/>
      <c r="N16" s="18"/>
    </row>
    <row r="17" spans="2:14" ht="15" customHeight="1" x14ac:dyDescent="0.25">
      <c r="B17" s="20"/>
      <c r="C17" s="5" t="s">
        <v>92</v>
      </c>
      <c r="D17" s="6" t="s">
        <v>82</v>
      </c>
      <c r="E17" s="11">
        <v>3.0120999999999998E-2</v>
      </c>
      <c r="F17" s="1"/>
      <c r="G17" s="1"/>
      <c r="H17" s="1"/>
      <c r="I17" s="1"/>
      <c r="J17" s="1"/>
      <c r="K17" s="1"/>
      <c r="L17" s="1"/>
      <c r="M17" s="1"/>
      <c r="N17" s="18"/>
    </row>
    <row r="18" spans="2:14" ht="15.75" customHeight="1" x14ac:dyDescent="0.25">
      <c r="B18" s="20"/>
      <c r="C18" s="7" t="s">
        <v>21</v>
      </c>
      <c r="D18" s="8"/>
      <c r="E18" s="12">
        <v>0.680674</v>
      </c>
      <c r="F18" s="1"/>
      <c r="G18" s="1"/>
      <c r="H18" s="1"/>
      <c r="I18" s="1"/>
      <c r="J18" s="1"/>
      <c r="K18" s="1"/>
      <c r="L18" s="1"/>
      <c r="M18" s="1"/>
      <c r="N18" s="18"/>
    </row>
    <row r="19" spans="2:14" ht="15" customHeight="1" x14ac:dyDescent="0.25">
      <c r="B19" s="20"/>
      <c r="C19" s="5" t="s">
        <v>22</v>
      </c>
      <c r="D19" s="6"/>
      <c r="E19" s="11">
        <v>4.4320000000000002E-3</v>
      </c>
      <c r="F19" s="1"/>
      <c r="G19" s="1"/>
      <c r="H19" s="1"/>
      <c r="I19" s="1"/>
      <c r="J19" s="1"/>
      <c r="K19" s="1"/>
      <c r="L19" s="1"/>
      <c r="M19" s="1"/>
      <c r="N19" s="18"/>
    </row>
    <row r="20" spans="2:14" ht="15.75" customHeight="1" x14ac:dyDescent="0.25">
      <c r="B20" s="20"/>
      <c r="C20" s="7" t="s">
        <v>23</v>
      </c>
      <c r="D20" s="8"/>
      <c r="E20" s="12">
        <v>4.4320000000000002E-3</v>
      </c>
      <c r="F20" s="1"/>
      <c r="G20" s="1"/>
      <c r="H20" s="1"/>
      <c r="I20" s="1"/>
      <c r="J20" s="1"/>
      <c r="K20" s="1"/>
      <c r="L20" s="1"/>
      <c r="M20" s="1"/>
      <c r="N20" s="18"/>
    </row>
    <row r="21" spans="2:14" ht="15" customHeight="1" x14ac:dyDescent="0.25">
      <c r="B21" s="20"/>
      <c r="C21" s="5" t="s">
        <v>93</v>
      </c>
      <c r="D21" s="6" t="s">
        <v>182</v>
      </c>
      <c r="E21" s="11">
        <v>0.20116899999999999</v>
      </c>
      <c r="F21" s="1"/>
      <c r="G21" s="1"/>
      <c r="H21" s="1"/>
      <c r="I21" s="1"/>
      <c r="J21" s="1"/>
      <c r="K21" s="1"/>
      <c r="L21" s="1"/>
      <c r="M21" s="1"/>
      <c r="N21" s="18"/>
    </row>
    <row r="22" spans="2:14" ht="15" customHeight="1" x14ac:dyDescent="0.25">
      <c r="B22" s="20"/>
      <c r="C22" s="5" t="s">
        <v>25</v>
      </c>
      <c r="D22" s="6" t="s">
        <v>182</v>
      </c>
      <c r="E22" s="11">
        <v>7.7078999999999995E-2</v>
      </c>
      <c r="F22" s="1"/>
      <c r="G22" s="1"/>
      <c r="H22" s="1"/>
      <c r="I22" s="1"/>
      <c r="J22" s="1"/>
      <c r="K22" s="1"/>
      <c r="L22" s="1"/>
      <c r="M22" s="1"/>
      <c r="N22" s="18"/>
    </row>
    <row r="23" spans="2:14" ht="15.75" customHeight="1" x14ac:dyDescent="0.25">
      <c r="B23" s="20"/>
      <c r="C23" s="7" t="s">
        <v>30</v>
      </c>
      <c r="D23" s="8"/>
      <c r="E23" s="12">
        <v>0.278248</v>
      </c>
      <c r="F23" s="1"/>
      <c r="G23" s="1"/>
      <c r="H23" s="1"/>
      <c r="I23" s="1"/>
      <c r="J23" s="1"/>
      <c r="K23" s="1"/>
      <c r="L23" s="1"/>
      <c r="M23" s="1"/>
      <c r="N23" s="18"/>
    </row>
    <row r="24" spans="2:14" ht="15" customHeight="1" x14ac:dyDescent="0.25">
      <c r="B24" s="20"/>
      <c r="C24" s="5" t="s">
        <v>31</v>
      </c>
      <c r="D24" s="6"/>
      <c r="E24" s="11">
        <v>1.4912E-2</v>
      </c>
      <c r="F24" s="1"/>
      <c r="G24" s="89" t="s">
        <v>5</v>
      </c>
      <c r="H24" s="90"/>
      <c r="I24" s="90"/>
      <c r="J24" s="90"/>
      <c r="K24" s="90"/>
      <c r="L24" s="25">
        <v>4.2603811552734596</v>
      </c>
      <c r="M24" s="26"/>
      <c r="N24" s="27"/>
    </row>
    <row r="25" spans="2:14" ht="15.75" customHeight="1" x14ac:dyDescent="0.25">
      <c r="B25" s="20"/>
      <c r="C25" s="7" t="s">
        <v>32</v>
      </c>
      <c r="D25" s="8"/>
      <c r="E25" s="12">
        <v>1.4912E-2</v>
      </c>
      <c r="F25" s="1"/>
      <c r="G25" s="1"/>
      <c r="H25" s="1"/>
      <c r="I25" s="1"/>
      <c r="J25" s="1"/>
      <c r="K25" s="1"/>
      <c r="L25" s="1"/>
      <c r="M25" s="1"/>
      <c r="N25" s="18"/>
    </row>
    <row r="26" spans="2:14" ht="15" customHeight="1" x14ac:dyDescent="0.25">
      <c r="B26" s="20"/>
      <c r="C26" s="5"/>
      <c r="D26" s="6"/>
      <c r="E26" s="11"/>
      <c r="F26" s="1"/>
      <c r="G26" s="89" t="s">
        <v>6</v>
      </c>
      <c r="H26" s="90"/>
      <c r="I26" s="90"/>
      <c r="J26" s="90"/>
      <c r="K26" s="90"/>
      <c r="L26" s="90"/>
      <c r="M26" s="90"/>
      <c r="N26" s="91"/>
    </row>
    <row r="27" spans="2:14" ht="15.75" customHeight="1" x14ac:dyDescent="0.25">
      <c r="B27" s="20"/>
      <c r="C27" s="7" t="s">
        <v>33</v>
      </c>
      <c r="D27" s="8"/>
      <c r="E27" s="12">
        <v>2.1734E-2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34</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2" t="s">
        <v>295</v>
      </c>
      <c r="C45" s="73"/>
      <c r="D45" s="73"/>
      <c r="E45" s="73"/>
      <c r="F45" s="73"/>
      <c r="G45" s="73"/>
      <c r="H45" s="73"/>
      <c r="I45" s="73"/>
      <c r="J45" s="73"/>
      <c r="K45" s="73"/>
      <c r="L45" s="73"/>
      <c r="M45" s="73"/>
      <c r="N45" s="74"/>
    </row>
    <row r="46" spans="2:14" ht="15" customHeight="1" x14ac:dyDescent="0.25">
      <c r="B46" s="75"/>
      <c r="C46" s="76"/>
      <c r="D46" s="76"/>
      <c r="E46" s="76"/>
      <c r="F46" s="76"/>
      <c r="G46" s="76"/>
      <c r="H46" s="76"/>
      <c r="I46" s="76"/>
      <c r="J46" s="76"/>
      <c r="K46" s="76"/>
      <c r="L46" s="76"/>
      <c r="M46" s="76"/>
      <c r="N46" s="77"/>
    </row>
    <row r="47" spans="2:14" ht="15" customHeight="1" x14ac:dyDescent="0.25">
      <c r="B47" s="75"/>
      <c r="C47" s="76"/>
      <c r="D47" s="76"/>
      <c r="E47" s="76"/>
      <c r="F47" s="76"/>
      <c r="G47" s="76"/>
      <c r="H47" s="76"/>
      <c r="I47" s="76"/>
      <c r="J47" s="76"/>
      <c r="K47" s="76"/>
      <c r="L47" s="76"/>
      <c r="M47" s="76"/>
      <c r="N47" s="77"/>
    </row>
    <row r="48" spans="2:14" ht="15" customHeight="1" thickBot="1" x14ac:dyDescent="0.3">
      <c r="B48" s="78"/>
      <c r="C48" s="79"/>
      <c r="D48" s="79"/>
      <c r="E48" s="79"/>
      <c r="F48" s="79"/>
      <c r="G48" s="79"/>
      <c r="H48" s="79"/>
      <c r="I48" s="79"/>
      <c r="J48" s="79"/>
      <c r="K48" s="79"/>
      <c r="L48" s="79"/>
      <c r="M48" s="79"/>
      <c r="N48" s="80"/>
    </row>
    <row r="49" spans="2:14" ht="15" customHeight="1" thickBot="1" x14ac:dyDescent="0.3"/>
    <row r="50" spans="2:14" ht="123.75" customHeight="1" thickBot="1" x14ac:dyDescent="0.3">
      <c r="B50" s="81" t="s">
        <v>294</v>
      </c>
      <c r="C50" s="82"/>
      <c r="D50" s="82"/>
      <c r="E50" s="82"/>
      <c r="F50" s="82"/>
      <c r="G50" s="82"/>
      <c r="H50" s="82"/>
      <c r="I50" s="82"/>
      <c r="J50" s="82"/>
      <c r="K50" s="82"/>
      <c r="L50" s="82"/>
      <c r="M50" s="82"/>
      <c r="N50" s="83"/>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0043A-1399-48F9-BA1A-062973149155}">
  <dimension ref="B1:N56"/>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123</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124</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42</v>
      </c>
      <c r="D8" s="6" t="s">
        <v>13</v>
      </c>
      <c r="E8" s="11">
        <v>6.0863E-2</v>
      </c>
      <c r="F8" s="1"/>
      <c r="G8" s="24" t="s">
        <v>8</v>
      </c>
      <c r="H8" s="29">
        <v>0.60824900000000004</v>
      </c>
      <c r="I8" s="1"/>
      <c r="J8" s="24" t="s">
        <v>35</v>
      </c>
      <c r="K8" s="24" t="s">
        <v>3</v>
      </c>
      <c r="L8" s="1"/>
      <c r="M8" s="1"/>
      <c r="N8" s="18"/>
    </row>
    <row r="9" spans="2:14" ht="15.75" customHeight="1" x14ac:dyDescent="0.25">
      <c r="B9" s="20"/>
      <c r="C9" s="7" t="s">
        <v>15</v>
      </c>
      <c r="D9" s="8"/>
      <c r="E9" s="12">
        <v>6.0863E-2</v>
      </c>
      <c r="F9" s="1"/>
      <c r="G9" s="24" t="s">
        <v>94</v>
      </c>
      <c r="H9" s="29">
        <v>0.235291</v>
      </c>
      <c r="I9" s="1"/>
      <c r="J9" s="24" t="s">
        <v>33</v>
      </c>
      <c r="K9" s="29">
        <v>1.9774E-2</v>
      </c>
      <c r="L9" s="1"/>
      <c r="M9" s="1"/>
      <c r="N9" s="18"/>
    </row>
    <row r="10" spans="2:14" ht="15" customHeight="1" x14ac:dyDescent="0.25">
      <c r="B10" s="20"/>
      <c r="C10" s="5" t="s">
        <v>19</v>
      </c>
      <c r="D10" s="6" t="s">
        <v>17</v>
      </c>
      <c r="E10" s="11">
        <v>7.7364000000000002E-2</v>
      </c>
      <c r="F10" s="1"/>
      <c r="G10" s="24" t="s">
        <v>95</v>
      </c>
      <c r="H10" s="29">
        <v>0.15645999999999999</v>
      </c>
      <c r="I10" s="1"/>
      <c r="J10" s="24" t="s">
        <v>36</v>
      </c>
      <c r="K10" s="29">
        <v>3.5230999999999998E-2</v>
      </c>
      <c r="L10" s="1"/>
      <c r="M10" s="1"/>
      <c r="N10" s="18"/>
    </row>
    <row r="11" spans="2:14" ht="15" customHeight="1" x14ac:dyDescent="0.25">
      <c r="B11" s="20"/>
      <c r="C11" s="5" t="s">
        <v>45</v>
      </c>
      <c r="D11" s="6" t="s">
        <v>17</v>
      </c>
      <c r="E11" s="11">
        <v>6.1709E-2</v>
      </c>
      <c r="F11" s="1"/>
      <c r="G11" s="1"/>
      <c r="H11" s="1"/>
      <c r="I11" s="1"/>
      <c r="J11" s="24" t="s">
        <v>37</v>
      </c>
      <c r="K11" s="29">
        <v>6.0863E-2</v>
      </c>
      <c r="L11" s="1"/>
      <c r="M11" s="1"/>
      <c r="N11" s="18"/>
    </row>
    <row r="12" spans="2:14" ht="15" customHeight="1" x14ac:dyDescent="0.25">
      <c r="B12" s="20"/>
      <c r="C12" s="5" t="s">
        <v>86</v>
      </c>
      <c r="D12" s="6" t="s">
        <v>82</v>
      </c>
      <c r="E12" s="11">
        <v>4.7535000000000001E-2</v>
      </c>
      <c r="F12" s="1"/>
      <c r="G12" s="1"/>
      <c r="H12" s="1"/>
      <c r="I12" s="1"/>
      <c r="J12" s="24" t="s">
        <v>38</v>
      </c>
      <c r="K12" s="29">
        <v>0.56207499999999999</v>
      </c>
      <c r="L12" s="1"/>
      <c r="M12" s="1"/>
      <c r="N12" s="18"/>
    </row>
    <row r="13" spans="2:14" ht="15" customHeight="1" x14ac:dyDescent="0.25">
      <c r="B13" s="20"/>
      <c r="C13" s="5" t="s">
        <v>88</v>
      </c>
      <c r="D13" s="6" t="s">
        <v>82</v>
      </c>
      <c r="E13" s="11">
        <v>4.7208E-2</v>
      </c>
      <c r="F13" s="1"/>
      <c r="G13" s="1"/>
      <c r="H13" s="1"/>
      <c r="I13" s="1"/>
      <c r="J13" s="24" t="s">
        <v>22</v>
      </c>
      <c r="K13" s="29">
        <v>2.8289999999999999E-3</v>
      </c>
      <c r="L13" s="1"/>
      <c r="M13" s="1"/>
      <c r="N13" s="18"/>
    </row>
    <row r="14" spans="2:14" ht="15" customHeight="1" x14ac:dyDescent="0.25">
      <c r="B14" s="20"/>
      <c r="C14" s="5" t="s">
        <v>83</v>
      </c>
      <c r="D14" s="6" t="s">
        <v>82</v>
      </c>
      <c r="E14" s="11">
        <v>4.6980000000000001E-2</v>
      </c>
      <c r="F14" s="1"/>
      <c r="G14" s="1"/>
      <c r="H14" s="1"/>
      <c r="I14" s="1"/>
      <c r="J14" s="24" t="s">
        <v>39</v>
      </c>
      <c r="K14" s="29">
        <v>0.31922099999999998</v>
      </c>
      <c r="L14" s="1"/>
      <c r="M14" s="1"/>
      <c r="N14" s="18"/>
    </row>
    <row r="15" spans="2:14" ht="15" customHeight="1" x14ac:dyDescent="0.25">
      <c r="B15" s="20"/>
      <c r="C15" s="5" t="s">
        <v>91</v>
      </c>
      <c r="D15" s="6" t="s">
        <v>90</v>
      </c>
      <c r="E15" s="11">
        <v>4.6856000000000002E-2</v>
      </c>
      <c r="F15" s="1"/>
      <c r="G15" s="1"/>
      <c r="H15" s="1"/>
      <c r="I15" s="1"/>
      <c r="J15" s="24"/>
      <c r="K15" s="29"/>
      <c r="L15" s="1"/>
      <c r="M15" s="1"/>
      <c r="N15" s="18"/>
    </row>
    <row r="16" spans="2:14" ht="15" customHeight="1" x14ac:dyDescent="0.25">
      <c r="B16" s="20"/>
      <c r="C16" s="5" t="s">
        <v>125</v>
      </c>
      <c r="D16" s="6" t="s">
        <v>90</v>
      </c>
      <c r="E16" s="11">
        <v>4.6822999999999997E-2</v>
      </c>
      <c r="F16" s="1"/>
      <c r="G16" s="1"/>
      <c r="H16" s="1"/>
      <c r="I16" s="1"/>
      <c r="J16" s="1"/>
      <c r="K16" s="1"/>
      <c r="L16" s="1"/>
      <c r="M16" s="1"/>
      <c r="N16" s="18"/>
    </row>
    <row r="17" spans="2:14" ht="15" customHeight="1" x14ac:dyDescent="0.25">
      <c r="B17" s="20"/>
      <c r="C17" s="5" t="s">
        <v>126</v>
      </c>
      <c r="D17" s="6" t="s">
        <v>90</v>
      </c>
      <c r="E17" s="11">
        <v>3.1394999999999999E-2</v>
      </c>
      <c r="F17" s="1"/>
      <c r="G17" s="1"/>
      <c r="H17" s="1"/>
      <c r="I17" s="1"/>
      <c r="J17" s="1"/>
      <c r="K17" s="1"/>
      <c r="L17" s="1"/>
      <c r="M17" s="1"/>
      <c r="N17" s="18"/>
    </row>
    <row r="18" spans="2:14" ht="15" customHeight="1" x14ac:dyDescent="0.25">
      <c r="B18" s="20"/>
      <c r="C18" s="5" t="s">
        <v>89</v>
      </c>
      <c r="D18" s="6" t="s">
        <v>90</v>
      </c>
      <c r="E18" s="11">
        <v>3.1385999999999997E-2</v>
      </c>
      <c r="F18" s="1"/>
      <c r="G18" s="1"/>
      <c r="H18" s="1"/>
      <c r="I18" s="1"/>
      <c r="J18" s="1"/>
      <c r="K18" s="1"/>
      <c r="L18" s="1"/>
      <c r="M18" s="1"/>
      <c r="N18" s="18"/>
    </row>
    <row r="19" spans="2:14" ht="15" customHeight="1" x14ac:dyDescent="0.25">
      <c r="B19" s="20"/>
      <c r="C19" s="5" t="s">
        <v>87</v>
      </c>
      <c r="D19" s="6" t="s">
        <v>82</v>
      </c>
      <c r="E19" s="11">
        <v>3.1275999999999998E-2</v>
      </c>
      <c r="F19" s="1"/>
      <c r="G19" s="1"/>
      <c r="H19" s="1"/>
      <c r="I19" s="1"/>
      <c r="J19" s="1"/>
      <c r="K19" s="1"/>
      <c r="L19" s="1"/>
      <c r="M19" s="1"/>
      <c r="N19" s="18"/>
    </row>
    <row r="20" spans="2:14" ht="15" customHeight="1" x14ac:dyDescent="0.25">
      <c r="B20" s="20"/>
      <c r="C20" s="5" t="s">
        <v>81</v>
      </c>
      <c r="D20" s="6" t="s">
        <v>82</v>
      </c>
      <c r="E20" s="11">
        <v>3.1268999999999998E-2</v>
      </c>
      <c r="F20" s="1"/>
      <c r="G20" s="1"/>
      <c r="H20" s="1"/>
      <c r="I20" s="1"/>
      <c r="J20" s="1"/>
      <c r="K20" s="1"/>
      <c r="L20" s="1"/>
      <c r="M20" s="1"/>
      <c r="N20" s="18"/>
    </row>
    <row r="21" spans="2:14" ht="15" customHeight="1" x14ac:dyDescent="0.25">
      <c r="B21" s="20"/>
      <c r="C21" s="5" t="s">
        <v>47</v>
      </c>
      <c r="D21" s="6" t="s">
        <v>17</v>
      </c>
      <c r="E21" s="11">
        <v>3.1251000000000001E-2</v>
      </c>
      <c r="F21" s="1"/>
      <c r="G21" s="1"/>
      <c r="H21" s="1"/>
      <c r="I21" s="1"/>
      <c r="J21" s="1"/>
      <c r="K21" s="1"/>
      <c r="L21" s="1"/>
      <c r="M21" s="1"/>
      <c r="N21" s="18"/>
    </row>
    <row r="22" spans="2:14" ht="15" customHeight="1" x14ac:dyDescent="0.25">
      <c r="B22" s="20"/>
      <c r="C22" s="5" t="s">
        <v>84</v>
      </c>
      <c r="D22" s="6" t="s">
        <v>82</v>
      </c>
      <c r="E22" s="11">
        <v>3.1022999999999998E-2</v>
      </c>
      <c r="F22" s="1"/>
      <c r="G22" s="1"/>
      <c r="H22" s="1"/>
      <c r="I22" s="1"/>
      <c r="J22" s="1"/>
      <c r="K22" s="1"/>
      <c r="L22" s="1"/>
      <c r="M22" s="1"/>
      <c r="N22" s="18"/>
    </row>
    <row r="23" spans="2:14" ht="15.75" customHeight="1" x14ac:dyDescent="0.25">
      <c r="B23" s="20"/>
      <c r="C23" s="7" t="s">
        <v>21</v>
      </c>
      <c r="D23" s="8"/>
      <c r="E23" s="12">
        <v>0.56207499999999999</v>
      </c>
      <c r="F23" s="1"/>
      <c r="G23" s="1"/>
      <c r="H23" s="1"/>
      <c r="I23" s="1"/>
      <c r="J23" s="1"/>
      <c r="K23" s="1"/>
      <c r="L23" s="1"/>
      <c r="M23" s="1"/>
      <c r="N23" s="18"/>
    </row>
    <row r="24" spans="2:14" ht="15" customHeight="1" x14ac:dyDescent="0.25">
      <c r="B24" s="20"/>
      <c r="C24" s="5" t="s">
        <v>22</v>
      </c>
      <c r="D24" s="6"/>
      <c r="E24" s="11">
        <v>2.8289999999999999E-3</v>
      </c>
      <c r="F24" s="1"/>
      <c r="G24" s="89" t="s">
        <v>5</v>
      </c>
      <c r="H24" s="90"/>
      <c r="I24" s="90"/>
      <c r="J24" s="90"/>
      <c r="K24" s="90"/>
      <c r="L24" s="25">
        <v>3.5919761747941976</v>
      </c>
      <c r="M24" s="26"/>
      <c r="N24" s="27"/>
    </row>
    <row r="25" spans="2:14" ht="15.75" customHeight="1" x14ac:dyDescent="0.25">
      <c r="B25" s="20"/>
      <c r="C25" s="7" t="s">
        <v>23</v>
      </c>
      <c r="D25" s="8"/>
      <c r="E25" s="12">
        <v>2.8289999999999999E-3</v>
      </c>
      <c r="F25" s="1"/>
      <c r="G25" s="1"/>
      <c r="H25" s="1"/>
      <c r="I25" s="1"/>
      <c r="J25" s="1"/>
      <c r="K25" s="1"/>
      <c r="L25" s="1"/>
      <c r="M25" s="1"/>
      <c r="N25" s="18"/>
    </row>
    <row r="26" spans="2:14" ht="15" customHeight="1" x14ac:dyDescent="0.25">
      <c r="B26" s="20"/>
      <c r="C26" s="5" t="s">
        <v>25</v>
      </c>
      <c r="D26" s="6" t="s">
        <v>182</v>
      </c>
      <c r="E26" s="11">
        <v>0.16887099999999999</v>
      </c>
      <c r="F26" s="1"/>
      <c r="G26" s="89" t="s">
        <v>6</v>
      </c>
      <c r="H26" s="90"/>
      <c r="I26" s="90"/>
      <c r="J26" s="90"/>
      <c r="K26" s="90"/>
      <c r="L26" s="90"/>
      <c r="M26" s="90"/>
      <c r="N26" s="91"/>
    </row>
    <row r="27" spans="2:14" ht="15" customHeight="1" x14ac:dyDescent="0.25">
      <c r="B27" s="20"/>
      <c r="C27" s="5" t="s">
        <v>27</v>
      </c>
      <c r="D27" s="6" t="s">
        <v>182</v>
      </c>
      <c r="E27" s="11">
        <v>0.15035000000000001</v>
      </c>
      <c r="F27" s="1"/>
      <c r="G27" s="1"/>
      <c r="H27" s="1"/>
      <c r="I27" s="1"/>
      <c r="J27" s="1"/>
      <c r="K27" s="1"/>
      <c r="L27" s="1"/>
      <c r="M27" s="1"/>
      <c r="N27" s="18"/>
    </row>
    <row r="28" spans="2:14" ht="15.75" customHeight="1" x14ac:dyDescent="0.25">
      <c r="B28" s="20"/>
      <c r="C28" s="7" t="s">
        <v>30</v>
      </c>
      <c r="D28" s="8"/>
      <c r="E28" s="12">
        <v>0.31922099999999998</v>
      </c>
      <c r="F28" s="1"/>
      <c r="G28" s="1"/>
      <c r="H28" s="1"/>
      <c r="I28" s="1"/>
      <c r="J28" s="1"/>
      <c r="K28" s="1"/>
      <c r="L28" s="1"/>
      <c r="M28" s="1"/>
      <c r="N28" s="18"/>
    </row>
    <row r="29" spans="2:14" ht="15" customHeight="1" x14ac:dyDescent="0.25">
      <c r="B29" s="20"/>
      <c r="C29" s="5" t="s">
        <v>31</v>
      </c>
      <c r="D29" s="6"/>
      <c r="E29" s="11">
        <v>3.5230999999999998E-2</v>
      </c>
      <c r="F29" s="1"/>
      <c r="G29" s="1"/>
      <c r="H29" s="1"/>
      <c r="I29" s="1"/>
      <c r="J29" s="1"/>
      <c r="K29" s="1"/>
      <c r="L29" s="1"/>
      <c r="M29" s="1"/>
      <c r="N29" s="18"/>
    </row>
    <row r="30" spans="2:14" ht="15.75" customHeight="1" x14ac:dyDescent="0.25">
      <c r="B30" s="20"/>
      <c r="C30" s="7" t="s">
        <v>32</v>
      </c>
      <c r="D30" s="8"/>
      <c r="E30" s="12">
        <v>3.5230999999999998E-2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33</v>
      </c>
      <c r="D32" s="8"/>
      <c r="E32" s="12">
        <v>1.9774E-2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9" t="s">
        <v>34</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34" t="s">
        <v>127</v>
      </c>
      <c r="D36" s="34"/>
      <c r="E36" s="35">
        <v>0.59419300000000008</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72" t="s">
        <v>295</v>
      </c>
      <c r="C45" s="73"/>
      <c r="D45" s="73"/>
      <c r="E45" s="73"/>
      <c r="F45" s="73"/>
      <c r="G45" s="73"/>
      <c r="H45" s="73"/>
      <c r="I45" s="73"/>
      <c r="J45" s="73"/>
      <c r="K45" s="73"/>
      <c r="L45" s="73"/>
      <c r="M45" s="73"/>
      <c r="N45" s="74"/>
    </row>
    <row r="46" spans="2:14" ht="15" customHeight="1" x14ac:dyDescent="0.25">
      <c r="B46" s="75"/>
      <c r="C46" s="76"/>
      <c r="D46" s="76"/>
      <c r="E46" s="76"/>
      <c r="F46" s="76"/>
      <c r="G46" s="76"/>
      <c r="H46" s="76"/>
      <c r="I46" s="76"/>
      <c r="J46" s="76"/>
      <c r="K46" s="76"/>
      <c r="L46" s="76"/>
      <c r="M46" s="76"/>
      <c r="N46" s="77"/>
    </row>
    <row r="47" spans="2:14" ht="15" customHeight="1" x14ac:dyDescent="0.25">
      <c r="B47" s="75"/>
      <c r="C47" s="76"/>
      <c r="D47" s="76"/>
      <c r="E47" s="76"/>
      <c r="F47" s="76"/>
      <c r="G47" s="76"/>
      <c r="H47" s="76"/>
      <c r="I47" s="76"/>
      <c r="J47" s="76"/>
      <c r="K47" s="76"/>
      <c r="L47" s="76"/>
      <c r="M47" s="76"/>
      <c r="N47" s="77"/>
    </row>
    <row r="48" spans="2:14" ht="15" customHeight="1" thickBot="1" x14ac:dyDescent="0.3">
      <c r="B48" s="78"/>
      <c r="C48" s="79"/>
      <c r="D48" s="79"/>
      <c r="E48" s="79"/>
      <c r="F48" s="79"/>
      <c r="G48" s="79"/>
      <c r="H48" s="79"/>
      <c r="I48" s="79"/>
      <c r="J48" s="79"/>
      <c r="K48" s="79"/>
      <c r="L48" s="79"/>
      <c r="M48" s="79"/>
      <c r="N48" s="80"/>
    </row>
    <row r="49" spans="2:14" ht="15" customHeight="1" thickBot="1" x14ac:dyDescent="0.3"/>
    <row r="50" spans="2:14" ht="69" customHeight="1" thickBot="1" x14ac:dyDescent="0.3">
      <c r="B50" s="81" t="s">
        <v>297</v>
      </c>
      <c r="C50" s="82"/>
      <c r="D50" s="82"/>
      <c r="E50" s="82"/>
      <c r="F50" s="82"/>
      <c r="G50" s="82"/>
      <c r="H50" s="82"/>
      <c r="I50" s="82"/>
      <c r="J50" s="82"/>
      <c r="K50" s="82"/>
      <c r="L50" s="82"/>
      <c r="M50" s="82"/>
      <c r="N50" s="83"/>
    </row>
    <row r="51" spans="2:14" ht="15" customHeight="1" thickBot="1" x14ac:dyDescent="0.3"/>
    <row r="52" spans="2:14" ht="126.75" customHeight="1" thickBot="1" x14ac:dyDescent="0.3">
      <c r="B52" s="81" t="s">
        <v>294</v>
      </c>
      <c r="C52" s="82"/>
      <c r="D52" s="82"/>
      <c r="E52" s="82"/>
      <c r="F52" s="82"/>
      <c r="G52" s="82"/>
      <c r="H52" s="82"/>
      <c r="I52" s="82"/>
      <c r="J52" s="82"/>
      <c r="K52" s="82"/>
      <c r="L52" s="82"/>
      <c r="M52" s="82"/>
      <c r="N52" s="83"/>
    </row>
    <row r="53" spans="2:14" ht="15" customHeight="1" x14ac:dyDescent="0.25"/>
    <row r="54" spans="2:14" ht="15" customHeight="1" x14ac:dyDescent="0.25"/>
    <row r="55" spans="2:14" ht="15" customHeight="1" x14ac:dyDescent="0.25"/>
    <row r="56"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2DB6-4440-4F0A-BD74-A3D0FB60D964}">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165</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166</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22</v>
      </c>
      <c r="D8" s="6"/>
      <c r="E8" s="11">
        <v>1.6069999999999999E-3</v>
      </c>
      <c r="F8" s="1"/>
      <c r="G8" s="24" t="s">
        <v>8</v>
      </c>
      <c r="H8" s="28">
        <v>1</v>
      </c>
      <c r="I8" s="1"/>
      <c r="J8" s="24" t="s">
        <v>35</v>
      </c>
      <c r="K8" s="24" t="s">
        <v>3</v>
      </c>
      <c r="L8" s="1"/>
      <c r="M8" s="1"/>
      <c r="N8" s="18"/>
    </row>
    <row r="9" spans="2:14" ht="15.75" customHeight="1" x14ac:dyDescent="0.25">
      <c r="B9" s="20"/>
      <c r="C9" s="7" t="s">
        <v>23</v>
      </c>
      <c r="D9" s="8"/>
      <c r="E9" s="12">
        <v>1.6069999999999999E-3</v>
      </c>
      <c r="F9" s="1"/>
      <c r="G9" s="1"/>
      <c r="H9" s="1"/>
      <c r="I9" s="1"/>
      <c r="J9" s="24" t="s">
        <v>33</v>
      </c>
      <c r="K9" s="29">
        <v>1.3261E-2</v>
      </c>
      <c r="L9" s="1"/>
      <c r="M9" s="1"/>
      <c r="N9" s="18"/>
    </row>
    <row r="10" spans="2:14" ht="15" customHeight="1" x14ac:dyDescent="0.25">
      <c r="B10" s="20"/>
      <c r="C10" s="5" t="s">
        <v>24</v>
      </c>
      <c r="D10" s="6" t="s">
        <v>182</v>
      </c>
      <c r="E10" s="11">
        <v>0.93018400000000001</v>
      </c>
      <c r="F10" s="1"/>
      <c r="G10" s="1"/>
      <c r="H10" s="1"/>
      <c r="I10" s="1"/>
      <c r="J10" s="24" t="s">
        <v>36</v>
      </c>
      <c r="K10" s="29">
        <v>1.6022999999999999E-2</v>
      </c>
      <c r="L10" s="1"/>
      <c r="M10" s="1"/>
      <c r="N10" s="18"/>
    </row>
    <row r="11" spans="2:14" ht="15" customHeight="1" x14ac:dyDescent="0.25">
      <c r="B11" s="20"/>
      <c r="C11" s="5" t="s">
        <v>167</v>
      </c>
      <c r="D11" s="6" t="s">
        <v>182</v>
      </c>
      <c r="E11" s="11">
        <v>3.8925000000000001E-2</v>
      </c>
      <c r="F11" s="1"/>
      <c r="G11" s="1"/>
      <c r="H11" s="1"/>
      <c r="I11" s="1"/>
      <c r="J11" s="24" t="s">
        <v>22</v>
      </c>
      <c r="K11" s="29">
        <v>1.6069999999999999E-3</v>
      </c>
      <c r="L11" s="1"/>
      <c r="M11" s="1"/>
      <c r="N11" s="18"/>
    </row>
    <row r="12" spans="2:14" ht="15.75" customHeight="1" x14ac:dyDescent="0.25">
      <c r="B12" s="20"/>
      <c r="C12" s="7" t="s">
        <v>30</v>
      </c>
      <c r="D12" s="8"/>
      <c r="E12" s="12">
        <v>0.969109</v>
      </c>
      <c r="F12" s="1"/>
      <c r="G12" s="1"/>
      <c r="H12" s="1"/>
      <c r="I12" s="1"/>
      <c r="J12" s="24" t="s">
        <v>39</v>
      </c>
      <c r="K12" s="29">
        <v>0.969109</v>
      </c>
      <c r="L12" s="1"/>
      <c r="M12" s="1"/>
      <c r="N12" s="18"/>
    </row>
    <row r="13" spans="2:14" ht="15" customHeight="1" x14ac:dyDescent="0.25">
      <c r="B13" s="20"/>
      <c r="C13" s="5" t="s">
        <v>31</v>
      </c>
      <c r="D13" s="6"/>
      <c r="E13" s="11">
        <v>1.6022999999999999E-2</v>
      </c>
      <c r="F13" s="1"/>
      <c r="G13" s="1"/>
      <c r="H13" s="1"/>
      <c r="I13" s="1"/>
      <c r="J13" s="1"/>
      <c r="K13" s="1"/>
      <c r="L13" s="1"/>
      <c r="M13" s="1"/>
      <c r="N13" s="18"/>
    </row>
    <row r="14" spans="2:14" ht="15.75" customHeight="1" x14ac:dyDescent="0.25">
      <c r="B14" s="20"/>
      <c r="C14" s="7" t="s">
        <v>32</v>
      </c>
      <c r="D14" s="8"/>
      <c r="E14" s="12">
        <v>1.6022999999999999E-2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33</v>
      </c>
      <c r="D16" s="8"/>
      <c r="E16" s="12">
        <v>1.3261E-2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34</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29.143546867466675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72" t="s">
        <v>295</v>
      </c>
      <c r="C45" s="73"/>
      <c r="D45" s="73"/>
      <c r="E45" s="73"/>
      <c r="F45" s="73"/>
      <c r="G45" s="73"/>
      <c r="H45" s="73"/>
      <c r="I45" s="73"/>
      <c r="J45" s="73"/>
      <c r="K45" s="73"/>
      <c r="L45" s="73"/>
      <c r="M45" s="73"/>
      <c r="N45" s="74"/>
    </row>
    <row r="46" spans="2:14" x14ac:dyDescent="0.25">
      <c r="B46" s="75"/>
      <c r="C46" s="76"/>
      <c r="D46" s="76"/>
      <c r="E46" s="76"/>
      <c r="F46" s="76"/>
      <c r="G46" s="76"/>
      <c r="H46" s="76"/>
      <c r="I46" s="76"/>
      <c r="J46" s="76"/>
      <c r="K46" s="76"/>
      <c r="L46" s="76"/>
      <c r="M46" s="76"/>
      <c r="N46" s="77"/>
    </row>
    <row r="47" spans="2:14" x14ac:dyDescent="0.25">
      <c r="B47" s="75"/>
      <c r="C47" s="76"/>
      <c r="D47" s="76"/>
      <c r="E47" s="76"/>
      <c r="F47" s="76"/>
      <c r="G47" s="76"/>
      <c r="H47" s="76"/>
      <c r="I47" s="76"/>
      <c r="J47" s="76"/>
      <c r="K47" s="76"/>
      <c r="L47" s="76"/>
      <c r="M47" s="76"/>
      <c r="N47" s="77"/>
    </row>
    <row r="48" spans="2:14" ht="15.75" thickBot="1" x14ac:dyDescent="0.3">
      <c r="B48" s="78"/>
      <c r="C48" s="79"/>
      <c r="D48" s="79"/>
      <c r="E48" s="79"/>
      <c r="F48" s="79"/>
      <c r="G48" s="79"/>
      <c r="H48" s="79"/>
      <c r="I48" s="79"/>
      <c r="J48" s="79"/>
      <c r="K48" s="79"/>
      <c r="L48" s="79"/>
      <c r="M48" s="79"/>
      <c r="N48" s="80"/>
    </row>
    <row r="49" spans="2:14" ht="15.75" thickBot="1" x14ac:dyDescent="0.3"/>
    <row r="50" spans="2:14" ht="126" customHeight="1" thickBot="1" x14ac:dyDescent="0.3">
      <c r="B50" s="81" t="s">
        <v>294</v>
      </c>
      <c r="C50" s="82"/>
      <c r="D50" s="82"/>
      <c r="E50" s="82"/>
      <c r="F50" s="82"/>
      <c r="G50" s="82"/>
      <c r="H50" s="82"/>
      <c r="I50" s="82"/>
      <c r="J50" s="82"/>
      <c r="K50" s="82"/>
      <c r="L50" s="82"/>
      <c r="M50" s="82"/>
      <c r="N50" s="83"/>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1B63-51F7-49AD-8029-FA368EF8BE4F}">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131</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132</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24</v>
      </c>
      <c r="D8" s="6" t="s">
        <v>182</v>
      </c>
      <c r="E8" s="11">
        <v>0.98695299999999997</v>
      </c>
      <c r="F8" s="1"/>
      <c r="G8" s="24" t="s">
        <v>8</v>
      </c>
      <c r="H8" s="28">
        <v>1</v>
      </c>
      <c r="I8" s="1"/>
      <c r="J8" s="24" t="s">
        <v>35</v>
      </c>
      <c r="K8" s="24" t="s">
        <v>3</v>
      </c>
      <c r="L8" s="1"/>
      <c r="M8" s="1"/>
      <c r="N8" s="18"/>
    </row>
    <row r="9" spans="2:14" ht="15" customHeight="1" x14ac:dyDescent="0.25">
      <c r="B9" s="20"/>
      <c r="C9" s="5" t="s">
        <v>113</v>
      </c>
      <c r="D9" s="6" t="s">
        <v>182</v>
      </c>
      <c r="E9" s="30">
        <v>2.4000000000000001E-5</v>
      </c>
      <c r="F9" s="1"/>
      <c r="G9" s="1"/>
      <c r="H9" s="1"/>
      <c r="I9" s="1"/>
      <c r="J9" s="24" t="s">
        <v>33</v>
      </c>
      <c r="K9" s="29">
        <v>1.1365E-2</v>
      </c>
      <c r="L9" s="1"/>
      <c r="M9" s="1"/>
      <c r="N9" s="18"/>
    </row>
    <row r="10" spans="2:14" ht="15.75" customHeight="1" x14ac:dyDescent="0.25">
      <c r="B10" s="20"/>
      <c r="C10" s="7" t="s">
        <v>30</v>
      </c>
      <c r="D10" s="8"/>
      <c r="E10" s="12">
        <v>0.98697699999999999</v>
      </c>
      <c r="F10" s="1"/>
      <c r="G10" s="1"/>
      <c r="H10" s="1"/>
      <c r="I10" s="1"/>
      <c r="J10" s="24" t="s">
        <v>36</v>
      </c>
      <c r="K10" s="29">
        <v>1.658E-3</v>
      </c>
      <c r="L10" s="1"/>
      <c r="M10" s="1"/>
      <c r="N10" s="18"/>
    </row>
    <row r="11" spans="2:14" ht="15" customHeight="1" x14ac:dyDescent="0.25">
      <c r="B11" s="20"/>
      <c r="C11" s="5" t="s">
        <v>31</v>
      </c>
      <c r="D11" s="6"/>
      <c r="E11" s="11">
        <v>1.658E-3</v>
      </c>
      <c r="F11" s="1"/>
      <c r="G11" s="1"/>
      <c r="H11" s="1"/>
      <c r="I11" s="1"/>
      <c r="J11" s="24" t="s">
        <v>39</v>
      </c>
      <c r="K11" s="29">
        <v>0.98697699999999999</v>
      </c>
      <c r="L11" s="1"/>
      <c r="M11" s="1"/>
      <c r="N11" s="18"/>
    </row>
    <row r="12" spans="2:14" ht="15.75" customHeight="1" x14ac:dyDescent="0.25">
      <c r="B12" s="20"/>
      <c r="C12" s="7" t="s">
        <v>32</v>
      </c>
      <c r="D12" s="8"/>
      <c r="E12" s="12">
        <v>1.658E-3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33</v>
      </c>
      <c r="D14" s="8"/>
      <c r="E14" s="12">
        <v>1.1365E-2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34</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28.843779101266716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9671-3343-46CE-B311-6184BD588329}">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128</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129</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25</v>
      </c>
      <c r="D8" s="6" t="s">
        <v>182</v>
      </c>
      <c r="E8" s="11">
        <v>0.59985299999999997</v>
      </c>
      <c r="F8" s="1"/>
      <c r="G8" s="24" t="s">
        <v>8</v>
      </c>
      <c r="H8" s="28">
        <v>1</v>
      </c>
      <c r="I8" s="1"/>
      <c r="J8" s="24" t="s">
        <v>35</v>
      </c>
      <c r="K8" s="24" t="s">
        <v>3</v>
      </c>
      <c r="L8" s="1"/>
      <c r="M8" s="1"/>
      <c r="N8" s="18"/>
    </row>
    <row r="9" spans="2:14" ht="15" customHeight="1" x14ac:dyDescent="0.25">
      <c r="B9" s="20"/>
      <c r="C9" s="5" t="s">
        <v>93</v>
      </c>
      <c r="D9" s="6" t="s">
        <v>182</v>
      </c>
      <c r="E9" s="11">
        <v>0.20472699999999999</v>
      </c>
      <c r="F9" s="1"/>
      <c r="G9" s="1"/>
      <c r="H9" s="1"/>
      <c r="I9" s="1"/>
      <c r="J9" s="24" t="s">
        <v>33</v>
      </c>
      <c r="K9" s="29">
        <v>4.5459999999999997E-3</v>
      </c>
      <c r="L9" s="1"/>
      <c r="M9" s="1"/>
      <c r="N9" s="18"/>
    </row>
    <row r="10" spans="2:14" ht="15" customHeight="1" x14ac:dyDescent="0.25">
      <c r="B10" s="20"/>
      <c r="C10" s="5" t="s">
        <v>75</v>
      </c>
      <c r="D10" s="6" t="s">
        <v>182</v>
      </c>
      <c r="E10" s="11">
        <v>7.5275999999999996E-2</v>
      </c>
      <c r="F10" s="1"/>
      <c r="G10" s="1"/>
      <c r="H10" s="1"/>
      <c r="I10" s="1"/>
      <c r="J10" s="24" t="s">
        <v>36</v>
      </c>
      <c r="K10" s="29">
        <v>8.5749999999999993E-3</v>
      </c>
      <c r="L10" s="1"/>
      <c r="M10" s="1"/>
      <c r="N10" s="18"/>
    </row>
    <row r="11" spans="2:14" ht="15" customHeight="1" x14ac:dyDescent="0.25">
      <c r="B11" s="20"/>
      <c r="C11" s="5" t="s">
        <v>27</v>
      </c>
      <c r="D11" s="6" t="s">
        <v>182</v>
      </c>
      <c r="E11" s="11">
        <v>7.3651999999999995E-2</v>
      </c>
      <c r="F11" s="1"/>
      <c r="G11" s="1"/>
      <c r="H11" s="1"/>
      <c r="I11" s="1"/>
      <c r="J11" s="24" t="s">
        <v>39</v>
      </c>
      <c r="K11" s="29">
        <v>0.98687899999999995</v>
      </c>
      <c r="L11" s="1"/>
      <c r="M11" s="1"/>
      <c r="N11" s="18"/>
    </row>
    <row r="12" spans="2:14" ht="15" customHeight="1" x14ac:dyDescent="0.25">
      <c r="B12" s="20"/>
      <c r="C12" s="5" t="s">
        <v>130</v>
      </c>
      <c r="D12" s="6" t="s">
        <v>182</v>
      </c>
      <c r="E12" s="11">
        <v>2.9919999999999999E-2</v>
      </c>
      <c r="F12" s="1"/>
      <c r="G12" s="1"/>
      <c r="H12" s="1"/>
      <c r="I12" s="1"/>
      <c r="J12" s="1"/>
      <c r="K12" s="1"/>
      <c r="L12" s="1"/>
      <c r="M12" s="1"/>
      <c r="N12" s="18"/>
    </row>
    <row r="13" spans="2:14" ht="15" customHeight="1" x14ac:dyDescent="0.25">
      <c r="B13" s="20"/>
      <c r="C13" s="5" t="s">
        <v>113</v>
      </c>
      <c r="D13" s="6" t="s">
        <v>182</v>
      </c>
      <c r="E13" s="11">
        <v>2.114E-3</v>
      </c>
      <c r="F13" s="1"/>
      <c r="G13" s="1"/>
      <c r="H13" s="1"/>
      <c r="I13" s="1"/>
      <c r="J13" s="1"/>
      <c r="K13" s="1"/>
      <c r="L13" s="1"/>
      <c r="M13" s="1"/>
      <c r="N13" s="18"/>
    </row>
    <row r="14" spans="2:14" ht="15" customHeight="1" x14ac:dyDescent="0.25">
      <c r="B14" s="20"/>
      <c r="C14" s="5" t="s">
        <v>48</v>
      </c>
      <c r="D14" s="6" t="s">
        <v>182</v>
      </c>
      <c r="E14" s="11">
        <v>1.3370000000000001E-3</v>
      </c>
      <c r="F14" s="1"/>
      <c r="G14" s="1"/>
      <c r="H14" s="1"/>
      <c r="I14" s="1"/>
      <c r="J14" s="1"/>
      <c r="K14" s="1"/>
      <c r="L14" s="1"/>
      <c r="M14" s="1"/>
      <c r="N14" s="18"/>
    </row>
    <row r="15" spans="2:14" ht="15.75" customHeight="1" x14ac:dyDescent="0.25">
      <c r="B15" s="20"/>
      <c r="C15" s="7" t="s">
        <v>30</v>
      </c>
      <c r="D15" s="8"/>
      <c r="E15" s="12">
        <v>0.98687899999999995</v>
      </c>
      <c r="F15" s="1"/>
      <c r="G15" s="1"/>
      <c r="H15" s="1"/>
      <c r="I15" s="1"/>
      <c r="J15" s="1"/>
      <c r="K15" s="1"/>
      <c r="L15" s="1"/>
      <c r="M15" s="1"/>
      <c r="N15" s="18"/>
    </row>
    <row r="16" spans="2:14" ht="15" customHeight="1" x14ac:dyDescent="0.25">
      <c r="B16" s="20"/>
      <c r="C16" s="5" t="s">
        <v>31</v>
      </c>
      <c r="D16" s="6"/>
      <c r="E16" s="11">
        <v>8.5749999999999993E-3</v>
      </c>
      <c r="F16" s="1"/>
      <c r="G16" s="1"/>
      <c r="H16" s="1"/>
      <c r="I16" s="1"/>
      <c r="J16" s="1"/>
      <c r="K16" s="1"/>
      <c r="L16" s="1"/>
      <c r="M16" s="1"/>
      <c r="N16" s="18"/>
    </row>
    <row r="17" spans="2:14" ht="15.75" customHeight="1" x14ac:dyDescent="0.25">
      <c r="B17" s="20"/>
      <c r="C17" s="7" t="s">
        <v>32</v>
      </c>
      <c r="D17" s="8"/>
      <c r="E17" s="12">
        <v>8.5749999999999993E-3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33</v>
      </c>
      <c r="D19" s="8"/>
      <c r="E19" s="12">
        <v>4.5459999999999997E-3</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34</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9.508839808510448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19C4B-66EC-481E-93AB-818BB3C8DFA8}">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105</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106</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107</v>
      </c>
      <c r="D8" s="6" t="s">
        <v>182</v>
      </c>
      <c r="E8" s="11">
        <v>0.318716</v>
      </c>
      <c r="F8" s="1"/>
      <c r="G8" s="24" t="s">
        <v>8</v>
      </c>
      <c r="H8" s="28">
        <v>1</v>
      </c>
      <c r="I8" s="1"/>
      <c r="J8" s="24" t="s">
        <v>35</v>
      </c>
      <c r="K8" s="24" t="s">
        <v>3</v>
      </c>
      <c r="L8" s="1"/>
      <c r="M8" s="1"/>
      <c r="N8" s="18"/>
    </row>
    <row r="9" spans="2:14" ht="15" customHeight="1" x14ac:dyDescent="0.25">
      <c r="B9" s="20"/>
      <c r="C9" s="5" t="s">
        <v>58</v>
      </c>
      <c r="D9" s="6" t="s">
        <v>182</v>
      </c>
      <c r="E9" s="11">
        <v>0.31009399999999998</v>
      </c>
      <c r="F9" s="1"/>
      <c r="G9" s="1"/>
      <c r="H9" s="1"/>
      <c r="I9" s="1"/>
      <c r="J9" s="24" t="s">
        <v>33</v>
      </c>
      <c r="K9" s="29">
        <v>2.0251999999999999E-2</v>
      </c>
      <c r="L9" s="1"/>
      <c r="M9" s="1"/>
      <c r="N9" s="18"/>
    </row>
    <row r="10" spans="2:14" ht="15" customHeight="1" x14ac:dyDescent="0.25">
      <c r="B10" s="20"/>
      <c r="C10" s="5" t="s">
        <v>108</v>
      </c>
      <c r="D10" s="6" t="s">
        <v>182</v>
      </c>
      <c r="E10" s="11">
        <v>0.18323400000000001</v>
      </c>
      <c r="F10" s="1"/>
      <c r="G10" s="1"/>
      <c r="H10" s="1"/>
      <c r="I10" s="1"/>
      <c r="J10" s="24" t="s">
        <v>36</v>
      </c>
      <c r="K10" s="29">
        <v>5.2139999999999999E-3</v>
      </c>
      <c r="L10" s="1"/>
      <c r="M10" s="1"/>
      <c r="N10" s="18"/>
    </row>
    <row r="11" spans="2:14" ht="15" customHeight="1" x14ac:dyDescent="0.25">
      <c r="B11" s="20"/>
      <c r="C11" s="5" t="s">
        <v>109</v>
      </c>
      <c r="D11" s="6" t="s">
        <v>182</v>
      </c>
      <c r="E11" s="11">
        <v>0.100574</v>
      </c>
      <c r="F11" s="1"/>
      <c r="G11" s="1"/>
      <c r="H11" s="1"/>
      <c r="I11" s="1"/>
      <c r="J11" s="24" t="s">
        <v>39</v>
      </c>
      <c r="K11" s="29">
        <v>0.97453400000000001</v>
      </c>
      <c r="L11" s="1"/>
      <c r="M11" s="1"/>
      <c r="N11" s="18"/>
    </row>
    <row r="12" spans="2:14" ht="15" customHeight="1" x14ac:dyDescent="0.25">
      <c r="B12" s="20"/>
      <c r="C12" s="5" t="s">
        <v>110</v>
      </c>
      <c r="D12" s="6" t="s">
        <v>182</v>
      </c>
      <c r="E12" s="11">
        <v>6.1915999999999999E-2</v>
      </c>
      <c r="F12" s="1"/>
      <c r="G12" s="1"/>
      <c r="H12" s="1"/>
      <c r="I12" s="1"/>
      <c r="J12" s="1"/>
      <c r="K12" s="1"/>
      <c r="L12" s="1"/>
      <c r="M12" s="1"/>
      <c r="N12" s="18"/>
    </row>
    <row r="13" spans="2:14" ht="15.75" customHeight="1" x14ac:dyDescent="0.25">
      <c r="B13" s="20"/>
      <c r="C13" s="7" t="s">
        <v>30</v>
      </c>
      <c r="D13" s="8"/>
      <c r="E13" s="12">
        <v>0.97453400000000001</v>
      </c>
      <c r="F13" s="1"/>
      <c r="G13" s="1"/>
      <c r="H13" s="1"/>
      <c r="I13" s="1"/>
      <c r="J13" s="1"/>
      <c r="K13" s="1"/>
      <c r="L13" s="1"/>
      <c r="M13" s="1"/>
      <c r="N13" s="18"/>
    </row>
    <row r="14" spans="2:14" ht="15" customHeight="1" x14ac:dyDescent="0.25">
      <c r="B14" s="20"/>
      <c r="C14" s="5" t="s">
        <v>31</v>
      </c>
      <c r="D14" s="6"/>
      <c r="E14" s="11">
        <v>5.2139999999999999E-3</v>
      </c>
      <c r="F14" s="1"/>
      <c r="G14" s="1"/>
      <c r="H14" s="1"/>
      <c r="I14" s="1"/>
      <c r="J14" s="1"/>
      <c r="K14" s="1"/>
      <c r="L14" s="1"/>
      <c r="M14" s="1"/>
      <c r="N14" s="18"/>
    </row>
    <row r="15" spans="2:14" ht="15.75" customHeight="1" x14ac:dyDescent="0.25">
      <c r="B15" s="20"/>
      <c r="C15" s="7" t="s">
        <v>32</v>
      </c>
      <c r="D15" s="8"/>
      <c r="E15" s="12">
        <v>5.2139999999999999E-3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33</v>
      </c>
      <c r="D17" s="8"/>
      <c r="E17" s="12">
        <v>2.0251999999999999E-2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34</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1.5201235193405433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5E0AF-83E9-4F0C-9238-3FA8A3318A7C}">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118</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119</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104</v>
      </c>
      <c r="D8" s="6" t="s">
        <v>182</v>
      </c>
      <c r="E8" s="11">
        <v>0.74559200000000003</v>
      </c>
      <c r="F8" s="1"/>
      <c r="G8" s="24" t="s">
        <v>8</v>
      </c>
      <c r="H8" s="28">
        <v>1</v>
      </c>
      <c r="I8" s="1"/>
      <c r="J8" s="24" t="s">
        <v>35</v>
      </c>
      <c r="K8" s="24" t="s">
        <v>3</v>
      </c>
      <c r="L8" s="1"/>
      <c r="M8" s="1"/>
      <c r="N8" s="18"/>
    </row>
    <row r="9" spans="2:14" ht="15" customHeight="1" x14ac:dyDescent="0.25">
      <c r="B9" s="20"/>
      <c r="C9" s="5" t="s">
        <v>48</v>
      </c>
      <c r="D9" s="6" t="s">
        <v>182</v>
      </c>
      <c r="E9" s="11">
        <v>0.119868</v>
      </c>
      <c r="F9" s="1"/>
      <c r="G9" s="1"/>
      <c r="H9" s="1"/>
      <c r="I9" s="1"/>
      <c r="J9" s="24" t="s">
        <v>33</v>
      </c>
      <c r="K9" s="29">
        <v>1.3035E-2</v>
      </c>
      <c r="L9" s="1"/>
      <c r="M9" s="1"/>
      <c r="N9" s="18"/>
    </row>
    <row r="10" spans="2:14" ht="15" customHeight="1" x14ac:dyDescent="0.25">
      <c r="B10" s="20"/>
      <c r="C10" s="5" t="s">
        <v>28</v>
      </c>
      <c r="D10" s="6" t="s">
        <v>182</v>
      </c>
      <c r="E10" s="11">
        <v>0.10502300000000001</v>
      </c>
      <c r="F10" s="1"/>
      <c r="G10" s="1"/>
      <c r="H10" s="1"/>
      <c r="I10" s="1"/>
      <c r="J10" s="24" t="s">
        <v>36</v>
      </c>
      <c r="K10" s="29">
        <v>1.6482E-2</v>
      </c>
      <c r="L10" s="1"/>
      <c r="M10" s="1"/>
      <c r="N10" s="18"/>
    </row>
    <row r="11" spans="2:14" ht="15.75" customHeight="1" x14ac:dyDescent="0.25">
      <c r="B11" s="20"/>
      <c r="C11" s="7" t="s">
        <v>30</v>
      </c>
      <c r="D11" s="8"/>
      <c r="E11" s="12">
        <v>0.97048299999999998</v>
      </c>
      <c r="F11" s="1"/>
      <c r="G11" s="1"/>
      <c r="H11" s="1"/>
      <c r="I11" s="1"/>
      <c r="J11" s="24" t="s">
        <v>39</v>
      </c>
      <c r="K11" s="29">
        <v>0.97048299999999998</v>
      </c>
      <c r="L11" s="1"/>
      <c r="M11" s="1"/>
      <c r="N11" s="18"/>
    </row>
    <row r="12" spans="2:14" ht="15" customHeight="1" x14ac:dyDescent="0.25">
      <c r="B12" s="20"/>
      <c r="C12" s="5" t="s">
        <v>31</v>
      </c>
      <c r="D12" s="6"/>
      <c r="E12" s="11">
        <v>1.6482E-2</v>
      </c>
      <c r="F12" s="1"/>
      <c r="G12" s="1"/>
      <c r="H12" s="1"/>
      <c r="I12" s="1"/>
      <c r="J12" s="1"/>
      <c r="K12" s="1"/>
      <c r="L12" s="1"/>
      <c r="M12" s="1"/>
      <c r="N12" s="18"/>
    </row>
    <row r="13" spans="2:14" ht="15.75" customHeight="1" x14ac:dyDescent="0.25">
      <c r="B13" s="20"/>
      <c r="C13" s="7" t="s">
        <v>32</v>
      </c>
      <c r="D13" s="8"/>
      <c r="E13" s="12">
        <v>1.6482E-2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33</v>
      </c>
      <c r="D15" s="8"/>
      <c r="E15" s="12">
        <v>1.3035E-2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34</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2.7053617561308854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FD28-E27C-4ACF-836A-990156E77802}">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111</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112</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113</v>
      </c>
      <c r="D8" s="6" t="s">
        <v>182</v>
      </c>
      <c r="E8" s="11">
        <v>0.59113099999999996</v>
      </c>
      <c r="F8" s="1"/>
      <c r="G8" s="24" t="s">
        <v>8</v>
      </c>
      <c r="H8" s="28">
        <v>1</v>
      </c>
      <c r="I8" s="1"/>
      <c r="J8" s="24" t="s">
        <v>35</v>
      </c>
      <c r="K8" s="24" t="s">
        <v>3</v>
      </c>
      <c r="L8" s="1"/>
      <c r="M8" s="1"/>
      <c r="N8" s="18"/>
    </row>
    <row r="9" spans="2:14" ht="15" customHeight="1" x14ac:dyDescent="0.25">
      <c r="B9" s="20"/>
      <c r="C9" s="5" t="s">
        <v>114</v>
      </c>
      <c r="D9" s="6" t="s">
        <v>182</v>
      </c>
      <c r="E9" s="11">
        <v>0.30438700000000002</v>
      </c>
      <c r="F9" s="1"/>
      <c r="G9" s="1"/>
      <c r="H9" s="1"/>
      <c r="I9" s="1"/>
      <c r="J9" s="24" t="s">
        <v>33</v>
      </c>
      <c r="K9" s="29">
        <v>1.7586999999999998E-2</v>
      </c>
      <c r="L9" s="1"/>
      <c r="M9" s="1"/>
      <c r="N9" s="18"/>
    </row>
    <row r="10" spans="2:14" ht="15" customHeight="1" x14ac:dyDescent="0.25">
      <c r="B10" s="20"/>
      <c r="C10" s="5" t="s">
        <v>104</v>
      </c>
      <c r="D10" s="6" t="s">
        <v>182</v>
      </c>
      <c r="E10" s="11">
        <v>6.719E-2</v>
      </c>
      <c r="F10" s="1"/>
      <c r="G10" s="1"/>
      <c r="H10" s="1"/>
      <c r="I10" s="1"/>
      <c r="J10" s="24" t="s">
        <v>36</v>
      </c>
      <c r="K10" s="29">
        <v>1.9705E-2</v>
      </c>
      <c r="L10" s="1"/>
      <c r="M10" s="1"/>
      <c r="N10" s="18"/>
    </row>
    <row r="11" spans="2:14" ht="15.75" customHeight="1" x14ac:dyDescent="0.25">
      <c r="B11" s="20"/>
      <c r="C11" s="7" t="s">
        <v>30</v>
      </c>
      <c r="D11" s="8"/>
      <c r="E11" s="12">
        <v>0.96270800000000001</v>
      </c>
      <c r="F11" s="1"/>
      <c r="G11" s="1"/>
      <c r="H11" s="1"/>
      <c r="I11" s="1"/>
      <c r="J11" s="24" t="s">
        <v>39</v>
      </c>
      <c r="K11" s="29">
        <v>0.96270800000000001</v>
      </c>
      <c r="L11" s="1"/>
      <c r="M11" s="1"/>
      <c r="N11" s="18"/>
    </row>
    <row r="12" spans="2:14" ht="15" customHeight="1" x14ac:dyDescent="0.25">
      <c r="B12" s="20"/>
      <c r="C12" s="5" t="s">
        <v>31</v>
      </c>
      <c r="D12" s="6"/>
      <c r="E12" s="11">
        <v>1.9705E-2</v>
      </c>
      <c r="F12" s="1"/>
      <c r="G12" s="1"/>
      <c r="H12" s="1"/>
      <c r="I12" s="1"/>
      <c r="J12" s="1"/>
      <c r="K12" s="1"/>
      <c r="L12" s="1"/>
      <c r="M12" s="1"/>
      <c r="N12" s="18"/>
    </row>
    <row r="13" spans="2:14" ht="15.75" customHeight="1" x14ac:dyDescent="0.25">
      <c r="B13" s="20"/>
      <c r="C13" s="7" t="s">
        <v>32</v>
      </c>
      <c r="D13" s="8"/>
      <c r="E13" s="12">
        <v>1.9705E-2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33</v>
      </c>
      <c r="D15" s="8"/>
      <c r="E15" s="12">
        <v>1.7586999999999998E-2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34</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3.15934975135329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A4D77-B385-4398-B21F-AA022C69D145}">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115</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116</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27</v>
      </c>
      <c r="D8" s="6" t="s">
        <v>182</v>
      </c>
      <c r="E8" s="11">
        <v>0.78488100000000005</v>
      </c>
      <c r="F8" s="1"/>
      <c r="G8" s="24" t="s">
        <v>8</v>
      </c>
      <c r="H8" s="28">
        <v>1</v>
      </c>
      <c r="I8" s="1"/>
      <c r="J8" s="24" t="s">
        <v>35</v>
      </c>
      <c r="K8" s="24" t="s">
        <v>3</v>
      </c>
      <c r="L8" s="1"/>
      <c r="M8" s="1"/>
      <c r="N8" s="18"/>
    </row>
    <row r="9" spans="2:14" ht="15" customHeight="1" x14ac:dyDescent="0.25">
      <c r="B9" s="20"/>
      <c r="C9" s="5" t="s">
        <v>98</v>
      </c>
      <c r="D9" s="6" t="s">
        <v>182</v>
      </c>
      <c r="E9" s="11">
        <v>0.20349800000000001</v>
      </c>
      <c r="F9" s="1"/>
      <c r="G9" s="1"/>
      <c r="H9" s="1"/>
      <c r="I9" s="1"/>
      <c r="J9" s="24" t="s">
        <v>33</v>
      </c>
      <c r="K9" s="29">
        <v>7.9749999999999995E-3</v>
      </c>
      <c r="L9" s="1"/>
      <c r="M9" s="1"/>
      <c r="N9" s="18"/>
    </row>
    <row r="10" spans="2:14" ht="15.75" customHeight="1" x14ac:dyDescent="0.25">
      <c r="B10" s="20"/>
      <c r="C10" s="7" t="s">
        <v>30</v>
      </c>
      <c r="D10" s="8"/>
      <c r="E10" s="12">
        <v>0.98837900000000001</v>
      </c>
      <c r="F10" s="1"/>
      <c r="G10" s="1"/>
      <c r="H10" s="1"/>
      <c r="I10" s="1"/>
      <c r="J10" s="24" t="s">
        <v>36</v>
      </c>
      <c r="K10" s="29">
        <v>3.6459999999999999E-3</v>
      </c>
      <c r="L10" s="1"/>
      <c r="M10" s="1"/>
      <c r="N10" s="18"/>
    </row>
    <row r="11" spans="2:14" ht="15" customHeight="1" x14ac:dyDescent="0.25">
      <c r="B11" s="20"/>
      <c r="C11" s="5" t="s">
        <v>31</v>
      </c>
      <c r="D11" s="6"/>
      <c r="E11" s="11">
        <v>3.6459999999999999E-3</v>
      </c>
      <c r="F11" s="1"/>
      <c r="G11" s="1"/>
      <c r="H11" s="1"/>
      <c r="I11" s="1"/>
      <c r="J11" s="24" t="s">
        <v>39</v>
      </c>
      <c r="K11" s="29">
        <v>0.98837900000000001</v>
      </c>
      <c r="L11" s="1"/>
      <c r="M11" s="1"/>
      <c r="N11" s="18"/>
    </row>
    <row r="12" spans="2:14" ht="15.75" customHeight="1" x14ac:dyDescent="0.25">
      <c r="B12" s="20"/>
      <c r="C12" s="7" t="s">
        <v>32</v>
      </c>
      <c r="D12" s="8"/>
      <c r="E12" s="12">
        <v>3.6459999999999999E-3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33</v>
      </c>
      <c r="D14" s="8"/>
      <c r="E14" s="12">
        <v>7.9749999999999995E-3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34</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25">
        <v>7.251708254283213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1" t="s">
        <v>294</v>
      </c>
      <c r="C45" s="82"/>
      <c r="D45" s="82"/>
      <c r="E45" s="82"/>
      <c r="F45" s="82"/>
      <c r="G45" s="82"/>
      <c r="H45" s="82"/>
      <c r="I45" s="82"/>
      <c r="J45" s="82"/>
      <c r="K45" s="82"/>
      <c r="L45" s="82"/>
      <c r="M45" s="82"/>
      <c r="N45" s="83"/>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6A59-651B-4203-8A72-7FA9D14EC99A}">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99</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100</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101</v>
      </c>
      <c r="D8" s="6" t="s">
        <v>182</v>
      </c>
      <c r="E8" s="11">
        <v>0.127058</v>
      </c>
      <c r="F8" s="1"/>
      <c r="G8" s="24" t="s">
        <v>8</v>
      </c>
      <c r="H8" s="28">
        <v>1</v>
      </c>
      <c r="I8" s="1"/>
      <c r="J8" s="24" t="s">
        <v>35</v>
      </c>
      <c r="K8" s="24" t="s">
        <v>3</v>
      </c>
      <c r="L8" s="1"/>
      <c r="M8" s="1"/>
      <c r="N8" s="18"/>
    </row>
    <row r="9" spans="2:14" ht="15.75" customHeight="1" x14ac:dyDescent="0.25">
      <c r="B9" s="20"/>
      <c r="C9" s="7" t="s">
        <v>30</v>
      </c>
      <c r="D9" s="8"/>
      <c r="E9" s="12">
        <v>0.127058</v>
      </c>
      <c r="F9" s="1"/>
      <c r="G9" s="1"/>
      <c r="H9" s="1"/>
      <c r="I9" s="1"/>
      <c r="J9" s="24" t="s">
        <v>33</v>
      </c>
      <c r="K9" s="29">
        <v>1.6611999999999998E-2</v>
      </c>
      <c r="L9" s="1"/>
      <c r="M9" s="1"/>
      <c r="N9" s="18"/>
    </row>
    <row r="10" spans="2:14" ht="15" customHeight="1" x14ac:dyDescent="0.25">
      <c r="B10" s="20"/>
      <c r="C10" s="5" t="s">
        <v>242</v>
      </c>
      <c r="D10" s="6" t="s">
        <v>182</v>
      </c>
      <c r="E10" s="11">
        <v>0.153084</v>
      </c>
      <c r="F10" s="1"/>
      <c r="G10" s="1"/>
      <c r="H10" s="1"/>
      <c r="I10" s="1"/>
      <c r="J10" s="24" t="s">
        <v>36</v>
      </c>
      <c r="K10" s="29">
        <v>2.9321E-2</v>
      </c>
      <c r="L10" s="1"/>
      <c r="M10" s="1"/>
      <c r="N10" s="18"/>
    </row>
    <row r="11" spans="2:14" ht="15.75" customHeight="1" x14ac:dyDescent="0.25">
      <c r="B11" s="20"/>
      <c r="C11" s="5" t="s">
        <v>237</v>
      </c>
      <c r="D11" s="6" t="s">
        <v>182</v>
      </c>
      <c r="E11" s="11">
        <v>0.128022</v>
      </c>
      <c r="F11" s="1"/>
      <c r="G11" s="1"/>
      <c r="H11" s="1"/>
      <c r="I11" s="1"/>
      <c r="J11" s="24" t="s">
        <v>39</v>
      </c>
      <c r="K11" s="29">
        <v>0.127058</v>
      </c>
      <c r="L11" s="1"/>
      <c r="M11" s="1"/>
      <c r="N11" s="18"/>
    </row>
    <row r="12" spans="2:14" ht="15" customHeight="1" x14ac:dyDescent="0.25">
      <c r="B12" s="20"/>
      <c r="C12" s="5" t="s">
        <v>239</v>
      </c>
      <c r="D12" s="6" t="s">
        <v>182</v>
      </c>
      <c r="E12" s="11">
        <v>8.7202000000000002E-2</v>
      </c>
      <c r="F12" s="1"/>
      <c r="G12" s="1"/>
      <c r="H12" s="1"/>
      <c r="I12" s="1"/>
      <c r="J12" s="24" t="s">
        <v>50</v>
      </c>
      <c r="K12" s="29">
        <v>0.82700899999999999</v>
      </c>
      <c r="L12" s="1"/>
      <c r="M12" s="1"/>
      <c r="N12" s="18"/>
    </row>
    <row r="13" spans="2:14" ht="15.75" customHeight="1" x14ac:dyDescent="0.25">
      <c r="B13" s="20"/>
      <c r="C13" s="5" t="s">
        <v>245</v>
      </c>
      <c r="D13" s="6" t="s">
        <v>182</v>
      </c>
      <c r="E13" s="11">
        <v>5.3455999999999997E-2</v>
      </c>
      <c r="F13" s="1"/>
      <c r="G13" s="1"/>
      <c r="H13" s="1"/>
      <c r="I13" s="1"/>
      <c r="J13" s="1"/>
      <c r="K13" s="1"/>
      <c r="L13" s="1"/>
      <c r="M13" s="1"/>
      <c r="N13" s="18"/>
    </row>
    <row r="14" spans="2:14" ht="15" customHeight="1" x14ac:dyDescent="0.25">
      <c r="B14" s="20"/>
      <c r="C14" s="5" t="s">
        <v>250</v>
      </c>
      <c r="D14" s="6" t="s">
        <v>182</v>
      </c>
      <c r="E14" s="11">
        <v>4.3700999999999997E-2</v>
      </c>
      <c r="F14" s="1"/>
      <c r="G14" s="1"/>
      <c r="H14" s="1"/>
      <c r="I14" s="1"/>
      <c r="J14" s="1"/>
      <c r="K14" s="1"/>
      <c r="L14" s="1"/>
      <c r="M14" s="1"/>
      <c r="N14" s="18"/>
    </row>
    <row r="15" spans="2:14" ht="15.75" customHeight="1" x14ac:dyDescent="0.25">
      <c r="B15" s="20"/>
      <c r="C15" s="5" t="s">
        <v>235</v>
      </c>
      <c r="D15" s="6" t="s">
        <v>182</v>
      </c>
      <c r="E15" s="11">
        <v>4.3443000000000002E-2</v>
      </c>
      <c r="F15" s="1"/>
      <c r="G15" s="1"/>
      <c r="H15" s="1"/>
      <c r="I15" s="1"/>
      <c r="J15" s="1"/>
      <c r="K15" s="1"/>
      <c r="L15" s="1"/>
      <c r="M15" s="1"/>
      <c r="N15" s="18"/>
    </row>
    <row r="16" spans="2:14" ht="15" customHeight="1" x14ac:dyDescent="0.25">
      <c r="B16" s="20"/>
      <c r="C16" s="5" t="s">
        <v>240</v>
      </c>
      <c r="D16" s="6" t="s">
        <v>182</v>
      </c>
      <c r="E16" s="11">
        <v>4.3396999999999998E-2</v>
      </c>
      <c r="F16" s="1"/>
      <c r="G16" s="1"/>
      <c r="H16" s="1"/>
      <c r="I16" s="1"/>
      <c r="J16" s="1"/>
      <c r="K16" s="1"/>
      <c r="L16" s="1"/>
      <c r="M16" s="1"/>
      <c r="N16" s="18"/>
    </row>
    <row r="17" spans="2:14" ht="15" customHeight="1" x14ac:dyDescent="0.25">
      <c r="B17" s="20"/>
      <c r="C17" s="5" t="s">
        <v>234</v>
      </c>
      <c r="D17" s="6" t="s">
        <v>182</v>
      </c>
      <c r="E17" s="11">
        <v>4.3291000000000003E-2</v>
      </c>
      <c r="F17" s="1"/>
      <c r="G17" s="1"/>
      <c r="H17" s="1"/>
      <c r="I17" s="1"/>
      <c r="J17" s="1"/>
      <c r="K17" s="1"/>
      <c r="L17" s="1"/>
      <c r="M17" s="1"/>
      <c r="N17" s="18"/>
    </row>
    <row r="18" spans="2:14" ht="15" customHeight="1" x14ac:dyDescent="0.25">
      <c r="B18" s="20"/>
      <c r="C18" s="5" t="s">
        <v>241</v>
      </c>
      <c r="D18" s="6" t="s">
        <v>182</v>
      </c>
      <c r="E18" s="11">
        <v>3.5449000000000001E-2</v>
      </c>
      <c r="F18" s="1"/>
      <c r="G18" s="1"/>
      <c r="H18" s="1"/>
      <c r="I18" s="1"/>
      <c r="J18" s="1"/>
      <c r="K18" s="1"/>
      <c r="L18" s="1"/>
      <c r="M18" s="1"/>
      <c r="N18" s="18"/>
    </row>
    <row r="19" spans="2:14" ht="15" customHeight="1" x14ac:dyDescent="0.25">
      <c r="B19" s="20"/>
      <c r="C19" s="5" t="s">
        <v>246</v>
      </c>
      <c r="D19" s="6" t="s">
        <v>182</v>
      </c>
      <c r="E19" s="11">
        <v>3.5160999999999998E-2</v>
      </c>
      <c r="F19" s="1"/>
      <c r="G19" s="1"/>
      <c r="H19" s="1"/>
      <c r="I19" s="1"/>
      <c r="J19" s="1"/>
      <c r="K19" s="1"/>
      <c r="L19" s="1"/>
      <c r="M19" s="1"/>
      <c r="N19" s="18"/>
    </row>
    <row r="20" spans="2:14" ht="15" customHeight="1" x14ac:dyDescent="0.25">
      <c r="B20" s="20"/>
      <c r="C20" s="5" t="s">
        <v>243</v>
      </c>
      <c r="D20" s="6" t="s">
        <v>182</v>
      </c>
      <c r="E20" s="11">
        <v>3.4965999999999997E-2</v>
      </c>
      <c r="F20" s="1"/>
      <c r="G20" s="1"/>
      <c r="H20" s="1"/>
      <c r="I20" s="1"/>
      <c r="J20" s="1"/>
      <c r="K20" s="1"/>
      <c r="L20" s="1"/>
      <c r="M20" s="1"/>
      <c r="N20" s="18"/>
    </row>
    <row r="21" spans="2:14" ht="15" customHeight="1" x14ac:dyDescent="0.25">
      <c r="B21" s="20"/>
      <c r="C21" s="5" t="s">
        <v>208</v>
      </c>
      <c r="D21" s="6" t="s">
        <v>182</v>
      </c>
      <c r="E21" s="11">
        <v>3.0523000000000002E-2</v>
      </c>
      <c r="F21" s="1"/>
      <c r="G21" s="1"/>
      <c r="H21" s="1"/>
      <c r="I21" s="1"/>
      <c r="J21" s="1"/>
      <c r="K21" s="1"/>
      <c r="L21" s="1"/>
      <c r="M21" s="1"/>
      <c r="N21" s="18"/>
    </row>
    <row r="22" spans="2:14" ht="15" customHeight="1" x14ac:dyDescent="0.25">
      <c r="B22" s="20"/>
      <c r="C22" s="5" t="s">
        <v>244</v>
      </c>
      <c r="D22" s="6" t="s">
        <v>182</v>
      </c>
      <c r="E22" s="11">
        <v>2.9817E-2</v>
      </c>
      <c r="F22" s="1"/>
      <c r="G22" s="1"/>
      <c r="H22" s="1"/>
      <c r="I22" s="1"/>
      <c r="J22" s="1"/>
      <c r="K22" s="1"/>
      <c r="L22" s="1"/>
      <c r="M22" s="1"/>
      <c r="N22" s="18"/>
    </row>
    <row r="23" spans="2:14" ht="15" customHeight="1" x14ac:dyDescent="0.25">
      <c r="B23" s="20"/>
      <c r="C23" s="5" t="s">
        <v>233</v>
      </c>
      <c r="D23" s="6" t="s">
        <v>182</v>
      </c>
      <c r="E23" s="11">
        <v>2.1423999999999999E-2</v>
      </c>
      <c r="F23" s="1"/>
      <c r="G23" s="1"/>
      <c r="H23" s="1"/>
      <c r="I23" s="1"/>
      <c r="J23" s="1"/>
      <c r="K23" s="1"/>
      <c r="L23" s="1"/>
      <c r="M23" s="1"/>
      <c r="N23" s="18"/>
    </row>
    <row r="24" spans="2:14" ht="15" customHeight="1" x14ac:dyDescent="0.25">
      <c r="B24" s="20"/>
      <c r="C24" s="5" t="s">
        <v>248</v>
      </c>
      <c r="D24" s="6" t="s">
        <v>182</v>
      </c>
      <c r="E24" s="11">
        <v>1.736E-2</v>
      </c>
      <c r="F24" s="1"/>
      <c r="G24" s="89" t="s">
        <v>5</v>
      </c>
      <c r="H24" s="90"/>
      <c r="I24" s="90"/>
      <c r="J24" s="90"/>
      <c r="K24" s="90"/>
      <c r="L24" s="25">
        <v>2.0260574410223287</v>
      </c>
      <c r="M24" s="26"/>
      <c r="N24" s="27"/>
    </row>
    <row r="25" spans="2:14" ht="15" customHeight="1" x14ac:dyDescent="0.25">
      <c r="B25" s="20"/>
      <c r="C25" s="5" t="s">
        <v>247</v>
      </c>
      <c r="D25" s="6" t="s">
        <v>182</v>
      </c>
      <c r="E25" s="11">
        <v>8.6820000000000005E-3</v>
      </c>
      <c r="F25" s="1"/>
      <c r="G25" s="1"/>
      <c r="H25" s="1"/>
      <c r="I25" s="1"/>
      <c r="J25" s="1"/>
      <c r="K25" s="1"/>
      <c r="L25" s="1"/>
      <c r="M25" s="1"/>
      <c r="N25" s="18"/>
    </row>
    <row r="26" spans="2:14" ht="15" customHeight="1" x14ac:dyDescent="0.25">
      <c r="B26" s="20"/>
      <c r="C26" s="5" t="s">
        <v>249</v>
      </c>
      <c r="D26" s="6" t="s">
        <v>182</v>
      </c>
      <c r="E26" s="11">
        <v>8.6759999999999997E-3</v>
      </c>
      <c r="F26" s="1"/>
      <c r="G26" s="89" t="s">
        <v>6</v>
      </c>
      <c r="H26" s="90"/>
      <c r="I26" s="90"/>
      <c r="J26" s="90"/>
      <c r="K26" s="90"/>
      <c r="L26" s="90"/>
      <c r="M26" s="90"/>
      <c r="N26" s="91"/>
    </row>
    <row r="27" spans="2:14" ht="15" customHeight="1" x14ac:dyDescent="0.25">
      <c r="B27" s="20"/>
      <c r="C27" s="5" t="s">
        <v>238</v>
      </c>
      <c r="D27" s="6" t="s">
        <v>182</v>
      </c>
      <c r="E27" s="11">
        <v>5.045E-3</v>
      </c>
      <c r="F27" s="1"/>
      <c r="G27" s="1"/>
      <c r="H27" s="1"/>
      <c r="I27" s="1"/>
      <c r="J27" s="1"/>
      <c r="K27" s="1"/>
      <c r="L27" s="1"/>
      <c r="M27" s="1"/>
      <c r="N27" s="18"/>
    </row>
    <row r="28" spans="2:14" ht="15" customHeight="1" x14ac:dyDescent="0.25">
      <c r="B28" s="20"/>
      <c r="C28" s="5" t="s">
        <v>236</v>
      </c>
      <c r="D28" s="6" t="s">
        <v>182</v>
      </c>
      <c r="E28" s="11">
        <v>4.3099999999999996E-3</v>
      </c>
      <c r="F28" s="1"/>
      <c r="G28" s="1"/>
      <c r="H28" s="1"/>
      <c r="I28" s="1"/>
      <c r="J28" s="1"/>
      <c r="K28" s="1"/>
      <c r="L28" s="1"/>
      <c r="M28" s="1"/>
      <c r="N28" s="18"/>
    </row>
    <row r="29" spans="2:14" ht="15" customHeight="1" x14ac:dyDescent="0.25">
      <c r="B29" s="20"/>
      <c r="C29" s="7" t="s">
        <v>49</v>
      </c>
      <c r="D29" s="8"/>
      <c r="E29" s="12">
        <v>0.82700899999999999</v>
      </c>
      <c r="F29" s="1"/>
      <c r="G29" s="1"/>
      <c r="H29" s="1"/>
      <c r="I29" s="1"/>
      <c r="J29" s="1"/>
      <c r="K29" s="1"/>
      <c r="L29" s="1"/>
      <c r="M29" s="1"/>
      <c r="N29" s="18"/>
    </row>
    <row r="30" spans="2:14" ht="15" customHeight="1" x14ac:dyDescent="0.25">
      <c r="B30" s="20"/>
      <c r="C30" s="5" t="s">
        <v>31</v>
      </c>
      <c r="D30" s="6"/>
      <c r="E30" s="11">
        <v>2.9321E-2</v>
      </c>
      <c r="F30" s="1"/>
      <c r="G30" s="1"/>
      <c r="H30" s="1"/>
      <c r="I30" s="1"/>
      <c r="J30" s="1"/>
      <c r="K30" s="1"/>
      <c r="L30" s="1"/>
      <c r="M30" s="1"/>
      <c r="N30" s="18"/>
    </row>
    <row r="31" spans="2:14" ht="15" customHeight="1" x14ac:dyDescent="0.25">
      <c r="B31" s="20"/>
      <c r="C31" s="7" t="s">
        <v>32</v>
      </c>
      <c r="D31" s="8"/>
      <c r="E31" s="12">
        <v>2.9321E-2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33</v>
      </c>
      <c r="D33" s="8"/>
      <c r="E33" s="12">
        <v>1.6611999999999998E-2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34</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81" t="s">
        <v>294</v>
      </c>
      <c r="C45" s="82"/>
      <c r="D45" s="82"/>
      <c r="E45" s="82"/>
      <c r="F45" s="82"/>
      <c r="G45" s="82"/>
      <c r="H45" s="82"/>
      <c r="I45" s="82"/>
      <c r="J45" s="82"/>
      <c r="K45" s="82"/>
      <c r="L45" s="82"/>
      <c r="M45" s="82"/>
      <c r="N45" s="83"/>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0A77-65DB-45E7-8BAB-FAFE7A657563}">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102</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103</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104</v>
      </c>
      <c r="D8" s="6" t="s">
        <v>182</v>
      </c>
      <c r="E8" s="11">
        <v>0.17194200000000001</v>
      </c>
      <c r="F8" s="1"/>
      <c r="G8" s="24" t="s">
        <v>8</v>
      </c>
      <c r="H8" s="28">
        <v>1</v>
      </c>
      <c r="I8" s="1"/>
      <c r="J8" s="24" t="s">
        <v>35</v>
      </c>
      <c r="K8" s="24" t="s">
        <v>3</v>
      </c>
      <c r="L8" s="1"/>
      <c r="M8" s="1"/>
      <c r="N8" s="18"/>
    </row>
    <row r="9" spans="2:14" ht="15.75" customHeight="1" x14ac:dyDescent="0.25">
      <c r="B9" s="20"/>
      <c r="C9" s="7" t="s">
        <v>30</v>
      </c>
      <c r="D9" s="8"/>
      <c r="E9" s="12">
        <v>0.17194200000000001</v>
      </c>
      <c r="F9" s="1"/>
      <c r="G9" s="1"/>
      <c r="H9" s="1"/>
      <c r="I9" s="1"/>
      <c r="J9" s="24" t="s">
        <v>33</v>
      </c>
      <c r="K9" s="29">
        <v>1.1743E-2</v>
      </c>
      <c r="L9" s="1"/>
      <c r="M9" s="1"/>
      <c r="N9" s="18"/>
    </row>
    <row r="10" spans="2:14" ht="15" customHeight="1" x14ac:dyDescent="0.25">
      <c r="B10" s="20"/>
      <c r="C10" s="5" t="s">
        <v>254</v>
      </c>
      <c r="D10" s="6" t="s">
        <v>182</v>
      </c>
      <c r="E10" s="11">
        <v>0.17499000000000001</v>
      </c>
      <c r="F10" s="1"/>
      <c r="G10" s="1"/>
      <c r="H10" s="1"/>
      <c r="I10" s="1"/>
      <c r="J10" s="24" t="s">
        <v>36</v>
      </c>
      <c r="K10" s="29">
        <v>1.397E-2</v>
      </c>
      <c r="L10" s="1"/>
      <c r="M10" s="1"/>
      <c r="N10" s="18"/>
    </row>
    <row r="11" spans="2:14" ht="15.75" customHeight="1" x14ac:dyDescent="0.25">
      <c r="B11" s="20"/>
      <c r="C11" s="5" t="s">
        <v>228</v>
      </c>
      <c r="D11" s="6" t="s">
        <v>182</v>
      </c>
      <c r="E11" s="11">
        <v>0.15288599999999999</v>
      </c>
      <c r="F11" s="1"/>
      <c r="G11" s="1"/>
      <c r="H11" s="1"/>
      <c r="I11" s="1"/>
      <c r="J11" s="24" t="s">
        <v>39</v>
      </c>
      <c r="K11" s="29">
        <v>0.17194200000000001</v>
      </c>
      <c r="L11" s="1"/>
      <c r="M11" s="1"/>
      <c r="N11" s="18"/>
    </row>
    <row r="12" spans="2:14" ht="15" customHeight="1" x14ac:dyDescent="0.25">
      <c r="B12" s="20"/>
      <c r="C12" s="5" t="s">
        <v>252</v>
      </c>
      <c r="D12" s="6" t="s">
        <v>182</v>
      </c>
      <c r="E12" s="11">
        <v>0.13226599999999999</v>
      </c>
      <c r="F12" s="1"/>
      <c r="G12" s="1"/>
      <c r="H12" s="1"/>
      <c r="I12" s="1"/>
      <c r="J12" s="24" t="s">
        <v>50</v>
      </c>
      <c r="K12" s="29">
        <v>0.80234499999999997</v>
      </c>
      <c r="L12" s="1"/>
      <c r="M12" s="1"/>
      <c r="N12" s="18"/>
    </row>
    <row r="13" spans="2:14" ht="15.75" customHeight="1" x14ac:dyDescent="0.25">
      <c r="B13" s="20"/>
      <c r="C13" s="5" t="s">
        <v>260</v>
      </c>
      <c r="D13" s="6" t="s">
        <v>182</v>
      </c>
      <c r="E13" s="11">
        <v>0.120495</v>
      </c>
      <c r="F13" s="1"/>
      <c r="G13" s="1"/>
      <c r="H13" s="1"/>
      <c r="I13" s="1"/>
      <c r="J13" s="1"/>
      <c r="K13" s="1"/>
      <c r="L13" s="1"/>
      <c r="M13" s="1"/>
      <c r="N13" s="18"/>
    </row>
    <row r="14" spans="2:14" ht="15" customHeight="1" x14ac:dyDescent="0.25">
      <c r="B14" s="20"/>
      <c r="C14" s="5" t="s">
        <v>257</v>
      </c>
      <c r="D14" s="6" t="s">
        <v>182</v>
      </c>
      <c r="E14" s="11">
        <v>6.0184000000000001E-2</v>
      </c>
      <c r="F14" s="1"/>
      <c r="G14" s="1"/>
      <c r="H14" s="1"/>
      <c r="I14" s="1"/>
      <c r="J14" s="1"/>
      <c r="K14" s="1"/>
      <c r="L14" s="1"/>
      <c r="M14" s="1"/>
      <c r="N14" s="18"/>
    </row>
    <row r="15" spans="2:14" ht="15.75" customHeight="1" x14ac:dyDescent="0.25">
      <c r="B15" s="20"/>
      <c r="C15" s="5" t="s">
        <v>255</v>
      </c>
      <c r="D15" s="6" t="s">
        <v>182</v>
      </c>
      <c r="E15" s="11">
        <v>5.8533000000000002E-2</v>
      </c>
      <c r="F15" s="1"/>
      <c r="G15" s="1"/>
      <c r="H15" s="1"/>
      <c r="I15" s="1"/>
      <c r="J15" s="1"/>
      <c r="K15" s="1"/>
      <c r="L15" s="1"/>
      <c r="M15" s="1"/>
      <c r="N15" s="18"/>
    </row>
    <row r="16" spans="2:14" ht="15" customHeight="1" x14ac:dyDescent="0.25">
      <c r="B16" s="20"/>
      <c r="C16" s="5" t="s">
        <v>256</v>
      </c>
      <c r="D16" s="6" t="s">
        <v>182</v>
      </c>
      <c r="E16" s="11">
        <v>3.6123000000000002E-2</v>
      </c>
      <c r="F16" s="1"/>
      <c r="G16" s="1"/>
      <c r="H16" s="1"/>
      <c r="I16" s="1"/>
      <c r="J16" s="1"/>
      <c r="K16" s="1"/>
      <c r="L16" s="1"/>
      <c r="M16" s="1"/>
      <c r="N16" s="18"/>
    </row>
    <row r="17" spans="2:14" ht="15" customHeight="1" x14ac:dyDescent="0.25">
      <c r="B17" s="20"/>
      <c r="C17" s="5" t="s">
        <v>259</v>
      </c>
      <c r="D17" s="6" t="s">
        <v>182</v>
      </c>
      <c r="E17" s="11">
        <v>3.0071000000000001E-2</v>
      </c>
      <c r="F17" s="1"/>
      <c r="G17" s="1"/>
      <c r="H17" s="1"/>
      <c r="I17" s="1"/>
      <c r="J17" s="1"/>
      <c r="K17" s="1"/>
      <c r="L17" s="1"/>
      <c r="M17" s="1"/>
      <c r="N17" s="18"/>
    </row>
    <row r="18" spans="2:14" ht="15" customHeight="1" x14ac:dyDescent="0.25">
      <c r="B18" s="20"/>
      <c r="C18" s="5" t="s">
        <v>258</v>
      </c>
      <c r="D18" s="6" t="s">
        <v>182</v>
      </c>
      <c r="E18" s="11">
        <v>2.7085000000000001E-2</v>
      </c>
      <c r="F18" s="1"/>
      <c r="G18" s="1"/>
      <c r="H18" s="1"/>
      <c r="I18" s="1"/>
      <c r="J18" s="1"/>
      <c r="K18" s="1"/>
      <c r="L18" s="1"/>
      <c r="M18" s="1"/>
      <c r="N18" s="18"/>
    </row>
    <row r="19" spans="2:14" ht="15" customHeight="1" x14ac:dyDescent="0.25">
      <c r="B19" s="20"/>
      <c r="C19" s="5" t="s">
        <v>251</v>
      </c>
      <c r="D19" s="6" t="s">
        <v>182</v>
      </c>
      <c r="E19" s="11">
        <v>6.0530000000000002E-3</v>
      </c>
      <c r="F19" s="1"/>
      <c r="G19" s="1"/>
      <c r="H19" s="1"/>
      <c r="I19" s="1"/>
      <c r="J19" s="1"/>
      <c r="K19" s="1"/>
      <c r="L19" s="1"/>
      <c r="M19" s="1"/>
      <c r="N19" s="18"/>
    </row>
    <row r="20" spans="2:14" ht="15" customHeight="1" x14ac:dyDescent="0.25">
      <c r="B20" s="20"/>
      <c r="C20" s="5" t="s">
        <v>253</v>
      </c>
      <c r="D20" s="6" t="s">
        <v>182</v>
      </c>
      <c r="E20" s="11">
        <v>3.6589999999999999E-3</v>
      </c>
      <c r="F20" s="1"/>
      <c r="G20" s="1"/>
      <c r="H20" s="1"/>
      <c r="I20" s="1"/>
      <c r="J20" s="1"/>
      <c r="K20" s="1"/>
      <c r="L20" s="1"/>
      <c r="M20" s="1"/>
      <c r="N20" s="18"/>
    </row>
    <row r="21" spans="2:14" ht="15" customHeight="1" x14ac:dyDescent="0.25">
      <c r="B21" s="20"/>
      <c r="C21" s="7" t="s">
        <v>49</v>
      </c>
      <c r="D21" s="8"/>
      <c r="E21" s="12">
        <v>0.80234499999999997</v>
      </c>
      <c r="F21" s="1"/>
      <c r="G21" s="1"/>
      <c r="H21" s="1"/>
      <c r="I21" s="1"/>
      <c r="J21" s="1"/>
      <c r="K21" s="1"/>
      <c r="L21" s="1"/>
      <c r="M21" s="1"/>
      <c r="N21" s="18"/>
    </row>
    <row r="22" spans="2:14" ht="15" customHeight="1" x14ac:dyDescent="0.25">
      <c r="B22" s="20"/>
      <c r="C22" s="5" t="s">
        <v>31</v>
      </c>
      <c r="D22" s="6"/>
      <c r="E22" s="11">
        <v>1.397E-2</v>
      </c>
      <c r="F22" s="1"/>
      <c r="G22" s="1"/>
      <c r="H22" s="1"/>
      <c r="I22" s="1"/>
      <c r="J22" s="1"/>
      <c r="K22" s="1"/>
      <c r="L22" s="1"/>
      <c r="M22" s="1"/>
      <c r="N22" s="18"/>
    </row>
    <row r="23" spans="2:14" ht="15" customHeight="1" x14ac:dyDescent="0.25">
      <c r="B23" s="20"/>
      <c r="C23" s="7" t="s">
        <v>32</v>
      </c>
      <c r="D23" s="8"/>
      <c r="E23" s="12">
        <v>1.397E-2</v>
      </c>
      <c r="F23" s="1"/>
      <c r="G23" s="1"/>
      <c r="H23" s="1"/>
      <c r="I23" s="1"/>
      <c r="J23" s="1"/>
      <c r="K23" s="1"/>
      <c r="L23" s="1"/>
      <c r="M23" s="1"/>
      <c r="N23" s="18"/>
    </row>
    <row r="24" spans="2:14" ht="15" customHeight="1" x14ac:dyDescent="0.25">
      <c r="B24" s="20"/>
      <c r="C24" s="5"/>
      <c r="D24" s="6"/>
      <c r="E24" s="11"/>
      <c r="F24" s="1"/>
      <c r="G24" s="89" t="s">
        <v>5</v>
      </c>
      <c r="H24" s="90"/>
      <c r="I24" s="90"/>
      <c r="J24" s="90"/>
      <c r="K24" s="90"/>
      <c r="L24" s="25">
        <v>2.8823367045855264</v>
      </c>
      <c r="M24" s="26"/>
      <c r="N24" s="27"/>
    </row>
    <row r="25" spans="2:14" ht="15" customHeight="1" x14ac:dyDescent="0.25">
      <c r="B25" s="20"/>
      <c r="C25" s="7" t="s">
        <v>33</v>
      </c>
      <c r="D25" s="8"/>
      <c r="E25" s="12">
        <v>1.1743E-2</v>
      </c>
      <c r="F25" s="1"/>
      <c r="G25" s="1"/>
      <c r="H25" s="1"/>
      <c r="I25" s="1"/>
      <c r="J25" s="1"/>
      <c r="K25" s="1"/>
      <c r="L25" s="1"/>
      <c r="M25" s="1"/>
      <c r="N25" s="18"/>
    </row>
    <row r="26" spans="2:14" ht="15" customHeight="1" x14ac:dyDescent="0.25">
      <c r="B26" s="20"/>
      <c r="C26" s="5"/>
      <c r="D26" s="6"/>
      <c r="E26" s="11"/>
      <c r="F26" s="1"/>
      <c r="G26" s="89" t="s">
        <v>6</v>
      </c>
      <c r="H26" s="90"/>
      <c r="I26" s="90"/>
      <c r="J26" s="90"/>
      <c r="K26" s="90"/>
      <c r="L26" s="90"/>
      <c r="M26" s="90"/>
      <c r="N26" s="91"/>
    </row>
    <row r="27" spans="2:14" ht="15" customHeight="1" x14ac:dyDescent="0.25">
      <c r="B27" s="20"/>
      <c r="C27" s="9" t="s">
        <v>34</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81" t="s">
        <v>294</v>
      </c>
      <c r="C45" s="82"/>
      <c r="D45" s="82"/>
      <c r="E45" s="82"/>
      <c r="F45" s="82"/>
      <c r="G45" s="82"/>
      <c r="H45" s="82"/>
      <c r="I45" s="82"/>
      <c r="J45" s="82"/>
      <c r="K45" s="82"/>
      <c r="L45" s="82"/>
      <c r="M45" s="82"/>
      <c r="N45" s="83"/>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E10D-3FE6-442C-82A7-80CC994CFD96}">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96</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97</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27</v>
      </c>
      <c r="D8" s="6" t="s">
        <v>182</v>
      </c>
      <c r="E8" s="11">
        <v>0.131052</v>
      </c>
      <c r="F8" s="1"/>
      <c r="G8" s="24" t="s">
        <v>8</v>
      </c>
      <c r="H8" s="28">
        <v>1</v>
      </c>
      <c r="I8" s="1"/>
      <c r="J8" s="24" t="s">
        <v>35</v>
      </c>
      <c r="K8" s="24" t="s">
        <v>3</v>
      </c>
      <c r="L8" s="1"/>
      <c r="M8" s="1"/>
      <c r="N8" s="18"/>
    </row>
    <row r="9" spans="2:14" ht="15" customHeight="1" x14ac:dyDescent="0.25">
      <c r="B9" s="20"/>
      <c r="C9" s="5" t="s">
        <v>98</v>
      </c>
      <c r="D9" s="6" t="s">
        <v>182</v>
      </c>
      <c r="E9" s="11">
        <v>1.2945E-2</v>
      </c>
      <c r="F9" s="1"/>
      <c r="G9" s="1"/>
      <c r="H9" s="1"/>
      <c r="I9" s="1"/>
      <c r="J9" s="24" t="s">
        <v>33</v>
      </c>
      <c r="K9" s="29">
        <v>2.3654000000000001E-2</v>
      </c>
      <c r="L9" s="1"/>
      <c r="M9" s="1"/>
      <c r="N9" s="18"/>
    </row>
    <row r="10" spans="2:14" ht="15.75" customHeight="1" x14ac:dyDescent="0.25">
      <c r="B10" s="20"/>
      <c r="C10" s="7" t="s">
        <v>30</v>
      </c>
      <c r="D10" s="8"/>
      <c r="E10" s="12">
        <v>0.14399700000000001</v>
      </c>
      <c r="F10" s="1"/>
      <c r="G10" s="1"/>
      <c r="H10" s="1"/>
      <c r="I10" s="1"/>
      <c r="J10" s="24" t="s">
        <v>36</v>
      </c>
      <c r="K10" s="29">
        <v>7.2220000000000001E-3</v>
      </c>
      <c r="L10" s="1"/>
      <c r="M10" s="1"/>
      <c r="N10" s="18"/>
    </row>
    <row r="11" spans="2:14" ht="15" customHeight="1" x14ac:dyDescent="0.25">
      <c r="B11" s="20"/>
      <c r="C11" s="5" t="s">
        <v>283</v>
      </c>
      <c r="D11" s="6" t="s">
        <v>182</v>
      </c>
      <c r="E11" s="11">
        <v>0.13905799999999999</v>
      </c>
      <c r="F11" s="1"/>
      <c r="G11" s="1"/>
      <c r="H11" s="1"/>
      <c r="I11" s="1"/>
      <c r="J11" s="24" t="s">
        <v>39</v>
      </c>
      <c r="K11" s="29">
        <v>0.14399700000000001</v>
      </c>
      <c r="L11" s="1"/>
      <c r="M11" s="1"/>
      <c r="N11" s="18"/>
    </row>
    <row r="12" spans="2:14" ht="15.75" customHeight="1" x14ac:dyDescent="0.25">
      <c r="B12" s="20"/>
      <c r="C12" s="5" t="s">
        <v>282</v>
      </c>
      <c r="D12" s="6" t="s">
        <v>182</v>
      </c>
      <c r="E12" s="11">
        <v>0.13902200000000001</v>
      </c>
      <c r="F12" s="1"/>
      <c r="G12" s="1"/>
      <c r="H12" s="1"/>
      <c r="I12" s="1"/>
      <c r="J12" s="24" t="s">
        <v>50</v>
      </c>
      <c r="K12" s="29">
        <v>0.82512700000000005</v>
      </c>
      <c r="L12" s="1"/>
      <c r="M12" s="1"/>
      <c r="N12" s="18"/>
    </row>
    <row r="13" spans="2:14" ht="15" customHeight="1" x14ac:dyDescent="0.25">
      <c r="B13" s="20"/>
      <c r="C13" s="5" t="s">
        <v>280</v>
      </c>
      <c r="D13" s="6" t="s">
        <v>182</v>
      </c>
      <c r="E13" s="11">
        <v>0.11670700000000001</v>
      </c>
      <c r="F13" s="1"/>
      <c r="G13" s="1"/>
      <c r="H13" s="1"/>
      <c r="I13" s="1"/>
      <c r="J13" s="1"/>
      <c r="K13" s="1"/>
      <c r="L13" s="1"/>
      <c r="M13" s="1"/>
      <c r="N13" s="18"/>
    </row>
    <row r="14" spans="2:14" ht="15.75" customHeight="1" x14ac:dyDescent="0.25">
      <c r="B14" s="20"/>
      <c r="C14" s="5" t="s">
        <v>281</v>
      </c>
      <c r="D14" s="6" t="s">
        <v>182</v>
      </c>
      <c r="E14" s="11">
        <v>7.7851000000000004E-2</v>
      </c>
      <c r="F14" s="1"/>
      <c r="G14" s="1"/>
      <c r="H14" s="1"/>
      <c r="I14" s="1"/>
      <c r="J14" s="1"/>
      <c r="K14" s="1"/>
      <c r="L14" s="1"/>
      <c r="M14" s="1"/>
      <c r="N14" s="18"/>
    </row>
    <row r="15" spans="2:14" ht="15" customHeight="1" x14ac:dyDescent="0.25">
      <c r="B15" s="20"/>
      <c r="C15" s="5" t="s">
        <v>278</v>
      </c>
      <c r="D15" s="6" t="s">
        <v>182</v>
      </c>
      <c r="E15" s="11">
        <v>6.3614000000000004E-2</v>
      </c>
      <c r="F15" s="1"/>
      <c r="G15" s="1"/>
      <c r="H15" s="1"/>
      <c r="I15" s="1"/>
      <c r="J15" s="1"/>
      <c r="K15" s="1"/>
      <c r="L15" s="1"/>
      <c r="M15" s="1"/>
      <c r="N15" s="18"/>
    </row>
    <row r="16" spans="2:14" ht="15.75" customHeight="1" x14ac:dyDescent="0.25">
      <c r="B16" s="20"/>
      <c r="C16" s="5" t="s">
        <v>271</v>
      </c>
      <c r="D16" s="6" t="s">
        <v>182</v>
      </c>
      <c r="E16" s="11">
        <v>4.0764000000000002E-2</v>
      </c>
      <c r="F16" s="1"/>
      <c r="G16" s="1"/>
      <c r="H16" s="1"/>
      <c r="I16" s="1"/>
      <c r="J16" s="1"/>
      <c r="K16" s="1"/>
      <c r="L16" s="1"/>
      <c r="M16" s="1"/>
      <c r="N16" s="18"/>
    </row>
    <row r="17" spans="2:14" ht="15" customHeight="1" x14ac:dyDescent="0.25">
      <c r="B17" s="20"/>
      <c r="C17" s="5" t="s">
        <v>273</v>
      </c>
      <c r="D17" s="6" t="s">
        <v>182</v>
      </c>
      <c r="E17" s="11">
        <v>3.1405000000000002E-2</v>
      </c>
      <c r="F17" s="1"/>
      <c r="G17" s="1"/>
      <c r="H17" s="1"/>
      <c r="I17" s="1"/>
      <c r="J17" s="1"/>
      <c r="K17" s="1"/>
      <c r="L17" s="1"/>
      <c r="M17" s="1"/>
      <c r="N17" s="18"/>
    </row>
    <row r="18" spans="2:14" ht="15" customHeight="1" x14ac:dyDescent="0.25">
      <c r="B18" s="20"/>
      <c r="C18" s="5" t="s">
        <v>274</v>
      </c>
      <c r="D18" s="6" t="s">
        <v>182</v>
      </c>
      <c r="E18" s="11">
        <v>2.7709000000000001E-2</v>
      </c>
      <c r="F18" s="1"/>
      <c r="G18" s="1"/>
      <c r="H18" s="1"/>
      <c r="I18" s="1"/>
      <c r="J18" s="1"/>
      <c r="K18" s="1"/>
      <c r="L18" s="1"/>
      <c r="M18" s="1"/>
      <c r="N18" s="18"/>
    </row>
    <row r="19" spans="2:14" ht="15" customHeight="1" x14ac:dyDescent="0.25">
      <c r="B19" s="20"/>
      <c r="C19" s="5" t="s">
        <v>267</v>
      </c>
      <c r="D19" s="6" t="s">
        <v>182</v>
      </c>
      <c r="E19" s="11">
        <v>2.6841E-2</v>
      </c>
      <c r="F19" s="1"/>
      <c r="G19" s="1"/>
      <c r="H19" s="1"/>
      <c r="I19" s="1"/>
      <c r="J19" s="1"/>
      <c r="K19" s="1"/>
      <c r="L19" s="1"/>
      <c r="M19" s="1"/>
      <c r="N19" s="18"/>
    </row>
    <row r="20" spans="2:14" ht="15" customHeight="1" x14ac:dyDescent="0.25">
      <c r="B20" s="20"/>
      <c r="C20" s="5" t="s">
        <v>264</v>
      </c>
      <c r="D20" s="6" t="s">
        <v>182</v>
      </c>
      <c r="E20" s="11">
        <v>2.5159000000000001E-2</v>
      </c>
      <c r="F20" s="1"/>
      <c r="G20" s="1"/>
      <c r="H20" s="1"/>
      <c r="I20" s="1"/>
      <c r="J20" s="1"/>
      <c r="K20" s="1"/>
      <c r="L20" s="1"/>
      <c r="M20" s="1"/>
      <c r="N20" s="18"/>
    </row>
    <row r="21" spans="2:14" ht="15" customHeight="1" x14ac:dyDescent="0.25">
      <c r="B21" s="20"/>
      <c r="C21" s="5" t="s">
        <v>269</v>
      </c>
      <c r="D21" s="6" t="s">
        <v>182</v>
      </c>
      <c r="E21" s="11">
        <v>1.4886999999999999E-2</v>
      </c>
      <c r="F21" s="1"/>
      <c r="G21" s="1"/>
      <c r="H21" s="1"/>
      <c r="I21" s="1"/>
      <c r="J21" s="1"/>
      <c r="K21" s="1"/>
      <c r="L21" s="1"/>
      <c r="M21" s="1"/>
      <c r="N21" s="18"/>
    </row>
    <row r="22" spans="2:14" ht="15" customHeight="1" x14ac:dyDescent="0.25">
      <c r="B22" s="20"/>
      <c r="C22" s="5" t="s">
        <v>261</v>
      </c>
      <c r="D22" s="6" t="s">
        <v>182</v>
      </c>
      <c r="E22" s="11">
        <v>1.4014E-2</v>
      </c>
      <c r="F22" s="1"/>
      <c r="G22" s="1"/>
      <c r="H22" s="1"/>
      <c r="I22" s="1"/>
      <c r="J22" s="1"/>
      <c r="K22" s="1"/>
      <c r="L22" s="1"/>
      <c r="M22" s="1"/>
      <c r="N22" s="18"/>
    </row>
    <row r="23" spans="2:14" ht="15" customHeight="1" x14ac:dyDescent="0.25">
      <c r="B23" s="20"/>
      <c r="C23" s="5" t="s">
        <v>272</v>
      </c>
      <c r="D23" s="6" t="s">
        <v>182</v>
      </c>
      <c r="E23" s="11">
        <v>1.393E-2</v>
      </c>
      <c r="F23" s="1"/>
      <c r="G23" s="1"/>
      <c r="H23" s="1"/>
      <c r="I23" s="1"/>
      <c r="J23" s="1"/>
      <c r="K23" s="1"/>
      <c r="L23" s="1"/>
      <c r="M23" s="1"/>
      <c r="N23" s="18"/>
    </row>
    <row r="24" spans="2:14" ht="15" customHeight="1" x14ac:dyDescent="0.25">
      <c r="B24" s="20"/>
      <c r="C24" s="5" t="s">
        <v>279</v>
      </c>
      <c r="D24" s="6" t="s">
        <v>182</v>
      </c>
      <c r="E24" s="11">
        <v>1.3908E-2</v>
      </c>
      <c r="F24" s="1"/>
      <c r="G24" s="89" t="s">
        <v>5</v>
      </c>
      <c r="H24" s="90"/>
      <c r="I24" s="90"/>
      <c r="J24" s="90"/>
      <c r="K24" s="90"/>
      <c r="L24" s="25">
        <v>7.3998388223012501</v>
      </c>
      <c r="M24" s="26"/>
      <c r="N24" s="27"/>
    </row>
    <row r="25" spans="2:14" ht="15" customHeight="1" x14ac:dyDescent="0.25">
      <c r="B25" s="20"/>
      <c r="C25" s="5" t="s">
        <v>270</v>
      </c>
      <c r="D25" s="6" t="s">
        <v>182</v>
      </c>
      <c r="E25" s="11">
        <v>1.3583E-2</v>
      </c>
      <c r="F25" s="1"/>
      <c r="G25" s="1"/>
      <c r="H25" s="1"/>
      <c r="I25" s="1"/>
      <c r="J25" s="1"/>
      <c r="K25" s="1"/>
      <c r="L25" s="1"/>
      <c r="M25" s="1"/>
      <c r="N25" s="18"/>
    </row>
    <row r="26" spans="2:14" ht="15" customHeight="1" x14ac:dyDescent="0.25">
      <c r="B26" s="20"/>
      <c r="C26" s="5" t="s">
        <v>266</v>
      </c>
      <c r="D26" s="6" t="s">
        <v>182</v>
      </c>
      <c r="E26" s="11">
        <v>1.3469E-2</v>
      </c>
      <c r="F26" s="1"/>
      <c r="G26" s="89" t="s">
        <v>6</v>
      </c>
      <c r="H26" s="90"/>
      <c r="I26" s="90"/>
      <c r="J26" s="90"/>
      <c r="K26" s="90"/>
      <c r="L26" s="90"/>
      <c r="M26" s="90"/>
      <c r="N26" s="91"/>
    </row>
    <row r="27" spans="2:14" ht="15" customHeight="1" x14ac:dyDescent="0.25">
      <c r="B27" s="20"/>
      <c r="C27" s="5" t="s">
        <v>265</v>
      </c>
      <c r="D27" s="6" t="s">
        <v>182</v>
      </c>
      <c r="E27" s="11">
        <v>1.3461000000000001E-2</v>
      </c>
      <c r="F27" s="1"/>
      <c r="G27" s="1"/>
      <c r="H27" s="1"/>
      <c r="I27" s="1"/>
      <c r="J27" s="1"/>
      <c r="K27" s="1"/>
      <c r="L27" s="1"/>
      <c r="M27" s="1"/>
      <c r="N27" s="18"/>
    </row>
    <row r="28" spans="2:14" ht="15" customHeight="1" x14ac:dyDescent="0.25">
      <c r="B28" s="20"/>
      <c r="C28" s="5" t="s">
        <v>263</v>
      </c>
      <c r="D28" s="6" t="s">
        <v>182</v>
      </c>
      <c r="E28" s="11">
        <v>1.3245E-2</v>
      </c>
      <c r="F28" s="1"/>
      <c r="G28" s="1"/>
      <c r="H28" s="1"/>
      <c r="I28" s="1"/>
      <c r="J28" s="1"/>
      <c r="K28" s="1"/>
      <c r="L28" s="1"/>
      <c r="M28" s="1"/>
      <c r="N28" s="18"/>
    </row>
    <row r="29" spans="2:14" ht="15" customHeight="1" x14ac:dyDescent="0.25">
      <c r="B29" s="20"/>
      <c r="C29" s="5" t="s">
        <v>277</v>
      </c>
      <c r="D29" s="6" t="s">
        <v>182</v>
      </c>
      <c r="E29" s="11">
        <v>8.2699999999999996E-3</v>
      </c>
      <c r="F29" s="1"/>
      <c r="G29" s="1"/>
      <c r="H29" s="1"/>
      <c r="I29" s="1"/>
      <c r="J29" s="1"/>
      <c r="K29" s="1"/>
      <c r="L29" s="1"/>
      <c r="M29" s="1"/>
      <c r="N29" s="18"/>
    </row>
    <row r="30" spans="2:14" ht="15" customHeight="1" x14ac:dyDescent="0.25">
      <c r="B30" s="20"/>
      <c r="C30" s="5" t="s">
        <v>276</v>
      </c>
      <c r="D30" s="6" t="s">
        <v>182</v>
      </c>
      <c r="E30" s="11">
        <v>6.7450000000000001E-3</v>
      </c>
      <c r="F30" s="1"/>
      <c r="G30" s="1"/>
      <c r="H30" s="1"/>
      <c r="I30" s="1"/>
      <c r="J30" s="1"/>
      <c r="K30" s="1"/>
      <c r="L30" s="1"/>
      <c r="M30" s="1"/>
      <c r="N30" s="18"/>
    </row>
    <row r="31" spans="2:14" ht="15" customHeight="1" x14ac:dyDescent="0.25">
      <c r="B31" s="20"/>
      <c r="C31" s="5" t="s">
        <v>275</v>
      </c>
      <c r="D31" s="6" t="s">
        <v>182</v>
      </c>
      <c r="E31" s="11">
        <v>5.3109999999999997E-3</v>
      </c>
      <c r="F31" s="1"/>
      <c r="G31" s="1"/>
      <c r="H31" s="1"/>
      <c r="I31" s="1"/>
      <c r="J31" s="1"/>
      <c r="K31" s="1"/>
      <c r="L31" s="1"/>
      <c r="M31" s="1"/>
      <c r="N31" s="18"/>
    </row>
    <row r="32" spans="2:14" ht="15" customHeight="1" x14ac:dyDescent="0.25">
      <c r="B32" s="20"/>
      <c r="C32" s="5" t="s">
        <v>268</v>
      </c>
      <c r="D32" s="6" t="s">
        <v>182</v>
      </c>
      <c r="E32" s="11">
        <v>3.7859999999999999E-3</v>
      </c>
      <c r="F32" s="1"/>
      <c r="G32" s="1"/>
      <c r="H32" s="1"/>
      <c r="I32" s="1"/>
      <c r="J32" s="1"/>
      <c r="K32" s="1"/>
      <c r="L32" s="1"/>
      <c r="M32" s="1"/>
      <c r="N32" s="18"/>
    </row>
    <row r="33" spans="2:14" ht="15" customHeight="1" x14ac:dyDescent="0.25">
      <c r="B33" s="20"/>
      <c r="C33" s="5" t="s">
        <v>262</v>
      </c>
      <c r="D33" s="6" t="s">
        <v>182</v>
      </c>
      <c r="E33" s="11">
        <v>2.3879999999999999E-3</v>
      </c>
      <c r="F33" s="1"/>
      <c r="G33" s="1"/>
      <c r="H33" s="1"/>
      <c r="I33" s="1"/>
      <c r="J33" s="1"/>
      <c r="K33" s="1"/>
      <c r="L33" s="1"/>
      <c r="M33" s="1"/>
      <c r="N33" s="18"/>
    </row>
    <row r="34" spans="2:14" ht="15" customHeight="1" x14ac:dyDescent="0.25">
      <c r="B34" s="20"/>
      <c r="C34" s="7" t="s">
        <v>49</v>
      </c>
      <c r="D34" s="8"/>
      <c r="E34" s="12">
        <v>0.82512700000000005</v>
      </c>
      <c r="F34" s="1"/>
      <c r="G34" s="1"/>
      <c r="H34" s="1"/>
      <c r="I34" s="1"/>
      <c r="J34" s="1"/>
      <c r="K34" s="1"/>
      <c r="L34" s="1"/>
      <c r="M34" s="1"/>
      <c r="N34" s="18"/>
    </row>
    <row r="35" spans="2:14" ht="15" customHeight="1" x14ac:dyDescent="0.25">
      <c r="B35" s="20"/>
      <c r="C35" s="5" t="s">
        <v>31</v>
      </c>
      <c r="D35" s="6"/>
      <c r="E35" s="11">
        <v>7.2220000000000001E-3</v>
      </c>
      <c r="F35" s="1"/>
      <c r="G35" s="1"/>
      <c r="H35" s="1"/>
      <c r="I35" s="1"/>
      <c r="J35" s="1"/>
      <c r="K35" s="1"/>
      <c r="L35" s="1"/>
      <c r="M35" s="1"/>
      <c r="N35" s="18"/>
    </row>
    <row r="36" spans="2:14" ht="15" customHeight="1" x14ac:dyDescent="0.25">
      <c r="B36" s="20"/>
      <c r="C36" s="7" t="s">
        <v>32</v>
      </c>
      <c r="D36" s="8"/>
      <c r="E36" s="12">
        <v>7.2220000000000001E-3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33</v>
      </c>
      <c r="D38" s="8"/>
      <c r="E38" s="12">
        <v>2.3654000000000001E-2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34</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81" t="s">
        <v>294</v>
      </c>
      <c r="C45" s="82"/>
      <c r="D45" s="82"/>
      <c r="E45" s="82"/>
      <c r="F45" s="82"/>
      <c r="G45" s="82"/>
      <c r="H45" s="82"/>
      <c r="I45" s="82"/>
      <c r="J45" s="82"/>
      <c r="K45" s="82"/>
      <c r="L45" s="82"/>
      <c r="M45" s="82"/>
      <c r="N45" s="83"/>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2E1A-7B06-49B2-BE15-2019CDF7F697}">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4" t="s">
        <v>0</v>
      </c>
      <c r="D3" s="85"/>
      <c r="E3" s="85"/>
      <c r="F3" s="85"/>
      <c r="G3" s="85"/>
      <c r="H3" s="85"/>
      <c r="I3" s="85"/>
      <c r="J3" s="85"/>
      <c r="K3" s="85"/>
      <c r="L3" s="85"/>
      <c r="M3" s="85"/>
      <c r="N3" s="86"/>
    </row>
    <row r="4" spans="2:14" ht="15.75" customHeight="1" x14ac:dyDescent="0.25">
      <c r="B4" s="20"/>
      <c r="C4" s="14"/>
      <c r="D4" s="1"/>
      <c r="E4" s="1"/>
      <c r="F4" s="1"/>
      <c r="G4" s="1"/>
      <c r="H4" s="1"/>
      <c r="I4" s="1"/>
      <c r="J4" s="1"/>
      <c r="K4" s="1"/>
      <c r="L4" s="1"/>
      <c r="M4" s="1"/>
      <c r="N4" s="18"/>
    </row>
    <row r="5" spans="2:14" ht="18" customHeight="1" x14ac:dyDescent="0.25">
      <c r="B5" s="20"/>
      <c r="C5" s="15" t="s">
        <v>10</v>
      </c>
      <c r="D5" s="87" t="s">
        <v>291</v>
      </c>
      <c r="E5" s="8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9" t="s">
        <v>4</v>
      </c>
      <c r="H7" s="90"/>
      <c r="I7" s="90"/>
      <c r="J7" s="90"/>
      <c r="K7" s="90"/>
      <c r="L7" s="90"/>
      <c r="M7" s="90"/>
      <c r="N7" s="91"/>
    </row>
    <row r="8" spans="2:14" ht="15" customHeight="1" x14ac:dyDescent="0.25">
      <c r="B8" s="20"/>
      <c r="C8" s="5" t="s">
        <v>284</v>
      </c>
      <c r="D8" s="6"/>
      <c r="E8" s="11">
        <v>0.64812899999999996</v>
      </c>
      <c r="F8" s="1"/>
      <c r="G8" s="24" t="s">
        <v>8</v>
      </c>
      <c r="H8" s="28">
        <v>1</v>
      </c>
      <c r="I8" s="1"/>
      <c r="J8" s="32" t="s">
        <v>35</v>
      </c>
      <c r="K8" s="32" t="s">
        <v>3</v>
      </c>
      <c r="L8" s="36"/>
      <c r="M8" s="1"/>
      <c r="N8" s="18"/>
    </row>
    <row r="9" spans="2:14" ht="15" customHeight="1" x14ac:dyDescent="0.25">
      <c r="B9" s="20"/>
      <c r="C9" s="5" t="s">
        <v>285</v>
      </c>
      <c r="D9" s="6"/>
      <c r="E9" s="11">
        <v>0.34554499999999999</v>
      </c>
      <c r="F9" s="1"/>
      <c r="G9" s="1"/>
      <c r="H9" s="1"/>
      <c r="I9" s="1"/>
      <c r="J9" s="32" t="s">
        <v>33</v>
      </c>
      <c r="K9" s="33">
        <v>-2.6899999999999998E-4</v>
      </c>
      <c r="L9" s="36"/>
      <c r="M9" s="1"/>
      <c r="N9" s="18"/>
    </row>
    <row r="10" spans="2:14" ht="15" customHeight="1" x14ac:dyDescent="0.25">
      <c r="B10" s="20"/>
      <c r="C10" s="5" t="s">
        <v>286</v>
      </c>
      <c r="D10" s="6"/>
      <c r="E10" s="30">
        <v>3.8000000000000002E-5</v>
      </c>
      <c r="F10" s="1"/>
      <c r="G10" s="1"/>
      <c r="H10" s="1"/>
      <c r="I10" s="1"/>
      <c r="J10" s="32" t="s">
        <v>36</v>
      </c>
      <c r="K10" s="33">
        <v>6.5570000000000003E-3</v>
      </c>
      <c r="L10" s="36"/>
      <c r="M10" s="1"/>
      <c r="N10" s="18"/>
    </row>
    <row r="11" spans="2:14" ht="15.75" customHeight="1" x14ac:dyDescent="0.25">
      <c r="B11" s="20"/>
      <c r="C11" s="7" t="s">
        <v>287</v>
      </c>
      <c r="D11" s="8"/>
      <c r="E11" s="12">
        <v>0.99371200000000004</v>
      </c>
      <c r="F11" s="1"/>
      <c r="G11" s="1"/>
      <c r="H11" s="1"/>
      <c r="I11" s="1"/>
      <c r="J11" s="32" t="s">
        <v>288</v>
      </c>
      <c r="K11" s="33">
        <v>0.99371200000000004</v>
      </c>
      <c r="L11" s="36"/>
      <c r="M11" s="1"/>
      <c r="N11" s="18"/>
    </row>
    <row r="12" spans="2:14" ht="15" customHeight="1" x14ac:dyDescent="0.25">
      <c r="B12" s="20"/>
      <c r="C12" s="5" t="s">
        <v>31</v>
      </c>
      <c r="D12" s="6"/>
      <c r="E12" s="11">
        <v>6.5570000000000003E-3</v>
      </c>
      <c r="F12" s="1"/>
      <c r="G12" s="1"/>
      <c r="H12" s="1"/>
      <c r="I12" s="1"/>
      <c r="J12" s="32"/>
      <c r="K12" s="32"/>
      <c r="L12" s="36"/>
      <c r="M12" s="1"/>
      <c r="N12" s="18"/>
    </row>
    <row r="13" spans="2:14" ht="15.75" customHeight="1" x14ac:dyDescent="0.25">
      <c r="B13" s="20"/>
      <c r="C13" s="7" t="s">
        <v>32</v>
      </c>
      <c r="D13" s="8"/>
      <c r="E13" s="12">
        <v>6.5570000000000003E-3</v>
      </c>
      <c r="F13" s="1"/>
      <c r="G13" s="1"/>
      <c r="H13" s="1"/>
      <c r="I13" s="1"/>
      <c r="J13" s="36"/>
      <c r="K13" s="36"/>
      <c r="L13" s="36"/>
      <c r="M13" s="1"/>
      <c r="N13" s="18"/>
    </row>
    <row r="14" spans="2:14" ht="15" customHeight="1" x14ac:dyDescent="0.25">
      <c r="B14" s="20"/>
      <c r="C14" s="5"/>
      <c r="D14" s="6"/>
      <c r="E14" s="11"/>
      <c r="F14" s="1"/>
      <c r="G14" s="1"/>
      <c r="H14" s="1"/>
      <c r="I14" s="1"/>
      <c r="J14" s="36"/>
      <c r="K14" s="36"/>
      <c r="L14" s="36"/>
      <c r="M14" s="1"/>
      <c r="N14" s="18"/>
    </row>
    <row r="15" spans="2:14" ht="15.75" customHeight="1" x14ac:dyDescent="0.25">
      <c r="B15" s="20"/>
      <c r="C15" s="7" t="s">
        <v>33</v>
      </c>
      <c r="D15" s="8"/>
      <c r="E15" s="12">
        <v>-2.6899999999999998E-4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34</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9" t="s">
        <v>5</v>
      </c>
      <c r="H24" s="90"/>
      <c r="I24" s="90"/>
      <c r="J24" s="90"/>
      <c r="K24" s="90"/>
      <c r="L24" s="37">
        <v>3.6657927264340104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9" t="s">
        <v>6</v>
      </c>
      <c r="H26" s="90"/>
      <c r="I26" s="90"/>
      <c r="J26" s="90"/>
      <c r="K26" s="90"/>
      <c r="L26" s="90"/>
      <c r="M26" s="90"/>
      <c r="N26" s="9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81" t="s">
        <v>294</v>
      </c>
      <c r="C45" s="82"/>
      <c r="D45" s="82"/>
      <c r="E45" s="82"/>
      <c r="F45" s="82"/>
      <c r="G45" s="82"/>
      <c r="H45" s="82"/>
      <c r="I45" s="82"/>
      <c r="J45" s="82"/>
      <c r="K45" s="82"/>
      <c r="L45" s="82"/>
      <c r="M45" s="82"/>
      <c r="N45" s="83"/>
    </row>
  </sheetData>
  <sortState ref="C8:E10">
    <sortCondition descending="1" ref="E8"/>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AA32F-0349-432A-A5ED-D36C400DD473}">
  <sheetPr>
    <tabColor rgb="FFE5E3E3"/>
    <pageSetUpPr fitToPage="1"/>
  </sheetPr>
  <dimension ref="B1:X691"/>
  <sheetViews>
    <sheetView showGridLines="0" zoomScale="75" zoomScaleNormal="75" workbookViewId="0">
      <selection activeCell="C3" sqref="C3:M3"/>
    </sheetView>
  </sheetViews>
  <sheetFormatPr defaultRowHeight="15" x14ac:dyDescent="0.2"/>
  <cols>
    <col min="1" max="1" width="2.85546875" style="41" customWidth="1"/>
    <col min="2" max="2" width="3.85546875" style="41" customWidth="1"/>
    <col min="3" max="3" width="60.5703125" style="41" customWidth="1"/>
    <col min="4" max="4" width="15.42578125" style="41" bestFit="1" customWidth="1"/>
    <col min="5" max="5" width="9.140625" style="41"/>
    <col min="6" max="6" width="10.7109375" style="41" customWidth="1"/>
    <col min="7" max="7" width="10.5703125" style="41" bestFit="1" customWidth="1"/>
    <col min="8" max="9" width="9.140625" style="41"/>
    <col min="10" max="11" width="16.42578125" style="41" customWidth="1"/>
    <col min="12" max="18" width="9.140625" style="41"/>
    <col min="19" max="19" width="9.85546875" style="41" customWidth="1"/>
    <col min="20" max="21" width="9.28515625" style="41" bestFit="1" customWidth="1"/>
    <col min="22" max="16384" width="9.140625" style="41"/>
  </cols>
  <sheetData>
    <row r="1" spans="2:24" ht="15.75" thickBot="1" x14ac:dyDescent="0.25"/>
    <row r="2" spans="2:24" x14ac:dyDescent="0.2">
      <c r="B2" s="42"/>
      <c r="C2" s="43"/>
      <c r="D2" s="43"/>
      <c r="E2" s="43"/>
      <c r="F2" s="43"/>
      <c r="G2" s="43"/>
      <c r="H2" s="43"/>
      <c r="I2" s="43"/>
      <c r="J2" s="43"/>
      <c r="K2" s="43"/>
      <c r="L2" s="43"/>
      <c r="M2" s="44"/>
    </row>
    <row r="3" spans="2:24" ht="20.25" customHeight="1" x14ac:dyDescent="0.2">
      <c r="B3" s="45"/>
      <c r="C3" s="92" t="s">
        <v>317</v>
      </c>
      <c r="D3" s="92"/>
      <c r="E3" s="92"/>
      <c r="F3" s="92"/>
      <c r="G3" s="92"/>
      <c r="H3" s="92"/>
      <c r="I3" s="92"/>
      <c r="J3" s="92"/>
      <c r="K3" s="92"/>
      <c r="L3" s="92"/>
      <c r="M3" s="93"/>
    </row>
    <row r="4" spans="2:24" ht="15.75" x14ac:dyDescent="0.25">
      <c r="B4" s="45"/>
      <c r="C4" s="14"/>
      <c r="D4" s="46"/>
      <c r="E4" s="46"/>
      <c r="F4" s="47"/>
      <c r="G4" s="47"/>
      <c r="H4" s="47"/>
      <c r="I4" s="47"/>
      <c r="J4" s="47"/>
      <c r="K4" s="47"/>
      <c r="L4" s="47"/>
      <c r="M4" s="48"/>
    </row>
    <row r="5" spans="2:24" ht="20.25" customHeight="1" x14ac:dyDescent="0.25">
      <c r="B5" s="45"/>
      <c r="C5" s="15" t="s">
        <v>10</v>
      </c>
      <c r="D5" s="49" t="s">
        <v>316</v>
      </c>
      <c r="E5" s="50"/>
      <c r="F5" s="47"/>
      <c r="G5" s="47"/>
      <c r="H5" s="47"/>
      <c r="I5" s="47"/>
      <c r="J5" s="47"/>
      <c r="K5" s="47"/>
      <c r="L5" s="47"/>
      <c r="M5" s="48"/>
    </row>
    <row r="6" spans="2:24" x14ac:dyDescent="0.2">
      <c r="B6" s="45"/>
      <c r="C6" s="47"/>
      <c r="D6" s="47"/>
      <c r="E6" s="47"/>
      <c r="F6" s="47"/>
      <c r="G6" s="47"/>
      <c r="H6" s="47"/>
      <c r="I6" s="47"/>
      <c r="J6" s="47"/>
      <c r="K6" s="47"/>
      <c r="L6" s="47"/>
      <c r="M6" s="48"/>
    </row>
    <row r="7" spans="2:24" ht="15.75" x14ac:dyDescent="0.2">
      <c r="B7" s="45"/>
      <c r="C7" s="51" t="s">
        <v>1</v>
      </c>
      <c r="D7" s="52" t="s">
        <v>3</v>
      </c>
      <c r="E7" s="47"/>
      <c r="F7" s="94" t="s">
        <v>6</v>
      </c>
      <c r="G7" s="94"/>
      <c r="H7" s="94"/>
      <c r="I7" s="94"/>
      <c r="J7" s="94"/>
      <c r="K7" s="94"/>
      <c r="L7" s="94"/>
      <c r="M7" s="95"/>
    </row>
    <row r="8" spans="2:24" x14ac:dyDescent="0.2">
      <c r="B8" s="45"/>
      <c r="C8" s="53" t="s">
        <v>298</v>
      </c>
      <c r="D8" s="54">
        <v>0.99163400000000002</v>
      </c>
      <c r="E8" s="47"/>
      <c r="F8" s="47"/>
      <c r="G8" s="55"/>
      <c r="H8" s="47"/>
      <c r="I8" s="47" t="s">
        <v>299</v>
      </c>
      <c r="J8" s="56">
        <f>D9</f>
        <v>0.99163400000000002</v>
      </c>
      <c r="K8" s="47"/>
      <c r="L8" s="47"/>
      <c r="M8" s="48"/>
      <c r="S8" s="57"/>
      <c r="W8" s="41" t="s">
        <v>300</v>
      </c>
      <c r="X8" s="41">
        <v>0.25058799999999998</v>
      </c>
    </row>
    <row r="9" spans="2:24" ht="15.75" x14ac:dyDescent="0.25">
      <c r="B9" s="45"/>
      <c r="C9" s="58" t="s">
        <v>299</v>
      </c>
      <c r="D9" s="59">
        <v>0.99163400000000002</v>
      </c>
      <c r="E9" s="47"/>
      <c r="F9" s="47"/>
      <c r="G9" s="47"/>
      <c r="H9" s="47"/>
      <c r="I9" s="47" t="s">
        <v>33</v>
      </c>
      <c r="J9" s="56">
        <f>D13</f>
        <v>-4.3160000000000004E-3</v>
      </c>
      <c r="K9" s="47"/>
      <c r="L9" s="47"/>
      <c r="M9" s="48"/>
      <c r="S9" s="57"/>
      <c r="W9" s="41" t="s">
        <v>301</v>
      </c>
      <c r="X9" s="41">
        <v>6.1296999999999997E-2</v>
      </c>
    </row>
    <row r="10" spans="2:24" x14ac:dyDescent="0.2">
      <c r="B10" s="45"/>
      <c r="C10" s="60" t="s">
        <v>31</v>
      </c>
      <c r="D10" s="61">
        <v>1.2682000000000001E-2</v>
      </c>
      <c r="E10" s="47"/>
      <c r="F10" s="47"/>
      <c r="G10" s="47"/>
      <c r="I10" s="41" t="s">
        <v>32</v>
      </c>
      <c r="J10" s="56">
        <f>D11</f>
        <v>1.2682000000000001E-2</v>
      </c>
      <c r="K10" s="47"/>
      <c r="L10" s="47"/>
      <c r="M10" s="48"/>
      <c r="S10" s="57"/>
      <c r="W10" s="41" t="s">
        <v>302</v>
      </c>
      <c r="X10" s="41">
        <v>3.0130999999999998E-2</v>
      </c>
    </row>
    <row r="11" spans="2:24" ht="15.75" x14ac:dyDescent="0.2">
      <c r="B11" s="45"/>
      <c r="C11" s="62" t="s">
        <v>32</v>
      </c>
      <c r="D11" s="63">
        <v>1.2682000000000001E-2</v>
      </c>
      <c r="E11" s="47"/>
      <c r="F11" s="47"/>
      <c r="G11" s="47"/>
      <c r="J11" s="47"/>
      <c r="K11" s="47"/>
      <c r="L11" s="47"/>
      <c r="M11" s="48"/>
      <c r="S11" s="57"/>
      <c r="W11" s="41" t="s">
        <v>303</v>
      </c>
      <c r="X11" s="41">
        <v>2.7299E-2</v>
      </c>
    </row>
    <row r="12" spans="2:24" x14ac:dyDescent="0.2">
      <c r="B12" s="45"/>
      <c r="C12" s="60"/>
      <c r="D12" s="64"/>
      <c r="E12" s="47"/>
      <c r="F12" s="47"/>
      <c r="G12" s="47"/>
      <c r="J12" s="47"/>
      <c r="K12" s="47"/>
      <c r="L12" s="47"/>
      <c r="M12" s="48"/>
      <c r="S12" s="57"/>
      <c r="W12" s="41" t="s">
        <v>304</v>
      </c>
      <c r="X12" s="41">
        <v>2.5925E-2</v>
      </c>
    </row>
    <row r="13" spans="2:24" ht="15.75" x14ac:dyDescent="0.2">
      <c r="B13" s="45"/>
      <c r="C13" s="62" t="s">
        <v>33</v>
      </c>
      <c r="D13" s="63">
        <v>-4.3160000000000004E-3</v>
      </c>
      <c r="E13" s="47"/>
      <c r="F13" s="47"/>
      <c r="G13" s="47"/>
      <c r="J13" s="47"/>
      <c r="K13" s="47"/>
      <c r="L13" s="47"/>
      <c r="M13" s="48"/>
      <c r="S13" s="57"/>
      <c r="W13" s="41" t="s">
        <v>305</v>
      </c>
      <c r="X13" s="41">
        <v>2.3822000000000003E-2</v>
      </c>
    </row>
    <row r="14" spans="2:24" x14ac:dyDescent="0.2">
      <c r="B14" s="45"/>
      <c r="C14" s="60"/>
      <c r="D14" s="64"/>
      <c r="E14" s="47"/>
      <c r="F14" s="47"/>
      <c r="G14" s="47"/>
      <c r="H14" s="47"/>
      <c r="I14" s="47"/>
      <c r="J14" s="47"/>
      <c r="K14" s="47"/>
      <c r="L14" s="47"/>
      <c r="M14" s="48"/>
      <c r="S14" s="57"/>
      <c r="W14" s="41" t="s">
        <v>306</v>
      </c>
      <c r="X14" s="41">
        <v>2.3753E-2</v>
      </c>
    </row>
    <row r="15" spans="2:24" ht="15.75" x14ac:dyDescent="0.2">
      <c r="B15" s="45"/>
      <c r="C15" s="65" t="s">
        <v>34</v>
      </c>
      <c r="D15" s="66">
        <f>D13+D11+D9</f>
        <v>1</v>
      </c>
      <c r="E15" s="47"/>
      <c r="F15" s="47"/>
      <c r="G15" s="47"/>
      <c r="H15" s="47"/>
      <c r="I15" s="47"/>
      <c r="J15" s="47"/>
      <c r="K15" s="47"/>
      <c r="L15" s="47"/>
      <c r="M15" s="48"/>
      <c r="S15" s="57"/>
      <c r="W15" s="41" t="s">
        <v>307</v>
      </c>
      <c r="X15" s="41">
        <v>1.8620999999999999E-2</v>
      </c>
    </row>
    <row r="16" spans="2:24" x14ac:dyDescent="0.2">
      <c r="B16" s="45"/>
      <c r="E16" s="47"/>
      <c r="F16" s="47"/>
      <c r="G16" s="47"/>
      <c r="H16" s="47"/>
      <c r="I16" s="47"/>
      <c r="J16" s="47"/>
      <c r="K16" s="47"/>
      <c r="L16" s="47"/>
      <c r="M16" s="48"/>
      <c r="S16" s="57"/>
      <c r="W16" s="41" t="s">
        <v>308</v>
      </c>
      <c r="X16" s="41">
        <v>1.7219000000000002E-2</v>
      </c>
    </row>
    <row r="17" spans="2:24" ht="15.75" x14ac:dyDescent="0.25">
      <c r="B17" s="45"/>
      <c r="C17" s="67"/>
      <c r="D17" s="68"/>
      <c r="E17" s="47"/>
      <c r="F17" s="47"/>
      <c r="G17" s="47"/>
      <c r="H17" s="47"/>
      <c r="I17" s="47"/>
      <c r="J17" s="47"/>
      <c r="K17" s="47"/>
      <c r="L17" s="47"/>
      <c r="M17" s="48"/>
      <c r="S17" s="57"/>
      <c r="W17" s="41" t="s">
        <v>309</v>
      </c>
      <c r="X17" s="41">
        <v>1.6056000000000001E-2</v>
      </c>
    </row>
    <row r="18" spans="2:24" x14ac:dyDescent="0.2">
      <c r="B18" s="45"/>
      <c r="C18" s="69"/>
      <c r="D18" s="69"/>
      <c r="E18" s="47"/>
      <c r="F18" s="47"/>
      <c r="G18" s="47"/>
      <c r="H18" s="47"/>
      <c r="I18" s="47"/>
      <c r="J18" s="47"/>
      <c r="K18" s="47"/>
      <c r="L18" s="47"/>
      <c r="M18" s="48"/>
      <c r="S18" s="57"/>
      <c r="W18" s="41" t="s">
        <v>310</v>
      </c>
      <c r="X18" s="41">
        <v>1.41E-2</v>
      </c>
    </row>
    <row r="19" spans="2:24" ht="15.75" x14ac:dyDescent="0.25">
      <c r="B19" s="45"/>
      <c r="C19" s="67"/>
      <c r="D19" s="70"/>
      <c r="E19" s="47"/>
      <c r="F19" s="47"/>
      <c r="G19" s="47"/>
      <c r="H19" s="47"/>
      <c r="I19" s="47"/>
      <c r="J19" s="47"/>
      <c r="K19" s="47"/>
      <c r="L19" s="47"/>
      <c r="M19" s="48"/>
      <c r="S19" s="57"/>
      <c r="W19" s="41" t="s">
        <v>311</v>
      </c>
      <c r="X19" s="41">
        <v>1.1167E-2</v>
      </c>
    </row>
    <row r="20" spans="2:24" x14ac:dyDescent="0.2">
      <c r="B20" s="45"/>
      <c r="E20" s="47"/>
      <c r="F20" s="47"/>
      <c r="G20" s="47"/>
      <c r="H20" s="47"/>
      <c r="I20" s="47"/>
      <c r="J20" s="47"/>
      <c r="K20" s="47"/>
      <c r="L20" s="47"/>
      <c r="M20" s="48"/>
      <c r="S20" s="57"/>
      <c r="W20" s="41" t="s">
        <v>312</v>
      </c>
      <c r="X20" s="41">
        <v>1.1159000000000001E-2</v>
      </c>
    </row>
    <row r="21" spans="2:24" x14ac:dyDescent="0.2">
      <c r="B21" s="45"/>
      <c r="E21" s="47"/>
      <c r="F21" s="47"/>
      <c r="G21" s="47"/>
      <c r="H21" s="47"/>
      <c r="I21" s="47"/>
      <c r="J21" s="47"/>
      <c r="K21" s="47"/>
      <c r="L21" s="47"/>
      <c r="M21" s="48"/>
      <c r="S21" s="57"/>
      <c r="W21" s="41" t="s">
        <v>313</v>
      </c>
      <c r="X21" s="41">
        <v>1.0543E-2</v>
      </c>
    </row>
    <row r="22" spans="2:24" ht="16.5" thickBot="1" x14ac:dyDescent="0.3">
      <c r="B22" s="71"/>
      <c r="C22" s="96"/>
      <c r="D22" s="96"/>
      <c r="E22" s="96"/>
      <c r="F22" s="96"/>
      <c r="G22" s="96"/>
      <c r="H22" s="96"/>
      <c r="I22" s="96"/>
      <c r="J22" s="96"/>
      <c r="K22" s="96"/>
      <c r="L22" s="96"/>
      <c r="M22" s="97"/>
      <c r="S22" s="57"/>
    </row>
    <row r="23" spans="2:24" ht="15.75" thickBot="1" x14ac:dyDescent="0.25">
      <c r="S23" s="57"/>
    </row>
    <row r="24" spans="2:24" ht="15" customHeight="1" x14ac:dyDescent="0.2">
      <c r="B24" s="98" t="s">
        <v>314</v>
      </c>
      <c r="C24" s="99"/>
      <c r="D24" s="99"/>
      <c r="E24" s="99"/>
      <c r="F24" s="99"/>
      <c r="G24" s="99"/>
      <c r="H24" s="99"/>
      <c r="I24" s="99"/>
      <c r="J24" s="99"/>
      <c r="K24" s="99"/>
      <c r="L24" s="99"/>
      <c r="M24" s="99"/>
      <c r="N24" s="100"/>
      <c r="S24" s="57"/>
    </row>
    <row r="25" spans="2:24" ht="15.75" customHeight="1" x14ac:dyDescent="0.2">
      <c r="B25" s="101"/>
      <c r="C25" s="102"/>
      <c r="D25" s="102"/>
      <c r="E25" s="102"/>
      <c r="F25" s="102"/>
      <c r="G25" s="102"/>
      <c r="H25" s="102"/>
      <c r="I25" s="102"/>
      <c r="J25" s="102"/>
      <c r="K25" s="102"/>
      <c r="L25" s="102"/>
      <c r="M25" s="102"/>
      <c r="N25" s="103"/>
      <c r="S25" s="57"/>
    </row>
    <row r="26" spans="2:24" ht="15.75" customHeight="1" x14ac:dyDescent="0.2">
      <c r="B26" s="101"/>
      <c r="C26" s="102"/>
      <c r="D26" s="102"/>
      <c r="E26" s="102"/>
      <c r="F26" s="102"/>
      <c r="G26" s="102"/>
      <c r="H26" s="102"/>
      <c r="I26" s="102"/>
      <c r="J26" s="102"/>
      <c r="K26" s="102"/>
      <c r="L26" s="102"/>
      <c r="M26" s="102"/>
      <c r="N26" s="103"/>
      <c r="S26" s="57"/>
    </row>
    <row r="27" spans="2:24" ht="15.75" customHeight="1" x14ac:dyDescent="0.2">
      <c r="B27" s="101"/>
      <c r="C27" s="102"/>
      <c r="D27" s="102"/>
      <c r="E27" s="102"/>
      <c r="F27" s="102"/>
      <c r="G27" s="102"/>
      <c r="H27" s="102"/>
      <c r="I27" s="102"/>
      <c r="J27" s="102"/>
      <c r="K27" s="102"/>
      <c r="L27" s="102"/>
      <c r="M27" s="102"/>
      <c r="N27" s="103"/>
      <c r="S27" s="57"/>
    </row>
    <row r="28" spans="2:24" ht="15.75" customHeight="1" x14ac:dyDescent="0.2">
      <c r="B28" s="101"/>
      <c r="C28" s="102"/>
      <c r="D28" s="102"/>
      <c r="E28" s="102"/>
      <c r="F28" s="102"/>
      <c r="G28" s="102"/>
      <c r="H28" s="102"/>
      <c r="I28" s="102"/>
      <c r="J28" s="102"/>
      <c r="K28" s="102"/>
      <c r="L28" s="102"/>
      <c r="M28" s="102"/>
      <c r="N28" s="103"/>
      <c r="S28" s="57"/>
    </row>
    <row r="29" spans="2:24" ht="15.75" customHeight="1" x14ac:dyDescent="0.2">
      <c r="B29" s="101"/>
      <c r="C29" s="102"/>
      <c r="D29" s="102"/>
      <c r="E29" s="102"/>
      <c r="F29" s="102"/>
      <c r="G29" s="102"/>
      <c r="H29" s="102"/>
      <c r="I29" s="102"/>
      <c r="J29" s="102"/>
      <c r="K29" s="102"/>
      <c r="L29" s="102"/>
      <c r="M29" s="102"/>
      <c r="N29" s="103"/>
      <c r="S29" s="57"/>
    </row>
    <row r="30" spans="2:24" ht="28.5" customHeight="1" thickBot="1" x14ac:dyDescent="0.25">
      <c r="B30" s="104"/>
      <c r="C30" s="105"/>
      <c r="D30" s="105"/>
      <c r="E30" s="105"/>
      <c r="F30" s="105"/>
      <c r="G30" s="105"/>
      <c r="H30" s="105"/>
      <c r="I30" s="105"/>
      <c r="J30" s="105"/>
      <c r="K30" s="105"/>
      <c r="L30" s="105"/>
      <c r="M30" s="105"/>
      <c r="N30" s="106"/>
      <c r="S30" s="57"/>
    </row>
    <row r="31" spans="2:24" ht="15.75" thickBot="1" x14ac:dyDescent="0.25">
      <c r="S31" s="57"/>
    </row>
    <row r="32" spans="2:24" x14ac:dyDescent="0.2">
      <c r="B32" s="98" t="s">
        <v>315</v>
      </c>
      <c r="C32" s="99"/>
      <c r="D32" s="99"/>
      <c r="E32" s="99"/>
      <c r="F32" s="99"/>
      <c r="G32" s="99"/>
      <c r="H32" s="99"/>
      <c r="I32" s="99"/>
      <c r="J32" s="99"/>
      <c r="K32" s="99"/>
      <c r="L32" s="99"/>
      <c r="M32" s="99"/>
      <c r="N32" s="100"/>
      <c r="S32" s="57"/>
    </row>
    <row r="33" spans="2:19" x14ac:dyDescent="0.2">
      <c r="B33" s="101"/>
      <c r="C33" s="102"/>
      <c r="D33" s="102"/>
      <c r="E33" s="102"/>
      <c r="F33" s="102"/>
      <c r="G33" s="102"/>
      <c r="H33" s="102"/>
      <c r="I33" s="102"/>
      <c r="J33" s="102"/>
      <c r="K33" s="102"/>
      <c r="L33" s="102"/>
      <c r="M33" s="102"/>
      <c r="N33" s="103"/>
      <c r="S33" s="57"/>
    </row>
    <row r="34" spans="2:19" x14ac:dyDescent="0.2">
      <c r="B34" s="101"/>
      <c r="C34" s="102"/>
      <c r="D34" s="102"/>
      <c r="E34" s="102"/>
      <c r="F34" s="102"/>
      <c r="G34" s="102"/>
      <c r="H34" s="102"/>
      <c r="I34" s="102"/>
      <c r="J34" s="102"/>
      <c r="K34" s="102"/>
      <c r="L34" s="102"/>
      <c r="M34" s="102"/>
      <c r="N34" s="103"/>
      <c r="S34" s="57"/>
    </row>
    <row r="35" spans="2:19" x14ac:dyDescent="0.2">
      <c r="B35" s="101"/>
      <c r="C35" s="102"/>
      <c r="D35" s="102"/>
      <c r="E35" s="102"/>
      <c r="F35" s="102"/>
      <c r="G35" s="102"/>
      <c r="H35" s="102"/>
      <c r="I35" s="102"/>
      <c r="J35" s="102"/>
      <c r="K35" s="102"/>
      <c r="L35" s="102"/>
      <c r="M35" s="102"/>
      <c r="N35" s="103"/>
      <c r="S35" s="57"/>
    </row>
    <row r="36" spans="2:19" x14ac:dyDescent="0.2">
      <c r="B36" s="101"/>
      <c r="C36" s="102"/>
      <c r="D36" s="102"/>
      <c r="E36" s="102"/>
      <c r="F36" s="102"/>
      <c r="G36" s="102"/>
      <c r="H36" s="102"/>
      <c r="I36" s="102"/>
      <c r="J36" s="102"/>
      <c r="K36" s="102"/>
      <c r="L36" s="102"/>
      <c r="M36" s="102"/>
      <c r="N36" s="103"/>
      <c r="S36" s="57"/>
    </row>
    <row r="37" spans="2:19" x14ac:dyDescent="0.2">
      <c r="B37" s="101"/>
      <c r="C37" s="102"/>
      <c r="D37" s="102"/>
      <c r="E37" s="102"/>
      <c r="F37" s="102"/>
      <c r="G37" s="102"/>
      <c r="H37" s="102"/>
      <c r="I37" s="102"/>
      <c r="J37" s="102"/>
      <c r="K37" s="102"/>
      <c r="L37" s="102"/>
      <c r="M37" s="102"/>
      <c r="N37" s="103"/>
      <c r="S37" s="57"/>
    </row>
    <row r="38" spans="2:19" ht="15.75" thickBot="1" x14ac:dyDescent="0.25">
      <c r="B38" s="104"/>
      <c r="C38" s="105"/>
      <c r="D38" s="105"/>
      <c r="E38" s="105"/>
      <c r="F38" s="105"/>
      <c r="G38" s="105"/>
      <c r="H38" s="105"/>
      <c r="I38" s="105"/>
      <c r="J38" s="105"/>
      <c r="K38" s="105"/>
      <c r="L38" s="105"/>
      <c r="M38" s="105"/>
      <c r="N38" s="106"/>
      <c r="S38" s="57"/>
    </row>
    <row r="39" spans="2:19" x14ac:dyDescent="0.2">
      <c r="S39" s="57"/>
    </row>
    <row r="40" spans="2:19" x14ac:dyDescent="0.2">
      <c r="S40" s="57"/>
    </row>
    <row r="41" spans="2:19" x14ac:dyDescent="0.2">
      <c r="S41" s="57"/>
    </row>
    <row r="42" spans="2:19" x14ac:dyDescent="0.2">
      <c r="S42" s="57"/>
    </row>
    <row r="43" spans="2:19" x14ac:dyDescent="0.2">
      <c r="S43" s="57"/>
    </row>
    <row r="44" spans="2:19" x14ac:dyDescent="0.2">
      <c r="S44" s="57"/>
    </row>
    <row r="45" spans="2:19" x14ac:dyDescent="0.2">
      <c r="S45" s="57"/>
    </row>
    <row r="46" spans="2:19" x14ac:dyDescent="0.2">
      <c r="S46" s="57"/>
    </row>
    <row r="47" spans="2:19" x14ac:dyDescent="0.2">
      <c r="S47" s="57"/>
    </row>
    <row r="48" spans="2:19" x14ac:dyDescent="0.2">
      <c r="S48" s="57"/>
    </row>
    <row r="49" spans="19:19" x14ac:dyDescent="0.2">
      <c r="S49" s="57"/>
    </row>
    <row r="50" spans="19:19" x14ac:dyDescent="0.2">
      <c r="S50" s="57"/>
    </row>
    <row r="51" spans="19:19" x14ac:dyDescent="0.2">
      <c r="S51" s="57"/>
    </row>
    <row r="52" spans="19:19" x14ac:dyDescent="0.2">
      <c r="S52" s="57"/>
    </row>
    <row r="53" spans="19:19" x14ac:dyDescent="0.2">
      <c r="S53" s="57"/>
    </row>
    <row r="54" spans="19:19" x14ac:dyDescent="0.2">
      <c r="S54" s="57"/>
    </row>
    <row r="55" spans="19:19" x14ac:dyDescent="0.2">
      <c r="S55" s="57"/>
    </row>
    <row r="56" spans="19:19" x14ac:dyDescent="0.2">
      <c r="S56" s="57"/>
    </row>
    <row r="57" spans="19:19" x14ac:dyDescent="0.2">
      <c r="S57" s="57"/>
    </row>
    <row r="58" spans="19:19" x14ac:dyDescent="0.2">
      <c r="S58" s="57"/>
    </row>
    <row r="59" spans="19:19" x14ac:dyDescent="0.2">
      <c r="S59" s="57"/>
    </row>
    <row r="60" spans="19:19" x14ac:dyDescent="0.2">
      <c r="S60" s="57"/>
    </row>
    <row r="61" spans="19:19" x14ac:dyDescent="0.2">
      <c r="S61" s="57"/>
    </row>
    <row r="62" spans="19:19" x14ac:dyDescent="0.2">
      <c r="S62" s="57"/>
    </row>
    <row r="63" spans="19:19" x14ac:dyDescent="0.2">
      <c r="S63" s="57"/>
    </row>
    <row r="64" spans="19:19" x14ac:dyDescent="0.2">
      <c r="S64" s="57"/>
    </row>
    <row r="65" spans="19:19" x14ac:dyDescent="0.2">
      <c r="S65" s="57"/>
    </row>
    <row r="66" spans="19:19" x14ac:dyDescent="0.2">
      <c r="S66" s="57"/>
    </row>
    <row r="67" spans="19:19" x14ac:dyDescent="0.2">
      <c r="S67" s="57"/>
    </row>
    <row r="68" spans="19:19" x14ac:dyDescent="0.2">
      <c r="S68" s="57"/>
    </row>
    <row r="69" spans="19:19" x14ac:dyDescent="0.2">
      <c r="S69" s="57"/>
    </row>
    <row r="70" spans="19:19" x14ac:dyDescent="0.2">
      <c r="S70" s="57"/>
    </row>
    <row r="71" spans="19:19" x14ac:dyDescent="0.2">
      <c r="S71" s="57"/>
    </row>
    <row r="72" spans="19:19" x14ac:dyDescent="0.2">
      <c r="S72" s="57"/>
    </row>
    <row r="73" spans="19:19" x14ac:dyDescent="0.2">
      <c r="S73" s="57"/>
    </row>
    <row r="74" spans="19:19" x14ac:dyDescent="0.2">
      <c r="S74" s="57"/>
    </row>
    <row r="75" spans="19:19" x14ac:dyDescent="0.2">
      <c r="S75" s="57"/>
    </row>
    <row r="76" spans="19:19" x14ac:dyDescent="0.2">
      <c r="S76" s="57"/>
    </row>
    <row r="77" spans="19:19" x14ac:dyDescent="0.2">
      <c r="S77" s="57"/>
    </row>
    <row r="78" spans="19:19" x14ac:dyDescent="0.2">
      <c r="S78" s="57"/>
    </row>
    <row r="79" spans="19:19" x14ac:dyDescent="0.2">
      <c r="S79" s="57"/>
    </row>
    <row r="80" spans="19:19" x14ac:dyDescent="0.2">
      <c r="S80" s="57"/>
    </row>
    <row r="81" spans="19:19" x14ac:dyDescent="0.2">
      <c r="S81" s="57"/>
    </row>
    <row r="82" spans="19:19" x14ac:dyDescent="0.2">
      <c r="S82" s="57"/>
    </row>
    <row r="83" spans="19:19" x14ac:dyDescent="0.2">
      <c r="S83" s="57"/>
    </row>
    <row r="84" spans="19:19" x14ac:dyDescent="0.2">
      <c r="S84" s="57"/>
    </row>
    <row r="85" spans="19:19" x14ac:dyDescent="0.2">
      <c r="S85" s="57"/>
    </row>
    <row r="86" spans="19:19" x14ac:dyDescent="0.2">
      <c r="S86" s="57"/>
    </row>
    <row r="87" spans="19:19" x14ac:dyDescent="0.2">
      <c r="S87" s="57"/>
    </row>
    <row r="88" spans="19:19" x14ac:dyDescent="0.2">
      <c r="S88" s="57"/>
    </row>
    <row r="89" spans="19:19" x14ac:dyDescent="0.2">
      <c r="S89" s="57"/>
    </row>
    <row r="90" spans="19:19" x14ac:dyDescent="0.2">
      <c r="S90" s="57"/>
    </row>
    <row r="91" spans="19:19" x14ac:dyDescent="0.2">
      <c r="S91" s="57"/>
    </row>
    <row r="92" spans="19:19" x14ac:dyDescent="0.2">
      <c r="S92" s="57"/>
    </row>
    <row r="93" spans="19:19" x14ac:dyDescent="0.2">
      <c r="S93" s="57"/>
    </row>
    <row r="94" spans="19:19" x14ac:dyDescent="0.2">
      <c r="S94" s="57"/>
    </row>
    <row r="95" spans="19:19" x14ac:dyDescent="0.2">
      <c r="S95" s="57"/>
    </row>
    <row r="96" spans="19:19" x14ac:dyDescent="0.2">
      <c r="S96" s="57"/>
    </row>
    <row r="97" spans="19:19" x14ac:dyDescent="0.2">
      <c r="S97" s="57"/>
    </row>
    <row r="98" spans="19:19" x14ac:dyDescent="0.2">
      <c r="S98" s="57"/>
    </row>
    <row r="99" spans="19:19" x14ac:dyDescent="0.2">
      <c r="S99" s="57"/>
    </row>
    <row r="100" spans="19:19" x14ac:dyDescent="0.2">
      <c r="S100" s="57"/>
    </row>
    <row r="101" spans="19:19" x14ac:dyDescent="0.2">
      <c r="S101" s="57"/>
    </row>
    <row r="102" spans="19:19" x14ac:dyDescent="0.2">
      <c r="S102" s="57"/>
    </row>
    <row r="103" spans="19:19" x14ac:dyDescent="0.2">
      <c r="S103" s="57"/>
    </row>
    <row r="104" spans="19:19" x14ac:dyDescent="0.2">
      <c r="S104" s="57"/>
    </row>
    <row r="105" spans="19:19" x14ac:dyDescent="0.2">
      <c r="S105" s="57"/>
    </row>
    <row r="106" spans="19:19" x14ac:dyDescent="0.2">
      <c r="S106" s="57"/>
    </row>
    <row r="107" spans="19:19" x14ac:dyDescent="0.2">
      <c r="S107" s="57"/>
    </row>
    <row r="108" spans="19:19" x14ac:dyDescent="0.2">
      <c r="S108" s="57"/>
    </row>
    <row r="109" spans="19:19" x14ac:dyDescent="0.2">
      <c r="S109" s="57"/>
    </row>
    <row r="110" spans="19:19" x14ac:dyDescent="0.2">
      <c r="S110" s="57"/>
    </row>
    <row r="111" spans="19:19" x14ac:dyDescent="0.2">
      <c r="S111" s="57"/>
    </row>
    <row r="112" spans="19:19" x14ac:dyDescent="0.2">
      <c r="S112" s="57"/>
    </row>
    <row r="113" spans="19:19" x14ac:dyDescent="0.2">
      <c r="S113" s="57"/>
    </row>
    <row r="114" spans="19:19" x14ac:dyDescent="0.2">
      <c r="S114" s="57"/>
    </row>
    <row r="115" spans="19:19" x14ac:dyDescent="0.2">
      <c r="S115" s="57"/>
    </row>
    <row r="116" spans="19:19" x14ac:dyDescent="0.2">
      <c r="S116" s="57"/>
    </row>
    <row r="117" spans="19:19" x14ac:dyDescent="0.2">
      <c r="S117" s="57"/>
    </row>
    <row r="118" spans="19:19" x14ac:dyDescent="0.2">
      <c r="S118" s="57"/>
    </row>
    <row r="119" spans="19:19" x14ac:dyDescent="0.2">
      <c r="S119" s="57"/>
    </row>
    <row r="120" spans="19:19" x14ac:dyDescent="0.2">
      <c r="S120" s="57"/>
    </row>
    <row r="121" spans="19:19" x14ac:dyDescent="0.2">
      <c r="S121" s="57"/>
    </row>
    <row r="122" spans="19:19" x14ac:dyDescent="0.2">
      <c r="S122" s="57"/>
    </row>
    <row r="123" spans="19:19" x14ac:dyDescent="0.2">
      <c r="S123" s="57"/>
    </row>
    <row r="124" spans="19:19" x14ac:dyDescent="0.2">
      <c r="S124" s="57"/>
    </row>
    <row r="125" spans="19:19" x14ac:dyDescent="0.2">
      <c r="S125" s="57"/>
    </row>
    <row r="126" spans="19:19" x14ac:dyDescent="0.2">
      <c r="S126" s="57"/>
    </row>
    <row r="127" spans="19:19" x14ac:dyDescent="0.2">
      <c r="S127" s="57"/>
    </row>
    <row r="128" spans="19:19" x14ac:dyDescent="0.2">
      <c r="S128" s="57"/>
    </row>
    <row r="129" spans="19:19" x14ac:dyDescent="0.2">
      <c r="S129" s="57"/>
    </row>
    <row r="130" spans="19:19" x14ac:dyDescent="0.2">
      <c r="S130" s="57"/>
    </row>
    <row r="131" spans="19:19" x14ac:dyDescent="0.2">
      <c r="S131" s="57"/>
    </row>
    <row r="132" spans="19:19" x14ac:dyDescent="0.2">
      <c r="S132" s="57"/>
    </row>
    <row r="133" spans="19:19" x14ac:dyDescent="0.2">
      <c r="S133" s="57"/>
    </row>
    <row r="134" spans="19:19" x14ac:dyDescent="0.2">
      <c r="S134" s="57"/>
    </row>
    <row r="135" spans="19:19" x14ac:dyDescent="0.2">
      <c r="S135" s="57"/>
    </row>
    <row r="136" spans="19:19" x14ac:dyDescent="0.2">
      <c r="S136" s="57"/>
    </row>
    <row r="137" spans="19:19" x14ac:dyDescent="0.2">
      <c r="S137" s="57"/>
    </row>
    <row r="138" spans="19:19" x14ac:dyDescent="0.2">
      <c r="S138" s="57"/>
    </row>
    <row r="139" spans="19:19" x14ac:dyDescent="0.2">
      <c r="S139" s="57"/>
    </row>
    <row r="140" spans="19:19" x14ac:dyDescent="0.2">
      <c r="S140" s="57"/>
    </row>
    <row r="141" spans="19:19" x14ac:dyDescent="0.2">
      <c r="S141" s="57"/>
    </row>
    <row r="142" spans="19:19" x14ac:dyDescent="0.2">
      <c r="S142" s="57"/>
    </row>
    <row r="143" spans="19:19" x14ac:dyDescent="0.2">
      <c r="S143" s="57"/>
    </row>
    <row r="144" spans="19:19" x14ac:dyDescent="0.2">
      <c r="S144" s="57"/>
    </row>
    <row r="145" spans="19:19" x14ac:dyDescent="0.2">
      <c r="S145" s="57"/>
    </row>
    <row r="146" spans="19:19" x14ac:dyDescent="0.2">
      <c r="S146" s="57"/>
    </row>
    <row r="147" spans="19:19" x14ac:dyDescent="0.2">
      <c r="S147" s="57"/>
    </row>
    <row r="148" spans="19:19" x14ac:dyDescent="0.2">
      <c r="S148" s="57"/>
    </row>
    <row r="149" spans="19:19" x14ac:dyDescent="0.2">
      <c r="S149" s="57"/>
    </row>
    <row r="150" spans="19:19" x14ac:dyDescent="0.2">
      <c r="S150" s="57"/>
    </row>
    <row r="151" spans="19:19" x14ac:dyDescent="0.2">
      <c r="S151" s="57"/>
    </row>
    <row r="152" spans="19:19" x14ac:dyDescent="0.2">
      <c r="S152" s="57"/>
    </row>
    <row r="153" spans="19:19" x14ac:dyDescent="0.2">
      <c r="S153" s="57"/>
    </row>
    <row r="154" spans="19:19" x14ac:dyDescent="0.2">
      <c r="S154" s="57"/>
    </row>
    <row r="155" spans="19:19" x14ac:dyDescent="0.2">
      <c r="S155" s="57"/>
    </row>
    <row r="156" spans="19:19" x14ac:dyDescent="0.2">
      <c r="S156" s="57"/>
    </row>
    <row r="157" spans="19:19" x14ac:dyDescent="0.2">
      <c r="S157" s="57"/>
    </row>
    <row r="158" spans="19:19" x14ac:dyDescent="0.2">
      <c r="S158" s="57"/>
    </row>
    <row r="159" spans="19:19" x14ac:dyDescent="0.2">
      <c r="S159" s="57"/>
    </row>
    <row r="160" spans="19:19" x14ac:dyDescent="0.2">
      <c r="S160" s="57"/>
    </row>
    <row r="161" spans="19:19" x14ac:dyDescent="0.2">
      <c r="S161" s="57"/>
    </row>
    <row r="162" spans="19:19" x14ac:dyDescent="0.2">
      <c r="S162" s="57"/>
    </row>
    <row r="163" spans="19:19" x14ac:dyDescent="0.2">
      <c r="S163" s="57"/>
    </row>
    <row r="164" spans="19:19" x14ac:dyDescent="0.2">
      <c r="S164" s="57"/>
    </row>
    <row r="165" spans="19:19" x14ac:dyDescent="0.2">
      <c r="S165" s="57"/>
    </row>
    <row r="166" spans="19:19" x14ac:dyDescent="0.2">
      <c r="S166" s="57"/>
    </row>
    <row r="167" spans="19:19" x14ac:dyDescent="0.2">
      <c r="S167" s="57"/>
    </row>
    <row r="168" spans="19:19" x14ac:dyDescent="0.2">
      <c r="S168" s="57"/>
    </row>
    <row r="169" spans="19:19" x14ac:dyDescent="0.2">
      <c r="S169" s="57"/>
    </row>
    <row r="170" spans="19:19" x14ac:dyDescent="0.2">
      <c r="S170" s="57"/>
    </row>
    <row r="171" spans="19:19" x14ac:dyDescent="0.2">
      <c r="S171" s="57"/>
    </row>
    <row r="172" spans="19:19" x14ac:dyDescent="0.2">
      <c r="S172" s="57"/>
    </row>
    <row r="173" spans="19:19" x14ac:dyDescent="0.2">
      <c r="S173" s="57"/>
    </row>
    <row r="174" spans="19:19" x14ac:dyDescent="0.2">
      <c r="S174" s="57"/>
    </row>
    <row r="175" spans="19:19" x14ac:dyDescent="0.2">
      <c r="S175" s="57"/>
    </row>
    <row r="176" spans="19:19" x14ac:dyDescent="0.2">
      <c r="S176" s="57"/>
    </row>
    <row r="177" spans="19:19" x14ac:dyDescent="0.2">
      <c r="S177" s="57"/>
    </row>
    <row r="178" spans="19:19" x14ac:dyDescent="0.2">
      <c r="S178" s="57"/>
    </row>
    <row r="179" spans="19:19" x14ac:dyDescent="0.2">
      <c r="S179" s="57"/>
    </row>
    <row r="180" spans="19:19" x14ac:dyDescent="0.2">
      <c r="S180" s="57"/>
    </row>
    <row r="181" spans="19:19" x14ac:dyDescent="0.2">
      <c r="S181" s="57"/>
    </row>
    <row r="182" spans="19:19" x14ac:dyDescent="0.2">
      <c r="S182" s="57"/>
    </row>
    <row r="183" spans="19:19" x14ac:dyDescent="0.2">
      <c r="S183" s="57"/>
    </row>
    <row r="184" spans="19:19" x14ac:dyDescent="0.2">
      <c r="S184" s="57"/>
    </row>
    <row r="185" spans="19:19" x14ac:dyDescent="0.2">
      <c r="S185" s="57"/>
    </row>
    <row r="186" spans="19:19" x14ac:dyDescent="0.2">
      <c r="S186" s="57"/>
    </row>
    <row r="187" spans="19:19" x14ac:dyDescent="0.2">
      <c r="S187" s="57"/>
    </row>
    <row r="188" spans="19:19" x14ac:dyDescent="0.2">
      <c r="S188" s="57"/>
    </row>
    <row r="189" spans="19:19" x14ac:dyDescent="0.2">
      <c r="S189" s="57"/>
    </row>
    <row r="190" spans="19:19" x14ac:dyDescent="0.2">
      <c r="S190" s="57"/>
    </row>
    <row r="191" spans="19:19" x14ac:dyDescent="0.2">
      <c r="S191" s="57"/>
    </row>
    <row r="192" spans="19:19" x14ac:dyDescent="0.2">
      <c r="S192" s="57"/>
    </row>
    <row r="193" spans="19:19" x14ac:dyDescent="0.2">
      <c r="S193" s="57"/>
    </row>
    <row r="194" spans="19:19" x14ac:dyDescent="0.2">
      <c r="S194" s="57"/>
    </row>
    <row r="195" spans="19:19" x14ac:dyDescent="0.2">
      <c r="S195" s="57"/>
    </row>
    <row r="196" spans="19:19" x14ac:dyDescent="0.2">
      <c r="S196" s="57"/>
    </row>
    <row r="197" spans="19:19" x14ac:dyDescent="0.2">
      <c r="S197" s="57"/>
    </row>
    <row r="198" spans="19:19" x14ac:dyDescent="0.2">
      <c r="S198" s="57"/>
    </row>
    <row r="199" spans="19:19" x14ac:dyDescent="0.2">
      <c r="S199" s="57"/>
    </row>
    <row r="200" spans="19:19" x14ac:dyDescent="0.2">
      <c r="S200" s="57"/>
    </row>
    <row r="201" spans="19:19" x14ac:dyDescent="0.2">
      <c r="S201" s="57"/>
    </row>
    <row r="202" spans="19:19" x14ac:dyDescent="0.2">
      <c r="S202" s="57"/>
    </row>
    <row r="203" spans="19:19" x14ac:dyDescent="0.2">
      <c r="S203" s="57"/>
    </row>
    <row r="204" spans="19:19" x14ac:dyDescent="0.2">
      <c r="S204" s="57"/>
    </row>
    <row r="205" spans="19:19" x14ac:dyDescent="0.2">
      <c r="S205" s="57"/>
    </row>
    <row r="206" spans="19:19" x14ac:dyDescent="0.2">
      <c r="S206" s="57"/>
    </row>
    <row r="207" spans="19:19" x14ac:dyDescent="0.2">
      <c r="S207" s="57"/>
    </row>
    <row r="208" spans="19:19" x14ac:dyDescent="0.2">
      <c r="S208" s="57"/>
    </row>
    <row r="209" spans="19:19" x14ac:dyDescent="0.2">
      <c r="S209" s="57"/>
    </row>
    <row r="210" spans="19:19" x14ac:dyDescent="0.2">
      <c r="S210" s="57"/>
    </row>
    <row r="211" spans="19:19" x14ac:dyDescent="0.2">
      <c r="S211" s="57"/>
    </row>
    <row r="212" spans="19:19" x14ac:dyDescent="0.2">
      <c r="S212" s="57"/>
    </row>
    <row r="213" spans="19:19" x14ac:dyDescent="0.2">
      <c r="S213" s="57"/>
    </row>
    <row r="214" spans="19:19" x14ac:dyDescent="0.2">
      <c r="S214" s="57"/>
    </row>
    <row r="215" spans="19:19" x14ac:dyDescent="0.2">
      <c r="S215" s="57"/>
    </row>
    <row r="216" spans="19:19" x14ac:dyDescent="0.2">
      <c r="S216" s="57"/>
    </row>
    <row r="217" spans="19:19" x14ac:dyDescent="0.2">
      <c r="S217" s="57"/>
    </row>
    <row r="218" spans="19:19" x14ac:dyDescent="0.2">
      <c r="S218" s="57"/>
    </row>
    <row r="219" spans="19:19" x14ac:dyDescent="0.2">
      <c r="S219" s="57"/>
    </row>
    <row r="220" spans="19:19" x14ac:dyDescent="0.2">
      <c r="S220" s="57"/>
    </row>
    <row r="221" spans="19:19" x14ac:dyDescent="0.2">
      <c r="S221" s="57"/>
    </row>
    <row r="222" spans="19:19" x14ac:dyDescent="0.2">
      <c r="S222" s="57"/>
    </row>
    <row r="223" spans="19:19" x14ac:dyDescent="0.2">
      <c r="S223" s="57"/>
    </row>
    <row r="224" spans="19:19" x14ac:dyDescent="0.2">
      <c r="S224" s="57"/>
    </row>
    <row r="225" spans="19:19" x14ac:dyDescent="0.2">
      <c r="S225" s="57"/>
    </row>
    <row r="226" spans="19:19" x14ac:dyDescent="0.2">
      <c r="S226" s="57"/>
    </row>
    <row r="227" spans="19:19" x14ac:dyDescent="0.2">
      <c r="S227" s="57"/>
    </row>
    <row r="228" spans="19:19" x14ac:dyDescent="0.2">
      <c r="S228" s="57"/>
    </row>
    <row r="229" spans="19:19" x14ac:dyDescent="0.2">
      <c r="S229" s="57"/>
    </row>
    <row r="230" spans="19:19" x14ac:dyDescent="0.2">
      <c r="S230" s="57"/>
    </row>
    <row r="231" spans="19:19" x14ac:dyDescent="0.2">
      <c r="S231" s="57"/>
    </row>
    <row r="232" spans="19:19" x14ac:dyDescent="0.2">
      <c r="S232" s="57"/>
    </row>
    <row r="233" spans="19:19" x14ac:dyDescent="0.2">
      <c r="S233" s="57"/>
    </row>
    <row r="234" spans="19:19" x14ac:dyDescent="0.2">
      <c r="S234" s="57"/>
    </row>
    <row r="235" spans="19:19" x14ac:dyDescent="0.2">
      <c r="S235" s="57"/>
    </row>
    <row r="236" spans="19:19" x14ac:dyDescent="0.2">
      <c r="S236" s="57"/>
    </row>
    <row r="237" spans="19:19" x14ac:dyDescent="0.2">
      <c r="S237" s="57"/>
    </row>
    <row r="238" spans="19:19" x14ac:dyDescent="0.2">
      <c r="S238" s="57"/>
    </row>
    <row r="239" spans="19:19" x14ac:dyDescent="0.2">
      <c r="S239" s="57"/>
    </row>
    <row r="240" spans="19:19" x14ac:dyDescent="0.2">
      <c r="S240" s="57"/>
    </row>
    <row r="241" spans="19:19" x14ac:dyDescent="0.2">
      <c r="S241" s="57"/>
    </row>
    <row r="242" spans="19:19" x14ac:dyDescent="0.2">
      <c r="S242" s="57"/>
    </row>
    <row r="243" spans="19:19" x14ac:dyDescent="0.2">
      <c r="S243" s="57"/>
    </row>
    <row r="244" spans="19:19" x14ac:dyDescent="0.2">
      <c r="S244" s="57"/>
    </row>
    <row r="245" spans="19:19" x14ac:dyDescent="0.2">
      <c r="S245" s="57"/>
    </row>
    <row r="246" spans="19:19" x14ac:dyDescent="0.2">
      <c r="S246" s="57"/>
    </row>
    <row r="247" spans="19:19" x14ac:dyDescent="0.2">
      <c r="S247" s="57"/>
    </row>
    <row r="248" spans="19:19" x14ac:dyDescent="0.2">
      <c r="S248" s="57"/>
    </row>
    <row r="249" spans="19:19" x14ac:dyDescent="0.2">
      <c r="S249" s="57"/>
    </row>
    <row r="250" spans="19:19" x14ac:dyDescent="0.2">
      <c r="S250" s="57"/>
    </row>
    <row r="251" spans="19:19" x14ac:dyDescent="0.2">
      <c r="S251" s="57"/>
    </row>
    <row r="252" spans="19:19" x14ac:dyDescent="0.2">
      <c r="S252" s="57"/>
    </row>
    <row r="253" spans="19:19" x14ac:dyDescent="0.2">
      <c r="S253" s="57"/>
    </row>
    <row r="254" spans="19:19" x14ac:dyDescent="0.2">
      <c r="S254" s="57"/>
    </row>
    <row r="255" spans="19:19" x14ac:dyDescent="0.2">
      <c r="S255" s="57"/>
    </row>
    <row r="256" spans="19:19" x14ac:dyDescent="0.2">
      <c r="S256" s="57"/>
    </row>
    <row r="257" spans="19:19" x14ac:dyDescent="0.2">
      <c r="S257" s="57"/>
    </row>
    <row r="258" spans="19:19" x14ac:dyDescent="0.2">
      <c r="S258" s="57"/>
    </row>
    <row r="259" spans="19:19" x14ac:dyDescent="0.2">
      <c r="S259" s="57"/>
    </row>
    <row r="260" spans="19:19" x14ac:dyDescent="0.2">
      <c r="S260" s="57"/>
    </row>
    <row r="261" spans="19:19" x14ac:dyDescent="0.2">
      <c r="S261" s="57"/>
    </row>
    <row r="262" spans="19:19" x14ac:dyDescent="0.2">
      <c r="S262" s="57"/>
    </row>
    <row r="263" spans="19:19" x14ac:dyDescent="0.2">
      <c r="S263" s="57"/>
    </row>
    <row r="264" spans="19:19" x14ac:dyDescent="0.2">
      <c r="S264" s="57"/>
    </row>
    <row r="265" spans="19:19" x14ac:dyDescent="0.2">
      <c r="S265" s="57"/>
    </row>
    <row r="266" spans="19:19" x14ac:dyDescent="0.2">
      <c r="S266" s="57"/>
    </row>
    <row r="267" spans="19:19" x14ac:dyDescent="0.2">
      <c r="S267" s="57"/>
    </row>
    <row r="268" spans="19:19" x14ac:dyDescent="0.2">
      <c r="S268" s="57"/>
    </row>
    <row r="269" spans="19:19" x14ac:dyDescent="0.2">
      <c r="S269" s="57"/>
    </row>
    <row r="270" spans="19:19" x14ac:dyDescent="0.2">
      <c r="S270" s="57"/>
    </row>
    <row r="271" spans="19:19" x14ac:dyDescent="0.2">
      <c r="S271" s="57"/>
    </row>
    <row r="272" spans="19:19" x14ac:dyDescent="0.2">
      <c r="S272" s="57"/>
    </row>
    <row r="273" spans="19:19" x14ac:dyDescent="0.2">
      <c r="S273" s="57"/>
    </row>
    <row r="274" spans="19:19" x14ac:dyDescent="0.2">
      <c r="S274" s="57"/>
    </row>
    <row r="275" spans="19:19" x14ac:dyDescent="0.2">
      <c r="S275" s="57"/>
    </row>
    <row r="276" spans="19:19" x14ac:dyDescent="0.2">
      <c r="S276" s="57"/>
    </row>
    <row r="277" spans="19:19" x14ac:dyDescent="0.2">
      <c r="S277" s="57"/>
    </row>
    <row r="278" spans="19:19" x14ac:dyDescent="0.2">
      <c r="S278" s="57"/>
    </row>
    <row r="279" spans="19:19" x14ac:dyDescent="0.2">
      <c r="S279" s="57"/>
    </row>
    <row r="280" spans="19:19" x14ac:dyDescent="0.2">
      <c r="S280" s="57"/>
    </row>
    <row r="281" spans="19:19" x14ac:dyDescent="0.2">
      <c r="S281" s="57"/>
    </row>
    <row r="282" spans="19:19" x14ac:dyDescent="0.2">
      <c r="S282" s="57"/>
    </row>
    <row r="283" spans="19:19" x14ac:dyDescent="0.2">
      <c r="S283" s="57"/>
    </row>
    <row r="284" spans="19:19" x14ac:dyDescent="0.2">
      <c r="S284" s="57"/>
    </row>
    <row r="285" spans="19:19" x14ac:dyDescent="0.2">
      <c r="S285" s="57"/>
    </row>
    <row r="286" spans="19:19" x14ac:dyDescent="0.2">
      <c r="S286" s="57"/>
    </row>
    <row r="287" spans="19:19" x14ac:dyDescent="0.2">
      <c r="S287" s="57"/>
    </row>
    <row r="288" spans="19:19" x14ac:dyDescent="0.2">
      <c r="S288" s="57"/>
    </row>
    <row r="289" spans="19:19" x14ac:dyDescent="0.2">
      <c r="S289" s="57"/>
    </row>
    <row r="290" spans="19:19" x14ac:dyDescent="0.2">
      <c r="S290" s="57"/>
    </row>
    <row r="291" spans="19:19" x14ac:dyDescent="0.2">
      <c r="S291" s="57"/>
    </row>
    <row r="292" spans="19:19" x14ac:dyDescent="0.2">
      <c r="S292" s="57"/>
    </row>
    <row r="293" spans="19:19" x14ac:dyDescent="0.2">
      <c r="S293" s="57"/>
    </row>
    <row r="294" spans="19:19" x14ac:dyDescent="0.2">
      <c r="S294" s="57"/>
    </row>
    <row r="295" spans="19:19" x14ac:dyDescent="0.2">
      <c r="S295" s="57"/>
    </row>
    <row r="296" spans="19:19" x14ac:dyDescent="0.2">
      <c r="S296" s="57"/>
    </row>
    <row r="297" spans="19:19" x14ac:dyDescent="0.2">
      <c r="S297" s="57"/>
    </row>
    <row r="298" spans="19:19" x14ac:dyDescent="0.2">
      <c r="S298" s="57"/>
    </row>
    <row r="299" spans="19:19" x14ac:dyDescent="0.2">
      <c r="S299" s="57"/>
    </row>
    <row r="300" spans="19:19" x14ac:dyDescent="0.2">
      <c r="S300" s="57"/>
    </row>
    <row r="301" spans="19:19" x14ac:dyDescent="0.2">
      <c r="S301" s="57"/>
    </row>
    <row r="302" spans="19:19" x14ac:dyDescent="0.2">
      <c r="S302" s="57"/>
    </row>
    <row r="303" spans="19:19" x14ac:dyDescent="0.2">
      <c r="S303" s="57"/>
    </row>
    <row r="304" spans="19:19" x14ac:dyDescent="0.2">
      <c r="S304" s="57"/>
    </row>
    <row r="305" spans="19:19" x14ac:dyDescent="0.2">
      <c r="S305" s="57"/>
    </row>
    <row r="306" spans="19:19" x14ac:dyDescent="0.2">
      <c r="S306" s="57"/>
    </row>
    <row r="307" spans="19:19" x14ac:dyDescent="0.2">
      <c r="S307" s="57"/>
    </row>
    <row r="308" spans="19:19" x14ac:dyDescent="0.2">
      <c r="S308" s="57"/>
    </row>
    <row r="309" spans="19:19" x14ac:dyDescent="0.2">
      <c r="S309" s="57"/>
    </row>
    <row r="310" spans="19:19" x14ac:dyDescent="0.2">
      <c r="S310" s="57"/>
    </row>
    <row r="311" spans="19:19" x14ac:dyDescent="0.2">
      <c r="S311" s="57"/>
    </row>
    <row r="312" spans="19:19" x14ac:dyDescent="0.2">
      <c r="S312" s="57"/>
    </row>
    <row r="313" spans="19:19" x14ac:dyDescent="0.2">
      <c r="S313" s="57"/>
    </row>
    <row r="314" spans="19:19" x14ac:dyDescent="0.2">
      <c r="S314" s="57"/>
    </row>
    <row r="315" spans="19:19" x14ac:dyDescent="0.2">
      <c r="S315" s="57"/>
    </row>
    <row r="316" spans="19:19" x14ac:dyDescent="0.2">
      <c r="S316" s="57"/>
    </row>
    <row r="317" spans="19:19" x14ac:dyDescent="0.2">
      <c r="S317" s="57"/>
    </row>
    <row r="318" spans="19:19" x14ac:dyDescent="0.2">
      <c r="S318" s="57"/>
    </row>
    <row r="319" spans="19:19" x14ac:dyDescent="0.2">
      <c r="S319" s="57"/>
    </row>
    <row r="320" spans="19:19" x14ac:dyDescent="0.2">
      <c r="S320" s="57"/>
    </row>
    <row r="321" spans="19:19" x14ac:dyDescent="0.2">
      <c r="S321" s="57"/>
    </row>
    <row r="322" spans="19:19" x14ac:dyDescent="0.2">
      <c r="S322" s="57"/>
    </row>
    <row r="323" spans="19:19" x14ac:dyDescent="0.2">
      <c r="S323" s="57"/>
    </row>
    <row r="324" spans="19:19" x14ac:dyDescent="0.2">
      <c r="S324" s="57"/>
    </row>
    <row r="325" spans="19:19" x14ac:dyDescent="0.2">
      <c r="S325" s="57"/>
    </row>
    <row r="326" spans="19:19" x14ac:dyDescent="0.2">
      <c r="S326" s="57"/>
    </row>
    <row r="327" spans="19:19" x14ac:dyDescent="0.2">
      <c r="S327" s="57"/>
    </row>
    <row r="328" spans="19:19" x14ac:dyDescent="0.2">
      <c r="S328" s="57"/>
    </row>
    <row r="329" spans="19:19" x14ac:dyDescent="0.2">
      <c r="S329" s="57"/>
    </row>
    <row r="330" spans="19:19" x14ac:dyDescent="0.2">
      <c r="S330" s="57"/>
    </row>
    <row r="331" spans="19:19" x14ac:dyDescent="0.2">
      <c r="S331" s="57"/>
    </row>
    <row r="332" spans="19:19" x14ac:dyDescent="0.2">
      <c r="S332" s="57"/>
    </row>
    <row r="333" spans="19:19" x14ac:dyDescent="0.2">
      <c r="S333" s="57"/>
    </row>
    <row r="334" spans="19:19" x14ac:dyDescent="0.2">
      <c r="S334" s="57"/>
    </row>
    <row r="335" spans="19:19" x14ac:dyDescent="0.2">
      <c r="S335" s="57"/>
    </row>
    <row r="336" spans="19:19" x14ac:dyDescent="0.2">
      <c r="S336" s="57"/>
    </row>
    <row r="337" spans="19:19" x14ac:dyDescent="0.2">
      <c r="S337" s="57"/>
    </row>
    <row r="338" spans="19:19" x14ac:dyDescent="0.2">
      <c r="S338" s="57"/>
    </row>
    <row r="339" spans="19:19" x14ac:dyDescent="0.2">
      <c r="S339" s="57"/>
    </row>
    <row r="340" spans="19:19" x14ac:dyDescent="0.2">
      <c r="S340" s="57"/>
    </row>
    <row r="341" spans="19:19" x14ac:dyDescent="0.2">
      <c r="S341" s="57"/>
    </row>
    <row r="342" spans="19:19" x14ac:dyDescent="0.2">
      <c r="S342" s="57"/>
    </row>
    <row r="343" spans="19:19" x14ac:dyDescent="0.2">
      <c r="S343" s="57"/>
    </row>
    <row r="344" spans="19:19" x14ac:dyDescent="0.2">
      <c r="S344" s="57"/>
    </row>
    <row r="345" spans="19:19" x14ac:dyDescent="0.2">
      <c r="S345" s="57"/>
    </row>
    <row r="346" spans="19:19" x14ac:dyDescent="0.2">
      <c r="S346" s="57"/>
    </row>
    <row r="347" spans="19:19" x14ac:dyDescent="0.2">
      <c r="S347" s="57"/>
    </row>
    <row r="348" spans="19:19" x14ac:dyDescent="0.2">
      <c r="S348" s="57"/>
    </row>
    <row r="349" spans="19:19" x14ac:dyDescent="0.2">
      <c r="S349" s="57"/>
    </row>
    <row r="350" spans="19:19" x14ac:dyDescent="0.2">
      <c r="S350" s="57"/>
    </row>
    <row r="351" spans="19:19" x14ac:dyDescent="0.2">
      <c r="S351" s="57"/>
    </row>
    <row r="352" spans="19:19" x14ac:dyDescent="0.2">
      <c r="S352" s="57"/>
    </row>
    <row r="353" spans="19:19" x14ac:dyDescent="0.2">
      <c r="S353" s="57"/>
    </row>
    <row r="354" spans="19:19" x14ac:dyDescent="0.2">
      <c r="S354" s="57"/>
    </row>
    <row r="355" spans="19:19" x14ac:dyDescent="0.2">
      <c r="S355" s="57"/>
    </row>
    <row r="356" spans="19:19" x14ac:dyDescent="0.2">
      <c r="S356" s="57"/>
    </row>
    <row r="357" spans="19:19" x14ac:dyDescent="0.2">
      <c r="S357" s="57"/>
    </row>
    <row r="358" spans="19:19" x14ac:dyDescent="0.2">
      <c r="S358" s="57"/>
    </row>
    <row r="359" spans="19:19" x14ac:dyDescent="0.2">
      <c r="S359" s="57"/>
    </row>
    <row r="360" spans="19:19" x14ac:dyDescent="0.2">
      <c r="S360" s="57"/>
    </row>
    <row r="361" spans="19:19" x14ac:dyDescent="0.2">
      <c r="S361" s="57"/>
    </row>
    <row r="362" spans="19:19" x14ac:dyDescent="0.2">
      <c r="S362" s="57"/>
    </row>
    <row r="363" spans="19:19" x14ac:dyDescent="0.2">
      <c r="S363" s="57"/>
    </row>
    <row r="364" spans="19:19" x14ac:dyDescent="0.2">
      <c r="S364" s="57"/>
    </row>
    <row r="365" spans="19:19" x14ac:dyDescent="0.2">
      <c r="S365" s="57"/>
    </row>
    <row r="366" spans="19:19" x14ac:dyDescent="0.2">
      <c r="S366" s="57"/>
    </row>
    <row r="367" spans="19:19" x14ac:dyDescent="0.2">
      <c r="S367" s="57"/>
    </row>
    <row r="368" spans="19:19" x14ac:dyDescent="0.2">
      <c r="S368" s="57"/>
    </row>
    <row r="369" spans="19:19" x14ac:dyDescent="0.2">
      <c r="S369" s="57"/>
    </row>
    <row r="370" spans="19:19" x14ac:dyDescent="0.2">
      <c r="S370" s="57"/>
    </row>
    <row r="371" spans="19:19" x14ac:dyDescent="0.2">
      <c r="S371" s="57"/>
    </row>
    <row r="372" spans="19:19" x14ac:dyDescent="0.2">
      <c r="S372" s="57"/>
    </row>
    <row r="373" spans="19:19" x14ac:dyDescent="0.2">
      <c r="S373" s="57"/>
    </row>
    <row r="374" spans="19:19" x14ac:dyDescent="0.2">
      <c r="S374" s="57"/>
    </row>
    <row r="375" spans="19:19" x14ac:dyDescent="0.2">
      <c r="S375" s="57"/>
    </row>
    <row r="376" spans="19:19" x14ac:dyDescent="0.2">
      <c r="S376" s="57"/>
    </row>
    <row r="377" spans="19:19" x14ac:dyDescent="0.2">
      <c r="S377" s="57"/>
    </row>
    <row r="378" spans="19:19" x14ac:dyDescent="0.2">
      <c r="S378" s="57"/>
    </row>
    <row r="379" spans="19:19" x14ac:dyDescent="0.2">
      <c r="S379" s="57"/>
    </row>
    <row r="380" spans="19:19" x14ac:dyDescent="0.2">
      <c r="S380" s="57"/>
    </row>
    <row r="381" spans="19:19" x14ac:dyDescent="0.2">
      <c r="S381" s="57"/>
    </row>
    <row r="382" spans="19:19" x14ac:dyDescent="0.2">
      <c r="S382" s="57"/>
    </row>
    <row r="383" spans="19:19" x14ac:dyDescent="0.2">
      <c r="S383" s="57"/>
    </row>
    <row r="384" spans="19:19" x14ac:dyDescent="0.2">
      <c r="S384" s="57"/>
    </row>
    <row r="385" spans="19:19" x14ac:dyDescent="0.2">
      <c r="S385" s="57"/>
    </row>
    <row r="386" spans="19:19" x14ac:dyDescent="0.2">
      <c r="S386" s="57"/>
    </row>
    <row r="387" spans="19:19" x14ac:dyDescent="0.2">
      <c r="S387" s="57"/>
    </row>
    <row r="388" spans="19:19" x14ac:dyDescent="0.2">
      <c r="S388" s="57"/>
    </row>
    <row r="389" spans="19:19" x14ac:dyDescent="0.2">
      <c r="S389" s="57"/>
    </row>
    <row r="390" spans="19:19" x14ac:dyDescent="0.2">
      <c r="S390" s="57"/>
    </row>
    <row r="391" spans="19:19" x14ac:dyDescent="0.2">
      <c r="S391" s="57"/>
    </row>
    <row r="392" spans="19:19" x14ac:dyDescent="0.2">
      <c r="S392" s="57"/>
    </row>
    <row r="393" spans="19:19" x14ac:dyDescent="0.2">
      <c r="S393" s="57"/>
    </row>
    <row r="394" spans="19:19" x14ac:dyDescent="0.2">
      <c r="S394" s="57"/>
    </row>
    <row r="395" spans="19:19" x14ac:dyDescent="0.2">
      <c r="S395" s="57"/>
    </row>
    <row r="396" spans="19:19" x14ac:dyDescent="0.2">
      <c r="S396" s="57"/>
    </row>
    <row r="397" spans="19:19" x14ac:dyDescent="0.2">
      <c r="S397" s="57"/>
    </row>
    <row r="398" spans="19:19" x14ac:dyDescent="0.2">
      <c r="S398" s="57"/>
    </row>
    <row r="399" spans="19:19" x14ac:dyDescent="0.2">
      <c r="S399" s="57"/>
    </row>
    <row r="400" spans="19:19" x14ac:dyDescent="0.2">
      <c r="S400" s="57"/>
    </row>
    <row r="401" spans="19:19" x14ac:dyDescent="0.2">
      <c r="S401" s="57"/>
    </row>
    <row r="402" spans="19:19" x14ac:dyDescent="0.2">
      <c r="S402" s="57"/>
    </row>
    <row r="403" spans="19:19" x14ac:dyDescent="0.2">
      <c r="S403" s="57"/>
    </row>
    <row r="404" spans="19:19" x14ac:dyDescent="0.2">
      <c r="S404" s="57"/>
    </row>
    <row r="405" spans="19:19" x14ac:dyDescent="0.2">
      <c r="S405" s="57"/>
    </row>
    <row r="406" spans="19:19" x14ac:dyDescent="0.2">
      <c r="S406" s="57"/>
    </row>
    <row r="407" spans="19:19" x14ac:dyDescent="0.2">
      <c r="S407" s="57"/>
    </row>
    <row r="408" spans="19:19" x14ac:dyDescent="0.2">
      <c r="S408" s="57"/>
    </row>
    <row r="409" spans="19:19" x14ac:dyDescent="0.2">
      <c r="S409" s="57"/>
    </row>
    <row r="410" spans="19:19" x14ac:dyDescent="0.2">
      <c r="S410" s="57"/>
    </row>
    <row r="411" spans="19:19" x14ac:dyDescent="0.2">
      <c r="S411" s="57"/>
    </row>
    <row r="412" spans="19:19" x14ac:dyDescent="0.2">
      <c r="S412" s="57"/>
    </row>
    <row r="413" spans="19:19" x14ac:dyDescent="0.2">
      <c r="S413" s="57"/>
    </row>
    <row r="414" spans="19:19" x14ac:dyDescent="0.2">
      <c r="S414" s="57"/>
    </row>
    <row r="415" spans="19:19" x14ac:dyDescent="0.2">
      <c r="S415" s="57"/>
    </row>
    <row r="416" spans="19:19" x14ac:dyDescent="0.2">
      <c r="S416" s="57"/>
    </row>
    <row r="417" spans="19:19" x14ac:dyDescent="0.2">
      <c r="S417" s="57"/>
    </row>
    <row r="418" spans="19:19" x14ac:dyDescent="0.2">
      <c r="S418" s="57"/>
    </row>
    <row r="419" spans="19:19" x14ac:dyDescent="0.2">
      <c r="S419" s="57"/>
    </row>
    <row r="420" spans="19:19" x14ac:dyDescent="0.2">
      <c r="S420" s="57"/>
    </row>
    <row r="421" spans="19:19" x14ac:dyDescent="0.2">
      <c r="S421" s="57"/>
    </row>
    <row r="422" spans="19:19" x14ac:dyDescent="0.2">
      <c r="S422" s="57"/>
    </row>
    <row r="423" spans="19:19" x14ac:dyDescent="0.2">
      <c r="S423" s="57"/>
    </row>
    <row r="424" spans="19:19" x14ac:dyDescent="0.2">
      <c r="S424" s="57"/>
    </row>
    <row r="425" spans="19:19" x14ac:dyDescent="0.2">
      <c r="S425" s="57"/>
    </row>
    <row r="426" spans="19:19" x14ac:dyDescent="0.2">
      <c r="S426" s="57"/>
    </row>
    <row r="427" spans="19:19" x14ac:dyDescent="0.2">
      <c r="S427" s="57"/>
    </row>
    <row r="428" spans="19:19" x14ac:dyDescent="0.2">
      <c r="S428" s="57"/>
    </row>
    <row r="429" spans="19:19" x14ac:dyDescent="0.2">
      <c r="S429" s="57"/>
    </row>
    <row r="430" spans="19:19" x14ac:dyDescent="0.2">
      <c r="S430" s="57"/>
    </row>
    <row r="431" spans="19:19" x14ac:dyDescent="0.2">
      <c r="S431" s="57"/>
    </row>
    <row r="432" spans="19:19" x14ac:dyDescent="0.2">
      <c r="S432" s="57"/>
    </row>
    <row r="433" spans="19:19" x14ac:dyDescent="0.2">
      <c r="S433" s="57"/>
    </row>
    <row r="434" spans="19:19" x14ac:dyDescent="0.2">
      <c r="S434" s="57"/>
    </row>
    <row r="435" spans="19:19" x14ac:dyDescent="0.2">
      <c r="S435" s="57"/>
    </row>
    <row r="436" spans="19:19" x14ac:dyDescent="0.2">
      <c r="S436" s="57"/>
    </row>
    <row r="437" spans="19:19" x14ac:dyDescent="0.2">
      <c r="S437" s="57"/>
    </row>
    <row r="438" spans="19:19" x14ac:dyDescent="0.2">
      <c r="S438" s="57"/>
    </row>
    <row r="439" spans="19:19" x14ac:dyDescent="0.2">
      <c r="S439" s="57"/>
    </row>
    <row r="440" spans="19:19" x14ac:dyDescent="0.2">
      <c r="S440" s="57"/>
    </row>
    <row r="441" spans="19:19" x14ac:dyDescent="0.2">
      <c r="S441" s="57"/>
    </row>
    <row r="442" spans="19:19" x14ac:dyDescent="0.2">
      <c r="S442" s="57"/>
    </row>
    <row r="443" spans="19:19" x14ac:dyDescent="0.2">
      <c r="S443" s="57"/>
    </row>
    <row r="444" spans="19:19" x14ac:dyDescent="0.2">
      <c r="S444" s="57"/>
    </row>
    <row r="445" spans="19:19" x14ac:dyDescent="0.2">
      <c r="S445" s="57"/>
    </row>
    <row r="446" spans="19:19" x14ac:dyDescent="0.2">
      <c r="S446" s="57"/>
    </row>
    <row r="447" spans="19:19" x14ac:dyDescent="0.2">
      <c r="S447" s="57"/>
    </row>
    <row r="448" spans="19:19" x14ac:dyDescent="0.2">
      <c r="S448" s="57"/>
    </row>
    <row r="449" spans="19:19" x14ac:dyDescent="0.2">
      <c r="S449" s="57"/>
    </row>
    <row r="450" spans="19:19" x14ac:dyDescent="0.2">
      <c r="S450" s="57"/>
    </row>
    <row r="451" spans="19:19" x14ac:dyDescent="0.2">
      <c r="S451" s="57"/>
    </row>
    <row r="452" spans="19:19" x14ac:dyDescent="0.2">
      <c r="S452" s="57"/>
    </row>
    <row r="453" spans="19:19" x14ac:dyDescent="0.2">
      <c r="S453" s="57"/>
    </row>
    <row r="454" spans="19:19" x14ac:dyDescent="0.2">
      <c r="S454" s="57"/>
    </row>
    <row r="455" spans="19:19" x14ac:dyDescent="0.2">
      <c r="S455" s="57"/>
    </row>
    <row r="456" spans="19:19" x14ac:dyDescent="0.2">
      <c r="S456" s="57"/>
    </row>
    <row r="457" spans="19:19" x14ac:dyDescent="0.2">
      <c r="S457" s="57"/>
    </row>
    <row r="458" spans="19:19" x14ac:dyDescent="0.2">
      <c r="S458" s="57"/>
    </row>
    <row r="459" spans="19:19" x14ac:dyDescent="0.2">
      <c r="S459" s="57"/>
    </row>
    <row r="460" spans="19:19" x14ac:dyDescent="0.2">
      <c r="S460" s="57"/>
    </row>
    <row r="461" spans="19:19" x14ac:dyDescent="0.2">
      <c r="S461" s="57"/>
    </row>
    <row r="462" spans="19:19" x14ac:dyDescent="0.2">
      <c r="S462" s="57"/>
    </row>
    <row r="463" spans="19:19" x14ac:dyDescent="0.2">
      <c r="S463" s="57"/>
    </row>
    <row r="464" spans="19:19" x14ac:dyDescent="0.2">
      <c r="S464" s="57"/>
    </row>
    <row r="465" spans="19:19" x14ac:dyDescent="0.2">
      <c r="S465" s="57"/>
    </row>
    <row r="466" spans="19:19" x14ac:dyDescent="0.2">
      <c r="S466" s="57"/>
    </row>
    <row r="467" spans="19:19" x14ac:dyDescent="0.2">
      <c r="S467" s="57"/>
    </row>
    <row r="468" spans="19:19" x14ac:dyDescent="0.2">
      <c r="S468" s="57"/>
    </row>
    <row r="469" spans="19:19" x14ac:dyDescent="0.2">
      <c r="S469" s="57"/>
    </row>
    <row r="470" spans="19:19" x14ac:dyDescent="0.2">
      <c r="S470" s="57"/>
    </row>
    <row r="471" spans="19:19" x14ac:dyDescent="0.2">
      <c r="S471" s="57"/>
    </row>
    <row r="472" spans="19:19" x14ac:dyDescent="0.2">
      <c r="S472" s="57"/>
    </row>
    <row r="473" spans="19:19" x14ac:dyDescent="0.2">
      <c r="S473" s="57"/>
    </row>
    <row r="474" spans="19:19" x14ac:dyDescent="0.2">
      <c r="S474" s="57"/>
    </row>
    <row r="475" spans="19:19" x14ac:dyDescent="0.2">
      <c r="S475" s="57"/>
    </row>
    <row r="476" spans="19:19" x14ac:dyDescent="0.2">
      <c r="S476" s="57"/>
    </row>
    <row r="477" spans="19:19" x14ac:dyDescent="0.2">
      <c r="S477" s="57"/>
    </row>
    <row r="478" spans="19:19" x14ac:dyDescent="0.2">
      <c r="S478" s="57"/>
    </row>
    <row r="479" spans="19:19" x14ac:dyDescent="0.2">
      <c r="S479" s="57"/>
    </row>
    <row r="480" spans="19:19" x14ac:dyDescent="0.2">
      <c r="S480" s="57"/>
    </row>
    <row r="481" spans="19:19" x14ac:dyDescent="0.2">
      <c r="S481" s="57"/>
    </row>
    <row r="482" spans="19:19" x14ac:dyDescent="0.2">
      <c r="S482" s="57"/>
    </row>
    <row r="483" spans="19:19" x14ac:dyDescent="0.2">
      <c r="S483" s="57"/>
    </row>
    <row r="484" spans="19:19" x14ac:dyDescent="0.2">
      <c r="S484" s="57"/>
    </row>
    <row r="485" spans="19:19" x14ac:dyDescent="0.2">
      <c r="S485" s="57"/>
    </row>
    <row r="486" spans="19:19" x14ac:dyDescent="0.2">
      <c r="S486" s="57"/>
    </row>
    <row r="487" spans="19:19" x14ac:dyDescent="0.2">
      <c r="S487" s="57"/>
    </row>
    <row r="488" spans="19:19" x14ac:dyDescent="0.2">
      <c r="S488" s="57"/>
    </row>
    <row r="489" spans="19:19" x14ac:dyDescent="0.2">
      <c r="S489" s="57"/>
    </row>
    <row r="490" spans="19:19" x14ac:dyDescent="0.2">
      <c r="S490" s="57"/>
    </row>
    <row r="491" spans="19:19" x14ac:dyDescent="0.2">
      <c r="S491" s="57"/>
    </row>
    <row r="492" spans="19:19" x14ac:dyDescent="0.2">
      <c r="S492" s="57"/>
    </row>
    <row r="493" spans="19:19" x14ac:dyDescent="0.2">
      <c r="S493" s="57"/>
    </row>
    <row r="494" spans="19:19" x14ac:dyDescent="0.2">
      <c r="S494" s="57"/>
    </row>
    <row r="495" spans="19:19" x14ac:dyDescent="0.2">
      <c r="S495" s="57"/>
    </row>
    <row r="496" spans="19:19" x14ac:dyDescent="0.2">
      <c r="S496" s="57"/>
    </row>
    <row r="497" spans="19:19" x14ac:dyDescent="0.2">
      <c r="S497" s="57"/>
    </row>
    <row r="498" spans="19:19" x14ac:dyDescent="0.2">
      <c r="S498" s="57"/>
    </row>
    <row r="499" spans="19:19" x14ac:dyDescent="0.2">
      <c r="S499" s="57"/>
    </row>
    <row r="500" spans="19:19" x14ac:dyDescent="0.2">
      <c r="S500" s="57"/>
    </row>
    <row r="501" spans="19:19" x14ac:dyDescent="0.2">
      <c r="S501" s="57"/>
    </row>
    <row r="502" spans="19:19" x14ac:dyDescent="0.2">
      <c r="S502" s="57"/>
    </row>
    <row r="503" spans="19:19" x14ac:dyDescent="0.2">
      <c r="S503" s="57"/>
    </row>
    <row r="504" spans="19:19" x14ac:dyDescent="0.2">
      <c r="S504" s="57"/>
    </row>
    <row r="505" spans="19:19" x14ac:dyDescent="0.2">
      <c r="S505" s="57"/>
    </row>
    <row r="506" spans="19:19" x14ac:dyDescent="0.2">
      <c r="S506" s="57"/>
    </row>
    <row r="507" spans="19:19" x14ac:dyDescent="0.2">
      <c r="S507" s="57"/>
    </row>
    <row r="508" spans="19:19" x14ac:dyDescent="0.2">
      <c r="S508" s="57"/>
    </row>
    <row r="509" spans="19:19" x14ac:dyDescent="0.2">
      <c r="S509" s="57"/>
    </row>
    <row r="510" spans="19:19" x14ac:dyDescent="0.2">
      <c r="S510" s="57"/>
    </row>
    <row r="511" spans="19:19" x14ac:dyDescent="0.2">
      <c r="S511" s="57"/>
    </row>
    <row r="512" spans="19:19" x14ac:dyDescent="0.2">
      <c r="S512" s="57"/>
    </row>
    <row r="513" spans="19:19" x14ac:dyDescent="0.2">
      <c r="S513" s="57"/>
    </row>
    <row r="514" spans="19:19" x14ac:dyDescent="0.2">
      <c r="S514" s="57"/>
    </row>
    <row r="515" spans="19:19" x14ac:dyDescent="0.2">
      <c r="S515" s="57"/>
    </row>
    <row r="516" spans="19:19" x14ac:dyDescent="0.2">
      <c r="S516" s="57"/>
    </row>
    <row r="517" spans="19:19" x14ac:dyDescent="0.2">
      <c r="S517" s="57"/>
    </row>
    <row r="518" spans="19:19" x14ac:dyDescent="0.2">
      <c r="S518" s="57"/>
    </row>
    <row r="519" spans="19:19" x14ac:dyDescent="0.2">
      <c r="S519" s="57"/>
    </row>
    <row r="520" spans="19:19" x14ac:dyDescent="0.2">
      <c r="S520" s="57"/>
    </row>
    <row r="521" spans="19:19" x14ac:dyDescent="0.2">
      <c r="S521" s="57"/>
    </row>
    <row r="522" spans="19:19" x14ac:dyDescent="0.2">
      <c r="S522" s="57"/>
    </row>
    <row r="523" spans="19:19" x14ac:dyDescent="0.2">
      <c r="S523" s="57"/>
    </row>
    <row r="524" spans="19:19" x14ac:dyDescent="0.2">
      <c r="S524" s="57"/>
    </row>
    <row r="525" spans="19:19" x14ac:dyDescent="0.2">
      <c r="S525" s="57"/>
    </row>
    <row r="526" spans="19:19" x14ac:dyDescent="0.2">
      <c r="S526" s="57"/>
    </row>
    <row r="527" spans="19:19" x14ac:dyDescent="0.2">
      <c r="S527" s="57"/>
    </row>
    <row r="528" spans="19:19" x14ac:dyDescent="0.2">
      <c r="S528" s="57"/>
    </row>
    <row r="529" spans="19:19" x14ac:dyDescent="0.2">
      <c r="S529" s="57"/>
    </row>
    <row r="530" spans="19:19" x14ac:dyDescent="0.2">
      <c r="S530" s="57"/>
    </row>
    <row r="531" spans="19:19" x14ac:dyDescent="0.2">
      <c r="S531" s="57"/>
    </row>
    <row r="532" spans="19:19" x14ac:dyDescent="0.2">
      <c r="S532" s="57"/>
    </row>
    <row r="533" spans="19:19" x14ac:dyDescent="0.2">
      <c r="S533" s="57"/>
    </row>
    <row r="534" spans="19:19" x14ac:dyDescent="0.2">
      <c r="S534" s="57"/>
    </row>
    <row r="535" spans="19:19" x14ac:dyDescent="0.2">
      <c r="S535" s="57"/>
    </row>
    <row r="536" spans="19:19" x14ac:dyDescent="0.2">
      <c r="S536" s="57"/>
    </row>
    <row r="537" spans="19:19" x14ac:dyDescent="0.2">
      <c r="S537" s="57"/>
    </row>
    <row r="538" spans="19:19" x14ac:dyDescent="0.2">
      <c r="S538" s="57"/>
    </row>
    <row r="539" spans="19:19" x14ac:dyDescent="0.2">
      <c r="S539" s="57"/>
    </row>
    <row r="540" spans="19:19" x14ac:dyDescent="0.2">
      <c r="S540" s="57"/>
    </row>
    <row r="541" spans="19:19" x14ac:dyDescent="0.2">
      <c r="S541" s="57"/>
    </row>
    <row r="542" spans="19:19" x14ac:dyDescent="0.2">
      <c r="S542" s="57"/>
    </row>
    <row r="543" spans="19:19" x14ac:dyDescent="0.2">
      <c r="S543" s="57"/>
    </row>
    <row r="544" spans="19:19" x14ac:dyDescent="0.2">
      <c r="S544" s="57"/>
    </row>
    <row r="545" spans="19:19" x14ac:dyDescent="0.2">
      <c r="S545" s="57"/>
    </row>
    <row r="546" spans="19:19" x14ac:dyDescent="0.2">
      <c r="S546" s="57"/>
    </row>
    <row r="547" spans="19:19" x14ac:dyDescent="0.2">
      <c r="S547" s="57"/>
    </row>
    <row r="548" spans="19:19" x14ac:dyDescent="0.2">
      <c r="S548" s="57"/>
    </row>
    <row r="549" spans="19:19" x14ac:dyDescent="0.2">
      <c r="S549" s="57"/>
    </row>
    <row r="550" spans="19:19" x14ac:dyDescent="0.2">
      <c r="S550" s="57"/>
    </row>
    <row r="551" spans="19:19" x14ac:dyDescent="0.2">
      <c r="S551" s="57"/>
    </row>
    <row r="552" spans="19:19" x14ac:dyDescent="0.2">
      <c r="S552" s="57"/>
    </row>
    <row r="553" spans="19:19" x14ac:dyDescent="0.2">
      <c r="S553" s="57"/>
    </row>
    <row r="554" spans="19:19" x14ac:dyDescent="0.2">
      <c r="S554" s="57"/>
    </row>
    <row r="555" spans="19:19" x14ac:dyDescent="0.2">
      <c r="S555" s="57"/>
    </row>
    <row r="556" spans="19:19" x14ac:dyDescent="0.2">
      <c r="S556" s="57"/>
    </row>
    <row r="557" spans="19:19" x14ac:dyDescent="0.2">
      <c r="S557" s="57"/>
    </row>
    <row r="558" spans="19:19" x14ac:dyDescent="0.2">
      <c r="S558" s="57"/>
    </row>
    <row r="559" spans="19:19" x14ac:dyDescent="0.2">
      <c r="S559" s="57"/>
    </row>
    <row r="560" spans="19:19" x14ac:dyDescent="0.2">
      <c r="S560" s="57"/>
    </row>
    <row r="561" spans="19:19" x14ac:dyDescent="0.2">
      <c r="S561" s="57"/>
    </row>
    <row r="562" spans="19:19" x14ac:dyDescent="0.2">
      <c r="S562" s="57"/>
    </row>
    <row r="563" spans="19:19" x14ac:dyDescent="0.2">
      <c r="S563" s="57"/>
    </row>
    <row r="564" spans="19:19" x14ac:dyDescent="0.2">
      <c r="S564" s="57"/>
    </row>
    <row r="565" spans="19:19" x14ac:dyDescent="0.2">
      <c r="S565" s="57"/>
    </row>
    <row r="566" spans="19:19" x14ac:dyDescent="0.2">
      <c r="S566" s="57"/>
    </row>
    <row r="567" spans="19:19" x14ac:dyDescent="0.2">
      <c r="S567" s="57"/>
    </row>
    <row r="568" spans="19:19" x14ac:dyDescent="0.2">
      <c r="S568" s="57"/>
    </row>
    <row r="569" spans="19:19" x14ac:dyDescent="0.2">
      <c r="S569" s="57"/>
    </row>
    <row r="570" spans="19:19" x14ac:dyDescent="0.2">
      <c r="S570" s="57"/>
    </row>
    <row r="571" spans="19:19" x14ac:dyDescent="0.2">
      <c r="S571" s="57"/>
    </row>
    <row r="572" spans="19:19" x14ac:dyDescent="0.2">
      <c r="S572" s="57"/>
    </row>
    <row r="573" spans="19:19" x14ac:dyDescent="0.2">
      <c r="S573" s="57"/>
    </row>
    <row r="574" spans="19:19" x14ac:dyDescent="0.2">
      <c r="S574" s="57"/>
    </row>
    <row r="575" spans="19:19" x14ac:dyDescent="0.2">
      <c r="S575" s="57"/>
    </row>
    <row r="576" spans="19:19" x14ac:dyDescent="0.2">
      <c r="S576" s="57"/>
    </row>
    <row r="577" spans="19:19" x14ac:dyDescent="0.2">
      <c r="S577" s="57"/>
    </row>
    <row r="578" spans="19:19" x14ac:dyDescent="0.2">
      <c r="S578" s="57"/>
    </row>
    <row r="579" spans="19:19" x14ac:dyDescent="0.2">
      <c r="S579" s="57"/>
    </row>
    <row r="580" spans="19:19" x14ac:dyDescent="0.2">
      <c r="S580" s="57"/>
    </row>
    <row r="581" spans="19:19" x14ac:dyDescent="0.2">
      <c r="S581" s="57"/>
    </row>
    <row r="582" spans="19:19" x14ac:dyDescent="0.2">
      <c r="S582" s="57"/>
    </row>
    <row r="583" spans="19:19" x14ac:dyDescent="0.2">
      <c r="S583" s="57"/>
    </row>
    <row r="584" spans="19:19" x14ac:dyDescent="0.2">
      <c r="S584" s="57"/>
    </row>
    <row r="585" spans="19:19" x14ac:dyDescent="0.2">
      <c r="S585" s="57"/>
    </row>
    <row r="586" spans="19:19" x14ac:dyDescent="0.2">
      <c r="S586" s="57"/>
    </row>
    <row r="587" spans="19:19" x14ac:dyDescent="0.2">
      <c r="S587" s="57"/>
    </row>
    <row r="588" spans="19:19" x14ac:dyDescent="0.2">
      <c r="S588" s="57"/>
    </row>
    <row r="589" spans="19:19" x14ac:dyDescent="0.2">
      <c r="S589" s="57"/>
    </row>
    <row r="590" spans="19:19" x14ac:dyDescent="0.2">
      <c r="S590" s="57"/>
    </row>
    <row r="591" spans="19:19" x14ac:dyDescent="0.2">
      <c r="S591" s="57"/>
    </row>
    <row r="592" spans="19:19" x14ac:dyDescent="0.2">
      <c r="S592" s="57"/>
    </row>
    <row r="593" spans="19:19" x14ac:dyDescent="0.2">
      <c r="S593" s="57"/>
    </row>
    <row r="594" spans="19:19" x14ac:dyDescent="0.2">
      <c r="S594" s="57"/>
    </row>
    <row r="595" spans="19:19" x14ac:dyDescent="0.2">
      <c r="S595" s="57"/>
    </row>
    <row r="596" spans="19:19" x14ac:dyDescent="0.2">
      <c r="S596" s="57"/>
    </row>
    <row r="597" spans="19:19" x14ac:dyDescent="0.2">
      <c r="S597" s="57"/>
    </row>
    <row r="598" spans="19:19" x14ac:dyDescent="0.2">
      <c r="S598" s="57"/>
    </row>
    <row r="599" spans="19:19" x14ac:dyDescent="0.2">
      <c r="S599" s="57"/>
    </row>
    <row r="600" spans="19:19" x14ac:dyDescent="0.2">
      <c r="S600" s="57"/>
    </row>
    <row r="601" spans="19:19" x14ac:dyDescent="0.2">
      <c r="S601" s="57"/>
    </row>
    <row r="602" spans="19:19" x14ac:dyDescent="0.2">
      <c r="S602" s="57"/>
    </row>
    <row r="603" spans="19:19" x14ac:dyDescent="0.2">
      <c r="S603" s="57"/>
    </row>
    <row r="604" spans="19:19" x14ac:dyDescent="0.2">
      <c r="S604" s="57"/>
    </row>
    <row r="605" spans="19:19" x14ac:dyDescent="0.2">
      <c r="S605" s="57"/>
    </row>
    <row r="606" spans="19:19" x14ac:dyDescent="0.2">
      <c r="S606" s="57"/>
    </row>
    <row r="607" spans="19:19" x14ac:dyDescent="0.2">
      <c r="S607" s="57"/>
    </row>
    <row r="608" spans="19:19" x14ac:dyDescent="0.2">
      <c r="S608" s="57"/>
    </row>
    <row r="609" spans="19:19" x14ac:dyDescent="0.2">
      <c r="S609" s="57"/>
    </row>
    <row r="610" spans="19:19" x14ac:dyDescent="0.2">
      <c r="S610" s="57"/>
    </row>
    <row r="611" spans="19:19" x14ac:dyDescent="0.2">
      <c r="S611" s="57"/>
    </row>
    <row r="612" spans="19:19" x14ac:dyDescent="0.2">
      <c r="S612" s="57"/>
    </row>
    <row r="613" spans="19:19" x14ac:dyDescent="0.2">
      <c r="S613" s="57"/>
    </row>
    <row r="614" spans="19:19" x14ac:dyDescent="0.2">
      <c r="S614" s="57"/>
    </row>
    <row r="615" spans="19:19" x14ac:dyDescent="0.2">
      <c r="S615" s="57"/>
    </row>
    <row r="616" spans="19:19" x14ac:dyDescent="0.2">
      <c r="S616" s="57"/>
    </row>
    <row r="617" spans="19:19" x14ac:dyDescent="0.2">
      <c r="S617" s="57"/>
    </row>
    <row r="618" spans="19:19" x14ac:dyDescent="0.2">
      <c r="S618" s="57"/>
    </row>
    <row r="619" spans="19:19" x14ac:dyDescent="0.2">
      <c r="S619" s="57"/>
    </row>
    <row r="620" spans="19:19" x14ac:dyDescent="0.2">
      <c r="S620" s="57"/>
    </row>
    <row r="621" spans="19:19" x14ac:dyDescent="0.2">
      <c r="S621" s="57"/>
    </row>
    <row r="622" spans="19:19" x14ac:dyDescent="0.2">
      <c r="S622" s="57"/>
    </row>
    <row r="623" spans="19:19" x14ac:dyDescent="0.2">
      <c r="S623" s="57"/>
    </row>
    <row r="624" spans="19:19" x14ac:dyDescent="0.2">
      <c r="S624" s="57"/>
    </row>
    <row r="625" spans="19:19" x14ac:dyDescent="0.2">
      <c r="S625" s="57"/>
    </row>
    <row r="626" spans="19:19" x14ac:dyDescent="0.2">
      <c r="S626" s="57"/>
    </row>
    <row r="627" spans="19:19" x14ac:dyDescent="0.2">
      <c r="S627" s="57"/>
    </row>
    <row r="628" spans="19:19" x14ac:dyDescent="0.2">
      <c r="S628" s="57"/>
    </row>
    <row r="629" spans="19:19" x14ac:dyDescent="0.2">
      <c r="S629" s="57"/>
    </row>
    <row r="630" spans="19:19" x14ac:dyDescent="0.2">
      <c r="S630" s="57"/>
    </row>
    <row r="631" spans="19:19" x14ac:dyDescent="0.2">
      <c r="S631" s="57"/>
    </row>
    <row r="632" spans="19:19" x14ac:dyDescent="0.2">
      <c r="S632" s="57"/>
    </row>
    <row r="633" spans="19:19" x14ac:dyDescent="0.2">
      <c r="S633" s="57"/>
    </row>
    <row r="634" spans="19:19" x14ac:dyDescent="0.2">
      <c r="S634" s="57"/>
    </row>
    <row r="635" spans="19:19" x14ac:dyDescent="0.2">
      <c r="S635" s="57"/>
    </row>
    <row r="636" spans="19:19" x14ac:dyDescent="0.2">
      <c r="S636" s="57"/>
    </row>
    <row r="637" spans="19:19" x14ac:dyDescent="0.2">
      <c r="S637" s="57"/>
    </row>
    <row r="638" spans="19:19" x14ac:dyDescent="0.2">
      <c r="S638" s="57"/>
    </row>
    <row r="639" spans="19:19" x14ac:dyDescent="0.2">
      <c r="S639" s="57"/>
    </row>
    <row r="640" spans="19:19" x14ac:dyDescent="0.2">
      <c r="S640" s="57"/>
    </row>
    <row r="641" spans="19:19" x14ac:dyDescent="0.2">
      <c r="S641" s="57"/>
    </row>
    <row r="642" spans="19:19" x14ac:dyDescent="0.2">
      <c r="S642" s="57"/>
    </row>
    <row r="643" spans="19:19" x14ac:dyDescent="0.2">
      <c r="S643" s="57"/>
    </row>
    <row r="644" spans="19:19" x14ac:dyDescent="0.2">
      <c r="S644" s="57"/>
    </row>
    <row r="645" spans="19:19" x14ac:dyDescent="0.2">
      <c r="S645" s="57"/>
    </row>
    <row r="646" spans="19:19" x14ac:dyDescent="0.2">
      <c r="S646" s="57"/>
    </row>
    <row r="647" spans="19:19" x14ac:dyDescent="0.2">
      <c r="S647" s="57"/>
    </row>
    <row r="648" spans="19:19" x14ac:dyDescent="0.2">
      <c r="S648" s="57"/>
    </row>
    <row r="649" spans="19:19" x14ac:dyDescent="0.2">
      <c r="S649" s="57"/>
    </row>
    <row r="650" spans="19:19" x14ac:dyDescent="0.2">
      <c r="S650" s="57"/>
    </row>
    <row r="651" spans="19:19" x14ac:dyDescent="0.2">
      <c r="S651" s="57"/>
    </row>
    <row r="652" spans="19:19" x14ac:dyDescent="0.2">
      <c r="S652" s="57"/>
    </row>
    <row r="653" spans="19:19" x14ac:dyDescent="0.2">
      <c r="S653" s="57"/>
    </row>
    <row r="654" spans="19:19" x14ac:dyDescent="0.2">
      <c r="S654" s="57"/>
    </row>
    <row r="655" spans="19:19" x14ac:dyDescent="0.2">
      <c r="S655" s="57"/>
    </row>
    <row r="656" spans="19:19" x14ac:dyDescent="0.2">
      <c r="S656" s="57"/>
    </row>
    <row r="657" spans="19:19" x14ac:dyDescent="0.2">
      <c r="S657" s="57"/>
    </row>
    <row r="658" spans="19:19" x14ac:dyDescent="0.2">
      <c r="S658" s="57"/>
    </row>
    <row r="659" spans="19:19" x14ac:dyDescent="0.2">
      <c r="S659" s="57"/>
    </row>
    <row r="660" spans="19:19" x14ac:dyDescent="0.2">
      <c r="S660" s="57"/>
    </row>
    <row r="661" spans="19:19" x14ac:dyDescent="0.2">
      <c r="S661" s="57"/>
    </row>
    <row r="662" spans="19:19" x14ac:dyDescent="0.2">
      <c r="S662" s="57"/>
    </row>
    <row r="663" spans="19:19" x14ac:dyDescent="0.2">
      <c r="S663" s="57"/>
    </row>
    <row r="664" spans="19:19" x14ac:dyDescent="0.2">
      <c r="S664" s="57"/>
    </row>
    <row r="665" spans="19:19" x14ac:dyDescent="0.2">
      <c r="S665" s="57"/>
    </row>
    <row r="666" spans="19:19" x14ac:dyDescent="0.2">
      <c r="S666" s="57"/>
    </row>
    <row r="667" spans="19:19" x14ac:dyDescent="0.2">
      <c r="S667" s="57"/>
    </row>
    <row r="668" spans="19:19" x14ac:dyDescent="0.2">
      <c r="S668" s="57"/>
    </row>
    <row r="669" spans="19:19" x14ac:dyDescent="0.2">
      <c r="S669" s="57"/>
    </row>
    <row r="670" spans="19:19" x14ac:dyDescent="0.2">
      <c r="S670" s="57"/>
    </row>
    <row r="671" spans="19:19" x14ac:dyDescent="0.2">
      <c r="S671" s="57"/>
    </row>
    <row r="672" spans="19:19" x14ac:dyDescent="0.2">
      <c r="S672" s="57"/>
    </row>
    <row r="673" spans="19:19" x14ac:dyDescent="0.2">
      <c r="S673" s="57"/>
    </row>
    <row r="674" spans="19:19" x14ac:dyDescent="0.2">
      <c r="S674" s="57"/>
    </row>
    <row r="675" spans="19:19" x14ac:dyDescent="0.2">
      <c r="S675" s="57"/>
    </row>
    <row r="676" spans="19:19" x14ac:dyDescent="0.2">
      <c r="S676" s="57"/>
    </row>
    <row r="677" spans="19:19" x14ac:dyDescent="0.2">
      <c r="S677" s="57"/>
    </row>
    <row r="678" spans="19:19" x14ac:dyDescent="0.2">
      <c r="S678" s="57"/>
    </row>
    <row r="679" spans="19:19" x14ac:dyDescent="0.2">
      <c r="S679" s="57"/>
    </row>
    <row r="680" spans="19:19" x14ac:dyDescent="0.2">
      <c r="S680" s="57"/>
    </row>
    <row r="681" spans="19:19" x14ac:dyDescent="0.2">
      <c r="S681" s="57"/>
    </row>
    <row r="682" spans="19:19" x14ac:dyDescent="0.2">
      <c r="S682" s="57"/>
    </row>
    <row r="683" spans="19:19" x14ac:dyDescent="0.2">
      <c r="S683" s="57"/>
    </row>
    <row r="684" spans="19:19" x14ac:dyDescent="0.2">
      <c r="S684" s="57"/>
    </row>
    <row r="685" spans="19:19" x14ac:dyDescent="0.2">
      <c r="S685" s="57"/>
    </row>
    <row r="686" spans="19:19" x14ac:dyDescent="0.2">
      <c r="S686" s="57"/>
    </row>
    <row r="687" spans="19:19" x14ac:dyDescent="0.2">
      <c r="S687" s="57"/>
    </row>
    <row r="688" spans="19:19" x14ac:dyDescent="0.2">
      <c r="S688" s="57"/>
    </row>
    <row r="689" spans="19:19" x14ac:dyDescent="0.2">
      <c r="S689" s="57"/>
    </row>
    <row r="690" spans="19:19" x14ac:dyDescent="0.2">
      <c r="S690" s="57"/>
    </row>
    <row r="691" spans="19:19" x14ac:dyDescent="0.2">
      <c r="S691" s="57"/>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BPDF</vt:lpstr>
      <vt:lpstr>BANDHAN BOND IP</vt:lpstr>
      <vt:lpstr>BANDHAN BOND MT</vt:lpstr>
      <vt:lpstr>BANDHAN BOND ST</vt:lpstr>
      <vt:lpstr>BANDHAN CBF</vt:lpstr>
      <vt:lpstr>BANDHAN CRF</vt:lpstr>
      <vt:lpstr>BANDHAN FRF</vt:lpstr>
      <vt:lpstr>BANDHAN Long Dur</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2024-09-02T04:37:44Z</dcterms:created>
  <dcterms:modified xsi:type="dcterms:W3CDTF">2024-09-02T10:31:25Z</dcterms:modified>
</cp:coreProperties>
</file>