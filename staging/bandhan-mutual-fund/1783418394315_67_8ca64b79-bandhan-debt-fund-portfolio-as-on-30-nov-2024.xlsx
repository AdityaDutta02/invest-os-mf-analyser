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Y:\Product_Team\MONTH END DELIVERABLES-1\Portfolios_All\2024\Dec 2024\"/>
    </mc:Choice>
  </mc:AlternateContent>
  <xr:revisionPtr revIDLastSave="0" documentId="13_ncr:1_{F794C362-80DB-4B79-8C6E-1F777B0132F6}" xr6:coauthVersionLast="36" xr6:coauthVersionMax="36" xr10:uidLastSave="{00000000-0000-0000-0000-000000000000}"/>
  <bookViews>
    <workbookView xWindow="0" yWindow="0" windowWidth="10215" windowHeight="2595" xr2:uid="{25FCB3AE-1703-4CA8-B290-A2F73D9BA230}"/>
  </bookViews>
  <sheets>
    <sheet name="BANDHAN OF" sheetId="24" r:id="rId1"/>
    <sheet name="BANDHAN CF" sheetId="20" r:id="rId2"/>
    <sheet name="BANDHAN LDF" sheetId="22" r:id="rId3"/>
    <sheet name="BANDHAN MMF" sheetId="23" r:id="rId4"/>
    <sheet name="BANDHAN USTF" sheetId="25" r:id="rId5"/>
    <sheet name="BANDHAN DBF" sheetId="16" r:id="rId6"/>
    <sheet name="BANDHAN BOND IP" sheetId="4" r:id="rId7"/>
    <sheet name="BANDHAN BOND MT" sheetId="5" r:id="rId8"/>
    <sheet name="BANDHAN BOND ST" sheetId="6" r:id="rId9"/>
    <sheet name="BANDHAN BPDF" sheetId="27" r:id="rId10"/>
    <sheet name="BANDHAN CBF" sheetId="7" r:id="rId11"/>
    <sheet name="BANDHAN CRF" sheetId="8" r:id="rId12"/>
    <sheet name="BANDHAN FRF" sheetId="17" r:id="rId13"/>
    <sheet name="BANDHAN Long Dur" sheetId="21" r:id="rId14"/>
    <sheet name="BANDHAN GSF-IP" sheetId="19" r:id="rId15"/>
    <sheet name="BANDHAN GSF - CMP" sheetId="18" r:id="rId16"/>
    <sheet name="BANDHAN GIF26" sheetId="12" r:id="rId17"/>
    <sheet name="BANDHAN GIF2027" sheetId="15" r:id="rId18"/>
    <sheet name="BANDHAN GIF2028" sheetId="13" r:id="rId19"/>
    <sheet name="BANDHAN GIF32" sheetId="14" r:id="rId20"/>
    <sheet name="BANDHAN SDLGIF26" sheetId="10" r:id="rId21"/>
    <sheet name="BANDHAN SDLGIF27" sheetId="11" r:id="rId22"/>
    <sheet name="BANDHAN SDLGIF32" sheetId="9" r:id="rId23"/>
    <sheet name="BANDHAN ASBF" sheetId="2" r:id="rId24"/>
    <sheet name="BANDHAN US TB 0-1yr FOF" sheetId="28" r:id="rId25"/>
  </sheets>
  <externalReferences>
    <externalReference r:id="rId26"/>
    <externalReference r:id="rId27"/>
  </externalReferences>
  <definedNames>
    <definedName name="JR_PAGE_ANCHOR_0_24" localSheetId="24">#REF!</definedName>
    <definedName name="JR_PAGE_ANCHOR_0_24">#REF!</definedName>
    <definedName name="JR_PAGE_ANCHOR_0_25" localSheetId="24">#REF!</definedName>
    <definedName name="JR_PAGE_ANCHOR_0_25">#REF!</definedName>
    <definedName name="JR_PAGE_ANCHOR_0_26">#REF!</definedName>
    <definedName name="JR_PAGE_ANCHOR_0_27">#REF!</definedName>
    <definedName name="JR_PAGE_ANCHOR_0_2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8" l="1"/>
  <c r="J10" i="28"/>
  <c r="J9" i="28"/>
  <c r="J8" i="28"/>
</calcChain>
</file>

<file path=xl/sharedStrings.xml><?xml version="1.0" encoding="utf-8"?>
<sst xmlns="http://schemas.openxmlformats.org/spreadsheetml/2006/main" count="1493" uniqueCount="362">
  <si>
    <t>Bandhan All Seasons Bond Fund (30 November, 2024 )</t>
  </si>
  <si>
    <t>Name</t>
  </si>
  <si>
    <t>Rating</t>
  </si>
  <si>
    <t>Total</t>
  </si>
  <si>
    <t>AAA EQUIVALENT</t>
  </si>
  <si>
    <t>Asset Quality</t>
  </si>
  <si>
    <t>Average Maturity Years</t>
  </si>
  <si>
    <t>Asset Allocation</t>
  </si>
  <si>
    <t>Bandhan Banking &amp; PSU Debt Fund (30 November, 2024 )</t>
  </si>
  <si>
    <t>Net Assets as on 30 November, 2024</t>
  </si>
  <si>
    <t>13506.88 crs</t>
  </si>
  <si>
    <t>Bandhan Bond Fund - Income Plan (30 November, 2024 )</t>
  </si>
  <si>
    <t>483.32 crs</t>
  </si>
  <si>
    <t>HDFC Bank Limited</t>
  </si>
  <si>
    <t xml:space="preserve"> A1+</t>
  </si>
  <si>
    <t>Bank of Baroda</t>
  </si>
  <si>
    <t>Certificate of Deposit Total</t>
  </si>
  <si>
    <t>National Bank For Agriculture and Rural Development</t>
  </si>
  <si>
    <t xml:space="preserve"> AAA</t>
  </si>
  <si>
    <t>Tata Capital Limited</t>
  </si>
  <si>
    <t>Bajaj Housing Finance Limited</t>
  </si>
  <si>
    <t>REC Limited</t>
  </si>
  <si>
    <t>Corporate Bond Total</t>
  </si>
  <si>
    <t>Corporate Debt Market Development Fund</t>
  </si>
  <si>
    <t>Corporate Debt Market Development Fund Total</t>
  </si>
  <si>
    <t>7.3% GOI (MD 19/06/2053)</t>
  </si>
  <si>
    <t>7.04% GOI (MD 03/06/2029)</t>
  </si>
  <si>
    <t>7.17% GOI (MD 17/04/2030)</t>
  </si>
  <si>
    <t>6.79% GOI (MD 15/05/2027)</t>
  </si>
  <si>
    <t>7.73% GOI (MD 19/12/2034)</t>
  </si>
  <si>
    <t>Government Bond Total</t>
  </si>
  <si>
    <t>Clearing Corporation of India Ltd</t>
  </si>
  <si>
    <t>TRI Party Repo Total</t>
  </si>
  <si>
    <t>Net Current Asset</t>
  </si>
  <si>
    <t>Grand Total</t>
  </si>
  <si>
    <t>Company</t>
  </si>
  <si>
    <t>TRI Party Repo</t>
  </si>
  <si>
    <t>Certificate of Deposit</t>
  </si>
  <si>
    <t>Corporate Bond</t>
  </si>
  <si>
    <t>Government Bond</t>
  </si>
  <si>
    <t>Bandhan Bond Fund - Medium Term Plan (30 November, 2024 )</t>
  </si>
  <si>
    <t>1486.63 crs</t>
  </si>
  <si>
    <t>Axis Bank Limited</t>
  </si>
  <si>
    <t>Tata Capital Housing Finance Limited</t>
  </si>
  <si>
    <t>Bajaj Finance Limited</t>
  </si>
  <si>
    <t>7.18% GOI (MD 14/08/2033)</t>
  </si>
  <si>
    <t>7.32% GOI (MD 13/11/2030)</t>
  </si>
  <si>
    <t>8.24% GOI (MD 15/02/2027)</t>
  </si>
  <si>
    <t>State Government Bond Total</t>
  </si>
  <si>
    <t>State Government Bond</t>
  </si>
  <si>
    <t>Bandhan Bond Fund - Short Term Plan (30 November, 2024 )</t>
  </si>
  <si>
    <t>9834.34 crs</t>
  </si>
  <si>
    <t>Sundaram Finance Limited</t>
  </si>
  <si>
    <t>Kotak Mahindra Prime Limited</t>
  </si>
  <si>
    <t>Power Finance Corporation Limited</t>
  </si>
  <si>
    <t>5.63% GOI (MD 12/04/2026)</t>
  </si>
  <si>
    <t>Bandhan Corporate Bond Fund (30 November, 2024 )</t>
  </si>
  <si>
    <t>13795.89 crs</t>
  </si>
  <si>
    <t>National Housing Bank</t>
  </si>
  <si>
    <t>Export Import Bank of India</t>
  </si>
  <si>
    <t>Indian Railway Finance Corporation Limited</t>
  </si>
  <si>
    <t>Grasim Industries Limited</t>
  </si>
  <si>
    <t>Reliance Industries Limited</t>
  </si>
  <si>
    <t>Power Grid Corporation of India Limited</t>
  </si>
  <si>
    <t>Nuclear Power Corporation Of India Limited</t>
  </si>
  <si>
    <t>National Highways Authority Of India</t>
  </si>
  <si>
    <t>NTPC Limited</t>
  </si>
  <si>
    <t>Mahindra &amp; Mahindra Limited</t>
  </si>
  <si>
    <t>Small Industries Dev Bank of India</t>
  </si>
  <si>
    <t>Indian Oil Corporation Limited</t>
  </si>
  <si>
    <t>Hindustan Petroleum Corporation Limited</t>
  </si>
  <si>
    <t>7.1% GOI (MD 08/04/2034)</t>
  </si>
  <si>
    <t>Bandhan Credit Risk Fund (30 November, 2024 )</t>
  </si>
  <si>
    <t>300.19 crs</t>
  </si>
  <si>
    <t>Aditya Birla Real Estate Limited</t>
  </si>
  <si>
    <t xml:space="preserve"> AA</t>
  </si>
  <si>
    <t>Tata Projects Limited</t>
  </si>
  <si>
    <t>Godrej Industries Limited</t>
  </si>
  <si>
    <t xml:space="preserve"> AA+</t>
  </si>
  <si>
    <t>TVS Credit Services Limited</t>
  </si>
  <si>
    <t>AU Small Finance Bank Limited</t>
  </si>
  <si>
    <t>Nirma Limited</t>
  </si>
  <si>
    <t>Aadhar Housing Finance Limited</t>
  </si>
  <si>
    <t>Muthoot Finance Limited</t>
  </si>
  <si>
    <t>Nuvoco Vistas Corporation Limited</t>
  </si>
  <si>
    <t>Godrej Housing Finance Limited</t>
  </si>
  <si>
    <t>Godrej Properties Limited</t>
  </si>
  <si>
    <t>7.18% GOI (MD 24/07/2037)</t>
  </si>
  <si>
    <t>AA</t>
  </si>
  <si>
    <t>AA+</t>
  </si>
  <si>
    <t>Bandhan CRISIL IBX 90:10 SDL+Gilt Apr32 Index Fund (30 November, 2024 )</t>
  </si>
  <si>
    <t>583.11 crs</t>
  </si>
  <si>
    <t>6.54% GOI (MD 17/01/2032)</t>
  </si>
  <si>
    <t>6.1% GOI (MD 12/07/2031)</t>
  </si>
  <si>
    <t>Bandhan CRISIL IBX 90:10 SDL+Gilt Nov26 Index Fund (30 November, 2024 )</t>
  </si>
  <si>
    <t>5.74% GOI (MD 15/11/2026)</t>
  </si>
  <si>
    <t>Bandhan CRISIL IBX 90:10 SDL+Gilt Sep27 Index Fund (30 November, 2024 )</t>
  </si>
  <si>
    <t>7.38% GOI (MD 20/06/2027)</t>
  </si>
  <si>
    <t>Bandhan CRISIL IBX Gilt April 2026 Index Fund (30 November, 2024 )</t>
  </si>
  <si>
    <t>471.92 crs</t>
  </si>
  <si>
    <t>6.99% GOI (MD 17/04/2026)</t>
  </si>
  <si>
    <t>7.59% GOI(MD 11/01/2026)</t>
  </si>
  <si>
    <t>5.15% GOI (MD 09/11/2025)</t>
  </si>
  <si>
    <t>7.27% GOI (MD 08/04/2026)</t>
  </si>
  <si>
    <t>Bandhan CRISIL IBX Gilt April 2028 Index Fund (30 November, 2024 )</t>
  </si>
  <si>
    <t>4732.70 crs</t>
  </si>
  <si>
    <t>7.17% GOI (MD 08/01/2028)</t>
  </si>
  <si>
    <t>8.28% GOI (M/D 21/09/2027)</t>
  </si>
  <si>
    <t>Bandhan CRISIL IBX GILT APRIL 2032 INDEX FUND (30 November, 2024 )</t>
  </si>
  <si>
    <t>435.20 crs</t>
  </si>
  <si>
    <t>Average Maturity in Days</t>
  </si>
  <si>
    <t>Bandhan CRISIL IBX Gilt June 2027 Index Fund (30 November, 2024 )</t>
  </si>
  <si>
    <t>7101.48 crs</t>
  </si>
  <si>
    <t>Bandhan Dynamic Bond Fund (30 November, 2024 )</t>
  </si>
  <si>
    <t>3055.31 crs</t>
  </si>
  <si>
    <t>8.20% GOI (MD 24/09/2025)</t>
  </si>
  <si>
    <t>Bandhan Floating Rate Fund (30 November, 2024 )</t>
  </si>
  <si>
    <t>320.89 crs</t>
  </si>
  <si>
    <t>Cholamandalam Investment and Finance Company Ltd</t>
  </si>
  <si>
    <t>Interest Rate Swaps</t>
  </si>
  <si>
    <t>Bandhan Government Sec Fund-Constant Maturity Plan (30 November, 2024 )</t>
  </si>
  <si>
    <t>346.13 crs</t>
  </si>
  <si>
    <t>7.26% GOI (MD 22/08/2032)</t>
  </si>
  <si>
    <t>Bandhan Government Securities Fund-Investment Plan (30 November, 2024 )</t>
  </si>
  <si>
    <t>3684.50 crs</t>
  </si>
  <si>
    <t>Bandhan Liquid Fund (30 November, 2024 )</t>
  </si>
  <si>
    <t>13773.88 crs</t>
  </si>
  <si>
    <t>Punjab National Bank</t>
  </si>
  <si>
    <t>Canara Bank</t>
  </si>
  <si>
    <t>Union Bank of India</t>
  </si>
  <si>
    <t>Kotak Mahindra Bank Limited</t>
  </si>
  <si>
    <t>Reliance Jio Infocomm Limited</t>
  </si>
  <si>
    <t>Tata Steel Limited</t>
  </si>
  <si>
    <t>Reliance Retail Ventures Limited</t>
  </si>
  <si>
    <t>L&amp;T Finance Limited</t>
  </si>
  <si>
    <t>Axis Securities Limited</t>
  </si>
  <si>
    <t>HDFC Securities Limited</t>
  </si>
  <si>
    <t>UltraTech Cement Limited</t>
  </si>
  <si>
    <t>Larsen &amp; Toubro Limited</t>
  </si>
  <si>
    <t>Mahindra &amp; Mahindra Financial Services Limited</t>
  </si>
  <si>
    <t>Panatone Finvest Limited</t>
  </si>
  <si>
    <t>Kotak Securities Limited</t>
  </si>
  <si>
    <t>Tata Motors Finance Limited</t>
  </si>
  <si>
    <t>Bajaj Financial Securities Limited</t>
  </si>
  <si>
    <t>ICICI Securities Limited</t>
  </si>
  <si>
    <t>Barclays Investments &amp; Loans (India) Private Limited</t>
  </si>
  <si>
    <t>Commercial Paper Total</t>
  </si>
  <si>
    <t>91 Days Tbill (MD 27/02/2025)</t>
  </si>
  <si>
    <t>91 Days Tbill (MD 21/02/2025)</t>
  </si>
  <si>
    <t>91 Days Tbill (MD 13/02/2025)</t>
  </si>
  <si>
    <t>182 Days Tbill (MD 12/12/2024)</t>
  </si>
  <si>
    <t>364 Days Tbill (MD 19/12/2024)</t>
  </si>
  <si>
    <t>91 Days Tbill (MD 16/01/2025)</t>
  </si>
  <si>
    <t>364 Days Tbill (MD 30/01/2025)</t>
  </si>
  <si>
    <t>364 Days Tbill (MD 23/01/2025)</t>
  </si>
  <si>
    <t>91 Days Tbill (MD 30/01/2025)</t>
  </si>
  <si>
    <t>364 Days Tbill (MD 06/02/2025)</t>
  </si>
  <si>
    <t>Treasury Bill Total</t>
  </si>
  <si>
    <t>Commercial Paper</t>
  </si>
  <si>
    <t>Treasury Bill</t>
  </si>
  <si>
    <t>Bandhan Long Duration Fund (30 November, 2024 )</t>
  </si>
  <si>
    <t>205.94 crs</t>
  </si>
  <si>
    <t>7.46% GOI (MD 06/11/2073)</t>
  </si>
  <si>
    <t>Bandhan Low Duration Fund (30 November, 2024 )</t>
  </si>
  <si>
    <t>5621.81 crs</t>
  </si>
  <si>
    <t>Zero Coupon Bond Total</t>
  </si>
  <si>
    <t>Zero Coupon Bond</t>
  </si>
  <si>
    <t>Bandhan Money Manager Fund (30 November, 2024 )</t>
  </si>
  <si>
    <t>11658.72 crs</t>
  </si>
  <si>
    <t>ICICI Bank Limited</t>
  </si>
  <si>
    <t>IndusInd Bank Limited</t>
  </si>
  <si>
    <t>Indian Bank</t>
  </si>
  <si>
    <t>Bharti Telecom Limited</t>
  </si>
  <si>
    <t>Government Bond Strips Total</t>
  </si>
  <si>
    <t>182 Days Tbill (MD 27/02/2025)</t>
  </si>
  <si>
    <t>182 Days Tbill (MD 13/03/2025)</t>
  </si>
  <si>
    <t>182 Days Tbill (MD 14/02/2025)</t>
  </si>
  <si>
    <t>182 Days Tbill (MD 20/02/2025)</t>
  </si>
  <si>
    <t>364 Days Tbill (MD 02/05/2025)</t>
  </si>
  <si>
    <t>Government Bond Strips</t>
  </si>
  <si>
    <t>Bandhan Overnight Fund (30 November, 2024 )</t>
  </si>
  <si>
    <t>1152.58 crs</t>
  </si>
  <si>
    <t>REPO Total</t>
  </si>
  <si>
    <t>364 Days Tbill (MD 05/12/2024)</t>
  </si>
  <si>
    <t>182 Days Tbill (MD 26/12/2024)</t>
  </si>
  <si>
    <t>REPO</t>
  </si>
  <si>
    <t>Bandhan Ultra Short Term Fund (30 November, 2024 )</t>
  </si>
  <si>
    <t>3819.62 crs</t>
  </si>
  <si>
    <t>State Bank of India</t>
  </si>
  <si>
    <t>NHPC Limited</t>
  </si>
  <si>
    <t xml:space="preserve">SOV  </t>
  </si>
  <si>
    <t>8.28% Maharashtra SDL (MD 29/07/2025)</t>
  </si>
  <si>
    <t>8.17% Tamilnadu SDL (MD 26/11/2025)</t>
  </si>
  <si>
    <t>8.24% Andhra Pradesh SDL (MD 09/12/2025)</t>
  </si>
  <si>
    <t>8.27% Gujarat SDL (MD 13/01/2026)</t>
  </si>
  <si>
    <t>8.29% Andhra Pradesh SDL (MD 13/01/2026)</t>
  </si>
  <si>
    <t>8.36% Maharashtra SDL (MD 27/01/2026)</t>
  </si>
  <si>
    <t>8.38% Karnataka SDL (MD 27/01/2026)</t>
  </si>
  <si>
    <t>8.38% Tamil Nadu SDL (MD 27/01/2026)</t>
  </si>
  <si>
    <t>8.39% Andhra Pradesh SDL (MD 27/01/2026)</t>
  </si>
  <si>
    <t>8.39% Madhya Pradesh SDL (MD 27/01/2026)</t>
  </si>
  <si>
    <t>8.47% Maharashtra SDL (MD 10/02/2026)</t>
  </si>
  <si>
    <t>8.54% Bihar SDL (MD 10/02/2026)</t>
  </si>
  <si>
    <t>8.49% Tamil Nadu SDL (MD 10/02/2026)</t>
  </si>
  <si>
    <t>8.82% Bihar SDL (MD 24/02/2026)</t>
  </si>
  <si>
    <t>8.76% Madhya Pradesh SDL (MD 24/02/2026)</t>
  </si>
  <si>
    <t>8.69% Tamilnadu SDL (MD 24/02/2026)</t>
  </si>
  <si>
    <t>8.65% Rajasthan SDL(MD 24/02/2026)</t>
  </si>
  <si>
    <t>8.3% Madhya Pradesh SDL (MD  13/01/2026)</t>
  </si>
  <si>
    <t>8.38% Rajasthan SDL (MD 27/01/2026)</t>
  </si>
  <si>
    <t>7.59% Gujarat SDL (MD 15/02/2027)</t>
  </si>
  <si>
    <t>7.59% Haryana SDL (MD 15/02/2027)</t>
  </si>
  <si>
    <t>8.07% Rajasthan SDL (MD 31/01/2028)</t>
  </si>
  <si>
    <t>8.28% Rajasthan SDL (MD 21/02/2028)</t>
  </si>
  <si>
    <t>8.44% Rajasthan SDL (MD 07/03/2028)</t>
  </si>
  <si>
    <t>8.28% Rajasthan SDL (MD 14/03/2028)</t>
  </si>
  <si>
    <t>8.03% Karnataka SDL (MD 31/01/2028)</t>
  </si>
  <si>
    <t>8.43% Uttar Pradesh SDL (MD 06/03/2029)</t>
  </si>
  <si>
    <t>8.27% Haryana SDL (MD 13/05/2025)</t>
  </si>
  <si>
    <t>8.32% Uttar Pradesh SDL (MD 13/02/2029)</t>
  </si>
  <si>
    <t>8.31% TELANGANA SDL (MD 13/01/2026)</t>
  </si>
  <si>
    <t>8.14% Rajasthan SDL (MD 13/11/2025)</t>
  </si>
  <si>
    <t>8.34% Uttar Pradesh SDL (MD 13/01/2026)</t>
  </si>
  <si>
    <t>8.23% Chhatisgarh SDL (MD 09/12/2025)</t>
  </si>
  <si>
    <t>6.10% Rajasthan SDL (MD 25/05/2026)</t>
  </si>
  <si>
    <t>8.52% Telangana SDL (MD 10/02/2026)</t>
  </si>
  <si>
    <t>7.38% Madhya Pradesh SDL (MD 14/09/2026)</t>
  </si>
  <si>
    <t>8.16% Rajasthan SDL (MD 09/05/2028)</t>
  </si>
  <si>
    <t>8.16% Gujarat SDL (MD 09/05/2028)</t>
  </si>
  <si>
    <t>8.38% Rajasthan SDL (MD 05/12/2028)</t>
  </si>
  <si>
    <t>5.32% Chhatisgarh SDL (MD 25/11/2025)</t>
  </si>
  <si>
    <t>7.57% Gujarat SDL (MD 09/11/2026)</t>
  </si>
  <si>
    <t>7.41% Uttar Pradesh SDL (MD 09/11/2026)</t>
  </si>
  <si>
    <t>7.22% Gujarat SDL (MD 14/06/2028)</t>
  </si>
  <si>
    <t>7.61% Andhra Pradesh SDL (MD 15/02/2027)</t>
  </si>
  <si>
    <t>GOI Strips (MD 19/03/2025)</t>
  </si>
  <si>
    <t>7.36% GOI (MD12/09/2052)-Strips (C)-(MD12/03/2025)</t>
  </si>
  <si>
    <t>GOI Strips (MD 12/12/2024 )</t>
  </si>
  <si>
    <t>8.17% West Bengal SDL (MD 27/05/2025)</t>
  </si>
  <si>
    <t>8.29% Kerala SDL (MD 29/07/2025)</t>
  </si>
  <si>
    <t>8.29% Gujarat SDL  (MD 26/08/2025)</t>
  </si>
  <si>
    <t>8.23% Maharashtra SDL (09/09/2025)</t>
  </si>
  <si>
    <t>8.16% Maharastra SDL (23/09/2025)</t>
  </si>
  <si>
    <t>7.98% Andhra Pradesh SDL (14/10/2025)</t>
  </si>
  <si>
    <t>8.24% Tamilnadu SDL(MD 09/09/2025)</t>
  </si>
  <si>
    <t>8.06% Tamilnadu SDL (MD 29/04/2025)</t>
  </si>
  <si>
    <t>8.24% Tamilnadu SDL (MD 10/06/2025)</t>
  </si>
  <si>
    <t>7.89%  GUJARAT SDL (MD 15/05/2025)</t>
  </si>
  <si>
    <t>8.09% Madhya Pradesh SDL (MD 11/03/2025)</t>
  </si>
  <si>
    <t>5.95% Tamilnadu SDL (MD 13/05/2025)</t>
  </si>
  <si>
    <t>5.9% Telangana SDL (MD 27/05/2025)</t>
  </si>
  <si>
    <t>6.69% Madhya Pradesh SDL (MD 17/03/2025)</t>
  </si>
  <si>
    <t>5.75% Rajasthan SDL (MD 10/06/2025)</t>
  </si>
  <si>
    <t>8.29% Haryana SDL (MD 29/07/2025)</t>
  </si>
  <si>
    <t>8.27% Karnataka SDL (MD 13/01/2026)</t>
  </si>
  <si>
    <t>8.25% Maharashtra SDL(MD 10/06/2025)</t>
  </si>
  <si>
    <t>8.53% Uttar Pradesh SDL (MD 10/02/2026)</t>
  </si>
  <si>
    <t>8.27% Madhya Pradesh SDL (MD 23/12/2025)</t>
  </si>
  <si>
    <t>7.98% Tamilnadu SDL (MD 25/05/2026)</t>
  </si>
  <si>
    <t>8.05% Haryana SDL (MD 25/02/2025)</t>
  </si>
  <si>
    <t>8.27% Haryana SDL (MD 23/12/2025)</t>
  </si>
  <si>
    <t>6.18% Gujarat SDL (MD 25/01/2026)</t>
  </si>
  <si>
    <t>6.03% Rajasthan SDL (MD 11/03/2025)</t>
  </si>
  <si>
    <t>8.37% Tamil Nadu SDL (MD 05/12/2028)</t>
  </si>
  <si>
    <t>7.63% Maharashtra SDL (MD 11/05/2030)</t>
  </si>
  <si>
    <t>7.18% Tamilnadu SDL (MD 26/07/2027)</t>
  </si>
  <si>
    <t>Tata Capital Limited*</t>
  </si>
  <si>
    <t>Power Grid Corporation of India Limited*</t>
  </si>
  <si>
    <t>5.75% Tamilnadu SDL (MD 27/05/2025)</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</si>
  <si>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</si>
  <si>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</si>
  <si>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</si>
  <si>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</si>
  <si>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</si>
  <si>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</si>
  <si>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</si>
  <si>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</si>
  <si>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</si>
  <si>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</si>
  <si>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</si>
  <si>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</si>
  <si>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</si>
  <si>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</si>
  <si>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</si>
  <si>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</si>
  <si>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7.58% Tamilnadu SDL (MD 24/08/2026)</t>
  </si>
  <si>
    <t>7.51% Maharashtra SDL (MD 24/05/2027)</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</si>
  <si>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</si>
  <si>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</si>
  <si>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</si>
  <si>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</si>
  <si>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</si>
  <si>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</si>
  <si>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</si>
  <si>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</si>
  <si>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</si>
  <si>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</si>
  <si>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</si>
  <si>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</si>
  <si>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</si>
  <si>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7.02% Karnataka SDL (MD 29/12/2031)</t>
  </si>
  <si>
    <t>7.28% Uttar Pradesh SDL (MD 25/01/2032)</t>
  </si>
  <si>
    <t>7.21% Karnataka SDL (MD 02/02/2032)</t>
  </si>
  <si>
    <t>7.12% Gujarat SDL (MD 02/03/2032)</t>
  </si>
  <si>
    <t>7.17% Kerala SDL (MD 02/03/2032)</t>
  </si>
  <si>
    <t>7.14% Tamilnadu SDL (MD 02/03/2032)</t>
  </si>
  <si>
    <t>7.26% Haryana SDL (MD 23/03/2032)</t>
  </si>
  <si>
    <t>7.09% Rajasthan SDL (MD 16/02/2032)</t>
  </si>
  <si>
    <t>7.22% Rajasthan SDL (MD 16/03/2032)</t>
  </si>
  <si>
    <t>7.23% Tamilnadu SDL (MD 23/03/2032)</t>
  </si>
  <si>
    <t>7.29% Gujarat SDL (MD 30/03/2032)</t>
  </si>
  <si>
    <t>7.25% Gujarat SDL (MD 09/03/2032)</t>
  </si>
  <si>
    <t>7.3% Tamilnadu SDL (MD 30/03/2032)</t>
  </si>
  <si>
    <t>7.8% Andhra Pradesh SDL (MD 22/06/2031)</t>
  </si>
  <si>
    <t>7.13% Haryana SDL (MD 05/01/2032)</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</si>
  <si>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</si>
  <si>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</si>
  <si>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</si>
  <si>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</si>
  <si>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</si>
  <si>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</si>
  <si>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</si>
  <si>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</si>
  <si>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</si>
  <si>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</si>
  <si>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</si>
  <si>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7.24% Rajasthan SDL (MD 09/02/2032)</t>
  </si>
  <si>
    <t>7.19% Tamilnadu SDL (MD 16/03/2032)</t>
  </si>
  <si>
    <t>Bandhan Bond Fund -Short Term Pl Direct Pl-Growth</t>
  </si>
  <si>
    <t>Bandhan Floating Rate Fund Direct Growth</t>
  </si>
  <si>
    <t>Mutual Fund Units Total</t>
  </si>
  <si>
    <t>Mutual Fund Units</t>
  </si>
  <si>
    <t>Bandhan-Bandhan Banking &amp; PSU Debt Fund -Direct Gr</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</si>
  <si>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</si>
  <si>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*Reduced Face Value Bonds</t>
  </si>
  <si>
    <t>AAA EQUIVALENT / A1+</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</si>
  <si>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</si>
  <si>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</si>
  <si>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</si>
  <si>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112.91 crs</t>
  </si>
  <si>
    <t>114.44 crs</t>
  </si>
  <si>
    <t>149.74 crs</t>
  </si>
  <si>
    <t>141.11 crs</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</si>
  <si>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</si>
  <si>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</si>
  <si>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</si>
  <si>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</si>
  <si>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</si>
  <si>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</si>
  <si>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</si>
  <si>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</si>
  <si>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</si>
  <si>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</si>
  <si>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</si>
  <si>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</si>
  <si>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</si>
  <si>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</si>
  <si>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</si>
  <si>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</si>
  <si>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</si>
  <si>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</si>
  <si>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BANDHAN US TREASURY BOND 0-1 YEAR FUND OF FUND  (30 November,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</si>
</sst>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5"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0"/>
      <name val="Calibri"/>
      <family val="2"/>
      <scheme val="minor"/>
    </font>
    <font>
      <sz val="11"/>
      <color theme="1"/>
      <name val="Calibri"/>
      <family val="2"/>
      <scheme val="minor"/>
    </font>
    <font>
      <sz val="12"/>
      <name val="Arial"/>
      <family val="2"/>
    </font>
    <font>
      <b/>
      <sz val="16"/>
      <name val="Arial"/>
      <family val="2"/>
    </font>
    <font>
      <sz val="11"/>
      <name val="Calibri"/>
      <family val="2"/>
      <scheme val="minor"/>
    </font>
    <font>
      <b/>
      <sz val="12"/>
      <name val="Arial"/>
      <family val="2"/>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9" fillId="0" borderId="0" applyFont="0" applyFill="0" applyBorder="0" applyAlignment="0" applyProtection="0"/>
  </cellStyleXfs>
  <cellXfs count="10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1" fillId="0" borderId="4" xfId="0" applyFont="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7" fillId="0" borderId="0" xfId="0" applyFont="1" applyBorder="1"/>
    <xf numFmtId="0" fontId="8" fillId="0" borderId="0" xfId="0" applyFont="1" applyFill="1" applyBorder="1"/>
    <xf numFmtId="10" fontId="8" fillId="0" borderId="0" xfId="0" applyNumberFormat="1" applyFont="1" applyFill="1" applyBorder="1"/>
    <xf numFmtId="0" fontId="8" fillId="0" borderId="0" xfId="0" applyFont="1" applyBorder="1"/>
    <xf numFmtId="1" fontId="5" fillId="2" borderId="0" xfId="0" applyNumberFormat="1" applyFont="1" applyFill="1" applyBorder="1" applyAlignment="1">
      <alignment horizontal="center"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10" fillId="0" borderId="0" xfId="0" applyFont="1"/>
    <xf numFmtId="0" fontId="10" fillId="0" borderId="19" xfId="0" applyFont="1" applyBorder="1"/>
    <xf numFmtId="0" fontId="10" fillId="0" borderId="20" xfId="0" applyFont="1" applyBorder="1"/>
    <xf numFmtId="0" fontId="10" fillId="0" borderId="21" xfId="0" applyFont="1" applyBorder="1"/>
    <xf numFmtId="0" fontId="10" fillId="0" borderId="22" xfId="0" applyFont="1" applyBorder="1"/>
    <xf numFmtId="0" fontId="11" fillId="3" borderId="0"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2" fillId="0" borderId="0" xfId="0" applyFont="1" applyBorder="1"/>
    <xf numFmtId="0" fontId="10" fillId="0" borderId="0" xfId="0" applyFont="1" applyBorder="1"/>
    <xf numFmtId="0" fontId="10" fillId="0" borderId="23" xfId="0" applyFont="1" applyBorder="1"/>
    <xf numFmtId="0" fontId="11" fillId="3" borderId="0" xfId="0" applyFont="1" applyFill="1" applyBorder="1" applyAlignment="1">
      <alignment vertical="center"/>
    </xf>
    <xf numFmtId="0" fontId="12" fillId="0" borderId="0" xfId="0" applyFont="1"/>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4" fillId="3" borderId="0" xfId="0" applyFont="1" applyFill="1" applyBorder="1" applyAlignment="1">
      <alignment vertical="center" wrapText="1"/>
    </xf>
    <xf numFmtId="0" fontId="14" fillId="3" borderId="23" xfId="0" applyFont="1" applyFill="1" applyBorder="1" applyAlignment="1">
      <alignment vertical="center" wrapText="1"/>
    </xf>
    <xf numFmtId="0" fontId="10" fillId="0" borderId="32" xfId="0" applyFont="1" applyBorder="1" applyAlignment="1">
      <alignment horizontal="left" vertical="center" wrapText="1"/>
    </xf>
    <xf numFmtId="166" fontId="10" fillId="0" borderId="33" xfId="1" applyNumberFormat="1" applyFont="1" applyBorder="1" applyAlignment="1">
      <alignment horizontal="right"/>
    </xf>
    <xf numFmtId="10" fontId="10" fillId="0" borderId="0" xfId="0" applyNumberFormat="1" applyFont="1" applyBorder="1"/>
    <xf numFmtId="10" fontId="10" fillId="0" borderId="0" xfId="1" applyNumberFormat="1" applyFont="1" applyBorder="1"/>
    <xf numFmtId="14" fontId="10" fillId="0" borderId="0" xfId="0" applyNumberFormat="1" applyFont="1"/>
    <xf numFmtId="0" fontId="13" fillId="3" borderId="32" xfId="0" applyFont="1" applyFill="1" applyBorder="1" applyAlignment="1">
      <alignment horizontal="left"/>
    </xf>
    <xf numFmtId="166" fontId="13" fillId="3" borderId="33" xfId="0" applyNumberFormat="1" applyFont="1" applyFill="1" applyBorder="1" applyAlignment="1">
      <alignment horizontal="right"/>
    </xf>
    <xf numFmtId="0" fontId="10" fillId="0" borderId="8" xfId="0" applyFont="1" applyBorder="1" applyAlignment="1">
      <alignment vertical="center"/>
    </xf>
    <xf numFmtId="166" fontId="10" fillId="0" borderId="33" xfId="0" applyNumberFormat="1" applyFont="1" applyBorder="1" applyAlignment="1">
      <alignment vertical="center"/>
    </xf>
    <xf numFmtId="0" fontId="13" fillId="2" borderId="8" xfId="0" applyFont="1" applyFill="1" applyBorder="1" applyAlignment="1">
      <alignment horizontal="left" vertical="center"/>
    </xf>
    <xf numFmtId="166" fontId="13" fillId="2" borderId="33" xfId="0" applyNumberFormat="1" applyFont="1" applyFill="1" applyBorder="1" applyAlignment="1">
      <alignment horizontal="right" vertical="center"/>
    </xf>
    <xf numFmtId="164" fontId="10" fillId="0" borderId="33" xfId="0" applyNumberFormat="1" applyFont="1" applyBorder="1" applyAlignment="1">
      <alignment vertical="center"/>
    </xf>
    <xf numFmtId="0" fontId="13" fillId="2" borderId="9" xfId="0" applyFont="1" applyFill="1" applyBorder="1" applyAlignment="1">
      <alignment horizontal="left" vertical="center"/>
    </xf>
    <xf numFmtId="164" fontId="13" fillId="2" borderId="34" xfId="0" applyNumberFormat="1" applyFont="1" applyFill="1" applyBorder="1" applyAlignment="1">
      <alignment horizontal="right" vertical="center"/>
    </xf>
    <xf numFmtId="0" fontId="13" fillId="0" borderId="0" xfId="0" applyFont="1" applyFill="1" applyBorder="1" applyAlignment="1">
      <alignment horizontal="left"/>
    </xf>
    <xf numFmtId="167" fontId="13" fillId="0" borderId="0" xfId="0" applyNumberFormat="1" applyFont="1" applyFill="1" applyBorder="1" applyAlignment="1">
      <alignment horizontal="right"/>
    </xf>
    <xf numFmtId="0" fontId="10" fillId="0" borderId="0" xfId="0" applyFont="1" applyFill="1" applyBorder="1"/>
    <xf numFmtId="10" fontId="13" fillId="0" borderId="0" xfId="1" applyNumberFormat="1" applyFont="1" applyFill="1" applyBorder="1" applyAlignment="1">
      <alignment horizontal="right"/>
    </xf>
    <xf numFmtId="0" fontId="10" fillId="0" borderId="24" xfId="0" applyFont="1" applyBorder="1"/>
    <xf numFmtId="0" fontId="13" fillId="0" borderId="25" xfId="0" applyFont="1" applyBorder="1" applyAlignment="1"/>
    <xf numFmtId="0" fontId="13" fillId="0" borderId="26" xfId="0" applyFont="1" applyBorder="1" applyAlignment="1"/>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2" fillId="0" borderId="21" xfId="0" applyFont="1" applyBorder="1" applyAlignment="1">
      <alignment horizontal="left" vertical="top" wrapText="1"/>
    </xf>
    <xf numFmtId="0" fontId="12" fillId="0" borderId="22" xfId="0" applyFont="1" applyBorder="1" applyAlignment="1">
      <alignment horizontal="left" vertical="top" wrapText="1"/>
    </xf>
    <xf numFmtId="0" fontId="12" fillId="0" borderId="0" xfId="0" applyFont="1" applyBorder="1" applyAlignment="1">
      <alignment horizontal="left" vertical="top" wrapText="1"/>
    </xf>
    <xf numFmtId="0" fontId="12" fillId="0" borderId="23" xfId="0" applyFont="1" applyBorder="1" applyAlignment="1">
      <alignment horizontal="left" vertical="top" wrapText="1"/>
    </xf>
    <xf numFmtId="0" fontId="12" fillId="0" borderId="24" xfId="0" applyFont="1" applyBorder="1" applyAlignment="1">
      <alignment horizontal="left" vertical="top" wrapText="1"/>
    </xf>
    <xf numFmtId="0" fontId="12" fillId="0" borderId="25" xfId="0" applyFont="1" applyBorder="1" applyAlignment="1">
      <alignment horizontal="left" vertical="top" wrapText="1"/>
    </xf>
    <xf numFmtId="0" fontId="12" fillId="0" borderId="26"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9A6-44C4-AA9E-7D893953960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09A6-44C4-AA9E-7D893953960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28-4EBE-822C-DAEEEA94237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28-4EBE-822C-DAEEEA942379}"/>
                </c:ext>
              </c:extLst>
            </c:dLbl>
            <c:dLbl>
              <c:idx val="2"/>
              <c:layout>
                <c:manualLayout>
                  <c:x val="-2.1899374462560489E-2"/>
                  <c:y val="5.89361329833770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28-4EBE-822C-DAEEEA942379}"/>
                </c:ext>
              </c:extLst>
            </c:dLbl>
            <c:dLbl>
              <c:idx val="3"/>
              <c:layout>
                <c:manualLayout>
                  <c:x val="-0.15079861403834158"/>
                  <c:y val="3.1744181977252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128-4EBE-822C-DAEEEA94237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-5.7799999999999995E-4</c:v>
                </c:pt>
                <c:pt idx="1">
                  <c:v>0.18080499999999999</c:v>
                </c:pt>
                <c:pt idx="2">
                  <c:v>0.77648200000000001</c:v>
                </c:pt>
                <c:pt idx="3">
                  <c:v>4.3291000000000003E-2</c:v>
                </c:pt>
              </c:numCache>
            </c:numRef>
          </c:val>
          <c:extLst>
            <c:ext xmlns:c16="http://schemas.microsoft.com/office/drawing/2014/chart" uri="{C3380CC4-5D6E-409C-BE32-E72D297353CC}">
              <c16:uniqueId val="{0000000C-4128-4EBE-822C-DAEEEA94237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E41-48CF-AE34-187915B4781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 / A1+</c:v>
                </c:pt>
              </c:strCache>
            </c:strRef>
          </c:cat>
          <c:val>
            <c:numRef>
              <c:f>'BANDHAN CF'!$H$8</c:f>
              <c:numCache>
                <c:formatCode>0%</c:formatCode>
                <c:ptCount val="1"/>
                <c:pt idx="0">
                  <c:v>1</c:v>
                </c:pt>
              </c:numCache>
            </c:numRef>
          </c:val>
          <c:extLst>
            <c:ext xmlns:c16="http://schemas.microsoft.com/office/drawing/2014/chart" uri="{C3380CC4-5D6E-409C-BE32-E72D297353CC}">
              <c16:uniqueId val="{0000000C-6E41-48CF-AE34-187915B4781A}"/>
            </c:ext>
          </c:extLst>
        </c:ser>
        <c:ser>
          <c:idx val="1"/>
          <c:order val="1"/>
          <c:cat>
            <c:strRef>
              <c:f>'BANDHAN CF'!$G$8</c:f>
              <c:strCache>
                <c:ptCount val="1"/>
                <c:pt idx="0">
                  <c:v>AAA EQUIVALENT / A1+</c:v>
                </c:pt>
              </c:strCache>
            </c:strRef>
          </c:cat>
          <c:val>
            <c:numRef>
              <c:f>'[1]BANDHAN CF'!$G$8</c:f>
              <c:numCache>
                <c:formatCode>General</c:formatCode>
                <c:ptCount val="1"/>
                <c:pt idx="0">
                  <c:v>0</c:v>
                </c:pt>
              </c:numCache>
            </c:numRef>
          </c:val>
          <c:extLst>
            <c:ext xmlns:c16="http://schemas.microsoft.com/office/drawing/2014/chart" uri="{C3380CC4-5D6E-409C-BE32-E72D297353CC}">
              <c16:uniqueId val="{00000000-C2FE-4870-A152-56E27BE597A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9C-4C0C-A4E3-BF7CAF8D8B5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79C-4C0C-A4E3-BF7CAF8D8B50}"/>
                </c:ext>
              </c:extLst>
            </c:dLbl>
            <c:dLbl>
              <c:idx val="2"/>
              <c:layout>
                <c:manualLayout>
                  <c:x val="-2.5805695594260568E-2"/>
                  <c:y val="-5.11512143113076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79C-4C0C-A4E3-BF7CAF8D8B50}"/>
                </c:ext>
              </c:extLst>
            </c:dLbl>
            <c:dLbl>
              <c:idx val="3"/>
              <c:layout>
                <c:manualLayout>
                  <c:x val="-0.13486351144008499"/>
                  <c:y val="0.223318622353115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79C-4C0C-A4E3-BF7CAF8D8B50}"/>
                </c:ext>
              </c:extLst>
            </c:dLbl>
            <c:dLbl>
              <c:idx val="4"/>
              <c:layout>
                <c:manualLayout>
                  <c:x val="-2.7645466961169467E-2"/>
                  <c:y val="0.1186349375584433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79C-4C0C-A4E3-BF7CAF8D8B50}"/>
                </c:ext>
              </c:extLst>
            </c:dLbl>
            <c:dLbl>
              <c:idx val="5"/>
              <c:layout>
                <c:manualLayout>
                  <c:x val="-8.2077762228329604E-3"/>
                  <c:y val="-0.1473491396261371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79C-4C0C-A4E3-BF7CAF8D8B5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79C-4C0C-A4E3-BF7CAF8D8B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CF'!$J$9:$J$15</c:f>
              <c:strCache>
                <c:ptCount val="7"/>
                <c:pt idx="0">
                  <c:v>Net Current Asset</c:v>
                </c:pt>
                <c:pt idx="1">
                  <c:v>TRI Party Repo</c:v>
                </c:pt>
                <c:pt idx="2">
                  <c:v>Certificate of Deposit</c:v>
                </c:pt>
                <c:pt idx="3">
                  <c:v>Corporate Bond</c:v>
                </c:pt>
                <c:pt idx="4">
                  <c:v>Commercial Paper</c:v>
                </c:pt>
                <c:pt idx="5">
                  <c:v>Corporate Debt Market Development Fund</c:v>
                </c:pt>
                <c:pt idx="6">
                  <c:v>Treasury Bill</c:v>
                </c:pt>
              </c:strCache>
            </c:strRef>
          </c:cat>
          <c:val>
            <c:numRef>
              <c:f>'BANDHAN CF'!$K$9:$K$15</c:f>
              <c:numCache>
                <c:formatCode>0.00%</c:formatCode>
                <c:ptCount val="7"/>
                <c:pt idx="0">
                  <c:v>-5.7438000000000003E-2</c:v>
                </c:pt>
                <c:pt idx="1">
                  <c:v>1.2600000000000001E-3</c:v>
                </c:pt>
                <c:pt idx="2">
                  <c:v>0.31679499999999999</c:v>
                </c:pt>
                <c:pt idx="3">
                  <c:v>1.8873999999999998E-2</c:v>
                </c:pt>
                <c:pt idx="4">
                  <c:v>0.523254</c:v>
                </c:pt>
                <c:pt idx="5">
                  <c:v>2.4919999999999999E-3</c:v>
                </c:pt>
                <c:pt idx="6">
                  <c:v>0.19476299999999999</c:v>
                </c:pt>
              </c:numCache>
            </c:numRef>
          </c:val>
          <c:extLst>
            <c:ext xmlns:c16="http://schemas.microsoft.com/office/drawing/2014/chart" uri="{C3380CC4-5D6E-409C-BE32-E72D297353CC}">
              <c16:uniqueId val="{0000000C-F79C-4C0C-A4E3-BF7CAF8D8B5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8265819690097623"/>
                  <c:y val="-1.65198237885462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49781652025832"/>
                      <c:h val="0.16519823788546256"/>
                    </c:manualLayout>
                  </c15:layout>
                </c:ext>
                <c:ext xmlns:c16="http://schemas.microsoft.com/office/drawing/2014/chart" uri="{C3380CC4-5D6E-409C-BE32-E72D297353CC}">
                  <c16:uniqueId val="{0000000D-91A0-46C1-A446-5322F14E7568}"/>
                </c:ext>
              </c:extLst>
            </c:dLbl>
            <c:dLbl>
              <c:idx val="1"/>
              <c:layout>
                <c:manualLayout>
                  <c:x val="-0.14943861808494496"/>
                  <c:y val="-3.90055152797530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1A0-46C1-A446-5322F14E756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LDF'!$G$8:$G$9</c:f>
              <c:strCache>
                <c:ptCount val="2"/>
                <c:pt idx="0">
                  <c:v>AAA EQUIVALENT / A1+</c:v>
                </c:pt>
                <c:pt idx="1">
                  <c:v>AA+</c:v>
                </c:pt>
              </c:strCache>
            </c:strRef>
          </c:cat>
          <c:val>
            <c:numRef>
              <c:f>'BANDHAN LDF'!$H$8:$H$9</c:f>
              <c:numCache>
                <c:formatCode>0.00%</c:formatCode>
                <c:ptCount val="2"/>
                <c:pt idx="0">
                  <c:v>0.96712799999999999</c:v>
                </c:pt>
                <c:pt idx="1">
                  <c:v>3.2871999999999998E-2</c:v>
                </c:pt>
              </c:numCache>
            </c:numRef>
          </c:val>
          <c:extLst>
            <c:ext xmlns:c16="http://schemas.microsoft.com/office/drawing/2014/chart" uri="{C3380CC4-5D6E-409C-BE32-E72D297353CC}">
              <c16:uniqueId val="{0000000C-91A0-46C1-A446-5322F14E756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16361757911952654"/>
                  <c:y val="4.77367513526826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DB3-4264-8596-8B58B64D90E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DB3-4264-8596-8B58B64D90EC}"/>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DB3-4264-8596-8B58B64D90EC}"/>
                </c:ext>
              </c:extLst>
            </c:dLbl>
            <c:dLbl>
              <c:idx val="3"/>
              <c:layout>
                <c:manualLayout>
                  <c:x val="-7.6526328213255999E-3"/>
                  <c:y val="9.63514512142292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DB3-4264-8596-8B58B64D90E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DB3-4264-8596-8B58B64D90E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DB3-4264-8596-8B58B64D90E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DB3-4264-8596-8B58B64D90EC}"/>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DB3-4264-8596-8B58B64D90EC}"/>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2DB3-4264-8596-8B58B64D90E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LDF'!$J$9:$J$17</c:f>
              <c:strCache>
                <c:ptCount val="9"/>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Zero Coupon Bond</c:v>
                </c:pt>
              </c:strCache>
            </c:strRef>
          </c:cat>
          <c:val>
            <c:numRef>
              <c:f>'BANDHAN LDF'!$K$9:$K$17</c:f>
              <c:numCache>
                <c:formatCode>0.00%</c:formatCode>
                <c:ptCount val="9"/>
                <c:pt idx="0">
                  <c:v>2.0570000000000001E-2</c:v>
                </c:pt>
                <c:pt idx="1">
                  <c:v>5.2849999999999998E-3</c:v>
                </c:pt>
                <c:pt idx="2">
                  <c:v>0.197855</c:v>
                </c:pt>
                <c:pt idx="3">
                  <c:v>0.34472799999999998</c:v>
                </c:pt>
                <c:pt idx="4">
                  <c:v>6.4019999999999994E-2</c:v>
                </c:pt>
                <c:pt idx="5">
                  <c:v>2.8089999999999999E-3</c:v>
                </c:pt>
                <c:pt idx="6">
                  <c:v>1.2650000000000001E-3</c:v>
                </c:pt>
                <c:pt idx="7">
                  <c:v>0.33771699999999999</c:v>
                </c:pt>
                <c:pt idx="8">
                  <c:v>2.5751E-2</c:v>
                </c:pt>
              </c:numCache>
            </c:numRef>
          </c:val>
          <c:extLst>
            <c:ext xmlns:c16="http://schemas.microsoft.com/office/drawing/2014/chart" uri="{C3380CC4-5D6E-409C-BE32-E72D297353CC}">
              <c16:uniqueId val="{0000000C-2DB3-4264-8596-8B58B64D90E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2035398230088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B7D-4452-86B7-A2F22E27672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 / A1+</c:v>
                </c:pt>
              </c:strCache>
            </c:strRef>
          </c:cat>
          <c:val>
            <c:numRef>
              <c:f>'BANDHAN MMF'!$H$8</c:f>
              <c:numCache>
                <c:formatCode>0%</c:formatCode>
                <c:ptCount val="1"/>
                <c:pt idx="0">
                  <c:v>1</c:v>
                </c:pt>
              </c:numCache>
            </c:numRef>
          </c:val>
          <c:extLst>
            <c:ext xmlns:c16="http://schemas.microsoft.com/office/drawing/2014/chart" uri="{C3380CC4-5D6E-409C-BE32-E72D297353CC}">
              <c16:uniqueId val="{0000000C-9B7D-4452-86B7-A2F22E27672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13650879293193277"/>
                  <c:y val="-9.082112271562987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31D-4532-8DED-66915AD14FD0}"/>
                </c:ext>
              </c:extLst>
            </c:dLbl>
            <c:dLbl>
              <c:idx val="1"/>
              <c:layout>
                <c:manualLayout>
                  <c:x val="0.2742954694902966"/>
                  <c:y val="-2.33208855464808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31D-4532-8DED-66915AD14FD0}"/>
                </c:ext>
              </c:extLst>
            </c:dLbl>
            <c:dLbl>
              <c:idx val="2"/>
              <c:layout>
                <c:manualLayout>
                  <c:x val="-9.9681498592119236E-2"/>
                  <c:y val="0.2159801985321385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31D-4532-8DED-66915AD14FD0}"/>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31D-4532-8DED-66915AD14FD0}"/>
                </c:ext>
              </c:extLst>
            </c:dLbl>
            <c:dLbl>
              <c:idx val="4"/>
              <c:layout>
                <c:manualLayout>
                  <c:x val="-7.3439612874943092E-2"/>
                  <c:y val="0.565923881639658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31D-4532-8DED-66915AD14FD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31D-4532-8DED-66915AD14FD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31D-4532-8DED-66915AD14FD0}"/>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031D-4532-8DED-66915AD14F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MMF'!$J$9:$J$16</c:f>
              <c:strCache>
                <c:ptCount val="8"/>
                <c:pt idx="0">
                  <c:v>Net Current Asset</c:v>
                </c:pt>
                <c:pt idx="1">
                  <c:v>TRI Party Repo</c:v>
                </c:pt>
                <c:pt idx="2">
                  <c:v>Certificate of Deposit</c:v>
                </c:pt>
                <c:pt idx="3">
                  <c:v>Commercial Paper</c:v>
                </c:pt>
                <c:pt idx="4">
                  <c:v>Corporate Debt Market Development Fund</c:v>
                </c:pt>
                <c:pt idx="5">
                  <c:v>Government Bond Strips</c:v>
                </c:pt>
                <c:pt idx="6">
                  <c:v>State Government Bond</c:v>
                </c:pt>
                <c:pt idx="7">
                  <c:v>Treasury Bill</c:v>
                </c:pt>
              </c:strCache>
            </c:strRef>
          </c:cat>
          <c:val>
            <c:numRef>
              <c:f>'BANDHAN MMF'!$K$9:$K$16</c:f>
              <c:numCache>
                <c:formatCode>0.00%</c:formatCode>
                <c:ptCount val="8"/>
                <c:pt idx="0">
                  <c:v>1.9599999999999999E-4</c:v>
                </c:pt>
                <c:pt idx="1">
                  <c:v>2.6203000000000001E-2</c:v>
                </c:pt>
                <c:pt idx="2">
                  <c:v>0.63261500000000004</c:v>
                </c:pt>
                <c:pt idx="3">
                  <c:v>0.19899900000000001</c:v>
                </c:pt>
                <c:pt idx="4">
                  <c:v>1.1299999999999999E-3</c:v>
                </c:pt>
                <c:pt idx="5">
                  <c:v>1.0198E-2</c:v>
                </c:pt>
                <c:pt idx="6">
                  <c:v>7.9575000000000007E-2</c:v>
                </c:pt>
                <c:pt idx="7">
                  <c:v>5.1083999999999997E-2</c:v>
                </c:pt>
              </c:numCache>
            </c:numRef>
          </c:val>
          <c:extLst>
            <c:ext xmlns:c16="http://schemas.microsoft.com/office/drawing/2014/chart" uri="{C3380CC4-5D6E-409C-BE32-E72D297353CC}">
              <c16:uniqueId val="{0000000C-031D-4532-8DED-66915AD14FD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371828896120319"/>
                  <c:y val="-2.97356828193832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07383365087928"/>
                      <c:h val="0.16519823788546256"/>
                    </c:manualLayout>
                  </c15:layout>
                </c:ext>
                <c:ext xmlns:c16="http://schemas.microsoft.com/office/drawing/2014/chart" uri="{C3380CC4-5D6E-409C-BE32-E72D297353CC}">
                  <c16:uniqueId val="{0000000D-A9E0-464A-B2DF-781CF651BB69}"/>
                </c:ext>
              </c:extLst>
            </c:dLbl>
            <c:dLbl>
              <c:idx val="1"/>
              <c:layout>
                <c:manualLayout>
                  <c:x val="-9.8019946382505191E-2"/>
                  <c:y val="-5.22213743105900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9E0-464A-B2DF-781CF651BB6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 / A1+</c:v>
                </c:pt>
                <c:pt idx="1">
                  <c:v>AA+</c:v>
                </c:pt>
              </c:strCache>
            </c:strRef>
          </c:cat>
          <c:val>
            <c:numRef>
              <c:f>'BANDHAN USTF'!$H$8:$H$9</c:f>
              <c:numCache>
                <c:formatCode>0.00%</c:formatCode>
                <c:ptCount val="2"/>
                <c:pt idx="0">
                  <c:v>0.96468200000000004</c:v>
                </c:pt>
                <c:pt idx="1">
                  <c:v>3.5318000000000002E-2</c:v>
                </c:pt>
              </c:numCache>
            </c:numRef>
          </c:val>
          <c:extLst>
            <c:ext xmlns:c16="http://schemas.microsoft.com/office/drawing/2014/chart" uri="{C3380CC4-5D6E-409C-BE32-E72D297353CC}">
              <c16:uniqueId val="{0000000C-A9E0-464A-B2DF-781CF651BB6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6.6509383061592681E-2"/>
                  <c:y val="-3.07778573132903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61-4A8A-8432-0BD187460923}"/>
                </c:ext>
              </c:extLst>
            </c:dLbl>
            <c:dLbl>
              <c:idx val="1"/>
              <c:layout>
                <c:manualLayout>
                  <c:x val="0.14117098585374901"/>
                  <c:y val="-8.81859085796093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B61-4A8A-8432-0BD18746092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B61-4A8A-8432-0BD187460923}"/>
                </c:ext>
              </c:extLst>
            </c:dLbl>
            <c:dLbl>
              <c:idx val="3"/>
              <c:layout>
                <c:manualLayout>
                  <c:x val="0.40963445682780014"/>
                  <c:y val="4.14551590142141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B61-4A8A-8432-0BD18746092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B61-4A8A-8432-0BD187460923}"/>
                </c:ext>
              </c:extLst>
            </c:dLbl>
            <c:dLbl>
              <c:idx val="5"/>
              <c:layout>
                <c:manualLayout>
                  <c:x val="-9.4749194894535399E-2"/>
                  <c:y val="0.603599890922725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B61-4A8A-8432-0BD187460923}"/>
                </c:ext>
              </c:extLst>
            </c:dLbl>
            <c:dLbl>
              <c:idx val="6"/>
              <c:layout>
                <c:manualLayout>
                  <c:x val="-9.7690738336508792E-2"/>
                  <c:y val="-0.11784538296349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B61-4A8A-8432-0BD187460923}"/>
                </c:ext>
              </c:extLst>
            </c:dLbl>
            <c:dLbl>
              <c:idx val="7"/>
              <c:layout>
                <c:manualLayout>
                  <c:x val="-7.7689389468714704E-2"/>
                  <c:y val="-1.557078092511163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B61-4A8A-8432-0BD18746092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Zero Coupon Bond</c:v>
                </c:pt>
              </c:strCache>
            </c:strRef>
          </c:cat>
          <c:val>
            <c:numRef>
              <c:f>'BANDHAN USTF'!$K$9:$K$16</c:f>
              <c:numCache>
                <c:formatCode>0.00%</c:formatCode>
                <c:ptCount val="8"/>
                <c:pt idx="0">
                  <c:v>-3.9179999999999996E-3</c:v>
                </c:pt>
                <c:pt idx="1">
                  <c:v>6.4133999999999997E-2</c:v>
                </c:pt>
                <c:pt idx="2">
                  <c:v>0.253579</c:v>
                </c:pt>
                <c:pt idx="3">
                  <c:v>0.46554099999999998</c:v>
                </c:pt>
                <c:pt idx="4">
                  <c:v>0.100039</c:v>
                </c:pt>
                <c:pt idx="5">
                  <c:v>2.696E-3</c:v>
                </c:pt>
                <c:pt idx="6">
                  <c:v>0.111447</c:v>
                </c:pt>
                <c:pt idx="7">
                  <c:v>6.4819999999999999E-3</c:v>
                </c:pt>
              </c:numCache>
            </c:numRef>
          </c:val>
          <c:extLst>
            <c:ext xmlns:c16="http://schemas.microsoft.com/office/drawing/2014/chart" uri="{C3380CC4-5D6E-409C-BE32-E72D297353CC}">
              <c16:uniqueId val="{0000000C-2B61-4A8A-8432-0BD18746092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5.34934497816593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157-4D4E-AE5F-05C51E7012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7157-4D4E-AE5F-05C51E7012F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30815651924665732"/>
                  <c:y val="3.95219597550306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27C-48E4-A827-15FC7E27EE2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27C-48E4-A827-15FC7E27EE29}"/>
                </c:ext>
              </c:extLst>
            </c:dLbl>
            <c:dLbl>
              <c:idx val="2"/>
              <c:layout>
                <c:manualLayout>
                  <c:x val="0.21724401018395184"/>
                  <c:y val="7.93970253718285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27C-48E4-A827-15FC7E27EE29}"/>
                </c:ext>
              </c:extLst>
            </c:dLbl>
            <c:dLbl>
              <c:idx val="3"/>
              <c:layout>
                <c:manualLayout>
                  <c:x val="-0.19378947545903658"/>
                  <c:y val="-3.3596850393700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27C-48E4-A827-15FC7E27EE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2.8781000000000001E-2</c:v>
                </c:pt>
                <c:pt idx="1">
                  <c:v>1.258E-3</c:v>
                </c:pt>
                <c:pt idx="2">
                  <c:v>2.0240000000000002E-3</c:v>
                </c:pt>
                <c:pt idx="3">
                  <c:v>0.96793700000000005</c:v>
                </c:pt>
              </c:numCache>
            </c:numRef>
          </c:val>
          <c:extLst>
            <c:ext xmlns:c16="http://schemas.microsoft.com/office/drawing/2014/chart" uri="{C3380CC4-5D6E-409C-BE32-E72D297353CC}">
              <c16:uniqueId val="{0000000C-827C-48E4-A827-15FC7E27EE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79B-4D3D-9E93-380836BD5ED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279B-4D3D-9E93-380836BD5ED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0.32450842199328939"/>
                  <c:y val="-1.65852642179374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39E-4FD4-BFDB-31058315D475}"/>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39E-4FD4-BFDB-31058315D475}"/>
                </c:ext>
              </c:extLst>
            </c:dLbl>
            <c:dLbl>
              <c:idx val="2"/>
              <c:layout>
                <c:manualLayout>
                  <c:x val="2.2031057680959046E-2"/>
                  <c:y val="-0.172893939525475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39E-4FD4-BFDB-31058315D475}"/>
                </c:ext>
              </c:extLst>
            </c:dLbl>
            <c:dLbl>
              <c:idx val="3"/>
              <c:layout>
                <c:manualLayout>
                  <c:x val="-1.3011263046080695E-2"/>
                  <c:y val="-0.329046349911883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39E-4FD4-BFDB-31058315D47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39E-4FD4-BFDB-31058315D475}"/>
                </c:ext>
              </c:extLst>
            </c:dLbl>
            <c:dLbl>
              <c:idx val="5"/>
              <c:layout>
                <c:manualLayout>
                  <c:x val="9.919969987691582E-2"/>
                  <c:y val="0.2718915868702740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39E-4FD4-BFDB-31058315D47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IP'!$J$9:$J$14</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BOND IP'!$K$9:$K$14</c:f>
              <c:numCache>
                <c:formatCode>0.00%</c:formatCode>
                <c:ptCount val="6"/>
                <c:pt idx="0">
                  <c:v>3.9808000000000003E-2</c:v>
                </c:pt>
                <c:pt idx="1">
                  <c:v>1.1207999999999999E-2</c:v>
                </c:pt>
                <c:pt idx="2">
                  <c:v>0.109773</c:v>
                </c:pt>
                <c:pt idx="3">
                  <c:v>0.24652299999999999</c:v>
                </c:pt>
                <c:pt idx="4">
                  <c:v>2.7160000000000001E-3</c:v>
                </c:pt>
                <c:pt idx="5">
                  <c:v>0.58997200000000005</c:v>
                </c:pt>
              </c:numCache>
            </c:numRef>
          </c:val>
          <c:extLst>
            <c:ext xmlns:c16="http://schemas.microsoft.com/office/drawing/2014/chart" uri="{C3380CC4-5D6E-409C-BE32-E72D297353CC}">
              <c16:uniqueId val="{0000000C-539E-4FD4-BFDB-31058315D47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C0F-448C-851F-2E8827B2FA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AC0F-448C-851F-2E8827B2FAD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0.19637238867625487"/>
                  <c:y val="-1.140742653070005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0E9-4CC0-8075-46326B5900B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0E9-4CC0-8075-46326B5900B1}"/>
                </c:ext>
              </c:extLst>
            </c:dLbl>
            <c:dLbl>
              <c:idx val="2"/>
              <c:layout>
                <c:manualLayout>
                  <c:x val="3.3696487885481123E-2"/>
                  <c:y val="-0.202625704573813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0E9-4CC0-8075-46326B5900B1}"/>
                </c:ext>
              </c:extLst>
            </c:dLbl>
            <c:dLbl>
              <c:idx val="3"/>
              <c:layout>
                <c:manualLayout>
                  <c:x val="-1.0869935422954358E-2"/>
                  <c:y val="-0.3578307301751215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0E9-4CC0-8075-46326B5900B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0E9-4CC0-8075-46326B5900B1}"/>
                </c:ext>
              </c:extLst>
            </c:dLbl>
            <c:dLbl>
              <c:idx val="5"/>
              <c:layout>
                <c:manualLayout>
                  <c:x val="6.2261798377986476E-2"/>
                  <c:y val="0.256288799965578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0E9-4CC0-8075-46326B5900B1}"/>
                </c:ext>
              </c:extLst>
            </c:dLbl>
            <c:dLbl>
              <c:idx val="6"/>
              <c:layout>
                <c:manualLayout>
                  <c:x val="-0.29951904432716786"/>
                  <c:y val="-3.93921087732885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0E9-4CC0-8075-46326B5900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BOND MT'!$K$9:$K$15</c:f>
              <c:numCache>
                <c:formatCode>0.00%</c:formatCode>
                <c:ptCount val="7"/>
                <c:pt idx="0">
                  <c:v>2.0636000000000002E-2</c:v>
                </c:pt>
                <c:pt idx="1">
                  <c:v>6.0899999999999995E-4</c:v>
                </c:pt>
                <c:pt idx="2">
                  <c:v>0.12413299999999999</c:v>
                </c:pt>
                <c:pt idx="3">
                  <c:v>0.29686899999999999</c:v>
                </c:pt>
                <c:pt idx="4">
                  <c:v>3.581E-3</c:v>
                </c:pt>
                <c:pt idx="5">
                  <c:v>0.55280099999999999</c:v>
                </c:pt>
                <c:pt idx="6">
                  <c:v>1.371E-3</c:v>
                </c:pt>
              </c:numCache>
            </c:numRef>
          </c:val>
          <c:extLst>
            <c:ext xmlns:c16="http://schemas.microsoft.com/office/drawing/2014/chart" uri="{C3380CC4-5D6E-409C-BE32-E72D297353CC}">
              <c16:uniqueId val="{0000000C-50E9-4CC0-8075-46326B5900B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43"/>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5449257279671"/>
                      <c:h val="0.16519823788546256"/>
                    </c:manualLayout>
                  </c15:layout>
                </c:ext>
                <c:ext xmlns:c16="http://schemas.microsoft.com/office/drawing/2014/chart" uri="{C3380CC4-5D6E-409C-BE32-E72D297353CC}">
                  <c16:uniqueId val="{0000000D-756F-45C5-9255-F15C423FA0E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756F-45C5-9255-F15C423FA0E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26900133200694665"/>
                  <c:y val="-2.66592167245469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F9C-4F1B-A460-B2ABE6E91ED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F9C-4F1B-A460-B2ABE6E91ED1}"/>
                </c:ext>
              </c:extLst>
            </c:dLbl>
            <c:dLbl>
              <c:idx val="2"/>
              <c:layout>
                <c:manualLayout>
                  <c:x val="7.0109089682848244E-3"/>
                  <c:y val="-0.101661795550665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F9C-4F1B-A460-B2ABE6E91ED1}"/>
                </c:ext>
              </c:extLst>
            </c:dLbl>
            <c:dLbl>
              <c:idx val="3"/>
              <c:layout>
                <c:manualLayout>
                  <c:x val="-2.0369589775582121E-3"/>
                  <c:y val="-0.367903242444039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F9C-4F1B-A460-B2ABE6E91ED1}"/>
                </c:ext>
              </c:extLst>
            </c:dLbl>
            <c:dLbl>
              <c:idx val="4"/>
              <c:layout>
                <c:manualLayout>
                  <c:x val="0.27913756765415032"/>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F9C-4F1B-A460-B2ABE6E91ED1}"/>
                </c:ext>
              </c:extLst>
            </c:dLbl>
            <c:dLbl>
              <c:idx val="5"/>
              <c:layout>
                <c:manualLayout>
                  <c:x val="5.9585138849078553E-2"/>
                  <c:y val="0.346448440669807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F9C-4F1B-A460-B2ABE6E91ED1}"/>
                </c:ext>
              </c:extLst>
            </c:dLbl>
            <c:dLbl>
              <c:idx val="6"/>
              <c:layout>
                <c:manualLayout>
                  <c:x val="-0.33400993103913401"/>
                  <c:y val="-5.94103084276037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F9C-4F1B-A460-B2ABE6E91ED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BOND ST'!$K$9:$K$15</c:f>
              <c:numCache>
                <c:formatCode>0.00%</c:formatCode>
                <c:ptCount val="7"/>
                <c:pt idx="0">
                  <c:v>1.7139999999999999E-2</c:v>
                </c:pt>
                <c:pt idx="1">
                  <c:v>1.2539999999999999E-3</c:v>
                </c:pt>
                <c:pt idx="2">
                  <c:v>0.138681</c:v>
                </c:pt>
                <c:pt idx="3">
                  <c:v>0.330094</c:v>
                </c:pt>
                <c:pt idx="4">
                  <c:v>2.5330000000000001E-3</c:v>
                </c:pt>
                <c:pt idx="5">
                  <c:v>0.48955300000000002</c:v>
                </c:pt>
                <c:pt idx="6">
                  <c:v>2.0745E-2</c:v>
                </c:pt>
              </c:numCache>
            </c:numRef>
          </c:val>
          <c:extLst>
            <c:ext xmlns:c16="http://schemas.microsoft.com/office/drawing/2014/chart" uri="{C3380CC4-5D6E-409C-BE32-E72D297353CC}">
              <c16:uniqueId val="{0000000C-FF9C-4F1B-A460-B2ABE6E91ED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5.72687224669603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838B-4865-86F8-CDF2969424C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1-838B-4865-86F8-CDF2969424C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DCC6-479D-9467-E0BB8B0929B0}"/>
                </c:ext>
              </c:extLst>
            </c:dLbl>
            <c:dLbl>
              <c:idx val="1"/>
              <c:layout>
                <c:manualLayout>
                  <c:x val="7.3635873138984037E-2"/>
                  <c:y val="-3.6802872107946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DCC6-479D-9467-E0BB8B0929B0}"/>
                </c:ext>
              </c:extLst>
            </c:dLbl>
            <c:dLbl>
              <c:idx val="2"/>
              <c:layout>
                <c:manualLayout>
                  <c:x val="0.1604431030703603"/>
                  <c:y val="-5.62454472926567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DCC6-479D-9467-E0BB8B0929B0}"/>
                </c:ext>
              </c:extLst>
            </c:dLbl>
            <c:dLbl>
              <c:idx val="3"/>
              <c:layout>
                <c:manualLayout>
                  <c:x val="-4.6293142693351764E-3"/>
                  <c:y val="5.00811682680634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DCC6-479D-9467-E0BB8B0929B0}"/>
                </c:ext>
              </c:extLst>
            </c:dLbl>
            <c:dLbl>
              <c:idx val="4"/>
              <c:layout>
                <c:manualLayout>
                  <c:x val="0.2051740039454383"/>
                  <c:y val="0.2865239862638315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DCC6-479D-9467-E0BB8B0929B0}"/>
                </c:ext>
              </c:extLst>
            </c:dLbl>
            <c:dLbl>
              <c:idx val="5"/>
              <c:layout>
                <c:manualLayout>
                  <c:x val="-7.1921630781163065E-3"/>
                  <c:y val="0.299292726074438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5-DCC6-479D-9467-E0BB8B0929B0}"/>
                </c:ext>
              </c:extLst>
            </c:dLbl>
            <c:dLbl>
              <c:idx val="6"/>
              <c:layout>
                <c:manualLayout>
                  <c:x val="-7.9481107420458955E-2"/>
                  <c:y val="-0.1154136459814769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6-DCC6-479D-9467-E0BB8B0929B0}"/>
                </c:ext>
              </c:extLst>
            </c:dLbl>
            <c:dLbl>
              <c:idx val="7"/>
              <c:layout>
                <c:manualLayout>
                  <c:x val="-0.20904786794584296"/>
                  <c:y val="-1.25737972180790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7-DCC6-479D-9467-E0BB8B0929B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strCache>
            </c:strRef>
          </c:cat>
          <c:val>
            <c:numRef>
              <c:f>'BANDHAN BPDF'!$K$9:$K$16</c:f>
              <c:numCache>
                <c:formatCode>0.00%</c:formatCode>
                <c:ptCount val="8"/>
                <c:pt idx="0">
                  <c:v>1.7388000000000001E-2</c:v>
                </c:pt>
                <c:pt idx="1">
                  <c:v>4.9290000000000002E-3</c:v>
                </c:pt>
                <c:pt idx="2">
                  <c:v>0.110598</c:v>
                </c:pt>
                <c:pt idx="3">
                  <c:v>0.54162699999999997</c:v>
                </c:pt>
                <c:pt idx="4">
                  <c:v>5.3540999999999998E-2</c:v>
                </c:pt>
                <c:pt idx="5">
                  <c:v>2.823E-3</c:v>
                </c:pt>
                <c:pt idx="6">
                  <c:v>0.26900499999999999</c:v>
                </c:pt>
                <c:pt idx="7">
                  <c:v>8.8999999999999995E-5</c:v>
                </c:pt>
              </c:numCache>
            </c:numRef>
          </c:val>
          <c:extLst>
            <c:ext xmlns:c16="http://schemas.microsoft.com/office/drawing/2014/chart" uri="{C3380CC4-5D6E-409C-BE32-E72D297353CC}">
              <c16:uniqueId val="{00000008-DCC6-479D-9467-E0BB8B0929B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7777777777777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251-49F8-BF16-54F6EE347E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F251-49F8-BF16-54F6EE347E5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0.24659056804194979"/>
                  <c:y val="-0.1032770739364041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86A-4C19-9565-6E7054BBAD3D}"/>
                </c:ext>
              </c:extLst>
            </c:dLbl>
            <c:dLbl>
              <c:idx val="1"/>
              <c:layout>
                <c:manualLayout>
                  <c:x val="5.1086850225092392E-2"/>
                  <c:y val="-5.03388500314788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86A-4C19-9565-6E7054BBAD3D}"/>
                </c:ext>
              </c:extLst>
            </c:dLbl>
            <c:dLbl>
              <c:idx val="2"/>
              <c:layout>
                <c:manualLayout>
                  <c:x val="-0.15835387546578092"/>
                  <c:y val="0.138788281256737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86A-4C19-9565-6E7054BBAD3D}"/>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86A-4C19-9565-6E7054BBAD3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86A-4C19-9565-6E7054BBAD3D}"/>
                </c:ext>
              </c:extLst>
            </c:dLbl>
            <c:dLbl>
              <c:idx val="5"/>
              <c:layout>
                <c:manualLayout>
                  <c:x val="-0.29669687568497194"/>
                  <c:y val="-8.24665591499857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86A-4C19-9565-6E7054BBAD3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86A-4C19-9565-6E7054BBAD3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CBF'!$J$9:$J$15</c:f>
              <c:strCache>
                <c:ptCount val="7"/>
                <c:pt idx="0">
                  <c:v>Net Current Asset</c:v>
                </c:pt>
                <c:pt idx="1">
                  <c:v>TRI Party Repo</c:v>
                </c:pt>
                <c:pt idx="2">
                  <c:v>Corporate Bond</c:v>
                </c:pt>
                <c:pt idx="3">
                  <c:v>Corporate Debt Market Development Fund</c:v>
                </c:pt>
                <c:pt idx="4">
                  <c:v>Government Bond</c:v>
                </c:pt>
                <c:pt idx="6">
                  <c:v>State Government Bond</c:v>
                </c:pt>
              </c:strCache>
            </c:strRef>
          </c:cat>
          <c:val>
            <c:numRef>
              <c:f>'BANDHAN CBF'!$K$9:$K$15</c:f>
              <c:numCache>
                <c:formatCode>0.00%</c:formatCode>
                <c:ptCount val="7"/>
                <c:pt idx="0">
                  <c:v>3.8494E-2</c:v>
                </c:pt>
                <c:pt idx="1">
                  <c:v>1.635E-3</c:v>
                </c:pt>
                <c:pt idx="2">
                  <c:v>0.68688400000000016</c:v>
                </c:pt>
                <c:pt idx="3">
                  <c:v>2.921E-3</c:v>
                </c:pt>
                <c:pt idx="4">
                  <c:v>0.26988600000000001</c:v>
                </c:pt>
                <c:pt idx="6">
                  <c:v>1.8000000000000001E-4</c:v>
                </c:pt>
              </c:numCache>
            </c:numRef>
          </c:val>
          <c:extLst>
            <c:ext xmlns:c16="http://schemas.microsoft.com/office/drawing/2014/chart" uri="{C3380CC4-5D6E-409C-BE32-E72D297353CC}">
              <c16:uniqueId val="{0000000C-186A-4C19-9565-6E7054BBAD3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991704463066314"/>
                  <c:y val="-0.4518450171702105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EFC-46DD-A8A7-D5347FBEAEF3}"/>
                </c:ext>
              </c:extLst>
            </c:dLbl>
            <c:dLbl>
              <c:idx val="1"/>
              <c:layout>
                <c:manualLayout>
                  <c:x val="2.8750021076059278E-2"/>
                  <c:y val="0.2153543307086614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121516127400564"/>
                      <c:h val="0.16519823788546256"/>
                    </c:manualLayout>
                  </c15:layout>
                </c:ext>
                <c:ext xmlns:c16="http://schemas.microsoft.com/office/drawing/2014/chart" uri="{C3380CC4-5D6E-409C-BE32-E72D297353CC}">
                  <c16:uniqueId val="{0000000E-EEFC-46DD-A8A7-D5347FBEAEF3}"/>
                </c:ext>
              </c:extLst>
            </c:dLbl>
            <c:dLbl>
              <c:idx val="2"/>
              <c:layout>
                <c:manualLayout>
                  <c:x val="-1.2792662159200122E-2"/>
                  <c:y val="-0.100644489923341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EFC-46DD-A8A7-D5347FBEAE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0.56732800000000005</c:v>
                </c:pt>
                <c:pt idx="1">
                  <c:v>0.23177700000000001</c:v>
                </c:pt>
                <c:pt idx="2">
                  <c:v>0.20089499999999999</c:v>
                </c:pt>
              </c:numCache>
            </c:numRef>
          </c:val>
          <c:extLst>
            <c:ext xmlns:c16="http://schemas.microsoft.com/office/drawing/2014/chart" uri="{C3380CC4-5D6E-409C-BE32-E72D297353CC}">
              <c16:uniqueId val="{0000000C-EEFC-46DD-A8A7-D5347FBEAEF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328-42D7-982C-B28ADDEED206}"/>
                </c:ext>
              </c:extLst>
            </c:dLbl>
            <c:dLbl>
              <c:idx val="1"/>
              <c:layout>
                <c:manualLayout>
                  <c:x val="0.16227090323559662"/>
                  <c:y val="-1.08024203700006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328-42D7-982C-B28ADDEED206}"/>
                </c:ext>
              </c:extLst>
            </c:dLbl>
            <c:dLbl>
              <c:idx val="2"/>
              <c:layout>
                <c:manualLayout>
                  <c:x val="1.9301455091132881E-3"/>
                  <c:y val="6.0176926616256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328-42D7-982C-B28ADDEED206}"/>
                </c:ext>
              </c:extLst>
            </c:dLbl>
            <c:dLbl>
              <c:idx val="3"/>
              <c:layout>
                <c:manualLayout>
                  <c:x val="1.8503768399399753E-2"/>
                  <c:y val="0.5667013343287987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328-42D7-982C-B28ADDEED206}"/>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328-42D7-982C-B28ADDEED20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Corporate Debt Market Development Fund</c:v>
                </c:pt>
                <c:pt idx="4">
                  <c:v>Government Bond</c:v>
                </c:pt>
              </c:strCache>
            </c:strRef>
          </c:cat>
          <c:val>
            <c:numRef>
              <c:f>'BANDHAN CRF'!$K$9:$K$13</c:f>
              <c:numCache>
                <c:formatCode>0.00%</c:formatCode>
                <c:ptCount val="5"/>
                <c:pt idx="0">
                  <c:v>2.5114000000000001E-2</c:v>
                </c:pt>
                <c:pt idx="1">
                  <c:v>1.3838E-2</c:v>
                </c:pt>
                <c:pt idx="2">
                  <c:v>0.76822299999999999</c:v>
                </c:pt>
                <c:pt idx="3">
                  <c:v>4.9259999999999998E-3</c:v>
                </c:pt>
                <c:pt idx="4">
                  <c:v>0.18789900000000001</c:v>
                </c:pt>
              </c:numCache>
            </c:numRef>
          </c:val>
          <c:extLst>
            <c:ext xmlns:c16="http://schemas.microsoft.com/office/drawing/2014/chart" uri="{C3380CC4-5D6E-409C-BE32-E72D297353CC}">
              <c16:uniqueId val="{0000000C-2328-42D7-982C-B28ADDEED20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9.0313190240941518E-2"/>
                  <c:y val="-0.444748101177618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49781652025832"/>
                      <c:h val="0.16592920353982302"/>
                    </c:manualLayout>
                  </c15:layout>
                </c:ext>
                <c:ext xmlns:c16="http://schemas.microsoft.com/office/drawing/2014/chart" uri="{C3380CC4-5D6E-409C-BE32-E72D297353CC}">
                  <c16:uniqueId val="{0000000D-591F-4639-9386-9325E9353C6C}"/>
                </c:ext>
              </c:extLst>
            </c:dLbl>
            <c:dLbl>
              <c:idx val="1"/>
              <c:layout>
                <c:manualLayout>
                  <c:x val="6.9499485744153502E-2"/>
                  <c:y val="0.223074350219496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91F-4639-9386-9325E9353C6C}"/>
                </c:ext>
              </c:extLst>
            </c:dLbl>
            <c:dLbl>
              <c:idx val="2"/>
              <c:layout>
                <c:manualLayout>
                  <c:x val="-2.7556357382522045E-2"/>
                  <c:y val="-3.29921259842519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91F-4639-9386-9325E9353C6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FRF'!$G$8:$G$10</c:f>
              <c:strCache>
                <c:ptCount val="3"/>
                <c:pt idx="0">
                  <c:v>AAA EQUIVALENT</c:v>
                </c:pt>
                <c:pt idx="1">
                  <c:v>AA</c:v>
                </c:pt>
                <c:pt idx="2">
                  <c:v>AA+</c:v>
                </c:pt>
              </c:strCache>
            </c:strRef>
          </c:cat>
          <c:val>
            <c:numRef>
              <c:f>'BANDHAN FRF'!$H$8:$H$10</c:f>
              <c:numCache>
                <c:formatCode>0.00%</c:formatCode>
                <c:ptCount val="3"/>
                <c:pt idx="0">
                  <c:v>0.57750299999999999</c:v>
                </c:pt>
                <c:pt idx="1">
                  <c:v>0.21940100000000001</c:v>
                </c:pt>
                <c:pt idx="2">
                  <c:v>0.203096</c:v>
                </c:pt>
              </c:numCache>
            </c:numRef>
          </c:val>
          <c:extLst>
            <c:ext xmlns:c16="http://schemas.microsoft.com/office/drawing/2014/chart" uri="{C3380CC4-5D6E-409C-BE32-E72D297353CC}">
              <c16:uniqueId val="{0000000C-591F-4639-9386-9325E9353C6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0B9-434E-8110-06B0A3F7D641}"/>
                </c:ext>
              </c:extLst>
            </c:dLbl>
            <c:dLbl>
              <c:idx val="1"/>
              <c:layout>
                <c:manualLayout>
                  <c:x val="0.15537827311200661"/>
                  <c:y val="-1.31420417425987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0B9-434E-8110-06B0A3F7D641}"/>
                </c:ext>
              </c:extLst>
            </c:dLbl>
            <c:dLbl>
              <c:idx val="2"/>
              <c:layout>
                <c:manualLayout>
                  <c:x val="-0.11525965705036335"/>
                  <c:y val="0.227173262730804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0B9-434E-8110-06B0A3F7D641}"/>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0B9-434E-8110-06B0A3F7D64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0B9-434E-8110-06B0A3F7D641}"/>
                </c:ext>
              </c:extLst>
            </c:dLbl>
            <c:dLbl>
              <c:idx val="5"/>
              <c:layout>
                <c:manualLayout>
                  <c:x val="-0.22028983796725624"/>
                  <c:y val="-4.95849809166867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0B9-434E-8110-06B0A3F7D6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FRF'!$J$9:$J$14</c:f>
              <c:strCache>
                <c:ptCount val="5"/>
                <c:pt idx="0">
                  <c:v>Net Current Asset</c:v>
                </c:pt>
                <c:pt idx="1">
                  <c:v>TRI Party Repo</c:v>
                </c:pt>
                <c:pt idx="2">
                  <c:v>Corporate Bond</c:v>
                </c:pt>
                <c:pt idx="3">
                  <c:v>Corporate Debt Market Development Fund</c:v>
                </c:pt>
                <c:pt idx="4">
                  <c:v>Government Bond</c:v>
                </c:pt>
              </c:strCache>
            </c:strRef>
          </c:cat>
          <c:val>
            <c:numRef>
              <c:f>'BANDHAN FRF'!$K$9:$K$14</c:f>
              <c:numCache>
                <c:formatCode>0.00%</c:formatCode>
                <c:ptCount val="6"/>
                <c:pt idx="0">
                  <c:v>2.6141000000000001E-2</c:v>
                </c:pt>
                <c:pt idx="1">
                  <c:v>2.6786000000000001E-2</c:v>
                </c:pt>
                <c:pt idx="2">
                  <c:v>0.59307399999999999</c:v>
                </c:pt>
                <c:pt idx="3">
                  <c:v>2.846E-3</c:v>
                </c:pt>
                <c:pt idx="4">
                  <c:v>0.35114699999999999</c:v>
                </c:pt>
              </c:numCache>
            </c:numRef>
          </c:val>
          <c:extLst>
            <c:ext xmlns:c16="http://schemas.microsoft.com/office/drawing/2014/chart" uri="{C3380CC4-5D6E-409C-BE32-E72D297353CC}">
              <c16:uniqueId val="{0000000C-B0B9-434E-8110-06B0A3F7D6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7DF-4417-BB4E-EAEA63D9EC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Dur'!$G$8</c:f>
              <c:strCache>
                <c:ptCount val="1"/>
                <c:pt idx="0">
                  <c:v>AAA EQUIVALENT</c:v>
                </c:pt>
              </c:strCache>
            </c:strRef>
          </c:cat>
          <c:val>
            <c:numRef>
              <c:f>'BANDHAN Long Dur'!$H$8</c:f>
              <c:numCache>
                <c:formatCode>0%</c:formatCode>
                <c:ptCount val="1"/>
                <c:pt idx="0">
                  <c:v>1</c:v>
                </c:pt>
              </c:numCache>
            </c:numRef>
          </c:val>
          <c:extLst>
            <c:ext xmlns:c16="http://schemas.microsoft.com/office/drawing/2014/chart" uri="{C3380CC4-5D6E-409C-BE32-E72D297353CC}">
              <c16:uniqueId val="{0000000C-27DF-4417-BB4E-EAEA63D9ECB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Long Dur'!$K$8</c:f>
              <c:strCache>
                <c:ptCount val="1"/>
                <c:pt idx="0">
                  <c:v>Total</c:v>
                </c:pt>
              </c:strCache>
            </c:strRef>
          </c:tx>
          <c:dLbls>
            <c:dLbl>
              <c:idx val="0"/>
              <c:layout>
                <c:manualLayout>
                  <c:x val="-0.20965157058793776"/>
                  <c:y val="1.5077515310586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A5F-48C1-A919-C78A06522B2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A5F-48C1-A919-C78A06522B28}"/>
                </c:ext>
              </c:extLst>
            </c:dLbl>
            <c:dLbl>
              <c:idx val="2"/>
              <c:layout>
                <c:manualLayout>
                  <c:x val="0.13013522399635805"/>
                  <c:y val="1.27482064741907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A5F-48C1-A919-C78A06522B28}"/>
                </c:ext>
              </c:extLst>
            </c:dLbl>
            <c:dLbl>
              <c:idx val="3"/>
              <c:layout>
                <c:manualLayout>
                  <c:x val="-0.24270338397207844"/>
                  <c:y val="-1.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A5F-48C1-A919-C78A06522B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Dur'!$J$9:$J$12</c:f>
              <c:strCache>
                <c:ptCount val="4"/>
                <c:pt idx="0">
                  <c:v>Net Current Asset</c:v>
                </c:pt>
                <c:pt idx="1">
                  <c:v>TRI Party Repo</c:v>
                </c:pt>
                <c:pt idx="2">
                  <c:v>Corporate Debt Market Development Fund</c:v>
                </c:pt>
                <c:pt idx="3">
                  <c:v>Government Bond</c:v>
                </c:pt>
              </c:strCache>
            </c:strRef>
          </c:cat>
          <c:val>
            <c:numRef>
              <c:f>'BANDHAN Long Dur'!$K$9:$K$12</c:f>
              <c:numCache>
                <c:formatCode>0.00%</c:formatCode>
                <c:ptCount val="4"/>
                <c:pt idx="0">
                  <c:v>3.1930000000000001E-3</c:v>
                </c:pt>
                <c:pt idx="1">
                  <c:v>3.4609000000000001E-2</c:v>
                </c:pt>
                <c:pt idx="2">
                  <c:v>1.0709999999999999E-3</c:v>
                </c:pt>
                <c:pt idx="3">
                  <c:v>0.96112699999999995</c:v>
                </c:pt>
              </c:numCache>
            </c:numRef>
          </c:val>
          <c:extLst>
            <c:ext xmlns:c16="http://schemas.microsoft.com/office/drawing/2014/chart" uri="{C3380CC4-5D6E-409C-BE32-E72D297353CC}">
              <c16:uniqueId val="{0000000C-BA5F-48C1-A919-C78A06522B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CD-4A43-8D57-255470F465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A4CD-4A43-8D57-255470F4659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2F5-4EAB-8E6D-84994CBE5CBF}"/>
                </c:ext>
              </c:extLst>
            </c:dLbl>
            <c:dLbl>
              <c:idx val="1"/>
              <c:layout>
                <c:manualLayout>
                  <c:x val="0.12619062874100051"/>
                  <c:y val="-1.91919510061242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2F5-4EAB-8E6D-84994CBE5CBF}"/>
                </c:ext>
              </c:extLst>
            </c:dLbl>
            <c:dLbl>
              <c:idx val="2"/>
              <c:layout>
                <c:manualLayout>
                  <c:x val="-0.22812962619501256"/>
                  <c:y val="-1.13746281714785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2F5-4EAB-8E6D-84994CBE5C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2.1627E-2</c:v>
                </c:pt>
                <c:pt idx="1">
                  <c:v>9.0620000000000006E-3</c:v>
                </c:pt>
                <c:pt idx="2">
                  <c:v>0.96931100000000003</c:v>
                </c:pt>
              </c:numCache>
            </c:numRef>
          </c:val>
          <c:extLst>
            <c:ext xmlns:c16="http://schemas.microsoft.com/office/drawing/2014/chart" uri="{C3380CC4-5D6E-409C-BE32-E72D297353CC}">
              <c16:uniqueId val="{0000000C-F2F5-4EAB-8E6D-84994CBE5CB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AF9-425F-B1A4-29F93DADB18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DAF9-425F-B1A4-29F93DADB18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929-4340-A99B-892A2F845864}"/>
                </c:ext>
              </c:extLst>
            </c:dLbl>
            <c:dLbl>
              <c:idx val="1"/>
              <c:layout>
                <c:manualLayout>
                  <c:x val="0.13955116424151479"/>
                  <c:y val="-2.5149606299212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929-4340-A99B-892A2F845864}"/>
                </c:ext>
              </c:extLst>
            </c:dLbl>
            <c:dLbl>
              <c:idx val="2"/>
              <c:layout>
                <c:manualLayout>
                  <c:x val="-0.17318914498642701"/>
                  <c:y val="-4.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929-4340-A99B-892A2F84586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2.1551000000000001E-2</c:v>
                </c:pt>
                <c:pt idx="1">
                  <c:v>1.4468999999999999E-2</c:v>
                </c:pt>
                <c:pt idx="2">
                  <c:v>0.96397999999999995</c:v>
                </c:pt>
              </c:numCache>
            </c:numRef>
          </c:val>
          <c:extLst>
            <c:ext xmlns:c16="http://schemas.microsoft.com/office/drawing/2014/chart" uri="{C3380CC4-5D6E-409C-BE32-E72D297353CC}">
              <c16:uniqueId val="{0000000C-B929-4340-A99B-892A2F84586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5B-4BE1-849E-E8F760FAD71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905B-4BE1-849E-E8F760FAD71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7CA-4734-88AC-3829988E0830}"/>
                </c:ext>
              </c:extLst>
            </c:dLbl>
            <c:dLbl>
              <c:idx val="1"/>
              <c:layout>
                <c:manualLayout>
                  <c:x val="0.1496539311065774"/>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7CA-4734-88AC-3829988E0830}"/>
                </c:ext>
              </c:extLst>
            </c:dLbl>
            <c:dLbl>
              <c:idx val="2"/>
              <c:layout>
                <c:manualLayout>
                  <c:x val="-0.30963605860830568"/>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7CA-4734-88AC-3829988E083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1.1467E-2</c:v>
                </c:pt>
                <c:pt idx="1">
                  <c:v>6.0400000000000004E-4</c:v>
                </c:pt>
                <c:pt idx="2">
                  <c:v>0.98792899999999995</c:v>
                </c:pt>
              </c:numCache>
            </c:numRef>
          </c:val>
          <c:extLst>
            <c:ext xmlns:c16="http://schemas.microsoft.com/office/drawing/2014/chart" uri="{C3380CC4-5D6E-409C-BE32-E72D297353CC}">
              <c16:uniqueId val="{0000000C-B7CA-4734-88AC-3829988E083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B59-47DA-95C0-40D2D748CCA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CB59-47DA-95C0-40D2D748CCA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ABE-4E1F-A1CE-62F972CE4C10}"/>
                </c:ext>
              </c:extLst>
            </c:dLbl>
            <c:dLbl>
              <c:idx val="1"/>
              <c:layout>
                <c:manualLayout>
                  <c:x val="0.12380599908951416"/>
                  <c:y val="-2.585861767279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ABE-4E1F-A1CE-62F972CE4C10}"/>
                </c:ext>
              </c:extLst>
            </c:dLbl>
            <c:dLbl>
              <c:idx val="2"/>
              <c:layout>
                <c:manualLayout>
                  <c:x val="-0.2618555362592524"/>
                  <c:y val="-5.5819072615923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ABE-4E1F-A1CE-62F972CE4C1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2.6127000000000001E-2</c:v>
                </c:pt>
                <c:pt idx="1">
                  <c:v>5.4310000000000001E-3</c:v>
                </c:pt>
                <c:pt idx="2">
                  <c:v>0.96844200000000003</c:v>
                </c:pt>
              </c:numCache>
            </c:numRef>
          </c:val>
          <c:extLst>
            <c:ext xmlns:c16="http://schemas.microsoft.com/office/drawing/2014/chart" uri="{C3380CC4-5D6E-409C-BE32-E72D297353CC}">
              <c16:uniqueId val="{0000000C-9ABE-4E1F-A1CE-62F972CE4C1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D9-48CD-8075-037111CA51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4AD9-48CD-8075-037111CA510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C6E-4CE4-8C8D-E5C92D1750D0}"/>
                </c:ext>
              </c:extLst>
            </c:dLbl>
            <c:dLbl>
              <c:idx val="1"/>
              <c:layout>
                <c:manualLayout>
                  <c:x val="0.15558675749043147"/>
                  <c:y val="-2.03030621172353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C6E-4CE4-8C8D-E5C92D1750D0}"/>
                </c:ext>
              </c:extLst>
            </c:dLbl>
            <c:dLbl>
              <c:idx val="2"/>
              <c:layout>
                <c:manualLayout>
                  <c:x val="-0.2281303006289096"/>
                  <c:y val="6.403149606299212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C6E-4CE4-8C8D-E5C92D1750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2.4622999999999999E-2</c:v>
                </c:pt>
                <c:pt idx="1">
                  <c:v>1.2539999999999999E-3</c:v>
                </c:pt>
                <c:pt idx="2">
                  <c:v>0.97412299999999996</c:v>
                </c:pt>
              </c:numCache>
            </c:numRef>
          </c:val>
          <c:extLst>
            <c:ext xmlns:c16="http://schemas.microsoft.com/office/drawing/2014/chart" uri="{C3380CC4-5D6E-409C-BE32-E72D297353CC}">
              <c16:uniqueId val="{0000000C-BC6E-4CE4-8C8D-E5C92D1750D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38D-4514-892E-46C011A50C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438D-4514-892E-46C011A50C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7EA-4C4A-95ED-29152A14EE56}"/>
                </c:ext>
              </c:extLst>
            </c:dLbl>
            <c:dLbl>
              <c:idx val="1"/>
              <c:layout>
                <c:manualLayout>
                  <c:x val="9.6116778229273808E-2"/>
                  <c:y val="-1.73802274715660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7EA-4C4A-95ED-29152A14EE56}"/>
                </c:ext>
              </c:extLst>
            </c:dLbl>
            <c:dLbl>
              <c:idx val="2"/>
              <c:layout>
                <c:manualLayout>
                  <c:x val="-0.23467340538535467"/>
                  <c:y val="-3.24857392825896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7EA-4C4A-95ED-29152A14EE5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2.3469E-2</c:v>
                </c:pt>
                <c:pt idx="1">
                  <c:v>1.7597000000000002E-2</c:v>
                </c:pt>
                <c:pt idx="2">
                  <c:v>0.95893399999999995</c:v>
                </c:pt>
              </c:numCache>
            </c:numRef>
          </c:val>
          <c:extLst>
            <c:ext xmlns:c16="http://schemas.microsoft.com/office/drawing/2014/chart" uri="{C3380CC4-5D6E-409C-BE32-E72D297353CC}">
              <c16:uniqueId val="{0000000C-37EA-4C4A-95ED-29152A14EE5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0FE-4506-88F9-6EBECF3C893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70FE-4506-88F9-6EBECF3C893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F1B-4B00-9A3A-5DEA7A970C57}"/>
                </c:ext>
              </c:extLst>
            </c:dLbl>
            <c:dLbl>
              <c:idx val="1"/>
              <c:layout>
                <c:manualLayout>
                  <c:x val="0.1738108044310307"/>
                  <c:y val="2.74747156605424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F1B-4B00-9A3A-5DEA7A970C57}"/>
                </c:ext>
              </c:extLst>
            </c:dLbl>
            <c:dLbl>
              <c:idx val="2"/>
              <c:layout>
                <c:manualLayout>
                  <c:x val="8.7986814817312714E-2"/>
                  <c:y val="0.624323359580052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F1B-4B00-9A3A-5DEA7A970C57}"/>
                </c:ext>
              </c:extLst>
            </c:dLbl>
            <c:dLbl>
              <c:idx val="3"/>
              <c:layout>
                <c:manualLayout>
                  <c:x val="1.8196226542346018E-2"/>
                  <c:y val="4.44433945756780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F1B-4B00-9A3A-5DEA7A970C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1.1154000000000001E-2</c:v>
                </c:pt>
                <c:pt idx="1">
                  <c:v>2.4289999999999999E-2</c:v>
                </c:pt>
                <c:pt idx="2">
                  <c:v>0.12879699999999999</c:v>
                </c:pt>
                <c:pt idx="3">
                  <c:v>0.83575900000000003</c:v>
                </c:pt>
              </c:numCache>
            </c:numRef>
          </c:val>
          <c:extLst>
            <c:ext xmlns:c16="http://schemas.microsoft.com/office/drawing/2014/chart" uri="{C3380CC4-5D6E-409C-BE32-E72D297353CC}">
              <c16:uniqueId val="{0000000C-2F1B-4B00-9A3A-5DEA7A970C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9.82532751091703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C56-4384-BF2D-C43BA375A24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8C56-4384-BF2D-C43BA375A24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layout>
                <c:manualLayout>
                  <c:x val="-0.2436942959753157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BAE-4A76-AC5C-1EE20BE4160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BAE-4A76-AC5C-1EE20BE41606}"/>
                </c:ext>
              </c:extLst>
            </c:dLbl>
            <c:dLbl>
              <c:idx val="2"/>
              <c:layout>
                <c:manualLayout>
                  <c:x val="9.4664384831981654E-2"/>
                  <c:y val="-5.55237095363079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BAE-4A76-AC5C-1EE20BE41606}"/>
                </c:ext>
              </c:extLst>
            </c:dLbl>
            <c:dLbl>
              <c:idx val="3"/>
              <c:layout>
                <c:manualLayout>
                  <c:x val="-0.10022728422330507"/>
                  <c:y val="2.34281714785651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BAE-4A76-AC5C-1EE20BE4160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2.1061E-2</c:v>
                </c:pt>
                <c:pt idx="1">
                  <c:v>1.9363999999999999E-2</c:v>
                </c:pt>
                <c:pt idx="2">
                  <c:v>6.3209000000000001E-2</c:v>
                </c:pt>
                <c:pt idx="3">
                  <c:v>0.896366</c:v>
                </c:pt>
              </c:numCache>
            </c:numRef>
          </c:val>
          <c:extLst>
            <c:ext xmlns:c16="http://schemas.microsoft.com/office/drawing/2014/chart" uri="{C3380CC4-5D6E-409C-BE32-E72D297353CC}">
              <c16:uniqueId val="{0000000C-4BAE-4A76-AC5C-1EE20BE4160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E5C-47BA-BD59-49125CAAFAC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BE5C-47BA-BD59-49125CAAFAC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8735782090407863"/>
                  <c:y val="-1.71447069116360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9D-47F8-96E5-D152DB92E64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99D-47F8-96E5-D152DB92E64E}"/>
                </c:ext>
              </c:extLst>
            </c:dLbl>
            <c:dLbl>
              <c:idx val="2"/>
              <c:layout>
                <c:manualLayout>
                  <c:x val="2.4458429580670724E-2"/>
                  <c:y val="-6.78113735783027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99D-47F8-96E5-D152DB92E64E}"/>
                </c:ext>
              </c:extLst>
            </c:dLbl>
            <c:dLbl>
              <c:idx val="3"/>
              <c:layout>
                <c:manualLayout>
                  <c:x val="5.2410258139574091E-3"/>
                  <c:y val="2.49588801399825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99D-47F8-96E5-D152DB92E64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1.8536E-2</c:v>
                </c:pt>
                <c:pt idx="1">
                  <c:v>5.1749999999999999E-3</c:v>
                </c:pt>
                <c:pt idx="2">
                  <c:v>0.12728300000000001</c:v>
                </c:pt>
                <c:pt idx="3">
                  <c:v>0.84900600000000004</c:v>
                </c:pt>
              </c:numCache>
            </c:numRef>
          </c:val>
          <c:extLst>
            <c:ext xmlns:c16="http://schemas.microsoft.com/office/drawing/2014/chart" uri="{C3380CC4-5D6E-409C-BE32-E72D297353CC}">
              <c16:uniqueId val="{0000000C-299D-47F8-96E5-D152DB92E64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91E-4C2C-BE1E-3F62035617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A91E-4C2C-BE1E-3F62035617B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26B-477C-A2D8-FB9BB82345C1}"/>
                </c:ext>
              </c:extLst>
            </c:dLbl>
            <c:dLbl>
              <c:idx val="1"/>
              <c:layout>
                <c:manualLayout>
                  <c:x val="0.16017872498271762"/>
                  <c:y val="7.299737532808398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26B-477C-A2D8-FB9BB82345C1}"/>
                </c:ext>
              </c:extLst>
            </c:dLbl>
            <c:dLbl>
              <c:idx val="2"/>
              <c:layout>
                <c:manualLayout>
                  <c:x val="0.34604073580738171"/>
                  <c:y val="4.18092738407699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26B-477C-A2D8-FB9BB82345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-6.3900000000000003E-4</c:v>
                </c:pt>
                <c:pt idx="1">
                  <c:v>3.4250000000000001E-3</c:v>
                </c:pt>
                <c:pt idx="2">
                  <c:v>0.99721400000000004</c:v>
                </c:pt>
              </c:numCache>
            </c:numRef>
          </c:val>
          <c:extLst>
            <c:ext xmlns:c16="http://schemas.microsoft.com/office/drawing/2014/chart" uri="{C3380CC4-5D6E-409C-BE32-E72D297353CC}">
              <c16:uniqueId val="{0000000C-D26B-477C-A2D8-FB9BB82345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3972-431D-A905-0453FF43FA53}"/>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972-431D-A905-0453FF43FA53}"/>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3972-431D-A905-0453FF43FA53}"/>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972-431D-A905-0453FF43FA53}"/>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0.99876900000000002</c:v>
                </c:pt>
                <c:pt idx="1">
                  <c:v>-5.7369999999999999E-3</c:v>
                </c:pt>
                <c:pt idx="2">
                  <c:v>6.9680000000000002E-3</c:v>
                </c:pt>
              </c:numCache>
            </c:numRef>
          </c:val>
          <c:extLst>
            <c:ext xmlns:c16="http://schemas.microsoft.com/office/drawing/2014/chart" uri="{C3380CC4-5D6E-409C-BE32-E72D297353CC}">
              <c16:uniqueId val="{00000004-3972-431D-A905-0453FF43FA53}"/>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B896C76-2077-4B8A-BBB0-F213DEA1F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8AA31BA-78C5-4A64-A46B-2DB8656FC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596900</xdr:colOff>
      <xdr:row>7</xdr:row>
      <xdr:rowOff>12701</xdr:rowOff>
    </xdr:from>
    <xdr:to>
      <xdr:col>13</xdr:col>
      <xdr:colOff>533400</xdr:colOff>
      <xdr:row>22</xdr:row>
      <xdr:rowOff>12701</xdr:rowOff>
    </xdr:to>
    <xdr:graphicFrame macro="">
      <xdr:nvGraphicFramePr>
        <xdr:cNvPr id="2" name="Chart 1">
          <a:extLst>
            <a:ext uri="{FF2B5EF4-FFF2-40B4-BE49-F238E27FC236}">
              <a16:creationId xmlns:a16="http://schemas.microsoft.com/office/drawing/2014/main" id="{C2076005-C4D6-47B2-9308-E095065D3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42321667-8AE8-4AAA-9B2C-E62B55435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596900</xdr:colOff>
      <xdr:row>7</xdr:row>
      <xdr:rowOff>38100</xdr:rowOff>
    </xdr:from>
    <xdr:to>
      <xdr:col>13</xdr:col>
      <xdr:colOff>533400</xdr:colOff>
      <xdr:row>22</xdr:row>
      <xdr:rowOff>38100</xdr:rowOff>
    </xdr:to>
    <xdr:graphicFrame macro="">
      <xdr:nvGraphicFramePr>
        <xdr:cNvPr id="2" name="Chart 1">
          <a:extLst>
            <a:ext uri="{FF2B5EF4-FFF2-40B4-BE49-F238E27FC236}">
              <a16:creationId xmlns:a16="http://schemas.microsoft.com/office/drawing/2014/main" id="{7585BB6E-4F6B-4A8C-B247-4D7F7AA39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2195D530-2A8E-47DA-9044-C11CCABD7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533400</xdr:colOff>
      <xdr:row>7</xdr:row>
      <xdr:rowOff>25401</xdr:rowOff>
    </xdr:from>
    <xdr:to>
      <xdr:col>13</xdr:col>
      <xdr:colOff>469900</xdr:colOff>
      <xdr:row>22</xdr:row>
      <xdr:rowOff>25401</xdr:rowOff>
    </xdr:to>
    <xdr:graphicFrame macro="">
      <xdr:nvGraphicFramePr>
        <xdr:cNvPr id="2" name="Chart 1">
          <a:extLst>
            <a:ext uri="{FF2B5EF4-FFF2-40B4-BE49-F238E27FC236}">
              <a16:creationId xmlns:a16="http://schemas.microsoft.com/office/drawing/2014/main" id="{9DFFF187-4309-43E8-B073-50E3AAE18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21A042D-B29F-40B5-BF2B-CF1042E65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25400</xdr:colOff>
      <xdr:row>7</xdr:row>
      <xdr:rowOff>25400</xdr:rowOff>
    </xdr:from>
    <xdr:to>
      <xdr:col>13</xdr:col>
      <xdr:colOff>571500</xdr:colOff>
      <xdr:row>22</xdr:row>
      <xdr:rowOff>25400</xdr:rowOff>
    </xdr:to>
    <xdr:graphicFrame macro="">
      <xdr:nvGraphicFramePr>
        <xdr:cNvPr id="2" name="Chart 1">
          <a:extLst>
            <a:ext uri="{FF2B5EF4-FFF2-40B4-BE49-F238E27FC236}">
              <a16:creationId xmlns:a16="http://schemas.microsoft.com/office/drawing/2014/main" id="{29DFDC72-2EFE-43D5-A45F-604AD265E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EF46C07-B2A5-43E8-9526-B641E3CEC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B318AF3-7457-4CA0-9A38-536123DE7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74E7840-61F8-4ECA-88B5-DE73C2B51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AC15F30-AF93-477D-AAFE-5A34FD14C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DA02B199-CBC9-41E6-AFAC-05DE7B8B2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E2506F5-76CD-4FD4-AE2E-676C57A13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99DD7AA8-7346-41A4-B1D6-B833F46E1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E0485C1-3F39-45A1-8F6E-73C524AEB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AE81728-A3AB-4F23-A4EB-111501ECA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C0C4300-EA2D-4EDC-882A-48657FF3C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D4116FF-B928-48C7-8A46-117802067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12700</xdr:colOff>
      <xdr:row>7</xdr:row>
      <xdr:rowOff>0</xdr:rowOff>
    </xdr:from>
    <xdr:to>
      <xdr:col>13</xdr:col>
      <xdr:colOff>558800</xdr:colOff>
      <xdr:row>22</xdr:row>
      <xdr:rowOff>0</xdr:rowOff>
    </xdr:to>
    <xdr:graphicFrame macro="">
      <xdr:nvGraphicFramePr>
        <xdr:cNvPr id="2" name="Chart 1">
          <a:extLst>
            <a:ext uri="{FF2B5EF4-FFF2-40B4-BE49-F238E27FC236}">
              <a16:creationId xmlns:a16="http://schemas.microsoft.com/office/drawing/2014/main" id="{9A256D7B-65B4-4AEE-AC28-30372BBF3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DBF4ABE8-FAE4-417D-845C-E6E32546C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FECEBD2-B8C6-4649-BE1E-0113E6614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FC55F2C0-70D6-40DC-AA23-9F1180952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57D6659-2A61-4BEE-BF4B-E70E33F11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CC9A5AD-A185-4E38-8D58-A00BADCAC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83D946E-8364-488C-B3A6-36FB5D8E7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F13AD0A-7C6D-4B12-8244-0DE547915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16F8FF6-FED2-424C-BEAE-E68D7D015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E19E180-5226-45DC-B7AE-CC314786E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869D931-E366-4689-B013-8A48F0598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7586E7E-DE9E-4375-9B9A-02E88E8E3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6E3A825-2268-49DA-9B05-9C80258F7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72E09E9-7938-435E-BF78-73FA91EF7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B11EF3E-DB97-4E76-9C07-FAB8E5BD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978C662-EE0A-4863-B601-E7A54ACD4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5C615C4-835E-4295-B959-BC85D4A8D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B6C2BD2-D49C-4466-A943-95519B584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2A89873-FC2C-4E40-8F66-F2E79A6AD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3CEEE68-D788-49A3-BC9A-37FB91445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0666887-CE72-4117-B20A-823429586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16C3C0F-B989-4509-B3A6-2CCE60920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9E92B51-AE53-4635-9959-43A350443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E2E1BE8-E836-40DC-A50B-020AB0FD1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9291936-2201-4E36-B312-142E40EBF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07290A0-610F-4BE7-B3C9-969592721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50800</xdr:colOff>
      <xdr:row>7</xdr:row>
      <xdr:rowOff>63501</xdr:rowOff>
    </xdr:from>
    <xdr:to>
      <xdr:col>13</xdr:col>
      <xdr:colOff>596900</xdr:colOff>
      <xdr:row>22</xdr:row>
      <xdr:rowOff>63501</xdr:rowOff>
    </xdr:to>
    <xdr:graphicFrame macro="">
      <xdr:nvGraphicFramePr>
        <xdr:cNvPr id="2" name="Chart 1">
          <a:extLst>
            <a:ext uri="{FF2B5EF4-FFF2-40B4-BE49-F238E27FC236}">
              <a16:creationId xmlns:a16="http://schemas.microsoft.com/office/drawing/2014/main" id="{AA5F2466-B0AB-4B75-8651-0FF4D0148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EBB6775-5304-410E-8F09-E421C6307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11E42630-FB7D-4ACF-BCF1-BE3064030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_Team/WEEKLY%20PORTFOLIOS/Bandhan%20Debt%20Fund%20Portfolio%20as%20on%2022nd%20November%20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duct_Team/MONTH%20END%20DELIVERABLES-1/Portfolios_All/2024/Nov%202024/Bandhan%20Debt%20Fund%20Portfolio%20as%20on%2031st%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DHAN OF"/>
      <sheetName val="BANDHAN CF"/>
      <sheetName val="BANDHAN LDF"/>
      <sheetName val="BANDHAN MMF"/>
      <sheetName val="BANDHAN USTF"/>
      <sheetName val="IBANDHAN DBF"/>
      <sheetName val="BANDHAN BOND IP"/>
      <sheetName val="BANDHAN BOND MT"/>
      <sheetName val="BANDHAN BOND ST"/>
      <sheetName val="BANDHAN BPDF"/>
      <sheetName val="BANDHAN CBF"/>
      <sheetName val="BANDHAN CRF"/>
      <sheetName val="BANDHAN FRF"/>
      <sheetName val="BANDHAN Long Dur"/>
      <sheetName val="BANDHAN GSF-IP"/>
      <sheetName val="BANDHAN GSF - CMP"/>
      <sheetName val="BANDHAN GIF26"/>
      <sheetName val="BANDHAN GIF2027"/>
      <sheetName val="BANDHAN GIF2028"/>
      <sheetName val="BANDHAN GIF32"/>
      <sheetName val="BANDHAN SDLGIF26"/>
      <sheetName val="BANDHAN SDLGIF27"/>
      <sheetName val="BANDHAN SDLGIF32"/>
      <sheetName val="BANDHAN ASBF"/>
      <sheetName val="Disclaimer"/>
    </sheetNames>
    <sheetDataSet>
      <sheetData sheetId="0"/>
      <sheetData sheetId="1">
        <row r="8">
          <cell r="G8" t="str">
            <v>AAA EQUIVALENT / A1+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DHAN OF"/>
      <sheetName val="BANDHAN CF"/>
      <sheetName val="BANDHAN LDF"/>
      <sheetName val="BANDHAN MMF"/>
      <sheetName val="BANDHAN USTF"/>
      <sheetName val="BANDHAN DBF"/>
      <sheetName val="BANDHAN BOND IP"/>
      <sheetName val="BANDHAN BOND MT"/>
      <sheetName val="BANDHAN BOND ST"/>
      <sheetName val="BANDHAN BPDF"/>
      <sheetName val="BANDHAN CBF"/>
      <sheetName val="BANDHAN FRF"/>
      <sheetName val="BANDHAN CRF"/>
      <sheetName val="BANDHAN Long Dur"/>
      <sheetName val="BANDHAN GSF-IP"/>
      <sheetName val="BANDHAN GSF - CMP"/>
      <sheetName val="BANDHAN GIF26"/>
      <sheetName val="BANDHAN GIF2027"/>
      <sheetName val="BANDHAN GIF2028"/>
      <sheetName val="BANDHAN GIF32"/>
      <sheetName val="BANDHAN SDLGIF26"/>
      <sheetName val="BANDHAN SDLGIF27"/>
      <sheetName val="BANDHAN SDLGIF32"/>
      <sheetName val="BANDHAN ASBF"/>
      <sheetName val="BANDHAN US TB 0-1yr FO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8">
          <cell r="I8" t="str">
            <v>International Mutual Fund Units</v>
          </cell>
          <cell r="J8">
            <v>0.99012199999999995</v>
          </cell>
        </row>
        <row r="9">
          <cell r="I9" t="str">
            <v>Net Current Asset</v>
          </cell>
          <cell r="J9">
            <v>-1.743E-3</v>
          </cell>
        </row>
        <row r="10">
          <cell r="I10" t="str">
            <v>TRI Party Repo Total</v>
          </cell>
          <cell r="J10">
            <v>1.1620999999999999E-2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45AB8-0357-4AA1-B739-C008C5958098}">
  <dimension ref="B1:N49"/>
  <sheetViews>
    <sheetView showGridLines="0" tabSelected="1" zoomScale="75" zoomScaleNormal="75" workbookViewId="0">
      <selection activeCell="C17" sqref="C17"/>
    </sheetView>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180</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181</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31</v>
      </c>
      <c r="D8" s="6"/>
      <c r="E8" s="11">
        <v>0.77648200000000001</v>
      </c>
      <c r="F8" s="1"/>
      <c r="G8" s="24" t="s">
        <v>4</v>
      </c>
      <c r="H8" s="25">
        <v>1</v>
      </c>
      <c r="I8" s="1"/>
      <c r="J8" s="24" t="s">
        <v>35</v>
      </c>
      <c r="K8" s="24" t="s">
        <v>3</v>
      </c>
      <c r="L8" s="1"/>
      <c r="M8" s="1"/>
      <c r="N8" s="18"/>
    </row>
    <row r="9" spans="2:14" ht="15.75" customHeight="1" x14ac:dyDescent="0.25">
      <c r="B9" s="20"/>
      <c r="C9" s="7" t="s">
        <v>182</v>
      </c>
      <c r="D9" s="8"/>
      <c r="E9" s="12">
        <v>0.77648200000000001</v>
      </c>
      <c r="F9" s="1"/>
      <c r="G9" s="1"/>
      <c r="H9" s="1"/>
      <c r="I9" s="1"/>
      <c r="J9" s="24" t="s">
        <v>33</v>
      </c>
      <c r="K9" s="29">
        <v>-5.7799999999999995E-4</v>
      </c>
      <c r="L9" s="1"/>
      <c r="M9" s="1"/>
      <c r="N9" s="18"/>
    </row>
    <row r="10" spans="2:14" ht="15" customHeight="1" x14ac:dyDescent="0.25">
      <c r="B10" s="20"/>
      <c r="C10" s="5" t="s">
        <v>150</v>
      </c>
      <c r="D10" s="6" t="s">
        <v>190</v>
      </c>
      <c r="E10" s="11">
        <v>2.1648000000000001E-2</v>
      </c>
      <c r="F10" s="1"/>
      <c r="G10" s="1"/>
      <c r="H10" s="1"/>
      <c r="I10" s="1"/>
      <c r="J10" s="24" t="s">
        <v>36</v>
      </c>
      <c r="K10" s="29">
        <v>0.18080499999999999</v>
      </c>
      <c r="L10" s="1"/>
      <c r="M10" s="1"/>
      <c r="N10" s="18"/>
    </row>
    <row r="11" spans="2:14" ht="15" customHeight="1" x14ac:dyDescent="0.25">
      <c r="B11" s="20"/>
      <c r="C11" s="5" t="s">
        <v>183</v>
      </c>
      <c r="D11" s="6" t="s">
        <v>190</v>
      </c>
      <c r="E11" s="11">
        <v>1.3004999999999999E-2</v>
      </c>
      <c r="F11" s="1"/>
      <c r="G11" s="1"/>
      <c r="H11" s="1"/>
      <c r="I11" s="1"/>
      <c r="J11" s="24" t="s">
        <v>185</v>
      </c>
      <c r="K11" s="29">
        <v>0.77648200000000001</v>
      </c>
      <c r="L11" s="1"/>
      <c r="M11" s="1"/>
      <c r="N11" s="18"/>
    </row>
    <row r="12" spans="2:14" ht="15" customHeight="1" x14ac:dyDescent="0.25">
      <c r="B12" s="20"/>
      <c r="C12" s="5" t="s">
        <v>184</v>
      </c>
      <c r="D12" s="6" t="s">
        <v>190</v>
      </c>
      <c r="E12" s="11">
        <v>8.6379999999999998E-3</v>
      </c>
      <c r="F12" s="1"/>
      <c r="G12" s="1"/>
      <c r="H12" s="1"/>
      <c r="I12" s="1"/>
      <c r="J12" s="24" t="s">
        <v>159</v>
      </c>
      <c r="K12" s="29">
        <v>4.3291000000000003E-2</v>
      </c>
      <c r="L12" s="1"/>
      <c r="M12" s="1"/>
      <c r="N12" s="18"/>
    </row>
    <row r="13" spans="2:14" ht="15.75" customHeight="1" x14ac:dyDescent="0.25">
      <c r="B13" s="20"/>
      <c r="C13" s="7" t="s">
        <v>157</v>
      </c>
      <c r="D13" s="8"/>
      <c r="E13" s="12">
        <v>4.3291000000000003E-2</v>
      </c>
      <c r="F13" s="1"/>
      <c r="G13" s="1"/>
      <c r="H13" s="1"/>
      <c r="I13" s="1"/>
      <c r="J13" s="1"/>
      <c r="K13" s="1"/>
      <c r="L13" s="1"/>
      <c r="M13" s="1"/>
      <c r="N13" s="18"/>
    </row>
    <row r="14" spans="2:14" ht="15" customHeight="1" x14ac:dyDescent="0.25">
      <c r="B14" s="20"/>
      <c r="C14" s="5" t="s">
        <v>31</v>
      </c>
      <c r="D14" s="6"/>
      <c r="E14" s="11">
        <v>0.18080499999999999</v>
      </c>
      <c r="F14" s="1"/>
      <c r="G14" s="1"/>
      <c r="H14" s="1"/>
      <c r="I14" s="1"/>
      <c r="J14" s="1"/>
      <c r="K14" s="1"/>
      <c r="L14" s="1"/>
      <c r="M14" s="1"/>
      <c r="N14" s="18"/>
    </row>
    <row r="15" spans="2:14" ht="15.75" customHeight="1" x14ac:dyDescent="0.25">
      <c r="B15" s="20"/>
      <c r="C15" s="7" t="s">
        <v>32</v>
      </c>
      <c r="D15" s="8"/>
      <c r="E15" s="12">
        <v>0.18080499999999999</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33</v>
      </c>
      <c r="D17" s="8"/>
      <c r="E17" s="12">
        <v>-5.7799999999999995E-4</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34</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8" t="s">
        <v>110</v>
      </c>
      <c r="H24" s="59"/>
      <c r="I24" s="59"/>
      <c r="J24" s="59"/>
      <c r="K24" s="59"/>
      <c r="L24" s="40">
        <v>2.4645244468931122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8" t="s">
        <v>7</v>
      </c>
      <c r="H26" s="59"/>
      <c r="I26" s="59"/>
      <c r="J26" s="59"/>
      <c r="K26" s="59"/>
      <c r="L26" s="59"/>
      <c r="M26" s="59"/>
      <c r="N26" s="60"/>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41" t="s">
        <v>333</v>
      </c>
      <c r="C45" s="42"/>
      <c r="D45" s="42"/>
      <c r="E45" s="42"/>
      <c r="F45" s="42"/>
      <c r="G45" s="42"/>
      <c r="H45" s="42"/>
      <c r="I45" s="42"/>
      <c r="J45" s="42"/>
      <c r="K45" s="42"/>
      <c r="L45" s="42"/>
      <c r="M45" s="42"/>
      <c r="N45" s="43"/>
    </row>
    <row r="46" spans="2:14" x14ac:dyDescent="0.25">
      <c r="B46" s="44"/>
      <c r="C46" s="45"/>
      <c r="D46" s="45"/>
      <c r="E46" s="45"/>
      <c r="F46" s="45"/>
      <c r="G46" s="45"/>
      <c r="H46" s="45"/>
      <c r="I46" s="45"/>
      <c r="J46" s="45"/>
      <c r="K46" s="45"/>
      <c r="L46" s="45"/>
      <c r="M46" s="45"/>
      <c r="N46" s="46"/>
    </row>
    <row r="47" spans="2:14" ht="15.75" thickBot="1" x14ac:dyDescent="0.3">
      <c r="B47" s="47"/>
      <c r="C47" s="48"/>
      <c r="D47" s="48"/>
      <c r="E47" s="48"/>
      <c r="F47" s="48"/>
      <c r="G47" s="48"/>
      <c r="H47" s="48"/>
      <c r="I47" s="48"/>
      <c r="J47" s="48"/>
      <c r="K47" s="48"/>
      <c r="L47" s="48"/>
      <c r="M47" s="48"/>
      <c r="N47" s="49"/>
    </row>
    <row r="48" spans="2:14" ht="15.75" thickBot="1" x14ac:dyDescent="0.3"/>
    <row r="49" spans="2:14" ht="123.75" customHeight="1" thickBot="1" x14ac:dyDescent="0.3">
      <c r="B49" s="50" t="s">
        <v>336</v>
      </c>
      <c r="C49" s="51"/>
      <c r="D49" s="51"/>
      <c r="E49" s="51"/>
      <c r="F49" s="51"/>
      <c r="G49" s="51"/>
      <c r="H49" s="51"/>
      <c r="I49" s="51"/>
      <c r="J49" s="51"/>
      <c r="K49" s="51"/>
      <c r="L49" s="51"/>
      <c r="M49" s="51"/>
      <c r="N49" s="52"/>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6A71-DC98-4805-8FF3-CF8921A4A22D}">
  <dimension ref="B1:N85"/>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125</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126</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127</v>
      </c>
      <c r="D8" s="6" t="s">
        <v>14</v>
      </c>
      <c r="E8" s="11">
        <v>9.7184999999999994E-2</v>
      </c>
      <c r="F8" s="1"/>
      <c r="G8" s="39" t="s">
        <v>335</v>
      </c>
      <c r="H8" s="25">
        <v>1</v>
      </c>
      <c r="I8" s="1"/>
      <c r="J8" s="24" t="s">
        <v>35</v>
      </c>
      <c r="K8" s="24" t="s">
        <v>3</v>
      </c>
      <c r="L8" s="1"/>
      <c r="M8" s="1"/>
      <c r="N8" s="18"/>
    </row>
    <row r="9" spans="2:14" ht="15" customHeight="1" x14ac:dyDescent="0.25">
      <c r="B9" s="20"/>
      <c r="C9" s="5" t="s">
        <v>15</v>
      </c>
      <c r="D9" s="6" t="s">
        <v>14</v>
      </c>
      <c r="E9" s="11">
        <v>7.5208999999999998E-2</v>
      </c>
      <c r="F9" s="1"/>
      <c r="G9" s="1"/>
      <c r="H9" s="1"/>
      <c r="I9" s="1"/>
      <c r="J9" s="24" t="s">
        <v>33</v>
      </c>
      <c r="K9" s="29">
        <v>-5.7438000000000003E-2</v>
      </c>
      <c r="L9" s="1"/>
      <c r="M9" s="1"/>
      <c r="N9" s="18"/>
    </row>
    <row r="10" spans="2:14" ht="15" customHeight="1" x14ac:dyDescent="0.25">
      <c r="B10" s="20"/>
      <c r="C10" s="5" t="s">
        <v>13</v>
      </c>
      <c r="D10" s="6" t="s">
        <v>14</v>
      </c>
      <c r="E10" s="11">
        <v>7.0833999999999994E-2</v>
      </c>
      <c r="F10" s="1"/>
      <c r="G10" s="1"/>
      <c r="H10" s="1"/>
      <c r="I10" s="1"/>
      <c r="J10" s="24" t="s">
        <v>36</v>
      </c>
      <c r="K10" s="29">
        <v>1.2600000000000001E-3</v>
      </c>
      <c r="L10" s="1"/>
      <c r="M10" s="1"/>
      <c r="N10" s="18"/>
    </row>
    <row r="11" spans="2:14" ht="15" customHeight="1" x14ac:dyDescent="0.25">
      <c r="B11" s="20"/>
      <c r="C11" s="5" t="s">
        <v>128</v>
      </c>
      <c r="D11" s="6" t="s">
        <v>14</v>
      </c>
      <c r="E11" s="11">
        <v>4.836E-2</v>
      </c>
      <c r="F11" s="1"/>
      <c r="G11" s="1"/>
      <c r="H11" s="1"/>
      <c r="I11" s="1"/>
      <c r="J11" s="24" t="s">
        <v>37</v>
      </c>
      <c r="K11" s="29">
        <v>0.31679499999999999</v>
      </c>
      <c r="L11" s="1"/>
      <c r="M11" s="1"/>
      <c r="N11" s="18"/>
    </row>
    <row r="12" spans="2:14" ht="15" customHeight="1" x14ac:dyDescent="0.25">
      <c r="B12" s="20"/>
      <c r="C12" s="5" t="s">
        <v>129</v>
      </c>
      <c r="D12" s="6" t="s">
        <v>14</v>
      </c>
      <c r="E12" s="11">
        <v>1.0776000000000001E-2</v>
      </c>
      <c r="F12" s="1"/>
      <c r="G12" s="1"/>
      <c r="H12" s="1"/>
      <c r="I12" s="1"/>
      <c r="J12" s="24" t="s">
        <v>38</v>
      </c>
      <c r="K12" s="29">
        <v>1.8873999999999998E-2</v>
      </c>
      <c r="L12" s="1"/>
      <c r="M12" s="1"/>
      <c r="N12" s="18"/>
    </row>
    <row r="13" spans="2:14" ht="15" customHeight="1" x14ac:dyDescent="0.25">
      <c r="B13" s="20"/>
      <c r="C13" s="5" t="s">
        <v>42</v>
      </c>
      <c r="D13" s="6" t="s">
        <v>14</v>
      </c>
      <c r="E13" s="11">
        <v>7.2379999999999996E-3</v>
      </c>
      <c r="F13" s="1"/>
      <c r="G13" s="1"/>
      <c r="H13" s="1"/>
      <c r="I13" s="1"/>
      <c r="J13" s="24" t="s">
        <v>158</v>
      </c>
      <c r="K13" s="29">
        <v>0.523254</v>
      </c>
      <c r="L13" s="1"/>
      <c r="M13" s="1"/>
      <c r="N13" s="18"/>
    </row>
    <row r="14" spans="2:14" ht="15" customHeight="1" x14ac:dyDescent="0.25">
      <c r="B14" s="20"/>
      <c r="C14" s="5" t="s">
        <v>130</v>
      </c>
      <c r="D14" s="6" t="s">
        <v>14</v>
      </c>
      <c r="E14" s="11">
        <v>7.1929999999999997E-3</v>
      </c>
      <c r="F14" s="1"/>
      <c r="G14" s="1"/>
      <c r="H14" s="1"/>
      <c r="I14" s="1"/>
      <c r="J14" s="24" t="s">
        <v>23</v>
      </c>
      <c r="K14" s="29">
        <v>2.4919999999999999E-3</v>
      </c>
      <c r="L14" s="1"/>
      <c r="M14" s="1"/>
      <c r="N14" s="18"/>
    </row>
    <row r="15" spans="2:14" ht="15.75" customHeight="1" x14ac:dyDescent="0.25">
      <c r="B15" s="20"/>
      <c r="C15" s="7" t="s">
        <v>16</v>
      </c>
      <c r="D15" s="8"/>
      <c r="E15" s="12">
        <v>0.31679499999999999</v>
      </c>
      <c r="F15" s="1"/>
      <c r="G15" s="1"/>
      <c r="H15" s="1"/>
      <c r="I15" s="1"/>
      <c r="J15" s="24" t="s">
        <v>159</v>
      </c>
      <c r="K15" s="29">
        <v>0.19476299999999999</v>
      </c>
      <c r="L15" s="1"/>
      <c r="M15" s="1"/>
      <c r="N15" s="18"/>
    </row>
    <row r="16" spans="2:14" ht="15" customHeight="1" x14ac:dyDescent="0.25">
      <c r="B16" s="20"/>
      <c r="C16" s="5" t="s">
        <v>17</v>
      </c>
      <c r="D16" s="6" t="s">
        <v>14</v>
      </c>
      <c r="E16" s="11">
        <v>6.6326999999999997E-2</v>
      </c>
      <c r="F16" s="1"/>
      <c r="G16" s="1"/>
      <c r="H16" s="1"/>
      <c r="I16" s="1"/>
      <c r="J16" s="1"/>
      <c r="K16" s="1"/>
      <c r="L16" s="1"/>
      <c r="M16" s="1"/>
      <c r="N16" s="18"/>
    </row>
    <row r="17" spans="2:14" ht="15" customHeight="1" x14ac:dyDescent="0.25">
      <c r="B17" s="20"/>
      <c r="C17" s="5" t="s">
        <v>59</v>
      </c>
      <c r="D17" s="6" t="s">
        <v>14</v>
      </c>
      <c r="E17" s="11">
        <v>5.0758999999999999E-2</v>
      </c>
      <c r="F17" s="1"/>
      <c r="G17" s="1"/>
      <c r="H17" s="1"/>
      <c r="I17" s="1"/>
      <c r="J17" s="1"/>
      <c r="K17" s="1"/>
      <c r="L17" s="1"/>
      <c r="M17" s="1"/>
      <c r="N17" s="18"/>
    </row>
    <row r="18" spans="2:14" ht="15" customHeight="1" x14ac:dyDescent="0.25">
      <c r="B18" s="20"/>
      <c r="C18" s="5" t="s">
        <v>131</v>
      </c>
      <c r="D18" s="6" t="s">
        <v>14</v>
      </c>
      <c r="E18" s="11">
        <v>4.3499999999999997E-2</v>
      </c>
      <c r="F18" s="1"/>
      <c r="G18" s="1"/>
      <c r="H18" s="1"/>
      <c r="I18" s="1"/>
      <c r="J18" s="1"/>
      <c r="K18" s="1"/>
      <c r="L18" s="1"/>
      <c r="M18" s="1"/>
      <c r="N18" s="18"/>
    </row>
    <row r="19" spans="2:14" ht="15" customHeight="1" x14ac:dyDescent="0.25">
      <c r="B19" s="20"/>
      <c r="C19" s="5" t="s">
        <v>132</v>
      </c>
      <c r="D19" s="6" t="s">
        <v>14</v>
      </c>
      <c r="E19" s="11">
        <v>3.5986999999999998E-2</v>
      </c>
      <c r="F19" s="1"/>
      <c r="G19" s="1"/>
      <c r="H19" s="1"/>
      <c r="I19" s="1"/>
      <c r="J19" s="1"/>
      <c r="K19" s="1"/>
      <c r="L19" s="1"/>
      <c r="M19" s="1"/>
      <c r="N19" s="18"/>
    </row>
    <row r="20" spans="2:14" ht="15" customHeight="1" x14ac:dyDescent="0.25">
      <c r="B20" s="20"/>
      <c r="C20" s="5" t="s">
        <v>133</v>
      </c>
      <c r="D20" s="6" t="s">
        <v>14</v>
      </c>
      <c r="E20" s="11">
        <v>3.2413999999999998E-2</v>
      </c>
      <c r="F20" s="1"/>
      <c r="G20" s="1"/>
      <c r="H20" s="1"/>
      <c r="I20" s="1"/>
      <c r="J20" s="1"/>
      <c r="K20" s="1"/>
      <c r="L20" s="1"/>
      <c r="M20" s="1"/>
      <c r="N20" s="18"/>
    </row>
    <row r="21" spans="2:14" ht="15" customHeight="1" x14ac:dyDescent="0.25">
      <c r="B21" s="20"/>
      <c r="C21" s="5" t="s">
        <v>62</v>
      </c>
      <c r="D21" s="6" t="s">
        <v>14</v>
      </c>
      <c r="E21" s="11">
        <v>3.0501E-2</v>
      </c>
      <c r="F21" s="1"/>
      <c r="G21" s="1"/>
      <c r="H21" s="1"/>
      <c r="I21" s="1"/>
      <c r="J21" s="1"/>
      <c r="K21" s="1"/>
      <c r="L21" s="1"/>
      <c r="M21" s="1"/>
      <c r="N21" s="18"/>
    </row>
    <row r="22" spans="2:14" ht="15" customHeight="1" x14ac:dyDescent="0.25">
      <c r="B22" s="20"/>
      <c r="C22" s="5" t="s">
        <v>134</v>
      </c>
      <c r="D22" s="6" t="s">
        <v>14</v>
      </c>
      <c r="E22" s="11">
        <v>2.8607E-2</v>
      </c>
      <c r="F22" s="1"/>
      <c r="G22" s="1"/>
      <c r="H22" s="1"/>
      <c r="I22" s="1"/>
      <c r="J22" s="1"/>
      <c r="K22" s="1"/>
      <c r="L22" s="1"/>
      <c r="M22" s="1"/>
      <c r="N22" s="18"/>
    </row>
    <row r="23" spans="2:14" ht="15" customHeight="1" x14ac:dyDescent="0.25">
      <c r="B23" s="20"/>
      <c r="C23" s="5" t="s">
        <v>135</v>
      </c>
      <c r="D23" s="6" t="s">
        <v>14</v>
      </c>
      <c r="E23" s="11">
        <v>2.6855E-2</v>
      </c>
      <c r="F23" s="1"/>
      <c r="G23" s="1"/>
      <c r="H23" s="1"/>
      <c r="I23" s="1"/>
      <c r="J23" s="1"/>
      <c r="K23" s="1"/>
      <c r="L23" s="1"/>
      <c r="M23" s="1"/>
      <c r="N23" s="18"/>
    </row>
    <row r="24" spans="2:14" ht="15" customHeight="1" x14ac:dyDescent="0.25">
      <c r="B24" s="20"/>
      <c r="C24" s="5" t="s">
        <v>136</v>
      </c>
      <c r="D24" s="6" t="s">
        <v>14</v>
      </c>
      <c r="E24" s="11">
        <v>2.3269000000000001E-2</v>
      </c>
      <c r="F24" s="1"/>
      <c r="G24" s="58" t="s">
        <v>110</v>
      </c>
      <c r="H24" s="59"/>
      <c r="I24" s="59"/>
      <c r="J24" s="59"/>
      <c r="K24" s="59"/>
      <c r="L24" s="40">
        <v>56.347153909428528</v>
      </c>
      <c r="M24" s="27"/>
      <c r="N24" s="28"/>
    </row>
    <row r="25" spans="2:14" ht="15" customHeight="1" x14ac:dyDescent="0.25">
      <c r="B25" s="20"/>
      <c r="C25" s="5" t="s">
        <v>137</v>
      </c>
      <c r="D25" s="6" t="s">
        <v>14</v>
      </c>
      <c r="E25" s="11">
        <v>2.1767999999999999E-2</v>
      </c>
      <c r="F25" s="1"/>
      <c r="G25" s="1"/>
      <c r="H25" s="1"/>
      <c r="I25" s="1"/>
      <c r="J25" s="1"/>
      <c r="K25" s="1"/>
      <c r="L25" s="1"/>
      <c r="M25" s="1"/>
      <c r="N25" s="18"/>
    </row>
    <row r="26" spans="2:14" ht="15" customHeight="1" x14ac:dyDescent="0.25">
      <c r="B26" s="20"/>
      <c r="C26" s="5" t="s">
        <v>61</v>
      </c>
      <c r="D26" s="6" t="s">
        <v>14</v>
      </c>
      <c r="E26" s="11">
        <v>2.1752000000000001E-2</v>
      </c>
      <c r="F26" s="1"/>
      <c r="G26" s="58" t="s">
        <v>7</v>
      </c>
      <c r="H26" s="59"/>
      <c r="I26" s="59"/>
      <c r="J26" s="59"/>
      <c r="K26" s="59"/>
      <c r="L26" s="59"/>
      <c r="M26" s="59"/>
      <c r="N26" s="60"/>
    </row>
    <row r="27" spans="2:14" ht="15" customHeight="1" x14ac:dyDescent="0.25">
      <c r="B27" s="20"/>
      <c r="C27" s="5" t="s">
        <v>44</v>
      </c>
      <c r="D27" s="6" t="s">
        <v>14</v>
      </c>
      <c r="E27" s="11">
        <v>2.1432E-2</v>
      </c>
      <c r="F27" s="1"/>
      <c r="G27" s="1"/>
      <c r="H27" s="1"/>
      <c r="I27" s="1"/>
      <c r="J27" s="1"/>
      <c r="K27" s="1"/>
      <c r="L27" s="1"/>
      <c r="M27" s="1"/>
      <c r="N27" s="18"/>
    </row>
    <row r="28" spans="2:14" ht="15" customHeight="1" x14ac:dyDescent="0.25">
      <c r="B28" s="20"/>
      <c r="C28" s="5" t="s">
        <v>19</v>
      </c>
      <c r="D28" s="6" t="s">
        <v>14</v>
      </c>
      <c r="E28" s="11">
        <v>2.1420000000000002E-2</v>
      </c>
      <c r="F28" s="1"/>
      <c r="G28" s="1"/>
      <c r="H28" s="1"/>
      <c r="I28" s="1"/>
      <c r="J28" s="1"/>
      <c r="K28" s="1"/>
      <c r="L28" s="1"/>
      <c r="M28" s="1"/>
      <c r="N28" s="18"/>
    </row>
    <row r="29" spans="2:14" ht="15" customHeight="1" x14ac:dyDescent="0.25">
      <c r="B29" s="20"/>
      <c r="C29" s="5" t="s">
        <v>138</v>
      </c>
      <c r="D29" s="6" t="s">
        <v>14</v>
      </c>
      <c r="E29" s="11">
        <v>1.8123E-2</v>
      </c>
      <c r="F29" s="1"/>
      <c r="G29" s="1"/>
      <c r="H29" s="1"/>
      <c r="I29" s="1"/>
      <c r="J29" s="1"/>
      <c r="K29" s="1"/>
      <c r="L29" s="1"/>
      <c r="M29" s="1"/>
      <c r="N29" s="18"/>
    </row>
    <row r="30" spans="2:14" ht="15" customHeight="1" x14ac:dyDescent="0.25">
      <c r="B30" s="20"/>
      <c r="C30" s="5" t="s">
        <v>139</v>
      </c>
      <c r="D30" s="6" t="s">
        <v>14</v>
      </c>
      <c r="E30" s="11">
        <v>1.7864000000000001E-2</v>
      </c>
      <c r="F30" s="1"/>
      <c r="G30" s="1"/>
      <c r="H30" s="1"/>
      <c r="I30" s="1"/>
      <c r="J30" s="1"/>
      <c r="K30" s="1"/>
      <c r="L30" s="1"/>
      <c r="M30" s="1"/>
      <c r="N30" s="18"/>
    </row>
    <row r="31" spans="2:14" ht="15" customHeight="1" x14ac:dyDescent="0.25">
      <c r="B31" s="20"/>
      <c r="C31" s="5" t="s">
        <v>140</v>
      </c>
      <c r="D31" s="6" t="s">
        <v>14</v>
      </c>
      <c r="E31" s="11">
        <v>1.6177E-2</v>
      </c>
      <c r="F31" s="1"/>
      <c r="G31" s="1"/>
      <c r="H31" s="1"/>
      <c r="I31" s="1"/>
      <c r="J31" s="1"/>
      <c r="K31" s="1"/>
      <c r="L31" s="1"/>
      <c r="M31" s="1"/>
      <c r="N31" s="18"/>
    </row>
    <row r="32" spans="2:14" ht="15" customHeight="1" x14ac:dyDescent="0.25">
      <c r="B32" s="20"/>
      <c r="C32" s="5" t="s">
        <v>141</v>
      </c>
      <c r="D32" s="6" t="s">
        <v>14</v>
      </c>
      <c r="E32" s="11">
        <v>1.4260999999999999E-2</v>
      </c>
      <c r="F32" s="1"/>
      <c r="G32" s="1"/>
      <c r="H32" s="1"/>
      <c r="I32" s="1"/>
      <c r="J32" s="1"/>
      <c r="K32" s="1"/>
      <c r="L32" s="1"/>
      <c r="M32" s="1"/>
      <c r="N32" s="18"/>
    </row>
    <row r="33" spans="2:14" ht="15" customHeight="1" x14ac:dyDescent="0.25">
      <c r="B33" s="20"/>
      <c r="C33" s="5" t="s">
        <v>118</v>
      </c>
      <c r="D33" s="6" t="s">
        <v>14</v>
      </c>
      <c r="E33" s="11">
        <v>1.0741000000000001E-2</v>
      </c>
      <c r="F33" s="1"/>
      <c r="G33" s="1"/>
      <c r="H33" s="1"/>
      <c r="I33" s="1"/>
      <c r="J33" s="1"/>
      <c r="K33" s="1"/>
      <c r="L33" s="1"/>
      <c r="M33" s="1"/>
      <c r="N33" s="18"/>
    </row>
    <row r="34" spans="2:14" ht="15" customHeight="1" x14ac:dyDescent="0.25">
      <c r="B34" s="20"/>
      <c r="C34" s="5" t="s">
        <v>53</v>
      </c>
      <c r="D34" s="6" t="s">
        <v>14</v>
      </c>
      <c r="E34" s="11">
        <v>7.143E-3</v>
      </c>
      <c r="F34" s="1"/>
      <c r="G34" s="1"/>
      <c r="H34" s="1"/>
      <c r="I34" s="1"/>
      <c r="J34" s="1"/>
      <c r="K34" s="1"/>
      <c r="L34" s="1"/>
      <c r="M34" s="1"/>
      <c r="N34" s="18"/>
    </row>
    <row r="35" spans="2:14" ht="15" customHeight="1" x14ac:dyDescent="0.25">
      <c r="B35" s="20"/>
      <c r="C35" s="5" t="s">
        <v>142</v>
      </c>
      <c r="D35" s="6" t="s">
        <v>14</v>
      </c>
      <c r="E35" s="11">
        <v>7.1349999999999998E-3</v>
      </c>
      <c r="F35" s="1"/>
      <c r="G35" s="1"/>
      <c r="H35" s="1"/>
      <c r="I35" s="1"/>
      <c r="J35" s="1"/>
      <c r="K35" s="1"/>
      <c r="L35" s="1"/>
      <c r="M35" s="1"/>
      <c r="N35" s="18"/>
    </row>
    <row r="36" spans="2:14" ht="15" customHeight="1" x14ac:dyDescent="0.25">
      <c r="B36" s="20"/>
      <c r="C36" s="5" t="s">
        <v>143</v>
      </c>
      <c r="D36" s="6" t="s">
        <v>14</v>
      </c>
      <c r="E36" s="11">
        <v>3.6289999999999998E-3</v>
      </c>
      <c r="F36" s="1"/>
      <c r="G36" s="1"/>
      <c r="H36" s="1"/>
      <c r="I36" s="1"/>
      <c r="J36" s="1"/>
      <c r="K36" s="1"/>
      <c r="L36" s="1"/>
      <c r="M36" s="1"/>
      <c r="N36" s="18"/>
    </row>
    <row r="37" spans="2:14" ht="15" customHeight="1" x14ac:dyDescent="0.25">
      <c r="B37" s="20"/>
      <c r="C37" s="5" t="s">
        <v>144</v>
      </c>
      <c r="D37" s="6" t="s">
        <v>14</v>
      </c>
      <c r="E37" s="11">
        <v>1.7949999999999999E-3</v>
      </c>
      <c r="F37" s="1"/>
      <c r="G37" s="1"/>
      <c r="H37" s="1"/>
      <c r="I37" s="1"/>
      <c r="J37" s="1"/>
      <c r="K37" s="1"/>
      <c r="L37" s="1"/>
      <c r="M37" s="1"/>
      <c r="N37" s="18"/>
    </row>
    <row r="38" spans="2:14" ht="15" customHeight="1" x14ac:dyDescent="0.25">
      <c r="B38" s="20"/>
      <c r="C38" s="5" t="s">
        <v>145</v>
      </c>
      <c r="D38" s="6" t="s">
        <v>14</v>
      </c>
      <c r="E38" s="11">
        <v>1.7949999999999999E-3</v>
      </c>
      <c r="F38" s="1"/>
      <c r="G38" s="1"/>
      <c r="H38" s="1"/>
      <c r="I38" s="1"/>
      <c r="J38" s="1"/>
      <c r="K38" s="1"/>
      <c r="L38" s="1"/>
      <c r="M38" s="1"/>
      <c r="N38" s="18"/>
    </row>
    <row r="39" spans="2:14" ht="15.75" customHeight="1" x14ac:dyDescent="0.25">
      <c r="B39" s="20"/>
      <c r="C39" s="7" t="s">
        <v>146</v>
      </c>
      <c r="D39" s="8"/>
      <c r="E39" s="12">
        <v>0.523254</v>
      </c>
      <c r="F39" s="1"/>
      <c r="G39" s="1"/>
      <c r="H39" s="1"/>
      <c r="I39" s="1"/>
      <c r="J39" s="1"/>
      <c r="K39" s="1"/>
      <c r="L39" s="1"/>
      <c r="M39" s="1"/>
      <c r="N39" s="18"/>
    </row>
    <row r="40" spans="2:14" ht="15" customHeight="1" x14ac:dyDescent="0.25">
      <c r="B40" s="20"/>
      <c r="C40" s="5" t="s">
        <v>58</v>
      </c>
      <c r="D40" s="6" t="s">
        <v>18</v>
      </c>
      <c r="E40" s="11">
        <v>1.7420999999999999E-2</v>
      </c>
      <c r="F40" s="1"/>
      <c r="G40" s="1"/>
      <c r="H40" s="1"/>
      <c r="I40" s="1"/>
      <c r="J40" s="1"/>
      <c r="K40" s="1"/>
      <c r="L40" s="1"/>
      <c r="M40" s="1"/>
      <c r="N40" s="18"/>
    </row>
    <row r="41" spans="2:14" ht="15" customHeight="1" x14ac:dyDescent="0.25">
      <c r="B41" s="20"/>
      <c r="C41" s="5" t="s">
        <v>13</v>
      </c>
      <c r="D41" s="6" t="s">
        <v>18</v>
      </c>
      <c r="E41" s="11">
        <v>1.4530000000000001E-3</v>
      </c>
      <c r="F41" s="1"/>
      <c r="G41" s="1"/>
      <c r="H41" s="1"/>
      <c r="I41" s="1"/>
      <c r="J41" s="1"/>
      <c r="K41" s="1"/>
      <c r="L41" s="1"/>
      <c r="M41" s="1"/>
      <c r="N41" s="18"/>
    </row>
    <row r="42" spans="2:14" ht="15.75" customHeight="1" x14ac:dyDescent="0.25">
      <c r="B42" s="20"/>
      <c r="C42" s="7" t="s">
        <v>22</v>
      </c>
      <c r="D42" s="8"/>
      <c r="E42" s="12">
        <v>1.8873999999999998E-2</v>
      </c>
      <c r="F42" s="1"/>
      <c r="G42" s="1"/>
      <c r="H42" s="1"/>
      <c r="I42" s="1"/>
      <c r="J42" s="1"/>
      <c r="K42" s="1"/>
      <c r="L42" s="1"/>
      <c r="M42" s="1"/>
      <c r="N42" s="18"/>
    </row>
    <row r="43" spans="2:14" ht="15" customHeight="1" x14ac:dyDescent="0.25">
      <c r="B43" s="20"/>
      <c r="C43" s="5" t="s">
        <v>23</v>
      </c>
      <c r="D43" s="6"/>
      <c r="E43" s="11">
        <v>2.4919999999999999E-3</v>
      </c>
      <c r="F43" s="1"/>
      <c r="G43" s="1"/>
      <c r="H43" s="1"/>
      <c r="I43" s="1"/>
      <c r="J43" s="1"/>
      <c r="K43" s="1"/>
      <c r="L43" s="1"/>
      <c r="M43" s="1"/>
      <c r="N43" s="18"/>
    </row>
    <row r="44" spans="2:14" ht="15.75" customHeight="1" x14ac:dyDescent="0.25">
      <c r="B44" s="20"/>
      <c r="C44" s="7" t="s">
        <v>24</v>
      </c>
      <c r="D44" s="8"/>
      <c r="E44" s="12">
        <v>2.4919999999999999E-3</v>
      </c>
      <c r="F44" s="1"/>
      <c r="G44" s="1"/>
      <c r="H44" s="1"/>
      <c r="I44" s="1"/>
      <c r="J44" s="1"/>
      <c r="K44" s="1"/>
      <c r="L44" s="1"/>
      <c r="M44" s="1"/>
      <c r="N44" s="18"/>
    </row>
    <row r="45" spans="2:14" ht="15" customHeight="1" x14ac:dyDescent="0.25">
      <c r="B45" s="20"/>
      <c r="C45" s="5" t="s">
        <v>147</v>
      </c>
      <c r="D45" s="6" t="s">
        <v>190</v>
      </c>
      <c r="E45" s="11">
        <v>5.7192E-2</v>
      </c>
      <c r="F45" s="1"/>
      <c r="G45" s="1"/>
      <c r="H45" s="1"/>
      <c r="I45" s="1"/>
      <c r="J45" s="1"/>
      <c r="K45" s="1"/>
      <c r="L45" s="1"/>
      <c r="M45" s="1"/>
      <c r="N45" s="18"/>
    </row>
    <row r="46" spans="2:14" ht="15" customHeight="1" x14ac:dyDescent="0.25">
      <c r="B46" s="20"/>
      <c r="C46" s="5" t="s">
        <v>148</v>
      </c>
      <c r="D46" s="6" t="s">
        <v>190</v>
      </c>
      <c r="E46" s="11">
        <v>3.9359999999999999E-2</v>
      </c>
      <c r="F46" s="1"/>
      <c r="G46" s="1"/>
      <c r="H46" s="1"/>
      <c r="I46" s="1"/>
      <c r="J46" s="1"/>
      <c r="K46" s="1"/>
      <c r="L46" s="1"/>
      <c r="M46" s="1"/>
      <c r="N46" s="18"/>
    </row>
    <row r="47" spans="2:14" ht="15" customHeight="1" x14ac:dyDescent="0.25">
      <c r="B47" s="20"/>
      <c r="C47" s="5" t="s">
        <v>149</v>
      </c>
      <c r="D47" s="6" t="s">
        <v>190</v>
      </c>
      <c r="E47" s="11">
        <v>3.5812999999999998E-2</v>
      </c>
      <c r="F47" s="1"/>
      <c r="G47" s="1"/>
      <c r="H47" s="1"/>
      <c r="I47" s="1"/>
      <c r="J47" s="1"/>
      <c r="K47" s="1"/>
      <c r="L47" s="1"/>
      <c r="M47" s="1"/>
      <c r="N47" s="18"/>
    </row>
    <row r="48" spans="2:14" ht="15" customHeight="1" x14ac:dyDescent="0.25">
      <c r="B48" s="20"/>
      <c r="C48" s="5" t="s">
        <v>150</v>
      </c>
      <c r="D48" s="6" t="s">
        <v>190</v>
      </c>
      <c r="E48" s="11">
        <v>1.4128999999999999E-2</v>
      </c>
      <c r="F48" s="1"/>
      <c r="G48" s="1"/>
      <c r="H48" s="1"/>
      <c r="I48" s="1"/>
      <c r="J48" s="1"/>
      <c r="K48" s="1"/>
      <c r="L48" s="1"/>
      <c r="M48" s="1"/>
      <c r="N48" s="18"/>
    </row>
    <row r="49" spans="2:14" ht="15" customHeight="1" x14ac:dyDescent="0.25">
      <c r="B49" s="20"/>
      <c r="C49" s="5" t="s">
        <v>151</v>
      </c>
      <c r="D49" s="6" t="s">
        <v>190</v>
      </c>
      <c r="E49" s="11">
        <v>1.4112E-2</v>
      </c>
      <c r="F49" s="1"/>
      <c r="G49" s="1"/>
      <c r="H49" s="1"/>
      <c r="I49" s="1"/>
      <c r="J49" s="1"/>
      <c r="K49" s="1"/>
      <c r="L49" s="1"/>
      <c r="M49" s="1"/>
      <c r="N49" s="18"/>
    </row>
    <row r="50" spans="2:14" ht="15" customHeight="1" x14ac:dyDescent="0.25">
      <c r="B50" s="20"/>
      <c r="C50" s="5" t="s">
        <v>152</v>
      </c>
      <c r="D50" s="6" t="s">
        <v>190</v>
      </c>
      <c r="E50" s="11">
        <v>1.0802000000000001E-2</v>
      </c>
      <c r="F50" s="1"/>
      <c r="G50" s="1"/>
      <c r="H50" s="1"/>
      <c r="I50" s="1"/>
      <c r="J50" s="1"/>
      <c r="K50" s="1"/>
      <c r="L50" s="1"/>
      <c r="M50" s="1"/>
      <c r="N50" s="18"/>
    </row>
    <row r="51" spans="2:14" ht="15" customHeight="1" x14ac:dyDescent="0.25">
      <c r="B51" s="20"/>
      <c r="C51" s="5" t="s">
        <v>153</v>
      </c>
      <c r="D51" s="6" t="s">
        <v>190</v>
      </c>
      <c r="E51" s="11">
        <v>1.0776000000000001E-2</v>
      </c>
      <c r="F51" s="1"/>
      <c r="G51" s="1"/>
      <c r="H51" s="1"/>
      <c r="I51" s="1"/>
      <c r="J51" s="1"/>
      <c r="K51" s="1"/>
      <c r="L51" s="1"/>
      <c r="M51" s="1"/>
      <c r="N51" s="18"/>
    </row>
    <row r="52" spans="2:14" ht="15" customHeight="1" x14ac:dyDescent="0.25">
      <c r="B52" s="20"/>
      <c r="C52" s="5" t="s">
        <v>154</v>
      </c>
      <c r="D52" s="6" t="s">
        <v>190</v>
      </c>
      <c r="E52" s="11">
        <v>7.1929999999999997E-3</v>
      </c>
      <c r="F52" s="1"/>
      <c r="G52" s="1"/>
      <c r="H52" s="1"/>
      <c r="I52" s="1"/>
      <c r="J52" s="1"/>
      <c r="K52" s="1"/>
      <c r="L52" s="1"/>
      <c r="M52" s="1"/>
      <c r="N52" s="18"/>
    </row>
    <row r="53" spans="2:14" ht="15" customHeight="1" x14ac:dyDescent="0.25">
      <c r="B53" s="20"/>
      <c r="C53" s="5" t="s">
        <v>155</v>
      </c>
      <c r="D53" s="6" t="s">
        <v>190</v>
      </c>
      <c r="E53" s="11">
        <v>3.5920000000000001E-3</v>
      </c>
      <c r="F53" s="1"/>
      <c r="G53" s="1"/>
      <c r="H53" s="1"/>
      <c r="I53" s="1"/>
      <c r="J53" s="1"/>
      <c r="K53" s="1"/>
      <c r="L53" s="1"/>
      <c r="M53" s="1"/>
      <c r="N53" s="18"/>
    </row>
    <row r="54" spans="2:14" ht="15" customHeight="1" x14ac:dyDescent="0.25">
      <c r="B54" s="20"/>
      <c r="C54" s="5" t="s">
        <v>156</v>
      </c>
      <c r="D54" s="6" t="s">
        <v>190</v>
      </c>
      <c r="E54" s="11">
        <v>1.794E-3</v>
      </c>
      <c r="F54" s="1"/>
      <c r="G54" s="1"/>
      <c r="H54" s="1"/>
      <c r="I54" s="1"/>
      <c r="J54" s="1"/>
      <c r="K54" s="1"/>
      <c r="L54" s="1"/>
      <c r="M54" s="1"/>
      <c r="N54" s="18"/>
    </row>
    <row r="55" spans="2:14" ht="15.75" customHeight="1" x14ac:dyDescent="0.25">
      <c r="B55" s="20"/>
      <c r="C55" s="7" t="s">
        <v>157</v>
      </c>
      <c r="D55" s="8"/>
      <c r="E55" s="12">
        <v>0.19476299999999999</v>
      </c>
      <c r="F55" s="1"/>
      <c r="G55" s="1"/>
      <c r="H55" s="1"/>
      <c r="I55" s="1"/>
      <c r="J55" s="1"/>
      <c r="K55" s="1"/>
      <c r="L55" s="1"/>
      <c r="M55" s="1"/>
      <c r="N55" s="18"/>
    </row>
    <row r="56" spans="2:14" ht="15" customHeight="1" x14ac:dyDescent="0.25">
      <c r="B56" s="20"/>
      <c r="C56" s="5" t="s">
        <v>31</v>
      </c>
      <c r="D56" s="6"/>
      <c r="E56" s="11">
        <v>1.2600000000000001E-3</v>
      </c>
      <c r="F56" s="1"/>
      <c r="G56" s="1"/>
      <c r="H56" s="1"/>
      <c r="I56" s="1"/>
      <c r="J56" s="1"/>
      <c r="K56" s="1"/>
      <c r="L56" s="1"/>
      <c r="M56" s="1"/>
      <c r="N56" s="18"/>
    </row>
    <row r="57" spans="2:14" ht="15.75" customHeight="1" x14ac:dyDescent="0.25">
      <c r="B57" s="20"/>
      <c r="C57" s="7" t="s">
        <v>32</v>
      </c>
      <c r="D57" s="8"/>
      <c r="E57" s="12">
        <v>1.2600000000000001E-3</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75" customHeight="1" x14ac:dyDescent="0.25">
      <c r="B59" s="20"/>
      <c r="C59" s="7" t="s">
        <v>33</v>
      </c>
      <c r="D59" s="8"/>
      <c r="E59" s="12">
        <v>-5.7438000000000003E-2</v>
      </c>
      <c r="F59" s="1"/>
      <c r="G59" s="1"/>
      <c r="H59" s="1"/>
      <c r="I59" s="1"/>
      <c r="J59" s="1"/>
      <c r="K59" s="1"/>
      <c r="L59" s="1"/>
      <c r="M59" s="1"/>
      <c r="N59" s="18"/>
    </row>
    <row r="60" spans="2:14" ht="15" customHeight="1" x14ac:dyDescent="0.25">
      <c r="B60" s="20"/>
      <c r="C60" s="5"/>
      <c r="D60" s="6"/>
      <c r="E60" s="11"/>
      <c r="F60" s="1"/>
      <c r="G60" s="1"/>
      <c r="H60" s="1"/>
      <c r="I60" s="1"/>
      <c r="J60" s="1"/>
      <c r="K60" s="1"/>
      <c r="L60" s="1"/>
      <c r="M60" s="1"/>
      <c r="N60" s="18"/>
    </row>
    <row r="61" spans="2:14" ht="15" customHeight="1" x14ac:dyDescent="0.25">
      <c r="B61" s="20"/>
      <c r="C61" s="9" t="s">
        <v>34</v>
      </c>
      <c r="D61" s="10"/>
      <c r="E61" s="13">
        <v>1</v>
      </c>
      <c r="F61" s="1"/>
      <c r="G61" s="1"/>
      <c r="H61" s="1"/>
      <c r="I61" s="1"/>
      <c r="J61" s="1"/>
      <c r="K61" s="1"/>
      <c r="L61" s="1"/>
      <c r="M61" s="1"/>
      <c r="N61" s="18"/>
    </row>
    <row r="62" spans="2:14" ht="15" customHeight="1" x14ac:dyDescent="0.25">
      <c r="B62" s="20"/>
      <c r="C62" s="1"/>
      <c r="D62" s="1"/>
      <c r="E62" s="1"/>
      <c r="F62" s="1"/>
      <c r="G62" s="1"/>
      <c r="H62" s="1"/>
      <c r="I62" s="1"/>
      <c r="J62" s="1"/>
      <c r="K62" s="1"/>
      <c r="L62" s="1"/>
      <c r="M62" s="1"/>
      <c r="N62" s="18"/>
    </row>
    <row r="63" spans="2:14" ht="15" customHeight="1" thickBot="1" x14ac:dyDescent="0.3">
      <c r="B63" s="21"/>
      <c r="C63" s="22"/>
      <c r="D63" s="22"/>
      <c r="E63" s="22"/>
      <c r="F63" s="22"/>
      <c r="G63" s="22"/>
      <c r="H63" s="22"/>
      <c r="I63" s="22"/>
      <c r="J63" s="22"/>
      <c r="K63" s="22"/>
      <c r="L63" s="22"/>
      <c r="M63" s="22"/>
      <c r="N63" s="23"/>
    </row>
    <row r="64" spans="2:14" ht="15" customHeight="1" thickBot="1" x14ac:dyDescent="0.3"/>
    <row r="65" spans="2:14" ht="15" customHeight="1" x14ac:dyDescent="0.25">
      <c r="B65" s="41" t="s">
        <v>337</v>
      </c>
      <c r="C65" s="42"/>
      <c r="D65" s="42"/>
      <c r="E65" s="42"/>
      <c r="F65" s="42"/>
      <c r="G65" s="42"/>
      <c r="H65" s="42"/>
      <c r="I65" s="42"/>
      <c r="J65" s="42"/>
      <c r="K65" s="42"/>
      <c r="L65" s="42"/>
      <c r="M65" s="42"/>
      <c r="N65" s="43"/>
    </row>
    <row r="66" spans="2:14" ht="15" customHeight="1" x14ac:dyDescent="0.25">
      <c r="B66" s="44"/>
      <c r="C66" s="45"/>
      <c r="D66" s="45"/>
      <c r="E66" s="45"/>
      <c r="F66" s="45"/>
      <c r="G66" s="45"/>
      <c r="H66" s="45"/>
      <c r="I66" s="45"/>
      <c r="J66" s="45"/>
      <c r="K66" s="45"/>
      <c r="L66" s="45"/>
      <c r="M66" s="45"/>
      <c r="N66" s="46"/>
    </row>
    <row r="67" spans="2:14" ht="15" customHeight="1" x14ac:dyDescent="0.25">
      <c r="B67" s="44"/>
      <c r="C67" s="45"/>
      <c r="D67" s="45"/>
      <c r="E67" s="45"/>
      <c r="F67" s="45"/>
      <c r="G67" s="45"/>
      <c r="H67" s="45"/>
      <c r="I67" s="45"/>
      <c r="J67" s="45"/>
      <c r="K67" s="45"/>
      <c r="L67" s="45"/>
      <c r="M67" s="45"/>
      <c r="N67" s="46"/>
    </row>
    <row r="68" spans="2:14" ht="15" customHeight="1" thickBot="1" x14ac:dyDescent="0.3">
      <c r="B68" s="47"/>
      <c r="C68" s="48"/>
      <c r="D68" s="48"/>
      <c r="E68" s="48"/>
      <c r="F68" s="48"/>
      <c r="G68" s="48"/>
      <c r="H68" s="48"/>
      <c r="I68" s="48"/>
      <c r="J68" s="48"/>
      <c r="K68" s="48"/>
      <c r="L68" s="48"/>
      <c r="M68" s="48"/>
      <c r="N68" s="49"/>
    </row>
    <row r="69" spans="2:14" ht="15" customHeight="1" thickBot="1" x14ac:dyDescent="0.3"/>
    <row r="70" spans="2:14" ht="129" customHeight="1" thickBot="1" x14ac:dyDescent="0.3">
      <c r="B70" s="50" t="s">
        <v>336</v>
      </c>
      <c r="C70" s="51"/>
      <c r="D70" s="51"/>
      <c r="E70" s="51"/>
      <c r="F70" s="51"/>
      <c r="G70" s="51"/>
      <c r="H70" s="51"/>
      <c r="I70" s="51"/>
      <c r="J70" s="51"/>
      <c r="K70" s="51"/>
      <c r="L70" s="51"/>
      <c r="M70" s="51"/>
      <c r="N70" s="52"/>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sheetData>
  <mergeCells count="7">
    <mergeCell ref="B65:N68"/>
    <mergeCell ref="B70:N70"/>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99A7-D597-4550-953D-B0ABAA973403}">
  <dimension ref="B1:N101"/>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163</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164</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42</v>
      </c>
      <c r="D8" s="6" t="s">
        <v>14</v>
      </c>
      <c r="E8" s="11">
        <v>0.101355</v>
      </c>
      <c r="F8" s="1"/>
      <c r="G8" s="39" t="s">
        <v>335</v>
      </c>
      <c r="H8" s="29">
        <v>0.96712799999999999</v>
      </c>
      <c r="I8" s="1"/>
      <c r="J8" s="24" t="s">
        <v>35</v>
      </c>
      <c r="K8" s="24" t="s">
        <v>3</v>
      </c>
      <c r="L8" s="1"/>
      <c r="M8" s="1"/>
      <c r="N8" s="18"/>
    </row>
    <row r="9" spans="2:14" ht="15" customHeight="1" x14ac:dyDescent="0.25">
      <c r="B9" s="20"/>
      <c r="C9" s="5" t="s">
        <v>15</v>
      </c>
      <c r="D9" s="6" t="s">
        <v>14</v>
      </c>
      <c r="E9" s="11">
        <v>8.3471000000000004E-2</v>
      </c>
      <c r="F9" s="1"/>
      <c r="G9" s="24" t="s">
        <v>89</v>
      </c>
      <c r="H9" s="29">
        <v>3.2871999999999998E-2</v>
      </c>
      <c r="I9" s="1"/>
      <c r="J9" s="24" t="s">
        <v>33</v>
      </c>
      <c r="K9" s="29">
        <v>2.0570000000000001E-2</v>
      </c>
      <c r="L9" s="1"/>
      <c r="M9" s="1"/>
      <c r="N9" s="18"/>
    </row>
    <row r="10" spans="2:14" ht="15" customHeight="1" x14ac:dyDescent="0.25">
      <c r="B10" s="20"/>
      <c r="C10" s="5" t="s">
        <v>127</v>
      </c>
      <c r="D10" s="6" t="s">
        <v>14</v>
      </c>
      <c r="E10" s="11">
        <v>8.7779999999999993E-3</v>
      </c>
      <c r="F10" s="1"/>
      <c r="G10" s="1"/>
      <c r="H10" s="1"/>
      <c r="I10" s="1"/>
      <c r="J10" s="24" t="s">
        <v>36</v>
      </c>
      <c r="K10" s="29">
        <v>5.2849999999999998E-3</v>
      </c>
      <c r="L10" s="1"/>
      <c r="M10" s="1"/>
      <c r="N10" s="18"/>
    </row>
    <row r="11" spans="2:14" ht="15" customHeight="1" x14ac:dyDescent="0.25">
      <c r="B11" s="20"/>
      <c r="C11" s="5" t="s">
        <v>13</v>
      </c>
      <c r="D11" s="6" t="s">
        <v>14</v>
      </c>
      <c r="E11" s="11">
        <v>4.2509999999999996E-3</v>
      </c>
      <c r="F11" s="1"/>
      <c r="G11" s="1"/>
      <c r="H11" s="1"/>
      <c r="I11" s="1"/>
      <c r="J11" s="24" t="s">
        <v>37</v>
      </c>
      <c r="K11" s="29">
        <v>0.197855</v>
      </c>
      <c r="L11" s="1"/>
      <c r="M11" s="1"/>
      <c r="N11" s="18"/>
    </row>
    <row r="12" spans="2:14" ht="15.75" customHeight="1" x14ac:dyDescent="0.25">
      <c r="B12" s="20"/>
      <c r="C12" s="7" t="s">
        <v>16</v>
      </c>
      <c r="D12" s="8"/>
      <c r="E12" s="12">
        <v>0.197855</v>
      </c>
      <c r="F12" s="1"/>
      <c r="G12" s="1"/>
      <c r="H12" s="1"/>
      <c r="I12" s="1"/>
      <c r="J12" s="24" t="s">
        <v>38</v>
      </c>
      <c r="K12" s="29">
        <v>0.34472799999999998</v>
      </c>
      <c r="L12" s="1"/>
      <c r="M12" s="1"/>
      <c r="N12" s="18"/>
    </row>
    <row r="13" spans="2:14" ht="15" customHeight="1" x14ac:dyDescent="0.25">
      <c r="B13" s="20"/>
      <c r="C13" s="5" t="s">
        <v>62</v>
      </c>
      <c r="D13" s="6" t="s">
        <v>14</v>
      </c>
      <c r="E13" s="11">
        <v>3.8642999999999997E-2</v>
      </c>
      <c r="F13" s="1"/>
      <c r="G13" s="1"/>
      <c r="H13" s="1"/>
      <c r="I13" s="1"/>
      <c r="J13" s="24" t="s">
        <v>158</v>
      </c>
      <c r="K13" s="29">
        <v>6.4019999999999994E-2</v>
      </c>
      <c r="L13" s="1"/>
      <c r="M13" s="1"/>
      <c r="N13" s="18"/>
    </row>
    <row r="14" spans="2:14" ht="15" customHeight="1" x14ac:dyDescent="0.25">
      <c r="B14" s="20"/>
      <c r="C14" s="5" t="s">
        <v>140</v>
      </c>
      <c r="D14" s="6" t="s">
        <v>14</v>
      </c>
      <c r="E14" s="11">
        <v>1.6733000000000001E-2</v>
      </c>
      <c r="F14" s="1"/>
      <c r="G14" s="1"/>
      <c r="H14" s="1"/>
      <c r="I14" s="1"/>
      <c r="J14" s="24" t="s">
        <v>23</v>
      </c>
      <c r="K14" s="29">
        <v>2.8089999999999999E-3</v>
      </c>
      <c r="L14" s="1"/>
      <c r="M14" s="1"/>
      <c r="N14" s="18"/>
    </row>
    <row r="15" spans="2:14" ht="15" customHeight="1" x14ac:dyDescent="0.25">
      <c r="B15" s="20"/>
      <c r="C15" s="5" t="s">
        <v>44</v>
      </c>
      <c r="D15" s="6" t="s">
        <v>14</v>
      </c>
      <c r="E15" s="11">
        <v>8.6440000000000006E-3</v>
      </c>
      <c r="F15" s="1"/>
      <c r="G15" s="1"/>
      <c r="H15" s="1"/>
      <c r="I15" s="1"/>
      <c r="J15" s="24" t="s">
        <v>39</v>
      </c>
      <c r="K15" s="29">
        <v>1.2650000000000001E-3</v>
      </c>
      <c r="L15" s="1"/>
      <c r="M15" s="1"/>
      <c r="N15" s="18"/>
    </row>
    <row r="16" spans="2:14" ht="15.75" customHeight="1" x14ac:dyDescent="0.25">
      <c r="B16" s="20"/>
      <c r="C16" s="7" t="s">
        <v>146</v>
      </c>
      <c r="D16" s="8"/>
      <c r="E16" s="12">
        <v>6.4019999999999994E-2</v>
      </c>
      <c r="F16" s="1"/>
      <c r="G16" s="1"/>
      <c r="H16" s="1"/>
      <c r="I16" s="1"/>
      <c r="J16" s="24" t="s">
        <v>49</v>
      </c>
      <c r="K16" s="29">
        <v>0.33771699999999999</v>
      </c>
      <c r="L16" s="1"/>
      <c r="M16" s="1"/>
      <c r="N16" s="18"/>
    </row>
    <row r="17" spans="2:14" ht="15" customHeight="1" x14ac:dyDescent="0.25">
      <c r="B17" s="20"/>
      <c r="C17" s="5" t="s">
        <v>13</v>
      </c>
      <c r="D17" s="6" t="s">
        <v>18</v>
      </c>
      <c r="E17" s="11">
        <v>0.106528</v>
      </c>
      <c r="F17" s="1"/>
      <c r="G17" s="1"/>
      <c r="H17" s="1"/>
      <c r="I17" s="1"/>
      <c r="J17" s="24" t="s">
        <v>166</v>
      </c>
      <c r="K17" s="29">
        <v>2.5751E-2</v>
      </c>
      <c r="L17" s="1"/>
      <c r="M17" s="1"/>
      <c r="N17" s="18"/>
    </row>
    <row r="18" spans="2:14" ht="15" customHeight="1" x14ac:dyDescent="0.25">
      <c r="B18" s="20"/>
      <c r="C18" s="5" t="s">
        <v>20</v>
      </c>
      <c r="D18" s="6" t="s">
        <v>18</v>
      </c>
      <c r="E18" s="11">
        <v>0.103737</v>
      </c>
      <c r="F18" s="1"/>
      <c r="G18" s="1"/>
      <c r="H18" s="1"/>
      <c r="I18" s="1"/>
      <c r="J18" s="1"/>
      <c r="K18" s="1"/>
      <c r="L18" s="1"/>
      <c r="M18" s="1"/>
      <c r="N18" s="18"/>
    </row>
    <row r="19" spans="2:14" ht="15" customHeight="1" x14ac:dyDescent="0.25">
      <c r="B19" s="20"/>
      <c r="C19" s="5" t="s">
        <v>54</v>
      </c>
      <c r="D19" s="6" t="s">
        <v>18</v>
      </c>
      <c r="E19" s="11">
        <v>4.0793000000000003E-2</v>
      </c>
      <c r="F19" s="1"/>
      <c r="G19" s="1"/>
      <c r="H19" s="1"/>
      <c r="I19" s="1"/>
      <c r="J19" s="1"/>
      <c r="K19" s="1"/>
      <c r="L19" s="1"/>
      <c r="M19" s="1"/>
      <c r="N19" s="18"/>
    </row>
    <row r="20" spans="2:14" ht="15" customHeight="1" x14ac:dyDescent="0.25">
      <c r="B20" s="20"/>
      <c r="C20" s="5" t="s">
        <v>17</v>
      </c>
      <c r="D20" s="6" t="s">
        <v>18</v>
      </c>
      <c r="E20" s="11">
        <v>3.9942999999999999E-2</v>
      </c>
      <c r="F20" s="1"/>
      <c r="G20" s="1"/>
      <c r="H20" s="1"/>
      <c r="I20" s="1"/>
      <c r="J20" s="1"/>
      <c r="K20" s="1"/>
      <c r="L20" s="1"/>
      <c r="M20" s="1"/>
      <c r="N20" s="18"/>
    </row>
    <row r="21" spans="2:14" ht="15" customHeight="1" x14ac:dyDescent="0.25">
      <c r="B21" s="20"/>
      <c r="C21" s="5" t="s">
        <v>21</v>
      </c>
      <c r="D21" s="6" t="s">
        <v>18</v>
      </c>
      <c r="E21" s="11">
        <v>2.1829999999999999E-2</v>
      </c>
      <c r="F21" s="1"/>
      <c r="G21" s="1"/>
      <c r="H21" s="1"/>
      <c r="I21" s="1"/>
      <c r="J21" s="1"/>
      <c r="K21" s="1"/>
      <c r="L21" s="1"/>
      <c r="M21" s="1"/>
      <c r="N21" s="18"/>
    </row>
    <row r="22" spans="2:14" ht="15" customHeight="1" x14ac:dyDescent="0.25">
      <c r="B22" s="20"/>
      <c r="C22" s="5" t="s">
        <v>44</v>
      </c>
      <c r="D22" s="6" t="s">
        <v>18</v>
      </c>
      <c r="E22" s="11">
        <v>1.7717E-2</v>
      </c>
      <c r="F22" s="1"/>
      <c r="G22" s="1"/>
      <c r="H22" s="1"/>
      <c r="I22" s="1"/>
      <c r="J22" s="1"/>
      <c r="K22" s="1"/>
      <c r="L22" s="1"/>
      <c r="M22" s="1"/>
      <c r="N22" s="18"/>
    </row>
    <row r="23" spans="2:14" ht="15" customHeight="1" x14ac:dyDescent="0.25">
      <c r="B23" s="20"/>
      <c r="C23" s="5" t="s">
        <v>118</v>
      </c>
      <c r="D23" s="6" t="s">
        <v>78</v>
      </c>
      <c r="E23" s="11">
        <v>1.1525000000000001E-2</v>
      </c>
      <c r="F23" s="1"/>
      <c r="G23" s="1"/>
      <c r="H23" s="1"/>
      <c r="I23" s="1"/>
      <c r="J23" s="1"/>
      <c r="K23" s="1"/>
      <c r="L23" s="1"/>
      <c r="M23" s="1"/>
      <c r="N23" s="18"/>
    </row>
    <row r="24" spans="2:14" ht="15" customHeight="1" x14ac:dyDescent="0.25">
      <c r="B24" s="20"/>
      <c r="C24" s="5" t="s">
        <v>53</v>
      </c>
      <c r="D24" s="6" t="s">
        <v>18</v>
      </c>
      <c r="E24" s="11">
        <v>2.6549999999999998E-3</v>
      </c>
      <c r="F24" s="1"/>
      <c r="G24" s="58" t="s">
        <v>110</v>
      </c>
      <c r="H24" s="59"/>
      <c r="I24" s="59"/>
      <c r="J24" s="59"/>
      <c r="K24" s="59"/>
      <c r="L24" s="40">
        <v>374.40563957606025</v>
      </c>
      <c r="M24" s="27"/>
      <c r="N24" s="28"/>
    </row>
    <row r="25" spans="2:14" ht="15.75" customHeight="1" x14ac:dyDescent="0.25">
      <c r="B25" s="20"/>
      <c r="C25" s="7" t="s">
        <v>22</v>
      </c>
      <c r="D25" s="8"/>
      <c r="E25" s="12">
        <v>0.34472799999999998</v>
      </c>
      <c r="F25" s="1"/>
      <c r="G25" s="1"/>
      <c r="H25" s="1"/>
      <c r="I25" s="1"/>
      <c r="J25" s="1"/>
      <c r="K25" s="1"/>
      <c r="L25" s="1"/>
      <c r="M25" s="1"/>
      <c r="N25" s="18"/>
    </row>
    <row r="26" spans="2:14" ht="15" customHeight="1" x14ac:dyDescent="0.25">
      <c r="B26" s="20"/>
      <c r="C26" s="5" t="s">
        <v>23</v>
      </c>
      <c r="D26" s="6"/>
      <c r="E26" s="11">
        <v>2.8089999999999999E-3</v>
      </c>
      <c r="F26" s="1"/>
      <c r="G26" s="58" t="s">
        <v>7</v>
      </c>
      <c r="H26" s="59"/>
      <c r="I26" s="59"/>
      <c r="J26" s="59"/>
      <c r="K26" s="59"/>
      <c r="L26" s="59"/>
      <c r="M26" s="59"/>
      <c r="N26" s="60"/>
    </row>
    <row r="27" spans="2:14" ht="15.75" customHeight="1" x14ac:dyDescent="0.25">
      <c r="B27" s="20"/>
      <c r="C27" s="7" t="s">
        <v>24</v>
      </c>
      <c r="D27" s="8"/>
      <c r="E27" s="12">
        <v>2.8089999999999999E-3</v>
      </c>
      <c r="F27" s="1"/>
      <c r="G27" s="1"/>
      <c r="H27" s="1"/>
      <c r="I27" s="1"/>
      <c r="J27" s="1"/>
      <c r="K27" s="1"/>
      <c r="L27" s="1"/>
      <c r="M27" s="1"/>
      <c r="N27" s="18"/>
    </row>
    <row r="28" spans="2:14" ht="15" customHeight="1" x14ac:dyDescent="0.25">
      <c r="B28" s="20"/>
      <c r="C28" s="5" t="s">
        <v>97</v>
      </c>
      <c r="D28" s="6" t="s">
        <v>190</v>
      </c>
      <c r="E28" s="11">
        <v>1.2650000000000001E-3</v>
      </c>
      <c r="F28" s="1"/>
      <c r="G28" s="1"/>
      <c r="H28" s="1"/>
      <c r="I28" s="1"/>
      <c r="J28" s="1"/>
      <c r="K28" s="1"/>
      <c r="L28" s="1"/>
      <c r="M28" s="1"/>
      <c r="N28" s="18"/>
    </row>
    <row r="29" spans="2:14" ht="15.75" customHeight="1" x14ac:dyDescent="0.25">
      <c r="B29" s="20"/>
      <c r="C29" s="7" t="s">
        <v>30</v>
      </c>
      <c r="D29" s="8"/>
      <c r="E29" s="12">
        <v>1.2650000000000001E-3</v>
      </c>
      <c r="F29" s="1"/>
      <c r="G29" s="1"/>
      <c r="H29" s="1"/>
      <c r="I29" s="1"/>
      <c r="J29" s="1"/>
      <c r="K29" s="1"/>
      <c r="L29" s="1"/>
      <c r="M29" s="1"/>
      <c r="N29" s="18"/>
    </row>
    <row r="30" spans="2:14" ht="15" customHeight="1" x14ac:dyDescent="0.25">
      <c r="B30" s="20"/>
      <c r="C30" s="5" t="s">
        <v>221</v>
      </c>
      <c r="D30" s="6" t="s">
        <v>190</v>
      </c>
      <c r="E30" s="11">
        <v>3.6903999999999999E-2</v>
      </c>
      <c r="F30" s="1"/>
      <c r="G30" s="1"/>
      <c r="H30" s="1"/>
      <c r="I30" s="1"/>
      <c r="J30" s="1"/>
      <c r="K30" s="1"/>
      <c r="L30" s="1"/>
      <c r="M30" s="1"/>
      <c r="N30" s="18"/>
    </row>
    <row r="31" spans="2:14" ht="15.75" customHeight="1" x14ac:dyDescent="0.25">
      <c r="B31" s="20"/>
      <c r="C31" s="5" t="s">
        <v>219</v>
      </c>
      <c r="D31" s="6" t="s">
        <v>190</v>
      </c>
      <c r="E31" s="11">
        <v>2.3271E-2</v>
      </c>
      <c r="F31" s="1"/>
      <c r="G31" s="1"/>
      <c r="H31" s="1"/>
      <c r="I31" s="1"/>
      <c r="J31" s="1"/>
      <c r="K31" s="1"/>
      <c r="L31" s="1"/>
      <c r="M31" s="1"/>
      <c r="N31" s="18"/>
    </row>
    <row r="32" spans="2:14" ht="15" customHeight="1" x14ac:dyDescent="0.25">
      <c r="B32" s="20"/>
      <c r="C32" s="5" t="s">
        <v>225</v>
      </c>
      <c r="D32" s="6" t="s">
        <v>190</v>
      </c>
      <c r="E32" s="11">
        <v>1.9918000000000002E-2</v>
      </c>
      <c r="F32" s="1"/>
      <c r="G32" s="1"/>
      <c r="H32" s="1"/>
      <c r="I32" s="1"/>
      <c r="J32" s="1"/>
      <c r="K32" s="1"/>
      <c r="L32" s="1"/>
      <c r="M32" s="1"/>
      <c r="N32" s="18"/>
    </row>
    <row r="33" spans="2:14" ht="15.75" customHeight="1" x14ac:dyDescent="0.25">
      <c r="B33" s="20"/>
      <c r="C33" s="5" t="s">
        <v>229</v>
      </c>
      <c r="D33" s="6" t="s">
        <v>190</v>
      </c>
      <c r="E33" s="11">
        <v>1.8617999999999999E-2</v>
      </c>
      <c r="F33" s="1"/>
      <c r="G33" s="1"/>
      <c r="H33" s="1"/>
      <c r="I33" s="1"/>
      <c r="J33" s="1"/>
      <c r="K33" s="1"/>
      <c r="L33" s="1"/>
      <c r="M33" s="1"/>
      <c r="N33" s="18"/>
    </row>
    <row r="34" spans="2:14" ht="15" customHeight="1" x14ac:dyDescent="0.25">
      <c r="B34" s="20"/>
      <c r="C34" s="5" t="s">
        <v>230</v>
      </c>
      <c r="D34" s="6" t="s">
        <v>190</v>
      </c>
      <c r="E34" s="11">
        <v>1.7544000000000001E-2</v>
      </c>
      <c r="F34" s="1"/>
      <c r="G34" s="1"/>
      <c r="H34" s="1"/>
      <c r="I34" s="1"/>
      <c r="J34" s="1"/>
      <c r="K34" s="1"/>
      <c r="L34" s="1"/>
      <c r="M34" s="1"/>
      <c r="N34" s="18"/>
    </row>
    <row r="35" spans="2:14" ht="15" customHeight="1" x14ac:dyDescent="0.25">
      <c r="B35" s="20"/>
      <c r="C35" s="5" t="s">
        <v>222</v>
      </c>
      <c r="D35" s="6" t="s">
        <v>190</v>
      </c>
      <c r="E35" s="11">
        <v>1.4442E-2</v>
      </c>
      <c r="F35" s="1"/>
      <c r="G35" s="1"/>
      <c r="H35" s="1"/>
      <c r="I35" s="1"/>
      <c r="J35" s="1"/>
      <c r="K35" s="1"/>
      <c r="L35" s="1"/>
      <c r="M35" s="1"/>
      <c r="N35" s="18"/>
    </row>
    <row r="36" spans="2:14" ht="15.75" customHeight="1" x14ac:dyDescent="0.25">
      <c r="B36" s="20"/>
      <c r="C36" s="5" t="s">
        <v>208</v>
      </c>
      <c r="D36" s="6" t="s">
        <v>190</v>
      </c>
      <c r="E36" s="11">
        <v>1.3539000000000001E-2</v>
      </c>
      <c r="F36" s="1"/>
      <c r="G36" s="1"/>
      <c r="H36" s="1"/>
      <c r="I36" s="1"/>
      <c r="J36" s="1"/>
      <c r="K36" s="1"/>
      <c r="L36" s="1"/>
      <c r="M36" s="1"/>
      <c r="N36" s="18"/>
    </row>
    <row r="37" spans="2:14" ht="15" customHeight="1" x14ac:dyDescent="0.25">
      <c r="B37" s="20"/>
      <c r="C37" s="5" t="s">
        <v>224</v>
      </c>
      <c r="D37" s="6" t="s">
        <v>190</v>
      </c>
      <c r="E37" s="11">
        <v>1.1438E-2</v>
      </c>
      <c r="F37" s="1"/>
      <c r="G37" s="1"/>
      <c r="H37" s="1"/>
      <c r="I37" s="1"/>
      <c r="J37" s="1"/>
      <c r="K37" s="1"/>
      <c r="L37" s="1"/>
      <c r="M37" s="1"/>
      <c r="N37" s="18"/>
    </row>
    <row r="38" spans="2:14" ht="15.75" customHeight="1" x14ac:dyDescent="0.25">
      <c r="B38" s="20"/>
      <c r="C38" s="5" t="s">
        <v>233</v>
      </c>
      <c r="D38" s="6" t="s">
        <v>190</v>
      </c>
      <c r="E38" s="11">
        <v>1.1323E-2</v>
      </c>
      <c r="F38" s="1"/>
      <c r="G38" s="1"/>
      <c r="H38" s="1"/>
      <c r="I38" s="1"/>
      <c r="J38" s="1"/>
      <c r="K38" s="1"/>
      <c r="L38" s="1"/>
      <c r="M38" s="1"/>
      <c r="N38" s="18"/>
    </row>
    <row r="39" spans="2:14" ht="15" customHeight="1" x14ac:dyDescent="0.25">
      <c r="B39" s="20"/>
      <c r="C39" s="5" t="s">
        <v>196</v>
      </c>
      <c r="D39" s="6" t="s">
        <v>190</v>
      </c>
      <c r="E39" s="11">
        <v>9.2169999999999995E-3</v>
      </c>
      <c r="F39" s="1"/>
      <c r="G39" s="1"/>
      <c r="H39" s="1"/>
      <c r="I39" s="1"/>
      <c r="J39" s="1"/>
      <c r="K39" s="1"/>
      <c r="L39" s="1"/>
      <c r="M39" s="1"/>
      <c r="N39" s="18"/>
    </row>
    <row r="40" spans="2:14" ht="15" customHeight="1" x14ac:dyDescent="0.25">
      <c r="B40" s="20"/>
      <c r="C40" s="5" t="s">
        <v>203</v>
      </c>
      <c r="D40" s="6" t="s">
        <v>190</v>
      </c>
      <c r="E40" s="11">
        <v>9.1990000000000006E-3</v>
      </c>
      <c r="F40" s="1"/>
      <c r="G40" s="1"/>
      <c r="H40" s="1"/>
      <c r="I40" s="1"/>
      <c r="J40" s="1"/>
      <c r="K40" s="1"/>
      <c r="L40" s="1"/>
      <c r="M40" s="1"/>
      <c r="N40" s="18"/>
    </row>
    <row r="41" spans="2:14" ht="15" customHeight="1" x14ac:dyDescent="0.25">
      <c r="B41" s="20"/>
      <c r="C41" s="5" t="s">
        <v>199</v>
      </c>
      <c r="D41" s="6" t="s">
        <v>190</v>
      </c>
      <c r="E41" s="11">
        <v>9.0390000000000002E-3</v>
      </c>
      <c r="F41" s="1"/>
      <c r="G41" s="1"/>
      <c r="H41" s="1"/>
      <c r="I41" s="1"/>
      <c r="J41" s="1"/>
      <c r="K41" s="1"/>
      <c r="L41" s="1"/>
      <c r="M41" s="1"/>
      <c r="N41" s="18"/>
    </row>
    <row r="42" spans="2:14" ht="15" customHeight="1" x14ac:dyDescent="0.25">
      <c r="B42" s="20"/>
      <c r="C42" s="5" t="s">
        <v>193</v>
      </c>
      <c r="D42" s="6" t="s">
        <v>190</v>
      </c>
      <c r="E42" s="11">
        <v>9.0159999999999997E-3</v>
      </c>
      <c r="F42" s="1"/>
      <c r="G42" s="1"/>
      <c r="H42" s="1"/>
      <c r="I42" s="1"/>
      <c r="J42" s="1"/>
      <c r="K42" s="1"/>
      <c r="L42" s="1"/>
      <c r="M42" s="1"/>
      <c r="N42" s="18"/>
    </row>
    <row r="43" spans="2:14" ht="15" customHeight="1" x14ac:dyDescent="0.25">
      <c r="B43" s="20"/>
      <c r="C43" s="5" t="s">
        <v>234</v>
      </c>
      <c r="D43" s="6" t="s">
        <v>190</v>
      </c>
      <c r="E43" s="11">
        <v>9.0159999999999997E-3</v>
      </c>
      <c r="F43" s="1"/>
      <c r="G43" s="1"/>
      <c r="H43" s="1"/>
      <c r="I43" s="1"/>
      <c r="J43" s="1"/>
      <c r="K43" s="1"/>
      <c r="L43" s="1"/>
      <c r="M43" s="1"/>
      <c r="N43" s="18"/>
    </row>
    <row r="44" spans="2:14" ht="15" customHeight="1" x14ac:dyDescent="0.25">
      <c r="B44" s="20"/>
      <c r="C44" s="5" t="s">
        <v>210</v>
      </c>
      <c r="D44" s="6" t="s">
        <v>190</v>
      </c>
      <c r="E44" s="11">
        <v>9.0109999999999999E-3</v>
      </c>
      <c r="F44" s="1"/>
      <c r="G44" s="1"/>
      <c r="H44" s="1"/>
      <c r="I44" s="1"/>
      <c r="J44" s="1"/>
      <c r="K44" s="1"/>
      <c r="L44" s="1"/>
      <c r="M44" s="1"/>
      <c r="N44" s="18"/>
    </row>
    <row r="45" spans="2:14" ht="15" customHeight="1" x14ac:dyDescent="0.25">
      <c r="B45" s="20"/>
      <c r="C45" s="5" t="s">
        <v>211</v>
      </c>
      <c r="D45" s="6" t="s">
        <v>190</v>
      </c>
      <c r="E45" s="11">
        <v>9.0080000000000004E-3</v>
      </c>
      <c r="F45" s="1"/>
      <c r="G45" s="1"/>
      <c r="H45" s="1"/>
      <c r="I45" s="1"/>
      <c r="J45" s="1"/>
      <c r="K45" s="1"/>
      <c r="L45" s="1"/>
      <c r="M45" s="1"/>
      <c r="N45" s="18"/>
    </row>
    <row r="46" spans="2:14" ht="15" customHeight="1" x14ac:dyDescent="0.25">
      <c r="B46" s="20"/>
      <c r="C46" s="5" t="s">
        <v>198</v>
      </c>
      <c r="D46" s="6" t="s">
        <v>190</v>
      </c>
      <c r="E46" s="11">
        <v>7.7730000000000004E-3</v>
      </c>
      <c r="F46" s="1"/>
      <c r="G46" s="1"/>
      <c r="H46" s="1"/>
      <c r="I46" s="1"/>
      <c r="J46" s="1"/>
      <c r="K46" s="1"/>
      <c r="L46" s="1"/>
      <c r="M46" s="1"/>
      <c r="N46" s="18"/>
    </row>
    <row r="47" spans="2:14" ht="15" customHeight="1" x14ac:dyDescent="0.25">
      <c r="B47" s="20"/>
      <c r="C47" s="5" t="s">
        <v>194</v>
      </c>
      <c r="D47" s="6" t="s">
        <v>190</v>
      </c>
      <c r="E47" s="11">
        <v>7.2199999999999999E-3</v>
      </c>
      <c r="F47" s="1"/>
      <c r="G47" s="1"/>
      <c r="H47" s="1"/>
      <c r="I47" s="1"/>
      <c r="J47" s="1"/>
      <c r="K47" s="1"/>
      <c r="L47" s="1"/>
      <c r="M47" s="1"/>
      <c r="N47" s="18"/>
    </row>
    <row r="48" spans="2:14" ht="15" customHeight="1" x14ac:dyDescent="0.25">
      <c r="B48" s="20"/>
      <c r="C48" s="5" t="s">
        <v>202</v>
      </c>
      <c r="D48" s="6" t="s">
        <v>190</v>
      </c>
      <c r="E48" s="11">
        <v>6.3379999999999999E-3</v>
      </c>
      <c r="F48" s="1"/>
      <c r="G48" s="1"/>
      <c r="H48" s="1"/>
      <c r="I48" s="1"/>
      <c r="J48" s="1"/>
      <c r="K48" s="1"/>
      <c r="L48" s="1"/>
      <c r="M48" s="1"/>
      <c r="N48" s="18"/>
    </row>
    <row r="49" spans="2:14" ht="15" customHeight="1" x14ac:dyDescent="0.25">
      <c r="B49" s="20"/>
      <c r="C49" s="5" t="s">
        <v>197</v>
      </c>
      <c r="D49" s="6" t="s">
        <v>190</v>
      </c>
      <c r="E49" s="11">
        <v>6.3270000000000002E-3</v>
      </c>
      <c r="F49" s="1"/>
      <c r="G49" s="1"/>
      <c r="H49" s="1"/>
      <c r="I49" s="1"/>
      <c r="J49" s="1"/>
      <c r="K49" s="1"/>
      <c r="L49" s="1"/>
      <c r="M49" s="1"/>
      <c r="N49" s="18"/>
    </row>
    <row r="50" spans="2:14" ht="15" customHeight="1" x14ac:dyDescent="0.25">
      <c r="B50" s="20"/>
      <c r="C50" s="5" t="s">
        <v>232</v>
      </c>
      <c r="D50" s="6" t="s">
        <v>190</v>
      </c>
      <c r="E50" s="11">
        <v>5.6499999999999996E-3</v>
      </c>
      <c r="F50" s="1"/>
      <c r="G50" s="1"/>
      <c r="H50" s="1"/>
      <c r="I50" s="1"/>
      <c r="J50" s="1"/>
      <c r="K50" s="1"/>
      <c r="L50" s="1"/>
      <c r="M50" s="1"/>
      <c r="N50" s="18"/>
    </row>
    <row r="51" spans="2:14" ht="15" customHeight="1" x14ac:dyDescent="0.25">
      <c r="B51" s="20"/>
      <c r="C51" s="5" t="s">
        <v>227</v>
      </c>
      <c r="D51" s="6" t="s">
        <v>190</v>
      </c>
      <c r="E51" s="11">
        <v>5.5180000000000003E-3</v>
      </c>
      <c r="F51" s="1"/>
      <c r="G51" s="1"/>
      <c r="H51" s="1"/>
      <c r="I51" s="1"/>
      <c r="J51" s="1"/>
      <c r="K51" s="1"/>
      <c r="L51" s="1"/>
      <c r="M51" s="1"/>
      <c r="N51" s="18"/>
    </row>
    <row r="52" spans="2:14" ht="15" customHeight="1" x14ac:dyDescent="0.25">
      <c r="B52" s="20"/>
      <c r="C52" s="5" t="s">
        <v>231</v>
      </c>
      <c r="D52" s="6" t="s">
        <v>190</v>
      </c>
      <c r="E52" s="11">
        <v>5.3959999999999998E-3</v>
      </c>
      <c r="F52" s="1"/>
      <c r="G52" s="1"/>
      <c r="H52" s="1"/>
      <c r="I52" s="1"/>
      <c r="J52" s="1"/>
      <c r="K52" s="1"/>
      <c r="L52" s="1"/>
      <c r="M52" s="1"/>
      <c r="N52" s="18"/>
    </row>
    <row r="53" spans="2:14" ht="15" customHeight="1" x14ac:dyDescent="0.25">
      <c r="B53" s="20"/>
      <c r="C53" s="5" t="s">
        <v>217</v>
      </c>
      <c r="D53" s="6" t="s">
        <v>190</v>
      </c>
      <c r="E53" s="11">
        <v>4.6750000000000003E-3</v>
      </c>
      <c r="F53" s="1"/>
      <c r="G53" s="1"/>
      <c r="H53" s="1"/>
      <c r="I53" s="1"/>
      <c r="J53" s="1"/>
      <c r="K53" s="1"/>
      <c r="L53" s="1"/>
      <c r="M53" s="1"/>
      <c r="N53" s="18"/>
    </row>
    <row r="54" spans="2:14" ht="15" customHeight="1" x14ac:dyDescent="0.25">
      <c r="B54" s="20"/>
      <c r="C54" s="5" t="s">
        <v>228</v>
      </c>
      <c r="D54" s="6" t="s">
        <v>190</v>
      </c>
      <c r="E54" s="11">
        <v>4.6020000000000002E-3</v>
      </c>
      <c r="F54" s="1"/>
      <c r="G54" s="1"/>
      <c r="H54" s="1"/>
      <c r="I54" s="1"/>
      <c r="J54" s="1"/>
      <c r="K54" s="1"/>
      <c r="L54" s="1"/>
      <c r="M54" s="1"/>
      <c r="N54" s="18"/>
    </row>
    <row r="55" spans="2:14" ht="15" customHeight="1" x14ac:dyDescent="0.25">
      <c r="B55" s="20"/>
      <c r="C55" s="5" t="s">
        <v>212</v>
      </c>
      <c r="D55" s="6" t="s">
        <v>190</v>
      </c>
      <c r="E55" s="11">
        <v>4.5789999999999997E-3</v>
      </c>
      <c r="F55" s="1"/>
      <c r="G55" s="1"/>
      <c r="H55" s="1"/>
      <c r="I55" s="1"/>
      <c r="J55" s="1"/>
      <c r="K55" s="1"/>
      <c r="L55" s="1"/>
      <c r="M55" s="1"/>
      <c r="N55" s="18"/>
    </row>
    <row r="56" spans="2:14" ht="15" customHeight="1" x14ac:dyDescent="0.25">
      <c r="B56" s="20"/>
      <c r="C56" s="5" t="s">
        <v>207</v>
      </c>
      <c r="D56" s="6" t="s">
        <v>190</v>
      </c>
      <c r="E56" s="11">
        <v>4.5370000000000002E-3</v>
      </c>
      <c r="F56" s="1"/>
      <c r="G56" s="1"/>
      <c r="H56" s="1"/>
      <c r="I56" s="1"/>
      <c r="J56" s="1"/>
      <c r="K56" s="1"/>
      <c r="L56" s="1"/>
      <c r="M56" s="1"/>
      <c r="N56" s="18"/>
    </row>
    <row r="57" spans="2:14" ht="15" customHeight="1" x14ac:dyDescent="0.25">
      <c r="B57" s="20"/>
      <c r="C57" s="5" t="s">
        <v>209</v>
      </c>
      <c r="D57" s="6" t="s">
        <v>190</v>
      </c>
      <c r="E57" s="11">
        <v>4.5189999999999996E-3</v>
      </c>
      <c r="F57" s="1"/>
      <c r="G57" s="1"/>
      <c r="H57" s="1"/>
      <c r="I57" s="1"/>
      <c r="J57" s="1"/>
      <c r="K57" s="1"/>
      <c r="L57" s="1"/>
      <c r="M57" s="1"/>
      <c r="N57" s="18"/>
    </row>
    <row r="58" spans="2:14" ht="15" customHeight="1" x14ac:dyDescent="0.25">
      <c r="B58" s="20"/>
      <c r="C58" s="5" t="s">
        <v>195</v>
      </c>
      <c r="D58" s="6" t="s">
        <v>190</v>
      </c>
      <c r="E58" s="11">
        <v>4.5129999999999997E-3</v>
      </c>
      <c r="F58" s="1"/>
      <c r="G58" s="1"/>
      <c r="H58" s="1"/>
      <c r="I58" s="1"/>
      <c r="J58" s="1"/>
      <c r="K58" s="1"/>
      <c r="L58" s="1"/>
      <c r="M58" s="1"/>
      <c r="N58" s="18"/>
    </row>
    <row r="59" spans="2:14" ht="15" customHeight="1" x14ac:dyDescent="0.25">
      <c r="B59" s="20"/>
      <c r="C59" s="5" t="s">
        <v>220</v>
      </c>
      <c r="D59" s="6" t="s">
        <v>190</v>
      </c>
      <c r="E59" s="11">
        <v>4.5120000000000004E-3</v>
      </c>
      <c r="F59" s="1"/>
      <c r="G59" s="1"/>
      <c r="H59" s="1"/>
      <c r="I59" s="1"/>
      <c r="J59" s="1"/>
      <c r="K59" s="1"/>
      <c r="L59" s="1"/>
      <c r="M59" s="1"/>
      <c r="N59" s="18"/>
    </row>
    <row r="60" spans="2:14" ht="15" customHeight="1" x14ac:dyDescent="0.25">
      <c r="B60" s="20"/>
      <c r="C60" s="5" t="s">
        <v>226</v>
      </c>
      <c r="D60" s="6" t="s">
        <v>190</v>
      </c>
      <c r="E60" s="11">
        <v>4.4799999999999996E-3</v>
      </c>
      <c r="F60" s="1"/>
      <c r="G60" s="1"/>
      <c r="H60" s="1"/>
      <c r="I60" s="1"/>
      <c r="J60" s="1"/>
      <c r="K60" s="1"/>
      <c r="L60" s="1"/>
      <c r="M60" s="1"/>
      <c r="N60" s="18"/>
    </row>
    <row r="61" spans="2:14" ht="15" customHeight="1" x14ac:dyDescent="0.25">
      <c r="B61" s="20"/>
      <c r="C61" s="5" t="s">
        <v>215</v>
      </c>
      <c r="D61" s="6" t="s">
        <v>190</v>
      </c>
      <c r="E61" s="11">
        <v>3.6879999999999999E-3</v>
      </c>
      <c r="F61" s="1"/>
      <c r="G61" s="1"/>
      <c r="H61" s="1"/>
      <c r="I61" s="1"/>
      <c r="J61" s="1"/>
      <c r="K61" s="1"/>
      <c r="L61" s="1"/>
      <c r="M61" s="1"/>
      <c r="N61" s="18"/>
    </row>
    <row r="62" spans="2:14" ht="15" customHeight="1" x14ac:dyDescent="0.25">
      <c r="B62" s="20"/>
      <c r="C62" s="5" t="s">
        <v>201</v>
      </c>
      <c r="D62" s="6" t="s">
        <v>190</v>
      </c>
      <c r="E62" s="11">
        <v>3.6210000000000001E-3</v>
      </c>
      <c r="F62" s="1"/>
      <c r="G62" s="1"/>
      <c r="H62" s="1"/>
      <c r="I62" s="1"/>
      <c r="J62" s="1"/>
      <c r="K62" s="1"/>
      <c r="L62" s="1"/>
      <c r="M62" s="1"/>
      <c r="N62" s="18"/>
    </row>
    <row r="63" spans="2:14" ht="15" customHeight="1" x14ac:dyDescent="0.25">
      <c r="B63" s="20"/>
      <c r="C63" s="5" t="s">
        <v>206</v>
      </c>
      <c r="D63" s="6" t="s">
        <v>190</v>
      </c>
      <c r="E63" s="11">
        <v>2.905E-3</v>
      </c>
      <c r="F63" s="1"/>
      <c r="G63" s="1"/>
      <c r="H63" s="1"/>
      <c r="I63" s="1"/>
      <c r="J63" s="1"/>
      <c r="K63" s="1"/>
      <c r="L63" s="1"/>
      <c r="M63" s="1"/>
      <c r="N63" s="18"/>
    </row>
    <row r="64" spans="2:14" ht="15" customHeight="1" x14ac:dyDescent="0.25">
      <c r="B64" s="20"/>
      <c r="C64" s="5" t="s">
        <v>200</v>
      </c>
      <c r="D64" s="6" t="s">
        <v>190</v>
      </c>
      <c r="E64" s="11">
        <v>2.712E-3</v>
      </c>
      <c r="F64" s="1"/>
      <c r="G64" s="1"/>
      <c r="H64" s="1"/>
      <c r="I64" s="1"/>
      <c r="J64" s="1"/>
      <c r="K64" s="1"/>
      <c r="L64" s="1"/>
      <c r="M64" s="1"/>
      <c r="N64" s="18"/>
    </row>
    <row r="65" spans="2:14" ht="15" customHeight="1" x14ac:dyDescent="0.25">
      <c r="B65" s="20"/>
      <c r="C65" s="5" t="s">
        <v>214</v>
      </c>
      <c r="D65" s="6" t="s">
        <v>190</v>
      </c>
      <c r="E65" s="11">
        <v>1.8519999999999999E-3</v>
      </c>
      <c r="F65" s="1"/>
      <c r="G65" s="1"/>
      <c r="H65" s="1"/>
      <c r="I65" s="1"/>
      <c r="J65" s="1"/>
      <c r="K65" s="1"/>
      <c r="L65" s="1"/>
      <c r="M65" s="1"/>
      <c r="N65" s="18"/>
    </row>
    <row r="66" spans="2:14" ht="15" customHeight="1" x14ac:dyDescent="0.25">
      <c r="B66" s="20"/>
      <c r="C66" s="5" t="s">
        <v>213</v>
      </c>
      <c r="D66" s="6" t="s">
        <v>190</v>
      </c>
      <c r="E66" s="11">
        <v>1.843E-3</v>
      </c>
      <c r="F66" s="1"/>
      <c r="G66" s="1"/>
      <c r="H66" s="1"/>
      <c r="I66" s="1"/>
      <c r="J66" s="1"/>
      <c r="K66" s="1"/>
      <c r="L66" s="1"/>
      <c r="M66" s="1"/>
      <c r="N66" s="18"/>
    </row>
    <row r="67" spans="2:14" ht="15" customHeight="1" x14ac:dyDescent="0.25">
      <c r="B67" s="20"/>
      <c r="C67" s="5" t="s">
        <v>216</v>
      </c>
      <c r="D67" s="6" t="s">
        <v>190</v>
      </c>
      <c r="E67" s="11">
        <v>1.83E-3</v>
      </c>
      <c r="F67" s="1"/>
      <c r="G67" s="1"/>
      <c r="H67" s="1"/>
      <c r="I67" s="1"/>
      <c r="J67" s="1"/>
      <c r="K67" s="1"/>
      <c r="L67" s="1"/>
      <c r="M67" s="1"/>
      <c r="N67" s="18"/>
    </row>
    <row r="68" spans="2:14" ht="15" customHeight="1" x14ac:dyDescent="0.25">
      <c r="B68" s="20"/>
      <c r="C68" s="5" t="s">
        <v>204</v>
      </c>
      <c r="D68" s="6" t="s">
        <v>190</v>
      </c>
      <c r="E68" s="11">
        <v>1.818E-3</v>
      </c>
      <c r="F68" s="1"/>
      <c r="G68" s="1"/>
      <c r="H68" s="1"/>
      <c r="I68" s="1"/>
      <c r="J68" s="1"/>
      <c r="K68" s="1"/>
      <c r="L68" s="1"/>
      <c r="M68" s="1"/>
      <c r="N68" s="18"/>
    </row>
    <row r="69" spans="2:14" ht="15" customHeight="1" x14ac:dyDescent="0.25">
      <c r="B69" s="20"/>
      <c r="C69" s="5" t="s">
        <v>192</v>
      </c>
      <c r="D69" s="6" t="s">
        <v>190</v>
      </c>
      <c r="E69" s="11">
        <v>1.802E-3</v>
      </c>
      <c r="F69" s="1"/>
      <c r="G69" s="1"/>
      <c r="H69" s="1"/>
      <c r="I69" s="1"/>
      <c r="J69" s="1"/>
      <c r="K69" s="1"/>
      <c r="L69" s="1"/>
      <c r="M69" s="1"/>
      <c r="N69" s="18"/>
    </row>
    <row r="70" spans="2:14" ht="15" customHeight="1" x14ac:dyDescent="0.25">
      <c r="B70" s="20"/>
      <c r="C70" s="5" t="s">
        <v>223</v>
      </c>
      <c r="D70" s="6" t="s">
        <v>190</v>
      </c>
      <c r="E70" s="11">
        <v>1.802E-3</v>
      </c>
      <c r="F70" s="1"/>
      <c r="G70" s="1"/>
      <c r="H70" s="1"/>
      <c r="I70" s="1"/>
      <c r="J70" s="1"/>
      <c r="K70" s="1"/>
      <c r="L70" s="1"/>
      <c r="M70" s="1"/>
      <c r="N70" s="18"/>
    </row>
    <row r="71" spans="2:14" ht="15" customHeight="1" x14ac:dyDescent="0.25">
      <c r="B71" s="20"/>
      <c r="C71" s="5" t="s">
        <v>205</v>
      </c>
      <c r="D71" s="6" t="s">
        <v>190</v>
      </c>
      <c r="E71" s="11">
        <v>9.0899999999999998E-4</v>
      </c>
      <c r="F71" s="1"/>
      <c r="G71" s="1"/>
      <c r="H71" s="1"/>
      <c r="I71" s="1"/>
      <c r="J71" s="1"/>
      <c r="K71" s="1"/>
      <c r="L71" s="1"/>
      <c r="M71" s="1"/>
      <c r="N71" s="18"/>
    </row>
    <row r="72" spans="2:14" ht="15" customHeight="1" x14ac:dyDescent="0.25">
      <c r="B72" s="20"/>
      <c r="C72" s="5" t="s">
        <v>191</v>
      </c>
      <c r="D72" s="6" t="s">
        <v>190</v>
      </c>
      <c r="E72" s="11">
        <v>8.9800000000000004E-4</v>
      </c>
      <c r="F72" s="1"/>
      <c r="G72" s="1"/>
      <c r="H72" s="1"/>
      <c r="I72" s="1"/>
      <c r="J72" s="1"/>
      <c r="K72" s="1"/>
      <c r="L72" s="1"/>
      <c r="M72" s="1"/>
      <c r="N72" s="18"/>
    </row>
    <row r="73" spans="2:14" ht="15" customHeight="1" x14ac:dyDescent="0.25">
      <c r="B73" s="20"/>
      <c r="C73" s="5" t="s">
        <v>218</v>
      </c>
      <c r="D73" s="6" t="s">
        <v>190</v>
      </c>
      <c r="E73" s="11">
        <v>8.9499999999999996E-4</v>
      </c>
      <c r="F73" s="1"/>
      <c r="G73" s="1"/>
      <c r="H73" s="1"/>
      <c r="I73" s="1"/>
      <c r="J73" s="1"/>
      <c r="K73" s="1"/>
      <c r="L73" s="1"/>
      <c r="M73" s="1"/>
      <c r="N73" s="18"/>
    </row>
    <row r="74" spans="2:14" ht="15" customHeight="1" x14ac:dyDescent="0.25">
      <c r="B74" s="20"/>
      <c r="C74" s="7" t="s">
        <v>48</v>
      </c>
      <c r="D74" s="8"/>
      <c r="E74" s="12">
        <v>0.33771699999999999</v>
      </c>
      <c r="F74" s="1"/>
      <c r="G74" s="1"/>
      <c r="H74" s="1"/>
      <c r="I74" s="1"/>
      <c r="J74" s="1"/>
      <c r="K74" s="1"/>
      <c r="L74" s="1"/>
      <c r="M74" s="1"/>
      <c r="N74" s="18"/>
    </row>
    <row r="75" spans="2:14" ht="15" customHeight="1" x14ac:dyDescent="0.25">
      <c r="B75" s="20"/>
      <c r="C75" s="5" t="s">
        <v>31</v>
      </c>
      <c r="D75" s="6"/>
      <c r="E75" s="11">
        <v>5.2849999999999998E-3</v>
      </c>
      <c r="F75" s="1"/>
      <c r="G75" s="1"/>
      <c r="H75" s="1"/>
      <c r="I75" s="1"/>
      <c r="J75" s="1"/>
      <c r="K75" s="1"/>
      <c r="L75" s="1"/>
      <c r="M75" s="1"/>
      <c r="N75" s="18"/>
    </row>
    <row r="76" spans="2:14" ht="15" customHeight="1" x14ac:dyDescent="0.25">
      <c r="B76" s="20"/>
      <c r="C76" s="7" t="s">
        <v>32</v>
      </c>
      <c r="D76" s="8"/>
      <c r="E76" s="12">
        <v>5.2849999999999998E-3</v>
      </c>
      <c r="F76" s="1"/>
      <c r="G76" s="1"/>
      <c r="H76" s="1"/>
      <c r="I76" s="1"/>
      <c r="J76" s="1"/>
      <c r="K76" s="1"/>
      <c r="L76" s="1"/>
      <c r="M76" s="1"/>
      <c r="N76" s="18"/>
    </row>
    <row r="77" spans="2:14" ht="15" customHeight="1" x14ac:dyDescent="0.25">
      <c r="B77" s="20"/>
      <c r="C77" s="5" t="s">
        <v>118</v>
      </c>
      <c r="D77" s="6" t="s">
        <v>78</v>
      </c>
      <c r="E77" s="11">
        <v>2.1347000000000001E-2</v>
      </c>
      <c r="F77" s="1"/>
      <c r="G77" s="1"/>
      <c r="H77" s="1"/>
      <c r="I77" s="1"/>
      <c r="J77" s="1"/>
      <c r="K77" s="1"/>
      <c r="L77" s="1"/>
      <c r="M77" s="1"/>
      <c r="N77" s="18"/>
    </row>
    <row r="78" spans="2:14" ht="15" customHeight="1" x14ac:dyDescent="0.25">
      <c r="B78" s="20"/>
      <c r="C78" s="5" t="s">
        <v>53</v>
      </c>
      <c r="D78" s="6" t="s">
        <v>18</v>
      </c>
      <c r="E78" s="11">
        <v>4.4039999999999999E-3</v>
      </c>
      <c r="F78" s="1"/>
      <c r="G78" s="1"/>
      <c r="H78" s="1"/>
      <c r="I78" s="1"/>
      <c r="J78" s="1"/>
      <c r="K78" s="1"/>
      <c r="L78" s="1"/>
      <c r="M78" s="1"/>
      <c r="N78" s="18"/>
    </row>
    <row r="79" spans="2:14" ht="15" customHeight="1" x14ac:dyDescent="0.25">
      <c r="B79" s="20"/>
      <c r="C79" s="7" t="s">
        <v>165</v>
      </c>
      <c r="D79" s="8"/>
      <c r="E79" s="12">
        <v>2.5751E-2</v>
      </c>
      <c r="F79" s="1"/>
      <c r="G79" s="1"/>
      <c r="H79" s="1"/>
      <c r="I79" s="1"/>
      <c r="J79" s="1"/>
      <c r="K79" s="1"/>
      <c r="L79" s="1"/>
      <c r="M79" s="1"/>
      <c r="N79" s="18"/>
    </row>
    <row r="80" spans="2:14" ht="15" customHeight="1" x14ac:dyDescent="0.25">
      <c r="B80" s="20"/>
      <c r="C80" s="5"/>
      <c r="D80" s="6"/>
      <c r="E80" s="11"/>
      <c r="F80" s="1"/>
      <c r="G80" s="1"/>
      <c r="H80" s="1"/>
      <c r="I80" s="1"/>
      <c r="J80" s="1"/>
      <c r="K80" s="1"/>
      <c r="L80" s="1"/>
      <c r="M80" s="1"/>
      <c r="N80" s="18"/>
    </row>
    <row r="81" spans="2:14" ht="15" customHeight="1" x14ac:dyDescent="0.25">
      <c r="B81" s="20"/>
      <c r="C81" s="7" t="s">
        <v>33</v>
      </c>
      <c r="D81" s="8"/>
      <c r="E81" s="12">
        <v>2.0570000000000001E-2</v>
      </c>
      <c r="F81" s="1"/>
      <c r="G81" s="1"/>
      <c r="H81" s="1"/>
      <c r="I81" s="1"/>
      <c r="J81" s="1"/>
      <c r="K81" s="1"/>
      <c r="L81" s="1"/>
      <c r="M81" s="1"/>
      <c r="N81" s="18"/>
    </row>
    <row r="82" spans="2:14" ht="15" customHeight="1" x14ac:dyDescent="0.25">
      <c r="B82" s="20"/>
      <c r="C82" s="5"/>
      <c r="D82" s="6"/>
      <c r="E82" s="11"/>
      <c r="F82" s="1"/>
      <c r="G82" s="1"/>
      <c r="H82" s="1"/>
      <c r="I82" s="1"/>
      <c r="J82" s="1"/>
      <c r="K82" s="1"/>
      <c r="L82" s="1"/>
      <c r="M82" s="1"/>
      <c r="N82" s="18"/>
    </row>
    <row r="83" spans="2:14" ht="15" customHeight="1" x14ac:dyDescent="0.25">
      <c r="B83" s="20"/>
      <c r="C83" s="9" t="s">
        <v>34</v>
      </c>
      <c r="D83" s="10"/>
      <c r="E83" s="13">
        <v>1</v>
      </c>
      <c r="F83" s="1"/>
      <c r="G83" s="1"/>
      <c r="H83" s="1"/>
      <c r="I83" s="1"/>
      <c r="J83" s="1"/>
      <c r="K83" s="1"/>
      <c r="L83" s="1"/>
      <c r="M83" s="1"/>
      <c r="N83" s="18"/>
    </row>
    <row r="84" spans="2:14" ht="15" customHeight="1" thickBot="1" x14ac:dyDescent="0.3">
      <c r="B84" s="21"/>
      <c r="C84" s="22"/>
      <c r="D84" s="22"/>
      <c r="E84" s="22"/>
      <c r="F84" s="22"/>
      <c r="G84" s="22"/>
      <c r="H84" s="22"/>
      <c r="I84" s="22"/>
      <c r="J84" s="22"/>
      <c r="K84" s="22"/>
      <c r="L84" s="22"/>
      <c r="M84" s="22"/>
      <c r="N84" s="23"/>
    </row>
    <row r="85" spans="2:14" ht="15" customHeight="1" thickBot="1" x14ac:dyDescent="0.3"/>
    <row r="86" spans="2:14" ht="15" customHeight="1" x14ac:dyDescent="0.25">
      <c r="B86" s="41" t="s">
        <v>337</v>
      </c>
      <c r="C86" s="42"/>
      <c r="D86" s="42"/>
      <c r="E86" s="42"/>
      <c r="F86" s="42"/>
      <c r="G86" s="42"/>
      <c r="H86" s="42"/>
      <c r="I86" s="42"/>
      <c r="J86" s="42"/>
      <c r="K86" s="42"/>
      <c r="L86" s="42"/>
      <c r="M86" s="42"/>
      <c r="N86" s="43"/>
    </row>
    <row r="87" spans="2:14" ht="15" customHeight="1" x14ac:dyDescent="0.25">
      <c r="B87" s="44"/>
      <c r="C87" s="45"/>
      <c r="D87" s="45"/>
      <c r="E87" s="45"/>
      <c r="F87" s="45"/>
      <c r="G87" s="45"/>
      <c r="H87" s="45"/>
      <c r="I87" s="45"/>
      <c r="J87" s="45"/>
      <c r="K87" s="45"/>
      <c r="L87" s="45"/>
      <c r="M87" s="45"/>
      <c r="N87" s="46"/>
    </row>
    <row r="88" spans="2:14" ht="15" customHeight="1" x14ac:dyDescent="0.25">
      <c r="B88" s="44"/>
      <c r="C88" s="45"/>
      <c r="D88" s="45"/>
      <c r="E88" s="45"/>
      <c r="F88" s="45"/>
      <c r="G88" s="45"/>
      <c r="H88" s="45"/>
      <c r="I88" s="45"/>
      <c r="J88" s="45"/>
      <c r="K88" s="45"/>
      <c r="L88" s="45"/>
      <c r="M88" s="45"/>
      <c r="N88" s="46"/>
    </row>
    <row r="89" spans="2:14" ht="15" customHeight="1" thickBot="1" x14ac:dyDescent="0.3">
      <c r="B89" s="47"/>
      <c r="C89" s="48"/>
      <c r="D89" s="48"/>
      <c r="E89" s="48"/>
      <c r="F89" s="48"/>
      <c r="G89" s="48"/>
      <c r="H89" s="48"/>
      <c r="I89" s="48"/>
      <c r="J89" s="48"/>
      <c r="K89" s="48"/>
      <c r="L89" s="48"/>
      <c r="M89" s="48"/>
      <c r="N89" s="49"/>
    </row>
    <row r="90" spans="2:14" ht="15" customHeight="1" thickBot="1" x14ac:dyDescent="0.3"/>
    <row r="91" spans="2:14" ht="130.5" customHeight="1" thickBot="1" x14ac:dyDescent="0.3">
      <c r="B91" s="50" t="s">
        <v>336</v>
      </c>
      <c r="C91" s="51"/>
      <c r="D91" s="51"/>
      <c r="E91" s="51"/>
      <c r="F91" s="51"/>
      <c r="G91" s="51"/>
      <c r="H91" s="51"/>
      <c r="I91" s="51"/>
      <c r="J91" s="51"/>
      <c r="K91" s="51"/>
      <c r="L91" s="51"/>
      <c r="M91" s="51"/>
      <c r="N91" s="52"/>
    </row>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sheetData>
  <sortState ref="C30:E73">
    <sortCondition descending="1" ref="E30"/>
  </sortState>
  <mergeCells count="7">
    <mergeCell ref="B86:N89"/>
    <mergeCell ref="B91:N91"/>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F718-7DEC-4128-94F5-7F05B5EBF2F8}">
  <dimension ref="B1:N92"/>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167</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168</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17</v>
      </c>
      <c r="D8" s="6" t="s">
        <v>14</v>
      </c>
      <c r="E8" s="11">
        <v>0.10124900000000001</v>
      </c>
      <c r="F8" s="1"/>
      <c r="G8" s="39" t="s">
        <v>335</v>
      </c>
      <c r="H8" s="25">
        <v>1</v>
      </c>
      <c r="I8" s="1"/>
      <c r="J8" s="24" t="s">
        <v>35</v>
      </c>
      <c r="K8" s="24" t="s">
        <v>3</v>
      </c>
      <c r="L8" s="1"/>
      <c r="M8" s="1"/>
      <c r="N8" s="18"/>
    </row>
    <row r="9" spans="2:14" ht="15" customHeight="1" x14ac:dyDescent="0.25">
      <c r="B9" s="20"/>
      <c r="C9" s="5" t="s">
        <v>15</v>
      </c>
      <c r="D9" s="6" t="s">
        <v>14</v>
      </c>
      <c r="E9" s="11">
        <v>8.7873000000000007E-2</v>
      </c>
      <c r="F9" s="1"/>
      <c r="G9" s="1"/>
      <c r="H9" s="1"/>
      <c r="I9" s="1"/>
      <c r="J9" s="24" t="s">
        <v>33</v>
      </c>
      <c r="K9" s="29">
        <v>1.9599999999999999E-4</v>
      </c>
      <c r="L9" s="1"/>
      <c r="M9" s="1"/>
      <c r="N9" s="18"/>
    </row>
    <row r="10" spans="2:14" ht="15" customHeight="1" x14ac:dyDescent="0.25">
      <c r="B10" s="20"/>
      <c r="C10" s="5" t="s">
        <v>42</v>
      </c>
      <c r="D10" s="6" t="s">
        <v>14</v>
      </c>
      <c r="E10" s="11">
        <v>6.9778000000000007E-2</v>
      </c>
      <c r="F10" s="1"/>
      <c r="G10" s="1"/>
      <c r="H10" s="1"/>
      <c r="I10" s="1"/>
      <c r="J10" s="24" t="s">
        <v>36</v>
      </c>
      <c r="K10" s="29">
        <v>2.6203000000000001E-2</v>
      </c>
      <c r="L10" s="1"/>
      <c r="M10" s="1"/>
      <c r="N10" s="18"/>
    </row>
    <row r="11" spans="2:14" ht="15" customHeight="1" x14ac:dyDescent="0.25">
      <c r="B11" s="20"/>
      <c r="C11" s="5" t="s">
        <v>169</v>
      </c>
      <c r="D11" s="6" t="s">
        <v>14</v>
      </c>
      <c r="E11" s="11">
        <v>6.5946000000000005E-2</v>
      </c>
      <c r="F11" s="1"/>
      <c r="G11" s="1"/>
      <c r="H11" s="1"/>
      <c r="I11" s="1"/>
      <c r="J11" s="24" t="s">
        <v>37</v>
      </c>
      <c r="K11" s="29">
        <v>0.63261500000000004</v>
      </c>
      <c r="L11" s="1"/>
      <c r="M11" s="1"/>
      <c r="N11" s="18"/>
    </row>
    <row r="12" spans="2:14" ht="15" customHeight="1" x14ac:dyDescent="0.25">
      <c r="B12" s="20"/>
      <c r="C12" s="5" t="s">
        <v>13</v>
      </c>
      <c r="D12" s="6" t="s">
        <v>14</v>
      </c>
      <c r="E12" s="11">
        <v>6.1338999999999998E-2</v>
      </c>
      <c r="F12" s="1"/>
      <c r="G12" s="1"/>
      <c r="H12" s="1"/>
      <c r="I12" s="1"/>
      <c r="J12" s="24" t="s">
        <v>158</v>
      </c>
      <c r="K12" s="29">
        <v>0.19899900000000001</v>
      </c>
      <c r="L12" s="1"/>
      <c r="M12" s="1"/>
      <c r="N12" s="18"/>
    </row>
    <row r="13" spans="2:14" ht="15" customHeight="1" x14ac:dyDescent="0.25">
      <c r="B13" s="20"/>
      <c r="C13" s="5" t="s">
        <v>127</v>
      </c>
      <c r="D13" s="6" t="s">
        <v>14</v>
      </c>
      <c r="E13" s="11">
        <v>6.1266000000000001E-2</v>
      </c>
      <c r="F13" s="1"/>
      <c r="G13" s="1"/>
      <c r="H13" s="1"/>
      <c r="I13" s="1"/>
      <c r="J13" s="24" t="s">
        <v>23</v>
      </c>
      <c r="K13" s="29">
        <v>1.1299999999999999E-3</v>
      </c>
      <c r="L13" s="1"/>
      <c r="M13" s="1"/>
      <c r="N13" s="18"/>
    </row>
    <row r="14" spans="2:14" ht="15" customHeight="1" x14ac:dyDescent="0.25">
      <c r="B14" s="20"/>
      <c r="C14" s="5" t="s">
        <v>128</v>
      </c>
      <c r="D14" s="6" t="s">
        <v>14</v>
      </c>
      <c r="E14" s="11">
        <v>5.9991000000000003E-2</v>
      </c>
      <c r="F14" s="1"/>
      <c r="G14" s="1"/>
      <c r="H14" s="1"/>
      <c r="I14" s="1"/>
      <c r="J14" s="24" t="s">
        <v>179</v>
      </c>
      <c r="K14" s="29">
        <v>1.0198E-2</v>
      </c>
      <c r="L14" s="1"/>
      <c r="M14" s="1"/>
      <c r="N14" s="18"/>
    </row>
    <row r="15" spans="2:14" ht="15" customHeight="1" x14ac:dyDescent="0.25">
      <c r="B15" s="20"/>
      <c r="C15" s="5" t="s">
        <v>129</v>
      </c>
      <c r="D15" s="6" t="s">
        <v>14</v>
      </c>
      <c r="E15" s="11">
        <v>5.2596999999999998E-2</v>
      </c>
      <c r="F15" s="1"/>
      <c r="G15" s="1"/>
      <c r="H15" s="1"/>
      <c r="I15" s="1"/>
      <c r="J15" s="24" t="s">
        <v>49</v>
      </c>
      <c r="K15" s="29">
        <v>7.9575000000000007E-2</v>
      </c>
      <c r="L15" s="1"/>
      <c r="M15" s="1"/>
      <c r="N15" s="18"/>
    </row>
    <row r="16" spans="2:14" ht="15" customHeight="1" x14ac:dyDescent="0.25">
      <c r="B16" s="20"/>
      <c r="C16" s="5" t="s">
        <v>130</v>
      </c>
      <c r="D16" s="6" t="s">
        <v>14</v>
      </c>
      <c r="E16" s="11">
        <v>4.5682E-2</v>
      </c>
      <c r="F16" s="1"/>
      <c r="G16" s="1"/>
      <c r="H16" s="1"/>
      <c r="I16" s="1"/>
      <c r="J16" s="24" t="s">
        <v>159</v>
      </c>
      <c r="K16" s="29">
        <v>5.1083999999999997E-2</v>
      </c>
      <c r="L16" s="1"/>
      <c r="M16" s="1"/>
      <c r="N16" s="18"/>
    </row>
    <row r="17" spans="2:14" ht="15" customHeight="1" x14ac:dyDescent="0.25">
      <c r="B17" s="20"/>
      <c r="C17" s="5" t="s">
        <v>170</v>
      </c>
      <c r="D17" s="6" t="s">
        <v>14</v>
      </c>
      <c r="E17" s="11">
        <v>1.6389999999999998E-2</v>
      </c>
      <c r="F17" s="1"/>
      <c r="G17" s="1"/>
      <c r="H17" s="1"/>
      <c r="I17" s="1"/>
      <c r="J17" s="1"/>
      <c r="K17" s="1"/>
      <c r="L17" s="1"/>
      <c r="M17" s="1"/>
      <c r="N17" s="18"/>
    </row>
    <row r="18" spans="2:14" ht="15" customHeight="1" x14ac:dyDescent="0.25">
      <c r="B18" s="20"/>
      <c r="C18" s="5" t="s">
        <v>171</v>
      </c>
      <c r="D18" s="6" t="s">
        <v>14</v>
      </c>
      <c r="E18" s="11">
        <v>8.4069999999999995E-3</v>
      </c>
      <c r="F18" s="1"/>
      <c r="G18" s="1"/>
      <c r="H18" s="1"/>
      <c r="I18" s="1"/>
      <c r="J18" s="1"/>
      <c r="K18" s="1"/>
      <c r="L18" s="1"/>
      <c r="M18" s="1"/>
      <c r="N18" s="18"/>
    </row>
    <row r="19" spans="2:14" ht="15" customHeight="1" x14ac:dyDescent="0.25">
      <c r="B19" s="20"/>
      <c r="C19" s="5" t="s">
        <v>59</v>
      </c>
      <c r="D19" s="6" t="s">
        <v>14</v>
      </c>
      <c r="E19" s="11">
        <v>2.0969999999999999E-3</v>
      </c>
      <c r="F19" s="1"/>
      <c r="G19" s="1"/>
      <c r="H19" s="1"/>
      <c r="I19" s="1"/>
      <c r="J19" s="1"/>
      <c r="K19" s="1"/>
      <c r="L19" s="1"/>
      <c r="M19" s="1"/>
      <c r="N19" s="18"/>
    </row>
    <row r="20" spans="2:14" ht="15.75" customHeight="1" x14ac:dyDescent="0.25">
      <c r="B20" s="20"/>
      <c r="C20" s="7" t="s">
        <v>16</v>
      </c>
      <c r="D20" s="8"/>
      <c r="E20" s="12">
        <v>0.63261500000000004</v>
      </c>
      <c r="F20" s="1"/>
      <c r="G20" s="1"/>
      <c r="H20" s="1"/>
      <c r="I20" s="1"/>
      <c r="J20" s="1"/>
      <c r="K20" s="1"/>
      <c r="L20" s="1"/>
      <c r="M20" s="1"/>
      <c r="N20" s="18"/>
    </row>
    <row r="21" spans="2:14" ht="15" customHeight="1" x14ac:dyDescent="0.25">
      <c r="B21" s="20"/>
      <c r="C21" s="5" t="s">
        <v>59</v>
      </c>
      <c r="D21" s="6" t="s">
        <v>14</v>
      </c>
      <c r="E21" s="11">
        <v>8.1127000000000005E-2</v>
      </c>
      <c r="F21" s="1"/>
      <c r="G21" s="1"/>
      <c r="H21" s="1"/>
      <c r="I21" s="1"/>
      <c r="J21" s="1"/>
      <c r="K21" s="1"/>
      <c r="L21" s="1"/>
      <c r="M21" s="1"/>
      <c r="N21" s="18"/>
    </row>
    <row r="22" spans="2:14" ht="15" customHeight="1" x14ac:dyDescent="0.25">
      <c r="B22" s="20"/>
      <c r="C22" s="5" t="s">
        <v>118</v>
      </c>
      <c r="D22" s="6" t="s">
        <v>14</v>
      </c>
      <c r="E22" s="11">
        <v>2.5326000000000001E-2</v>
      </c>
      <c r="F22" s="1"/>
      <c r="G22" s="1"/>
      <c r="H22" s="1"/>
      <c r="I22" s="1"/>
      <c r="J22" s="1"/>
      <c r="K22" s="1"/>
      <c r="L22" s="1"/>
      <c r="M22" s="1"/>
      <c r="N22" s="18"/>
    </row>
    <row r="23" spans="2:14" ht="15" customHeight="1" x14ac:dyDescent="0.25">
      <c r="B23" s="20"/>
      <c r="C23" s="5" t="s">
        <v>53</v>
      </c>
      <c r="D23" s="6" t="s">
        <v>14</v>
      </c>
      <c r="E23" s="11">
        <v>2.3182999999999999E-2</v>
      </c>
      <c r="F23" s="1"/>
      <c r="G23" s="1"/>
      <c r="H23" s="1"/>
      <c r="I23" s="1"/>
      <c r="J23" s="1"/>
      <c r="K23" s="1"/>
      <c r="L23" s="1"/>
      <c r="M23" s="1"/>
      <c r="N23" s="18"/>
    </row>
    <row r="24" spans="2:14" ht="15" customHeight="1" x14ac:dyDescent="0.25">
      <c r="B24" s="20"/>
      <c r="C24" s="5" t="s">
        <v>83</v>
      </c>
      <c r="D24" s="6" t="s">
        <v>14</v>
      </c>
      <c r="E24" s="11">
        <v>1.46E-2</v>
      </c>
      <c r="F24" s="1"/>
      <c r="G24" s="58" t="s">
        <v>110</v>
      </c>
      <c r="H24" s="59"/>
      <c r="I24" s="59"/>
      <c r="J24" s="59"/>
      <c r="K24" s="59"/>
      <c r="L24" s="40">
        <v>151.41612070703948</v>
      </c>
      <c r="M24" s="27"/>
      <c r="N24" s="28"/>
    </row>
    <row r="25" spans="2:14" ht="15" customHeight="1" x14ac:dyDescent="0.25">
      <c r="B25" s="20"/>
      <c r="C25" s="5" t="s">
        <v>145</v>
      </c>
      <c r="D25" s="6" t="s">
        <v>14</v>
      </c>
      <c r="E25" s="11">
        <v>1.2666999999999999E-2</v>
      </c>
      <c r="F25" s="1"/>
      <c r="G25" s="1"/>
      <c r="H25" s="1"/>
      <c r="I25" s="1"/>
      <c r="J25" s="1"/>
      <c r="K25" s="1"/>
      <c r="L25" s="1"/>
      <c r="M25" s="1"/>
      <c r="N25" s="18"/>
    </row>
    <row r="26" spans="2:14" ht="15" customHeight="1" x14ac:dyDescent="0.25">
      <c r="B26" s="20"/>
      <c r="C26" s="5" t="s">
        <v>141</v>
      </c>
      <c r="D26" s="6" t="s">
        <v>14</v>
      </c>
      <c r="E26" s="11">
        <v>1.0527999999999999E-2</v>
      </c>
      <c r="F26" s="1"/>
      <c r="G26" s="58" t="s">
        <v>7</v>
      </c>
      <c r="H26" s="59"/>
      <c r="I26" s="59"/>
      <c r="J26" s="59"/>
      <c r="K26" s="59"/>
      <c r="L26" s="59"/>
      <c r="M26" s="59"/>
      <c r="N26" s="60"/>
    </row>
    <row r="27" spans="2:14" ht="15" customHeight="1" x14ac:dyDescent="0.25">
      <c r="B27" s="20"/>
      <c r="C27" s="5" t="s">
        <v>139</v>
      </c>
      <c r="D27" s="6" t="s">
        <v>14</v>
      </c>
      <c r="E27" s="11">
        <v>8.4010000000000005E-3</v>
      </c>
      <c r="F27" s="1"/>
      <c r="G27" s="1"/>
      <c r="H27" s="1"/>
      <c r="I27" s="1"/>
      <c r="J27" s="1"/>
      <c r="K27" s="1"/>
      <c r="L27" s="1"/>
      <c r="M27" s="1"/>
      <c r="N27" s="18"/>
    </row>
    <row r="28" spans="2:14" ht="15" customHeight="1" x14ac:dyDescent="0.25">
      <c r="B28" s="20"/>
      <c r="C28" s="5" t="s">
        <v>134</v>
      </c>
      <c r="D28" s="6" t="s">
        <v>14</v>
      </c>
      <c r="E28" s="11">
        <v>6.3229999999999996E-3</v>
      </c>
      <c r="F28" s="1"/>
      <c r="G28" s="1"/>
      <c r="H28" s="1"/>
      <c r="I28" s="1"/>
      <c r="J28" s="1"/>
      <c r="K28" s="1"/>
      <c r="L28" s="1"/>
      <c r="M28" s="1"/>
      <c r="N28" s="18"/>
    </row>
    <row r="29" spans="2:14" ht="15" customHeight="1" x14ac:dyDescent="0.25">
      <c r="B29" s="20"/>
      <c r="C29" s="5" t="s">
        <v>43</v>
      </c>
      <c r="D29" s="6" t="s">
        <v>14</v>
      </c>
      <c r="E29" s="11">
        <v>4.2379999999999996E-3</v>
      </c>
      <c r="F29" s="1"/>
      <c r="G29" s="1"/>
      <c r="H29" s="1"/>
      <c r="I29" s="1"/>
      <c r="J29" s="1"/>
      <c r="K29" s="1"/>
      <c r="L29" s="1"/>
      <c r="M29" s="1"/>
      <c r="N29" s="18"/>
    </row>
    <row r="30" spans="2:14" ht="15" customHeight="1" x14ac:dyDescent="0.25">
      <c r="B30" s="20"/>
      <c r="C30" s="5" t="s">
        <v>172</v>
      </c>
      <c r="D30" s="6" t="s">
        <v>14</v>
      </c>
      <c r="E30" s="11">
        <v>4.2110000000000003E-3</v>
      </c>
      <c r="F30" s="1"/>
      <c r="G30" s="1"/>
      <c r="H30" s="1"/>
      <c r="I30" s="1"/>
      <c r="J30" s="1"/>
      <c r="K30" s="1"/>
      <c r="L30" s="1"/>
      <c r="M30" s="1"/>
      <c r="N30" s="18"/>
    </row>
    <row r="31" spans="2:14" ht="15" customHeight="1" x14ac:dyDescent="0.25">
      <c r="B31" s="20"/>
      <c r="C31" s="5" t="s">
        <v>44</v>
      </c>
      <c r="D31" s="6" t="s">
        <v>14</v>
      </c>
      <c r="E31" s="11">
        <v>4.202E-3</v>
      </c>
      <c r="F31" s="1"/>
      <c r="G31" s="1"/>
      <c r="H31" s="1"/>
      <c r="I31" s="1"/>
      <c r="J31" s="1"/>
      <c r="K31" s="1"/>
      <c r="L31" s="1"/>
      <c r="M31" s="1"/>
      <c r="N31" s="18"/>
    </row>
    <row r="32" spans="2:14" ht="15" customHeight="1" x14ac:dyDescent="0.25">
      <c r="B32" s="20"/>
      <c r="C32" s="5" t="s">
        <v>144</v>
      </c>
      <c r="D32" s="6" t="s">
        <v>14</v>
      </c>
      <c r="E32" s="11">
        <v>4.1929999999999997E-3</v>
      </c>
      <c r="F32" s="1"/>
      <c r="G32" s="1"/>
      <c r="H32" s="1"/>
      <c r="I32" s="1"/>
      <c r="J32" s="1"/>
      <c r="K32" s="1"/>
      <c r="L32" s="1"/>
      <c r="M32" s="1"/>
      <c r="N32" s="18"/>
    </row>
    <row r="33" spans="2:14" ht="15.75" customHeight="1" x14ac:dyDescent="0.25">
      <c r="B33" s="20"/>
      <c r="C33" s="7" t="s">
        <v>146</v>
      </c>
      <c r="D33" s="8"/>
      <c r="E33" s="12">
        <v>0.19899900000000001</v>
      </c>
      <c r="F33" s="1"/>
      <c r="G33" s="1"/>
      <c r="H33" s="1"/>
      <c r="I33" s="1"/>
      <c r="J33" s="1"/>
      <c r="K33" s="1"/>
      <c r="L33" s="1"/>
      <c r="M33" s="1"/>
      <c r="N33" s="18"/>
    </row>
    <row r="34" spans="2:14" ht="15" customHeight="1" x14ac:dyDescent="0.25">
      <c r="B34" s="20"/>
      <c r="C34" s="5" t="s">
        <v>23</v>
      </c>
      <c r="D34" s="6"/>
      <c r="E34" s="11">
        <v>1.1299999999999999E-3</v>
      </c>
      <c r="F34" s="1"/>
      <c r="G34" s="1"/>
      <c r="H34" s="1"/>
      <c r="I34" s="1"/>
      <c r="J34" s="1"/>
      <c r="K34" s="1"/>
      <c r="L34" s="1"/>
      <c r="M34" s="1"/>
      <c r="N34" s="18"/>
    </row>
    <row r="35" spans="2:14" ht="15.75" customHeight="1" x14ac:dyDescent="0.25">
      <c r="B35" s="20"/>
      <c r="C35" s="7" t="s">
        <v>24</v>
      </c>
      <c r="D35" s="8"/>
      <c r="E35" s="12">
        <v>1.1299999999999999E-3</v>
      </c>
      <c r="F35" s="1"/>
      <c r="G35" s="1"/>
      <c r="H35" s="1"/>
      <c r="I35" s="1"/>
      <c r="J35" s="1"/>
      <c r="K35" s="1"/>
      <c r="L35" s="1"/>
      <c r="M35" s="1"/>
      <c r="N35" s="18"/>
    </row>
    <row r="36" spans="2:14" ht="15" customHeight="1" x14ac:dyDescent="0.25">
      <c r="B36" s="20"/>
      <c r="C36" s="5" t="s">
        <v>235</v>
      </c>
      <c r="D36" s="6" t="s">
        <v>190</v>
      </c>
      <c r="E36" s="11">
        <v>7.6319999999999999E-3</v>
      </c>
      <c r="F36" s="1"/>
      <c r="G36" s="1"/>
      <c r="H36" s="1"/>
      <c r="I36" s="1"/>
      <c r="J36" s="1"/>
      <c r="K36" s="1"/>
      <c r="L36" s="1"/>
      <c r="M36" s="1"/>
      <c r="N36" s="18"/>
    </row>
    <row r="37" spans="2:14" ht="15.75" customHeight="1" x14ac:dyDescent="0.25">
      <c r="B37" s="20"/>
      <c r="C37" s="5" t="s">
        <v>236</v>
      </c>
      <c r="D37" s="6" t="s">
        <v>190</v>
      </c>
      <c r="E37" s="11">
        <v>2.1059999999999998E-3</v>
      </c>
      <c r="F37" s="1"/>
      <c r="G37" s="1"/>
      <c r="H37" s="1"/>
      <c r="I37" s="1"/>
      <c r="J37" s="1"/>
      <c r="K37" s="1"/>
      <c r="L37" s="1"/>
      <c r="M37" s="1"/>
      <c r="N37" s="18"/>
    </row>
    <row r="38" spans="2:14" ht="15" customHeight="1" x14ac:dyDescent="0.25">
      <c r="B38" s="20"/>
      <c r="C38" s="5" t="s">
        <v>237</v>
      </c>
      <c r="D38" s="6" t="s">
        <v>190</v>
      </c>
      <c r="E38" s="11">
        <v>4.6000000000000001E-4</v>
      </c>
      <c r="F38" s="1"/>
      <c r="G38" s="1"/>
      <c r="H38" s="1"/>
      <c r="I38" s="1"/>
      <c r="J38" s="1"/>
      <c r="K38" s="1"/>
      <c r="L38" s="1"/>
      <c r="M38" s="1"/>
      <c r="N38" s="18"/>
    </row>
    <row r="39" spans="2:14" ht="15.75" customHeight="1" x14ac:dyDescent="0.25">
      <c r="B39" s="20"/>
      <c r="C39" s="7" t="s">
        <v>173</v>
      </c>
      <c r="D39" s="8"/>
      <c r="E39" s="12">
        <v>1.0198E-2</v>
      </c>
      <c r="F39" s="1"/>
      <c r="G39" s="1"/>
      <c r="H39" s="1"/>
      <c r="I39" s="1"/>
      <c r="J39" s="1"/>
      <c r="K39" s="1"/>
      <c r="L39" s="1"/>
      <c r="M39" s="1"/>
      <c r="N39" s="18"/>
    </row>
    <row r="40" spans="2:14" ht="15" customHeight="1" x14ac:dyDescent="0.25">
      <c r="B40" s="20"/>
      <c r="C40" s="5" t="s">
        <v>250</v>
      </c>
      <c r="D40" s="6" t="s">
        <v>190</v>
      </c>
      <c r="E40" s="11">
        <v>2.1361000000000002E-2</v>
      </c>
      <c r="F40" s="1"/>
      <c r="G40" s="1"/>
      <c r="H40" s="1"/>
      <c r="I40" s="1"/>
      <c r="J40" s="1"/>
      <c r="K40" s="1"/>
      <c r="L40" s="1"/>
      <c r="M40" s="1"/>
      <c r="N40" s="18"/>
    </row>
    <row r="41" spans="2:14" ht="15" customHeight="1" x14ac:dyDescent="0.25">
      <c r="B41" s="20"/>
      <c r="C41" s="5" t="s">
        <v>239</v>
      </c>
      <c r="D41" s="6" t="s">
        <v>190</v>
      </c>
      <c r="E41" s="11">
        <v>1.3849E-2</v>
      </c>
      <c r="F41" s="1"/>
      <c r="G41" s="1"/>
      <c r="H41" s="1"/>
      <c r="I41" s="1"/>
      <c r="J41" s="1"/>
      <c r="K41" s="1"/>
      <c r="L41" s="1"/>
      <c r="M41" s="1"/>
      <c r="N41" s="18"/>
    </row>
    <row r="42" spans="2:14" ht="15" customHeight="1" x14ac:dyDescent="0.25">
      <c r="B42" s="20"/>
      <c r="C42" s="5" t="s">
        <v>249</v>
      </c>
      <c r="D42" s="6" t="s">
        <v>190</v>
      </c>
      <c r="E42" s="11">
        <v>1.2822E-2</v>
      </c>
      <c r="F42" s="1"/>
      <c r="G42" s="1"/>
      <c r="H42" s="1"/>
      <c r="I42" s="1"/>
      <c r="J42" s="1"/>
      <c r="K42" s="1"/>
      <c r="L42" s="1"/>
      <c r="M42" s="1"/>
      <c r="N42" s="18"/>
    </row>
    <row r="43" spans="2:14" ht="15" customHeight="1" x14ac:dyDescent="0.25">
      <c r="B43" s="20"/>
      <c r="C43" s="5" t="s">
        <v>241</v>
      </c>
      <c r="D43" s="6" t="s">
        <v>190</v>
      </c>
      <c r="E43" s="11">
        <v>9.0969999999999992E-3</v>
      </c>
      <c r="F43" s="1"/>
      <c r="G43" s="1"/>
      <c r="H43" s="1"/>
      <c r="I43" s="1"/>
      <c r="J43" s="1"/>
      <c r="K43" s="1"/>
      <c r="L43" s="1"/>
      <c r="M43" s="1"/>
      <c r="N43" s="18"/>
    </row>
    <row r="44" spans="2:14" ht="15" customHeight="1" x14ac:dyDescent="0.25">
      <c r="B44" s="20"/>
      <c r="C44" s="5" t="s">
        <v>246</v>
      </c>
      <c r="D44" s="6" t="s">
        <v>190</v>
      </c>
      <c r="E44" s="11">
        <v>6.0480000000000004E-3</v>
      </c>
      <c r="F44" s="1"/>
      <c r="G44" s="1"/>
      <c r="H44" s="1"/>
      <c r="I44" s="1"/>
      <c r="J44" s="1"/>
      <c r="K44" s="1"/>
      <c r="L44" s="1"/>
      <c r="M44" s="1"/>
      <c r="N44" s="18"/>
    </row>
    <row r="45" spans="2:14" ht="15" customHeight="1" x14ac:dyDescent="0.25">
      <c r="B45" s="20"/>
      <c r="C45" s="5" t="s">
        <v>243</v>
      </c>
      <c r="D45" s="6" t="s">
        <v>190</v>
      </c>
      <c r="E45" s="11">
        <v>2.1640000000000001E-3</v>
      </c>
      <c r="F45" s="1"/>
      <c r="G45" s="1"/>
      <c r="H45" s="1"/>
      <c r="I45" s="1"/>
      <c r="J45" s="1"/>
      <c r="K45" s="1"/>
      <c r="L45" s="1"/>
      <c r="M45" s="1"/>
      <c r="N45" s="18"/>
    </row>
    <row r="46" spans="2:14" ht="15" customHeight="1" x14ac:dyDescent="0.25">
      <c r="B46" s="20"/>
      <c r="C46" s="5" t="s">
        <v>248</v>
      </c>
      <c r="D46" s="6" t="s">
        <v>190</v>
      </c>
      <c r="E46" s="11">
        <v>2.1519999999999998E-3</v>
      </c>
      <c r="F46" s="1"/>
      <c r="G46" s="1"/>
      <c r="H46" s="1"/>
      <c r="I46" s="1"/>
      <c r="J46" s="1"/>
      <c r="K46" s="1"/>
      <c r="L46" s="1"/>
      <c r="M46" s="1"/>
      <c r="N46" s="18"/>
    </row>
    <row r="47" spans="2:14" ht="15" customHeight="1" x14ac:dyDescent="0.25">
      <c r="B47" s="20"/>
      <c r="C47" s="5" t="s">
        <v>242</v>
      </c>
      <c r="D47" s="6" t="s">
        <v>190</v>
      </c>
      <c r="E47" s="11">
        <v>1.7329999999999999E-3</v>
      </c>
      <c r="F47" s="1"/>
      <c r="G47" s="1"/>
      <c r="H47" s="1"/>
      <c r="I47" s="1"/>
      <c r="J47" s="1"/>
      <c r="K47" s="1"/>
      <c r="L47" s="1"/>
      <c r="M47" s="1"/>
      <c r="N47" s="18"/>
    </row>
    <row r="48" spans="2:14" ht="15" customHeight="1" x14ac:dyDescent="0.25">
      <c r="B48" s="20"/>
      <c r="C48" s="5" t="s">
        <v>244</v>
      </c>
      <c r="D48" s="6" t="s">
        <v>190</v>
      </c>
      <c r="E48" s="11">
        <v>1.7329999999999999E-3</v>
      </c>
      <c r="F48" s="1"/>
      <c r="G48" s="1"/>
      <c r="H48" s="1"/>
      <c r="I48" s="1"/>
      <c r="J48" s="1"/>
      <c r="K48" s="1"/>
      <c r="L48" s="1"/>
      <c r="M48" s="1"/>
      <c r="N48" s="18"/>
    </row>
    <row r="49" spans="2:14" ht="15" customHeight="1" x14ac:dyDescent="0.25">
      <c r="B49" s="20"/>
      <c r="C49" s="5" t="s">
        <v>253</v>
      </c>
      <c r="D49" s="6" t="s">
        <v>190</v>
      </c>
      <c r="E49" s="11">
        <v>1.7309999999999999E-3</v>
      </c>
      <c r="F49" s="1"/>
      <c r="G49" s="1"/>
      <c r="H49" s="1"/>
      <c r="I49" s="1"/>
      <c r="J49" s="1"/>
      <c r="K49" s="1"/>
      <c r="L49" s="1"/>
      <c r="M49" s="1"/>
      <c r="N49" s="18"/>
    </row>
    <row r="50" spans="2:14" ht="15" customHeight="1" x14ac:dyDescent="0.25">
      <c r="B50" s="20"/>
      <c r="C50" s="5" t="s">
        <v>245</v>
      </c>
      <c r="D50" s="6" t="s">
        <v>190</v>
      </c>
      <c r="E50" s="11">
        <v>1.725E-3</v>
      </c>
      <c r="F50" s="1"/>
      <c r="G50" s="1"/>
      <c r="H50" s="1"/>
      <c r="I50" s="1"/>
      <c r="J50" s="1"/>
      <c r="K50" s="1"/>
      <c r="L50" s="1"/>
      <c r="M50" s="1"/>
      <c r="N50" s="18"/>
    </row>
    <row r="51" spans="2:14" ht="15" customHeight="1" x14ac:dyDescent="0.25">
      <c r="B51" s="20"/>
      <c r="C51" s="5" t="s">
        <v>252</v>
      </c>
      <c r="D51" s="6" t="s">
        <v>190</v>
      </c>
      <c r="E51" s="11">
        <v>1.707E-3</v>
      </c>
      <c r="F51" s="1"/>
      <c r="G51" s="1"/>
      <c r="H51" s="1"/>
      <c r="I51" s="1"/>
      <c r="J51" s="1"/>
      <c r="K51" s="1"/>
      <c r="L51" s="1"/>
      <c r="M51" s="1"/>
      <c r="N51" s="18"/>
    </row>
    <row r="52" spans="2:14" ht="15" customHeight="1" x14ac:dyDescent="0.25">
      <c r="B52" s="20"/>
      <c r="C52" s="5" t="s">
        <v>240</v>
      </c>
      <c r="D52" s="6" t="s">
        <v>190</v>
      </c>
      <c r="E52" s="11">
        <v>1.2999999999999999E-3</v>
      </c>
      <c r="F52" s="1"/>
      <c r="G52" s="1"/>
      <c r="H52" s="1"/>
      <c r="I52" s="1"/>
      <c r="J52" s="1"/>
      <c r="K52" s="1"/>
      <c r="L52" s="1"/>
      <c r="M52" s="1"/>
      <c r="N52" s="18"/>
    </row>
    <row r="53" spans="2:14" ht="15" customHeight="1" x14ac:dyDescent="0.25">
      <c r="B53" s="20"/>
      <c r="C53" s="5" t="s">
        <v>238</v>
      </c>
      <c r="D53" s="6" t="s">
        <v>190</v>
      </c>
      <c r="E53" s="11">
        <v>8.6399999999999997E-4</v>
      </c>
      <c r="F53" s="1"/>
      <c r="G53" s="1"/>
      <c r="H53" s="1"/>
      <c r="I53" s="1"/>
      <c r="J53" s="1"/>
      <c r="K53" s="1"/>
      <c r="L53" s="1"/>
      <c r="M53" s="1"/>
      <c r="N53" s="18"/>
    </row>
    <row r="54" spans="2:14" ht="15" customHeight="1" x14ac:dyDescent="0.25">
      <c r="B54" s="20"/>
      <c r="C54" s="5" t="s">
        <v>251</v>
      </c>
      <c r="D54" s="6" t="s">
        <v>190</v>
      </c>
      <c r="E54" s="11">
        <v>8.5800000000000004E-4</v>
      </c>
      <c r="F54" s="1"/>
      <c r="G54" s="1"/>
      <c r="H54" s="1"/>
      <c r="I54" s="1"/>
      <c r="J54" s="1"/>
      <c r="K54" s="1"/>
      <c r="L54" s="1"/>
      <c r="M54" s="1"/>
      <c r="N54" s="18"/>
    </row>
    <row r="55" spans="2:14" ht="15" customHeight="1" x14ac:dyDescent="0.25">
      <c r="B55" s="20"/>
      <c r="C55" s="5" t="s">
        <v>247</v>
      </c>
      <c r="D55" s="6" t="s">
        <v>190</v>
      </c>
      <c r="E55" s="11">
        <v>4.3100000000000001E-4</v>
      </c>
      <c r="F55" s="1"/>
      <c r="G55" s="1"/>
      <c r="H55" s="1"/>
      <c r="I55" s="1"/>
      <c r="J55" s="1"/>
      <c r="K55" s="1"/>
      <c r="L55" s="1"/>
      <c r="M55" s="1"/>
      <c r="N55" s="18"/>
    </row>
    <row r="56" spans="2:14" ht="15.75" customHeight="1" x14ac:dyDescent="0.25">
      <c r="B56" s="20"/>
      <c r="C56" s="7" t="s">
        <v>48</v>
      </c>
      <c r="D56" s="8"/>
      <c r="E56" s="12">
        <v>7.9575000000000007E-2</v>
      </c>
      <c r="F56" s="1"/>
      <c r="G56" s="1"/>
      <c r="H56" s="1"/>
      <c r="I56" s="1"/>
      <c r="J56" s="1"/>
      <c r="K56" s="1"/>
      <c r="L56" s="1"/>
      <c r="M56" s="1"/>
      <c r="N56" s="18"/>
    </row>
    <row r="57" spans="2:14" ht="15" customHeight="1" x14ac:dyDescent="0.25">
      <c r="B57" s="20"/>
      <c r="C57" s="5" t="s">
        <v>174</v>
      </c>
      <c r="D57" s="6" t="s">
        <v>190</v>
      </c>
      <c r="E57" s="11">
        <v>1.6892000000000001E-2</v>
      </c>
      <c r="F57" s="1"/>
      <c r="G57" s="1"/>
      <c r="H57" s="1"/>
      <c r="I57" s="1"/>
      <c r="J57" s="1"/>
      <c r="K57" s="1"/>
      <c r="L57" s="1"/>
      <c r="M57" s="1"/>
      <c r="N57" s="18"/>
    </row>
    <row r="58" spans="2:14" ht="15.75" customHeight="1" x14ac:dyDescent="0.25">
      <c r="B58" s="20"/>
      <c r="C58" s="5" t="s">
        <v>175</v>
      </c>
      <c r="D58" s="6" t="s">
        <v>190</v>
      </c>
      <c r="E58" s="11">
        <v>1.6848999999999999E-2</v>
      </c>
      <c r="F58" s="1"/>
      <c r="G58" s="1"/>
      <c r="H58" s="1"/>
      <c r="I58" s="1"/>
      <c r="J58" s="1"/>
      <c r="K58" s="1"/>
      <c r="L58" s="1"/>
      <c r="M58" s="1"/>
      <c r="N58" s="18"/>
    </row>
    <row r="59" spans="2:14" ht="15" customHeight="1" x14ac:dyDescent="0.25">
      <c r="B59" s="20"/>
      <c r="C59" s="5" t="s">
        <v>176</v>
      </c>
      <c r="D59" s="6" t="s">
        <v>190</v>
      </c>
      <c r="E59" s="11">
        <v>1.2697999999999999E-2</v>
      </c>
      <c r="F59" s="1"/>
      <c r="G59" s="1"/>
      <c r="H59" s="1"/>
      <c r="I59" s="1"/>
      <c r="J59" s="1"/>
      <c r="K59" s="1"/>
      <c r="L59" s="1"/>
      <c r="M59" s="1"/>
      <c r="N59" s="18"/>
    </row>
    <row r="60" spans="2:14" ht="15.75" customHeight="1" x14ac:dyDescent="0.25">
      <c r="B60" s="20"/>
      <c r="C60" s="5" t="s">
        <v>177</v>
      </c>
      <c r="D60" s="6" t="s">
        <v>190</v>
      </c>
      <c r="E60" s="11">
        <v>4.228E-3</v>
      </c>
      <c r="F60" s="1"/>
      <c r="G60" s="1"/>
      <c r="H60" s="1"/>
      <c r="I60" s="1"/>
      <c r="J60" s="1"/>
      <c r="K60" s="1"/>
      <c r="L60" s="1"/>
      <c r="M60" s="1"/>
      <c r="N60" s="18"/>
    </row>
    <row r="61" spans="2:14" ht="15" customHeight="1" x14ac:dyDescent="0.25">
      <c r="B61" s="20"/>
      <c r="C61" s="5" t="s">
        <v>178</v>
      </c>
      <c r="D61" s="6" t="s">
        <v>190</v>
      </c>
      <c r="E61" s="11">
        <v>4.17E-4</v>
      </c>
      <c r="F61" s="1"/>
      <c r="G61" s="1"/>
      <c r="H61" s="1"/>
      <c r="I61" s="1"/>
      <c r="J61" s="1"/>
      <c r="K61" s="1"/>
      <c r="L61" s="1"/>
      <c r="M61" s="1"/>
      <c r="N61" s="18"/>
    </row>
    <row r="62" spans="2:14" ht="15" customHeight="1" x14ac:dyDescent="0.25">
      <c r="B62" s="20"/>
      <c r="C62" s="7" t="s">
        <v>157</v>
      </c>
      <c r="D62" s="8"/>
      <c r="E62" s="12">
        <v>5.1083999999999997E-2</v>
      </c>
      <c r="F62" s="1"/>
      <c r="G62" s="1"/>
      <c r="H62" s="1"/>
      <c r="I62" s="1"/>
      <c r="J62" s="1"/>
      <c r="K62" s="1"/>
      <c r="L62" s="1"/>
      <c r="M62" s="1"/>
      <c r="N62" s="18"/>
    </row>
    <row r="63" spans="2:14" ht="15" customHeight="1" x14ac:dyDescent="0.25">
      <c r="B63" s="20"/>
      <c r="C63" s="5" t="s">
        <v>31</v>
      </c>
      <c r="D63" s="6"/>
      <c r="E63" s="11">
        <v>2.6203000000000001E-2</v>
      </c>
      <c r="F63" s="1"/>
      <c r="G63" s="1"/>
      <c r="H63" s="1"/>
      <c r="I63" s="1"/>
      <c r="J63" s="1"/>
      <c r="K63" s="1"/>
      <c r="L63" s="1"/>
      <c r="M63" s="1"/>
      <c r="N63" s="18"/>
    </row>
    <row r="64" spans="2:14" ht="15" customHeight="1" x14ac:dyDescent="0.25">
      <c r="B64" s="20"/>
      <c r="C64" s="7" t="s">
        <v>32</v>
      </c>
      <c r="D64" s="8"/>
      <c r="E64" s="12">
        <v>2.6203000000000001E-2</v>
      </c>
      <c r="F64" s="1"/>
      <c r="G64" s="1"/>
      <c r="H64" s="1"/>
      <c r="I64" s="1"/>
      <c r="J64" s="1"/>
      <c r="K64" s="1"/>
      <c r="L64" s="1"/>
      <c r="M64" s="1"/>
      <c r="N64" s="18"/>
    </row>
    <row r="65" spans="2:14" ht="15" customHeight="1" x14ac:dyDescent="0.25">
      <c r="B65" s="20"/>
      <c r="C65" s="5"/>
      <c r="D65" s="6"/>
      <c r="E65" s="11"/>
      <c r="F65" s="1"/>
      <c r="G65" s="1"/>
      <c r="H65" s="1"/>
      <c r="I65" s="1"/>
      <c r="J65" s="1"/>
      <c r="K65" s="1"/>
      <c r="L65" s="1"/>
      <c r="M65" s="1"/>
      <c r="N65" s="18"/>
    </row>
    <row r="66" spans="2:14" ht="15" customHeight="1" x14ac:dyDescent="0.25">
      <c r="B66" s="20"/>
      <c r="C66" s="7" t="s">
        <v>33</v>
      </c>
      <c r="D66" s="8"/>
      <c r="E66" s="12">
        <v>1.9599999999999999E-4</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 customHeight="1" x14ac:dyDescent="0.25">
      <c r="B68" s="20"/>
      <c r="C68" s="9" t="s">
        <v>34</v>
      </c>
      <c r="D68" s="10"/>
      <c r="E68" s="13">
        <v>1</v>
      </c>
      <c r="F68" s="1"/>
      <c r="G68" s="1"/>
      <c r="H68" s="1"/>
      <c r="I68" s="1"/>
      <c r="J68" s="1"/>
      <c r="K68" s="1"/>
      <c r="L68" s="1"/>
      <c r="M68" s="1"/>
      <c r="N68" s="18"/>
    </row>
    <row r="69" spans="2:14" ht="15" customHeight="1" x14ac:dyDescent="0.25">
      <c r="B69" s="20"/>
      <c r="C69" s="1"/>
      <c r="D69" s="1"/>
      <c r="E69" s="1"/>
      <c r="F69" s="1"/>
      <c r="G69" s="1"/>
      <c r="H69" s="1"/>
      <c r="I69" s="1"/>
      <c r="J69" s="1"/>
      <c r="K69" s="1"/>
      <c r="L69" s="1"/>
      <c r="M69" s="1"/>
      <c r="N69" s="18"/>
    </row>
    <row r="70" spans="2:14" ht="15" customHeight="1" thickBot="1" x14ac:dyDescent="0.3">
      <c r="B70" s="21"/>
      <c r="C70" s="22"/>
      <c r="D70" s="22"/>
      <c r="E70" s="22"/>
      <c r="F70" s="22"/>
      <c r="G70" s="22"/>
      <c r="H70" s="22"/>
      <c r="I70" s="22"/>
      <c r="J70" s="22"/>
      <c r="K70" s="22"/>
      <c r="L70" s="22"/>
      <c r="M70" s="22"/>
      <c r="N70" s="23"/>
    </row>
    <row r="71" spans="2:14" ht="15" customHeight="1" thickBot="1" x14ac:dyDescent="0.3"/>
    <row r="72" spans="2:14" ht="15" customHeight="1" x14ac:dyDescent="0.25">
      <c r="B72" s="41" t="s">
        <v>337</v>
      </c>
      <c r="C72" s="42"/>
      <c r="D72" s="42"/>
      <c r="E72" s="42"/>
      <c r="F72" s="42"/>
      <c r="G72" s="42"/>
      <c r="H72" s="42"/>
      <c r="I72" s="42"/>
      <c r="J72" s="42"/>
      <c r="K72" s="42"/>
      <c r="L72" s="42"/>
      <c r="M72" s="42"/>
      <c r="N72" s="43"/>
    </row>
    <row r="73" spans="2:14" ht="15" customHeight="1" x14ac:dyDescent="0.25">
      <c r="B73" s="44"/>
      <c r="C73" s="45"/>
      <c r="D73" s="45"/>
      <c r="E73" s="45"/>
      <c r="F73" s="45"/>
      <c r="G73" s="45"/>
      <c r="H73" s="45"/>
      <c r="I73" s="45"/>
      <c r="J73" s="45"/>
      <c r="K73" s="45"/>
      <c r="L73" s="45"/>
      <c r="M73" s="45"/>
      <c r="N73" s="46"/>
    </row>
    <row r="74" spans="2:14" ht="15" customHeight="1" x14ac:dyDescent="0.25">
      <c r="B74" s="44"/>
      <c r="C74" s="45"/>
      <c r="D74" s="45"/>
      <c r="E74" s="45"/>
      <c r="F74" s="45"/>
      <c r="G74" s="45"/>
      <c r="H74" s="45"/>
      <c r="I74" s="45"/>
      <c r="J74" s="45"/>
      <c r="K74" s="45"/>
      <c r="L74" s="45"/>
      <c r="M74" s="45"/>
      <c r="N74" s="46"/>
    </row>
    <row r="75" spans="2:14" ht="15" customHeight="1" thickBot="1" x14ac:dyDescent="0.3">
      <c r="B75" s="47"/>
      <c r="C75" s="48"/>
      <c r="D75" s="48"/>
      <c r="E75" s="48"/>
      <c r="F75" s="48"/>
      <c r="G75" s="48"/>
      <c r="H75" s="48"/>
      <c r="I75" s="48"/>
      <c r="J75" s="48"/>
      <c r="K75" s="48"/>
      <c r="L75" s="48"/>
      <c r="M75" s="48"/>
      <c r="N75" s="49"/>
    </row>
    <row r="76" spans="2:14" ht="15" customHeight="1" thickBot="1" x14ac:dyDescent="0.3"/>
    <row r="77" spans="2:14" ht="126.75" customHeight="1" thickBot="1" x14ac:dyDescent="0.3">
      <c r="B77" s="50" t="s">
        <v>336</v>
      </c>
      <c r="C77" s="51"/>
      <c r="D77" s="51"/>
      <c r="E77" s="51"/>
      <c r="F77" s="51"/>
      <c r="G77" s="51"/>
      <c r="H77" s="51"/>
      <c r="I77" s="51"/>
      <c r="J77" s="51"/>
      <c r="K77" s="51"/>
      <c r="L77" s="51"/>
      <c r="M77" s="51"/>
      <c r="N77" s="52"/>
    </row>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40:E55">
    <sortCondition descending="1" ref="E40"/>
  </sortState>
  <mergeCells count="7">
    <mergeCell ref="B72:N75"/>
    <mergeCell ref="B77:N77"/>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949B-AB78-4CE7-A70C-E11FDFAD8EBE}">
  <dimension ref="B1:N70"/>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186</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187</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42</v>
      </c>
      <c r="D8" s="6" t="s">
        <v>14</v>
      </c>
      <c r="E8" s="11">
        <v>0.113442</v>
      </c>
      <c r="F8" s="1"/>
      <c r="G8" s="39" t="s">
        <v>335</v>
      </c>
      <c r="H8" s="29">
        <v>0.96468200000000004</v>
      </c>
      <c r="I8" s="1"/>
      <c r="J8" s="24" t="s">
        <v>35</v>
      </c>
      <c r="K8" s="24" t="s">
        <v>3</v>
      </c>
      <c r="L8" s="1"/>
      <c r="M8" s="1"/>
      <c r="N8" s="18"/>
    </row>
    <row r="9" spans="2:14" ht="15" customHeight="1" x14ac:dyDescent="0.25">
      <c r="B9" s="20"/>
      <c r="C9" s="5" t="s">
        <v>15</v>
      </c>
      <c r="D9" s="6" t="s">
        <v>14</v>
      </c>
      <c r="E9" s="11">
        <v>6.7127000000000006E-2</v>
      </c>
      <c r="F9" s="1"/>
      <c r="G9" s="24" t="s">
        <v>89</v>
      </c>
      <c r="H9" s="29">
        <v>3.5318000000000002E-2</v>
      </c>
      <c r="I9" s="1"/>
      <c r="J9" s="24" t="s">
        <v>33</v>
      </c>
      <c r="K9" s="29">
        <v>-3.9179999999999996E-3</v>
      </c>
      <c r="L9" s="1"/>
      <c r="M9" s="1"/>
      <c r="N9" s="18"/>
    </row>
    <row r="10" spans="2:14" ht="15" customHeight="1" x14ac:dyDescent="0.25">
      <c r="B10" s="20"/>
      <c r="C10" s="5" t="s">
        <v>127</v>
      </c>
      <c r="D10" s="6" t="s">
        <v>14</v>
      </c>
      <c r="E10" s="11">
        <v>3.8262999999999998E-2</v>
      </c>
      <c r="F10" s="1"/>
      <c r="G10" s="1"/>
      <c r="H10" s="1"/>
      <c r="I10" s="1"/>
      <c r="J10" s="24" t="s">
        <v>36</v>
      </c>
      <c r="K10" s="29">
        <v>6.4133999999999997E-2</v>
      </c>
      <c r="L10" s="1"/>
      <c r="M10" s="1"/>
      <c r="N10" s="18"/>
    </row>
    <row r="11" spans="2:14" ht="15" customHeight="1" x14ac:dyDescent="0.25">
      <c r="B11" s="20"/>
      <c r="C11" s="5" t="s">
        <v>130</v>
      </c>
      <c r="D11" s="6" t="s">
        <v>14</v>
      </c>
      <c r="E11" s="11">
        <v>1.5608E-2</v>
      </c>
      <c r="F11" s="1"/>
      <c r="G11" s="1"/>
      <c r="H11" s="1"/>
      <c r="I11" s="1"/>
      <c r="J11" s="24" t="s">
        <v>37</v>
      </c>
      <c r="K11" s="29">
        <v>0.253579</v>
      </c>
      <c r="L11" s="1"/>
      <c r="M11" s="1"/>
      <c r="N11" s="18"/>
    </row>
    <row r="12" spans="2:14" ht="15" customHeight="1" x14ac:dyDescent="0.25">
      <c r="B12" s="20"/>
      <c r="C12" s="5" t="s">
        <v>129</v>
      </c>
      <c r="D12" s="6" t="s">
        <v>14</v>
      </c>
      <c r="E12" s="11">
        <v>1.2935E-2</v>
      </c>
      <c r="F12" s="1"/>
      <c r="G12" s="1"/>
      <c r="H12" s="1"/>
      <c r="I12" s="1"/>
      <c r="J12" s="24" t="s">
        <v>38</v>
      </c>
      <c r="K12" s="29">
        <v>0.46554099999999998</v>
      </c>
      <c r="L12" s="1"/>
      <c r="M12" s="1"/>
      <c r="N12" s="18"/>
    </row>
    <row r="13" spans="2:14" ht="15" customHeight="1" x14ac:dyDescent="0.25">
      <c r="B13" s="20"/>
      <c r="C13" s="5" t="s">
        <v>170</v>
      </c>
      <c r="D13" s="6" t="s">
        <v>14</v>
      </c>
      <c r="E13" s="11">
        <v>6.2040000000000003E-3</v>
      </c>
      <c r="F13" s="1"/>
      <c r="G13" s="1"/>
      <c r="H13" s="1"/>
      <c r="I13" s="1"/>
      <c r="J13" s="24" t="s">
        <v>158</v>
      </c>
      <c r="K13" s="29">
        <v>0.100039</v>
      </c>
      <c r="L13" s="1"/>
      <c r="M13" s="1"/>
      <c r="N13" s="18"/>
    </row>
    <row r="14" spans="2:14" ht="15.75" customHeight="1" x14ac:dyDescent="0.25">
      <c r="B14" s="20"/>
      <c r="C14" s="7" t="s">
        <v>16</v>
      </c>
      <c r="D14" s="8"/>
      <c r="E14" s="12">
        <v>0.253579</v>
      </c>
      <c r="F14" s="1"/>
      <c r="G14" s="1"/>
      <c r="H14" s="1"/>
      <c r="I14" s="1"/>
      <c r="J14" s="24" t="s">
        <v>23</v>
      </c>
      <c r="K14" s="29">
        <v>2.696E-3</v>
      </c>
      <c r="L14" s="1"/>
      <c r="M14" s="1"/>
      <c r="N14" s="18"/>
    </row>
    <row r="15" spans="2:14" ht="15" customHeight="1" x14ac:dyDescent="0.25">
      <c r="B15" s="20"/>
      <c r="C15" s="5" t="s">
        <v>62</v>
      </c>
      <c r="D15" s="6" t="s">
        <v>14</v>
      </c>
      <c r="E15" s="11">
        <v>6.4631999999999995E-2</v>
      </c>
      <c r="F15" s="1"/>
      <c r="G15" s="1"/>
      <c r="H15" s="1"/>
      <c r="I15" s="1"/>
      <c r="J15" s="24" t="s">
        <v>49</v>
      </c>
      <c r="K15" s="29">
        <v>0.111447</v>
      </c>
      <c r="L15" s="1"/>
      <c r="M15" s="1"/>
      <c r="N15" s="18"/>
    </row>
    <row r="16" spans="2:14" ht="15" customHeight="1" x14ac:dyDescent="0.25">
      <c r="B16" s="20"/>
      <c r="C16" s="5" t="s">
        <v>143</v>
      </c>
      <c r="D16" s="6" t="s">
        <v>14</v>
      </c>
      <c r="E16" s="11">
        <v>2.5080999999999999E-2</v>
      </c>
      <c r="F16" s="1"/>
      <c r="G16" s="1"/>
      <c r="H16" s="1"/>
      <c r="I16" s="1"/>
      <c r="J16" s="24" t="s">
        <v>166</v>
      </c>
      <c r="K16" s="29">
        <v>6.4819999999999999E-3</v>
      </c>
      <c r="L16" s="1"/>
      <c r="M16" s="1"/>
      <c r="N16" s="18"/>
    </row>
    <row r="17" spans="2:14" ht="15" customHeight="1" x14ac:dyDescent="0.25">
      <c r="B17" s="20"/>
      <c r="C17" s="5" t="s">
        <v>144</v>
      </c>
      <c r="D17" s="6" t="s">
        <v>14</v>
      </c>
      <c r="E17" s="11">
        <v>1.0326E-2</v>
      </c>
      <c r="F17" s="1"/>
      <c r="G17" s="1"/>
      <c r="H17" s="1"/>
      <c r="I17" s="1"/>
      <c r="J17" s="1"/>
      <c r="K17" s="1"/>
      <c r="L17" s="1"/>
      <c r="M17" s="1"/>
      <c r="N17" s="18"/>
    </row>
    <row r="18" spans="2:14" ht="15.75" customHeight="1" x14ac:dyDescent="0.25">
      <c r="B18" s="20"/>
      <c r="C18" s="7" t="s">
        <v>146</v>
      </c>
      <c r="D18" s="8"/>
      <c r="E18" s="12">
        <v>0.100039</v>
      </c>
      <c r="F18" s="1"/>
      <c r="G18" s="1"/>
      <c r="H18" s="1"/>
      <c r="I18" s="1"/>
      <c r="J18" s="1"/>
      <c r="K18" s="1"/>
      <c r="L18" s="1"/>
      <c r="M18" s="1"/>
      <c r="N18" s="18"/>
    </row>
    <row r="19" spans="2:14" ht="15" customHeight="1" x14ac:dyDescent="0.25">
      <c r="B19" s="20"/>
      <c r="C19" s="5" t="s">
        <v>54</v>
      </c>
      <c r="D19" s="6" t="s">
        <v>18</v>
      </c>
      <c r="E19" s="11">
        <v>0.114608</v>
      </c>
      <c r="F19" s="1"/>
      <c r="G19" s="1"/>
      <c r="H19" s="1"/>
      <c r="I19" s="1"/>
      <c r="J19" s="1"/>
      <c r="K19" s="1"/>
      <c r="L19" s="1"/>
      <c r="M19" s="1"/>
      <c r="N19" s="18"/>
    </row>
    <row r="20" spans="2:14" ht="15" customHeight="1" x14ac:dyDescent="0.25">
      <c r="B20" s="20"/>
      <c r="C20" s="5" t="s">
        <v>13</v>
      </c>
      <c r="D20" s="6" t="s">
        <v>18</v>
      </c>
      <c r="E20" s="11">
        <v>0.112488</v>
      </c>
      <c r="F20" s="1"/>
      <c r="G20" s="1"/>
      <c r="H20" s="1"/>
      <c r="I20" s="1"/>
      <c r="J20" s="1"/>
      <c r="K20" s="1"/>
      <c r="L20" s="1"/>
      <c r="M20" s="1"/>
      <c r="N20" s="18"/>
    </row>
    <row r="21" spans="2:14" ht="15" customHeight="1" x14ac:dyDescent="0.25">
      <c r="B21" s="20"/>
      <c r="C21" s="5" t="s">
        <v>20</v>
      </c>
      <c r="D21" s="6" t="s">
        <v>18</v>
      </c>
      <c r="E21" s="11">
        <v>7.1220000000000006E-2</v>
      </c>
      <c r="F21" s="1"/>
      <c r="G21" s="1"/>
      <c r="H21" s="1"/>
      <c r="I21" s="1"/>
      <c r="J21" s="1"/>
      <c r="K21" s="1"/>
      <c r="L21" s="1"/>
      <c r="M21" s="1"/>
      <c r="N21" s="18"/>
    </row>
    <row r="22" spans="2:14" ht="15" customHeight="1" x14ac:dyDescent="0.25">
      <c r="B22" s="20"/>
      <c r="C22" s="5" t="s">
        <v>138</v>
      </c>
      <c r="D22" s="6" t="s">
        <v>18</v>
      </c>
      <c r="E22" s="11">
        <v>5.2324000000000002E-2</v>
      </c>
      <c r="F22" s="1"/>
      <c r="G22" s="1"/>
      <c r="H22" s="1"/>
      <c r="I22" s="1"/>
      <c r="J22" s="1"/>
      <c r="K22" s="1"/>
      <c r="L22" s="1"/>
      <c r="M22" s="1"/>
      <c r="N22" s="18"/>
    </row>
    <row r="23" spans="2:14" ht="15" customHeight="1" x14ac:dyDescent="0.25">
      <c r="B23" s="20"/>
      <c r="C23" s="5" t="s">
        <v>118</v>
      </c>
      <c r="D23" s="6" t="s">
        <v>78</v>
      </c>
      <c r="E23" s="11">
        <v>3.5318000000000002E-2</v>
      </c>
      <c r="F23" s="1"/>
      <c r="G23" s="1"/>
      <c r="H23" s="1"/>
      <c r="I23" s="1"/>
      <c r="J23" s="1"/>
      <c r="K23" s="1"/>
      <c r="L23" s="1"/>
      <c r="M23" s="1"/>
      <c r="N23" s="18"/>
    </row>
    <row r="24" spans="2:14" ht="15" customHeight="1" x14ac:dyDescent="0.25">
      <c r="B24" s="20"/>
      <c r="C24" s="5" t="s">
        <v>17</v>
      </c>
      <c r="D24" s="6" t="s">
        <v>18</v>
      </c>
      <c r="E24" s="11">
        <v>3.1165000000000002E-2</v>
      </c>
      <c r="F24" s="1"/>
      <c r="G24" s="58" t="s">
        <v>110</v>
      </c>
      <c r="H24" s="59"/>
      <c r="I24" s="59"/>
      <c r="J24" s="59"/>
      <c r="K24" s="59"/>
      <c r="L24" s="40">
        <v>175.61933888955619</v>
      </c>
      <c r="M24" s="27"/>
      <c r="N24" s="28"/>
    </row>
    <row r="25" spans="2:14" ht="15" customHeight="1" x14ac:dyDescent="0.25">
      <c r="B25" s="20"/>
      <c r="C25" s="5" t="s">
        <v>58</v>
      </c>
      <c r="D25" s="6" t="s">
        <v>18</v>
      </c>
      <c r="E25" s="11">
        <v>2.0922E-2</v>
      </c>
      <c r="F25" s="1"/>
      <c r="G25" s="1"/>
      <c r="H25" s="1"/>
      <c r="I25" s="1"/>
      <c r="J25" s="1"/>
      <c r="K25" s="1"/>
      <c r="L25" s="1"/>
      <c r="M25" s="1"/>
      <c r="N25" s="18"/>
    </row>
    <row r="26" spans="2:14" ht="15" customHeight="1" x14ac:dyDescent="0.25">
      <c r="B26" s="20"/>
      <c r="C26" s="5" t="s">
        <v>43</v>
      </c>
      <c r="D26" s="6" t="s">
        <v>18</v>
      </c>
      <c r="E26" s="11">
        <v>1.4411E-2</v>
      </c>
      <c r="F26" s="1"/>
      <c r="G26" s="58" t="s">
        <v>7</v>
      </c>
      <c r="H26" s="59"/>
      <c r="I26" s="59"/>
      <c r="J26" s="59"/>
      <c r="K26" s="59"/>
      <c r="L26" s="59"/>
      <c r="M26" s="59"/>
      <c r="N26" s="60"/>
    </row>
    <row r="27" spans="2:14" ht="15" customHeight="1" x14ac:dyDescent="0.25">
      <c r="B27" s="20"/>
      <c r="C27" s="5" t="s">
        <v>21</v>
      </c>
      <c r="D27" s="6" t="s">
        <v>18</v>
      </c>
      <c r="E27" s="11">
        <v>1.3084999999999999E-2</v>
      </c>
      <c r="F27" s="1"/>
      <c r="G27" s="1"/>
      <c r="H27" s="1"/>
      <c r="I27" s="1"/>
      <c r="J27" s="1"/>
      <c r="K27" s="1"/>
      <c r="L27" s="1"/>
      <c r="M27" s="1"/>
      <c r="N27" s="18"/>
    </row>
    <row r="28" spans="2:14" ht="15.75" customHeight="1" x14ac:dyDescent="0.25">
      <c r="B28" s="20"/>
      <c r="C28" s="7" t="s">
        <v>22</v>
      </c>
      <c r="D28" s="8"/>
      <c r="E28" s="12">
        <v>0.46554099999999998</v>
      </c>
      <c r="F28" s="1"/>
      <c r="G28" s="1"/>
      <c r="H28" s="1"/>
      <c r="I28" s="1"/>
      <c r="J28" s="1"/>
      <c r="K28" s="1"/>
      <c r="L28" s="1"/>
      <c r="M28" s="1"/>
      <c r="N28" s="18"/>
    </row>
    <row r="29" spans="2:14" ht="15" customHeight="1" x14ac:dyDescent="0.25">
      <c r="B29" s="20"/>
      <c r="C29" s="5" t="s">
        <v>23</v>
      </c>
      <c r="D29" s="6"/>
      <c r="E29" s="11">
        <v>2.696E-3</v>
      </c>
      <c r="F29" s="1"/>
      <c r="G29" s="1"/>
      <c r="H29" s="1"/>
      <c r="I29" s="1"/>
      <c r="J29" s="1"/>
      <c r="K29" s="1"/>
      <c r="L29" s="1"/>
      <c r="M29" s="1"/>
      <c r="N29" s="18"/>
    </row>
    <row r="30" spans="2:14" ht="15.75" customHeight="1" x14ac:dyDescent="0.25">
      <c r="B30" s="20"/>
      <c r="C30" s="7" t="s">
        <v>24</v>
      </c>
      <c r="D30" s="8"/>
      <c r="E30" s="12">
        <v>2.696E-3</v>
      </c>
      <c r="F30" s="1"/>
      <c r="G30" s="1"/>
      <c r="H30" s="1"/>
      <c r="I30" s="1"/>
      <c r="J30" s="1"/>
      <c r="K30" s="1"/>
      <c r="L30" s="1"/>
      <c r="M30" s="1"/>
      <c r="N30" s="18"/>
    </row>
    <row r="31" spans="2:14" ht="15" customHeight="1" x14ac:dyDescent="0.25">
      <c r="B31" s="20"/>
      <c r="C31" s="5" t="s">
        <v>250</v>
      </c>
      <c r="D31" s="6" t="s">
        <v>190</v>
      </c>
      <c r="E31" s="11">
        <v>3.2599999999999997E-2</v>
      </c>
      <c r="F31" s="1"/>
      <c r="G31" s="1"/>
      <c r="H31" s="1"/>
      <c r="I31" s="1"/>
      <c r="J31" s="1"/>
      <c r="K31" s="1"/>
      <c r="L31" s="1"/>
      <c r="M31" s="1"/>
      <c r="N31" s="18"/>
    </row>
    <row r="32" spans="2:14" ht="15.75" customHeight="1" x14ac:dyDescent="0.25">
      <c r="B32" s="20"/>
      <c r="C32" s="5" t="s">
        <v>262</v>
      </c>
      <c r="D32" s="6" t="s">
        <v>190</v>
      </c>
      <c r="E32" s="11">
        <v>3.0058000000000001E-2</v>
      </c>
      <c r="F32" s="1"/>
      <c r="G32" s="1"/>
      <c r="H32" s="1"/>
      <c r="I32" s="1"/>
      <c r="J32" s="1"/>
      <c r="K32" s="1"/>
      <c r="L32" s="1"/>
      <c r="M32" s="1"/>
      <c r="N32" s="18"/>
    </row>
    <row r="33" spans="2:14" ht="15" customHeight="1" x14ac:dyDescent="0.25">
      <c r="B33" s="20"/>
      <c r="C33" s="5" t="s">
        <v>256</v>
      </c>
      <c r="D33" s="6" t="s">
        <v>190</v>
      </c>
      <c r="E33" s="11">
        <v>6.6620000000000004E-3</v>
      </c>
      <c r="F33" s="1"/>
      <c r="G33" s="1"/>
      <c r="H33" s="1"/>
      <c r="I33" s="1"/>
      <c r="J33" s="1"/>
      <c r="K33" s="1"/>
      <c r="L33" s="1"/>
      <c r="M33" s="1"/>
      <c r="N33" s="18"/>
    </row>
    <row r="34" spans="2:14" ht="15.75" customHeight="1" x14ac:dyDescent="0.25">
      <c r="B34" s="20"/>
      <c r="C34" s="5" t="s">
        <v>197</v>
      </c>
      <c r="D34" s="6" t="s">
        <v>190</v>
      </c>
      <c r="E34" s="11">
        <v>6.6519999999999999E-3</v>
      </c>
      <c r="F34" s="1"/>
      <c r="G34" s="1"/>
      <c r="H34" s="1"/>
      <c r="I34" s="1"/>
      <c r="J34" s="1"/>
      <c r="K34" s="1"/>
      <c r="L34" s="1"/>
      <c r="M34" s="1"/>
      <c r="N34" s="18"/>
    </row>
    <row r="35" spans="2:14" ht="15" customHeight="1" x14ac:dyDescent="0.25">
      <c r="B35" s="20"/>
      <c r="C35" s="5" t="s">
        <v>258</v>
      </c>
      <c r="D35" s="6" t="s">
        <v>190</v>
      </c>
      <c r="E35" s="11">
        <v>6.6439999999999997E-3</v>
      </c>
      <c r="F35" s="1"/>
      <c r="G35" s="1"/>
      <c r="H35" s="1"/>
      <c r="I35" s="1"/>
      <c r="J35" s="1"/>
      <c r="K35" s="1"/>
      <c r="L35" s="1"/>
      <c r="M35" s="1"/>
      <c r="N35" s="18"/>
    </row>
    <row r="36" spans="2:14" ht="15.75" customHeight="1" x14ac:dyDescent="0.25">
      <c r="B36" s="20"/>
      <c r="C36" s="5" t="s">
        <v>254</v>
      </c>
      <c r="D36" s="6" t="s">
        <v>190</v>
      </c>
      <c r="E36" s="11">
        <v>6.6410000000000002E-3</v>
      </c>
      <c r="F36" s="1"/>
      <c r="G36" s="1"/>
      <c r="H36" s="1"/>
      <c r="I36" s="1"/>
      <c r="J36" s="1"/>
      <c r="K36" s="1"/>
      <c r="L36" s="1"/>
      <c r="M36" s="1"/>
      <c r="N36" s="18"/>
    </row>
    <row r="37" spans="2:14" ht="15" customHeight="1" x14ac:dyDescent="0.25">
      <c r="B37" s="20"/>
      <c r="C37" s="5" t="s">
        <v>257</v>
      </c>
      <c r="D37" s="6" t="s">
        <v>190</v>
      </c>
      <c r="E37" s="11">
        <v>6.6400000000000001E-3</v>
      </c>
      <c r="F37" s="1"/>
      <c r="G37" s="1"/>
      <c r="H37" s="1"/>
      <c r="I37" s="1"/>
      <c r="J37" s="1"/>
      <c r="K37" s="1"/>
      <c r="L37" s="1"/>
      <c r="M37" s="1"/>
      <c r="N37" s="18"/>
    </row>
    <row r="38" spans="2:14" ht="15.75" customHeight="1" x14ac:dyDescent="0.25">
      <c r="B38" s="20"/>
      <c r="C38" s="5" t="s">
        <v>260</v>
      </c>
      <c r="D38" s="6" t="s">
        <v>190</v>
      </c>
      <c r="E38" s="11">
        <v>6.6389999999999999E-3</v>
      </c>
      <c r="F38" s="1"/>
      <c r="G38" s="1"/>
      <c r="H38" s="1"/>
      <c r="I38" s="1"/>
      <c r="J38" s="1"/>
      <c r="K38" s="1"/>
      <c r="L38" s="1"/>
      <c r="M38" s="1"/>
      <c r="N38" s="18"/>
    </row>
    <row r="39" spans="2:14" ht="15" customHeight="1" x14ac:dyDescent="0.25">
      <c r="B39" s="20"/>
      <c r="C39" s="5" t="s">
        <v>261</v>
      </c>
      <c r="D39" s="6" t="s">
        <v>190</v>
      </c>
      <c r="E39" s="11">
        <v>3.898E-3</v>
      </c>
      <c r="F39" s="1"/>
      <c r="G39" s="1"/>
      <c r="H39" s="1"/>
      <c r="I39" s="1"/>
      <c r="J39" s="1"/>
      <c r="K39" s="1"/>
      <c r="L39" s="1"/>
      <c r="M39" s="1"/>
      <c r="N39" s="18"/>
    </row>
    <row r="40" spans="2:14" ht="15" customHeight="1" x14ac:dyDescent="0.25">
      <c r="B40" s="20"/>
      <c r="C40" s="5" t="s">
        <v>259</v>
      </c>
      <c r="D40" s="6" t="s">
        <v>190</v>
      </c>
      <c r="E40" s="11">
        <v>2.6250000000000002E-3</v>
      </c>
      <c r="F40" s="1"/>
      <c r="G40" s="1"/>
      <c r="H40" s="1"/>
      <c r="I40" s="1"/>
      <c r="J40" s="1"/>
      <c r="K40" s="1"/>
      <c r="L40" s="1"/>
      <c r="M40" s="1"/>
      <c r="N40" s="18"/>
    </row>
    <row r="41" spans="2:14" ht="15" customHeight="1" x14ac:dyDescent="0.25">
      <c r="B41" s="20"/>
      <c r="C41" s="5" t="s">
        <v>255</v>
      </c>
      <c r="D41" s="6" t="s">
        <v>190</v>
      </c>
      <c r="E41" s="11">
        <v>1.3190000000000001E-3</v>
      </c>
      <c r="F41" s="1"/>
      <c r="G41" s="1"/>
      <c r="H41" s="1"/>
      <c r="I41" s="1"/>
      <c r="J41" s="1"/>
      <c r="K41" s="1"/>
      <c r="L41" s="1"/>
      <c r="M41" s="1"/>
      <c r="N41" s="18"/>
    </row>
    <row r="42" spans="2:14" ht="15" customHeight="1" x14ac:dyDescent="0.25">
      <c r="B42" s="20"/>
      <c r="C42" s="5" t="s">
        <v>206</v>
      </c>
      <c r="D42" s="6" t="s">
        <v>190</v>
      </c>
      <c r="E42" s="11">
        <v>1.0690000000000001E-3</v>
      </c>
      <c r="F42" s="1"/>
      <c r="G42" s="1"/>
      <c r="H42" s="1"/>
      <c r="I42" s="1"/>
      <c r="J42" s="1"/>
      <c r="K42" s="1"/>
      <c r="L42" s="1"/>
      <c r="M42" s="1"/>
      <c r="N42" s="18"/>
    </row>
    <row r="43" spans="2:14" ht="15" customHeight="1" x14ac:dyDescent="0.25">
      <c r="B43" s="20"/>
      <c r="C43" s="7" t="s">
        <v>48</v>
      </c>
      <c r="D43" s="8"/>
      <c r="E43" s="12">
        <v>0.111447</v>
      </c>
      <c r="F43" s="1"/>
      <c r="G43" s="1"/>
      <c r="H43" s="1"/>
      <c r="I43" s="1"/>
      <c r="J43" s="1"/>
      <c r="K43" s="1"/>
      <c r="L43" s="1"/>
      <c r="M43" s="1"/>
      <c r="N43" s="18"/>
    </row>
    <row r="44" spans="2:14" ht="15" customHeight="1" x14ac:dyDescent="0.25">
      <c r="B44" s="20"/>
      <c r="C44" s="5" t="s">
        <v>31</v>
      </c>
      <c r="D44" s="6"/>
      <c r="E44" s="11">
        <v>6.4133999999999997E-2</v>
      </c>
      <c r="F44" s="1"/>
      <c r="G44" s="1"/>
      <c r="H44" s="1"/>
      <c r="I44" s="1"/>
      <c r="J44" s="1"/>
      <c r="K44" s="1"/>
      <c r="L44" s="1"/>
      <c r="M44" s="1"/>
      <c r="N44" s="18"/>
    </row>
    <row r="45" spans="2:14" ht="15" customHeight="1" x14ac:dyDescent="0.25">
      <c r="B45" s="20"/>
      <c r="C45" s="7" t="s">
        <v>32</v>
      </c>
      <c r="D45" s="8"/>
      <c r="E45" s="12">
        <v>6.4133999999999997E-2</v>
      </c>
      <c r="F45" s="1"/>
      <c r="G45" s="1"/>
      <c r="H45" s="1"/>
      <c r="I45" s="1"/>
      <c r="J45" s="1"/>
      <c r="K45" s="1"/>
      <c r="L45" s="1"/>
      <c r="M45" s="1"/>
      <c r="N45" s="18"/>
    </row>
    <row r="46" spans="2:14" ht="15" customHeight="1" x14ac:dyDescent="0.25">
      <c r="B46" s="20"/>
      <c r="C46" s="5" t="s">
        <v>53</v>
      </c>
      <c r="D46" s="6" t="s">
        <v>18</v>
      </c>
      <c r="E46" s="11">
        <v>6.4819999999999999E-3</v>
      </c>
      <c r="F46" s="1"/>
      <c r="G46" s="1"/>
      <c r="H46" s="1"/>
      <c r="I46" s="1"/>
      <c r="J46" s="1"/>
      <c r="K46" s="1"/>
      <c r="L46" s="1"/>
      <c r="M46" s="1"/>
      <c r="N46" s="18"/>
    </row>
    <row r="47" spans="2:14" ht="15" customHeight="1" x14ac:dyDescent="0.25">
      <c r="B47" s="20"/>
      <c r="C47" s="7" t="s">
        <v>165</v>
      </c>
      <c r="D47" s="8"/>
      <c r="E47" s="12">
        <v>6.4819999999999999E-3</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 customHeight="1" x14ac:dyDescent="0.25">
      <c r="B49" s="20"/>
      <c r="C49" s="7" t="s">
        <v>33</v>
      </c>
      <c r="D49" s="8"/>
      <c r="E49" s="12">
        <v>-3.9179999999999996E-3</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9" t="s">
        <v>34</v>
      </c>
      <c r="D51" s="10"/>
      <c r="E51" s="13">
        <v>1</v>
      </c>
      <c r="F51" s="1"/>
      <c r="G51" s="1"/>
      <c r="H51" s="1"/>
      <c r="I51" s="1"/>
      <c r="J51" s="1"/>
      <c r="K51" s="1"/>
      <c r="L51" s="1"/>
      <c r="M51" s="1"/>
      <c r="N51" s="18"/>
    </row>
    <row r="52" spans="2:14" ht="15" customHeight="1" x14ac:dyDescent="0.25">
      <c r="B52" s="20"/>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thickBot="1" x14ac:dyDescent="0.3"/>
    <row r="55" spans="2:14" ht="15" customHeight="1" x14ac:dyDescent="0.25">
      <c r="B55" s="41" t="s">
        <v>337</v>
      </c>
      <c r="C55" s="42"/>
      <c r="D55" s="42"/>
      <c r="E55" s="42"/>
      <c r="F55" s="42"/>
      <c r="G55" s="42"/>
      <c r="H55" s="42"/>
      <c r="I55" s="42"/>
      <c r="J55" s="42"/>
      <c r="K55" s="42"/>
      <c r="L55" s="42"/>
      <c r="M55" s="42"/>
      <c r="N55" s="43"/>
    </row>
    <row r="56" spans="2:14" ht="15" customHeight="1" x14ac:dyDescent="0.25">
      <c r="B56" s="44"/>
      <c r="C56" s="45"/>
      <c r="D56" s="45"/>
      <c r="E56" s="45"/>
      <c r="F56" s="45"/>
      <c r="G56" s="45"/>
      <c r="H56" s="45"/>
      <c r="I56" s="45"/>
      <c r="J56" s="45"/>
      <c r="K56" s="45"/>
      <c r="L56" s="45"/>
      <c r="M56" s="45"/>
      <c r="N56" s="46"/>
    </row>
    <row r="57" spans="2:14" ht="15" customHeight="1" x14ac:dyDescent="0.25">
      <c r="B57" s="44"/>
      <c r="C57" s="45"/>
      <c r="D57" s="45"/>
      <c r="E57" s="45"/>
      <c r="F57" s="45"/>
      <c r="G57" s="45"/>
      <c r="H57" s="45"/>
      <c r="I57" s="45"/>
      <c r="J57" s="45"/>
      <c r="K57" s="45"/>
      <c r="L57" s="45"/>
      <c r="M57" s="45"/>
      <c r="N57" s="46"/>
    </row>
    <row r="58" spans="2:14" ht="15" customHeight="1" thickBot="1" x14ac:dyDescent="0.3">
      <c r="B58" s="47"/>
      <c r="C58" s="48"/>
      <c r="D58" s="48"/>
      <c r="E58" s="48"/>
      <c r="F58" s="48"/>
      <c r="G58" s="48"/>
      <c r="H58" s="48"/>
      <c r="I58" s="48"/>
      <c r="J58" s="48"/>
      <c r="K58" s="48"/>
      <c r="L58" s="48"/>
      <c r="M58" s="48"/>
      <c r="N58" s="49"/>
    </row>
    <row r="59" spans="2:14" ht="15" customHeight="1" thickBot="1" x14ac:dyDescent="0.3"/>
    <row r="60" spans="2:14" ht="135.75" customHeight="1" thickBot="1" x14ac:dyDescent="0.3">
      <c r="B60" s="50" t="s">
        <v>336</v>
      </c>
      <c r="C60" s="51"/>
      <c r="D60" s="51"/>
      <c r="E60" s="51"/>
      <c r="F60" s="51"/>
      <c r="G60" s="51"/>
      <c r="H60" s="51"/>
      <c r="I60" s="51"/>
      <c r="J60" s="51"/>
      <c r="K60" s="51"/>
      <c r="L60" s="51"/>
      <c r="M60" s="51"/>
      <c r="N60" s="52"/>
    </row>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sortState ref="C31:E42">
    <sortCondition descending="1" ref="E31"/>
  </sortState>
  <mergeCells count="7">
    <mergeCell ref="B55:N58"/>
    <mergeCell ref="B60:N60"/>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C777-5EBA-41EB-9D0F-3CD53977F086}">
  <dimension ref="B1:N50"/>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113</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114</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23</v>
      </c>
      <c r="D8" s="6"/>
      <c r="E8" s="11">
        <v>2.0240000000000002E-3</v>
      </c>
      <c r="F8" s="1"/>
      <c r="G8" s="24" t="s">
        <v>4</v>
      </c>
      <c r="H8" s="25">
        <v>1</v>
      </c>
      <c r="I8" s="1"/>
      <c r="J8" s="24" t="s">
        <v>35</v>
      </c>
      <c r="K8" s="24" t="s">
        <v>3</v>
      </c>
      <c r="L8" s="1"/>
      <c r="M8" s="1"/>
      <c r="N8" s="18"/>
    </row>
    <row r="9" spans="2:14" ht="15.75" customHeight="1" x14ac:dyDescent="0.25">
      <c r="B9" s="20"/>
      <c r="C9" s="7" t="s">
        <v>24</v>
      </c>
      <c r="D9" s="8"/>
      <c r="E9" s="12">
        <v>2.0240000000000002E-3</v>
      </c>
      <c r="F9" s="1"/>
      <c r="G9" s="1"/>
      <c r="H9" s="1"/>
      <c r="I9" s="1"/>
      <c r="J9" s="24" t="s">
        <v>33</v>
      </c>
      <c r="K9" s="29">
        <v>2.8781000000000001E-2</v>
      </c>
      <c r="L9" s="1"/>
      <c r="M9" s="1"/>
      <c r="N9" s="18"/>
    </row>
    <row r="10" spans="2:14" ht="15" customHeight="1" x14ac:dyDescent="0.25">
      <c r="B10" s="20"/>
      <c r="C10" s="5" t="s">
        <v>25</v>
      </c>
      <c r="D10" s="6" t="s">
        <v>190</v>
      </c>
      <c r="E10" s="11">
        <v>0.96787100000000004</v>
      </c>
      <c r="F10" s="1"/>
      <c r="G10" s="1"/>
      <c r="H10" s="1"/>
      <c r="I10" s="1"/>
      <c r="J10" s="24" t="s">
        <v>36</v>
      </c>
      <c r="K10" s="29">
        <v>1.258E-3</v>
      </c>
      <c r="L10" s="1"/>
      <c r="M10" s="1"/>
      <c r="N10" s="18"/>
    </row>
    <row r="11" spans="2:14" ht="15" customHeight="1" x14ac:dyDescent="0.25">
      <c r="B11" s="20"/>
      <c r="C11" s="5" t="s">
        <v>106</v>
      </c>
      <c r="D11" s="6" t="s">
        <v>190</v>
      </c>
      <c r="E11" s="30">
        <v>3.3000000000000003E-5</v>
      </c>
      <c r="F11" s="1"/>
      <c r="G11" s="1"/>
      <c r="H11" s="1"/>
      <c r="I11" s="1"/>
      <c r="J11" s="24" t="s">
        <v>23</v>
      </c>
      <c r="K11" s="29">
        <v>2.0240000000000002E-3</v>
      </c>
      <c r="L11" s="1"/>
      <c r="M11" s="1"/>
      <c r="N11" s="18"/>
    </row>
    <row r="12" spans="2:14" ht="15" customHeight="1" x14ac:dyDescent="0.25">
      <c r="B12" s="20"/>
      <c r="C12" s="5" t="s">
        <v>115</v>
      </c>
      <c r="D12" s="6" t="s">
        <v>190</v>
      </c>
      <c r="E12" s="30">
        <v>3.3000000000000003E-5</v>
      </c>
      <c r="F12" s="1"/>
      <c r="G12" s="1"/>
      <c r="H12" s="1"/>
      <c r="I12" s="1"/>
      <c r="J12" s="24" t="s">
        <v>39</v>
      </c>
      <c r="K12" s="29">
        <v>0.96793700000000005</v>
      </c>
      <c r="L12" s="1"/>
      <c r="M12" s="1"/>
      <c r="N12" s="18"/>
    </row>
    <row r="13" spans="2:14" ht="15.75" customHeight="1" x14ac:dyDescent="0.25">
      <c r="B13" s="20"/>
      <c r="C13" s="7" t="s">
        <v>30</v>
      </c>
      <c r="D13" s="8"/>
      <c r="E13" s="12">
        <v>0.96793700000000005</v>
      </c>
      <c r="F13" s="1"/>
      <c r="G13" s="1"/>
      <c r="H13" s="1"/>
      <c r="I13" s="1"/>
      <c r="J13" s="1"/>
      <c r="K13" s="1"/>
      <c r="L13" s="1"/>
      <c r="M13" s="1"/>
      <c r="N13" s="18"/>
    </row>
    <row r="14" spans="2:14" ht="15" customHeight="1" x14ac:dyDescent="0.25">
      <c r="B14" s="20"/>
      <c r="C14" s="5" t="s">
        <v>31</v>
      </c>
      <c r="D14" s="6"/>
      <c r="E14" s="11">
        <v>1.258E-3</v>
      </c>
      <c r="F14" s="1"/>
      <c r="G14" s="1"/>
      <c r="H14" s="1"/>
      <c r="I14" s="1"/>
      <c r="J14" s="1"/>
      <c r="K14" s="1"/>
      <c r="L14" s="1"/>
      <c r="M14" s="1"/>
      <c r="N14" s="18"/>
    </row>
    <row r="15" spans="2:14" ht="15.75" customHeight="1" x14ac:dyDescent="0.25">
      <c r="B15" s="20"/>
      <c r="C15" s="7" t="s">
        <v>32</v>
      </c>
      <c r="D15" s="8"/>
      <c r="E15" s="12">
        <v>1.258E-3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33</v>
      </c>
      <c r="D17" s="8"/>
      <c r="E17" s="12">
        <v>2.8781000000000001E-2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34</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8" t="s">
        <v>6</v>
      </c>
      <c r="H24" s="59"/>
      <c r="I24" s="59"/>
      <c r="J24" s="59"/>
      <c r="K24" s="59"/>
      <c r="L24" s="26">
        <v>28.586926143268304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8" t="s">
        <v>7</v>
      </c>
      <c r="H26" s="59"/>
      <c r="I26" s="59"/>
      <c r="J26" s="59"/>
      <c r="K26" s="59"/>
      <c r="L26" s="59"/>
      <c r="M26" s="59"/>
      <c r="N26" s="60"/>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41" t="s">
        <v>337</v>
      </c>
      <c r="C45" s="42"/>
      <c r="D45" s="42"/>
      <c r="E45" s="42"/>
      <c r="F45" s="42"/>
      <c r="G45" s="42"/>
      <c r="H45" s="42"/>
      <c r="I45" s="42"/>
      <c r="J45" s="42"/>
      <c r="K45" s="42"/>
      <c r="L45" s="42"/>
      <c r="M45" s="42"/>
      <c r="N45" s="43"/>
    </row>
    <row r="46" spans="2:14" x14ac:dyDescent="0.25">
      <c r="B46" s="44"/>
      <c r="C46" s="45"/>
      <c r="D46" s="45"/>
      <c r="E46" s="45"/>
      <c r="F46" s="45"/>
      <c r="G46" s="45"/>
      <c r="H46" s="45"/>
      <c r="I46" s="45"/>
      <c r="J46" s="45"/>
      <c r="K46" s="45"/>
      <c r="L46" s="45"/>
      <c r="M46" s="45"/>
      <c r="N46" s="46"/>
    </row>
    <row r="47" spans="2:14" x14ac:dyDescent="0.25">
      <c r="B47" s="44"/>
      <c r="C47" s="45"/>
      <c r="D47" s="45"/>
      <c r="E47" s="45"/>
      <c r="F47" s="45"/>
      <c r="G47" s="45"/>
      <c r="H47" s="45"/>
      <c r="I47" s="45"/>
      <c r="J47" s="45"/>
      <c r="K47" s="45"/>
      <c r="L47" s="45"/>
      <c r="M47" s="45"/>
      <c r="N47" s="46"/>
    </row>
    <row r="48" spans="2:14" ht="15.75" thickBot="1" x14ac:dyDescent="0.3">
      <c r="B48" s="47"/>
      <c r="C48" s="48"/>
      <c r="D48" s="48"/>
      <c r="E48" s="48"/>
      <c r="F48" s="48"/>
      <c r="G48" s="48"/>
      <c r="H48" s="48"/>
      <c r="I48" s="48"/>
      <c r="J48" s="48"/>
      <c r="K48" s="48"/>
      <c r="L48" s="48"/>
      <c r="M48" s="48"/>
      <c r="N48" s="49"/>
    </row>
    <row r="49" spans="2:14" ht="15.75" thickBot="1" x14ac:dyDescent="0.3"/>
    <row r="50" spans="2:14" ht="137.25" customHeight="1" thickBot="1" x14ac:dyDescent="0.3">
      <c r="B50" s="50" t="s">
        <v>336</v>
      </c>
      <c r="C50" s="51"/>
      <c r="D50" s="51"/>
      <c r="E50" s="51"/>
      <c r="F50" s="51"/>
      <c r="G50" s="51"/>
      <c r="H50" s="51"/>
      <c r="I50" s="51"/>
      <c r="J50" s="51"/>
      <c r="K50" s="51"/>
      <c r="L50" s="51"/>
      <c r="M50" s="51"/>
      <c r="N50" s="52"/>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EED9A-F5B6-40BE-A970-D60BB6F04038}">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11</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12</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13</v>
      </c>
      <c r="D8" s="6" t="s">
        <v>14</v>
      </c>
      <c r="E8" s="11">
        <v>6.9041000000000005E-2</v>
      </c>
      <c r="F8" s="1"/>
      <c r="G8" s="24" t="s">
        <v>4</v>
      </c>
      <c r="H8" s="25">
        <v>1</v>
      </c>
      <c r="I8" s="1"/>
      <c r="J8" s="24" t="s">
        <v>35</v>
      </c>
      <c r="K8" s="24" t="s">
        <v>3</v>
      </c>
      <c r="L8" s="1"/>
      <c r="M8" s="1"/>
      <c r="N8" s="18"/>
    </row>
    <row r="9" spans="2:14" ht="15" customHeight="1" x14ac:dyDescent="0.25">
      <c r="B9" s="20"/>
      <c r="C9" s="5" t="s">
        <v>15</v>
      </c>
      <c r="D9" s="6" t="s">
        <v>14</v>
      </c>
      <c r="E9" s="11">
        <v>4.0731999999999997E-2</v>
      </c>
      <c r="F9" s="1"/>
      <c r="G9" s="1"/>
      <c r="H9" s="1"/>
      <c r="I9" s="1"/>
      <c r="J9" s="24" t="s">
        <v>33</v>
      </c>
      <c r="K9" s="29">
        <v>3.9808000000000003E-2</v>
      </c>
      <c r="L9" s="1"/>
      <c r="M9" s="1"/>
      <c r="N9" s="18"/>
    </row>
    <row r="10" spans="2:14" ht="15.75" customHeight="1" x14ac:dyDescent="0.25">
      <c r="B10" s="20"/>
      <c r="C10" s="7" t="s">
        <v>16</v>
      </c>
      <c r="D10" s="8"/>
      <c r="E10" s="12">
        <v>0.109773</v>
      </c>
      <c r="F10" s="1"/>
      <c r="G10" s="1"/>
      <c r="H10" s="1"/>
      <c r="I10" s="1"/>
      <c r="J10" s="24" t="s">
        <v>36</v>
      </c>
      <c r="K10" s="29">
        <v>1.1207999999999999E-2</v>
      </c>
      <c r="L10" s="1"/>
      <c r="M10" s="1"/>
      <c r="N10" s="18"/>
    </row>
    <row r="11" spans="2:14" ht="15" customHeight="1" x14ac:dyDescent="0.25">
      <c r="B11" s="20"/>
      <c r="C11" s="5" t="s">
        <v>17</v>
      </c>
      <c r="D11" s="6" t="s">
        <v>18</v>
      </c>
      <c r="E11" s="11">
        <v>0.103079</v>
      </c>
      <c r="F11" s="1"/>
      <c r="G11" s="1"/>
      <c r="H11" s="1"/>
      <c r="I11" s="1"/>
      <c r="J11" s="24" t="s">
        <v>37</v>
      </c>
      <c r="K11" s="29">
        <v>0.109773</v>
      </c>
      <c r="L11" s="1"/>
      <c r="M11" s="1"/>
      <c r="N11" s="18"/>
    </row>
    <row r="12" spans="2:14" ht="15" customHeight="1" x14ac:dyDescent="0.25">
      <c r="B12" s="20"/>
      <c r="C12" s="5" t="s">
        <v>19</v>
      </c>
      <c r="D12" s="6" t="s">
        <v>18</v>
      </c>
      <c r="E12" s="11">
        <v>8.7370000000000003E-2</v>
      </c>
      <c r="F12" s="1"/>
      <c r="G12" s="1"/>
      <c r="H12" s="1"/>
      <c r="I12" s="1"/>
      <c r="J12" s="24" t="s">
        <v>38</v>
      </c>
      <c r="K12" s="29">
        <v>0.24652299999999999</v>
      </c>
      <c r="L12" s="1"/>
      <c r="M12" s="1"/>
      <c r="N12" s="18"/>
    </row>
    <row r="13" spans="2:14" ht="15" customHeight="1" x14ac:dyDescent="0.25">
      <c r="B13" s="20"/>
      <c r="C13" s="5" t="s">
        <v>20</v>
      </c>
      <c r="D13" s="6" t="s">
        <v>18</v>
      </c>
      <c r="E13" s="11">
        <v>5.2007999999999999E-2</v>
      </c>
      <c r="F13" s="1"/>
      <c r="G13" s="1"/>
      <c r="H13" s="1"/>
      <c r="I13" s="1"/>
      <c r="J13" s="24" t="s">
        <v>23</v>
      </c>
      <c r="K13" s="29">
        <v>2.7160000000000001E-3</v>
      </c>
      <c r="L13" s="1"/>
      <c r="M13" s="1"/>
      <c r="N13" s="18"/>
    </row>
    <row r="14" spans="2:14" ht="15" customHeight="1" x14ac:dyDescent="0.25">
      <c r="B14" s="20"/>
      <c r="C14" s="5" t="s">
        <v>21</v>
      </c>
      <c r="D14" s="6" t="s">
        <v>18</v>
      </c>
      <c r="E14" s="11">
        <v>4.0660000000000002E-3</v>
      </c>
      <c r="F14" s="1"/>
      <c r="G14" s="1"/>
      <c r="H14" s="1"/>
      <c r="I14" s="1"/>
      <c r="J14" s="24" t="s">
        <v>39</v>
      </c>
      <c r="K14" s="29">
        <v>0.58997200000000005</v>
      </c>
      <c r="L14" s="1"/>
      <c r="M14" s="1"/>
      <c r="N14" s="18"/>
    </row>
    <row r="15" spans="2:14" ht="15.75" customHeight="1" x14ac:dyDescent="0.25">
      <c r="B15" s="20"/>
      <c r="C15" s="7" t="s">
        <v>22</v>
      </c>
      <c r="D15" s="8"/>
      <c r="E15" s="12">
        <v>0.24652299999999999</v>
      </c>
      <c r="F15" s="1"/>
      <c r="G15" s="1"/>
      <c r="H15" s="1"/>
      <c r="I15" s="1"/>
      <c r="J15" s="1"/>
      <c r="K15" s="1"/>
      <c r="L15" s="1"/>
      <c r="M15" s="1"/>
      <c r="N15" s="18"/>
    </row>
    <row r="16" spans="2:14" ht="15" customHeight="1" x14ac:dyDescent="0.25">
      <c r="B16" s="20"/>
      <c r="C16" s="5" t="s">
        <v>23</v>
      </c>
      <c r="D16" s="6"/>
      <c r="E16" s="11">
        <v>2.7160000000000001E-3</v>
      </c>
      <c r="F16" s="1"/>
      <c r="G16" s="1"/>
      <c r="H16" s="1"/>
      <c r="I16" s="1"/>
      <c r="J16" s="1"/>
      <c r="K16" s="1"/>
      <c r="L16" s="1"/>
      <c r="M16" s="1"/>
      <c r="N16" s="18"/>
    </row>
    <row r="17" spans="2:14" ht="15.75" customHeight="1" x14ac:dyDescent="0.25">
      <c r="B17" s="20"/>
      <c r="C17" s="7" t="s">
        <v>24</v>
      </c>
      <c r="D17" s="8"/>
      <c r="E17" s="12">
        <v>2.7160000000000001E-3</v>
      </c>
      <c r="F17" s="1"/>
      <c r="G17" s="1"/>
      <c r="H17" s="1"/>
      <c r="I17" s="1"/>
      <c r="J17" s="1"/>
      <c r="K17" s="1"/>
      <c r="L17" s="1"/>
      <c r="M17" s="1"/>
      <c r="N17" s="18"/>
    </row>
    <row r="18" spans="2:14" ht="15" customHeight="1" x14ac:dyDescent="0.25">
      <c r="B18" s="20"/>
      <c r="C18" s="5" t="s">
        <v>25</v>
      </c>
      <c r="D18" s="6" t="s">
        <v>190</v>
      </c>
      <c r="E18" s="11">
        <v>0.48218899999999998</v>
      </c>
      <c r="F18" s="1"/>
      <c r="G18" s="1"/>
      <c r="H18" s="1"/>
      <c r="I18" s="1"/>
      <c r="J18" s="1"/>
      <c r="K18" s="1"/>
      <c r="L18" s="1"/>
      <c r="M18" s="1"/>
      <c r="N18" s="18"/>
    </row>
    <row r="19" spans="2:14" ht="15" customHeight="1" x14ac:dyDescent="0.25">
      <c r="B19" s="20"/>
      <c r="C19" s="5" t="s">
        <v>26</v>
      </c>
      <c r="D19" s="6" t="s">
        <v>190</v>
      </c>
      <c r="E19" s="11">
        <v>8.3809999999999996E-2</v>
      </c>
      <c r="F19" s="1"/>
      <c r="G19" s="1"/>
      <c r="H19" s="1"/>
      <c r="I19" s="1"/>
      <c r="J19" s="1"/>
      <c r="K19" s="1"/>
      <c r="L19" s="1"/>
      <c r="M19" s="1"/>
      <c r="N19" s="18"/>
    </row>
    <row r="20" spans="2:14" ht="15" customHeight="1" x14ac:dyDescent="0.25">
      <c r="B20" s="20"/>
      <c r="C20" s="5" t="s">
        <v>27</v>
      </c>
      <c r="D20" s="6" t="s">
        <v>190</v>
      </c>
      <c r="E20" s="11">
        <v>2.1070999999999999E-2</v>
      </c>
      <c r="F20" s="1"/>
      <c r="G20" s="1"/>
      <c r="H20" s="1"/>
      <c r="I20" s="1"/>
      <c r="J20" s="1"/>
      <c r="K20" s="1"/>
      <c r="L20" s="1"/>
      <c r="M20" s="1"/>
      <c r="N20" s="18"/>
    </row>
    <row r="21" spans="2:14" ht="15" customHeight="1" x14ac:dyDescent="0.25">
      <c r="B21" s="20"/>
      <c r="C21" s="5" t="s">
        <v>28</v>
      </c>
      <c r="D21" s="6" t="s">
        <v>190</v>
      </c>
      <c r="E21" s="11">
        <v>2.075E-3</v>
      </c>
      <c r="F21" s="1"/>
      <c r="G21" s="1"/>
      <c r="H21" s="1"/>
      <c r="I21" s="1"/>
      <c r="J21" s="1"/>
      <c r="K21" s="1"/>
      <c r="L21" s="1"/>
      <c r="M21" s="1"/>
      <c r="N21" s="18"/>
    </row>
    <row r="22" spans="2:14" ht="15" customHeight="1" x14ac:dyDescent="0.25">
      <c r="B22" s="20"/>
      <c r="C22" s="5" t="s">
        <v>29</v>
      </c>
      <c r="D22" s="6" t="s">
        <v>190</v>
      </c>
      <c r="E22" s="11">
        <v>8.2700000000000004E-4</v>
      </c>
      <c r="F22" s="1"/>
      <c r="G22" s="1"/>
      <c r="H22" s="1"/>
      <c r="I22" s="1"/>
      <c r="J22" s="1"/>
      <c r="K22" s="1"/>
      <c r="L22" s="1"/>
      <c r="M22" s="1"/>
      <c r="N22" s="18"/>
    </row>
    <row r="23" spans="2:14" ht="15.75" customHeight="1" x14ac:dyDescent="0.25">
      <c r="B23" s="20"/>
      <c r="C23" s="7" t="s">
        <v>30</v>
      </c>
      <c r="D23" s="8"/>
      <c r="E23" s="12">
        <v>0.58997200000000005</v>
      </c>
      <c r="F23" s="1"/>
      <c r="G23" s="1"/>
      <c r="H23" s="1"/>
      <c r="I23" s="1"/>
      <c r="J23" s="1"/>
      <c r="K23" s="1"/>
      <c r="L23" s="1"/>
      <c r="M23" s="1"/>
      <c r="N23" s="18"/>
    </row>
    <row r="24" spans="2:14" ht="15" customHeight="1" x14ac:dyDescent="0.25">
      <c r="B24" s="20"/>
      <c r="C24" s="5" t="s">
        <v>31</v>
      </c>
      <c r="D24" s="6"/>
      <c r="E24" s="11">
        <v>1.1207999999999999E-2</v>
      </c>
      <c r="F24" s="1"/>
      <c r="G24" s="58" t="s">
        <v>6</v>
      </c>
      <c r="H24" s="59"/>
      <c r="I24" s="59"/>
      <c r="J24" s="59"/>
      <c r="K24" s="59"/>
      <c r="L24" s="26">
        <v>15.266065505686191</v>
      </c>
      <c r="M24" s="27"/>
      <c r="N24" s="28"/>
    </row>
    <row r="25" spans="2:14" ht="15.75" customHeight="1" x14ac:dyDescent="0.25">
      <c r="B25" s="20"/>
      <c r="C25" s="7" t="s">
        <v>32</v>
      </c>
      <c r="D25" s="8"/>
      <c r="E25" s="12">
        <v>1.1207999999999999E-2</v>
      </c>
      <c r="F25" s="1"/>
      <c r="G25" s="1"/>
      <c r="H25" s="1"/>
      <c r="I25" s="1"/>
      <c r="J25" s="1"/>
      <c r="K25" s="1"/>
      <c r="L25" s="1"/>
      <c r="M25" s="1"/>
      <c r="N25" s="18"/>
    </row>
    <row r="26" spans="2:14" ht="15" customHeight="1" x14ac:dyDescent="0.25">
      <c r="B26" s="20"/>
      <c r="C26" s="5"/>
      <c r="D26" s="6"/>
      <c r="E26" s="11"/>
      <c r="F26" s="1"/>
      <c r="G26" s="58" t="s">
        <v>7</v>
      </c>
      <c r="H26" s="59"/>
      <c r="I26" s="59"/>
      <c r="J26" s="59"/>
      <c r="K26" s="59"/>
      <c r="L26" s="59"/>
      <c r="M26" s="59"/>
      <c r="N26" s="60"/>
    </row>
    <row r="27" spans="2:14" ht="15.75" customHeight="1" x14ac:dyDescent="0.25">
      <c r="B27" s="20"/>
      <c r="C27" s="7" t="s">
        <v>33</v>
      </c>
      <c r="D27" s="8"/>
      <c r="E27" s="12">
        <v>3.9808000000000003E-2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34</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41" t="s">
        <v>337</v>
      </c>
      <c r="C45" s="42"/>
      <c r="D45" s="42"/>
      <c r="E45" s="42"/>
      <c r="F45" s="42"/>
      <c r="G45" s="42"/>
      <c r="H45" s="42"/>
      <c r="I45" s="42"/>
      <c r="J45" s="42"/>
      <c r="K45" s="42"/>
      <c r="L45" s="42"/>
      <c r="M45" s="42"/>
      <c r="N45" s="43"/>
    </row>
    <row r="46" spans="2:14" ht="15" customHeight="1" x14ac:dyDescent="0.25">
      <c r="B46" s="44"/>
      <c r="C46" s="45"/>
      <c r="D46" s="45"/>
      <c r="E46" s="45"/>
      <c r="F46" s="45"/>
      <c r="G46" s="45"/>
      <c r="H46" s="45"/>
      <c r="I46" s="45"/>
      <c r="J46" s="45"/>
      <c r="K46" s="45"/>
      <c r="L46" s="45"/>
      <c r="M46" s="45"/>
      <c r="N46" s="46"/>
    </row>
    <row r="47" spans="2:14" ht="15" customHeight="1" x14ac:dyDescent="0.25">
      <c r="B47" s="44"/>
      <c r="C47" s="45"/>
      <c r="D47" s="45"/>
      <c r="E47" s="45"/>
      <c r="F47" s="45"/>
      <c r="G47" s="45"/>
      <c r="H47" s="45"/>
      <c r="I47" s="45"/>
      <c r="J47" s="45"/>
      <c r="K47" s="45"/>
      <c r="L47" s="45"/>
      <c r="M47" s="45"/>
      <c r="N47" s="46"/>
    </row>
    <row r="48" spans="2:14" ht="15" customHeight="1" thickBot="1" x14ac:dyDescent="0.3">
      <c r="B48" s="47"/>
      <c r="C48" s="48"/>
      <c r="D48" s="48"/>
      <c r="E48" s="48"/>
      <c r="F48" s="48"/>
      <c r="G48" s="48"/>
      <c r="H48" s="48"/>
      <c r="I48" s="48"/>
      <c r="J48" s="48"/>
      <c r="K48" s="48"/>
      <c r="L48" s="48"/>
      <c r="M48" s="48"/>
      <c r="N48" s="49"/>
    </row>
    <row r="49" spans="2:14" ht="15" customHeight="1" thickBot="1" x14ac:dyDescent="0.3"/>
    <row r="50" spans="2:14" ht="124.5" customHeight="1" thickBot="1" x14ac:dyDescent="0.3">
      <c r="B50" s="50" t="s">
        <v>336</v>
      </c>
      <c r="C50" s="51"/>
      <c r="D50" s="51"/>
      <c r="E50" s="51"/>
      <c r="F50" s="51"/>
      <c r="G50" s="51"/>
      <c r="H50" s="51"/>
      <c r="I50" s="51"/>
      <c r="J50" s="51"/>
      <c r="K50" s="51"/>
      <c r="L50" s="51"/>
      <c r="M50" s="51"/>
      <c r="N50" s="52"/>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59802-B3B1-46A3-BB2A-C9D2F0E27FDD}">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40</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41</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13</v>
      </c>
      <c r="D8" s="6" t="s">
        <v>14</v>
      </c>
      <c r="E8" s="11">
        <v>8.0754999999999993E-2</v>
      </c>
      <c r="F8" s="1"/>
      <c r="G8" s="24" t="s">
        <v>4</v>
      </c>
      <c r="H8" s="25">
        <v>1</v>
      </c>
      <c r="I8" s="1"/>
      <c r="J8" s="24" t="s">
        <v>35</v>
      </c>
      <c r="K8" s="24" t="s">
        <v>3</v>
      </c>
      <c r="L8" s="1"/>
      <c r="M8" s="1"/>
      <c r="N8" s="18"/>
    </row>
    <row r="9" spans="2:14" ht="15" customHeight="1" x14ac:dyDescent="0.25">
      <c r="B9" s="20"/>
      <c r="C9" s="5" t="s">
        <v>42</v>
      </c>
      <c r="D9" s="6" t="s">
        <v>14</v>
      </c>
      <c r="E9" s="11">
        <v>4.3378E-2</v>
      </c>
      <c r="F9" s="1"/>
      <c r="G9" s="1"/>
      <c r="H9" s="1"/>
      <c r="I9" s="1"/>
      <c r="J9" s="24" t="s">
        <v>33</v>
      </c>
      <c r="K9" s="29">
        <v>2.0636000000000002E-2</v>
      </c>
      <c r="L9" s="1"/>
      <c r="M9" s="1"/>
      <c r="N9" s="18"/>
    </row>
    <row r="10" spans="2:14" ht="15.75" customHeight="1" x14ac:dyDescent="0.25">
      <c r="B10" s="20"/>
      <c r="C10" s="7" t="s">
        <v>16</v>
      </c>
      <c r="D10" s="8"/>
      <c r="E10" s="12">
        <v>0.12413299999999999</v>
      </c>
      <c r="F10" s="1"/>
      <c r="G10" s="1"/>
      <c r="H10" s="1"/>
      <c r="I10" s="1"/>
      <c r="J10" s="24" t="s">
        <v>36</v>
      </c>
      <c r="K10" s="29">
        <v>6.0899999999999995E-4</v>
      </c>
      <c r="L10" s="1"/>
      <c r="M10" s="1"/>
      <c r="N10" s="18"/>
    </row>
    <row r="11" spans="2:14" ht="15" customHeight="1" x14ac:dyDescent="0.25">
      <c r="B11" s="20"/>
      <c r="C11" s="5" t="s">
        <v>20</v>
      </c>
      <c r="D11" s="6" t="s">
        <v>18</v>
      </c>
      <c r="E11" s="11">
        <v>0.101358</v>
      </c>
      <c r="F11" s="1"/>
      <c r="G11" s="1"/>
      <c r="H11" s="1"/>
      <c r="I11" s="1"/>
      <c r="J11" s="24" t="s">
        <v>37</v>
      </c>
      <c r="K11" s="29">
        <v>0.12413299999999999</v>
      </c>
      <c r="L11" s="1"/>
      <c r="M11" s="1"/>
      <c r="N11" s="18"/>
    </row>
    <row r="12" spans="2:14" ht="15" customHeight="1" x14ac:dyDescent="0.25">
      <c r="B12" s="20"/>
      <c r="C12" s="5" t="s">
        <v>43</v>
      </c>
      <c r="D12" s="6" t="s">
        <v>18</v>
      </c>
      <c r="E12" s="11">
        <v>7.0548E-2</v>
      </c>
      <c r="F12" s="1"/>
      <c r="G12" s="1"/>
      <c r="H12" s="1"/>
      <c r="I12" s="1"/>
      <c r="J12" s="24" t="s">
        <v>38</v>
      </c>
      <c r="K12" s="29">
        <v>0.29686899999999999</v>
      </c>
      <c r="L12" s="1"/>
      <c r="M12" s="1"/>
      <c r="N12" s="18"/>
    </row>
    <row r="13" spans="2:14" ht="15" customHeight="1" x14ac:dyDescent="0.25">
      <c r="B13" s="20"/>
      <c r="C13" s="5" t="s">
        <v>19</v>
      </c>
      <c r="D13" s="6" t="s">
        <v>18</v>
      </c>
      <c r="E13" s="11">
        <v>5.5281999999999998E-2</v>
      </c>
      <c r="F13" s="1"/>
      <c r="G13" s="1"/>
      <c r="H13" s="1"/>
      <c r="I13" s="1"/>
      <c r="J13" s="24" t="s">
        <v>23</v>
      </c>
      <c r="K13" s="29">
        <v>3.581E-3</v>
      </c>
      <c r="L13" s="1"/>
      <c r="M13" s="1"/>
      <c r="N13" s="18"/>
    </row>
    <row r="14" spans="2:14" ht="15" customHeight="1" x14ac:dyDescent="0.25">
      <c r="B14" s="20"/>
      <c r="C14" s="5" t="s">
        <v>13</v>
      </c>
      <c r="D14" s="6" t="s">
        <v>18</v>
      </c>
      <c r="E14" s="11">
        <v>3.2793000000000003E-2</v>
      </c>
      <c r="F14" s="1"/>
      <c r="G14" s="1"/>
      <c r="H14" s="1"/>
      <c r="I14" s="1"/>
      <c r="J14" s="24" t="s">
        <v>39</v>
      </c>
      <c r="K14" s="29">
        <v>0.55280099999999999</v>
      </c>
      <c r="L14" s="1"/>
      <c r="M14" s="1"/>
      <c r="N14" s="18"/>
    </row>
    <row r="15" spans="2:14" ht="15" customHeight="1" x14ac:dyDescent="0.25">
      <c r="B15" s="20"/>
      <c r="C15" s="5" t="s">
        <v>17</v>
      </c>
      <c r="D15" s="6" t="s">
        <v>18</v>
      </c>
      <c r="E15" s="11">
        <v>2.0074999999999999E-2</v>
      </c>
      <c r="F15" s="1"/>
      <c r="G15" s="1"/>
      <c r="H15" s="1"/>
      <c r="I15" s="1"/>
      <c r="J15" s="24" t="s">
        <v>49</v>
      </c>
      <c r="K15" s="29">
        <v>1.371E-3</v>
      </c>
      <c r="L15" s="1"/>
      <c r="M15" s="1"/>
      <c r="N15" s="18"/>
    </row>
    <row r="16" spans="2:14" ht="15" customHeight="1" x14ac:dyDescent="0.25">
      <c r="B16" s="20"/>
      <c r="C16" s="5" t="s">
        <v>44</v>
      </c>
      <c r="D16" s="6" t="s">
        <v>18</v>
      </c>
      <c r="E16" s="11">
        <v>1.6813000000000002E-2</v>
      </c>
      <c r="F16" s="1"/>
      <c r="G16" s="1"/>
      <c r="H16" s="1"/>
      <c r="I16" s="1"/>
      <c r="J16" s="1"/>
      <c r="K16" s="1"/>
      <c r="L16" s="1"/>
      <c r="M16" s="1"/>
      <c r="N16" s="18"/>
    </row>
    <row r="17" spans="2:14" ht="15.75" customHeight="1" x14ac:dyDescent="0.25">
      <c r="B17" s="20"/>
      <c r="C17" s="7" t="s">
        <v>22</v>
      </c>
      <c r="D17" s="8"/>
      <c r="E17" s="12">
        <v>0.29686899999999999</v>
      </c>
      <c r="F17" s="1"/>
      <c r="G17" s="1"/>
      <c r="H17" s="1"/>
      <c r="I17" s="1"/>
      <c r="J17" s="1"/>
      <c r="K17" s="1"/>
      <c r="L17" s="1"/>
      <c r="M17" s="1"/>
      <c r="N17" s="18"/>
    </row>
    <row r="18" spans="2:14" ht="15" customHeight="1" x14ac:dyDescent="0.25">
      <c r="B18" s="20"/>
      <c r="C18" s="5" t="s">
        <v>23</v>
      </c>
      <c r="D18" s="6"/>
      <c r="E18" s="11">
        <v>3.581E-3</v>
      </c>
      <c r="F18" s="1"/>
      <c r="G18" s="1"/>
      <c r="H18" s="1"/>
      <c r="I18" s="1"/>
      <c r="J18" s="1"/>
      <c r="K18" s="1"/>
      <c r="L18" s="1"/>
      <c r="M18" s="1"/>
      <c r="N18" s="18"/>
    </row>
    <row r="19" spans="2:14" ht="15.75" customHeight="1" x14ac:dyDescent="0.25">
      <c r="B19" s="20"/>
      <c r="C19" s="7" t="s">
        <v>24</v>
      </c>
      <c r="D19" s="8"/>
      <c r="E19" s="12">
        <v>3.581E-3</v>
      </c>
      <c r="F19" s="1"/>
      <c r="G19" s="1"/>
      <c r="H19" s="1"/>
      <c r="I19" s="1"/>
      <c r="J19" s="1"/>
      <c r="K19" s="1"/>
      <c r="L19" s="1"/>
      <c r="M19" s="1"/>
      <c r="N19" s="18"/>
    </row>
    <row r="20" spans="2:14" ht="15" customHeight="1" x14ac:dyDescent="0.25">
      <c r="B20" s="20"/>
      <c r="C20" s="5" t="s">
        <v>45</v>
      </c>
      <c r="D20" s="6" t="s">
        <v>190</v>
      </c>
      <c r="E20" s="11">
        <v>0.38761400000000001</v>
      </c>
      <c r="F20" s="1"/>
      <c r="G20" s="1"/>
      <c r="H20" s="1"/>
      <c r="I20" s="1"/>
      <c r="J20" s="1"/>
      <c r="K20" s="1"/>
      <c r="L20" s="1"/>
      <c r="M20" s="1"/>
      <c r="N20" s="18"/>
    </row>
    <row r="21" spans="2:14" ht="15" customHeight="1" x14ac:dyDescent="0.25">
      <c r="B21" s="20"/>
      <c r="C21" s="5" t="s">
        <v>27</v>
      </c>
      <c r="D21" s="6" t="s">
        <v>190</v>
      </c>
      <c r="E21" s="11">
        <v>9.9329000000000001E-2</v>
      </c>
      <c r="F21" s="1"/>
      <c r="G21" s="1"/>
      <c r="H21" s="1"/>
      <c r="I21" s="1"/>
      <c r="J21" s="1"/>
      <c r="K21" s="1"/>
      <c r="L21" s="1"/>
      <c r="M21" s="1"/>
      <c r="N21" s="18"/>
    </row>
    <row r="22" spans="2:14" ht="15" customHeight="1" x14ac:dyDescent="0.25">
      <c r="B22" s="20"/>
      <c r="C22" s="5" t="s">
        <v>46</v>
      </c>
      <c r="D22" s="6" t="s">
        <v>190</v>
      </c>
      <c r="E22" s="11">
        <v>6.5646999999999997E-2</v>
      </c>
      <c r="F22" s="1"/>
      <c r="G22" s="1"/>
      <c r="H22" s="1"/>
      <c r="I22" s="1"/>
      <c r="J22" s="1"/>
      <c r="K22" s="1"/>
      <c r="L22" s="1"/>
      <c r="M22" s="1"/>
      <c r="N22" s="18"/>
    </row>
    <row r="23" spans="2:14" ht="15" customHeight="1" x14ac:dyDescent="0.25">
      <c r="B23" s="20"/>
      <c r="C23" s="5" t="s">
        <v>28</v>
      </c>
      <c r="D23" s="6" t="s">
        <v>190</v>
      </c>
      <c r="E23" s="11">
        <v>1.35E-4</v>
      </c>
      <c r="F23" s="1"/>
      <c r="G23" s="1"/>
      <c r="H23" s="1"/>
      <c r="I23" s="1"/>
      <c r="J23" s="1"/>
      <c r="K23" s="1"/>
      <c r="L23" s="1"/>
      <c r="M23" s="1"/>
      <c r="N23" s="18"/>
    </row>
    <row r="24" spans="2:14" ht="15" customHeight="1" x14ac:dyDescent="0.25">
      <c r="B24" s="20"/>
      <c r="C24" s="5" t="s">
        <v>47</v>
      </c>
      <c r="D24" s="6" t="s">
        <v>190</v>
      </c>
      <c r="E24" s="11">
        <v>7.6000000000000004E-5</v>
      </c>
      <c r="F24" s="1"/>
      <c r="G24" s="58" t="s">
        <v>6</v>
      </c>
      <c r="H24" s="59"/>
      <c r="I24" s="59"/>
      <c r="J24" s="59"/>
      <c r="K24" s="59"/>
      <c r="L24" s="26">
        <v>5.0594592389039645</v>
      </c>
      <c r="M24" s="27"/>
      <c r="N24" s="28"/>
    </row>
    <row r="25" spans="2:14" ht="15.75" customHeight="1" x14ac:dyDescent="0.25">
      <c r="B25" s="20"/>
      <c r="C25" s="7" t="s">
        <v>30</v>
      </c>
      <c r="D25" s="8"/>
      <c r="E25" s="12">
        <v>0.55280099999999999</v>
      </c>
      <c r="F25" s="1"/>
      <c r="G25" s="1"/>
      <c r="H25" s="1"/>
      <c r="I25" s="1"/>
      <c r="J25" s="1"/>
      <c r="K25" s="1"/>
      <c r="L25" s="1"/>
      <c r="M25" s="1"/>
      <c r="N25" s="18"/>
    </row>
    <row r="26" spans="2:14" ht="15" customHeight="1" x14ac:dyDescent="0.25">
      <c r="B26" s="20"/>
      <c r="C26" s="5" t="s">
        <v>263</v>
      </c>
      <c r="D26" s="6" t="s">
        <v>190</v>
      </c>
      <c r="E26" s="11">
        <v>1.371E-3</v>
      </c>
      <c r="F26" s="1"/>
      <c r="G26" s="58" t="s">
        <v>7</v>
      </c>
      <c r="H26" s="59"/>
      <c r="I26" s="59"/>
      <c r="J26" s="59"/>
      <c r="K26" s="59"/>
      <c r="L26" s="59"/>
      <c r="M26" s="59"/>
      <c r="N26" s="60"/>
    </row>
    <row r="27" spans="2:14" ht="15.75" customHeight="1" x14ac:dyDescent="0.25">
      <c r="B27" s="20"/>
      <c r="C27" s="7" t="s">
        <v>48</v>
      </c>
      <c r="D27" s="8"/>
      <c r="E27" s="12">
        <v>1.371E-3</v>
      </c>
      <c r="F27" s="1"/>
      <c r="G27" s="1"/>
      <c r="H27" s="1"/>
      <c r="I27" s="1"/>
      <c r="J27" s="1"/>
      <c r="K27" s="1"/>
      <c r="L27" s="1"/>
      <c r="M27" s="1"/>
      <c r="N27" s="18"/>
    </row>
    <row r="28" spans="2:14" ht="15" customHeight="1" x14ac:dyDescent="0.25">
      <c r="B28" s="20"/>
      <c r="C28" s="5" t="s">
        <v>31</v>
      </c>
      <c r="D28" s="6"/>
      <c r="E28" s="11">
        <v>6.0899999999999995E-4</v>
      </c>
      <c r="F28" s="1"/>
      <c r="G28" s="1"/>
      <c r="H28" s="1"/>
      <c r="I28" s="1"/>
      <c r="J28" s="1"/>
      <c r="K28" s="1"/>
      <c r="L28" s="1"/>
      <c r="M28" s="1"/>
      <c r="N28" s="18"/>
    </row>
    <row r="29" spans="2:14" ht="15.75" customHeight="1" x14ac:dyDescent="0.25">
      <c r="B29" s="20"/>
      <c r="C29" s="7" t="s">
        <v>32</v>
      </c>
      <c r="D29" s="8"/>
      <c r="E29" s="12">
        <v>6.0899999999999995E-4</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33</v>
      </c>
      <c r="D31" s="8"/>
      <c r="E31" s="12">
        <v>2.0636000000000002E-2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9" t="s">
        <v>34</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41" t="s">
        <v>337</v>
      </c>
      <c r="C45" s="42"/>
      <c r="D45" s="42"/>
      <c r="E45" s="42"/>
      <c r="F45" s="42"/>
      <c r="G45" s="42"/>
      <c r="H45" s="42"/>
      <c r="I45" s="42"/>
      <c r="J45" s="42"/>
      <c r="K45" s="42"/>
      <c r="L45" s="42"/>
      <c r="M45" s="42"/>
      <c r="N45" s="43"/>
    </row>
    <row r="46" spans="2:14" ht="15" customHeight="1" x14ac:dyDescent="0.25">
      <c r="B46" s="44"/>
      <c r="C46" s="45"/>
      <c r="D46" s="45"/>
      <c r="E46" s="45"/>
      <c r="F46" s="45"/>
      <c r="G46" s="45"/>
      <c r="H46" s="45"/>
      <c r="I46" s="45"/>
      <c r="J46" s="45"/>
      <c r="K46" s="45"/>
      <c r="L46" s="45"/>
      <c r="M46" s="45"/>
      <c r="N46" s="46"/>
    </row>
    <row r="47" spans="2:14" ht="15" customHeight="1" x14ac:dyDescent="0.25">
      <c r="B47" s="44"/>
      <c r="C47" s="45"/>
      <c r="D47" s="45"/>
      <c r="E47" s="45"/>
      <c r="F47" s="45"/>
      <c r="G47" s="45"/>
      <c r="H47" s="45"/>
      <c r="I47" s="45"/>
      <c r="J47" s="45"/>
      <c r="K47" s="45"/>
      <c r="L47" s="45"/>
      <c r="M47" s="45"/>
      <c r="N47" s="46"/>
    </row>
    <row r="48" spans="2:14" ht="15" customHeight="1" thickBot="1" x14ac:dyDescent="0.3">
      <c r="B48" s="47"/>
      <c r="C48" s="48"/>
      <c r="D48" s="48"/>
      <c r="E48" s="48"/>
      <c r="F48" s="48"/>
      <c r="G48" s="48"/>
      <c r="H48" s="48"/>
      <c r="I48" s="48"/>
      <c r="J48" s="48"/>
      <c r="K48" s="48"/>
      <c r="L48" s="48"/>
      <c r="M48" s="48"/>
      <c r="N48" s="49"/>
    </row>
    <row r="49" spans="2:14" ht="15" customHeight="1" thickBot="1" x14ac:dyDescent="0.3"/>
    <row r="50" spans="2:14" ht="126" customHeight="1" thickBot="1" x14ac:dyDescent="0.3">
      <c r="B50" s="50" t="s">
        <v>336</v>
      </c>
      <c r="C50" s="51"/>
      <c r="D50" s="51"/>
      <c r="E50" s="51"/>
      <c r="F50" s="51"/>
      <c r="G50" s="51"/>
      <c r="H50" s="51"/>
      <c r="I50" s="51"/>
      <c r="J50" s="51"/>
      <c r="K50" s="51"/>
      <c r="L50" s="51"/>
      <c r="M50" s="51"/>
      <c r="N50" s="52"/>
    </row>
    <row r="51" spans="2:14" ht="15" customHeight="1" x14ac:dyDescent="0.25"/>
    <row r="52" spans="2:14" ht="15" customHeight="1" x14ac:dyDescent="0.25"/>
    <row r="53"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12F-EFC4-4428-B547-3DC3AD342062}">
  <dimension ref="B1:N5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50</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51</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13</v>
      </c>
      <c r="D8" s="6" t="s">
        <v>14</v>
      </c>
      <c r="E8" s="11">
        <v>9.3461000000000002E-2</v>
      </c>
      <c r="F8" s="1"/>
      <c r="G8" s="24" t="s">
        <v>4</v>
      </c>
      <c r="H8" s="25">
        <v>1</v>
      </c>
      <c r="I8" s="1"/>
      <c r="J8" s="24" t="s">
        <v>35</v>
      </c>
      <c r="K8" s="24" t="s">
        <v>3</v>
      </c>
      <c r="L8" s="1"/>
      <c r="M8" s="1"/>
      <c r="N8" s="18"/>
    </row>
    <row r="9" spans="2:14" ht="15" customHeight="1" x14ac:dyDescent="0.25">
      <c r="B9" s="20"/>
      <c r="C9" s="5" t="s">
        <v>42</v>
      </c>
      <c r="D9" s="6" t="s">
        <v>14</v>
      </c>
      <c r="E9" s="11">
        <v>4.5220000000000003E-2</v>
      </c>
      <c r="F9" s="1"/>
      <c r="G9" s="1"/>
      <c r="H9" s="1"/>
      <c r="I9" s="1"/>
      <c r="J9" s="24" t="s">
        <v>33</v>
      </c>
      <c r="K9" s="29">
        <v>1.7139999999999999E-2</v>
      </c>
      <c r="L9" s="1"/>
      <c r="M9" s="1"/>
      <c r="N9" s="18"/>
    </row>
    <row r="10" spans="2:14" ht="15.75" customHeight="1" x14ac:dyDescent="0.25">
      <c r="B10" s="20"/>
      <c r="C10" s="7" t="s">
        <v>16</v>
      </c>
      <c r="D10" s="8"/>
      <c r="E10" s="12">
        <v>0.138681</v>
      </c>
      <c r="F10" s="1"/>
      <c r="G10" s="1"/>
      <c r="H10" s="1"/>
      <c r="I10" s="1"/>
      <c r="J10" s="24" t="s">
        <v>36</v>
      </c>
      <c r="K10" s="29">
        <v>1.2539999999999999E-3</v>
      </c>
      <c r="L10" s="1"/>
      <c r="M10" s="1"/>
      <c r="N10" s="18"/>
    </row>
    <row r="11" spans="2:14" ht="15" customHeight="1" x14ac:dyDescent="0.25">
      <c r="B11" s="20"/>
      <c r="C11" s="5" t="s">
        <v>20</v>
      </c>
      <c r="D11" s="6" t="s">
        <v>18</v>
      </c>
      <c r="E11" s="11">
        <v>7.9117000000000007E-2</v>
      </c>
      <c r="F11" s="1"/>
      <c r="G11" s="1"/>
      <c r="H11" s="1"/>
      <c r="I11" s="1"/>
      <c r="J11" s="24" t="s">
        <v>37</v>
      </c>
      <c r="K11" s="29">
        <v>0.138681</v>
      </c>
      <c r="L11" s="1"/>
      <c r="M11" s="1"/>
      <c r="N11" s="18"/>
    </row>
    <row r="12" spans="2:14" ht="15" customHeight="1" x14ac:dyDescent="0.25">
      <c r="B12" s="20"/>
      <c r="C12" s="5" t="s">
        <v>19</v>
      </c>
      <c r="D12" s="6" t="s">
        <v>18</v>
      </c>
      <c r="E12" s="11">
        <v>4.8544999999999998E-2</v>
      </c>
      <c r="F12" s="1"/>
      <c r="G12" s="1"/>
      <c r="H12" s="1"/>
      <c r="I12" s="1"/>
      <c r="J12" s="24" t="s">
        <v>38</v>
      </c>
      <c r="K12" s="29">
        <v>0.330094</v>
      </c>
      <c r="L12" s="1"/>
      <c r="M12" s="1"/>
      <c r="N12" s="18"/>
    </row>
    <row r="13" spans="2:14" ht="15" customHeight="1" x14ac:dyDescent="0.25">
      <c r="B13" s="20"/>
      <c r="C13" s="5" t="s">
        <v>44</v>
      </c>
      <c r="D13" s="6" t="s">
        <v>18</v>
      </c>
      <c r="E13" s="11">
        <v>4.1202999999999997E-2</v>
      </c>
      <c r="F13" s="1"/>
      <c r="G13" s="1"/>
      <c r="H13" s="1"/>
      <c r="I13" s="1"/>
      <c r="J13" s="24" t="s">
        <v>23</v>
      </c>
      <c r="K13" s="29">
        <v>2.5330000000000001E-3</v>
      </c>
      <c r="L13" s="1"/>
      <c r="M13" s="1"/>
      <c r="N13" s="18"/>
    </row>
    <row r="14" spans="2:14" ht="15" customHeight="1" x14ac:dyDescent="0.25">
      <c r="B14" s="20"/>
      <c r="C14" s="5" t="s">
        <v>43</v>
      </c>
      <c r="D14" s="6" t="s">
        <v>18</v>
      </c>
      <c r="E14" s="11">
        <v>4.0718999999999998E-2</v>
      </c>
      <c r="F14" s="1"/>
      <c r="G14" s="1"/>
      <c r="H14" s="1"/>
      <c r="I14" s="1"/>
      <c r="J14" s="24" t="s">
        <v>39</v>
      </c>
      <c r="K14" s="29">
        <v>0.48955300000000002</v>
      </c>
      <c r="L14" s="1"/>
      <c r="M14" s="1"/>
      <c r="N14" s="18"/>
    </row>
    <row r="15" spans="2:14" ht="15" customHeight="1" x14ac:dyDescent="0.25">
      <c r="B15" s="20"/>
      <c r="C15" s="5" t="s">
        <v>52</v>
      </c>
      <c r="D15" s="6" t="s">
        <v>18</v>
      </c>
      <c r="E15" s="11">
        <v>3.0515E-2</v>
      </c>
      <c r="F15" s="1"/>
      <c r="G15" s="1"/>
      <c r="H15" s="1"/>
      <c r="I15" s="1"/>
      <c r="J15" s="24" t="s">
        <v>49</v>
      </c>
      <c r="K15" s="29">
        <v>2.0745E-2</v>
      </c>
      <c r="L15" s="1"/>
      <c r="M15" s="1"/>
      <c r="N15" s="18"/>
    </row>
    <row r="16" spans="2:14" ht="15" customHeight="1" x14ac:dyDescent="0.25">
      <c r="B16" s="20"/>
      <c r="C16" s="5" t="s">
        <v>17</v>
      </c>
      <c r="D16" s="6" t="s">
        <v>18</v>
      </c>
      <c r="E16" s="11">
        <v>2.8677999999999999E-2</v>
      </c>
      <c r="F16" s="1"/>
      <c r="G16" s="1"/>
      <c r="H16" s="1"/>
      <c r="I16" s="1"/>
      <c r="J16" s="1"/>
      <c r="K16" s="1"/>
      <c r="L16" s="1"/>
      <c r="M16" s="1"/>
      <c r="N16" s="18"/>
    </row>
    <row r="17" spans="2:14" ht="15" customHeight="1" x14ac:dyDescent="0.25">
      <c r="B17" s="20"/>
      <c r="C17" s="5" t="s">
        <v>21</v>
      </c>
      <c r="D17" s="6" t="s">
        <v>18</v>
      </c>
      <c r="E17" s="11">
        <v>2.0789999999999999E-2</v>
      </c>
      <c r="F17" s="1"/>
      <c r="G17" s="1"/>
      <c r="H17" s="1"/>
      <c r="I17" s="1"/>
      <c r="J17" s="1"/>
      <c r="K17" s="1"/>
      <c r="L17" s="1"/>
      <c r="M17" s="1"/>
      <c r="N17" s="18"/>
    </row>
    <row r="18" spans="2:14" ht="15" customHeight="1" x14ac:dyDescent="0.25">
      <c r="B18" s="20"/>
      <c r="C18" s="5" t="s">
        <v>53</v>
      </c>
      <c r="D18" s="6" t="s">
        <v>18</v>
      </c>
      <c r="E18" s="11">
        <v>1.7748E-2</v>
      </c>
      <c r="F18" s="1"/>
      <c r="G18" s="1"/>
      <c r="H18" s="1"/>
      <c r="I18" s="1"/>
      <c r="J18" s="1"/>
      <c r="K18" s="1"/>
      <c r="L18" s="1"/>
      <c r="M18" s="1"/>
      <c r="N18" s="18"/>
    </row>
    <row r="19" spans="2:14" ht="15" customHeight="1" x14ac:dyDescent="0.25">
      <c r="B19" s="20"/>
      <c r="C19" s="5" t="s">
        <v>13</v>
      </c>
      <c r="D19" s="6" t="s">
        <v>18</v>
      </c>
      <c r="E19" s="11">
        <v>1.2640999999999999E-2</v>
      </c>
      <c r="F19" s="1"/>
      <c r="G19" s="1"/>
      <c r="H19" s="1"/>
      <c r="I19" s="1"/>
      <c r="J19" s="1"/>
      <c r="K19" s="1"/>
      <c r="L19" s="1"/>
      <c r="M19" s="1"/>
      <c r="N19" s="18"/>
    </row>
    <row r="20" spans="2:14" ht="15" customHeight="1" x14ac:dyDescent="0.25">
      <c r="B20" s="20"/>
      <c r="C20" s="5" t="s">
        <v>54</v>
      </c>
      <c r="D20" s="6" t="s">
        <v>18</v>
      </c>
      <c r="E20" s="11">
        <v>1.0137999999999999E-2</v>
      </c>
      <c r="F20" s="1"/>
      <c r="G20" s="1"/>
      <c r="H20" s="1"/>
      <c r="I20" s="1"/>
      <c r="J20" s="1"/>
      <c r="K20" s="1"/>
      <c r="L20" s="1"/>
      <c r="M20" s="1"/>
      <c r="N20" s="18"/>
    </row>
    <row r="21" spans="2:14" ht="15.75" customHeight="1" x14ac:dyDescent="0.25">
      <c r="B21" s="20"/>
      <c r="C21" s="7" t="s">
        <v>22</v>
      </c>
      <c r="D21" s="8"/>
      <c r="E21" s="12">
        <v>0.330094</v>
      </c>
      <c r="F21" s="1"/>
      <c r="G21" s="1"/>
      <c r="H21" s="1"/>
      <c r="I21" s="1"/>
      <c r="J21" s="1"/>
      <c r="K21" s="1"/>
      <c r="L21" s="1"/>
      <c r="M21" s="1"/>
      <c r="N21" s="18"/>
    </row>
    <row r="22" spans="2:14" ht="15" customHeight="1" x14ac:dyDescent="0.25">
      <c r="B22" s="20"/>
      <c r="C22" s="5" t="s">
        <v>23</v>
      </c>
      <c r="D22" s="6"/>
      <c r="E22" s="11">
        <v>2.5330000000000001E-3</v>
      </c>
      <c r="F22" s="1"/>
      <c r="G22" s="1"/>
      <c r="H22" s="1"/>
      <c r="I22" s="1"/>
      <c r="J22" s="1"/>
      <c r="K22" s="1"/>
      <c r="L22" s="1"/>
      <c r="M22" s="1"/>
      <c r="N22" s="18"/>
    </row>
    <row r="23" spans="2:14" ht="15.75" customHeight="1" x14ac:dyDescent="0.25">
      <c r="B23" s="20"/>
      <c r="C23" s="7" t="s">
        <v>24</v>
      </c>
      <c r="D23" s="8"/>
      <c r="E23" s="12">
        <v>2.5330000000000001E-3</v>
      </c>
      <c r="F23" s="1"/>
      <c r="G23" s="1"/>
      <c r="H23" s="1"/>
      <c r="I23" s="1"/>
      <c r="J23" s="1"/>
      <c r="K23" s="1"/>
      <c r="L23" s="1"/>
      <c r="M23" s="1"/>
      <c r="N23" s="18"/>
    </row>
    <row r="24" spans="2:14" ht="15" customHeight="1" x14ac:dyDescent="0.25">
      <c r="B24" s="20"/>
      <c r="C24" s="5" t="s">
        <v>27</v>
      </c>
      <c r="D24" s="6" t="s">
        <v>190</v>
      </c>
      <c r="E24" s="11">
        <v>0.32412299999999999</v>
      </c>
      <c r="F24" s="1"/>
      <c r="G24" s="58" t="s">
        <v>6</v>
      </c>
      <c r="H24" s="59"/>
      <c r="I24" s="59"/>
      <c r="J24" s="59"/>
      <c r="K24" s="59"/>
      <c r="L24" s="26">
        <v>3.5329541248207215</v>
      </c>
      <c r="M24" s="27"/>
      <c r="N24" s="28"/>
    </row>
    <row r="25" spans="2:14" ht="15" customHeight="1" x14ac:dyDescent="0.25">
      <c r="B25" s="20"/>
      <c r="C25" s="5" t="s">
        <v>46</v>
      </c>
      <c r="D25" s="6" t="s">
        <v>190</v>
      </c>
      <c r="E25" s="11">
        <v>0.133187</v>
      </c>
      <c r="F25" s="1"/>
      <c r="G25" s="1"/>
      <c r="H25" s="1"/>
      <c r="I25" s="1"/>
      <c r="J25" s="1"/>
      <c r="K25" s="1"/>
      <c r="L25" s="1"/>
      <c r="M25" s="1"/>
      <c r="N25" s="18"/>
    </row>
    <row r="26" spans="2:14" ht="15" customHeight="1" x14ac:dyDescent="0.25">
      <c r="B26" s="20"/>
      <c r="C26" s="5" t="s">
        <v>45</v>
      </c>
      <c r="D26" s="6" t="s">
        <v>190</v>
      </c>
      <c r="E26" s="11">
        <v>3.1951E-2</v>
      </c>
      <c r="F26" s="1"/>
      <c r="G26" s="58" t="s">
        <v>7</v>
      </c>
      <c r="H26" s="59"/>
      <c r="I26" s="59"/>
      <c r="J26" s="59"/>
      <c r="K26" s="59"/>
      <c r="L26" s="59"/>
      <c r="M26" s="59"/>
      <c r="N26" s="60"/>
    </row>
    <row r="27" spans="2:14" ht="15" customHeight="1" x14ac:dyDescent="0.25">
      <c r="B27" s="20"/>
      <c r="C27" s="5" t="s">
        <v>47</v>
      </c>
      <c r="D27" s="6" t="s">
        <v>190</v>
      </c>
      <c r="E27" s="11">
        <v>1.05E-4</v>
      </c>
      <c r="F27" s="1"/>
      <c r="G27" s="1"/>
      <c r="H27" s="1"/>
      <c r="I27" s="1"/>
      <c r="J27" s="1"/>
      <c r="K27" s="1"/>
      <c r="L27" s="1"/>
      <c r="M27" s="1"/>
      <c r="N27" s="18"/>
    </row>
    <row r="28" spans="2:14" ht="15" customHeight="1" x14ac:dyDescent="0.25">
      <c r="B28" s="20"/>
      <c r="C28" s="5" t="s">
        <v>55</v>
      </c>
      <c r="D28" s="6" t="s">
        <v>190</v>
      </c>
      <c r="E28" s="11">
        <v>1E-4</v>
      </c>
      <c r="F28" s="1"/>
      <c r="G28" s="1"/>
      <c r="H28" s="1"/>
      <c r="I28" s="1"/>
      <c r="J28" s="1"/>
      <c r="K28" s="1"/>
      <c r="L28" s="1"/>
      <c r="M28" s="1"/>
      <c r="N28" s="18"/>
    </row>
    <row r="29" spans="2:14" ht="15" customHeight="1" x14ac:dyDescent="0.25">
      <c r="B29" s="20"/>
      <c r="C29" s="5" t="s">
        <v>28</v>
      </c>
      <c r="D29" s="6" t="s">
        <v>190</v>
      </c>
      <c r="E29" s="11">
        <v>8.7000000000000001E-5</v>
      </c>
      <c r="F29" s="1"/>
      <c r="G29" s="1"/>
      <c r="H29" s="1"/>
      <c r="I29" s="1"/>
      <c r="J29" s="1"/>
      <c r="K29" s="1"/>
      <c r="L29" s="1"/>
      <c r="M29" s="1"/>
      <c r="N29" s="18"/>
    </row>
    <row r="30" spans="2:14" ht="15.75" customHeight="1" x14ac:dyDescent="0.25">
      <c r="B30" s="20"/>
      <c r="C30" s="7" t="s">
        <v>30</v>
      </c>
      <c r="D30" s="8"/>
      <c r="E30" s="12">
        <v>0.48955300000000002</v>
      </c>
      <c r="F30" s="1"/>
      <c r="G30" s="1"/>
      <c r="H30" s="1"/>
      <c r="I30" s="1"/>
      <c r="J30" s="1"/>
      <c r="K30" s="1"/>
      <c r="L30" s="1"/>
      <c r="M30" s="1"/>
      <c r="N30" s="18"/>
    </row>
    <row r="31" spans="2:14" ht="15" customHeight="1" x14ac:dyDescent="0.25">
      <c r="B31" s="20"/>
      <c r="C31" s="5" t="s">
        <v>264</v>
      </c>
      <c r="D31" s="6" t="s">
        <v>190</v>
      </c>
      <c r="E31" s="11">
        <v>2.0745E-2</v>
      </c>
      <c r="F31" s="1"/>
      <c r="G31" s="1"/>
      <c r="H31" s="1"/>
      <c r="I31" s="1"/>
      <c r="J31" s="1"/>
      <c r="K31" s="1"/>
      <c r="L31" s="1"/>
      <c r="M31" s="1"/>
      <c r="N31" s="18"/>
    </row>
    <row r="32" spans="2:14" ht="15.75" customHeight="1" x14ac:dyDescent="0.25">
      <c r="B32" s="20"/>
      <c r="C32" s="7" t="s">
        <v>48</v>
      </c>
      <c r="D32" s="8"/>
      <c r="E32" s="12">
        <v>2.0745E-2</v>
      </c>
      <c r="F32" s="1"/>
      <c r="G32" s="1"/>
      <c r="H32" s="1"/>
      <c r="I32" s="1"/>
      <c r="J32" s="1"/>
      <c r="K32" s="1"/>
      <c r="L32" s="1"/>
      <c r="M32" s="1"/>
      <c r="N32" s="18"/>
    </row>
    <row r="33" spans="2:14" ht="15" customHeight="1" x14ac:dyDescent="0.25">
      <c r="B33" s="20"/>
      <c r="C33" s="5" t="s">
        <v>31</v>
      </c>
      <c r="D33" s="6"/>
      <c r="E33" s="11">
        <v>1.2539999999999999E-3</v>
      </c>
      <c r="F33" s="1"/>
      <c r="G33" s="1"/>
      <c r="H33" s="1"/>
      <c r="I33" s="1"/>
      <c r="J33" s="1"/>
      <c r="K33" s="1"/>
      <c r="L33" s="1"/>
      <c r="M33" s="1"/>
      <c r="N33" s="18"/>
    </row>
    <row r="34" spans="2:14" ht="15.75" customHeight="1" x14ac:dyDescent="0.25">
      <c r="B34" s="20"/>
      <c r="C34" s="7" t="s">
        <v>32</v>
      </c>
      <c r="D34" s="8"/>
      <c r="E34" s="12">
        <v>1.2539999999999999E-3</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75" customHeight="1" x14ac:dyDescent="0.25">
      <c r="B36" s="20"/>
      <c r="C36" s="7" t="s">
        <v>33</v>
      </c>
      <c r="D36" s="8"/>
      <c r="E36" s="12">
        <v>1.7139999999999999E-2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9" t="s">
        <v>34</v>
      </c>
      <c r="D38" s="10"/>
      <c r="E38" s="13">
        <v>1</v>
      </c>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41" t="s">
        <v>337</v>
      </c>
      <c r="C45" s="42"/>
      <c r="D45" s="42"/>
      <c r="E45" s="42"/>
      <c r="F45" s="42"/>
      <c r="G45" s="42"/>
      <c r="H45" s="42"/>
      <c r="I45" s="42"/>
      <c r="J45" s="42"/>
      <c r="K45" s="42"/>
      <c r="L45" s="42"/>
      <c r="M45" s="42"/>
      <c r="N45" s="43"/>
    </row>
    <row r="46" spans="2:14" ht="15" customHeight="1" x14ac:dyDescent="0.25">
      <c r="B46" s="44"/>
      <c r="C46" s="45"/>
      <c r="D46" s="45"/>
      <c r="E46" s="45"/>
      <c r="F46" s="45"/>
      <c r="G46" s="45"/>
      <c r="H46" s="45"/>
      <c r="I46" s="45"/>
      <c r="J46" s="45"/>
      <c r="K46" s="45"/>
      <c r="L46" s="45"/>
      <c r="M46" s="45"/>
      <c r="N46" s="46"/>
    </row>
    <row r="47" spans="2:14" ht="15" customHeight="1" x14ac:dyDescent="0.25">
      <c r="B47" s="44"/>
      <c r="C47" s="45"/>
      <c r="D47" s="45"/>
      <c r="E47" s="45"/>
      <c r="F47" s="45"/>
      <c r="G47" s="45"/>
      <c r="H47" s="45"/>
      <c r="I47" s="45"/>
      <c r="J47" s="45"/>
      <c r="K47" s="45"/>
      <c r="L47" s="45"/>
      <c r="M47" s="45"/>
      <c r="N47" s="46"/>
    </row>
    <row r="48" spans="2:14" ht="15" customHeight="1" thickBot="1" x14ac:dyDescent="0.3">
      <c r="B48" s="47"/>
      <c r="C48" s="48"/>
      <c r="D48" s="48"/>
      <c r="E48" s="48"/>
      <c r="F48" s="48"/>
      <c r="G48" s="48"/>
      <c r="H48" s="48"/>
      <c r="I48" s="48"/>
      <c r="J48" s="48"/>
      <c r="K48" s="48"/>
      <c r="L48" s="48"/>
      <c r="M48" s="48"/>
      <c r="N48" s="49"/>
    </row>
    <row r="49" spans="2:14" ht="15" customHeight="1" thickBot="1" x14ac:dyDescent="0.3"/>
    <row r="50" spans="2:14" ht="129.75" customHeight="1" thickBot="1" x14ac:dyDescent="0.3">
      <c r="B50" s="50" t="s">
        <v>336</v>
      </c>
      <c r="C50" s="51"/>
      <c r="D50" s="51"/>
      <c r="E50" s="51"/>
      <c r="F50" s="51"/>
      <c r="G50" s="51"/>
      <c r="H50" s="51"/>
      <c r="I50" s="51"/>
      <c r="J50" s="51"/>
      <c r="K50" s="51"/>
      <c r="L50" s="51"/>
      <c r="M50" s="51"/>
      <c r="N50" s="52"/>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404CD-F312-454D-9F1A-F2DB2C64AA7B}">
  <dimension ref="B1:N7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8</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10</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169</v>
      </c>
      <c r="D8" s="6" t="s">
        <v>14</v>
      </c>
      <c r="E8" s="11">
        <v>3.9543000000000002E-2</v>
      </c>
      <c r="F8" s="1"/>
      <c r="G8" s="24" t="s">
        <v>4</v>
      </c>
      <c r="H8" s="25">
        <v>1</v>
      </c>
      <c r="I8" s="1"/>
      <c r="J8" s="24" t="s">
        <v>35</v>
      </c>
      <c r="K8" s="24" t="s">
        <v>3</v>
      </c>
      <c r="L8" s="1"/>
      <c r="M8" s="1"/>
      <c r="N8" s="18"/>
    </row>
    <row r="9" spans="2:14" ht="15" customHeight="1" x14ac:dyDescent="0.25">
      <c r="B9" s="20"/>
      <c r="C9" s="5" t="s">
        <v>42</v>
      </c>
      <c r="D9" s="6" t="s">
        <v>14</v>
      </c>
      <c r="E9" s="11">
        <v>2.2959E-2</v>
      </c>
      <c r="F9" s="1"/>
      <c r="G9" s="1"/>
      <c r="H9" s="1"/>
      <c r="I9" s="1"/>
      <c r="J9" s="24" t="s">
        <v>33</v>
      </c>
      <c r="K9" s="29">
        <v>1.7388000000000001E-2</v>
      </c>
      <c r="L9" s="1"/>
      <c r="M9" s="1"/>
      <c r="N9" s="18"/>
    </row>
    <row r="10" spans="2:14" ht="15" customHeight="1" x14ac:dyDescent="0.25">
      <c r="B10" s="20"/>
      <c r="C10" s="5" t="s">
        <v>127</v>
      </c>
      <c r="D10" s="6" t="s">
        <v>14</v>
      </c>
      <c r="E10" s="11">
        <v>2.0402E-2</v>
      </c>
      <c r="F10" s="1"/>
      <c r="G10" s="1"/>
      <c r="H10" s="1"/>
      <c r="I10" s="1"/>
      <c r="J10" s="24" t="s">
        <v>36</v>
      </c>
      <c r="K10" s="29">
        <v>4.9290000000000002E-3</v>
      </c>
      <c r="L10" s="1"/>
      <c r="M10" s="1"/>
      <c r="N10" s="18"/>
    </row>
    <row r="11" spans="2:14" ht="15" customHeight="1" x14ac:dyDescent="0.25">
      <c r="B11" s="20"/>
      <c r="C11" s="5" t="s">
        <v>130</v>
      </c>
      <c r="D11" s="6" t="s">
        <v>14</v>
      </c>
      <c r="E11" s="11">
        <v>1.8190999999999999E-2</v>
      </c>
      <c r="F11" s="1"/>
      <c r="G11" s="1"/>
      <c r="H11" s="1"/>
      <c r="I11" s="1"/>
      <c r="J11" s="24" t="s">
        <v>37</v>
      </c>
      <c r="K11" s="29">
        <v>0.110598</v>
      </c>
      <c r="L11" s="1"/>
      <c r="M11" s="1"/>
      <c r="N11" s="18"/>
    </row>
    <row r="12" spans="2:14" ht="15" customHeight="1" x14ac:dyDescent="0.25">
      <c r="B12" s="20"/>
      <c r="C12" s="5" t="s">
        <v>129</v>
      </c>
      <c r="D12" s="6" t="s">
        <v>14</v>
      </c>
      <c r="E12" s="11">
        <v>7.2859999999999999E-3</v>
      </c>
      <c r="F12" s="1"/>
      <c r="G12" s="1"/>
      <c r="H12" s="1"/>
      <c r="I12" s="1"/>
      <c r="J12" s="24" t="s">
        <v>38</v>
      </c>
      <c r="K12" s="29">
        <v>0.54162699999999997</v>
      </c>
      <c r="L12" s="1"/>
      <c r="M12" s="1"/>
      <c r="N12" s="18"/>
    </row>
    <row r="13" spans="2:14" ht="15" customHeight="1" x14ac:dyDescent="0.25">
      <c r="B13" s="20"/>
      <c r="C13" s="5" t="s">
        <v>188</v>
      </c>
      <c r="D13" s="6" t="s">
        <v>14</v>
      </c>
      <c r="E13" s="11">
        <v>1.8500000000000001E-3</v>
      </c>
      <c r="F13" s="1"/>
      <c r="G13" s="1"/>
      <c r="H13" s="1"/>
      <c r="I13" s="1"/>
      <c r="J13" s="24" t="s">
        <v>158</v>
      </c>
      <c r="K13" s="29">
        <v>5.3540999999999998E-2</v>
      </c>
      <c r="L13" s="1"/>
      <c r="M13" s="1"/>
      <c r="N13" s="18"/>
    </row>
    <row r="14" spans="2:14" ht="15" customHeight="1" x14ac:dyDescent="0.25">
      <c r="B14" s="20"/>
      <c r="C14" s="5" t="s">
        <v>68</v>
      </c>
      <c r="D14" s="6" t="s">
        <v>14</v>
      </c>
      <c r="E14" s="11">
        <v>3.6699999999999998E-4</v>
      </c>
      <c r="F14" s="1"/>
      <c r="G14" s="1"/>
      <c r="H14" s="1"/>
      <c r="I14" s="1"/>
      <c r="J14" s="24" t="s">
        <v>23</v>
      </c>
      <c r="K14" s="29">
        <v>2.823E-3</v>
      </c>
      <c r="L14" s="1"/>
      <c r="M14" s="1"/>
      <c r="N14" s="18"/>
    </row>
    <row r="15" spans="2:14" ht="15.75" customHeight="1" x14ac:dyDescent="0.25">
      <c r="B15" s="20"/>
      <c r="C15" s="7" t="s">
        <v>16</v>
      </c>
      <c r="D15" s="8"/>
      <c r="E15" s="12">
        <v>0.110598</v>
      </c>
      <c r="F15" s="1"/>
      <c r="G15" s="1"/>
      <c r="H15" s="1"/>
      <c r="I15" s="1"/>
      <c r="J15" s="24" t="s">
        <v>39</v>
      </c>
      <c r="K15" s="29">
        <v>0.26900499999999999</v>
      </c>
      <c r="L15" s="1"/>
      <c r="M15" s="1"/>
      <c r="N15" s="18"/>
    </row>
    <row r="16" spans="2:14" ht="15" customHeight="1" x14ac:dyDescent="0.25">
      <c r="B16" s="20"/>
      <c r="C16" s="5" t="s">
        <v>59</v>
      </c>
      <c r="D16" s="6" t="s">
        <v>14</v>
      </c>
      <c r="E16" s="11">
        <v>5.3540999999999998E-2</v>
      </c>
      <c r="F16" s="1"/>
      <c r="G16" s="1"/>
      <c r="H16" s="1"/>
      <c r="I16" s="1"/>
      <c r="J16" s="24" t="s">
        <v>49</v>
      </c>
      <c r="K16" s="29">
        <v>8.8999999999999995E-5</v>
      </c>
      <c r="L16" s="1"/>
      <c r="M16" s="1"/>
      <c r="N16" s="18"/>
    </row>
    <row r="17" spans="2:14" ht="15.75" customHeight="1" x14ac:dyDescent="0.25">
      <c r="B17" s="20"/>
      <c r="C17" s="7" t="s">
        <v>146</v>
      </c>
      <c r="D17" s="8"/>
      <c r="E17" s="12">
        <v>5.3540999999999998E-2</v>
      </c>
      <c r="F17" s="1"/>
      <c r="G17" s="1"/>
      <c r="H17" s="1"/>
      <c r="I17" s="1"/>
      <c r="J17" s="1"/>
      <c r="K17" s="1"/>
      <c r="L17" s="1"/>
      <c r="M17" s="1"/>
      <c r="N17" s="18"/>
    </row>
    <row r="18" spans="2:14" ht="15" customHeight="1" x14ac:dyDescent="0.25">
      <c r="B18" s="20"/>
      <c r="C18" s="5" t="s">
        <v>60</v>
      </c>
      <c r="D18" s="6" t="s">
        <v>18</v>
      </c>
      <c r="E18" s="11">
        <v>9.5576999999999995E-2</v>
      </c>
      <c r="F18" s="1"/>
      <c r="G18" s="1"/>
      <c r="H18" s="1"/>
      <c r="I18" s="1"/>
      <c r="J18" s="1"/>
      <c r="K18" s="1"/>
      <c r="L18" s="1"/>
      <c r="M18" s="1"/>
      <c r="N18" s="18"/>
    </row>
    <row r="19" spans="2:14" ht="15" customHeight="1" x14ac:dyDescent="0.25">
      <c r="B19" s="20"/>
      <c r="C19" s="5" t="s">
        <v>17</v>
      </c>
      <c r="D19" s="6" t="s">
        <v>18</v>
      </c>
      <c r="E19" s="11">
        <v>8.4600999999999996E-2</v>
      </c>
      <c r="F19" s="1"/>
      <c r="G19" s="1"/>
      <c r="H19" s="1"/>
      <c r="I19" s="1"/>
      <c r="J19" s="1"/>
      <c r="K19" s="1"/>
      <c r="L19" s="1"/>
      <c r="M19" s="1"/>
      <c r="N19" s="18"/>
    </row>
    <row r="20" spans="2:14" ht="15" customHeight="1" x14ac:dyDescent="0.25">
      <c r="B20" s="20"/>
      <c r="C20" s="5" t="s">
        <v>21</v>
      </c>
      <c r="D20" s="6" t="s">
        <v>18</v>
      </c>
      <c r="E20" s="11">
        <v>7.0054000000000005E-2</v>
      </c>
      <c r="F20" s="1"/>
      <c r="G20" s="1"/>
      <c r="H20" s="1"/>
      <c r="I20" s="1"/>
      <c r="J20" s="1"/>
      <c r="K20" s="1"/>
      <c r="L20" s="1"/>
      <c r="M20" s="1"/>
      <c r="N20" s="18"/>
    </row>
    <row r="21" spans="2:14" ht="15" customHeight="1" x14ac:dyDescent="0.25">
      <c r="B21" s="20"/>
      <c r="C21" s="5" t="s">
        <v>54</v>
      </c>
      <c r="D21" s="6" t="s">
        <v>18</v>
      </c>
      <c r="E21" s="11">
        <v>5.9288E-2</v>
      </c>
      <c r="F21" s="1"/>
      <c r="G21" s="1"/>
      <c r="H21" s="1"/>
      <c r="I21" s="1"/>
      <c r="J21" s="1"/>
      <c r="K21" s="1"/>
      <c r="L21" s="1"/>
      <c r="M21" s="1"/>
      <c r="N21" s="18"/>
    </row>
    <row r="22" spans="2:14" ht="15" customHeight="1" x14ac:dyDescent="0.25">
      <c r="B22" s="20"/>
      <c r="C22" s="5" t="s">
        <v>13</v>
      </c>
      <c r="D22" s="6" t="s">
        <v>18</v>
      </c>
      <c r="E22" s="11">
        <v>4.7891000000000003E-2</v>
      </c>
      <c r="F22" s="1"/>
      <c r="G22" s="1"/>
      <c r="H22" s="1"/>
      <c r="I22" s="1"/>
      <c r="J22" s="1"/>
      <c r="K22" s="1"/>
      <c r="L22" s="1"/>
      <c r="M22" s="1"/>
      <c r="N22" s="18"/>
    </row>
    <row r="23" spans="2:14" ht="15" customHeight="1" x14ac:dyDescent="0.25">
      <c r="B23" s="20"/>
      <c r="C23" s="5" t="s">
        <v>66</v>
      </c>
      <c r="D23" s="6" t="s">
        <v>18</v>
      </c>
      <c r="E23" s="11">
        <v>4.2675999999999999E-2</v>
      </c>
      <c r="F23" s="1"/>
      <c r="G23" s="1"/>
      <c r="H23" s="1"/>
      <c r="I23" s="1"/>
      <c r="J23" s="1"/>
      <c r="K23" s="1"/>
      <c r="L23" s="1"/>
      <c r="M23" s="1"/>
      <c r="N23" s="18"/>
    </row>
    <row r="24" spans="2:14" ht="15" customHeight="1" x14ac:dyDescent="0.25">
      <c r="B24" s="20"/>
      <c r="C24" s="5" t="s">
        <v>69</v>
      </c>
      <c r="D24" s="6" t="s">
        <v>18</v>
      </c>
      <c r="E24" s="11">
        <v>3.2230000000000002E-2</v>
      </c>
      <c r="F24" s="1"/>
      <c r="G24" s="58" t="s">
        <v>6</v>
      </c>
      <c r="H24" s="59"/>
      <c r="I24" s="59"/>
      <c r="J24" s="59"/>
      <c r="K24" s="59"/>
      <c r="L24" s="26">
        <v>3.0389310746784322</v>
      </c>
      <c r="M24" s="27"/>
      <c r="N24" s="28"/>
    </row>
    <row r="25" spans="2:14" ht="15" customHeight="1" x14ac:dyDescent="0.25">
      <c r="B25" s="20"/>
      <c r="C25" s="5" t="s">
        <v>64</v>
      </c>
      <c r="D25" s="6" t="s">
        <v>18</v>
      </c>
      <c r="E25" s="11">
        <v>2.9234E-2</v>
      </c>
      <c r="F25" s="1"/>
      <c r="G25" s="1"/>
      <c r="H25" s="1"/>
      <c r="I25" s="1"/>
      <c r="J25" s="1"/>
      <c r="K25" s="1"/>
      <c r="L25" s="1"/>
      <c r="M25" s="1"/>
      <c r="N25" s="18"/>
    </row>
    <row r="26" spans="2:14" ht="15" customHeight="1" x14ac:dyDescent="0.25">
      <c r="B26" s="20"/>
      <c r="C26" s="5" t="s">
        <v>58</v>
      </c>
      <c r="D26" s="6" t="s">
        <v>18</v>
      </c>
      <c r="E26" s="11">
        <v>1.9637999999999999E-2</v>
      </c>
      <c r="F26" s="1"/>
      <c r="G26" s="58" t="s">
        <v>7</v>
      </c>
      <c r="H26" s="59"/>
      <c r="I26" s="59"/>
      <c r="J26" s="59"/>
      <c r="K26" s="59"/>
      <c r="L26" s="59"/>
      <c r="M26" s="59"/>
      <c r="N26" s="60"/>
    </row>
    <row r="27" spans="2:14" ht="15" customHeight="1" x14ac:dyDescent="0.25">
      <c r="B27" s="20"/>
      <c r="C27" s="5" t="s">
        <v>70</v>
      </c>
      <c r="D27" s="6" t="s">
        <v>18</v>
      </c>
      <c r="E27" s="11">
        <v>1.7299999999999999E-2</v>
      </c>
      <c r="F27" s="1"/>
      <c r="G27" s="1"/>
      <c r="H27" s="1"/>
      <c r="I27" s="1"/>
      <c r="J27" s="1"/>
      <c r="K27" s="1"/>
      <c r="L27" s="1"/>
      <c r="M27" s="1"/>
      <c r="N27" s="18"/>
    </row>
    <row r="28" spans="2:14" ht="15" customHeight="1" x14ac:dyDescent="0.25">
      <c r="B28" s="20"/>
      <c r="C28" s="5" t="s">
        <v>68</v>
      </c>
      <c r="D28" s="6" t="s">
        <v>18</v>
      </c>
      <c r="E28" s="11">
        <v>1.7292999999999999E-2</v>
      </c>
      <c r="F28" s="1"/>
      <c r="G28" s="1"/>
      <c r="H28" s="1"/>
      <c r="I28" s="1"/>
      <c r="J28" s="1"/>
      <c r="K28" s="1"/>
      <c r="L28" s="1"/>
      <c r="M28" s="1"/>
      <c r="N28" s="18"/>
    </row>
    <row r="29" spans="2:14" ht="15" customHeight="1" x14ac:dyDescent="0.25">
      <c r="B29" s="20"/>
      <c r="C29" s="5" t="s">
        <v>59</v>
      </c>
      <c r="D29" s="6" t="s">
        <v>18</v>
      </c>
      <c r="E29" s="11">
        <v>1.6611999999999998E-2</v>
      </c>
      <c r="F29" s="1"/>
      <c r="G29" s="1"/>
      <c r="H29" s="1"/>
      <c r="I29" s="1"/>
      <c r="J29" s="1"/>
      <c r="K29" s="1"/>
      <c r="L29" s="1"/>
      <c r="M29" s="1"/>
      <c r="N29" s="18"/>
    </row>
    <row r="30" spans="2:14" ht="15" customHeight="1" x14ac:dyDescent="0.25">
      <c r="B30" s="20"/>
      <c r="C30" s="5" t="s">
        <v>63</v>
      </c>
      <c r="D30" s="6" t="s">
        <v>18</v>
      </c>
      <c r="E30" s="11">
        <v>3.542E-3</v>
      </c>
      <c r="F30" s="1"/>
      <c r="G30" s="1"/>
      <c r="H30" s="1"/>
      <c r="I30" s="1"/>
      <c r="J30" s="1"/>
      <c r="K30" s="1"/>
      <c r="L30" s="1"/>
      <c r="M30" s="1"/>
      <c r="N30" s="18"/>
    </row>
    <row r="31" spans="2:14" ht="15" customHeight="1" x14ac:dyDescent="0.25">
      <c r="B31" s="20"/>
      <c r="C31" s="5" t="s">
        <v>169</v>
      </c>
      <c r="D31" s="6" t="s">
        <v>18</v>
      </c>
      <c r="E31" s="11">
        <v>3.359E-3</v>
      </c>
      <c r="F31" s="1"/>
      <c r="G31" s="1"/>
      <c r="H31" s="1"/>
      <c r="I31" s="1"/>
      <c r="J31" s="1"/>
      <c r="K31" s="1"/>
      <c r="L31" s="1"/>
      <c r="M31" s="1"/>
      <c r="N31" s="18"/>
    </row>
    <row r="32" spans="2:14" ht="15" customHeight="1" x14ac:dyDescent="0.25">
      <c r="B32" s="20"/>
      <c r="C32" s="5" t="s">
        <v>189</v>
      </c>
      <c r="D32" s="6" t="s">
        <v>18</v>
      </c>
      <c r="E32" s="11">
        <v>1.8500000000000001E-3</v>
      </c>
      <c r="F32" s="1"/>
      <c r="G32" s="1"/>
      <c r="H32" s="1"/>
      <c r="I32" s="1"/>
      <c r="J32" s="1"/>
      <c r="K32" s="1"/>
      <c r="L32" s="1"/>
      <c r="M32" s="1"/>
      <c r="N32" s="18"/>
    </row>
    <row r="33" spans="2:14" ht="15" customHeight="1" x14ac:dyDescent="0.25">
      <c r="B33" s="20"/>
      <c r="C33" s="5" t="s">
        <v>20</v>
      </c>
      <c r="D33" s="6" t="s">
        <v>18</v>
      </c>
      <c r="E33" s="11">
        <v>3.7100000000000002E-4</v>
      </c>
      <c r="F33" s="1"/>
      <c r="G33" s="1"/>
      <c r="H33" s="1"/>
      <c r="I33" s="1"/>
      <c r="J33" s="1"/>
      <c r="K33" s="1"/>
      <c r="L33" s="1"/>
      <c r="M33" s="1"/>
      <c r="N33" s="18"/>
    </row>
    <row r="34" spans="2:14" ht="15" customHeight="1" x14ac:dyDescent="0.25">
      <c r="B34" s="20"/>
      <c r="C34" s="5" t="s">
        <v>42</v>
      </c>
      <c r="D34" s="6" t="s">
        <v>18</v>
      </c>
      <c r="E34" s="11">
        <v>1.11E-4</v>
      </c>
      <c r="F34" s="1"/>
      <c r="G34" s="1"/>
      <c r="H34" s="1"/>
      <c r="I34" s="1"/>
      <c r="J34" s="1"/>
      <c r="K34" s="1"/>
      <c r="L34" s="1"/>
      <c r="M34" s="1"/>
      <c r="N34" s="18"/>
    </row>
    <row r="35" spans="2:14" ht="15.75" customHeight="1" x14ac:dyDescent="0.25">
      <c r="B35" s="20"/>
      <c r="C35" s="7" t="s">
        <v>22</v>
      </c>
      <c r="D35" s="8"/>
      <c r="E35" s="12">
        <v>0.54162699999999997</v>
      </c>
      <c r="F35" s="1"/>
      <c r="G35" s="1"/>
      <c r="H35" s="1"/>
      <c r="I35" s="1"/>
      <c r="J35" s="1"/>
      <c r="K35" s="1"/>
      <c r="L35" s="1"/>
      <c r="M35" s="1"/>
      <c r="N35" s="18"/>
    </row>
    <row r="36" spans="2:14" ht="15" customHeight="1" x14ac:dyDescent="0.25">
      <c r="B36" s="20"/>
      <c r="C36" s="5" t="s">
        <v>23</v>
      </c>
      <c r="D36" s="6"/>
      <c r="E36" s="11">
        <v>2.823E-3</v>
      </c>
      <c r="F36" s="1"/>
      <c r="G36" s="1"/>
      <c r="H36" s="1"/>
      <c r="I36" s="1"/>
      <c r="J36" s="1"/>
      <c r="K36" s="1"/>
      <c r="L36" s="1"/>
      <c r="M36" s="1"/>
      <c r="N36" s="18"/>
    </row>
    <row r="37" spans="2:14" ht="15.75" customHeight="1" x14ac:dyDescent="0.25">
      <c r="B37" s="20"/>
      <c r="C37" s="7" t="s">
        <v>24</v>
      </c>
      <c r="D37" s="8"/>
      <c r="E37" s="12">
        <v>2.823E-3</v>
      </c>
      <c r="F37" s="1"/>
      <c r="G37" s="1"/>
      <c r="H37" s="1"/>
      <c r="I37" s="1"/>
      <c r="J37" s="1"/>
      <c r="K37" s="1"/>
      <c r="L37" s="1"/>
      <c r="M37" s="1"/>
      <c r="N37" s="18"/>
    </row>
    <row r="38" spans="2:14" ht="15" customHeight="1" x14ac:dyDescent="0.25">
      <c r="B38" s="20"/>
      <c r="C38" s="5" t="s">
        <v>45</v>
      </c>
      <c r="D38" s="6" t="s">
        <v>190</v>
      </c>
      <c r="E38" s="11">
        <v>0.136854</v>
      </c>
      <c r="F38" s="1"/>
      <c r="G38" s="1"/>
      <c r="H38" s="1"/>
      <c r="I38" s="1"/>
      <c r="J38" s="1"/>
      <c r="K38" s="1"/>
      <c r="L38" s="1"/>
      <c r="M38" s="1"/>
      <c r="N38" s="18"/>
    </row>
    <row r="39" spans="2:14" ht="15" customHeight="1" x14ac:dyDescent="0.25">
      <c r="B39" s="20"/>
      <c r="C39" s="5" t="s">
        <v>27</v>
      </c>
      <c r="D39" s="6" t="s">
        <v>190</v>
      </c>
      <c r="E39" s="11">
        <v>8.8969000000000006E-2</v>
      </c>
      <c r="F39" s="1"/>
      <c r="G39" s="1"/>
      <c r="H39" s="1"/>
      <c r="I39" s="1"/>
      <c r="J39" s="1"/>
      <c r="K39" s="1"/>
      <c r="L39" s="1"/>
      <c r="M39" s="1"/>
      <c r="N39" s="18"/>
    </row>
    <row r="40" spans="2:14" ht="15" customHeight="1" x14ac:dyDescent="0.25">
      <c r="B40" s="20"/>
      <c r="C40" s="5" t="s">
        <v>71</v>
      </c>
      <c r="D40" s="6" t="s">
        <v>190</v>
      </c>
      <c r="E40" s="11">
        <v>3.1392999999999997E-2</v>
      </c>
      <c r="F40" s="1"/>
      <c r="G40" s="1"/>
      <c r="H40" s="1"/>
      <c r="I40" s="1"/>
      <c r="J40" s="1"/>
      <c r="K40" s="1"/>
      <c r="L40" s="1"/>
      <c r="M40" s="1"/>
      <c r="N40" s="18"/>
    </row>
    <row r="41" spans="2:14" ht="15" customHeight="1" x14ac:dyDescent="0.25">
      <c r="B41" s="20"/>
      <c r="C41" s="5" t="s">
        <v>46</v>
      </c>
      <c r="D41" s="6" t="s">
        <v>190</v>
      </c>
      <c r="E41" s="11">
        <v>1.1789000000000001E-2</v>
      </c>
      <c r="F41" s="1"/>
      <c r="G41" s="1"/>
      <c r="H41" s="1"/>
      <c r="I41" s="1"/>
      <c r="J41" s="1"/>
      <c r="K41" s="1"/>
      <c r="L41" s="1"/>
      <c r="M41" s="1"/>
      <c r="N41" s="18"/>
    </row>
    <row r="42" spans="2:14" ht="15.75" customHeight="1" x14ac:dyDescent="0.25">
      <c r="B42" s="20"/>
      <c r="C42" s="7" t="s">
        <v>30</v>
      </c>
      <c r="D42" s="8"/>
      <c r="E42" s="12">
        <v>0.26900499999999999</v>
      </c>
      <c r="F42" s="1"/>
      <c r="G42" s="1"/>
      <c r="H42" s="1"/>
      <c r="I42" s="1"/>
      <c r="J42" s="1"/>
      <c r="K42" s="1"/>
      <c r="L42" s="1"/>
      <c r="M42" s="1"/>
      <c r="N42" s="18"/>
    </row>
    <row r="43" spans="2:14" ht="15" customHeight="1" x14ac:dyDescent="0.25">
      <c r="B43" s="20"/>
      <c r="C43" s="5" t="s">
        <v>265</v>
      </c>
      <c r="D43" s="6" t="s">
        <v>190</v>
      </c>
      <c r="E43" s="11">
        <v>8.8999999999999995E-5</v>
      </c>
      <c r="F43" s="1"/>
      <c r="G43" s="1"/>
      <c r="H43" s="1"/>
      <c r="I43" s="1"/>
      <c r="J43" s="1"/>
      <c r="K43" s="1"/>
      <c r="L43" s="1"/>
      <c r="M43" s="1"/>
      <c r="N43" s="18"/>
    </row>
    <row r="44" spans="2:14" ht="15.75" customHeight="1" x14ac:dyDescent="0.25">
      <c r="B44" s="20"/>
      <c r="C44" s="7" t="s">
        <v>48</v>
      </c>
      <c r="D44" s="8"/>
      <c r="E44" s="12">
        <v>8.8999999999999995E-5</v>
      </c>
      <c r="F44" s="1"/>
      <c r="G44" s="1"/>
      <c r="H44" s="1"/>
      <c r="I44" s="1"/>
      <c r="J44" s="1"/>
      <c r="K44" s="1"/>
      <c r="L44" s="1"/>
      <c r="M44" s="1"/>
      <c r="N44" s="18"/>
    </row>
    <row r="45" spans="2:14" ht="15" customHeight="1" x14ac:dyDescent="0.25">
      <c r="B45" s="20"/>
      <c r="C45" s="5" t="s">
        <v>31</v>
      </c>
      <c r="D45" s="6"/>
      <c r="E45" s="11">
        <v>4.9290000000000002E-3</v>
      </c>
      <c r="F45" s="1"/>
      <c r="G45" s="1"/>
      <c r="H45" s="1"/>
      <c r="I45" s="1"/>
      <c r="J45" s="1"/>
      <c r="K45" s="1"/>
      <c r="L45" s="1"/>
      <c r="M45" s="1"/>
      <c r="N45" s="18"/>
    </row>
    <row r="46" spans="2:14" ht="15.75" customHeight="1" x14ac:dyDescent="0.25">
      <c r="B46" s="20"/>
      <c r="C46" s="7" t="s">
        <v>32</v>
      </c>
      <c r="D46" s="8"/>
      <c r="E46" s="12">
        <v>4.9290000000000002E-3</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75" customHeight="1" x14ac:dyDescent="0.25">
      <c r="B48" s="20"/>
      <c r="C48" s="7" t="s">
        <v>33</v>
      </c>
      <c r="D48" s="8"/>
      <c r="E48" s="12">
        <v>1.7388000000000001E-2</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9" t="s">
        <v>34</v>
      </c>
      <c r="D50" s="10"/>
      <c r="E50" s="13">
        <v>1</v>
      </c>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5" customHeight="1" x14ac:dyDescent="0.25">
      <c r="B54" s="41" t="s">
        <v>337</v>
      </c>
      <c r="C54" s="42"/>
      <c r="D54" s="42"/>
      <c r="E54" s="42"/>
      <c r="F54" s="42"/>
      <c r="G54" s="42"/>
      <c r="H54" s="42"/>
      <c r="I54" s="42"/>
      <c r="J54" s="42"/>
      <c r="K54" s="42"/>
      <c r="L54" s="42"/>
      <c r="M54" s="42"/>
      <c r="N54" s="43"/>
    </row>
    <row r="55" spans="2:14" ht="15" customHeight="1" x14ac:dyDescent="0.25">
      <c r="B55" s="44"/>
      <c r="C55" s="45"/>
      <c r="D55" s="45"/>
      <c r="E55" s="45"/>
      <c r="F55" s="45"/>
      <c r="G55" s="45"/>
      <c r="H55" s="45"/>
      <c r="I55" s="45"/>
      <c r="J55" s="45"/>
      <c r="K55" s="45"/>
      <c r="L55" s="45"/>
      <c r="M55" s="45"/>
      <c r="N55" s="46"/>
    </row>
    <row r="56" spans="2:14" ht="15" customHeight="1" x14ac:dyDescent="0.25">
      <c r="B56" s="44"/>
      <c r="C56" s="45"/>
      <c r="D56" s="45"/>
      <c r="E56" s="45"/>
      <c r="F56" s="45"/>
      <c r="G56" s="45"/>
      <c r="H56" s="45"/>
      <c r="I56" s="45"/>
      <c r="J56" s="45"/>
      <c r="K56" s="45"/>
      <c r="L56" s="45"/>
      <c r="M56" s="45"/>
      <c r="N56" s="46"/>
    </row>
    <row r="57" spans="2:14" ht="15" customHeight="1" thickBot="1" x14ac:dyDescent="0.3">
      <c r="B57" s="47"/>
      <c r="C57" s="48"/>
      <c r="D57" s="48"/>
      <c r="E57" s="48"/>
      <c r="F57" s="48"/>
      <c r="G57" s="48"/>
      <c r="H57" s="48"/>
      <c r="I57" s="48"/>
      <c r="J57" s="48"/>
      <c r="K57" s="48"/>
      <c r="L57" s="48"/>
      <c r="M57" s="48"/>
      <c r="N57" s="49"/>
    </row>
    <row r="58" spans="2:14" ht="15" customHeight="1" thickBot="1" x14ac:dyDescent="0.3"/>
    <row r="59" spans="2:14" ht="127.5" customHeight="1" thickBot="1" x14ac:dyDescent="0.3">
      <c r="B59" s="50" t="s">
        <v>336</v>
      </c>
      <c r="C59" s="51"/>
      <c r="D59" s="51"/>
      <c r="E59" s="51"/>
      <c r="F59" s="51"/>
      <c r="G59" s="51"/>
      <c r="H59" s="51"/>
      <c r="I59" s="51"/>
      <c r="J59" s="51"/>
      <c r="K59" s="51"/>
      <c r="L59" s="51"/>
      <c r="M59" s="51"/>
      <c r="N59" s="52"/>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mergeCells count="7">
    <mergeCell ref="B59:N59"/>
    <mergeCell ref="C3:N3"/>
    <mergeCell ref="D5:E5"/>
    <mergeCell ref="G7:N7"/>
    <mergeCell ref="G24:K24"/>
    <mergeCell ref="G26:N26"/>
    <mergeCell ref="B54:N57"/>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BCF9C-B3B4-4AAF-979A-E4388BF1FDA4}">
  <dimension ref="B1:N71"/>
  <sheetViews>
    <sheetView showGridLines="0" zoomScale="75" zoomScaleNormal="75" workbookViewId="0">
      <selection activeCell="L24" sqref="L24"/>
    </sheetView>
  </sheetViews>
  <sheetFormatPr defaultRowHeight="15" x14ac:dyDescent="0.25"/>
  <cols>
    <col min="1" max="1" width="2.85546875" customWidth="1"/>
    <col min="2" max="2" width="3.85546875" customWidth="1"/>
    <col min="3" max="3" width="60.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56</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57</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20</v>
      </c>
      <c r="D8" s="6" t="s">
        <v>18</v>
      </c>
      <c r="E8" s="11">
        <v>0.100483</v>
      </c>
      <c r="F8" s="1"/>
      <c r="G8" s="24" t="s">
        <v>4</v>
      </c>
      <c r="H8" s="25">
        <v>1</v>
      </c>
      <c r="I8" s="1"/>
      <c r="J8" s="24" t="s">
        <v>35</v>
      </c>
      <c r="K8" s="24" t="s">
        <v>3</v>
      </c>
      <c r="L8" s="1"/>
      <c r="M8" s="1"/>
      <c r="N8" s="18"/>
    </row>
    <row r="9" spans="2:14" ht="15" customHeight="1" x14ac:dyDescent="0.25">
      <c r="B9" s="20"/>
      <c r="C9" s="5" t="s">
        <v>58</v>
      </c>
      <c r="D9" s="6" t="s">
        <v>18</v>
      </c>
      <c r="E9" s="11">
        <v>8.1097000000000002E-2</v>
      </c>
      <c r="F9" s="1"/>
      <c r="G9" s="1"/>
      <c r="H9" s="1"/>
      <c r="I9" s="1"/>
      <c r="J9" s="24" t="s">
        <v>33</v>
      </c>
      <c r="K9" s="29">
        <v>3.8494E-2</v>
      </c>
      <c r="L9" s="1"/>
      <c r="M9" s="1"/>
      <c r="N9" s="18"/>
    </row>
    <row r="10" spans="2:14" ht="15" customHeight="1" x14ac:dyDescent="0.25">
      <c r="B10" s="20"/>
      <c r="C10" s="5" t="s">
        <v>17</v>
      </c>
      <c r="D10" s="6" t="s">
        <v>18</v>
      </c>
      <c r="E10" s="11">
        <v>8.1025E-2</v>
      </c>
      <c r="F10" s="1"/>
      <c r="G10" s="1"/>
      <c r="H10" s="1"/>
      <c r="I10" s="1"/>
      <c r="J10" s="24" t="s">
        <v>36</v>
      </c>
      <c r="K10" s="29">
        <v>1.635E-3</v>
      </c>
      <c r="L10" s="1"/>
      <c r="M10" s="1"/>
      <c r="N10" s="18"/>
    </row>
    <row r="11" spans="2:14" ht="15" customHeight="1" x14ac:dyDescent="0.25">
      <c r="B11" s="20"/>
      <c r="C11" s="5" t="s">
        <v>59</v>
      </c>
      <c r="D11" s="6" t="s">
        <v>18</v>
      </c>
      <c r="E11" s="11">
        <v>8.0278000000000002E-2</v>
      </c>
      <c r="F11" s="1"/>
      <c r="G11" s="1"/>
      <c r="H11" s="1"/>
      <c r="I11" s="1"/>
      <c r="J11" s="24" t="s">
        <v>38</v>
      </c>
      <c r="K11" s="29">
        <v>0.68688400000000016</v>
      </c>
      <c r="L11" s="1"/>
      <c r="M11" s="1"/>
      <c r="N11" s="18"/>
    </row>
    <row r="12" spans="2:14" ht="15" customHeight="1" x14ac:dyDescent="0.25">
      <c r="B12" s="20"/>
      <c r="C12" s="5" t="s">
        <v>53</v>
      </c>
      <c r="D12" s="6" t="s">
        <v>18</v>
      </c>
      <c r="E12" s="11">
        <v>3.8913999999999997E-2</v>
      </c>
      <c r="F12" s="1"/>
      <c r="G12" s="1"/>
      <c r="H12" s="1"/>
      <c r="I12" s="1"/>
      <c r="J12" s="24" t="s">
        <v>23</v>
      </c>
      <c r="K12" s="29">
        <v>2.921E-3</v>
      </c>
      <c r="L12" s="1"/>
      <c r="M12" s="1"/>
      <c r="N12" s="18"/>
    </row>
    <row r="13" spans="2:14" ht="15" customHeight="1" x14ac:dyDescent="0.25">
      <c r="B13" s="20"/>
      <c r="C13" s="5" t="s">
        <v>60</v>
      </c>
      <c r="D13" s="6" t="s">
        <v>18</v>
      </c>
      <c r="E13" s="11">
        <v>3.6227000000000002E-2</v>
      </c>
      <c r="F13" s="1"/>
      <c r="G13" s="1"/>
      <c r="H13" s="1"/>
      <c r="I13" s="1"/>
      <c r="J13" s="24" t="s">
        <v>39</v>
      </c>
      <c r="K13" s="29">
        <v>0.26988600000000001</v>
      </c>
      <c r="L13" s="1"/>
      <c r="M13" s="1"/>
      <c r="N13" s="18"/>
    </row>
    <row r="14" spans="2:14" ht="15" customHeight="1" x14ac:dyDescent="0.25">
      <c r="B14" s="20"/>
      <c r="C14" s="5" t="s">
        <v>13</v>
      </c>
      <c r="D14" s="6" t="s">
        <v>18</v>
      </c>
      <c r="E14" s="11">
        <v>3.5812999999999998E-2</v>
      </c>
      <c r="F14" s="1"/>
      <c r="G14" s="1"/>
      <c r="H14" s="1"/>
      <c r="I14" s="1"/>
      <c r="J14" s="24"/>
      <c r="K14" s="29"/>
      <c r="L14" s="1"/>
      <c r="M14" s="1"/>
      <c r="N14" s="18"/>
    </row>
    <row r="15" spans="2:14" ht="15" customHeight="1" x14ac:dyDescent="0.25">
      <c r="B15" s="20"/>
      <c r="C15" s="5" t="s">
        <v>19</v>
      </c>
      <c r="D15" s="6" t="s">
        <v>18</v>
      </c>
      <c r="E15" s="11">
        <v>3.2725999999999998E-2</v>
      </c>
      <c r="F15" s="1"/>
      <c r="G15" s="1"/>
      <c r="H15" s="1"/>
      <c r="I15" s="1"/>
      <c r="J15" s="24" t="s">
        <v>49</v>
      </c>
      <c r="K15" s="29">
        <v>1.8000000000000001E-4</v>
      </c>
      <c r="L15" s="1"/>
      <c r="M15" s="1"/>
      <c r="N15" s="18"/>
    </row>
    <row r="16" spans="2:14" ht="15" customHeight="1" x14ac:dyDescent="0.25">
      <c r="B16" s="20"/>
      <c r="C16" s="5" t="s">
        <v>21</v>
      </c>
      <c r="D16" s="6" t="s">
        <v>18</v>
      </c>
      <c r="E16" s="11">
        <v>3.2231000000000003E-2</v>
      </c>
      <c r="F16" s="1"/>
      <c r="G16" s="1"/>
      <c r="H16" s="1"/>
      <c r="I16" s="1"/>
      <c r="J16" s="1"/>
      <c r="K16" s="1"/>
      <c r="L16" s="1"/>
      <c r="M16" s="1"/>
      <c r="N16" s="18"/>
    </row>
    <row r="17" spans="2:14" ht="15" customHeight="1" x14ac:dyDescent="0.25">
      <c r="B17" s="20"/>
      <c r="C17" s="5" t="s">
        <v>61</v>
      </c>
      <c r="D17" s="6" t="s">
        <v>18</v>
      </c>
      <c r="E17" s="11">
        <v>3.0998999999999999E-2</v>
      </c>
      <c r="F17" s="1"/>
      <c r="G17" s="1"/>
      <c r="H17" s="1"/>
      <c r="I17" s="1"/>
      <c r="J17" s="1"/>
      <c r="K17" s="1"/>
      <c r="L17" s="1"/>
      <c r="M17" s="1"/>
      <c r="N17" s="18"/>
    </row>
    <row r="18" spans="2:14" ht="15" customHeight="1" x14ac:dyDescent="0.25">
      <c r="B18" s="20"/>
      <c r="C18" s="5" t="s">
        <v>62</v>
      </c>
      <c r="D18" s="6" t="s">
        <v>18</v>
      </c>
      <c r="E18" s="11">
        <v>2.0875000000000001E-2</v>
      </c>
      <c r="F18" s="1"/>
      <c r="G18" s="1"/>
      <c r="H18" s="1"/>
      <c r="I18" s="1"/>
      <c r="J18" s="1"/>
      <c r="K18" s="1"/>
      <c r="L18" s="1"/>
      <c r="M18" s="1"/>
      <c r="N18" s="18"/>
    </row>
    <row r="19" spans="2:14" ht="15" customHeight="1" x14ac:dyDescent="0.25">
      <c r="B19" s="20"/>
      <c r="C19" s="5" t="s">
        <v>63</v>
      </c>
      <c r="D19" s="6" t="s">
        <v>18</v>
      </c>
      <c r="E19" s="11">
        <v>1.8780000000000002E-2</v>
      </c>
      <c r="F19" s="1"/>
      <c r="G19" s="1"/>
      <c r="H19" s="1"/>
      <c r="I19" s="1"/>
      <c r="J19" s="1"/>
      <c r="K19" s="1"/>
      <c r="L19" s="1"/>
      <c r="M19" s="1"/>
      <c r="N19" s="18"/>
    </row>
    <row r="20" spans="2:14" ht="15" customHeight="1" x14ac:dyDescent="0.25">
      <c r="B20" s="20"/>
      <c r="C20" s="5" t="s">
        <v>43</v>
      </c>
      <c r="D20" s="6" t="s">
        <v>18</v>
      </c>
      <c r="E20" s="11">
        <v>1.4498E-2</v>
      </c>
      <c r="F20" s="1"/>
      <c r="G20" s="1"/>
      <c r="H20" s="1"/>
      <c r="I20" s="1"/>
      <c r="J20" s="1"/>
      <c r="K20" s="1"/>
      <c r="L20" s="1"/>
      <c r="M20" s="1"/>
      <c r="N20" s="18"/>
    </row>
    <row r="21" spans="2:14" ht="15" customHeight="1" x14ac:dyDescent="0.25">
      <c r="B21" s="20"/>
      <c r="C21" s="5" t="s">
        <v>64</v>
      </c>
      <c r="D21" s="6" t="s">
        <v>18</v>
      </c>
      <c r="E21" s="11">
        <v>1.3944E-2</v>
      </c>
      <c r="F21" s="1"/>
      <c r="G21" s="1"/>
      <c r="H21" s="1"/>
      <c r="I21" s="1"/>
      <c r="J21" s="1"/>
      <c r="K21" s="1"/>
      <c r="L21" s="1"/>
      <c r="M21" s="1"/>
      <c r="N21" s="18"/>
    </row>
    <row r="22" spans="2:14" ht="15" customHeight="1" x14ac:dyDescent="0.25">
      <c r="B22" s="20"/>
      <c r="C22" s="5" t="s">
        <v>44</v>
      </c>
      <c r="D22" s="6" t="s">
        <v>18</v>
      </c>
      <c r="E22" s="11">
        <v>1.2011000000000001E-2</v>
      </c>
      <c r="F22" s="1"/>
      <c r="G22" s="1"/>
      <c r="H22" s="1"/>
      <c r="I22" s="1"/>
      <c r="J22" s="1"/>
      <c r="K22" s="1"/>
      <c r="L22" s="1"/>
      <c r="M22" s="1"/>
      <c r="N22" s="18"/>
    </row>
    <row r="23" spans="2:14" ht="15" customHeight="1" x14ac:dyDescent="0.25">
      <c r="B23" s="20"/>
      <c r="C23" s="5" t="s">
        <v>65</v>
      </c>
      <c r="D23" s="6" t="s">
        <v>18</v>
      </c>
      <c r="E23" s="11">
        <v>9.3799999999999994E-3</v>
      </c>
      <c r="F23" s="1"/>
      <c r="G23" s="1"/>
      <c r="H23" s="1"/>
      <c r="I23" s="1"/>
      <c r="J23" s="1"/>
      <c r="K23" s="1"/>
      <c r="L23" s="1"/>
      <c r="M23" s="1"/>
      <c r="N23" s="18"/>
    </row>
    <row r="24" spans="2:14" ht="15" customHeight="1" x14ac:dyDescent="0.25">
      <c r="B24" s="20"/>
      <c r="C24" s="5" t="s">
        <v>66</v>
      </c>
      <c r="D24" s="6" t="s">
        <v>18</v>
      </c>
      <c r="E24" s="11">
        <v>9.0980000000000002E-3</v>
      </c>
      <c r="F24" s="1"/>
      <c r="G24" s="58" t="s">
        <v>6</v>
      </c>
      <c r="H24" s="59"/>
      <c r="I24" s="59"/>
      <c r="J24" s="59"/>
      <c r="K24" s="59"/>
      <c r="L24" s="26">
        <v>3.9173666105644105</v>
      </c>
      <c r="M24" s="27"/>
      <c r="N24" s="28"/>
    </row>
    <row r="25" spans="2:14" ht="15" customHeight="1" x14ac:dyDescent="0.25">
      <c r="B25" s="20"/>
      <c r="C25" s="5" t="s">
        <v>67</v>
      </c>
      <c r="D25" s="6" t="s">
        <v>18</v>
      </c>
      <c r="E25" s="11">
        <v>9.0880000000000006E-3</v>
      </c>
      <c r="F25" s="1"/>
      <c r="G25" s="1"/>
      <c r="H25" s="1"/>
      <c r="I25" s="1"/>
      <c r="J25" s="1"/>
      <c r="K25" s="1"/>
      <c r="L25" s="1"/>
      <c r="M25" s="1"/>
      <c r="N25" s="18"/>
    </row>
    <row r="26" spans="2:14" ht="15" customHeight="1" x14ac:dyDescent="0.25">
      <c r="B26" s="20"/>
      <c r="C26" s="5" t="s">
        <v>54</v>
      </c>
      <c r="D26" s="6" t="s">
        <v>18</v>
      </c>
      <c r="E26" s="11">
        <v>7.3099999999999997E-3</v>
      </c>
      <c r="F26" s="1"/>
      <c r="G26" s="58" t="s">
        <v>7</v>
      </c>
      <c r="H26" s="59"/>
      <c r="I26" s="59"/>
      <c r="J26" s="59"/>
      <c r="K26" s="59"/>
      <c r="L26" s="59"/>
      <c r="M26" s="59"/>
      <c r="N26" s="60"/>
    </row>
    <row r="27" spans="2:14" ht="15" customHeight="1" x14ac:dyDescent="0.25">
      <c r="B27" s="20"/>
      <c r="C27" s="5" t="s">
        <v>68</v>
      </c>
      <c r="D27" s="6" t="s">
        <v>18</v>
      </c>
      <c r="E27" s="11">
        <v>7.2090000000000001E-3</v>
      </c>
      <c r="F27" s="1"/>
      <c r="G27" s="1"/>
      <c r="H27" s="1"/>
      <c r="I27" s="1"/>
      <c r="J27" s="1"/>
      <c r="K27" s="1"/>
      <c r="L27" s="1"/>
      <c r="M27" s="1"/>
      <c r="N27" s="18"/>
    </row>
    <row r="28" spans="2:14" ht="15" customHeight="1" x14ac:dyDescent="0.25">
      <c r="B28" s="20"/>
      <c r="C28" s="5" t="s">
        <v>69</v>
      </c>
      <c r="D28" s="6" t="s">
        <v>18</v>
      </c>
      <c r="E28" s="11">
        <v>2.16E-3</v>
      </c>
      <c r="F28" s="1"/>
      <c r="G28" s="1"/>
      <c r="H28" s="1"/>
      <c r="I28" s="1"/>
      <c r="J28" s="1"/>
      <c r="K28" s="1"/>
      <c r="L28" s="1"/>
      <c r="M28" s="1"/>
      <c r="N28" s="18"/>
    </row>
    <row r="29" spans="2:14" ht="15" customHeight="1" x14ac:dyDescent="0.25">
      <c r="B29" s="20"/>
      <c r="C29" s="5" t="s">
        <v>52</v>
      </c>
      <c r="D29" s="6" t="s">
        <v>18</v>
      </c>
      <c r="E29" s="11">
        <v>1.812E-3</v>
      </c>
      <c r="F29" s="1"/>
      <c r="G29" s="1"/>
      <c r="H29" s="1"/>
      <c r="I29" s="1"/>
      <c r="J29" s="1"/>
      <c r="K29" s="1"/>
      <c r="L29" s="1"/>
      <c r="M29" s="1"/>
      <c r="N29" s="18"/>
    </row>
    <row r="30" spans="2:14" ht="15" customHeight="1" x14ac:dyDescent="0.25">
      <c r="B30" s="20"/>
      <c r="C30" s="5" t="s">
        <v>70</v>
      </c>
      <c r="D30" s="6" t="s">
        <v>18</v>
      </c>
      <c r="E30" s="11">
        <v>7.36E-4</v>
      </c>
      <c r="F30" s="1"/>
      <c r="G30" s="1"/>
      <c r="H30" s="1"/>
      <c r="I30" s="1"/>
      <c r="J30" s="1"/>
      <c r="K30" s="1"/>
      <c r="L30" s="1"/>
      <c r="M30" s="1"/>
      <c r="N30" s="18"/>
    </row>
    <row r="31" spans="2:14" ht="15.75" customHeight="1" x14ac:dyDescent="0.25">
      <c r="B31" s="20"/>
      <c r="C31" s="5" t="s">
        <v>266</v>
      </c>
      <c r="D31" s="6" t="s">
        <v>18</v>
      </c>
      <c r="E31" s="11">
        <v>8.3389999999999992E-3</v>
      </c>
      <c r="F31" s="1"/>
      <c r="G31" s="1"/>
      <c r="H31" s="1"/>
      <c r="I31" s="1"/>
      <c r="J31" s="1"/>
      <c r="K31" s="1"/>
      <c r="L31" s="1"/>
      <c r="M31" s="1"/>
      <c r="N31" s="18"/>
    </row>
    <row r="32" spans="2:14" ht="15" customHeight="1" x14ac:dyDescent="0.25">
      <c r="B32" s="20"/>
      <c r="C32" s="5" t="s">
        <v>267</v>
      </c>
      <c r="D32" s="6" t="s">
        <v>18</v>
      </c>
      <c r="E32" s="11">
        <v>1.851E-3</v>
      </c>
      <c r="F32" s="1"/>
      <c r="G32" s="1"/>
      <c r="H32" s="1"/>
      <c r="I32" s="1"/>
      <c r="J32" s="1"/>
      <c r="K32" s="1"/>
      <c r="L32" s="1"/>
      <c r="M32" s="1"/>
      <c r="N32" s="18"/>
    </row>
    <row r="33" spans="2:14" ht="15.75" customHeight="1" x14ac:dyDescent="0.25">
      <c r="B33" s="20"/>
      <c r="C33" s="7" t="s">
        <v>22</v>
      </c>
      <c r="D33" s="8"/>
      <c r="E33" s="12">
        <v>0.68688400000000016</v>
      </c>
      <c r="F33" s="1"/>
      <c r="G33" s="1"/>
      <c r="H33" s="1"/>
      <c r="I33" s="1"/>
      <c r="J33" s="1"/>
      <c r="K33" s="1"/>
      <c r="L33" s="1"/>
      <c r="M33" s="1"/>
      <c r="N33" s="18"/>
    </row>
    <row r="34" spans="2:14" ht="15" customHeight="1" x14ac:dyDescent="0.25">
      <c r="B34" s="20"/>
      <c r="C34" s="5" t="s">
        <v>23</v>
      </c>
      <c r="D34" s="6"/>
      <c r="E34" s="11">
        <v>2.921E-3</v>
      </c>
      <c r="F34" s="1"/>
      <c r="G34" s="1"/>
      <c r="H34" s="1"/>
      <c r="I34" s="1"/>
      <c r="J34" s="1"/>
      <c r="K34" s="1"/>
      <c r="L34" s="1"/>
      <c r="M34" s="1"/>
      <c r="N34" s="18"/>
    </row>
    <row r="35" spans="2:14" ht="15" customHeight="1" x14ac:dyDescent="0.25">
      <c r="B35" s="20"/>
      <c r="C35" s="7" t="s">
        <v>24</v>
      </c>
      <c r="D35" s="8"/>
      <c r="E35" s="12">
        <v>2.921E-3</v>
      </c>
      <c r="F35" s="1"/>
      <c r="G35" s="1"/>
      <c r="H35" s="1"/>
      <c r="I35" s="1"/>
      <c r="J35" s="1"/>
      <c r="K35" s="1"/>
      <c r="L35" s="1"/>
      <c r="M35" s="1"/>
      <c r="N35" s="18"/>
    </row>
    <row r="36" spans="2:14" ht="15" customHeight="1" x14ac:dyDescent="0.25">
      <c r="B36" s="20"/>
      <c r="C36" s="5" t="s">
        <v>45</v>
      </c>
      <c r="D36" s="6" t="s">
        <v>190</v>
      </c>
      <c r="E36" s="11">
        <v>0.17805599999999999</v>
      </c>
      <c r="F36" s="1"/>
      <c r="G36" s="1"/>
      <c r="H36" s="1"/>
      <c r="I36" s="1"/>
      <c r="J36" s="1"/>
      <c r="K36" s="1"/>
      <c r="L36" s="1"/>
      <c r="M36" s="1"/>
      <c r="N36" s="18"/>
    </row>
    <row r="37" spans="2:14" ht="15.75" customHeight="1" x14ac:dyDescent="0.25">
      <c r="B37" s="20"/>
      <c r="C37" s="5" t="s">
        <v>71</v>
      </c>
      <c r="D37" s="6" t="s">
        <v>190</v>
      </c>
      <c r="E37" s="11">
        <v>8.9984999999999996E-2</v>
      </c>
      <c r="F37" s="1"/>
      <c r="G37" s="1"/>
      <c r="H37" s="1"/>
      <c r="I37" s="1"/>
      <c r="J37" s="1"/>
      <c r="K37" s="1"/>
      <c r="L37" s="1"/>
      <c r="M37" s="1"/>
      <c r="N37" s="18"/>
    </row>
    <row r="38" spans="2:14" ht="15" customHeight="1" x14ac:dyDescent="0.25">
      <c r="B38" s="20"/>
      <c r="C38" s="5" t="s">
        <v>27</v>
      </c>
      <c r="D38" s="6" t="s">
        <v>190</v>
      </c>
      <c r="E38" s="11">
        <v>1.8450000000000001E-3</v>
      </c>
      <c r="F38" s="1"/>
      <c r="G38" s="1"/>
      <c r="H38" s="1"/>
      <c r="I38" s="1"/>
      <c r="J38" s="1"/>
      <c r="K38" s="1"/>
      <c r="L38" s="1"/>
      <c r="M38" s="1"/>
      <c r="N38" s="18"/>
    </row>
    <row r="39" spans="2:14" ht="15" customHeight="1" x14ac:dyDescent="0.25">
      <c r="B39" s="20"/>
      <c r="C39" s="7" t="s">
        <v>30</v>
      </c>
      <c r="D39" s="8"/>
      <c r="E39" s="12">
        <v>0.26988600000000001</v>
      </c>
      <c r="F39" s="1"/>
      <c r="G39" s="1"/>
      <c r="H39" s="1"/>
      <c r="I39" s="1"/>
      <c r="J39" s="1"/>
      <c r="K39" s="1"/>
      <c r="L39" s="1"/>
      <c r="M39" s="1"/>
      <c r="N39" s="18"/>
    </row>
    <row r="40" spans="2:14" ht="15.75" customHeight="1" x14ac:dyDescent="0.25">
      <c r="B40" s="20"/>
      <c r="C40" s="5" t="s">
        <v>268</v>
      </c>
      <c r="D40" s="6" t="s">
        <v>190</v>
      </c>
      <c r="E40" s="11">
        <v>1.8000000000000001E-4</v>
      </c>
      <c r="F40" s="1"/>
      <c r="G40" s="1"/>
      <c r="H40" s="1"/>
      <c r="I40" s="1"/>
      <c r="J40" s="1"/>
      <c r="K40" s="1"/>
      <c r="L40" s="1"/>
      <c r="M40" s="1"/>
      <c r="N40" s="18"/>
    </row>
    <row r="41" spans="2:14" ht="15" customHeight="1" x14ac:dyDescent="0.25">
      <c r="B41" s="20"/>
      <c r="C41" s="7" t="s">
        <v>48</v>
      </c>
      <c r="D41" s="8"/>
      <c r="E41" s="12">
        <v>1.8000000000000001E-4</v>
      </c>
      <c r="F41" s="1"/>
      <c r="G41" s="1"/>
      <c r="H41" s="1"/>
      <c r="I41" s="1"/>
      <c r="J41" s="1"/>
      <c r="K41" s="1"/>
      <c r="L41" s="1"/>
      <c r="M41" s="1"/>
      <c r="N41" s="18"/>
    </row>
    <row r="42" spans="2:14" ht="15.75" customHeight="1" x14ac:dyDescent="0.25">
      <c r="B42" s="20"/>
      <c r="C42" s="5" t="s">
        <v>31</v>
      </c>
      <c r="D42" s="6"/>
      <c r="E42" s="11">
        <v>1.635E-3</v>
      </c>
      <c r="F42" s="1"/>
      <c r="G42" s="1"/>
      <c r="H42" s="1"/>
      <c r="I42" s="1"/>
      <c r="J42" s="1"/>
      <c r="K42" s="1"/>
      <c r="L42" s="1"/>
      <c r="M42" s="1"/>
      <c r="N42" s="18"/>
    </row>
    <row r="43" spans="2:14" ht="15" customHeight="1" x14ac:dyDescent="0.25">
      <c r="B43" s="20"/>
      <c r="C43" s="7" t="s">
        <v>32</v>
      </c>
      <c r="D43" s="8"/>
      <c r="E43" s="12">
        <v>1.635E-3</v>
      </c>
      <c r="F43" s="1"/>
      <c r="G43" s="1"/>
      <c r="H43" s="1"/>
      <c r="I43" s="1"/>
      <c r="J43" s="1"/>
      <c r="K43" s="1"/>
      <c r="L43" s="1"/>
      <c r="M43" s="1"/>
      <c r="N43" s="18"/>
    </row>
    <row r="44" spans="2:14" ht="15.75" customHeight="1" x14ac:dyDescent="0.25">
      <c r="B44" s="20"/>
      <c r="C44" s="5"/>
      <c r="D44" s="6"/>
      <c r="E44" s="11"/>
      <c r="F44" s="1"/>
      <c r="G44" s="1"/>
      <c r="H44" s="1"/>
      <c r="I44" s="1"/>
      <c r="J44" s="1"/>
      <c r="K44" s="1"/>
      <c r="L44" s="1"/>
      <c r="M44" s="1"/>
      <c r="N44" s="18"/>
    </row>
    <row r="45" spans="2:14" ht="15" customHeight="1" x14ac:dyDescent="0.25">
      <c r="B45" s="20"/>
      <c r="C45" s="7" t="s">
        <v>33</v>
      </c>
      <c r="D45" s="8"/>
      <c r="E45" s="12">
        <v>3.8494E-2</v>
      </c>
      <c r="F45" s="1"/>
      <c r="G45" s="1"/>
      <c r="H45" s="1"/>
      <c r="I45" s="1"/>
      <c r="J45" s="1"/>
      <c r="K45" s="1"/>
      <c r="L45" s="1"/>
      <c r="M45" s="1"/>
      <c r="N45" s="18"/>
    </row>
    <row r="46" spans="2:14" ht="15.75" customHeight="1" x14ac:dyDescent="0.25">
      <c r="B46" s="20"/>
      <c r="C46" s="5"/>
      <c r="D46" s="6"/>
      <c r="E46" s="11"/>
      <c r="F46" s="1"/>
      <c r="G46" s="1"/>
      <c r="H46" s="1"/>
      <c r="I46" s="1"/>
      <c r="J46" s="1"/>
      <c r="K46" s="1"/>
      <c r="L46" s="1"/>
      <c r="M46" s="1"/>
      <c r="N46" s="18"/>
    </row>
    <row r="47" spans="2:14" ht="15" customHeight="1" x14ac:dyDescent="0.25">
      <c r="B47" s="20"/>
      <c r="C47" s="9" t="s">
        <v>34</v>
      </c>
      <c r="D47" s="10"/>
      <c r="E47" s="13">
        <v>1</v>
      </c>
      <c r="F47" s="1"/>
      <c r="G47" s="1"/>
      <c r="H47" s="1"/>
      <c r="I47" s="1"/>
      <c r="J47" s="1"/>
      <c r="K47" s="1"/>
      <c r="L47" s="1"/>
      <c r="M47" s="1"/>
      <c r="N47" s="18"/>
    </row>
    <row r="48" spans="2:14" ht="15" customHeight="1" x14ac:dyDescent="0.25">
      <c r="B48" s="20"/>
      <c r="C48" t="s">
        <v>334</v>
      </c>
      <c r="F48" s="1"/>
      <c r="G48" s="1"/>
      <c r="H48" s="1"/>
      <c r="I48" s="1"/>
      <c r="J48" s="1"/>
      <c r="K48" s="1"/>
      <c r="L48" s="1"/>
      <c r="M48" s="1"/>
      <c r="N48" s="18"/>
    </row>
    <row r="49" spans="2:14" ht="15" customHeight="1" thickBot="1" x14ac:dyDescent="0.3">
      <c r="B49" s="21"/>
      <c r="C49" s="22"/>
      <c r="D49" s="22"/>
      <c r="E49" s="22"/>
      <c r="F49" s="22"/>
      <c r="G49" s="22"/>
      <c r="H49" s="22"/>
      <c r="I49" s="22"/>
      <c r="J49" s="22"/>
      <c r="K49" s="22"/>
      <c r="L49" s="22"/>
      <c r="M49" s="22"/>
      <c r="N49" s="23"/>
    </row>
    <row r="50" spans="2:14" ht="15" customHeight="1" thickBot="1" x14ac:dyDescent="0.3"/>
    <row r="51" spans="2:14" ht="15" customHeight="1" x14ac:dyDescent="0.25">
      <c r="B51" s="41" t="s">
        <v>337</v>
      </c>
      <c r="C51" s="42"/>
      <c r="D51" s="42"/>
      <c r="E51" s="42"/>
      <c r="F51" s="42"/>
      <c r="G51" s="42"/>
      <c r="H51" s="42"/>
      <c r="I51" s="42"/>
      <c r="J51" s="42"/>
      <c r="K51" s="42"/>
      <c r="L51" s="42"/>
      <c r="M51" s="42"/>
      <c r="N51" s="43"/>
    </row>
    <row r="52" spans="2:14" ht="15" customHeight="1" x14ac:dyDescent="0.25">
      <c r="B52" s="44"/>
      <c r="C52" s="45"/>
      <c r="D52" s="45"/>
      <c r="E52" s="45"/>
      <c r="F52" s="45"/>
      <c r="G52" s="45"/>
      <c r="H52" s="45"/>
      <c r="I52" s="45"/>
      <c r="J52" s="45"/>
      <c r="K52" s="45"/>
      <c r="L52" s="45"/>
      <c r="M52" s="45"/>
      <c r="N52" s="46"/>
    </row>
    <row r="53" spans="2:14" ht="15" customHeight="1" x14ac:dyDescent="0.25">
      <c r="B53" s="44"/>
      <c r="C53" s="45"/>
      <c r="D53" s="45"/>
      <c r="E53" s="45"/>
      <c r="F53" s="45"/>
      <c r="G53" s="45"/>
      <c r="H53" s="45"/>
      <c r="I53" s="45"/>
      <c r="J53" s="45"/>
      <c r="K53" s="45"/>
      <c r="L53" s="45"/>
      <c r="M53" s="45"/>
      <c r="N53" s="46"/>
    </row>
    <row r="54" spans="2:14" ht="15" customHeight="1" thickBot="1" x14ac:dyDescent="0.3">
      <c r="B54" s="47"/>
      <c r="C54" s="48"/>
      <c r="D54" s="48"/>
      <c r="E54" s="48"/>
      <c r="F54" s="48"/>
      <c r="G54" s="48"/>
      <c r="H54" s="48"/>
      <c r="I54" s="48"/>
      <c r="J54" s="48"/>
      <c r="K54" s="48"/>
      <c r="L54" s="48"/>
      <c r="M54" s="48"/>
      <c r="N54" s="49"/>
    </row>
    <row r="55" spans="2:14" ht="15" customHeight="1" thickBot="1" x14ac:dyDescent="0.3"/>
    <row r="56" spans="2:14" ht="126" customHeight="1" thickBot="1" x14ac:dyDescent="0.3">
      <c r="B56" s="50" t="s">
        <v>336</v>
      </c>
      <c r="C56" s="51"/>
      <c r="D56" s="51"/>
      <c r="E56" s="51"/>
      <c r="F56" s="51"/>
      <c r="G56" s="51"/>
      <c r="H56" s="51"/>
      <c r="I56" s="51"/>
      <c r="J56" s="51"/>
      <c r="K56" s="51"/>
      <c r="L56" s="51"/>
      <c r="M56" s="51"/>
      <c r="N56" s="52"/>
    </row>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mergeCells count="7">
    <mergeCell ref="B51:N54"/>
    <mergeCell ref="B56:N56"/>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5396B-2834-47DE-8F39-12887453416F}">
  <dimension ref="B1:N50"/>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72</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73</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74</v>
      </c>
      <c r="D8" s="6" t="s">
        <v>75</v>
      </c>
      <c r="E8" s="11">
        <v>0.133047</v>
      </c>
      <c r="F8" s="1"/>
      <c r="G8" s="24" t="s">
        <v>88</v>
      </c>
      <c r="H8" s="29">
        <v>0.56732800000000005</v>
      </c>
      <c r="I8" s="1"/>
      <c r="J8" s="24" t="s">
        <v>35</v>
      </c>
      <c r="K8" s="24" t="s">
        <v>3</v>
      </c>
      <c r="L8" s="1"/>
      <c r="M8" s="1"/>
      <c r="N8" s="18"/>
    </row>
    <row r="9" spans="2:14" ht="15" customHeight="1" x14ac:dyDescent="0.25">
      <c r="B9" s="20"/>
      <c r="C9" s="5" t="s">
        <v>76</v>
      </c>
      <c r="D9" s="6" t="s">
        <v>75</v>
      </c>
      <c r="E9" s="11">
        <v>0.100175</v>
      </c>
      <c r="F9" s="1"/>
      <c r="G9" s="24" t="s">
        <v>4</v>
      </c>
      <c r="H9" s="29">
        <v>0.23177700000000001</v>
      </c>
      <c r="I9" s="1"/>
      <c r="J9" s="24" t="s">
        <v>33</v>
      </c>
      <c r="K9" s="29">
        <v>2.5114000000000001E-2</v>
      </c>
      <c r="L9" s="1"/>
      <c r="M9" s="1"/>
      <c r="N9" s="18"/>
    </row>
    <row r="10" spans="2:14" ht="15" customHeight="1" x14ac:dyDescent="0.25">
      <c r="B10" s="20"/>
      <c r="C10" s="5" t="s">
        <v>77</v>
      </c>
      <c r="D10" s="6" t="s">
        <v>78</v>
      </c>
      <c r="E10" s="11">
        <v>8.3927000000000002E-2</v>
      </c>
      <c r="F10" s="1"/>
      <c r="G10" s="24" t="s">
        <v>89</v>
      </c>
      <c r="H10" s="29">
        <v>0.20089499999999999</v>
      </c>
      <c r="I10" s="1"/>
      <c r="J10" s="24" t="s">
        <v>36</v>
      </c>
      <c r="K10" s="29">
        <v>1.3838E-2</v>
      </c>
      <c r="L10" s="1"/>
      <c r="M10" s="1"/>
      <c r="N10" s="18"/>
    </row>
    <row r="11" spans="2:14" ht="15" customHeight="1" x14ac:dyDescent="0.25">
      <c r="B11" s="20"/>
      <c r="C11" s="5" t="s">
        <v>79</v>
      </c>
      <c r="D11" s="6" t="s">
        <v>75</v>
      </c>
      <c r="E11" s="11">
        <v>8.3367999999999998E-2</v>
      </c>
      <c r="F11" s="1"/>
      <c r="G11" s="1"/>
      <c r="H11" s="1"/>
      <c r="I11" s="1"/>
      <c r="J11" s="24" t="s">
        <v>38</v>
      </c>
      <c r="K11" s="29">
        <v>0.76822299999999999</v>
      </c>
      <c r="L11" s="1"/>
      <c r="M11" s="1"/>
      <c r="N11" s="18"/>
    </row>
    <row r="12" spans="2:14" ht="15" customHeight="1" x14ac:dyDescent="0.25">
      <c r="B12" s="20"/>
      <c r="C12" s="5" t="s">
        <v>80</v>
      </c>
      <c r="D12" s="6" t="s">
        <v>75</v>
      </c>
      <c r="E12" s="11">
        <v>6.7274E-2</v>
      </c>
      <c r="F12" s="1"/>
      <c r="G12" s="1"/>
      <c r="H12" s="1"/>
      <c r="I12" s="1"/>
      <c r="J12" s="24" t="s">
        <v>23</v>
      </c>
      <c r="K12" s="29">
        <v>4.9259999999999998E-3</v>
      </c>
      <c r="L12" s="1"/>
      <c r="M12" s="1"/>
      <c r="N12" s="18"/>
    </row>
    <row r="13" spans="2:14" ht="15" customHeight="1" x14ac:dyDescent="0.25">
      <c r="B13" s="20"/>
      <c r="C13" s="5" t="s">
        <v>81</v>
      </c>
      <c r="D13" s="6" t="s">
        <v>75</v>
      </c>
      <c r="E13" s="11">
        <v>6.6862000000000005E-2</v>
      </c>
      <c r="F13" s="1"/>
      <c r="G13" s="1"/>
      <c r="H13" s="1"/>
      <c r="I13" s="1"/>
      <c r="J13" s="24" t="s">
        <v>39</v>
      </c>
      <c r="K13" s="29">
        <v>0.18789900000000001</v>
      </c>
      <c r="L13" s="1"/>
      <c r="M13" s="1"/>
      <c r="N13" s="18"/>
    </row>
    <row r="14" spans="2:14" ht="15" customHeight="1" x14ac:dyDescent="0.25">
      <c r="B14" s="20"/>
      <c r="C14" s="5" t="s">
        <v>82</v>
      </c>
      <c r="D14" s="6" t="s">
        <v>75</v>
      </c>
      <c r="E14" s="11">
        <v>6.6752000000000006E-2</v>
      </c>
      <c r="F14" s="1"/>
      <c r="G14" s="1"/>
      <c r="H14" s="1"/>
      <c r="I14" s="1"/>
      <c r="J14" s="1"/>
      <c r="K14" s="1"/>
      <c r="L14" s="1"/>
      <c r="M14" s="1"/>
      <c r="N14" s="18"/>
    </row>
    <row r="15" spans="2:14" ht="15" customHeight="1" x14ac:dyDescent="0.25">
      <c r="B15" s="20"/>
      <c r="C15" s="5" t="s">
        <v>83</v>
      </c>
      <c r="D15" s="6" t="s">
        <v>78</v>
      </c>
      <c r="E15" s="11">
        <v>5.0111000000000003E-2</v>
      </c>
      <c r="F15" s="1"/>
      <c r="G15" s="1"/>
      <c r="H15" s="1"/>
      <c r="I15" s="1"/>
      <c r="J15" s="1"/>
      <c r="K15" s="1"/>
      <c r="L15" s="1"/>
      <c r="M15" s="1"/>
      <c r="N15" s="18"/>
    </row>
    <row r="16" spans="2:14" ht="15" customHeight="1" x14ac:dyDescent="0.25">
      <c r="B16" s="20"/>
      <c r="C16" s="5" t="s">
        <v>84</v>
      </c>
      <c r="D16" s="6" t="s">
        <v>75</v>
      </c>
      <c r="E16" s="11">
        <v>4.9849999999999998E-2</v>
      </c>
      <c r="F16" s="1"/>
      <c r="G16" s="1"/>
      <c r="H16" s="1"/>
      <c r="I16" s="1"/>
      <c r="J16" s="1"/>
      <c r="K16" s="1"/>
      <c r="L16" s="1"/>
      <c r="M16" s="1"/>
      <c r="N16" s="18"/>
    </row>
    <row r="17" spans="2:14" ht="15" customHeight="1" x14ac:dyDescent="0.25">
      <c r="B17" s="20"/>
      <c r="C17" s="5" t="s">
        <v>85</v>
      </c>
      <c r="D17" s="6" t="s">
        <v>78</v>
      </c>
      <c r="E17" s="11">
        <v>3.3457000000000001E-2</v>
      </c>
      <c r="F17" s="1"/>
      <c r="G17" s="1"/>
      <c r="H17" s="1"/>
      <c r="I17" s="1"/>
      <c r="J17" s="1"/>
      <c r="K17" s="1"/>
      <c r="L17" s="1"/>
      <c r="M17" s="1"/>
      <c r="N17" s="18"/>
    </row>
    <row r="18" spans="2:14" ht="15" customHeight="1" x14ac:dyDescent="0.25">
      <c r="B18" s="20"/>
      <c r="C18" s="5" t="s">
        <v>86</v>
      </c>
      <c r="D18" s="6" t="s">
        <v>78</v>
      </c>
      <c r="E18" s="11">
        <v>3.3399999999999999E-2</v>
      </c>
      <c r="F18" s="1"/>
      <c r="G18" s="1"/>
      <c r="H18" s="1"/>
      <c r="I18" s="1"/>
      <c r="J18" s="1"/>
      <c r="K18" s="1"/>
      <c r="L18" s="1"/>
      <c r="M18" s="1"/>
      <c r="N18" s="18"/>
    </row>
    <row r="19" spans="2:14" ht="15.75" customHeight="1" x14ac:dyDescent="0.25">
      <c r="B19" s="20"/>
      <c r="C19" s="7" t="s">
        <v>22</v>
      </c>
      <c r="D19" s="8"/>
      <c r="E19" s="12">
        <v>0.76822299999999999</v>
      </c>
      <c r="F19" s="1"/>
      <c r="G19" s="1"/>
      <c r="H19" s="1"/>
      <c r="I19" s="1"/>
      <c r="J19" s="1"/>
      <c r="K19" s="1"/>
      <c r="L19" s="1"/>
      <c r="M19" s="1"/>
      <c r="N19" s="18"/>
    </row>
    <row r="20" spans="2:14" ht="15" customHeight="1" x14ac:dyDescent="0.25">
      <c r="B20" s="20"/>
      <c r="C20" s="5" t="s">
        <v>23</v>
      </c>
      <c r="D20" s="6"/>
      <c r="E20" s="11">
        <v>4.9259999999999998E-3</v>
      </c>
      <c r="F20" s="1"/>
      <c r="G20" s="1"/>
      <c r="H20" s="1"/>
      <c r="I20" s="1"/>
      <c r="J20" s="1"/>
      <c r="K20" s="1"/>
      <c r="L20" s="1"/>
      <c r="M20" s="1"/>
      <c r="N20" s="18"/>
    </row>
    <row r="21" spans="2:14" ht="15.75" customHeight="1" x14ac:dyDescent="0.25">
      <c r="B21" s="20"/>
      <c r="C21" s="7" t="s">
        <v>24</v>
      </c>
      <c r="D21" s="8"/>
      <c r="E21" s="12">
        <v>4.9259999999999998E-3</v>
      </c>
      <c r="F21" s="1"/>
      <c r="G21" s="1"/>
      <c r="H21" s="1"/>
      <c r="I21" s="1"/>
      <c r="J21" s="1"/>
      <c r="K21" s="1"/>
      <c r="L21" s="1"/>
      <c r="M21" s="1"/>
      <c r="N21" s="18"/>
    </row>
    <row r="22" spans="2:14" ht="15" customHeight="1" x14ac:dyDescent="0.25">
      <c r="B22" s="20"/>
      <c r="C22" s="5" t="s">
        <v>87</v>
      </c>
      <c r="D22" s="6" t="s">
        <v>190</v>
      </c>
      <c r="E22" s="11">
        <v>0.18789900000000001</v>
      </c>
      <c r="F22" s="1"/>
      <c r="G22" s="1"/>
      <c r="H22" s="1"/>
      <c r="I22" s="1"/>
      <c r="J22" s="1"/>
      <c r="K22" s="1"/>
      <c r="L22" s="1"/>
      <c r="M22" s="1"/>
      <c r="N22" s="18"/>
    </row>
    <row r="23" spans="2:14" ht="15.75" customHeight="1" x14ac:dyDescent="0.25">
      <c r="B23" s="20"/>
      <c r="C23" s="7" t="s">
        <v>30</v>
      </c>
      <c r="D23" s="8"/>
      <c r="E23" s="12">
        <v>0.18789900000000001</v>
      </c>
      <c r="F23" s="1"/>
      <c r="G23" s="1"/>
      <c r="H23" s="1"/>
      <c r="I23" s="1"/>
      <c r="J23" s="1"/>
      <c r="K23" s="1"/>
      <c r="L23" s="1"/>
      <c r="M23" s="1"/>
      <c r="N23" s="18"/>
    </row>
    <row r="24" spans="2:14" ht="15" customHeight="1" x14ac:dyDescent="0.25">
      <c r="B24" s="20"/>
      <c r="C24" s="5" t="s">
        <v>31</v>
      </c>
      <c r="D24" s="6"/>
      <c r="E24" s="11">
        <v>1.3838E-2</v>
      </c>
      <c r="F24" s="1"/>
      <c r="G24" s="58" t="s">
        <v>6</v>
      </c>
      <c r="H24" s="59"/>
      <c r="I24" s="59"/>
      <c r="J24" s="59"/>
      <c r="K24" s="59"/>
      <c r="L24" s="26">
        <v>3.675079718317444</v>
      </c>
      <c r="M24" s="27"/>
      <c r="N24" s="28"/>
    </row>
    <row r="25" spans="2:14" ht="15.75" customHeight="1" x14ac:dyDescent="0.25">
      <c r="B25" s="20"/>
      <c r="C25" s="7" t="s">
        <v>32</v>
      </c>
      <c r="D25" s="8"/>
      <c r="E25" s="12">
        <v>1.3838E-2</v>
      </c>
      <c r="F25" s="1"/>
      <c r="G25" s="1"/>
      <c r="H25" s="1"/>
      <c r="I25" s="1"/>
      <c r="J25" s="1"/>
      <c r="K25" s="1"/>
      <c r="L25" s="1"/>
      <c r="M25" s="1"/>
      <c r="N25" s="18"/>
    </row>
    <row r="26" spans="2:14" ht="15" customHeight="1" x14ac:dyDescent="0.25">
      <c r="B26" s="20"/>
      <c r="C26" s="5"/>
      <c r="D26" s="6"/>
      <c r="E26" s="11"/>
      <c r="F26" s="1"/>
      <c r="G26" s="58" t="s">
        <v>7</v>
      </c>
      <c r="H26" s="59"/>
      <c r="I26" s="59"/>
      <c r="J26" s="59"/>
      <c r="K26" s="59"/>
      <c r="L26" s="59"/>
      <c r="M26" s="59"/>
      <c r="N26" s="60"/>
    </row>
    <row r="27" spans="2:14" ht="15.75" customHeight="1" x14ac:dyDescent="0.25">
      <c r="B27" s="20"/>
      <c r="C27" s="7" t="s">
        <v>33</v>
      </c>
      <c r="D27" s="8"/>
      <c r="E27" s="12">
        <v>2.5114000000000001E-2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34</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41" t="s">
        <v>337</v>
      </c>
      <c r="C45" s="42"/>
      <c r="D45" s="42"/>
      <c r="E45" s="42"/>
      <c r="F45" s="42"/>
      <c r="G45" s="42"/>
      <c r="H45" s="42"/>
      <c r="I45" s="42"/>
      <c r="J45" s="42"/>
      <c r="K45" s="42"/>
      <c r="L45" s="42"/>
      <c r="M45" s="42"/>
      <c r="N45" s="43"/>
    </row>
    <row r="46" spans="2:14" ht="15" customHeight="1" x14ac:dyDescent="0.25">
      <c r="B46" s="44"/>
      <c r="C46" s="45"/>
      <c r="D46" s="45"/>
      <c r="E46" s="45"/>
      <c r="F46" s="45"/>
      <c r="G46" s="45"/>
      <c r="H46" s="45"/>
      <c r="I46" s="45"/>
      <c r="J46" s="45"/>
      <c r="K46" s="45"/>
      <c r="L46" s="45"/>
      <c r="M46" s="45"/>
      <c r="N46" s="46"/>
    </row>
    <row r="47" spans="2:14" ht="15" customHeight="1" x14ac:dyDescent="0.25">
      <c r="B47" s="44"/>
      <c r="C47" s="45"/>
      <c r="D47" s="45"/>
      <c r="E47" s="45"/>
      <c r="F47" s="45"/>
      <c r="G47" s="45"/>
      <c r="H47" s="45"/>
      <c r="I47" s="45"/>
      <c r="J47" s="45"/>
      <c r="K47" s="45"/>
      <c r="L47" s="45"/>
      <c r="M47" s="45"/>
      <c r="N47" s="46"/>
    </row>
    <row r="48" spans="2:14" ht="15" customHeight="1" thickBot="1" x14ac:dyDescent="0.3">
      <c r="B48" s="47"/>
      <c r="C48" s="48"/>
      <c r="D48" s="48"/>
      <c r="E48" s="48"/>
      <c r="F48" s="48"/>
      <c r="G48" s="48"/>
      <c r="H48" s="48"/>
      <c r="I48" s="48"/>
      <c r="J48" s="48"/>
      <c r="K48" s="48"/>
      <c r="L48" s="48"/>
      <c r="M48" s="48"/>
      <c r="N48" s="49"/>
    </row>
    <row r="49" spans="2:14" ht="15" customHeight="1" thickBot="1" x14ac:dyDescent="0.3"/>
    <row r="50" spans="2:14" ht="128.25" customHeight="1" thickBot="1" x14ac:dyDescent="0.3">
      <c r="B50" s="50" t="s">
        <v>336</v>
      </c>
      <c r="C50" s="51"/>
      <c r="D50" s="51"/>
      <c r="E50" s="51"/>
      <c r="F50" s="51"/>
      <c r="G50" s="51"/>
      <c r="H50" s="51"/>
      <c r="I50" s="51"/>
      <c r="J50" s="51"/>
      <c r="K50" s="51"/>
      <c r="L50" s="51"/>
      <c r="M50" s="51"/>
      <c r="N50" s="52"/>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C1811-4100-46EE-8920-ADA1158EE046}">
  <dimension ref="B1:N56"/>
  <sheetViews>
    <sheetView showGridLines="0" zoomScale="75" zoomScaleNormal="75" workbookViewId="0">
      <selection activeCell="L24" sqref="L24"/>
    </sheetView>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116</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117</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59</v>
      </c>
      <c r="D8" s="6" t="s">
        <v>18</v>
      </c>
      <c r="E8" s="11">
        <v>7.7703999999999995E-2</v>
      </c>
      <c r="F8" s="1"/>
      <c r="G8" s="24" t="s">
        <v>4</v>
      </c>
      <c r="H8" s="29">
        <v>0.57750299999999999</v>
      </c>
      <c r="I8" s="1"/>
      <c r="J8" s="24" t="s">
        <v>35</v>
      </c>
      <c r="K8" s="24" t="s">
        <v>3</v>
      </c>
      <c r="L8" s="1"/>
      <c r="M8" s="1"/>
      <c r="N8" s="18"/>
    </row>
    <row r="9" spans="2:14" ht="15" customHeight="1" x14ac:dyDescent="0.25">
      <c r="B9" s="20"/>
      <c r="C9" s="5" t="s">
        <v>43</v>
      </c>
      <c r="D9" s="6" t="s">
        <v>18</v>
      </c>
      <c r="E9" s="11">
        <v>6.1672999999999999E-2</v>
      </c>
      <c r="F9" s="1"/>
      <c r="G9" s="24" t="s">
        <v>88</v>
      </c>
      <c r="H9" s="29">
        <v>0.21940100000000001</v>
      </c>
      <c r="I9" s="1"/>
      <c r="J9" s="24" t="s">
        <v>33</v>
      </c>
      <c r="K9" s="29">
        <v>2.6141000000000001E-2</v>
      </c>
      <c r="L9" s="1"/>
      <c r="M9" s="1"/>
      <c r="N9" s="18"/>
    </row>
    <row r="10" spans="2:14" ht="15" customHeight="1" x14ac:dyDescent="0.25">
      <c r="B10" s="20"/>
      <c r="C10" s="5" t="s">
        <v>81</v>
      </c>
      <c r="D10" s="6" t="s">
        <v>75</v>
      </c>
      <c r="E10" s="11">
        <v>4.7216000000000001E-2</v>
      </c>
      <c r="F10" s="1"/>
      <c r="G10" s="24" t="s">
        <v>89</v>
      </c>
      <c r="H10" s="29">
        <v>0.203096</v>
      </c>
      <c r="I10" s="1"/>
      <c r="J10" s="24" t="s">
        <v>36</v>
      </c>
      <c r="K10" s="29">
        <v>2.6786000000000001E-2</v>
      </c>
      <c r="L10" s="1"/>
      <c r="M10" s="1"/>
      <c r="N10" s="18"/>
    </row>
    <row r="11" spans="2:14" ht="15" customHeight="1" x14ac:dyDescent="0.25">
      <c r="B11" s="20"/>
      <c r="C11" s="5" t="s">
        <v>80</v>
      </c>
      <c r="D11" s="6" t="s">
        <v>75</v>
      </c>
      <c r="E11" s="11">
        <v>4.7201E-2</v>
      </c>
      <c r="F11" s="1"/>
      <c r="G11" s="1"/>
      <c r="H11" s="1"/>
      <c r="I11" s="1"/>
      <c r="J11" s="24" t="s">
        <v>38</v>
      </c>
      <c r="K11" s="29">
        <v>0.59307399999999999</v>
      </c>
      <c r="L11" s="1"/>
      <c r="M11" s="1"/>
      <c r="N11" s="18"/>
    </row>
    <row r="12" spans="2:14" ht="15" customHeight="1" x14ac:dyDescent="0.25">
      <c r="B12" s="20"/>
      <c r="C12" s="5" t="s">
        <v>76</v>
      </c>
      <c r="D12" s="6" t="s">
        <v>75</v>
      </c>
      <c r="E12" s="11">
        <v>4.7002000000000002E-2</v>
      </c>
      <c r="F12" s="1"/>
      <c r="G12" s="1"/>
      <c r="H12" s="1"/>
      <c r="I12" s="1"/>
      <c r="J12" s="24" t="s">
        <v>23</v>
      </c>
      <c r="K12" s="29">
        <v>2.846E-3</v>
      </c>
      <c r="L12" s="1"/>
      <c r="M12" s="1"/>
      <c r="N12" s="18"/>
    </row>
    <row r="13" spans="2:14" ht="15" customHeight="1" x14ac:dyDescent="0.25">
      <c r="B13" s="20"/>
      <c r="C13" s="5" t="s">
        <v>85</v>
      </c>
      <c r="D13" s="6" t="s">
        <v>78</v>
      </c>
      <c r="E13" s="11">
        <v>4.6948999999999998E-2</v>
      </c>
      <c r="F13" s="1"/>
      <c r="G13" s="1"/>
      <c r="H13" s="1"/>
      <c r="I13" s="1"/>
      <c r="J13" s="24" t="s">
        <v>39</v>
      </c>
      <c r="K13" s="29">
        <v>0.35114699999999999</v>
      </c>
      <c r="L13" s="1"/>
      <c r="M13" s="1"/>
      <c r="N13" s="18"/>
    </row>
    <row r="14" spans="2:14" ht="15" customHeight="1" x14ac:dyDescent="0.25">
      <c r="B14" s="20"/>
      <c r="C14" s="5" t="s">
        <v>86</v>
      </c>
      <c r="D14" s="6" t="s">
        <v>78</v>
      </c>
      <c r="E14" s="11">
        <v>4.6814000000000001E-2</v>
      </c>
      <c r="F14" s="1"/>
      <c r="G14" s="1"/>
      <c r="H14" s="1"/>
      <c r="I14" s="1"/>
      <c r="J14" s="24"/>
      <c r="K14" s="29"/>
      <c r="L14" s="1"/>
      <c r="M14" s="1"/>
      <c r="N14" s="18"/>
    </row>
    <row r="15" spans="2:14" ht="15" customHeight="1" x14ac:dyDescent="0.25">
      <c r="B15" s="20"/>
      <c r="C15" s="5" t="s">
        <v>74</v>
      </c>
      <c r="D15" s="6" t="s">
        <v>75</v>
      </c>
      <c r="E15" s="11">
        <v>4.6774000000000003E-2</v>
      </c>
      <c r="F15" s="1"/>
      <c r="G15" s="1"/>
      <c r="H15" s="1"/>
      <c r="I15" s="1"/>
      <c r="J15" s="1"/>
      <c r="K15" s="1"/>
      <c r="L15" s="1"/>
      <c r="M15" s="1"/>
      <c r="N15" s="18"/>
    </row>
    <row r="16" spans="2:14" ht="15" customHeight="1" x14ac:dyDescent="0.25">
      <c r="B16" s="20"/>
      <c r="C16" s="5" t="s">
        <v>118</v>
      </c>
      <c r="D16" s="6" t="s">
        <v>78</v>
      </c>
      <c r="E16" s="11">
        <v>4.6732000000000003E-2</v>
      </c>
      <c r="F16" s="1"/>
      <c r="G16" s="1"/>
      <c r="H16" s="1"/>
      <c r="I16" s="1"/>
      <c r="J16" s="1"/>
      <c r="K16" s="1"/>
      <c r="L16" s="1"/>
      <c r="M16" s="1"/>
      <c r="N16" s="18"/>
    </row>
    <row r="17" spans="2:14" ht="15" customHeight="1" x14ac:dyDescent="0.25">
      <c r="B17" s="20"/>
      <c r="C17" s="5" t="s">
        <v>77</v>
      </c>
      <c r="D17" s="6" t="s">
        <v>78</v>
      </c>
      <c r="E17" s="11">
        <v>3.1348000000000001E-2</v>
      </c>
      <c r="F17" s="1"/>
      <c r="G17" s="1"/>
      <c r="H17" s="1"/>
      <c r="I17" s="1"/>
      <c r="J17" s="1"/>
      <c r="K17" s="1"/>
      <c r="L17" s="1"/>
      <c r="M17" s="1"/>
      <c r="N17" s="18"/>
    </row>
    <row r="18" spans="2:14" ht="15" customHeight="1" x14ac:dyDescent="0.25">
      <c r="B18" s="20"/>
      <c r="C18" s="5" t="s">
        <v>83</v>
      </c>
      <c r="D18" s="6" t="s">
        <v>78</v>
      </c>
      <c r="E18" s="11">
        <v>3.1253000000000003E-2</v>
      </c>
      <c r="F18" s="1"/>
      <c r="G18" s="1"/>
      <c r="H18" s="1"/>
      <c r="I18" s="1"/>
      <c r="J18" s="1"/>
      <c r="K18" s="1"/>
      <c r="L18" s="1"/>
      <c r="M18" s="1"/>
      <c r="N18" s="18"/>
    </row>
    <row r="19" spans="2:14" ht="15" customHeight="1" x14ac:dyDescent="0.25">
      <c r="B19" s="20"/>
      <c r="C19" s="5" t="s">
        <v>82</v>
      </c>
      <c r="D19" s="6" t="s">
        <v>75</v>
      </c>
      <c r="E19" s="11">
        <v>3.1208E-2</v>
      </c>
      <c r="F19" s="1"/>
      <c r="G19" s="1"/>
      <c r="H19" s="1"/>
      <c r="I19" s="1"/>
      <c r="J19" s="1"/>
      <c r="K19" s="1"/>
      <c r="L19" s="1"/>
      <c r="M19" s="1"/>
      <c r="N19" s="18"/>
    </row>
    <row r="20" spans="2:14" ht="15" customHeight="1" x14ac:dyDescent="0.25">
      <c r="B20" s="20"/>
      <c r="C20" s="5" t="s">
        <v>44</v>
      </c>
      <c r="D20" s="6" t="s">
        <v>18</v>
      </c>
      <c r="E20" s="11">
        <v>3.1199999999999999E-2</v>
      </c>
      <c r="F20" s="1"/>
      <c r="G20" s="1"/>
      <c r="H20" s="1"/>
      <c r="I20" s="1"/>
      <c r="J20" s="1"/>
      <c r="K20" s="1"/>
      <c r="L20" s="1"/>
      <c r="M20" s="1"/>
      <c r="N20" s="18"/>
    </row>
    <row r="21" spans="2:14" ht="15.75" customHeight="1" x14ac:dyDescent="0.25">
      <c r="B21" s="20"/>
      <c r="C21" s="7" t="s">
        <v>22</v>
      </c>
      <c r="D21" s="8"/>
      <c r="E21" s="12">
        <v>0.59307399999999999</v>
      </c>
      <c r="F21" s="1"/>
      <c r="G21" s="1"/>
      <c r="H21" s="1"/>
      <c r="I21" s="1"/>
      <c r="J21" s="1"/>
      <c r="K21" s="1"/>
      <c r="L21" s="1"/>
      <c r="M21" s="1"/>
      <c r="N21" s="18"/>
    </row>
    <row r="22" spans="2:14" ht="15" customHeight="1" x14ac:dyDescent="0.25">
      <c r="B22" s="20"/>
      <c r="C22" s="5" t="s">
        <v>23</v>
      </c>
      <c r="D22" s="6"/>
      <c r="E22" s="11">
        <v>2.846E-3</v>
      </c>
      <c r="F22" s="1"/>
      <c r="G22" s="1"/>
      <c r="H22" s="1"/>
      <c r="I22" s="1"/>
      <c r="J22" s="1"/>
      <c r="K22" s="1"/>
      <c r="L22" s="1"/>
      <c r="M22" s="1"/>
      <c r="N22" s="18"/>
    </row>
    <row r="23" spans="2:14" ht="15.75" customHeight="1" x14ac:dyDescent="0.25">
      <c r="B23" s="20"/>
      <c r="C23" s="7" t="s">
        <v>24</v>
      </c>
      <c r="D23" s="8"/>
      <c r="E23" s="12">
        <v>2.846E-3</v>
      </c>
      <c r="F23" s="1"/>
      <c r="G23" s="1"/>
      <c r="H23" s="1"/>
      <c r="I23" s="1"/>
      <c r="J23" s="1"/>
      <c r="K23" s="1"/>
      <c r="L23" s="1"/>
      <c r="M23" s="1"/>
      <c r="N23" s="18"/>
    </row>
    <row r="24" spans="2:14" ht="15" customHeight="1" x14ac:dyDescent="0.25">
      <c r="B24" s="20"/>
      <c r="C24" s="5" t="s">
        <v>45</v>
      </c>
      <c r="D24" s="6" t="s">
        <v>190</v>
      </c>
      <c r="E24" s="11">
        <v>0.175431</v>
      </c>
      <c r="F24" s="1"/>
      <c r="G24" s="58" t="s">
        <v>6</v>
      </c>
      <c r="H24" s="59"/>
      <c r="I24" s="59"/>
      <c r="J24" s="59"/>
      <c r="K24" s="59"/>
      <c r="L24" s="26">
        <v>3.6759362922777123</v>
      </c>
      <c r="M24" s="27"/>
      <c r="N24" s="28"/>
    </row>
    <row r="25" spans="2:14" ht="15" customHeight="1" x14ac:dyDescent="0.25">
      <c r="B25" s="20"/>
      <c r="C25" s="5" t="s">
        <v>46</v>
      </c>
      <c r="D25" s="6" t="s">
        <v>190</v>
      </c>
      <c r="E25" s="11">
        <v>0.12805800000000001</v>
      </c>
      <c r="F25" s="1"/>
      <c r="G25" s="1"/>
      <c r="H25" s="1"/>
      <c r="I25" s="1"/>
      <c r="J25" s="1"/>
      <c r="K25" s="1"/>
      <c r="L25" s="1"/>
      <c r="M25" s="1"/>
      <c r="N25" s="18"/>
    </row>
    <row r="26" spans="2:14" ht="15" customHeight="1" x14ac:dyDescent="0.25">
      <c r="B26" s="20"/>
      <c r="C26" s="5" t="s">
        <v>27</v>
      </c>
      <c r="D26" s="6" t="s">
        <v>190</v>
      </c>
      <c r="E26" s="11">
        <v>3.1737000000000001E-2</v>
      </c>
      <c r="F26" s="1"/>
      <c r="G26" s="58" t="s">
        <v>7</v>
      </c>
      <c r="H26" s="59"/>
      <c r="I26" s="59"/>
      <c r="J26" s="59"/>
      <c r="K26" s="59"/>
      <c r="L26" s="59"/>
      <c r="M26" s="59"/>
      <c r="N26" s="60"/>
    </row>
    <row r="27" spans="2:14" ht="15" customHeight="1" x14ac:dyDescent="0.25">
      <c r="B27" s="20"/>
      <c r="C27" s="5" t="s">
        <v>71</v>
      </c>
      <c r="D27" s="6" t="s">
        <v>190</v>
      </c>
      <c r="E27" s="11">
        <v>1.5921000000000001E-2</v>
      </c>
      <c r="F27" s="1"/>
      <c r="G27" s="1"/>
      <c r="H27" s="1"/>
      <c r="I27" s="1"/>
      <c r="J27" s="1"/>
      <c r="K27" s="1"/>
      <c r="L27" s="1"/>
      <c r="M27" s="1"/>
      <c r="N27" s="18"/>
    </row>
    <row r="28" spans="2:14" ht="15.75" customHeight="1" x14ac:dyDescent="0.25">
      <c r="B28" s="20"/>
      <c r="C28" s="7" t="s">
        <v>30</v>
      </c>
      <c r="D28" s="8"/>
      <c r="E28" s="12">
        <v>0.35114699999999999</v>
      </c>
      <c r="F28" s="1"/>
      <c r="G28" s="1"/>
      <c r="H28" s="1"/>
      <c r="I28" s="1"/>
      <c r="J28" s="1"/>
      <c r="K28" s="1"/>
      <c r="L28" s="1"/>
      <c r="M28" s="1"/>
      <c r="N28" s="18"/>
    </row>
    <row r="29" spans="2:14" ht="15" customHeight="1" x14ac:dyDescent="0.25">
      <c r="B29" s="20"/>
      <c r="C29" s="5" t="s">
        <v>31</v>
      </c>
      <c r="D29" s="6"/>
      <c r="E29" s="11">
        <v>2.6786000000000001E-2</v>
      </c>
      <c r="F29" s="1"/>
      <c r="G29" s="1"/>
      <c r="H29" s="1"/>
      <c r="I29" s="1"/>
      <c r="J29" s="1"/>
      <c r="K29" s="1"/>
      <c r="L29" s="1"/>
      <c r="M29" s="1"/>
      <c r="N29" s="18"/>
    </row>
    <row r="30" spans="2:14" ht="15.75" customHeight="1" x14ac:dyDescent="0.25">
      <c r="B30" s="20"/>
      <c r="C30" s="7" t="s">
        <v>32</v>
      </c>
      <c r="D30" s="8"/>
      <c r="E30" s="12">
        <v>2.6786000000000001E-2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33</v>
      </c>
      <c r="D32" s="8"/>
      <c r="E32" s="12">
        <v>2.6141000000000001E-2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9" t="s">
        <v>34</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31" t="s">
        <v>119</v>
      </c>
      <c r="D36" s="31"/>
      <c r="E36" s="32">
        <v>0.451874</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41" t="s">
        <v>337</v>
      </c>
      <c r="C45" s="42"/>
      <c r="D45" s="42"/>
      <c r="E45" s="42"/>
      <c r="F45" s="42"/>
      <c r="G45" s="42"/>
      <c r="H45" s="42"/>
      <c r="I45" s="42"/>
      <c r="J45" s="42"/>
      <c r="K45" s="42"/>
      <c r="L45" s="42"/>
      <c r="M45" s="42"/>
      <c r="N45" s="43"/>
    </row>
    <row r="46" spans="2:14" ht="15" customHeight="1" x14ac:dyDescent="0.25">
      <c r="B46" s="44"/>
      <c r="C46" s="45"/>
      <c r="D46" s="45"/>
      <c r="E46" s="45"/>
      <c r="F46" s="45"/>
      <c r="G46" s="45"/>
      <c r="H46" s="45"/>
      <c r="I46" s="45"/>
      <c r="J46" s="45"/>
      <c r="K46" s="45"/>
      <c r="L46" s="45"/>
      <c r="M46" s="45"/>
      <c r="N46" s="46"/>
    </row>
    <row r="47" spans="2:14" ht="15" customHeight="1" x14ac:dyDescent="0.25">
      <c r="B47" s="44"/>
      <c r="C47" s="45"/>
      <c r="D47" s="45"/>
      <c r="E47" s="45"/>
      <c r="F47" s="45"/>
      <c r="G47" s="45"/>
      <c r="H47" s="45"/>
      <c r="I47" s="45"/>
      <c r="J47" s="45"/>
      <c r="K47" s="45"/>
      <c r="L47" s="45"/>
      <c r="M47" s="45"/>
      <c r="N47" s="46"/>
    </row>
    <row r="48" spans="2:14" ht="15" customHeight="1" thickBot="1" x14ac:dyDescent="0.3">
      <c r="B48" s="47"/>
      <c r="C48" s="48"/>
      <c r="D48" s="48"/>
      <c r="E48" s="48"/>
      <c r="F48" s="48"/>
      <c r="G48" s="48"/>
      <c r="H48" s="48"/>
      <c r="I48" s="48"/>
      <c r="J48" s="48"/>
      <c r="K48" s="48"/>
      <c r="L48" s="48"/>
      <c r="M48" s="48"/>
      <c r="N48" s="49"/>
    </row>
    <row r="49" spans="2:14" ht="15" customHeight="1" thickBot="1" x14ac:dyDescent="0.3"/>
    <row r="50" spans="2:14" ht="69.75" customHeight="1" thickBot="1" x14ac:dyDescent="0.3">
      <c r="B50" s="50" t="s">
        <v>338</v>
      </c>
      <c r="C50" s="51"/>
      <c r="D50" s="51"/>
      <c r="E50" s="51"/>
      <c r="F50" s="51"/>
      <c r="G50" s="51"/>
      <c r="H50" s="51"/>
      <c r="I50" s="51"/>
      <c r="J50" s="51"/>
      <c r="K50" s="51"/>
      <c r="L50" s="51"/>
      <c r="M50" s="51"/>
      <c r="N50" s="52"/>
    </row>
    <row r="51" spans="2:14" ht="15" customHeight="1" thickBot="1" x14ac:dyDescent="0.3"/>
    <row r="52" spans="2:14" ht="141.75" customHeight="1" thickBot="1" x14ac:dyDescent="0.3">
      <c r="B52" s="50" t="s">
        <v>336</v>
      </c>
      <c r="C52" s="51"/>
      <c r="D52" s="51"/>
      <c r="E52" s="51"/>
      <c r="F52" s="51"/>
      <c r="G52" s="51"/>
      <c r="H52" s="51"/>
      <c r="I52" s="51"/>
      <c r="J52" s="51"/>
      <c r="K52" s="51"/>
      <c r="L52" s="51"/>
      <c r="M52" s="51"/>
      <c r="N52" s="52"/>
    </row>
    <row r="53" spans="2:14" ht="15" customHeight="1" x14ac:dyDescent="0.25"/>
    <row r="54" spans="2:14" ht="15" customHeight="1" x14ac:dyDescent="0.25"/>
    <row r="55" spans="2:14" ht="15" customHeight="1" x14ac:dyDescent="0.25"/>
    <row r="56" spans="2:14" ht="15" customHeight="1" x14ac:dyDescent="0.25"/>
  </sheetData>
  <mergeCells count="8">
    <mergeCell ref="B45:N48"/>
    <mergeCell ref="B50:N50"/>
    <mergeCell ref="B52:N52"/>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2D5E-6E26-40E3-B518-0180756DA146}">
  <dimension ref="B1:N50"/>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160</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161</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23</v>
      </c>
      <c r="D8" s="6"/>
      <c r="E8" s="11">
        <v>1.0709999999999999E-3</v>
      </c>
      <c r="F8" s="1"/>
      <c r="G8" s="24" t="s">
        <v>4</v>
      </c>
      <c r="H8" s="25">
        <v>1</v>
      </c>
      <c r="I8" s="1"/>
      <c r="J8" s="24" t="s">
        <v>35</v>
      </c>
      <c r="K8" s="24" t="s">
        <v>3</v>
      </c>
      <c r="L8" s="1"/>
      <c r="M8" s="1"/>
      <c r="N8" s="18"/>
    </row>
    <row r="9" spans="2:14" ht="15.75" customHeight="1" x14ac:dyDescent="0.25">
      <c r="B9" s="20"/>
      <c r="C9" s="7" t="s">
        <v>24</v>
      </c>
      <c r="D9" s="8"/>
      <c r="E9" s="12">
        <v>1.0709999999999999E-3</v>
      </c>
      <c r="F9" s="1"/>
      <c r="G9" s="1"/>
      <c r="H9" s="1"/>
      <c r="I9" s="1"/>
      <c r="J9" s="24" t="s">
        <v>33</v>
      </c>
      <c r="K9" s="29">
        <v>3.1930000000000001E-3</v>
      </c>
      <c r="L9" s="1"/>
      <c r="M9" s="1"/>
      <c r="N9" s="18"/>
    </row>
    <row r="10" spans="2:14" ht="15" customHeight="1" x14ac:dyDescent="0.25">
      <c r="B10" s="20"/>
      <c r="C10" s="5" t="s">
        <v>25</v>
      </c>
      <c r="D10" s="6" t="s">
        <v>190</v>
      </c>
      <c r="E10" s="11">
        <v>0.935473</v>
      </c>
      <c r="F10" s="1"/>
      <c r="G10" s="1"/>
      <c r="H10" s="1"/>
      <c r="I10" s="1"/>
      <c r="J10" s="24" t="s">
        <v>36</v>
      </c>
      <c r="K10" s="29">
        <v>3.4609000000000001E-2</v>
      </c>
      <c r="L10" s="1"/>
      <c r="M10" s="1"/>
      <c r="N10" s="18"/>
    </row>
    <row r="11" spans="2:14" ht="15" customHeight="1" x14ac:dyDescent="0.25">
      <c r="B11" s="20"/>
      <c r="C11" s="5" t="s">
        <v>162</v>
      </c>
      <c r="D11" s="6" t="s">
        <v>190</v>
      </c>
      <c r="E11" s="11">
        <v>2.5654E-2</v>
      </c>
      <c r="F11" s="1"/>
      <c r="G11" s="1"/>
      <c r="H11" s="1"/>
      <c r="I11" s="1"/>
      <c r="J11" s="24" t="s">
        <v>23</v>
      </c>
      <c r="K11" s="29">
        <v>1.0709999999999999E-3</v>
      </c>
      <c r="L11" s="1"/>
      <c r="M11" s="1"/>
      <c r="N11" s="18"/>
    </row>
    <row r="12" spans="2:14" ht="15.75" customHeight="1" x14ac:dyDescent="0.25">
      <c r="B12" s="20"/>
      <c r="C12" s="7" t="s">
        <v>30</v>
      </c>
      <c r="D12" s="8"/>
      <c r="E12" s="12">
        <v>0.96112699999999995</v>
      </c>
      <c r="F12" s="1"/>
      <c r="G12" s="1"/>
      <c r="H12" s="1"/>
      <c r="I12" s="1"/>
      <c r="J12" s="24" t="s">
        <v>39</v>
      </c>
      <c r="K12" s="29">
        <v>0.96112699999999995</v>
      </c>
      <c r="L12" s="1"/>
      <c r="M12" s="1"/>
      <c r="N12" s="18"/>
    </row>
    <row r="13" spans="2:14" ht="15" customHeight="1" x14ac:dyDescent="0.25">
      <c r="B13" s="20"/>
      <c r="C13" s="5" t="s">
        <v>31</v>
      </c>
      <c r="D13" s="6"/>
      <c r="E13" s="11">
        <v>3.4609000000000001E-2</v>
      </c>
      <c r="F13" s="1"/>
      <c r="G13" s="1"/>
      <c r="H13" s="1"/>
      <c r="I13" s="1"/>
      <c r="J13" s="1"/>
      <c r="K13" s="1"/>
      <c r="L13" s="1"/>
      <c r="M13" s="1"/>
      <c r="N13" s="18"/>
    </row>
    <row r="14" spans="2:14" ht="15.75" customHeight="1" x14ac:dyDescent="0.25">
      <c r="B14" s="20"/>
      <c r="C14" s="7" t="s">
        <v>32</v>
      </c>
      <c r="D14" s="8"/>
      <c r="E14" s="12">
        <v>3.4609000000000001E-2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33</v>
      </c>
      <c r="D16" s="8"/>
      <c r="E16" s="12">
        <v>3.1930000000000001E-3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34</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8" t="s">
        <v>6</v>
      </c>
      <c r="H24" s="59"/>
      <c r="I24" s="59"/>
      <c r="J24" s="59"/>
      <c r="K24" s="59"/>
      <c r="L24" s="26">
        <v>28.867589952906542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8" t="s">
        <v>7</v>
      </c>
      <c r="H26" s="59"/>
      <c r="I26" s="59"/>
      <c r="J26" s="59"/>
      <c r="K26" s="59"/>
      <c r="L26" s="59"/>
      <c r="M26" s="59"/>
      <c r="N26" s="60"/>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41" t="s">
        <v>337</v>
      </c>
      <c r="C45" s="42"/>
      <c r="D45" s="42"/>
      <c r="E45" s="42"/>
      <c r="F45" s="42"/>
      <c r="G45" s="42"/>
      <c r="H45" s="42"/>
      <c r="I45" s="42"/>
      <c r="J45" s="42"/>
      <c r="K45" s="42"/>
      <c r="L45" s="42"/>
      <c r="M45" s="42"/>
      <c r="N45" s="43"/>
    </row>
    <row r="46" spans="2:14" x14ac:dyDescent="0.25">
      <c r="B46" s="44"/>
      <c r="C46" s="45"/>
      <c r="D46" s="45"/>
      <c r="E46" s="45"/>
      <c r="F46" s="45"/>
      <c r="G46" s="45"/>
      <c r="H46" s="45"/>
      <c r="I46" s="45"/>
      <c r="J46" s="45"/>
      <c r="K46" s="45"/>
      <c r="L46" s="45"/>
      <c r="M46" s="45"/>
      <c r="N46" s="46"/>
    </row>
    <row r="47" spans="2:14" x14ac:dyDescent="0.25">
      <c r="B47" s="44"/>
      <c r="C47" s="45"/>
      <c r="D47" s="45"/>
      <c r="E47" s="45"/>
      <c r="F47" s="45"/>
      <c r="G47" s="45"/>
      <c r="H47" s="45"/>
      <c r="I47" s="45"/>
      <c r="J47" s="45"/>
      <c r="K47" s="45"/>
      <c r="L47" s="45"/>
      <c r="M47" s="45"/>
      <c r="N47" s="46"/>
    </row>
    <row r="48" spans="2:14" ht="15.75" thickBot="1" x14ac:dyDescent="0.3">
      <c r="B48" s="47"/>
      <c r="C48" s="48"/>
      <c r="D48" s="48"/>
      <c r="E48" s="48"/>
      <c r="F48" s="48"/>
      <c r="G48" s="48"/>
      <c r="H48" s="48"/>
      <c r="I48" s="48"/>
      <c r="J48" s="48"/>
      <c r="K48" s="48"/>
      <c r="L48" s="48"/>
      <c r="M48" s="48"/>
      <c r="N48" s="49"/>
    </row>
    <row r="49" spans="2:14" ht="15.75" thickBot="1" x14ac:dyDescent="0.3"/>
    <row r="50" spans="2:14" ht="120.75" customHeight="1" thickBot="1" x14ac:dyDescent="0.3">
      <c r="B50" s="50" t="s">
        <v>336</v>
      </c>
      <c r="C50" s="51"/>
      <c r="D50" s="51"/>
      <c r="E50" s="51"/>
      <c r="F50" s="51"/>
      <c r="G50" s="51"/>
      <c r="H50" s="51"/>
      <c r="I50" s="51"/>
      <c r="J50" s="51"/>
      <c r="K50" s="51"/>
      <c r="L50" s="51"/>
      <c r="M50" s="51"/>
      <c r="N50" s="52"/>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2BED-7551-4B8B-A3C9-3859A6599C17}">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123</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124</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25</v>
      </c>
      <c r="D8" s="6" t="s">
        <v>190</v>
      </c>
      <c r="E8" s="11">
        <v>0.96929399999999999</v>
      </c>
      <c r="F8" s="1"/>
      <c r="G8" s="24" t="s">
        <v>4</v>
      </c>
      <c r="H8" s="25">
        <v>1</v>
      </c>
      <c r="I8" s="1"/>
      <c r="J8" s="24" t="s">
        <v>35</v>
      </c>
      <c r="K8" s="24" t="s">
        <v>3</v>
      </c>
      <c r="L8" s="1"/>
      <c r="M8" s="1"/>
      <c r="N8" s="18"/>
    </row>
    <row r="9" spans="2:14" ht="15" customHeight="1" x14ac:dyDescent="0.25">
      <c r="B9" s="20"/>
      <c r="C9" s="5" t="s">
        <v>106</v>
      </c>
      <c r="D9" s="6" t="s">
        <v>190</v>
      </c>
      <c r="E9" s="30">
        <v>1.7E-5</v>
      </c>
      <c r="F9" s="1"/>
      <c r="G9" s="1"/>
      <c r="H9" s="1"/>
      <c r="I9" s="1"/>
      <c r="J9" s="24" t="s">
        <v>33</v>
      </c>
      <c r="K9" s="29">
        <v>2.1627E-2</v>
      </c>
      <c r="L9" s="1"/>
      <c r="M9" s="1"/>
      <c r="N9" s="18"/>
    </row>
    <row r="10" spans="2:14" ht="15.75" customHeight="1" x14ac:dyDescent="0.25">
      <c r="B10" s="20"/>
      <c r="C10" s="7" t="s">
        <v>30</v>
      </c>
      <c r="D10" s="8"/>
      <c r="E10" s="12">
        <v>0.96931100000000003</v>
      </c>
      <c r="F10" s="1"/>
      <c r="G10" s="1"/>
      <c r="H10" s="1"/>
      <c r="I10" s="1"/>
      <c r="J10" s="24" t="s">
        <v>36</v>
      </c>
      <c r="K10" s="29">
        <v>9.0620000000000006E-3</v>
      </c>
      <c r="L10" s="1"/>
      <c r="M10" s="1"/>
      <c r="N10" s="18"/>
    </row>
    <row r="11" spans="2:14" ht="15" customHeight="1" x14ac:dyDescent="0.25">
      <c r="B11" s="20"/>
      <c r="C11" s="5" t="s">
        <v>31</v>
      </c>
      <c r="D11" s="6"/>
      <c r="E11" s="11">
        <v>9.0620000000000006E-3</v>
      </c>
      <c r="F11" s="1"/>
      <c r="G11" s="1"/>
      <c r="H11" s="1"/>
      <c r="I11" s="1"/>
      <c r="J11" s="24" t="s">
        <v>39</v>
      </c>
      <c r="K11" s="29">
        <v>0.96931100000000003</v>
      </c>
      <c r="L11" s="1"/>
      <c r="M11" s="1"/>
      <c r="N11" s="18"/>
    </row>
    <row r="12" spans="2:14" ht="15.75" customHeight="1" x14ac:dyDescent="0.25">
      <c r="B12" s="20"/>
      <c r="C12" s="7" t="s">
        <v>32</v>
      </c>
      <c r="D12" s="8"/>
      <c r="E12" s="12">
        <v>9.0620000000000006E-3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33</v>
      </c>
      <c r="D14" s="8"/>
      <c r="E14" s="12">
        <v>2.1627E-2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34</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8" t="s">
        <v>6</v>
      </c>
      <c r="H24" s="59"/>
      <c r="I24" s="59"/>
      <c r="J24" s="59"/>
      <c r="K24" s="59"/>
      <c r="L24" s="26">
        <v>28.571033295888814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8" t="s">
        <v>7</v>
      </c>
      <c r="H26" s="59"/>
      <c r="I26" s="59"/>
      <c r="J26" s="59"/>
      <c r="K26" s="59"/>
      <c r="L26" s="59"/>
      <c r="M26" s="59"/>
      <c r="N26" s="60"/>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6.25" customHeight="1" thickBot="1" x14ac:dyDescent="0.3">
      <c r="B45" s="50" t="s">
        <v>336</v>
      </c>
      <c r="C45" s="51"/>
      <c r="D45" s="51"/>
      <c r="E45" s="51"/>
      <c r="F45" s="51"/>
      <c r="G45" s="51"/>
      <c r="H45" s="51"/>
      <c r="I45" s="51"/>
      <c r="J45" s="51"/>
      <c r="K45" s="51"/>
      <c r="L45" s="51"/>
      <c r="M45" s="51"/>
      <c r="N45" s="52"/>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AF4C-AE01-477A-8DFB-827C350FE057}">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120</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121</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87</v>
      </c>
      <c r="D8" s="6" t="s">
        <v>190</v>
      </c>
      <c r="E8" s="11">
        <v>0.49776799999999999</v>
      </c>
      <c r="F8" s="1"/>
      <c r="G8" s="24" t="s">
        <v>4</v>
      </c>
      <c r="H8" s="25">
        <v>1</v>
      </c>
      <c r="I8" s="1"/>
      <c r="J8" s="24" t="s">
        <v>35</v>
      </c>
      <c r="K8" s="24" t="s">
        <v>3</v>
      </c>
      <c r="L8" s="1"/>
      <c r="M8" s="1"/>
      <c r="N8" s="18"/>
    </row>
    <row r="9" spans="2:14" ht="15" customHeight="1" x14ac:dyDescent="0.25">
      <c r="B9" s="20"/>
      <c r="C9" s="5" t="s">
        <v>45</v>
      </c>
      <c r="D9" s="6" t="s">
        <v>190</v>
      </c>
      <c r="E9" s="11">
        <v>0.431728</v>
      </c>
      <c r="F9" s="1"/>
      <c r="G9" s="1"/>
      <c r="H9" s="1"/>
      <c r="I9" s="1"/>
      <c r="J9" s="24" t="s">
        <v>33</v>
      </c>
      <c r="K9" s="29">
        <v>2.1551000000000001E-2</v>
      </c>
      <c r="L9" s="1"/>
      <c r="M9" s="1"/>
      <c r="N9" s="18"/>
    </row>
    <row r="10" spans="2:14" ht="15" customHeight="1" x14ac:dyDescent="0.25">
      <c r="B10" s="20"/>
      <c r="C10" s="5" t="s">
        <v>122</v>
      </c>
      <c r="D10" s="6" t="s">
        <v>190</v>
      </c>
      <c r="E10" s="11">
        <v>2.9676999999999999E-2</v>
      </c>
      <c r="F10" s="1"/>
      <c r="G10" s="1"/>
      <c r="H10" s="1"/>
      <c r="I10" s="1"/>
      <c r="J10" s="24" t="s">
        <v>36</v>
      </c>
      <c r="K10" s="29">
        <v>1.4468999999999999E-2</v>
      </c>
      <c r="L10" s="1"/>
      <c r="M10" s="1"/>
      <c r="N10" s="18"/>
    </row>
    <row r="11" spans="2:14" ht="15" customHeight="1" x14ac:dyDescent="0.25">
      <c r="B11" s="20"/>
      <c r="C11" s="5" t="s">
        <v>106</v>
      </c>
      <c r="D11" s="6" t="s">
        <v>190</v>
      </c>
      <c r="E11" s="11">
        <v>2.075E-3</v>
      </c>
      <c r="F11" s="1"/>
      <c r="G11" s="1"/>
      <c r="H11" s="1"/>
      <c r="I11" s="1"/>
      <c r="J11" s="24" t="s">
        <v>39</v>
      </c>
      <c r="K11" s="29">
        <v>0.96397999999999995</v>
      </c>
      <c r="L11" s="1"/>
      <c r="M11" s="1"/>
      <c r="N11" s="18"/>
    </row>
    <row r="12" spans="2:14" ht="15" customHeight="1" x14ac:dyDescent="0.25">
      <c r="B12" s="20"/>
      <c r="C12" s="5" t="s">
        <v>92</v>
      </c>
      <c r="D12" s="6" t="s">
        <v>190</v>
      </c>
      <c r="E12" s="11">
        <v>1.4220000000000001E-3</v>
      </c>
      <c r="F12" s="1"/>
      <c r="G12" s="1"/>
      <c r="H12" s="1"/>
      <c r="I12" s="1"/>
      <c r="J12" s="1"/>
      <c r="K12" s="1"/>
      <c r="L12" s="1"/>
      <c r="M12" s="1"/>
      <c r="N12" s="18"/>
    </row>
    <row r="13" spans="2:14" ht="15" customHeight="1" x14ac:dyDescent="0.25">
      <c r="B13" s="20"/>
      <c r="C13" s="5" t="s">
        <v>47</v>
      </c>
      <c r="D13" s="6" t="s">
        <v>190</v>
      </c>
      <c r="E13" s="11">
        <v>1.31E-3</v>
      </c>
      <c r="F13" s="1"/>
      <c r="G13" s="1"/>
      <c r="H13" s="1"/>
      <c r="I13" s="1"/>
      <c r="J13" s="1"/>
      <c r="K13" s="1"/>
      <c r="L13" s="1"/>
      <c r="M13" s="1"/>
      <c r="N13" s="18"/>
    </row>
    <row r="14" spans="2:14" ht="15.75" customHeight="1" x14ac:dyDescent="0.25">
      <c r="B14" s="20"/>
      <c r="C14" s="7" t="s">
        <v>30</v>
      </c>
      <c r="D14" s="8"/>
      <c r="E14" s="12">
        <v>0.96397999999999995</v>
      </c>
      <c r="F14" s="1"/>
      <c r="G14" s="1"/>
      <c r="H14" s="1"/>
      <c r="I14" s="1"/>
      <c r="J14" s="1"/>
      <c r="K14" s="1"/>
      <c r="L14" s="1"/>
      <c r="M14" s="1"/>
      <c r="N14" s="18"/>
    </row>
    <row r="15" spans="2:14" ht="15" customHeight="1" x14ac:dyDescent="0.25">
      <c r="B15" s="20"/>
      <c r="C15" s="5" t="s">
        <v>31</v>
      </c>
      <c r="D15" s="6"/>
      <c r="E15" s="11">
        <v>1.4468999999999999E-2</v>
      </c>
      <c r="F15" s="1"/>
      <c r="G15" s="1"/>
      <c r="H15" s="1"/>
      <c r="I15" s="1"/>
      <c r="J15" s="1"/>
      <c r="K15" s="1"/>
      <c r="L15" s="1"/>
      <c r="M15" s="1"/>
      <c r="N15" s="18"/>
    </row>
    <row r="16" spans="2:14" ht="15.75" customHeight="1" x14ac:dyDescent="0.25">
      <c r="B16" s="20"/>
      <c r="C16" s="7" t="s">
        <v>32</v>
      </c>
      <c r="D16" s="8"/>
      <c r="E16" s="12">
        <v>1.4468999999999999E-2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33</v>
      </c>
      <c r="D18" s="8"/>
      <c r="E18" s="12">
        <v>2.1551000000000001E-2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34</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8" t="s">
        <v>6</v>
      </c>
      <c r="H24" s="59"/>
      <c r="I24" s="59"/>
      <c r="J24" s="59"/>
      <c r="K24" s="59"/>
      <c r="L24" s="26">
        <v>10.547282644046216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8" t="s">
        <v>7</v>
      </c>
      <c r="H26" s="59"/>
      <c r="I26" s="59"/>
      <c r="J26" s="59"/>
      <c r="K26" s="59"/>
      <c r="L26" s="59"/>
      <c r="M26" s="59"/>
      <c r="N26" s="60"/>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6.25" customHeight="1" thickBot="1" x14ac:dyDescent="0.3">
      <c r="B45" s="50" t="s">
        <v>336</v>
      </c>
      <c r="C45" s="51"/>
      <c r="D45" s="51"/>
      <c r="E45" s="51"/>
      <c r="F45" s="51"/>
      <c r="G45" s="51"/>
      <c r="H45" s="51"/>
      <c r="I45" s="51"/>
      <c r="J45" s="51"/>
      <c r="K45" s="51"/>
      <c r="L45" s="51"/>
      <c r="M45" s="51"/>
      <c r="N45" s="52"/>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5D4A1-286D-4A15-8A27-63E06C3EA93C}">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98</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99</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55</v>
      </c>
      <c r="D8" s="6" t="s">
        <v>190</v>
      </c>
      <c r="E8" s="11">
        <v>0.33221099999999998</v>
      </c>
      <c r="F8" s="1"/>
      <c r="G8" s="24" t="s">
        <v>4</v>
      </c>
      <c r="H8" s="25">
        <v>1</v>
      </c>
      <c r="I8" s="1"/>
      <c r="J8" s="24" t="s">
        <v>35</v>
      </c>
      <c r="K8" s="24" t="s">
        <v>3</v>
      </c>
      <c r="L8" s="1"/>
      <c r="M8" s="1"/>
      <c r="N8" s="18"/>
    </row>
    <row r="9" spans="2:14" ht="15" customHeight="1" x14ac:dyDescent="0.25">
      <c r="B9" s="20"/>
      <c r="C9" s="5" t="s">
        <v>100</v>
      </c>
      <c r="D9" s="6" t="s">
        <v>190</v>
      </c>
      <c r="E9" s="11">
        <v>0.32972899999999999</v>
      </c>
      <c r="F9" s="1"/>
      <c r="G9" s="1"/>
      <c r="H9" s="1"/>
      <c r="I9" s="1"/>
      <c r="J9" s="24" t="s">
        <v>33</v>
      </c>
      <c r="K9" s="29">
        <v>1.1467E-2</v>
      </c>
      <c r="L9" s="1"/>
      <c r="M9" s="1"/>
      <c r="N9" s="18"/>
    </row>
    <row r="10" spans="2:14" ht="15" customHeight="1" x14ac:dyDescent="0.25">
      <c r="B10" s="20"/>
      <c r="C10" s="5" t="s">
        <v>101</v>
      </c>
      <c r="D10" s="6" t="s">
        <v>190</v>
      </c>
      <c r="E10" s="11">
        <v>0.189273</v>
      </c>
      <c r="F10" s="1"/>
      <c r="G10" s="1"/>
      <c r="H10" s="1"/>
      <c r="I10" s="1"/>
      <c r="J10" s="24" t="s">
        <v>36</v>
      </c>
      <c r="K10" s="29">
        <v>6.0400000000000004E-4</v>
      </c>
      <c r="L10" s="1"/>
      <c r="M10" s="1"/>
      <c r="N10" s="18"/>
    </row>
    <row r="11" spans="2:14" ht="15" customHeight="1" x14ac:dyDescent="0.25">
      <c r="B11" s="20"/>
      <c r="C11" s="5" t="s">
        <v>102</v>
      </c>
      <c r="D11" s="6" t="s">
        <v>190</v>
      </c>
      <c r="E11" s="11">
        <v>9.4035999999999995E-2</v>
      </c>
      <c r="F11" s="1"/>
      <c r="G11" s="1"/>
      <c r="H11" s="1"/>
      <c r="I11" s="1"/>
      <c r="J11" s="24" t="s">
        <v>39</v>
      </c>
      <c r="K11" s="29">
        <v>0.98792899999999995</v>
      </c>
      <c r="L11" s="1"/>
      <c r="M11" s="1"/>
      <c r="N11" s="18"/>
    </row>
    <row r="12" spans="2:14" ht="15" customHeight="1" x14ac:dyDescent="0.25">
      <c r="B12" s="20"/>
      <c r="C12" s="5" t="s">
        <v>103</v>
      </c>
      <c r="D12" s="6" t="s">
        <v>190</v>
      </c>
      <c r="E12" s="11">
        <v>4.2680000000000003E-2</v>
      </c>
      <c r="F12" s="1"/>
      <c r="G12" s="1"/>
      <c r="H12" s="1"/>
      <c r="I12" s="1"/>
      <c r="J12" s="1"/>
      <c r="K12" s="1"/>
      <c r="L12" s="1"/>
      <c r="M12" s="1"/>
      <c r="N12" s="18"/>
    </row>
    <row r="13" spans="2:14" ht="15.75" customHeight="1" x14ac:dyDescent="0.25">
      <c r="B13" s="20"/>
      <c r="C13" s="7" t="s">
        <v>30</v>
      </c>
      <c r="D13" s="8"/>
      <c r="E13" s="12">
        <v>0.98792899999999995</v>
      </c>
      <c r="F13" s="1"/>
      <c r="G13" s="1"/>
      <c r="H13" s="1"/>
      <c r="I13" s="1"/>
      <c r="J13" s="1"/>
      <c r="K13" s="1"/>
      <c r="L13" s="1"/>
      <c r="M13" s="1"/>
      <c r="N13" s="18"/>
    </row>
    <row r="14" spans="2:14" ht="15" customHeight="1" x14ac:dyDescent="0.25">
      <c r="B14" s="20"/>
      <c r="C14" s="5" t="s">
        <v>31</v>
      </c>
      <c r="D14" s="6"/>
      <c r="E14" s="11">
        <v>6.0400000000000004E-4</v>
      </c>
      <c r="F14" s="1"/>
      <c r="G14" s="1"/>
      <c r="H14" s="1"/>
      <c r="I14" s="1"/>
      <c r="J14" s="1"/>
      <c r="K14" s="1"/>
      <c r="L14" s="1"/>
      <c r="M14" s="1"/>
      <c r="N14" s="18"/>
    </row>
    <row r="15" spans="2:14" ht="15.75" customHeight="1" x14ac:dyDescent="0.25">
      <c r="B15" s="20"/>
      <c r="C15" s="7" t="s">
        <v>32</v>
      </c>
      <c r="D15" s="8"/>
      <c r="E15" s="12">
        <v>6.0400000000000004E-4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33</v>
      </c>
      <c r="D17" s="8"/>
      <c r="E17" s="12">
        <v>1.1467E-2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34</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8" t="s">
        <v>6</v>
      </c>
      <c r="H24" s="59"/>
      <c r="I24" s="59"/>
      <c r="J24" s="59"/>
      <c r="K24" s="59"/>
      <c r="L24" s="26">
        <v>1.2795606163438968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8" t="s">
        <v>7</v>
      </c>
      <c r="H26" s="59"/>
      <c r="I26" s="59"/>
      <c r="J26" s="59"/>
      <c r="K26" s="59"/>
      <c r="L26" s="59"/>
      <c r="M26" s="59"/>
      <c r="N26" s="60"/>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6.25" customHeight="1" thickBot="1" x14ac:dyDescent="0.3">
      <c r="B45" s="50" t="s">
        <v>336</v>
      </c>
      <c r="C45" s="51"/>
      <c r="D45" s="51"/>
      <c r="E45" s="51"/>
      <c r="F45" s="51"/>
      <c r="G45" s="51"/>
      <c r="H45" s="51"/>
      <c r="I45" s="51"/>
      <c r="J45" s="51"/>
      <c r="K45" s="51"/>
      <c r="L45" s="51"/>
      <c r="M45" s="51"/>
      <c r="N45" s="52"/>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50915-9B7F-47C8-B020-C40D2EA69BAF}">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111</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112</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97</v>
      </c>
      <c r="D8" s="6" t="s">
        <v>190</v>
      </c>
      <c r="E8" s="11">
        <v>0.69278700000000004</v>
      </c>
      <c r="F8" s="1"/>
      <c r="G8" s="24" t="s">
        <v>4</v>
      </c>
      <c r="H8" s="25">
        <v>1</v>
      </c>
      <c r="I8" s="1"/>
      <c r="J8" s="24" t="s">
        <v>35</v>
      </c>
      <c r="K8" s="24" t="s">
        <v>3</v>
      </c>
      <c r="L8" s="1"/>
      <c r="M8" s="1"/>
      <c r="N8" s="18"/>
    </row>
    <row r="9" spans="2:14" ht="15" customHeight="1" x14ac:dyDescent="0.25">
      <c r="B9" s="20"/>
      <c r="C9" s="5" t="s">
        <v>47</v>
      </c>
      <c r="D9" s="6" t="s">
        <v>190</v>
      </c>
      <c r="E9" s="11">
        <v>0.145617</v>
      </c>
      <c r="F9" s="1"/>
      <c r="G9" s="1"/>
      <c r="H9" s="1"/>
      <c r="I9" s="1"/>
      <c r="J9" s="24" t="s">
        <v>33</v>
      </c>
      <c r="K9" s="29">
        <v>2.6127000000000001E-2</v>
      </c>
      <c r="L9" s="1"/>
      <c r="M9" s="1"/>
      <c r="N9" s="18"/>
    </row>
    <row r="10" spans="2:14" ht="15" customHeight="1" x14ac:dyDescent="0.25">
      <c r="B10" s="20"/>
      <c r="C10" s="5" t="s">
        <v>28</v>
      </c>
      <c r="D10" s="6" t="s">
        <v>190</v>
      </c>
      <c r="E10" s="11">
        <v>0.13003799999999999</v>
      </c>
      <c r="F10" s="1"/>
      <c r="G10" s="1"/>
      <c r="H10" s="1"/>
      <c r="I10" s="1"/>
      <c r="J10" s="24" t="s">
        <v>36</v>
      </c>
      <c r="K10" s="29">
        <v>5.4310000000000001E-3</v>
      </c>
      <c r="L10" s="1"/>
      <c r="M10" s="1"/>
      <c r="N10" s="18"/>
    </row>
    <row r="11" spans="2:14" ht="15.75" customHeight="1" x14ac:dyDescent="0.25">
      <c r="B11" s="20"/>
      <c r="C11" s="7" t="s">
        <v>30</v>
      </c>
      <c r="D11" s="8"/>
      <c r="E11" s="12">
        <v>0.96844200000000003</v>
      </c>
      <c r="F11" s="1"/>
      <c r="G11" s="1"/>
      <c r="H11" s="1"/>
      <c r="I11" s="1"/>
      <c r="J11" s="24" t="s">
        <v>39</v>
      </c>
      <c r="K11" s="29">
        <v>0.96844200000000003</v>
      </c>
      <c r="L11" s="1"/>
      <c r="M11" s="1"/>
      <c r="N11" s="18"/>
    </row>
    <row r="12" spans="2:14" ht="15" customHeight="1" x14ac:dyDescent="0.25">
      <c r="B12" s="20"/>
      <c r="C12" s="5" t="s">
        <v>31</v>
      </c>
      <c r="D12" s="6"/>
      <c r="E12" s="11">
        <v>5.4310000000000001E-3</v>
      </c>
      <c r="F12" s="1"/>
      <c r="G12" s="1"/>
      <c r="H12" s="1"/>
      <c r="I12" s="1"/>
      <c r="J12" s="1"/>
      <c r="K12" s="1"/>
      <c r="L12" s="1"/>
      <c r="M12" s="1"/>
      <c r="N12" s="18"/>
    </row>
    <row r="13" spans="2:14" ht="15.75" customHeight="1" x14ac:dyDescent="0.25">
      <c r="B13" s="20"/>
      <c r="C13" s="7" t="s">
        <v>32</v>
      </c>
      <c r="D13" s="8"/>
      <c r="E13" s="12">
        <v>5.4310000000000001E-3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33</v>
      </c>
      <c r="D15" s="8"/>
      <c r="E15" s="12">
        <v>2.6127000000000001E-2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34</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8" t="s">
        <v>6</v>
      </c>
      <c r="H24" s="59"/>
      <c r="I24" s="59"/>
      <c r="J24" s="59"/>
      <c r="K24" s="59"/>
      <c r="L24" s="26">
        <v>2.4761819249999126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8" t="s">
        <v>7</v>
      </c>
      <c r="H26" s="59"/>
      <c r="I26" s="59"/>
      <c r="J26" s="59"/>
      <c r="K26" s="59"/>
      <c r="L26" s="59"/>
      <c r="M26" s="59"/>
      <c r="N26" s="60"/>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6.25" customHeight="1" thickBot="1" x14ac:dyDescent="0.3">
      <c r="B45" s="50" t="s">
        <v>336</v>
      </c>
      <c r="C45" s="51"/>
      <c r="D45" s="51"/>
      <c r="E45" s="51"/>
      <c r="F45" s="51"/>
      <c r="G45" s="51"/>
      <c r="H45" s="51"/>
      <c r="I45" s="51"/>
      <c r="J45" s="51"/>
      <c r="K45" s="51"/>
      <c r="L45" s="51"/>
      <c r="M45" s="51"/>
      <c r="N45" s="52"/>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E1D2C-6240-4894-A7FB-8A0E24B69715}">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104</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105</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106</v>
      </c>
      <c r="D8" s="6" t="s">
        <v>190</v>
      </c>
      <c r="E8" s="11">
        <v>0.595885</v>
      </c>
      <c r="F8" s="1"/>
      <c r="G8" s="24" t="s">
        <v>4</v>
      </c>
      <c r="H8" s="25">
        <v>1</v>
      </c>
      <c r="I8" s="1"/>
      <c r="J8" s="24" t="s">
        <v>35</v>
      </c>
      <c r="K8" s="24" t="s">
        <v>3</v>
      </c>
      <c r="L8" s="1"/>
      <c r="M8" s="1"/>
      <c r="N8" s="18"/>
    </row>
    <row r="9" spans="2:14" ht="15" customHeight="1" x14ac:dyDescent="0.25">
      <c r="B9" s="20"/>
      <c r="C9" s="5" t="s">
        <v>107</v>
      </c>
      <c r="D9" s="6" t="s">
        <v>190</v>
      </c>
      <c r="E9" s="11">
        <v>0.37205500000000002</v>
      </c>
      <c r="F9" s="1"/>
      <c r="G9" s="1"/>
      <c r="H9" s="1"/>
      <c r="I9" s="1"/>
      <c r="J9" s="24" t="s">
        <v>33</v>
      </c>
      <c r="K9" s="29">
        <v>2.4622999999999999E-2</v>
      </c>
      <c r="L9" s="1"/>
      <c r="M9" s="1"/>
      <c r="N9" s="18"/>
    </row>
    <row r="10" spans="2:14" ht="15" customHeight="1" x14ac:dyDescent="0.25">
      <c r="B10" s="20"/>
      <c r="C10" s="5" t="s">
        <v>97</v>
      </c>
      <c r="D10" s="6" t="s">
        <v>190</v>
      </c>
      <c r="E10" s="11">
        <v>6.1830000000000001E-3</v>
      </c>
      <c r="F10" s="1"/>
      <c r="G10" s="1"/>
      <c r="H10" s="1"/>
      <c r="I10" s="1"/>
      <c r="J10" s="24" t="s">
        <v>36</v>
      </c>
      <c r="K10" s="29">
        <v>1.2539999999999999E-3</v>
      </c>
      <c r="L10" s="1"/>
      <c r="M10" s="1"/>
      <c r="N10" s="18"/>
    </row>
    <row r="11" spans="2:14" ht="15.75" customHeight="1" x14ac:dyDescent="0.25">
      <c r="B11" s="20"/>
      <c r="C11" s="7" t="s">
        <v>30</v>
      </c>
      <c r="D11" s="8"/>
      <c r="E11" s="12">
        <v>0.97412299999999996</v>
      </c>
      <c r="F11" s="1"/>
      <c r="G11" s="1"/>
      <c r="H11" s="1"/>
      <c r="I11" s="1"/>
      <c r="J11" s="24" t="s">
        <v>39</v>
      </c>
      <c r="K11" s="29">
        <v>0.97412299999999996</v>
      </c>
      <c r="L11" s="1"/>
      <c r="M11" s="1"/>
      <c r="N11" s="18"/>
    </row>
    <row r="12" spans="2:14" ht="15" customHeight="1" x14ac:dyDescent="0.25">
      <c r="B12" s="20"/>
      <c r="C12" s="5" t="s">
        <v>31</v>
      </c>
      <c r="D12" s="6"/>
      <c r="E12" s="11">
        <v>1.2539999999999999E-3</v>
      </c>
      <c r="F12" s="1"/>
      <c r="G12" s="1"/>
      <c r="H12" s="1"/>
      <c r="I12" s="1"/>
      <c r="J12" s="1"/>
      <c r="K12" s="1"/>
      <c r="L12" s="1"/>
      <c r="M12" s="1"/>
      <c r="N12" s="18"/>
    </row>
    <row r="13" spans="2:14" ht="15.75" customHeight="1" x14ac:dyDescent="0.25">
      <c r="B13" s="20"/>
      <c r="C13" s="7" t="s">
        <v>32</v>
      </c>
      <c r="D13" s="8"/>
      <c r="E13" s="12">
        <v>1.2539999999999999E-3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33</v>
      </c>
      <c r="D15" s="8"/>
      <c r="E15" s="12">
        <v>2.4622999999999999E-2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34</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8" t="s">
        <v>6</v>
      </c>
      <c r="H24" s="59"/>
      <c r="I24" s="59"/>
      <c r="J24" s="59"/>
      <c r="K24" s="59"/>
      <c r="L24" s="26">
        <v>2.9807582946549913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8" t="s">
        <v>7</v>
      </c>
      <c r="H26" s="59"/>
      <c r="I26" s="59"/>
      <c r="J26" s="59"/>
      <c r="K26" s="59"/>
      <c r="L26" s="59"/>
      <c r="M26" s="59"/>
      <c r="N26" s="60"/>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6.25" customHeight="1" thickBot="1" x14ac:dyDescent="0.3">
      <c r="B45" s="50" t="s">
        <v>336</v>
      </c>
      <c r="C45" s="51"/>
      <c r="D45" s="51"/>
      <c r="E45" s="51"/>
      <c r="F45" s="51"/>
      <c r="G45" s="51"/>
      <c r="H45" s="51"/>
      <c r="I45" s="51"/>
      <c r="J45" s="51"/>
      <c r="K45" s="51"/>
      <c r="L45" s="51"/>
      <c r="M45" s="51"/>
      <c r="N45" s="52"/>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14F90-B3D2-4BAB-B224-B38B714653FC}">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108</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109</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92</v>
      </c>
      <c r="D8" s="6" t="s">
        <v>190</v>
      </c>
      <c r="E8" s="11">
        <v>0.77039599999999997</v>
      </c>
      <c r="F8" s="1"/>
      <c r="G8" s="24" t="s">
        <v>4</v>
      </c>
      <c r="H8" s="25">
        <v>1</v>
      </c>
      <c r="I8" s="1"/>
      <c r="J8" s="24" t="s">
        <v>35</v>
      </c>
      <c r="K8" s="24" t="s">
        <v>3</v>
      </c>
      <c r="L8" s="1"/>
      <c r="M8" s="1"/>
      <c r="N8" s="18"/>
    </row>
    <row r="9" spans="2:14" ht="15" customHeight="1" x14ac:dyDescent="0.25">
      <c r="B9" s="20"/>
      <c r="C9" s="5" t="s">
        <v>93</v>
      </c>
      <c r="D9" s="6" t="s">
        <v>190</v>
      </c>
      <c r="E9" s="11">
        <v>0.18853800000000001</v>
      </c>
      <c r="F9" s="1"/>
      <c r="G9" s="1"/>
      <c r="H9" s="1"/>
      <c r="I9" s="1"/>
      <c r="J9" s="24" t="s">
        <v>33</v>
      </c>
      <c r="K9" s="29">
        <v>2.3469E-2</v>
      </c>
      <c r="L9" s="1"/>
      <c r="M9" s="1"/>
      <c r="N9" s="18"/>
    </row>
    <row r="10" spans="2:14" ht="15.75" customHeight="1" x14ac:dyDescent="0.25">
      <c r="B10" s="20"/>
      <c r="C10" s="7" t="s">
        <v>30</v>
      </c>
      <c r="D10" s="8"/>
      <c r="E10" s="12">
        <v>0.95893399999999995</v>
      </c>
      <c r="F10" s="1"/>
      <c r="G10" s="1"/>
      <c r="H10" s="1"/>
      <c r="I10" s="1"/>
      <c r="J10" s="24" t="s">
        <v>36</v>
      </c>
      <c r="K10" s="29">
        <v>1.7597000000000002E-2</v>
      </c>
      <c r="L10" s="1"/>
      <c r="M10" s="1"/>
      <c r="N10" s="18"/>
    </row>
    <row r="11" spans="2:14" ht="15" customHeight="1" x14ac:dyDescent="0.25">
      <c r="B11" s="20"/>
      <c r="C11" s="5" t="s">
        <v>31</v>
      </c>
      <c r="D11" s="6"/>
      <c r="E11" s="11">
        <v>1.7597000000000002E-2</v>
      </c>
      <c r="F11" s="1"/>
      <c r="G11" s="1"/>
      <c r="H11" s="1"/>
      <c r="I11" s="1"/>
      <c r="J11" s="24" t="s">
        <v>39</v>
      </c>
      <c r="K11" s="29">
        <v>0.95893399999999995</v>
      </c>
      <c r="L11" s="1"/>
      <c r="M11" s="1"/>
      <c r="N11" s="18"/>
    </row>
    <row r="12" spans="2:14" ht="15.75" customHeight="1" x14ac:dyDescent="0.25">
      <c r="B12" s="20"/>
      <c r="C12" s="7" t="s">
        <v>32</v>
      </c>
      <c r="D12" s="8"/>
      <c r="E12" s="12">
        <v>1.7597000000000002E-2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33</v>
      </c>
      <c r="D14" s="8"/>
      <c r="E14" s="12">
        <v>2.3469E-2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34</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8" t="s">
        <v>6</v>
      </c>
      <c r="H24" s="59"/>
      <c r="I24" s="59"/>
      <c r="J24" s="59"/>
      <c r="K24" s="59"/>
      <c r="L24" s="26">
        <v>6.9101671923710821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8" t="s">
        <v>7</v>
      </c>
      <c r="H26" s="59"/>
      <c r="I26" s="59"/>
      <c r="J26" s="59"/>
      <c r="K26" s="59"/>
      <c r="L26" s="59"/>
      <c r="M26" s="59"/>
      <c r="N26" s="60"/>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6.25" customHeight="1" thickBot="1" x14ac:dyDescent="0.3">
      <c r="B45" s="50" t="s">
        <v>336</v>
      </c>
      <c r="C45" s="51"/>
      <c r="D45" s="51"/>
      <c r="E45" s="51"/>
      <c r="F45" s="51"/>
      <c r="G45" s="51"/>
      <c r="H45" s="51"/>
      <c r="I45" s="51"/>
      <c r="J45" s="51"/>
      <c r="K45" s="51"/>
      <c r="L45" s="51"/>
      <c r="M45" s="51"/>
      <c r="N45" s="52"/>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F0A39-F3C7-4CFA-83D1-D6206461106D}">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94</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340</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95</v>
      </c>
      <c r="D8" s="6" t="s">
        <v>190</v>
      </c>
      <c r="E8" s="11">
        <v>0.12879699999999999</v>
      </c>
      <c r="F8" s="1"/>
      <c r="G8" s="24" t="s">
        <v>4</v>
      </c>
      <c r="H8" s="25">
        <v>1</v>
      </c>
      <c r="I8" s="1"/>
      <c r="J8" s="24" t="s">
        <v>35</v>
      </c>
      <c r="K8" s="24" t="s">
        <v>3</v>
      </c>
      <c r="L8" s="1"/>
      <c r="M8" s="1"/>
      <c r="N8" s="18"/>
    </row>
    <row r="9" spans="2:14" ht="15.75" customHeight="1" x14ac:dyDescent="0.25">
      <c r="B9" s="20"/>
      <c r="C9" s="7" t="s">
        <v>30</v>
      </c>
      <c r="D9" s="8"/>
      <c r="E9" s="12">
        <v>0.12879699999999999</v>
      </c>
      <c r="F9" s="1"/>
      <c r="G9" s="1"/>
      <c r="H9" s="1"/>
      <c r="I9" s="1"/>
      <c r="J9" s="24" t="s">
        <v>33</v>
      </c>
      <c r="K9" s="29">
        <v>1.1154000000000001E-2</v>
      </c>
      <c r="L9" s="1"/>
      <c r="M9" s="1"/>
      <c r="N9" s="18"/>
    </row>
    <row r="10" spans="2:14" ht="15" customHeight="1" x14ac:dyDescent="0.25">
      <c r="B10" s="20"/>
      <c r="C10" s="5" t="s">
        <v>231</v>
      </c>
      <c r="D10" s="6" t="s">
        <v>190</v>
      </c>
      <c r="E10" s="11">
        <v>0.15463199999999999</v>
      </c>
      <c r="F10" s="1"/>
      <c r="G10" s="1"/>
      <c r="H10" s="1"/>
      <c r="I10" s="1"/>
      <c r="J10" s="24" t="s">
        <v>36</v>
      </c>
      <c r="K10" s="29">
        <v>2.4289999999999999E-2</v>
      </c>
      <c r="L10" s="1"/>
      <c r="M10" s="1"/>
      <c r="N10" s="18"/>
    </row>
    <row r="11" spans="2:14" ht="15.75" customHeight="1" x14ac:dyDescent="0.25">
      <c r="B11" s="20"/>
      <c r="C11" s="5" t="s">
        <v>273</v>
      </c>
      <c r="D11" s="6" t="s">
        <v>190</v>
      </c>
      <c r="E11" s="11">
        <v>0.129631</v>
      </c>
      <c r="F11" s="1"/>
      <c r="G11" s="1"/>
      <c r="H11" s="1"/>
      <c r="I11" s="1"/>
      <c r="J11" s="24" t="s">
        <v>39</v>
      </c>
      <c r="K11" s="29">
        <v>0.12879699999999999</v>
      </c>
      <c r="L11" s="1"/>
      <c r="M11" s="1"/>
      <c r="N11" s="18"/>
    </row>
    <row r="12" spans="2:14" ht="15" customHeight="1" x14ac:dyDescent="0.25">
      <c r="B12" s="20"/>
      <c r="C12" s="5" t="s">
        <v>275</v>
      </c>
      <c r="D12" s="6" t="s">
        <v>190</v>
      </c>
      <c r="E12" s="11">
        <v>8.8112999999999997E-2</v>
      </c>
      <c r="F12" s="1"/>
      <c r="G12" s="1"/>
      <c r="H12" s="1"/>
      <c r="I12" s="1"/>
      <c r="J12" s="24" t="s">
        <v>49</v>
      </c>
      <c r="K12" s="29">
        <v>0.83575900000000003</v>
      </c>
      <c r="L12" s="1"/>
      <c r="M12" s="1"/>
      <c r="N12" s="18"/>
    </row>
    <row r="13" spans="2:14" ht="15.75" customHeight="1" x14ac:dyDescent="0.25">
      <c r="B13" s="20"/>
      <c r="C13" s="5" t="s">
        <v>280</v>
      </c>
      <c r="D13" s="6" t="s">
        <v>190</v>
      </c>
      <c r="E13" s="11">
        <v>5.3990000000000003E-2</v>
      </c>
      <c r="F13" s="1"/>
      <c r="G13" s="1"/>
      <c r="H13" s="1"/>
      <c r="I13" s="1"/>
      <c r="J13" s="1"/>
      <c r="K13" s="1"/>
      <c r="L13" s="1"/>
      <c r="M13" s="1"/>
      <c r="N13" s="18"/>
    </row>
    <row r="14" spans="2:14" ht="15" customHeight="1" x14ac:dyDescent="0.25">
      <c r="B14" s="20"/>
      <c r="C14" s="5" t="s">
        <v>285</v>
      </c>
      <c r="D14" s="6" t="s">
        <v>190</v>
      </c>
      <c r="E14" s="11">
        <v>4.4138999999999998E-2</v>
      </c>
      <c r="F14" s="1"/>
      <c r="G14" s="1"/>
      <c r="H14" s="1"/>
      <c r="I14" s="1"/>
      <c r="J14" s="1"/>
      <c r="K14" s="1"/>
      <c r="L14" s="1"/>
      <c r="M14" s="1"/>
      <c r="N14" s="18"/>
    </row>
    <row r="15" spans="2:14" ht="15.75" customHeight="1" x14ac:dyDescent="0.25">
      <c r="B15" s="20"/>
      <c r="C15" s="5" t="s">
        <v>271</v>
      </c>
      <c r="D15" s="6" t="s">
        <v>190</v>
      </c>
      <c r="E15" s="11">
        <v>4.3903999999999999E-2</v>
      </c>
      <c r="F15" s="1"/>
      <c r="G15" s="1"/>
      <c r="H15" s="1"/>
      <c r="I15" s="1"/>
      <c r="J15" s="1"/>
      <c r="K15" s="1"/>
      <c r="L15" s="1"/>
      <c r="M15" s="1"/>
      <c r="N15" s="18"/>
    </row>
    <row r="16" spans="2:14" ht="15" customHeight="1" x14ac:dyDescent="0.25">
      <c r="B16" s="20"/>
      <c r="C16" s="5" t="s">
        <v>276</v>
      </c>
      <c r="D16" s="6" t="s">
        <v>190</v>
      </c>
      <c r="E16" s="11">
        <v>4.3866000000000002E-2</v>
      </c>
      <c r="F16" s="1"/>
      <c r="G16" s="1"/>
      <c r="H16" s="1"/>
      <c r="I16" s="1"/>
      <c r="J16" s="1"/>
      <c r="K16" s="1"/>
      <c r="L16" s="1"/>
      <c r="M16" s="1"/>
      <c r="N16" s="18"/>
    </row>
    <row r="17" spans="2:14" ht="15" customHeight="1" x14ac:dyDescent="0.25">
      <c r="B17" s="20"/>
      <c r="C17" s="5" t="s">
        <v>270</v>
      </c>
      <c r="D17" s="6" t="s">
        <v>190</v>
      </c>
      <c r="E17" s="11">
        <v>4.3764999999999998E-2</v>
      </c>
      <c r="F17" s="1"/>
      <c r="G17" s="1"/>
      <c r="H17" s="1"/>
      <c r="I17" s="1"/>
      <c r="J17" s="1"/>
      <c r="K17" s="1"/>
      <c r="L17" s="1"/>
      <c r="M17" s="1"/>
      <c r="N17" s="18"/>
    </row>
    <row r="18" spans="2:14" ht="15" customHeight="1" x14ac:dyDescent="0.25">
      <c r="B18" s="20"/>
      <c r="C18" s="5" t="s">
        <v>277</v>
      </c>
      <c r="D18" s="6" t="s">
        <v>190</v>
      </c>
      <c r="E18" s="11">
        <v>3.5788E-2</v>
      </c>
      <c r="F18" s="1"/>
      <c r="G18" s="1"/>
      <c r="H18" s="1"/>
      <c r="I18" s="1"/>
      <c r="J18" s="1"/>
      <c r="K18" s="1"/>
      <c r="L18" s="1"/>
      <c r="M18" s="1"/>
      <c r="N18" s="18"/>
    </row>
    <row r="19" spans="2:14" ht="15" customHeight="1" x14ac:dyDescent="0.25">
      <c r="B19" s="20"/>
      <c r="C19" s="5" t="s">
        <v>281</v>
      </c>
      <c r="D19" s="6" t="s">
        <v>190</v>
      </c>
      <c r="E19" s="11">
        <v>3.5506000000000003E-2</v>
      </c>
      <c r="F19" s="1"/>
      <c r="G19" s="1"/>
      <c r="H19" s="1"/>
      <c r="I19" s="1"/>
      <c r="J19" s="1"/>
      <c r="K19" s="1"/>
      <c r="L19" s="1"/>
      <c r="M19" s="1"/>
      <c r="N19" s="18"/>
    </row>
    <row r="20" spans="2:14" ht="15" customHeight="1" x14ac:dyDescent="0.25">
      <c r="B20" s="20"/>
      <c r="C20" s="5" t="s">
        <v>278</v>
      </c>
      <c r="D20" s="6" t="s">
        <v>190</v>
      </c>
      <c r="E20" s="11">
        <v>3.5310000000000001E-2</v>
      </c>
      <c r="F20" s="1"/>
      <c r="G20" s="1"/>
      <c r="H20" s="1"/>
      <c r="I20" s="1"/>
      <c r="J20" s="1"/>
      <c r="K20" s="1"/>
      <c r="L20" s="1"/>
      <c r="M20" s="1"/>
      <c r="N20" s="18"/>
    </row>
    <row r="21" spans="2:14" ht="15" customHeight="1" x14ac:dyDescent="0.25">
      <c r="B21" s="20"/>
      <c r="C21" s="5" t="s">
        <v>232</v>
      </c>
      <c r="D21" s="6" t="s">
        <v>190</v>
      </c>
      <c r="E21" s="11">
        <v>3.0841E-2</v>
      </c>
      <c r="F21" s="1"/>
      <c r="G21" s="1"/>
      <c r="H21" s="1"/>
      <c r="I21" s="1"/>
      <c r="J21" s="1"/>
      <c r="K21" s="1"/>
      <c r="L21" s="1"/>
      <c r="M21" s="1"/>
      <c r="N21" s="18"/>
    </row>
    <row r="22" spans="2:14" ht="15" customHeight="1" x14ac:dyDescent="0.25">
      <c r="B22" s="20"/>
      <c r="C22" s="5" t="s">
        <v>279</v>
      </c>
      <c r="D22" s="6" t="s">
        <v>190</v>
      </c>
      <c r="E22" s="11">
        <v>3.0138000000000002E-2</v>
      </c>
      <c r="F22" s="1"/>
      <c r="G22" s="1"/>
      <c r="H22" s="1"/>
      <c r="I22" s="1"/>
      <c r="J22" s="1"/>
      <c r="K22" s="1"/>
      <c r="L22" s="1"/>
      <c r="M22" s="1"/>
      <c r="N22" s="18"/>
    </row>
    <row r="23" spans="2:14" ht="15" customHeight="1" x14ac:dyDescent="0.25">
      <c r="B23" s="20"/>
      <c r="C23" s="5" t="s">
        <v>269</v>
      </c>
      <c r="D23" s="6" t="s">
        <v>190</v>
      </c>
      <c r="E23" s="11">
        <v>2.1589000000000001E-2</v>
      </c>
      <c r="F23" s="1"/>
      <c r="G23" s="1"/>
      <c r="H23" s="1"/>
      <c r="I23" s="1"/>
      <c r="J23" s="1"/>
      <c r="K23" s="1"/>
      <c r="L23" s="1"/>
      <c r="M23" s="1"/>
      <c r="N23" s="18"/>
    </row>
    <row r="24" spans="2:14" ht="15" customHeight="1" x14ac:dyDescent="0.25">
      <c r="B24" s="20"/>
      <c r="C24" s="5" t="s">
        <v>283</v>
      </c>
      <c r="D24" s="6" t="s">
        <v>190</v>
      </c>
      <c r="E24" s="11">
        <v>1.7545999999999999E-2</v>
      </c>
      <c r="F24" s="1"/>
      <c r="G24" s="58" t="s">
        <v>6</v>
      </c>
      <c r="H24" s="59"/>
      <c r="I24" s="59"/>
      <c r="J24" s="59"/>
      <c r="K24" s="59"/>
      <c r="L24" s="26">
        <v>1.791590024854405</v>
      </c>
      <c r="M24" s="27"/>
      <c r="N24" s="28"/>
    </row>
    <row r="25" spans="2:14" ht="15" customHeight="1" x14ac:dyDescent="0.25">
      <c r="B25" s="20"/>
      <c r="C25" s="5" t="s">
        <v>282</v>
      </c>
      <c r="D25" s="6" t="s">
        <v>190</v>
      </c>
      <c r="E25" s="11">
        <v>8.7729999999999995E-3</v>
      </c>
      <c r="F25" s="1"/>
      <c r="G25" s="1"/>
      <c r="H25" s="1"/>
      <c r="I25" s="1"/>
      <c r="J25" s="1"/>
      <c r="K25" s="1"/>
      <c r="L25" s="1"/>
      <c r="M25" s="1"/>
      <c r="N25" s="18"/>
    </row>
    <row r="26" spans="2:14" ht="15" customHeight="1" x14ac:dyDescent="0.25">
      <c r="B26" s="20"/>
      <c r="C26" s="5" t="s">
        <v>284</v>
      </c>
      <c r="D26" s="6" t="s">
        <v>190</v>
      </c>
      <c r="E26" s="11">
        <v>8.7709999999999993E-3</v>
      </c>
      <c r="F26" s="1"/>
      <c r="G26" s="58" t="s">
        <v>7</v>
      </c>
      <c r="H26" s="59"/>
      <c r="I26" s="59"/>
      <c r="J26" s="59"/>
      <c r="K26" s="59"/>
      <c r="L26" s="59"/>
      <c r="M26" s="59"/>
      <c r="N26" s="60"/>
    </row>
    <row r="27" spans="2:14" ht="15" customHeight="1" x14ac:dyDescent="0.25">
      <c r="B27" s="20"/>
      <c r="C27" s="5" t="s">
        <v>274</v>
      </c>
      <c r="D27" s="6" t="s">
        <v>190</v>
      </c>
      <c r="E27" s="11">
        <v>5.097E-3</v>
      </c>
      <c r="F27" s="1"/>
      <c r="G27" s="1"/>
      <c r="H27" s="1"/>
      <c r="I27" s="1"/>
      <c r="J27" s="1"/>
      <c r="K27" s="1"/>
      <c r="L27" s="1"/>
      <c r="M27" s="1"/>
      <c r="N27" s="18"/>
    </row>
    <row r="28" spans="2:14" ht="15" customHeight="1" x14ac:dyDescent="0.25">
      <c r="B28" s="20"/>
      <c r="C28" s="5" t="s">
        <v>272</v>
      </c>
      <c r="D28" s="6" t="s">
        <v>190</v>
      </c>
      <c r="E28" s="11">
        <v>4.3600000000000002E-3</v>
      </c>
      <c r="F28" s="1"/>
      <c r="G28" s="1"/>
      <c r="H28" s="1"/>
      <c r="I28" s="1"/>
      <c r="J28" s="1"/>
      <c r="K28" s="1"/>
      <c r="L28" s="1"/>
      <c r="M28" s="1"/>
      <c r="N28" s="18"/>
    </row>
    <row r="29" spans="2:14" ht="15" customHeight="1" x14ac:dyDescent="0.25">
      <c r="B29" s="20"/>
      <c r="C29" s="7" t="s">
        <v>48</v>
      </c>
      <c r="D29" s="8"/>
      <c r="E29" s="12">
        <v>0.83575900000000003</v>
      </c>
      <c r="F29" s="1"/>
      <c r="G29" s="1"/>
      <c r="H29" s="1"/>
      <c r="I29" s="1"/>
      <c r="J29" s="1"/>
      <c r="K29" s="1"/>
      <c r="L29" s="1"/>
      <c r="M29" s="1"/>
      <c r="N29" s="18"/>
    </row>
    <row r="30" spans="2:14" ht="15" customHeight="1" x14ac:dyDescent="0.25">
      <c r="B30" s="20"/>
      <c r="C30" s="5" t="s">
        <v>31</v>
      </c>
      <c r="D30" s="6"/>
      <c r="E30" s="11">
        <v>2.4289999999999999E-2</v>
      </c>
      <c r="F30" s="1"/>
      <c r="G30" s="1"/>
      <c r="H30" s="1"/>
      <c r="I30" s="1"/>
      <c r="J30" s="1"/>
      <c r="K30" s="1"/>
      <c r="L30" s="1"/>
      <c r="M30" s="1"/>
      <c r="N30" s="18"/>
    </row>
    <row r="31" spans="2:14" ht="15" customHeight="1" x14ac:dyDescent="0.25">
      <c r="B31" s="20"/>
      <c r="C31" s="7" t="s">
        <v>32</v>
      </c>
      <c r="D31" s="8"/>
      <c r="E31" s="12">
        <v>2.4289999999999999E-2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33</v>
      </c>
      <c r="D33" s="8"/>
      <c r="E33" s="12">
        <v>1.1154000000000001E-2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34</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0.5" customHeight="1" thickBot="1" x14ac:dyDescent="0.3">
      <c r="B45" s="50" t="s">
        <v>336</v>
      </c>
      <c r="C45" s="51"/>
      <c r="D45" s="51"/>
      <c r="E45" s="51"/>
      <c r="F45" s="51"/>
      <c r="G45" s="51"/>
      <c r="H45" s="51"/>
      <c r="I45" s="51"/>
      <c r="J45" s="51"/>
      <c r="K45" s="51"/>
      <c r="L45" s="51"/>
      <c r="M45" s="51"/>
      <c r="N45" s="52"/>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13A13-8E64-48E1-A16C-480BAC25EBF9}">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96</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341</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97</v>
      </c>
      <c r="D8" s="6" t="s">
        <v>190</v>
      </c>
      <c r="E8" s="11">
        <v>6.3209000000000001E-2</v>
      </c>
      <c r="F8" s="1"/>
      <c r="G8" s="24" t="s">
        <v>4</v>
      </c>
      <c r="H8" s="25">
        <v>1</v>
      </c>
      <c r="I8" s="1"/>
      <c r="J8" s="24" t="s">
        <v>35</v>
      </c>
      <c r="K8" s="24" t="s">
        <v>3</v>
      </c>
      <c r="L8" s="1"/>
      <c r="M8" s="1"/>
      <c r="N8" s="18"/>
    </row>
    <row r="9" spans="2:14" ht="15.75" customHeight="1" x14ac:dyDescent="0.25">
      <c r="B9" s="20"/>
      <c r="C9" s="7" t="s">
        <v>30</v>
      </c>
      <c r="D9" s="8"/>
      <c r="E9" s="12">
        <v>6.3209000000000001E-2</v>
      </c>
      <c r="F9" s="1"/>
      <c r="G9" s="1"/>
      <c r="H9" s="1"/>
      <c r="I9" s="1"/>
      <c r="J9" s="24" t="s">
        <v>33</v>
      </c>
      <c r="K9" s="29">
        <v>2.1061E-2</v>
      </c>
      <c r="L9" s="1"/>
      <c r="M9" s="1"/>
      <c r="N9" s="18"/>
    </row>
    <row r="10" spans="2:14" ht="15" customHeight="1" x14ac:dyDescent="0.25">
      <c r="B10" s="20"/>
      <c r="C10" s="5" t="s">
        <v>289</v>
      </c>
      <c r="D10" s="6" t="s">
        <v>190</v>
      </c>
      <c r="E10" s="11">
        <v>0.19539000000000001</v>
      </c>
      <c r="F10" s="1"/>
      <c r="G10" s="1"/>
      <c r="H10" s="1"/>
      <c r="I10" s="1"/>
      <c r="J10" s="24" t="s">
        <v>36</v>
      </c>
      <c r="K10" s="29">
        <v>1.9363999999999999E-2</v>
      </c>
      <c r="L10" s="1"/>
      <c r="M10" s="1"/>
      <c r="N10" s="18"/>
    </row>
    <row r="11" spans="2:14" ht="15.75" customHeight="1" x14ac:dyDescent="0.25">
      <c r="B11" s="20"/>
      <c r="C11" s="5" t="s">
        <v>265</v>
      </c>
      <c r="D11" s="6" t="s">
        <v>190</v>
      </c>
      <c r="E11" s="11">
        <v>0.17091500000000001</v>
      </c>
      <c r="F11" s="1"/>
      <c r="G11" s="1"/>
      <c r="H11" s="1"/>
      <c r="I11" s="1"/>
      <c r="J11" s="24" t="s">
        <v>39</v>
      </c>
      <c r="K11" s="29">
        <v>6.3209000000000001E-2</v>
      </c>
      <c r="L11" s="1"/>
      <c r="M11" s="1"/>
      <c r="N11" s="18"/>
    </row>
    <row r="12" spans="2:14" ht="15" customHeight="1" x14ac:dyDescent="0.25">
      <c r="B12" s="20"/>
      <c r="C12" s="5" t="s">
        <v>287</v>
      </c>
      <c r="D12" s="6" t="s">
        <v>190</v>
      </c>
      <c r="E12" s="11">
        <v>0.147733</v>
      </c>
      <c r="F12" s="1"/>
      <c r="G12" s="1"/>
      <c r="H12" s="1"/>
      <c r="I12" s="1"/>
      <c r="J12" s="24" t="s">
        <v>49</v>
      </c>
      <c r="K12" s="29">
        <v>0.896366</v>
      </c>
      <c r="L12" s="1"/>
      <c r="M12" s="1"/>
      <c r="N12" s="18"/>
    </row>
    <row r="13" spans="2:14" ht="15.75" customHeight="1" x14ac:dyDescent="0.25">
      <c r="B13" s="20"/>
      <c r="C13" s="5" t="s">
        <v>295</v>
      </c>
      <c r="D13" s="6" t="s">
        <v>190</v>
      </c>
      <c r="E13" s="11">
        <v>0.13450599999999999</v>
      </c>
      <c r="F13" s="1"/>
      <c r="G13" s="1"/>
      <c r="H13" s="1"/>
      <c r="I13" s="1"/>
      <c r="J13" s="1"/>
      <c r="K13" s="1"/>
      <c r="L13" s="1"/>
      <c r="M13" s="1"/>
      <c r="N13" s="18"/>
    </row>
    <row r="14" spans="2:14" ht="15" customHeight="1" x14ac:dyDescent="0.25">
      <c r="B14" s="20"/>
      <c r="C14" s="5" t="s">
        <v>292</v>
      </c>
      <c r="D14" s="6" t="s">
        <v>190</v>
      </c>
      <c r="E14" s="11">
        <v>6.7243999999999998E-2</v>
      </c>
      <c r="F14" s="1"/>
      <c r="G14" s="1"/>
      <c r="H14" s="1"/>
      <c r="I14" s="1"/>
      <c r="J14" s="1"/>
      <c r="K14" s="1"/>
      <c r="L14" s="1"/>
      <c r="M14" s="1"/>
      <c r="N14" s="18"/>
    </row>
    <row r="15" spans="2:14" ht="15.75" customHeight="1" x14ac:dyDescent="0.25">
      <c r="B15" s="20"/>
      <c r="C15" s="5" t="s">
        <v>290</v>
      </c>
      <c r="D15" s="6" t="s">
        <v>190</v>
      </c>
      <c r="E15" s="11">
        <v>6.5563999999999997E-2</v>
      </c>
      <c r="F15" s="1"/>
      <c r="G15" s="1"/>
      <c r="H15" s="1"/>
      <c r="I15" s="1"/>
      <c r="J15" s="1"/>
      <c r="K15" s="1"/>
      <c r="L15" s="1"/>
      <c r="M15" s="1"/>
      <c r="N15" s="18"/>
    </row>
    <row r="16" spans="2:14" ht="15" customHeight="1" x14ac:dyDescent="0.25">
      <c r="B16" s="20"/>
      <c r="C16" s="5" t="s">
        <v>291</v>
      </c>
      <c r="D16" s="6" t="s">
        <v>190</v>
      </c>
      <c r="E16" s="11">
        <v>4.0368000000000001E-2</v>
      </c>
      <c r="F16" s="1"/>
      <c r="G16" s="1"/>
      <c r="H16" s="1"/>
      <c r="I16" s="1"/>
      <c r="J16" s="1"/>
      <c r="K16" s="1"/>
      <c r="L16" s="1"/>
      <c r="M16" s="1"/>
      <c r="N16" s="18"/>
    </row>
    <row r="17" spans="2:14" ht="15" customHeight="1" x14ac:dyDescent="0.25">
      <c r="B17" s="20"/>
      <c r="C17" s="5" t="s">
        <v>294</v>
      </c>
      <c r="D17" s="6" t="s">
        <v>190</v>
      </c>
      <c r="E17" s="11">
        <v>3.3597000000000002E-2</v>
      </c>
      <c r="F17" s="1"/>
      <c r="G17" s="1"/>
      <c r="H17" s="1"/>
      <c r="I17" s="1"/>
      <c r="J17" s="1"/>
      <c r="K17" s="1"/>
      <c r="L17" s="1"/>
      <c r="M17" s="1"/>
      <c r="N17" s="18"/>
    </row>
    <row r="18" spans="2:14" ht="15" customHeight="1" x14ac:dyDescent="0.25">
      <c r="B18" s="20"/>
      <c r="C18" s="5" t="s">
        <v>293</v>
      </c>
      <c r="D18" s="6" t="s">
        <v>190</v>
      </c>
      <c r="E18" s="11">
        <v>3.0197000000000002E-2</v>
      </c>
      <c r="F18" s="1"/>
      <c r="G18" s="1"/>
      <c r="H18" s="1"/>
      <c r="I18" s="1"/>
      <c r="J18" s="1"/>
      <c r="K18" s="1"/>
      <c r="L18" s="1"/>
      <c r="M18" s="1"/>
      <c r="N18" s="18"/>
    </row>
    <row r="19" spans="2:14" ht="15" customHeight="1" x14ac:dyDescent="0.25">
      <c r="B19" s="20"/>
      <c r="C19" s="5" t="s">
        <v>286</v>
      </c>
      <c r="D19" s="6" t="s">
        <v>190</v>
      </c>
      <c r="E19" s="11">
        <v>6.764E-3</v>
      </c>
      <c r="F19" s="1"/>
      <c r="G19" s="1"/>
      <c r="H19" s="1"/>
      <c r="I19" s="1"/>
      <c r="J19" s="1"/>
      <c r="K19" s="1"/>
      <c r="L19" s="1"/>
      <c r="M19" s="1"/>
      <c r="N19" s="18"/>
    </row>
    <row r="20" spans="2:14" ht="15" customHeight="1" x14ac:dyDescent="0.25">
      <c r="B20" s="20"/>
      <c r="C20" s="5" t="s">
        <v>288</v>
      </c>
      <c r="D20" s="6" t="s">
        <v>190</v>
      </c>
      <c r="E20" s="11">
        <v>4.0879999999999996E-3</v>
      </c>
      <c r="F20" s="1"/>
      <c r="G20" s="1"/>
      <c r="H20" s="1"/>
      <c r="I20" s="1"/>
      <c r="J20" s="1"/>
      <c r="K20" s="1"/>
      <c r="L20" s="1"/>
      <c r="M20" s="1"/>
      <c r="N20" s="18"/>
    </row>
    <row r="21" spans="2:14" ht="15" customHeight="1" x14ac:dyDescent="0.25">
      <c r="B21" s="20"/>
      <c r="C21" s="7" t="s">
        <v>48</v>
      </c>
      <c r="D21" s="8"/>
      <c r="E21" s="12">
        <v>0.896366</v>
      </c>
      <c r="F21" s="1"/>
      <c r="G21" s="1"/>
      <c r="H21" s="1"/>
      <c r="I21" s="1"/>
      <c r="J21" s="1"/>
      <c r="K21" s="1"/>
      <c r="L21" s="1"/>
      <c r="M21" s="1"/>
      <c r="N21" s="18"/>
    </row>
    <row r="22" spans="2:14" ht="15" customHeight="1" x14ac:dyDescent="0.25">
      <c r="B22" s="20"/>
      <c r="C22" s="5" t="s">
        <v>31</v>
      </c>
      <c r="D22" s="6"/>
      <c r="E22" s="11">
        <v>1.9363999999999999E-2</v>
      </c>
      <c r="F22" s="1"/>
      <c r="G22" s="1"/>
      <c r="H22" s="1"/>
      <c r="I22" s="1"/>
      <c r="J22" s="1"/>
      <c r="K22" s="1"/>
      <c r="L22" s="1"/>
      <c r="M22" s="1"/>
      <c r="N22" s="18"/>
    </row>
    <row r="23" spans="2:14" ht="15" customHeight="1" x14ac:dyDescent="0.25">
      <c r="B23" s="20"/>
      <c r="C23" s="7" t="s">
        <v>32</v>
      </c>
      <c r="D23" s="8"/>
      <c r="E23" s="12">
        <v>1.9363999999999999E-2</v>
      </c>
      <c r="F23" s="1"/>
      <c r="G23" s="1"/>
      <c r="H23" s="1"/>
      <c r="I23" s="1"/>
      <c r="J23" s="1"/>
      <c r="K23" s="1"/>
      <c r="L23" s="1"/>
      <c r="M23" s="1"/>
      <c r="N23" s="18"/>
    </row>
    <row r="24" spans="2:14" ht="15" customHeight="1" x14ac:dyDescent="0.25">
      <c r="B24" s="20"/>
      <c r="C24" s="5"/>
      <c r="D24" s="6"/>
      <c r="E24" s="11"/>
      <c r="F24" s="1"/>
      <c r="G24" s="58" t="s">
        <v>6</v>
      </c>
      <c r="H24" s="59"/>
      <c r="I24" s="59"/>
      <c r="J24" s="59"/>
      <c r="K24" s="59"/>
      <c r="L24" s="26">
        <v>2.6370689420864646</v>
      </c>
      <c r="M24" s="27"/>
      <c r="N24" s="28"/>
    </row>
    <row r="25" spans="2:14" ht="15" customHeight="1" x14ac:dyDescent="0.25">
      <c r="B25" s="20"/>
      <c r="C25" s="7" t="s">
        <v>33</v>
      </c>
      <c r="D25" s="8"/>
      <c r="E25" s="12">
        <v>2.1061E-2</v>
      </c>
      <c r="F25" s="1"/>
      <c r="G25" s="1"/>
      <c r="H25" s="1"/>
      <c r="I25" s="1"/>
      <c r="J25" s="1"/>
      <c r="K25" s="1"/>
      <c r="L25" s="1"/>
      <c r="M25" s="1"/>
      <c r="N25" s="18"/>
    </row>
    <row r="26" spans="2:14" ht="15" customHeight="1" x14ac:dyDescent="0.25">
      <c r="B26" s="20"/>
      <c r="C26" s="5"/>
      <c r="D26" s="6"/>
      <c r="E26" s="11"/>
      <c r="F26" s="1"/>
      <c r="G26" s="58" t="s">
        <v>7</v>
      </c>
      <c r="H26" s="59"/>
      <c r="I26" s="59"/>
      <c r="J26" s="59"/>
      <c r="K26" s="59"/>
      <c r="L26" s="59"/>
      <c r="M26" s="59"/>
      <c r="N26" s="60"/>
    </row>
    <row r="27" spans="2:14" ht="15" customHeight="1" x14ac:dyDescent="0.25">
      <c r="B27" s="20"/>
      <c r="C27" s="9" t="s">
        <v>34</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50" t="s">
        <v>336</v>
      </c>
      <c r="C45" s="51"/>
      <c r="D45" s="51"/>
      <c r="E45" s="51"/>
      <c r="F45" s="51"/>
      <c r="G45" s="51"/>
      <c r="H45" s="51"/>
      <c r="I45" s="51"/>
      <c r="J45" s="51"/>
      <c r="K45" s="51"/>
      <c r="L45" s="51"/>
      <c r="M45" s="51"/>
      <c r="N45" s="52"/>
    </row>
  </sheetData>
  <sortState ref="C10:E20">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EA2DC-02B8-455D-8D51-153C9CFF937A}">
  <dimension ref="B1:N53"/>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90</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91</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92</v>
      </c>
      <c r="D8" s="6" t="s">
        <v>190</v>
      </c>
      <c r="E8" s="11">
        <v>0.11903</v>
      </c>
      <c r="F8" s="1"/>
      <c r="G8" s="24" t="s">
        <v>4</v>
      </c>
      <c r="H8" s="25">
        <v>1</v>
      </c>
      <c r="I8" s="1"/>
      <c r="J8" s="24" t="s">
        <v>35</v>
      </c>
      <c r="K8" s="24" t="s">
        <v>3</v>
      </c>
      <c r="L8" s="1"/>
      <c r="M8" s="1"/>
      <c r="N8" s="18"/>
    </row>
    <row r="9" spans="2:14" ht="15" customHeight="1" x14ac:dyDescent="0.25">
      <c r="B9" s="20"/>
      <c r="C9" s="5" t="s">
        <v>93</v>
      </c>
      <c r="D9" s="6" t="s">
        <v>190</v>
      </c>
      <c r="E9" s="11">
        <v>8.2529999999999999E-3</v>
      </c>
      <c r="F9" s="1"/>
      <c r="G9" s="1"/>
      <c r="H9" s="1"/>
      <c r="I9" s="1"/>
      <c r="J9" s="24" t="s">
        <v>33</v>
      </c>
      <c r="K9" s="29">
        <v>1.8536E-2</v>
      </c>
      <c r="L9" s="1"/>
      <c r="M9" s="1"/>
      <c r="N9" s="18"/>
    </row>
    <row r="10" spans="2:14" ht="15.75" customHeight="1" x14ac:dyDescent="0.25">
      <c r="B10" s="20"/>
      <c r="C10" s="7" t="s">
        <v>30</v>
      </c>
      <c r="D10" s="8"/>
      <c r="E10" s="12">
        <v>0.12728300000000001</v>
      </c>
      <c r="F10" s="1"/>
      <c r="G10" s="1"/>
      <c r="H10" s="1"/>
      <c r="I10" s="1"/>
      <c r="J10" s="24" t="s">
        <v>36</v>
      </c>
      <c r="K10" s="29">
        <v>5.1749999999999999E-3</v>
      </c>
      <c r="L10" s="1"/>
      <c r="M10" s="1"/>
      <c r="N10" s="18"/>
    </row>
    <row r="11" spans="2:14" ht="15" customHeight="1" x14ac:dyDescent="0.25">
      <c r="B11" s="20"/>
      <c r="C11" s="5" t="s">
        <v>301</v>
      </c>
      <c r="D11" s="6" t="s">
        <v>190</v>
      </c>
      <c r="E11" s="11">
        <v>0.17277200000000001</v>
      </c>
      <c r="F11" s="1"/>
      <c r="G11" s="1"/>
      <c r="H11" s="1"/>
      <c r="I11" s="1"/>
      <c r="J11" s="24" t="s">
        <v>39</v>
      </c>
      <c r="K11" s="29">
        <v>0.12728300000000001</v>
      </c>
      <c r="L11" s="1"/>
      <c r="M11" s="1"/>
      <c r="N11" s="18"/>
    </row>
    <row r="12" spans="2:14" ht="15.75" customHeight="1" x14ac:dyDescent="0.25">
      <c r="B12" s="20"/>
      <c r="C12" s="5" t="s">
        <v>324</v>
      </c>
      <c r="D12" s="6" t="s">
        <v>190</v>
      </c>
      <c r="E12" s="11">
        <v>8.8463E-2</v>
      </c>
      <c r="F12" s="1"/>
      <c r="G12" s="1"/>
      <c r="H12" s="1"/>
      <c r="I12" s="1"/>
      <c r="J12" s="24" t="s">
        <v>49</v>
      </c>
      <c r="K12" s="29">
        <v>0.84900600000000004</v>
      </c>
      <c r="L12" s="1"/>
      <c r="M12" s="1"/>
      <c r="N12" s="18"/>
    </row>
    <row r="13" spans="2:14" ht="15" customHeight="1" x14ac:dyDescent="0.25">
      <c r="B13" s="20"/>
      <c r="C13" s="5" t="s">
        <v>325</v>
      </c>
      <c r="D13" s="6" t="s">
        <v>190</v>
      </c>
      <c r="E13" s="11">
        <v>8.8414000000000006E-2</v>
      </c>
      <c r="F13" s="1"/>
      <c r="G13" s="1"/>
      <c r="H13" s="1"/>
      <c r="I13" s="1"/>
      <c r="J13" s="1"/>
      <c r="K13" s="1"/>
      <c r="L13" s="1"/>
      <c r="M13" s="1"/>
      <c r="N13" s="18"/>
    </row>
    <row r="14" spans="2:14" ht="15.75" customHeight="1" x14ac:dyDescent="0.25">
      <c r="B14" s="20"/>
      <c r="C14" s="5" t="s">
        <v>322</v>
      </c>
      <c r="D14" s="6" t="s">
        <v>190</v>
      </c>
      <c r="E14" s="11">
        <v>7.4335999999999999E-2</v>
      </c>
      <c r="F14" s="1"/>
      <c r="G14" s="1"/>
      <c r="H14" s="1"/>
      <c r="I14" s="1"/>
      <c r="J14" s="1"/>
      <c r="K14" s="1"/>
      <c r="L14" s="1"/>
      <c r="M14" s="1"/>
      <c r="N14" s="18"/>
    </row>
    <row r="15" spans="2:14" ht="15" customHeight="1" x14ac:dyDescent="0.25">
      <c r="B15" s="20"/>
      <c r="C15" s="5" t="s">
        <v>309</v>
      </c>
      <c r="D15" s="6" t="s">
        <v>190</v>
      </c>
      <c r="E15" s="11">
        <v>5.3421000000000003E-2</v>
      </c>
      <c r="F15" s="1"/>
      <c r="G15" s="1"/>
      <c r="H15" s="1"/>
      <c r="I15" s="1"/>
      <c r="J15" s="1"/>
      <c r="K15" s="1"/>
      <c r="L15" s="1"/>
      <c r="M15" s="1"/>
      <c r="N15" s="18"/>
    </row>
    <row r="16" spans="2:14" ht="15.75" customHeight="1" x14ac:dyDescent="0.25">
      <c r="B16" s="20"/>
      <c r="C16" s="5" t="s">
        <v>323</v>
      </c>
      <c r="D16" s="6" t="s">
        <v>190</v>
      </c>
      <c r="E16" s="11">
        <v>4.9586999999999999E-2</v>
      </c>
      <c r="F16" s="1"/>
      <c r="G16" s="1"/>
      <c r="H16" s="1"/>
      <c r="I16" s="1"/>
      <c r="J16" s="1"/>
      <c r="K16" s="1"/>
      <c r="L16" s="1"/>
      <c r="M16" s="1"/>
      <c r="N16" s="18"/>
    </row>
    <row r="17" spans="2:14" ht="15" customHeight="1" x14ac:dyDescent="0.25">
      <c r="B17" s="20"/>
      <c r="C17" s="5" t="s">
        <v>320</v>
      </c>
      <c r="D17" s="6" t="s">
        <v>190</v>
      </c>
      <c r="E17" s="11">
        <v>4.0482999999999998E-2</v>
      </c>
      <c r="F17" s="1"/>
      <c r="G17" s="1"/>
      <c r="H17" s="1"/>
      <c r="I17" s="1"/>
      <c r="J17" s="1"/>
      <c r="K17" s="1"/>
      <c r="L17" s="1"/>
      <c r="M17" s="1"/>
      <c r="N17" s="18"/>
    </row>
    <row r="18" spans="2:14" ht="15" customHeight="1" x14ac:dyDescent="0.25">
      <c r="B18" s="20"/>
      <c r="C18" s="5" t="s">
        <v>312</v>
      </c>
      <c r="D18" s="6" t="s">
        <v>190</v>
      </c>
      <c r="E18" s="11">
        <v>2.5978999999999999E-2</v>
      </c>
      <c r="F18" s="1"/>
      <c r="G18" s="1"/>
      <c r="H18" s="1"/>
      <c r="I18" s="1"/>
      <c r="J18" s="1"/>
      <c r="K18" s="1"/>
      <c r="L18" s="1"/>
      <c r="M18" s="1"/>
      <c r="N18" s="18"/>
    </row>
    <row r="19" spans="2:14" ht="15" customHeight="1" x14ac:dyDescent="0.25">
      <c r="B19" s="20"/>
      <c r="C19" s="5" t="s">
        <v>306</v>
      </c>
      <c r="D19" s="6" t="s">
        <v>190</v>
      </c>
      <c r="E19" s="11">
        <v>2.5881999999999999E-2</v>
      </c>
      <c r="F19" s="1"/>
      <c r="G19" s="1"/>
      <c r="H19" s="1"/>
      <c r="I19" s="1"/>
      <c r="J19" s="1"/>
      <c r="K19" s="1"/>
      <c r="L19" s="1"/>
      <c r="M19" s="1"/>
      <c r="N19" s="18"/>
    </row>
    <row r="20" spans="2:14" ht="15" customHeight="1" x14ac:dyDescent="0.25">
      <c r="B20" s="20"/>
      <c r="C20" s="5" t="s">
        <v>315</v>
      </c>
      <c r="D20" s="6" t="s">
        <v>190</v>
      </c>
      <c r="E20" s="11">
        <v>1.9970999999999999E-2</v>
      </c>
      <c r="F20" s="1"/>
      <c r="G20" s="1"/>
      <c r="H20" s="1"/>
      <c r="I20" s="1"/>
      <c r="J20" s="1"/>
      <c r="K20" s="1"/>
      <c r="L20" s="1"/>
      <c r="M20" s="1"/>
      <c r="N20" s="18"/>
    </row>
    <row r="21" spans="2:14" ht="15" customHeight="1" x14ac:dyDescent="0.25">
      <c r="B21" s="20"/>
      <c r="C21" s="5" t="s">
        <v>305</v>
      </c>
      <c r="D21" s="6" t="s">
        <v>190</v>
      </c>
      <c r="E21" s="11">
        <v>1.8672999999999999E-2</v>
      </c>
      <c r="F21" s="1"/>
      <c r="G21" s="1"/>
      <c r="H21" s="1"/>
      <c r="I21" s="1"/>
      <c r="J21" s="1"/>
      <c r="K21" s="1"/>
      <c r="L21" s="1"/>
      <c r="M21" s="1"/>
      <c r="N21" s="18"/>
    </row>
    <row r="22" spans="2:14" ht="15" customHeight="1" x14ac:dyDescent="0.25">
      <c r="B22" s="20"/>
      <c r="C22" s="5" t="s">
        <v>316</v>
      </c>
      <c r="D22" s="6" t="s">
        <v>190</v>
      </c>
      <c r="E22" s="11">
        <v>1.7624000000000001E-2</v>
      </c>
      <c r="F22" s="1"/>
      <c r="G22" s="1"/>
      <c r="H22" s="1"/>
      <c r="I22" s="1"/>
      <c r="J22" s="1"/>
      <c r="K22" s="1"/>
      <c r="L22" s="1"/>
      <c r="M22" s="1"/>
      <c r="N22" s="18"/>
    </row>
    <row r="23" spans="2:14" ht="15" customHeight="1" x14ac:dyDescent="0.25">
      <c r="B23" s="20"/>
      <c r="C23" s="5" t="s">
        <v>302</v>
      </c>
      <c r="D23" s="6" t="s">
        <v>190</v>
      </c>
      <c r="E23" s="11">
        <v>1.7222999999999999E-2</v>
      </c>
      <c r="F23" s="1"/>
      <c r="G23" s="1"/>
      <c r="H23" s="1"/>
      <c r="I23" s="1"/>
      <c r="J23" s="1"/>
      <c r="K23" s="1"/>
      <c r="L23" s="1"/>
      <c r="M23" s="1"/>
      <c r="N23" s="18"/>
    </row>
    <row r="24" spans="2:14" ht="15" customHeight="1" x14ac:dyDescent="0.25">
      <c r="B24" s="20"/>
      <c r="C24" s="5" t="s">
        <v>314</v>
      </c>
      <c r="D24" s="6" t="s">
        <v>190</v>
      </c>
      <c r="E24" s="11">
        <v>1.7131E-2</v>
      </c>
      <c r="F24" s="1"/>
      <c r="G24" s="58" t="s">
        <v>6</v>
      </c>
      <c r="H24" s="59"/>
      <c r="I24" s="59"/>
      <c r="J24" s="59"/>
      <c r="K24" s="59"/>
      <c r="L24" s="26">
        <v>7.1596364737172919</v>
      </c>
      <c r="M24" s="27"/>
      <c r="N24" s="28"/>
    </row>
    <row r="25" spans="2:14" ht="15" customHeight="1" x14ac:dyDescent="0.25">
      <c r="B25" s="20"/>
      <c r="C25" s="5" t="s">
        <v>307</v>
      </c>
      <c r="D25" s="6" t="s">
        <v>190</v>
      </c>
      <c r="E25" s="11">
        <v>1.7089E-2</v>
      </c>
      <c r="F25" s="1"/>
      <c r="G25" s="1"/>
      <c r="H25" s="1"/>
      <c r="I25" s="1"/>
      <c r="J25" s="1"/>
      <c r="K25" s="1"/>
      <c r="L25" s="1"/>
      <c r="M25" s="1"/>
      <c r="N25" s="18"/>
    </row>
    <row r="26" spans="2:14" ht="15" customHeight="1" x14ac:dyDescent="0.25">
      <c r="B26" s="20"/>
      <c r="C26" s="5" t="s">
        <v>300</v>
      </c>
      <c r="D26" s="6" t="s">
        <v>190</v>
      </c>
      <c r="E26" s="11">
        <v>1.7031999999999999E-2</v>
      </c>
      <c r="F26" s="1"/>
      <c r="G26" s="58" t="s">
        <v>7</v>
      </c>
      <c r="H26" s="59"/>
      <c r="I26" s="59"/>
      <c r="J26" s="59"/>
      <c r="K26" s="59"/>
      <c r="L26" s="59"/>
      <c r="M26" s="59"/>
      <c r="N26" s="60"/>
    </row>
    <row r="27" spans="2:14" ht="15" customHeight="1" x14ac:dyDescent="0.25">
      <c r="B27" s="20"/>
      <c r="C27" s="5" t="s">
        <v>299</v>
      </c>
      <c r="D27" s="6" t="s">
        <v>190</v>
      </c>
      <c r="E27" s="11">
        <v>1.6015000000000001E-2</v>
      </c>
      <c r="F27" s="1"/>
      <c r="G27" s="1"/>
      <c r="H27" s="1"/>
      <c r="I27" s="1"/>
      <c r="J27" s="1"/>
      <c r="K27" s="1"/>
      <c r="L27" s="1"/>
      <c r="M27" s="1"/>
      <c r="N27" s="18"/>
    </row>
    <row r="28" spans="2:14" ht="15" customHeight="1" x14ac:dyDescent="0.25">
      <c r="B28" s="20"/>
      <c r="C28" s="5" t="s">
        <v>296</v>
      </c>
      <c r="D28" s="6" t="s">
        <v>190</v>
      </c>
      <c r="E28" s="11">
        <v>8.9060000000000007E-3</v>
      </c>
      <c r="F28" s="1"/>
      <c r="G28" s="1"/>
      <c r="H28" s="1"/>
      <c r="I28" s="1"/>
      <c r="J28" s="1"/>
      <c r="K28" s="1"/>
      <c r="L28" s="1"/>
      <c r="M28" s="1"/>
      <c r="N28" s="18"/>
    </row>
    <row r="29" spans="2:14" ht="15" customHeight="1" x14ac:dyDescent="0.25">
      <c r="B29" s="20"/>
      <c r="C29" s="5" t="s">
        <v>313</v>
      </c>
      <c r="D29" s="6" t="s">
        <v>190</v>
      </c>
      <c r="E29" s="11">
        <v>8.8620000000000001E-3</v>
      </c>
      <c r="F29" s="1"/>
      <c r="G29" s="1"/>
      <c r="H29" s="1"/>
      <c r="I29" s="1"/>
      <c r="J29" s="1"/>
      <c r="K29" s="1"/>
      <c r="L29" s="1"/>
      <c r="M29" s="1"/>
      <c r="N29" s="18"/>
    </row>
    <row r="30" spans="2:14" ht="15" customHeight="1" x14ac:dyDescent="0.25">
      <c r="B30" s="20"/>
      <c r="C30" s="5" t="s">
        <v>321</v>
      </c>
      <c r="D30" s="6" t="s">
        <v>190</v>
      </c>
      <c r="E30" s="11">
        <v>8.8489999999999992E-3</v>
      </c>
      <c r="F30" s="1"/>
      <c r="G30" s="1"/>
      <c r="H30" s="1"/>
      <c r="I30" s="1"/>
      <c r="J30" s="1"/>
      <c r="K30" s="1"/>
      <c r="L30" s="1"/>
      <c r="M30" s="1"/>
      <c r="N30" s="18"/>
    </row>
    <row r="31" spans="2:14" ht="15" customHeight="1" x14ac:dyDescent="0.25">
      <c r="B31" s="20"/>
      <c r="C31" s="5" t="s">
        <v>310</v>
      </c>
      <c r="D31" s="6" t="s">
        <v>190</v>
      </c>
      <c r="E31" s="11">
        <v>8.6479999999999994E-3</v>
      </c>
      <c r="F31" s="1"/>
      <c r="G31" s="1"/>
      <c r="H31" s="1"/>
      <c r="I31" s="1"/>
      <c r="J31" s="1"/>
      <c r="K31" s="1"/>
      <c r="L31" s="1"/>
      <c r="M31" s="1"/>
      <c r="N31" s="18"/>
    </row>
    <row r="32" spans="2:14" ht="15" customHeight="1" x14ac:dyDescent="0.25">
      <c r="B32" s="20"/>
      <c r="C32" s="5" t="s">
        <v>311</v>
      </c>
      <c r="D32" s="6" t="s">
        <v>190</v>
      </c>
      <c r="E32" s="11">
        <v>8.6040000000000005E-3</v>
      </c>
      <c r="F32" s="1"/>
      <c r="G32" s="1"/>
      <c r="H32" s="1"/>
      <c r="I32" s="1"/>
      <c r="J32" s="1"/>
      <c r="K32" s="1"/>
      <c r="L32" s="1"/>
      <c r="M32" s="1"/>
      <c r="N32" s="18"/>
    </row>
    <row r="33" spans="2:14" ht="15" customHeight="1" x14ac:dyDescent="0.25">
      <c r="B33" s="20"/>
      <c r="C33" s="5" t="s">
        <v>304</v>
      </c>
      <c r="D33" s="6" t="s">
        <v>190</v>
      </c>
      <c r="E33" s="11">
        <v>8.5780000000000006E-3</v>
      </c>
      <c r="F33" s="1"/>
      <c r="G33" s="1"/>
      <c r="H33" s="1"/>
      <c r="I33" s="1"/>
      <c r="J33" s="1"/>
      <c r="K33" s="1"/>
      <c r="L33" s="1"/>
      <c r="M33" s="1"/>
      <c r="N33" s="18"/>
    </row>
    <row r="34" spans="2:14" ht="15" customHeight="1" x14ac:dyDescent="0.25">
      <c r="B34" s="20"/>
      <c r="C34" s="5" t="s">
        <v>303</v>
      </c>
      <c r="D34" s="6" t="s">
        <v>190</v>
      </c>
      <c r="E34" s="11">
        <v>8.5660000000000007E-3</v>
      </c>
      <c r="F34" s="1"/>
      <c r="G34" s="1"/>
      <c r="H34" s="1"/>
      <c r="I34" s="1"/>
      <c r="J34" s="1"/>
      <c r="K34" s="1"/>
      <c r="L34" s="1"/>
      <c r="M34" s="1"/>
      <c r="N34" s="18"/>
    </row>
    <row r="35" spans="2:14" ht="15" customHeight="1" x14ac:dyDescent="0.25">
      <c r="B35" s="20"/>
      <c r="C35" s="5" t="s">
        <v>298</v>
      </c>
      <c r="D35" s="6" t="s">
        <v>190</v>
      </c>
      <c r="E35" s="11">
        <v>8.4419999999999999E-3</v>
      </c>
      <c r="F35" s="1"/>
      <c r="G35" s="1"/>
      <c r="H35" s="1"/>
      <c r="I35" s="1"/>
      <c r="J35" s="1"/>
      <c r="K35" s="1"/>
      <c r="L35" s="1"/>
      <c r="M35" s="1"/>
      <c r="N35" s="18"/>
    </row>
    <row r="36" spans="2:14" ht="15" customHeight="1" x14ac:dyDescent="0.25">
      <c r="B36" s="20"/>
      <c r="C36" s="5" t="s">
        <v>319</v>
      </c>
      <c r="D36" s="6" t="s">
        <v>190</v>
      </c>
      <c r="E36" s="11">
        <v>5.2630000000000003E-3</v>
      </c>
      <c r="F36" s="1"/>
      <c r="G36" s="1"/>
      <c r="H36" s="1"/>
      <c r="I36" s="1"/>
      <c r="J36" s="1"/>
      <c r="K36" s="1"/>
      <c r="L36" s="1"/>
      <c r="M36" s="1"/>
      <c r="N36" s="18"/>
    </row>
    <row r="37" spans="2:14" ht="15" customHeight="1" x14ac:dyDescent="0.25">
      <c r="B37" s="20"/>
      <c r="C37" s="5" t="s">
        <v>318</v>
      </c>
      <c r="D37" s="6" t="s">
        <v>190</v>
      </c>
      <c r="E37" s="11">
        <v>4.2940000000000001E-3</v>
      </c>
      <c r="F37" s="1"/>
      <c r="G37" s="1"/>
      <c r="H37" s="1"/>
      <c r="I37" s="1"/>
      <c r="J37" s="1"/>
      <c r="K37" s="1"/>
      <c r="L37" s="1"/>
      <c r="M37" s="1"/>
      <c r="N37" s="18"/>
    </row>
    <row r="38" spans="2:14" ht="15" customHeight="1" x14ac:dyDescent="0.25">
      <c r="B38" s="20"/>
      <c r="C38" s="5" t="s">
        <v>317</v>
      </c>
      <c r="D38" s="6" t="s">
        <v>190</v>
      </c>
      <c r="E38" s="11">
        <v>3.3830000000000002E-3</v>
      </c>
      <c r="F38" s="1"/>
      <c r="G38" s="1"/>
      <c r="H38" s="1"/>
      <c r="I38" s="1"/>
      <c r="J38" s="1"/>
      <c r="K38" s="1"/>
      <c r="L38" s="1"/>
      <c r="M38" s="1"/>
      <c r="N38" s="18"/>
    </row>
    <row r="39" spans="2:14" ht="15" customHeight="1" x14ac:dyDescent="0.25">
      <c r="B39" s="20"/>
      <c r="C39" s="5" t="s">
        <v>308</v>
      </c>
      <c r="D39" s="6" t="s">
        <v>190</v>
      </c>
      <c r="E39" s="11">
        <v>3.2720000000000002E-3</v>
      </c>
      <c r="F39" s="1"/>
      <c r="G39" s="1"/>
      <c r="H39" s="1"/>
      <c r="I39" s="1"/>
      <c r="J39" s="1"/>
      <c r="K39" s="1"/>
      <c r="L39" s="1"/>
      <c r="M39" s="1"/>
      <c r="N39" s="18"/>
    </row>
    <row r="40" spans="2:14" ht="15" customHeight="1" x14ac:dyDescent="0.25">
      <c r="B40" s="20"/>
      <c r="C40" s="5" t="s">
        <v>297</v>
      </c>
      <c r="D40" s="6" t="s">
        <v>190</v>
      </c>
      <c r="E40" s="11">
        <v>1.521E-3</v>
      </c>
      <c r="F40" s="1"/>
      <c r="G40" s="1"/>
      <c r="H40" s="1"/>
      <c r="I40" s="1"/>
      <c r="J40" s="1"/>
      <c r="K40" s="1"/>
      <c r="L40" s="1"/>
      <c r="M40" s="1"/>
      <c r="N40" s="18"/>
    </row>
    <row r="41" spans="2:14" ht="15" customHeight="1" x14ac:dyDescent="0.25">
      <c r="B41" s="20"/>
      <c r="C41" s="5" t="s">
        <v>326</v>
      </c>
      <c r="D41" s="6" t="s">
        <v>190</v>
      </c>
      <c r="E41" s="11">
        <v>8.6200000000000003E-4</v>
      </c>
      <c r="F41" s="1"/>
      <c r="G41" s="1"/>
      <c r="H41" s="1"/>
      <c r="I41" s="1"/>
      <c r="J41" s="1"/>
      <c r="K41" s="1"/>
      <c r="L41" s="1"/>
      <c r="M41" s="1"/>
      <c r="N41" s="18"/>
    </row>
    <row r="42" spans="2:14" ht="15" customHeight="1" x14ac:dyDescent="0.25">
      <c r="B42" s="20"/>
      <c r="C42" s="5" t="s">
        <v>327</v>
      </c>
      <c r="D42" s="6" t="s">
        <v>190</v>
      </c>
      <c r="E42" s="11">
        <v>8.61E-4</v>
      </c>
      <c r="F42" s="1"/>
      <c r="G42" s="1"/>
      <c r="H42" s="1"/>
      <c r="I42" s="1"/>
      <c r="J42" s="1"/>
      <c r="K42" s="1"/>
      <c r="L42" s="1"/>
      <c r="M42" s="1"/>
      <c r="N42" s="18"/>
    </row>
    <row r="43" spans="2:14" ht="15" customHeight="1" x14ac:dyDescent="0.25">
      <c r="B43" s="20"/>
      <c r="C43" s="7" t="s">
        <v>48</v>
      </c>
      <c r="D43" s="8"/>
      <c r="E43" s="12">
        <v>0.84900600000000004</v>
      </c>
      <c r="F43" s="1"/>
      <c r="G43" s="1"/>
      <c r="H43" s="1"/>
      <c r="I43" s="1"/>
      <c r="J43" s="1"/>
      <c r="K43" s="1"/>
      <c r="L43" s="1"/>
      <c r="M43" s="1"/>
      <c r="N43" s="18"/>
    </row>
    <row r="44" spans="2:14" ht="15" customHeight="1" x14ac:dyDescent="0.25">
      <c r="B44" s="20"/>
      <c r="C44" s="5" t="s">
        <v>31</v>
      </c>
      <c r="D44" s="6"/>
      <c r="E44" s="11">
        <v>5.1749999999999999E-3</v>
      </c>
      <c r="F44" s="1"/>
      <c r="G44" s="1"/>
      <c r="H44" s="1"/>
      <c r="I44" s="1"/>
      <c r="J44" s="1"/>
      <c r="K44" s="1"/>
      <c r="L44" s="1"/>
      <c r="M44" s="1"/>
      <c r="N44" s="18"/>
    </row>
    <row r="45" spans="2:14" ht="15" customHeight="1" x14ac:dyDescent="0.25">
      <c r="B45" s="20"/>
      <c r="C45" s="7" t="s">
        <v>32</v>
      </c>
      <c r="D45" s="8"/>
      <c r="E45" s="12">
        <v>5.1749999999999999E-3</v>
      </c>
      <c r="F45" s="1"/>
      <c r="G45" s="1"/>
      <c r="H45" s="1"/>
      <c r="I45" s="1"/>
      <c r="J45" s="1"/>
      <c r="K45" s="1"/>
      <c r="L45" s="1"/>
      <c r="M45" s="1"/>
      <c r="N45" s="18"/>
    </row>
    <row r="46" spans="2:14" ht="15" customHeight="1" x14ac:dyDescent="0.25">
      <c r="B46" s="20"/>
      <c r="C46" s="5"/>
      <c r="D46" s="6"/>
      <c r="E46" s="11"/>
      <c r="F46" s="1"/>
      <c r="G46" s="1"/>
      <c r="H46" s="1"/>
      <c r="I46" s="1"/>
      <c r="J46" s="1"/>
      <c r="K46" s="1"/>
      <c r="L46" s="1"/>
      <c r="M46" s="1"/>
      <c r="N46" s="18"/>
    </row>
    <row r="47" spans="2:14" ht="15" customHeight="1" x14ac:dyDescent="0.25">
      <c r="B47" s="20"/>
      <c r="C47" s="7" t="s">
        <v>33</v>
      </c>
      <c r="D47" s="8"/>
      <c r="E47" s="12">
        <v>1.8536E-2</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75" x14ac:dyDescent="0.25">
      <c r="B49" s="20"/>
      <c r="C49" s="9" t="s">
        <v>34</v>
      </c>
      <c r="D49" s="10"/>
      <c r="E49" s="13">
        <v>1</v>
      </c>
      <c r="F49" s="1"/>
      <c r="G49" s="1"/>
      <c r="H49" s="1"/>
      <c r="I49" s="1"/>
      <c r="J49" s="1"/>
      <c r="K49" s="1"/>
      <c r="L49" s="1"/>
      <c r="M49" s="1"/>
      <c r="N49" s="18"/>
    </row>
    <row r="50" spans="2:14" x14ac:dyDescent="0.25">
      <c r="B50" s="20"/>
      <c r="F50" s="1"/>
      <c r="G50" s="1"/>
      <c r="H50" s="1"/>
      <c r="I50" s="1"/>
      <c r="J50" s="1"/>
      <c r="K50" s="1"/>
      <c r="L50" s="1"/>
      <c r="M50" s="1"/>
      <c r="N50" s="18"/>
    </row>
    <row r="51" spans="2:14" ht="15.75" thickBot="1" x14ac:dyDescent="0.3">
      <c r="B51" s="21"/>
      <c r="C51" s="22"/>
      <c r="D51" s="22"/>
      <c r="E51" s="22"/>
      <c r="F51" s="22"/>
      <c r="G51" s="22"/>
      <c r="H51" s="22"/>
      <c r="I51" s="22"/>
      <c r="J51" s="22"/>
      <c r="K51" s="22"/>
      <c r="L51" s="22"/>
      <c r="M51" s="22"/>
      <c r="N51" s="23"/>
    </row>
    <row r="52" spans="2:14" ht="15.75" thickBot="1" x14ac:dyDescent="0.3"/>
    <row r="53" spans="2:14" ht="129.75" customHeight="1" thickBot="1" x14ac:dyDescent="0.3">
      <c r="B53" s="50" t="s">
        <v>336</v>
      </c>
      <c r="C53" s="51"/>
      <c r="D53" s="51"/>
      <c r="E53" s="51"/>
      <c r="F53" s="51"/>
      <c r="G53" s="51"/>
      <c r="H53" s="51"/>
      <c r="I53" s="51"/>
      <c r="J53" s="51"/>
      <c r="K53" s="51"/>
      <c r="L53" s="51"/>
      <c r="M53" s="51"/>
      <c r="N53" s="52"/>
    </row>
  </sheetData>
  <sortState ref="C11:E42">
    <sortCondition descending="1" ref="E11"/>
  </sortState>
  <mergeCells count="6">
    <mergeCell ref="B53:N53"/>
    <mergeCell ref="C3:N3"/>
    <mergeCell ref="D5:E5"/>
    <mergeCell ref="G7:N7"/>
    <mergeCell ref="G24:K24"/>
    <mergeCell ref="G26:N2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3963C-D91D-4A70-B83E-A692337A9F79}">
  <dimension ref="B1:N45"/>
  <sheetViews>
    <sheetView showGridLines="0" zoomScale="75" zoomScaleNormal="75" workbookViewId="0">
      <selection activeCell="C5" sqref="C5"/>
    </sheetView>
  </sheetViews>
  <sheetFormatPr defaultRowHeight="15" x14ac:dyDescent="0.25"/>
  <cols>
    <col min="1" max="1" width="2.85546875" customWidth="1"/>
    <col min="2" max="2" width="3.85546875" customWidth="1"/>
    <col min="3" max="3" width="57.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3" t="s">
        <v>0</v>
      </c>
      <c r="D3" s="54"/>
      <c r="E3" s="54"/>
      <c r="F3" s="54"/>
      <c r="G3" s="54"/>
      <c r="H3" s="54"/>
      <c r="I3" s="54"/>
      <c r="J3" s="54"/>
      <c r="K3" s="54"/>
      <c r="L3" s="54"/>
      <c r="M3" s="54"/>
      <c r="N3" s="55"/>
    </row>
    <row r="4" spans="2:14" ht="15.75" customHeight="1" x14ac:dyDescent="0.25">
      <c r="B4" s="20"/>
      <c r="C4" s="14"/>
      <c r="D4" s="1"/>
      <c r="E4" s="1"/>
      <c r="F4" s="1"/>
      <c r="G4" s="1"/>
      <c r="H4" s="1"/>
      <c r="I4" s="1"/>
      <c r="J4" s="1"/>
      <c r="K4" s="1"/>
      <c r="L4" s="1"/>
      <c r="M4" s="1"/>
      <c r="N4" s="18"/>
    </row>
    <row r="5" spans="2:14" ht="18" customHeight="1" x14ac:dyDescent="0.25">
      <c r="B5" s="20"/>
      <c r="C5" s="15" t="s">
        <v>9</v>
      </c>
      <c r="D5" s="56" t="s">
        <v>339</v>
      </c>
      <c r="E5" s="57"/>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58" t="s">
        <v>5</v>
      </c>
      <c r="H7" s="59"/>
      <c r="I7" s="59"/>
      <c r="J7" s="59"/>
      <c r="K7" s="59"/>
      <c r="L7" s="59"/>
      <c r="M7" s="59"/>
      <c r="N7" s="60"/>
    </row>
    <row r="8" spans="2:14" ht="15" customHeight="1" x14ac:dyDescent="0.25">
      <c r="B8" s="20"/>
      <c r="C8" s="5" t="s">
        <v>328</v>
      </c>
      <c r="D8" s="33"/>
      <c r="E8" s="11">
        <v>0.68774000000000002</v>
      </c>
      <c r="F8" s="1"/>
      <c r="G8" s="24" t="s">
        <v>4</v>
      </c>
      <c r="H8" s="25">
        <v>1</v>
      </c>
      <c r="I8" s="36"/>
      <c r="J8" s="37" t="s">
        <v>35</v>
      </c>
      <c r="K8" s="37" t="s">
        <v>3</v>
      </c>
      <c r="L8" s="1"/>
      <c r="M8" s="1"/>
      <c r="N8" s="18"/>
    </row>
    <row r="9" spans="2:14" ht="15" customHeight="1" x14ac:dyDescent="0.25">
      <c r="B9" s="20"/>
      <c r="C9" s="5" t="s">
        <v>332</v>
      </c>
      <c r="D9" s="33"/>
      <c r="E9" s="11">
        <v>5.5999999999999999E-5</v>
      </c>
      <c r="F9" s="1"/>
      <c r="G9" s="1"/>
      <c r="H9" s="1"/>
      <c r="I9" s="36"/>
      <c r="J9" s="37" t="s">
        <v>33</v>
      </c>
      <c r="K9" s="38">
        <v>-6.3900000000000003E-4</v>
      </c>
      <c r="L9" s="1"/>
      <c r="M9" s="1"/>
      <c r="N9" s="18"/>
    </row>
    <row r="10" spans="2:14" ht="15" customHeight="1" x14ac:dyDescent="0.25">
      <c r="B10" s="20"/>
      <c r="C10" s="5" t="s">
        <v>329</v>
      </c>
      <c r="D10" s="33"/>
      <c r="E10" s="11">
        <v>0.30941800000000003</v>
      </c>
      <c r="F10" s="1"/>
      <c r="G10" s="1"/>
      <c r="H10" s="1"/>
      <c r="I10" s="36"/>
      <c r="J10" s="37" t="s">
        <v>36</v>
      </c>
      <c r="K10" s="38">
        <v>3.4250000000000001E-3</v>
      </c>
      <c r="L10" s="1"/>
      <c r="M10" s="1"/>
      <c r="N10" s="18"/>
    </row>
    <row r="11" spans="2:14" ht="15.75" customHeight="1" x14ac:dyDescent="0.25">
      <c r="B11" s="20"/>
      <c r="C11" s="7" t="s">
        <v>330</v>
      </c>
      <c r="D11" s="34"/>
      <c r="E11" s="12">
        <v>0.99721400000000004</v>
      </c>
      <c r="F11" s="1"/>
      <c r="G11" s="1"/>
      <c r="H11" s="1"/>
      <c r="I11" s="36"/>
      <c r="J11" s="37" t="s">
        <v>331</v>
      </c>
      <c r="K11" s="38">
        <v>0.99721400000000004</v>
      </c>
      <c r="L11" s="1"/>
      <c r="M11" s="1"/>
      <c r="N11" s="18"/>
    </row>
    <row r="12" spans="2:14" ht="15" customHeight="1" x14ac:dyDescent="0.25">
      <c r="B12" s="20"/>
      <c r="C12" s="5" t="s">
        <v>31</v>
      </c>
      <c r="D12" s="33"/>
      <c r="E12" s="11">
        <v>3.4250000000000001E-3</v>
      </c>
      <c r="F12" s="1"/>
      <c r="G12" s="1"/>
      <c r="H12" s="1"/>
      <c r="I12" s="36"/>
      <c r="J12" s="37"/>
      <c r="K12" s="37"/>
      <c r="L12" s="1"/>
      <c r="M12" s="1"/>
      <c r="N12" s="18"/>
    </row>
    <row r="13" spans="2:14" ht="15.75" customHeight="1" x14ac:dyDescent="0.25">
      <c r="B13" s="20"/>
      <c r="C13" s="7" t="s">
        <v>32</v>
      </c>
      <c r="D13" s="34"/>
      <c r="E13" s="12">
        <v>3.4250000000000001E-3</v>
      </c>
      <c r="F13" s="1"/>
      <c r="G13" s="1"/>
      <c r="H13" s="1"/>
      <c r="I13" s="36"/>
      <c r="J13" s="36"/>
      <c r="K13" s="36"/>
      <c r="L13" s="1"/>
      <c r="M13" s="1"/>
      <c r="N13" s="18"/>
    </row>
    <row r="14" spans="2:14" ht="15" customHeight="1" x14ac:dyDescent="0.25">
      <c r="B14" s="20"/>
      <c r="C14" s="5"/>
      <c r="D14" s="33"/>
      <c r="E14" s="11"/>
      <c r="F14" s="1"/>
      <c r="G14" s="1"/>
      <c r="H14" s="1"/>
      <c r="I14" s="36"/>
      <c r="J14" s="36"/>
      <c r="K14" s="36"/>
      <c r="L14" s="1"/>
      <c r="M14" s="1"/>
      <c r="N14" s="18"/>
    </row>
    <row r="15" spans="2:14" ht="15.75" customHeight="1" x14ac:dyDescent="0.25">
      <c r="B15" s="20"/>
      <c r="C15" s="7" t="s">
        <v>33</v>
      </c>
      <c r="D15" s="34"/>
      <c r="E15" s="12">
        <v>-6.3900000000000003E-4</v>
      </c>
      <c r="F15" s="1"/>
      <c r="G15" s="1"/>
      <c r="H15" s="1"/>
      <c r="I15" s="36"/>
      <c r="J15" s="36"/>
      <c r="K15" s="36"/>
      <c r="L15" s="1"/>
      <c r="M15" s="1"/>
      <c r="N15" s="18"/>
    </row>
    <row r="16" spans="2:14" ht="15" customHeight="1" x14ac:dyDescent="0.25">
      <c r="B16" s="20"/>
      <c r="C16" s="5"/>
      <c r="D16" s="33"/>
      <c r="E16" s="11"/>
      <c r="F16" s="1"/>
      <c r="G16" s="1"/>
      <c r="H16" s="1"/>
      <c r="I16" s="36"/>
      <c r="J16" s="36"/>
      <c r="K16" s="36"/>
      <c r="L16" s="1"/>
      <c r="M16" s="1"/>
      <c r="N16" s="18"/>
    </row>
    <row r="17" spans="2:14" ht="15" customHeight="1" x14ac:dyDescent="0.25">
      <c r="B17" s="20"/>
      <c r="C17" s="9" t="s">
        <v>34</v>
      </c>
      <c r="D17" s="35"/>
      <c r="E17" s="13">
        <v>1</v>
      </c>
      <c r="F17" s="1"/>
      <c r="G17" s="1"/>
      <c r="H17" s="1"/>
      <c r="I17" s="36"/>
      <c r="J17" s="36"/>
      <c r="K17" s="36"/>
      <c r="L17" s="1"/>
      <c r="M17" s="1"/>
      <c r="N17" s="18"/>
    </row>
    <row r="18" spans="2:14" ht="15" customHeight="1" x14ac:dyDescent="0.25">
      <c r="B18" s="20"/>
      <c r="C18" s="1"/>
      <c r="D18" s="1"/>
      <c r="E18" s="1"/>
      <c r="F18" s="1"/>
      <c r="G18" s="1"/>
      <c r="H18" s="1"/>
      <c r="I18" s="36"/>
      <c r="J18" s="36"/>
      <c r="K18" s="36"/>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8" t="s">
        <v>6</v>
      </c>
      <c r="H24" s="59"/>
      <c r="I24" s="59"/>
      <c r="J24" s="59"/>
      <c r="K24" s="59"/>
      <c r="L24" s="26">
        <v>3.5673415915445905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8" t="s">
        <v>7</v>
      </c>
      <c r="H26" s="59"/>
      <c r="I26" s="59"/>
      <c r="J26" s="59"/>
      <c r="K26" s="59"/>
      <c r="L26" s="59"/>
      <c r="M26" s="59"/>
      <c r="N26" s="60"/>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8" customHeight="1" thickBot="1" x14ac:dyDescent="0.3">
      <c r="B45" s="50" t="s">
        <v>336</v>
      </c>
      <c r="C45" s="51"/>
      <c r="D45" s="51"/>
      <c r="E45" s="51"/>
      <c r="F45" s="51"/>
      <c r="G45" s="51"/>
      <c r="H45" s="51"/>
      <c r="I45" s="51"/>
      <c r="J45" s="51"/>
      <c r="K45" s="51"/>
      <c r="L45" s="51"/>
      <c r="M45" s="51"/>
      <c r="N45" s="52"/>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4BE32-8666-44F8-8BC3-F3EC194EA7F3}">
  <sheetPr>
    <tabColor rgb="FFE5E3E3"/>
    <pageSetUpPr fitToPage="1"/>
  </sheetPr>
  <dimension ref="B1:X691"/>
  <sheetViews>
    <sheetView showGridLines="0" zoomScale="75" zoomScaleNormal="75" workbookViewId="0">
      <selection activeCell="D13" sqref="D13"/>
    </sheetView>
  </sheetViews>
  <sheetFormatPr defaultRowHeight="15" x14ac:dyDescent="0.2"/>
  <cols>
    <col min="1" max="1" width="2.85546875" style="61" customWidth="1"/>
    <col min="2" max="2" width="3.85546875" style="61" customWidth="1"/>
    <col min="3" max="3" width="60.5703125" style="61" customWidth="1"/>
    <col min="4" max="4" width="15.42578125" style="61" bestFit="1" customWidth="1"/>
    <col min="5" max="5" width="9.140625" style="61"/>
    <col min="6" max="6" width="10.7109375" style="61" customWidth="1"/>
    <col min="7" max="7" width="10.5703125" style="61" bestFit="1" customWidth="1"/>
    <col min="8" max="9" width="9.140625" style="61"/>
    <col min="10" max="11" width="16.42578125" style="61" customWidth="1"/>
    <col min="12" max="18" width="9.140625" style="61"/>
    <col min="19" max="19" width="9.85546875" style="61" customWidth="1"/>
    <col min="20" max="21" width="9.28515625" style="61" bestFit="1" customWidth="1"/>
    <col min="22" max="16384" width="9.140625" style="61"/>
  </cols>
  <sheetData>
    <row r="1" spans="2:24" ht="15.75" thickBot="1" x14ac:dyDescent="0.25"/>
    <row r="2" spans="2:24" x14ac:dyDescent="0.2">
      <c r="B2" s="62"/>
      <c r="C2" s="63"/>
      <c r="D2" s="63"/>
      <c r="E2" s="63"/>
      <c r="F2" s="63"/>
      <c r="G2" s="63"/>
      <c r="H2" s="63"/>
      <c r="I2" s="63"/>
      <c r="J2" s="63"/>
      <c r="K2" s="63"/>
      <c r="L2" s="63"/>
      <c r="M2" s="64"/>
    </row>
    <row r="3" spans="2:24" ht="20.25" customHeight="1" x14ac:dyDescent="0.2">
      <c r="B3" s="65"/>
      <c r="C3" s="66" t="s">
        <v>361</v>
      </c>
      <c r="D3" s="66"/>
      <c r="E3" s="66"/>
      <c r="F3" s="66"/>
      <c r="G3" s="66"/>
      <c r="H3" s="66"/>
      <c r="I3" s="66"/>
      <c r="J3" s="66"/>
      <c r="K3" s="66"/>
      <c r="L3" s="66"/>
      <c r="M3" s="67"/>
    </row>
    <row r="4" spans="2:24" ht="15.75" x14ac:dyDescent="0.25">
      <c r="B4" s="65"/>
      <c r="C4" s="14"/>
      <c r="D4" s="68"/>
      <c r="E4" s="68"/>
      <c r="F4" s="69"/>
      <c r="G4" s="69"/>
      <c r="H4" s="69"/>
      <c r="I4" s="69"/>
      <c r="J4" s="69"/>
      <c r="K4" s="69"/>
      <c r="L4" s="69"/>
      <c r="M4" s="70"/>
    </row>
    <row r="5" spans="2:24" ht="20.25" customHeight="1" x14ac:dyDescent="0.25">
      <c r="B5" s="65"/>
      <c r="C5" s="15" t="s">
        <v>9</v>
      </c>
      <c r="D5" s="71" t="s">
        <v>342</v>
      </c>
      <c r="E5" s="72"/>
      <c r="F5" s="69"/>
      <c r="G5" s="69"/>
      <c r="H5" s="69"/>
      <c r="I5" s="69"/>
      <c r="J5" s="69"/>
      <c r="K5" s="69"/>
      <c r="L5" s="69"/>
      <c r="M5" s="70"/>
    </row>
    <row r="6" spans="2:24" x14ac:dyDescent="0.2">
      <c r="B6" s="65"/>
      <c r="C6" s="69"/>
      <c r="D6" s="69"/>
      <c r="E6" s="69"/>
      <c r="F6" s="69"/>
      <c r="G6" s="69"/>
      <c r="H6" s="69"/>
      <c r="I6" s="69"/>
      <c r="J6" s="69"/>
      <c r="K6" s="69"/>
      <c r="L6" s="69"/>
      <c r="M6" s="70"/>
    </row>
    <row r="7" spans="2:24" ht="15.75" x14ac:dyDescent="0.2">
      <c r="B7" s="65"/>
      <c r="C7" s="73" t="s">
        <v>1</v>
      </c>
      <c r="D7" s="74" t="s">
        <v>3</v>
      </c>
      <c r="E7" s="69"/>
      <c r="F7" s="75" t="s">
        <v>7</v>
      </c>
      <c r="G7" s="75"/>
      <c r="H7" s="75"/>
      <c r="I7" s="75"/>
      <c r="J7" s="75"/>
      <c r="K7" s="75"/>
      <c r="L7" s="75"/>
      <c r="M7" s="76"/>
    </row>
    <row r="8" spans="2:24" x14ac:dyDescent="0.2">
      <c r="B8" s="65"/>
      <c r="C8" s="77" t="s">
        <v>343</v>
      </c>
      <c r="D8" s="78">
        <v>0.99876900000000002</v>
      </c>
      <c r="E8" s="69"/>
      <c r="F8" s="69"/>
      <c r="G8" s="79"/>
      <c r="H8" s="69"/>
      <c r="I8" s="69" t="s">
        <v>344</v>
      </c>
      <c r="J8" s="80">
        <f>D9</f>
        <v>0.99876900000000002</v>
      </c>
      <c r="K8" s="69"/>
      <c r="L8" s="69"/>
      <c r="M8" s="70"/>
      <c r="S8" s="81"/>
      <c r="W8" s="61" t="s">
        <v>345</v>
      </c>
      <c r="X8" s="61">
        <v>0.25058799999999998</v>
      </c>
    </row>
    <row r="9" spans="2:24" ht="15.75" x14ac:dyDescent="0.25">
      <c r="B9" s="65"/>
      <c r="C9" s="82" t="s">
        <v>344</v>
      </c>
      <c r="D9" s="83">
        <v>0.99876900000000002</v>
      </c>
      <c r="E9" s="69"/>
      <c r="F9" s="69"/>
      <c r="G9" s="69"/>
      <c r="H9" s="69"/>
      <c r="I9" s="69" t="s">
        <v>33</v>
      </c>
      <c r="J9" s="80">
        <f>D13</f>
        <v>-5.7369999999999999E-3</v>
      </c>
      <c r="K9" s="69"/>
      <c r="L9" s="69"/>
      <c r="M9" s="70"/>
      <c r="S9" s="81"/>
      <c r="W9" s="61" t="s">
        <v>346</v>
      </c>
      <c r="X9" s="61">
        <v>6.1296999999999997E-2</v>
      </c>
    </row>
    <row r="10" spans="2:24" x14ac:dyDescent="0.2">
      <c r="B10" s="65"/>
      <c r="C10" s="84" t="s">
        <v>31</v>
      </c>
      <c r="D10" s="85">
        <v>6.9680000000000002E-3</v>
      </c>
      <c r="E10" s="69"/>
      <c r="F10" s="69"/>
      <c r="G10" s="69"/>
      <c r="I10" s="61" t="s">
        <v>32</v>
      </c>
      <c r="J10" s="80">
        <f>D11</f>
        <v>6.9680000000000002E-3</v>
      </c>
      <c r="K10" s="69"/>
      <c r="L10" s="69"/>
      <c r="M10" s="70"/>
      <c r="S10" s="81"/>
      <c r="W10" s="61" t="s">
        <v>347</v>
      </c>
      <c r="X10" s="61">
        <v>3.0130999999999998E-2</v>
      </c>
    </row>
    <row r="11" spans="2:24" ht="15.75" x14ac:dyDescent="0.2">
      <c r="B11" s="65"/>
      <c r="C11" s="86" t="s">
        <v>32</v>
      </c>
      <c r="D11" s="87">
        <v>6.9680000000000002E-3</v>
      </c>
      <c r="E11" s="69"/>
      <c r="F11" s="69"/>
      <c r="G11" s="69"/>
      <c r="J11" s="69"/>
      <c r="K11" s="69"/>
      <c r="L11" s="69"/>
      <c r="M11" s="70"/>
      <c r="S11" s="81"/>
      <c r="W11" s="61" t="s">
        <v>348</v>
      </c>
      <c r="X11" s="61">
        <v>2.7299E-2</v>
      </c>
    </row>
    <row r="12" spans="2:24" x14ac:dyDescent="0.2">
      <c r="B12" s="65"/>
      <c r="C12" s="84"/>
      <c r="D12" s="88"/>
      <c r="E12" s="69"/>
      <c r="F12" s="69"/>
      <c r="G12" s="69"/>
      <c r="J12" s="69"/>
      <c r="K12" s="69"/>
      <c r="L12" s="69"/>
      <c r="M12" s="70"/>
      <c r="S12" s="81"/>
      <c r="W12" s="61" t="s">
        <v>349</v>
      </c>
      <c r="X12" s="61">
        <v>2.5925E-2</v>
      </c>
    </row>
    <row r="13" spans="2:24" ht="15.75" x14ac:dyDescent="0.2">
      <c r="B13" s="65"/>
      <c r="C13" s="86" t="s">
        <v>33</v>
      </c>
      <c r="D13" s="87">
        <v>-5.7369999999999999E-3</v>
      </c>
      <c r="E13" s="69"/>
      <c r="F13" s="69"/>
      <c r="G13" s="69"/>
      <c r="J13" s="69"/>
      <c r="K13" s="69"/>
      <c r="L13" s="69"/>
      <c r="M13" s="70"/>
      <c r="S13" s="81"/>
      <c r="W13" s="61" t="s">
        <v>350</v>
      </c>
      <c r="X13" s="61">
        <v>2.3822000000000003E-2</v>
      </c>
    </row>
    <row r="14" spans="2:24" x14ac:dyDescent="0.2">
      <c r="B14" s="65"/>
      <c r="C14" s="84"/>
      <c r="D14" s="88"/>
      <c r="E14" s="69"/>
      <c r="F14" s="69"/>
      <c r="G14" s="69"/>
      <c r="H14" s="69"/>
      <c r="I14" s="69"/>
      <c r="J14" s="69"/>
      <c r="K14" s="69"/>
      <c r="L14" s="69"/>
      <c r="M14" s="70"/>
      <c r="S14" s="81"/>
      <c r="W14" s="61" t="s">
        <v>351</v>
      </c>
      <c r="X14" s="61">
        <v>2.3753E-2</v>
      </c>
    </row>
    <row r="15" spans="2:24" ht="15.75" x14ac:dyDescent="0.2">
      <c r="B15" s="65"/>
      <c r="C15" s="89" t="s">
        <v>34</v>
      </c>
      <c r="D15" s="90">
        <f>D13+D11+D9</f>
        <v>1</v>
      </c>
      <c r="E15" s="69"/>
      <c r="F15" s="69"/>
      <c r="G15" s="69"/>
      <c r="H15" s="69"/>
      <c r="I15" s="69"/>
      <c r="J15" s="69"/>
      <c r="K15" s="69"/>
      <c r="L15" s="69"/>
      <c r="M15" s="70"/>
      <c r="S15" s="81"/>
      <c r="W15" s="61" t="s">
        <v>352</v>
      </c>
      <c r="X15" s="61">
        <v>1.8620999999999999E-2</v>
      </c>
    </row>
    <row r="16" spans="2:24" x14ac:dyDescent="0.2">
      <c r="B16" s="65"/>
      <c r="E16" s="69"/>
      <c r="F16" s="69"/>
      <c r="G16" s="69"/>
      <c r="H16" s="69"/>
      <c r="I16" s="69"/>
      <c r="J16" s="69"/>
      <c r="K16" s="69"/>
      <c r="L16" s="69"/>
      <c r="M16" s="70"/>
      <c r="S16" s="81"/>
      <c r="W16" s="61" t="s">
        <v>353</v>
      </c>
      <c r="X16" s="61">
        <v>1.7219000000000002E-2</v>
      </c>
    </row>
    <row r="17" spans="2:24" ht="15.75" x14ac:dyDescent="0.25">
      <c r="B17" s="65"/>
      <c r="C17" s="91"/>
      <c r="D17" s="92"/>
      <c r="E17" s="69"/>
      <c r="F17" s="69"/>
      <c r="G17" s="69"/>
      <c r="H17" s="69"/>
      <c r="I17" s="69"/>
      <c r="J17" s="69"/>
      <c r="K17" s="69"/>
      <c r="L17" s="69"/>
      <c r="M17" s="70"/>
      <c r="S17" s="81"/>
      <c r="W17" s="61" t="s">
        <v>354</v>
      </c>
      <c r="X17" s="61">
        <v>1.6056000000000001E-2</v>
      </c>
    </row>
    <row r="18" spans="2:24" x14ac:dyDescent="0.2">
      <c r="B18" s="65"/>
      <c r="C18" s="93"/>
      <c r="D18" s="93"/>
      <c r="E18" s="69"/>
      <c r="F18" s="69"/>
      <c r="G18" s="69"/>
      <c r="H18" s="69"/>
      <c r="I18" s="69"/>
      <c r="J18" s="69"/>
      <c r="K18" s="69"/>
      <c r="L18" s="69"/>
      <c r="M18" s="70"/>
      <c r="S18" s="81"/>
      <c r="W18" s="61" t="s">
        <v>355</v>
      </c>
      <c r="X18" s="61">
        <v>1.41E-2</v>
      </c>
    </row>
    <row r="19" spans="2:24" ht="15.75" x14ac:dyDescent="0.25">
      <c r="B19" s="65"/>
      <c r="C19" s="91"/>
      <c r="D19" s="94"/>
      <c r="E19" s="69"/>
      <c r="F19" s="69"/>
      <c r="G19" s="69"/>
      <c r="H19" s="69"/>
      <c r="I19" s="69"/>
      <c r="J19" s="69"/>
      <c r="K19" s="69"/>
      <c r="L19" s="69"/>
      <c r="M19" s="70"/>
      <c r="S19" s="81"/>
      <c r="W19" s="61" t="s">
        <v>356</v>
      </c>
      <c r="X19" s="61">
        <v>1.1167E-2</v>
      </c>
    </row>
    <row r="20" spans="2:24" x14ac:dyDescent="0.2">
      <c r="B20" s="65"/>
      <c r="E20" s="69"/>
      <c r="F20" s="69"/>
      <c r="G20" s="69"/>
      <c r="H20" s="69"/>
      <c r="I20" s="69"/>
      <c r="J20" s="69"/>
      <c r="K20" s="69"/>
      <c r="L20" s="69"/>
      <c r="M20" s="70"/>
      <c r="S20" s="81"/>
      <c r="W20" s="61" t="s">
        <v>357</v>
      </c>
      <c r="X20" s="61">
        <v>1.1159000000000001E-2</v>
      </c>
    </row>
    <row r="21" spans="2:24" x14ac:dyDescent="0.2">
      <c r="B21" s="65"/>
      <c r="E21" s="69"/>
      <c r="F21" s="69"/>
      <c r="G21" s="69"/>
      <c r="H21" s="69"/>
      <c r="I21" s="69"/>
      <c r="J21" s="69"/>
      <c r="K21" s="69"/>
      <c r="L21" s="69"/>
      <c r="M21" s="70"/>
      <c r="S21" s="81"/>
      <c r="W21" s="61" t="s">
        <v>358</v>
      </c>
      <c r="X21" s="61">
        <v>1.0543E-2</v>
      </c>
    </row>
    <row r="22" spans="2:24" ht="16.5" thickBot="1" x14ac:dyDescent="0.3">
      <c r="B22" s="95"/>
      <c r="C22" s="96"/>
      <c r="D22" s="96"/>
      <c r="E22" s="96"/>
      <c r="F22" s="96"/>
      <c r="G22" s="96"/>
      <c r="H22" s="96"/>
      <c r="I22" s="96"/>
      <c r="J22" s="96"/>
      <c r="K22" s="96"/>
      <c r="L22" s="96"/>
      <c r="M22" s="97"/>
      <c r="S22" s="81"/>
    </row>
    <row r="23" spans="2:24" ht="15.75" thickBot="1" x14ac:dyDescent="0.25">
      <c r="S23" s="81"/>
    </row>
    <row r="24" spans="2:24" ht="15" customHeight="1" x14ac:dyDescent="0.2">
      <c r="B24" s="98" t="s">
        <v>359</v>
      </c>
      <c r="C24" s="99"/>
      <c r="D24" s="99"/>
      <c r="E24" s="99"/>
      <c r="F24" s="99"/>
      <c r="G24" s="99"/>
      <c r="H24" s="99"/>
      <c r="I24" s="99"/>
      <c r="J24" s="99"/>
      <c r="K24" s="99"/>
      <c r="L24" s="99"/>
      <c r="M24" s="99"/>
      <c r="N24" s="100"/>
      <c r="S24" s="81"/>
    </row>
    <row r="25" spans="2:24" ht="15.75" customHeight="1" x14ac:dyDescent="0.2">
      <c r="B25" s="101"/>
      <c r="C25" s="102"/>
      <c r="D25" s="102"/>
      <c r="E25" s="102"/>
      <c r="F25" s="102"/>
      <c r="G25" s="102"/>
      <c r="H25" s="102"/>
      <c r="I25" s="102"/>
      <c r="J25" s="102"/>
      <c r="K25" s="102"/>
      <c r="L25" s="102"/>
      <c r="M25" s="102"/>
      <c r="N25" s="103"/>
      <c r="S25" s="81"/>
    </row>
    <row r="26" spans="2:24" ht="15.75" customHeight="1" x14ac:dyDescent="0.2">
      <c r="B26" s="101"/>
      <c r="C26" s="102"/>
      <c r="D26" s="102"/>
      <c r="E26" s="102"/>
      <c r="F26" s="102"/>
      <c r="G26" s="102"/>
      <c r="H26" s="102"/>
      <c r="I26" s="102"/>
      <c r="J26" s="102"/>
      <c r="K26" s="102"/>
      <c r="L26" s="102"/>
      <c r="M26" s="102"/>
      <c r="N26" s="103"/>
      <c r="S26" s="81"/>
    </row>
    <row r="27" spans="2:24" ht="15.75" customHeight="1" x14ac:dyDescent="0.2">
      <c r="B27" s="101"/>
      <c r="C27" s="102"/>
      <c r="D27" s="102"/>
      <c r="E27" s="102"/>
      <c r="F27" s="102"/>
      <c r="G27" s="102"/>
      <c r="H27" s="102"/>
      <c r="I27" s="102"/>
      <c r="J27" s="102"/>
      <c r="K27" s="102"/>
      <c r="L27" s="102"/>
      <c r="M27" s="102"/>
      <c r="N27" s="103"/>
      <c r="S27" s="81"/>
    </row>
    <row r="28" spans="2:24" ht="15.75" customHeight="1" x14ac:dyDescent="0.2">
      <c r="B28" s="101"/>
      <c r="C28" s="102"/>
      <c r="D28" s="102"/>
      <c r="E28" s="102"/>
      <c r="F28" s="102"/>
      <c r="G28" s="102"/>
      <c r="H28" s="102"/>
      <c r="I28" s="102"/>
      <c r="J28" s="102"/>
      <c r="K28" s="102"/>
      <c r="L28" s="102"/>
      <c r="M28" s="102"/>
      <c r="N28" s="103"/>
      <c r="S28" s="81"/>
    </row>
    <row r="29" spans="2:24" ht="15.75" customHeight="1" x14ac:dyDescent="0.2">
      <c r="B29" s="101"/>
      <c r="C29" s="102"/>
      <c r="D29" s="102"/>
      <c r="E29" s="102"/>
      <c r="F29" s="102"/>
      <c r="G29" s="102"/>
      <c r="H29" s="102"/>
      <c r="I29" s="102"/>
      <c r="J29" s="102"/>
      <c r="K29" s="102"/>
      <c r="L29" s="102"/>
      <c r="M29" s="102"/>
      <c r="N29" s="103"/>
      <c r="S29" s="81"/>
    </row>
    <row r="30" spans="2:24" ht="28.5" customHeight="1" thickBot="1" x14ac:dyDescent="0.25">
      <c r="B30" s="104"/>
      <c r="C30" s="105"/>
      <c r="D30" s="105"/>
      <c r="E30" s="105"/>
      <c r="F30" s="105"/>
      <c r="G30" s="105"/>
      <c r="H30" s="105"/>
      <c r="I30" s="105"/>
      <c r="J30" s="105"/>
      <c r="K30" s="105"/>
      <c r="L30" s="105"/>
      <c r="M30" s="105"/>
      <c r="N30" s="106"/>
      <c r="S30" s="81"/>
    </row>
    <row r="31" spans="2:24" ht="15.75" thickBot="1" x14ac:dyDescent="0.25">
      <c r="S31" s="81"/>
    </row>
    <row r="32" spans="2:24" x14ac:dyDescent="0.2">
      <c r="B32" s="98" t="s">
        <v>360</v>
      </c>
      <c r="C32" s="99"/>
      <c r="D32" s="99"/>
      <c r="E32" s="99"/>
      <c r="F32" s="99"/>
      <c r="G32" s="99"/>
      <c r="H32" s="99"/>
      <c r="I32" s="99"/>
      <c r="J32" s="99"/>
      <c r="K32" s="99"/>
      <c r="L32" s="99"/>
      <c r="M32" s="99"/>
      <c r="N32" s="100"/>
      <c r="S32" s="81"/>
    </row>
    <row r="33" spans="2:19" x14ac:dyDescent="0.2">
      <c r="B33" s="101"/>
      <c r="C33" s="102"/>
      <c r="D33" s="102"/>
      <c r="E33" s="102"/>
      <c r="F33" s="102"/>
      <c r="G33" s="102"/>
      <c r="H33" s="102"/>
      <c r="I33" s="102"/>
      <c r="J33" s="102"/>
      <c r="K33" s="102"/>
      <c r="L33" s="102"/>
      <c r="M33" s="102"/>
      <c r="N33" s="103"/>
      <c r="S33" s="81"/>
    </row>
    <row r="34" spans="2:19" x14ac:dyDescent="0.2">
      <c r="B34" s="101"/>
      <c r="C34" s="102"/>
      <c r="D34" s="102"/>
      <c r="E34" s="102"/>
      <c r="F34" s="102"/>
      <c r="G34" s="102"/>
      <c r="H34" s="102"/>
      <c r="I34" s="102"/>
      <c r="J34" s="102"/>
      <c r="K34" s="102"/>
      <c r="L34" s="102"/>
      <c r="M34" s="102"/>
      <c r="N34" s="103"/>
      <c r="S34" s="81"/>
    </row>
    <row r="35" spans="2:19" x14ac:dyDescent="0.2">
      <c r="B35" s="101"/>
      <c r="C35" s="102"/>
      <c r="D35" s="102"/>
      <c r="E35" s="102"/>
      <c r="F35" s="102"/>
      <c r="G35" s="102"/>
      <c r="H35" s="102"/>
      <c r="I35" s="102"/>
      <c r="J35" s="102"/>
      <c r="K35" s="102"/>
      <c r="L35" s="102"/>
      <c r="M35" s="102"/>
      <c r="N35" s="103"/>
      <c r="S35" s="81"/>
    </row>
    <row r="36" spans="2:19" x14ac:dyDescent="0.2">
      <c r="B36" s="101"/>
      <c r="C36" s="102"/>
      <c r="D36" s="102"/>
      <c r="E36" s="102"/>
      <c r="F36" s="102"/>
      <c r="G36" s="102"/>
      <c r="H36" s="102"/>
      <c r="I36" s="102"/>
      <c r="J36" s="102"/>
      <c r="K36" s="102"/>
      <c r="L36" s="102"/>
      <c r="M36" s="102"/>
      <c r="N36" s="103"/>
      <c r="S36" s="81"/>
    </row>
    <row r="37" spans="2:19" x14ac:dyDescent="0.2">
      <c r="B37" s="101"/>
      <c r="C37" s="102"/>
      <c r="D37" s="102"/>
      <c r="E37" s="102"/>
      <c r="F37" s="102"/>
      <c r="G37" s="102"/>
      <c r="H37" s="102"/>
      <c r="I37" s="102"/>
      <c r="J37" s="102"/>
      <c r="K37" s="102"/>
      <c r="L37" s="102"/>
      <c r="M37" s="102"/>
      <c r="N37" s="103"/>
      <c r="S37" s="81"/>
    </row>
    <row r="38" spans="2:19" ht="15.75" thickBot="1" x14ac:dyDescent="0.25">
      <c r="B38" s="104"/>
      <c r="C38" s="105"/>
      <c r="D38" s="105"/>
      <c r="E38" s="105"/>
      <c r="F38" s="105"/>
      <c r="G38" s="105"/>
      <c r="H38" s="105"/>
      <c r="I38" s="105"/>
      <c r="J38" s="105"/>
      <c r="K38" s="105"/>
      <c r="L38" s="105"/>
      <c r="M38" s="105"/>
      <c r="N38" s="106"/>
      <c r="S38" s="81"/>
    </row>
    <row r="39" spans="2:19" x14ac:dyDescent="0.2">
      <c r="S39" s="81"/>
    </row>
    <row r="40" spans="2:19" x14ac:dyDescent="0.2">
      <c r="S40" s="81"/>
    </row>
    <row r="41" spans="2:19" x14ac:dyDescent="0.2">
      <c r="S41" s="81"/>
    </row>
    <row r="42" spans="2:19" x14ac:dyDescent="0.2">
      <c r="S42" s="81"/>
    </row>
    <row r="43" spans="2:19" x14ac:dyDescent="0.2">
      <c r="S43" s="81"/>
    </row>
    <row r="44" spans="2:19" x14ac:dyDescent="0.2">
      <c r="S44" s="81"/>
    </row>
    <row r="45" spans="2:19" x14ac:dyDescent="0.2">
      <c r="S45" s="81"/>
    </row>
    <row r="46" spans="2:19" x14ac:dyDescent="0.2">
      <c r="S46" s="81"/>
    </row>
    <row r="47" spans="2:19" x14ac:dyDescent="0.2">
      <c r="S47" s="81"/>
    </row>
    <row r="48" spans="2:19" x14ac:dyDescent="0.2">
      <c r="S48" s="81"/>
    </row>
    <row r="49" spans="19:19" x14ac:dyDescent="0.2">
      <c r="S49" s="81"/>
    </row>
    <row r="50" spans="19:19" x14ac:dyDescent="0.2">
      <c r="S50" s="81"/>
    </row>
    <row r="51" spans="19:19" x14ac:dyDescent="0.2">
      <c r="S51" s="81"/>
    </row>
    <row r="52" spans="19:19" x14ac:dyDescent="0.2">
      <c r="S52" s="81"/>
    </row>
    <row r="53" spans="19:19" x14ac:dyDescent="0.2">
      <c r="S53" s="81"/>
    </row>
    <row r="54" spans="19:19" x14ac:dyDescent="0.2">
      <c r="S54" s="81"/>
    </row>
    <row r="55" spans="19:19" x14ac:dyDescent="0.2">
      <c r="S55" s="81"/>
    </row>
    <row r="56" spans="19:19" x14ac:dyDescent="0.2">
      <c r="S56" s="81"/>
    </row>
    <row r="57" spans="19:19" x14ac:dyDescent="0.2">
      <c r="S57" s="81"/>
    </row>
    <row r="58" spans="19:19" x14ac:dyDescent="0.2">
      <c r="S58" s="81"/>
    </row>
    <row r="59" spans="19:19" x14ac:dyDescent="0.2">
      <c r="S59" s="81"/>
    </row>
    <row r="60" spans="19:19" x14ac:dyDescent="0.2">
      <c r="S60" s="81"/>
    </row>
    <row r="61" spans="19:19" x14ac:dyDescent="0.2">
      <c r="S61" s="81"/>
    </row>
    <row r="62" spans="19:19" x14ac:dyDescent="0.2">
      <c r="S62" s="81"/>
    </row>
    <row r="63" spans="19:19" x14ac:dyDescent="0.2">
      <c r="S63" s="81"/>
    </row>
    <row r="64" spans="19:19" x14ac:dyDescent="0.2">
      <c r="S64" s="81"/>
    </row>
    <row r="65" spans="19:19" x14ac:dyDescent="0.2">
      <c r="S65" s="81"/>
    </row>
    <row r="66" spans="19:19" x14ac:dyDescent="0.2">
      <c r="S66" s="81"/>
    </row>
    <row r="67" spans="19:19" x14ac:dyDescent="0.2">
      <c r="S67" s="81"/>
    </row>
    <row r="68" spans="19:19" x14ac:dyDescent="0.2">
      <c r="S68" s="81"/>
    </row>
    <row r="69" spans="19:19" x14ac:dyDescent="0.2">
      <c r="S69" s="81"/>
    </row>
    <row r="70" spans="19:19" x14ac:dyDescent="0.2">
      <c r="S70" s="81"/>
    </row>
    <row r="71" spans="19:19" x14ac:dyDescent="0.2">
      <c r="S71" s="81"/>
    </row>
    <row r="72" spans="19:19" x14ac:dyDescent="0.2">
      <c r="S72" s="81"/>
    </row>
    <row r="73" spans="19:19" x14ac:dyDescent="0.2">
      <c r="S73" s="81"/>
    </row>
    <row r="74" spans="19:19" x14ac:dyDescent="0.2">
      <c r="S74" s="81"/>
    </row>
    <row r="75" spans="19:19" x14ac:dyDescent="0.2">
      <c r="S75" s="81"/>
    </row>
    <row r="76" spans="19:19" x14ac:dyDescent="0.2">
      <c r="S76" s="81"/>
    </row>
    <row r="77" spans="19:19" x14ac:dyDescent="0.2">
      <c r="S77" s="81"/>
    </row>
    <row r="78" spans="19:19" x14ac:dyDescent="0.2">
      <c r="S78" s="81"/>
    </row>
    <row r="79" spans="19:19" x14ac:dyDescent="0.2">
      <c r="S79" s="81"/>
    </row>
    <row r="80" spans="19:19" x14ac:dyDescent="0.2">
      <c r="S80" s="81"/>
    </row>
    <row r="81" spans="19:19" x14ac:dyDescent="0.2">
      <c r="S81" s="81"/>
    </row>
    <row r="82" spans="19:19" x14ac:dyDescent="0.2">
      <c r="S82" s="81"/>
    </row>
    <row r="83" spans="19:19" x14ac:dyDescent="0.2">
      <c r="S83" s="81"/>
    </row>
    <row r="84" spans="19:19" x14ac:dyDescent="0.2">
      <c r="S84" s="81"/>
    </row>
    <row r="85" spans="19:19" x14ac:dyDescent="0.2">
      <c r="S85" s="81"/>
    </row>
    <row r="86" spans="19:19" x14ac:dyDescent="0.2">
      <c r="S86" s="81"/>
    </row>
    <row r="87" spans="19:19" x14ac:dyDescent="0.2">
      <c r="S87" s="81"/>
    </row>
    <row r="88" spans="19:19" x14ac:dyDescent="0.2">
      <c r="S88" s="81"/>
    </row>
    <row r="89" spans="19:19" x14ac:dyDescent="0.2">
      <c r="S89" s="81"/>
    </row>
    <row r="90" spans="19:19" x14ac:dyDescent="0.2">
      <c r="S90" s="81"/>
    </row>
    <row r="91" spans="19:19" x14ac:dyDescent="0.2">
      <c r="S91" s="81"/>
    </row>
    <row r="92" spans="19:19" x14ac:dyDescent="0.2">
      <c r="S92" s="81"/>
    </row>
    <row r="93" spans="19:19" x14ac:dyDescent="0.2">
      <c r="S93" s="81"/>
    </row>
    <row r="94" spans="19:19" x14ac:dyDescent="0.2">
      <c r="S94" s="81"/>
    </row>
    <row r="95" spans="19:19" x14ac:dyDescent="0.2">
      <c r="S95" s="81"/>
    </row>
    <row r="96" spans="19:19" x14ac:dyDescent="0.2">
      <c r="S96" s="81"/>
    </row>
    <row r="97" spans="19:19" x14ac:dyDescent="0.2">
      <c r="S97" s="81"/>
    </row>
    <row r="98" spans="19:19" x14ac:dyDescent="0.2">
      <c r="S98" s="81"/>
    </row>
    <row r="99" spans="19:19" x14ac:dyDescent="0.2">
      <c r="S99" s="81"/>
    </row>
    <row r="100" spans="19:19" x14ac:dyDescent="0.2">
      <c r="S100" s="81"/>
    </row>
    <row r="101" spans="19:19" x14ac:dyDescent="0.2">
      <c r="S101" s="81"/>
    </row>
    <row r="102" spans="19:19" x14ac:dyDescent="0.2">
      <c r="S102" s="81"/>
    </row>
    <row r="103" spans="19:19" x14ac:dyDescent="0.2">
      <c r="S103" s="81"/>
    </row>
    <row r="104" spans="19:19" x14ac:dyDescent="0.2">
      <c r="S104" s="81"/>
    </row>
    <row r="105" spans="19:19" x14ac:dyDescent="0.2">
      <c r="S105" s="81"/>
    </row>
    <row r="106" spans="19:19" x14ac:dyDescent="0.2">
      <c r="S106" s="81"/>
    </row>
    <row r="107" spans="19:19" x14ac:dyDescent="0.2">
      <c r="S107" s="81"/>
    </row>
    <row r="108" spans="19:19" x14ac:dyDescent="0.2">
      <c r="S108" s="81"/>
    </row>
    <row r="109" spans="19:19" x14ac:dyDescent="0.2">
      <c r="S109" s="81"/>
    </row>
    <row r="110" spans="19:19" x14ac:dyDescent="0.2">
      <c r="S110" s="81"/>
    </row>
    <row r="111" spans="19:19" x14ac:dyDescent="0.2">
      <c r="S111" s="81"/>
    </row>
    <row r="112" spans="19:19" x14ac:dyDescent="0.2">
      <c r="S112" s="81"/>
    </row>
    <row r="113" spans="19:19" x14ac:dyDescent="0.2">
      <c r="S113" s="81"/>
    </row>
    <row r="114" spans="19:19" x14ac:dyDescent="0.2">
      <c r="S114" s="81"/>
    </row>
    <row r="115" spans="19:19" x14ac:dyDescent="0.2">
      <c r="S115" s="81"/>
    </row>
    <row r="116" spans="19:19" x14ac:dyDescent="0.2">
      <c r="S116" s="81"/>
    </row>
    <row r="117" spans="19:19" x14ac:dyDescent="0.2">
      <c r="S117" s="81"/>
    </row>
    <row r="118" spans="19:19" x14ac:dyDescent="0.2">
      <c r="S118" s="81"/>
    </row>
    <row r="119" spans="19:19" x14ac:dyDescent="0.2">
      <c r="S119" s="81"/>
    </row>
    <row r="120" spans="19:19" x14ac:dyDescent="0.2">
      <c r="S120" s="81"/>
    </row>
    <row r="121" spans="19:19" x14ac:dyDescent="0.2">
      <c r="S121" s="81"/>
    </row>
    <row r="122" spans="19:19" x14ac:dyDescent="0.2">
      <c r="S122" s="81"/>
    </row>
    <row r="123" spans="19:19" x14ac:dyDescent="0.2">
      <c r="S123" s="81"/>
    </row>
    <row r="124" spans="19:19" x14ac:dyDescent="0.2">
      <c r="S124" s="81"/>
    </row>
    <row r="125" spans="19:19" x14ac:dyDescent="0.2">
      <c r="S125" s="81"/>
    </row>
    <row r="126" spans="19:19" x14ac:dyDescent="0.2">
      <c r="S126" s="81"/>
    </row>
    <row r="127" spans="19:19" x14ac:dyDescent="0.2">
      <c r="S127" s="81"/>
    </row>
    <row r="128" spans="19:19" x14ac:dyDescent="0.2">
      <c r="S128" s="81"/>
    </row>
    <row r="129" spans="19:19" x14ac:dyDescent="0.2">
      <c r="S129" s="81"/>
    </row>
    <row r="130" spans="19:19" x14ac:dyDescent="0.2">
      <c r="S130" s="81"/>
    </row>
    <row r="131" spans="19:19" x14ac:dyDescent="0.2">
      <c r="S131" s="81"/>
    </row>
    <row r="132" spans="19:19" x14ac:dyDescent="0.2">
      <c r="S132" s="81"/>
    </row>
    <row r="133" spans="19:19" x14ac:dyDescent="0.2">
      <c r="S133" s="81"/>
    </row>
    <row r="134" spans="19:19" x14ac:dyDescent="0.2">
      <c r="S134" s="81"/>
    </row>
    <row r="135" spans="19:19" x14ac:dyDescent="0.2">
      <c r="S135" s="81"/>
    </row>
    <row r="136" spans="19:19" x14ac:dyDescent="0.2">
      <c r="S136" s="81"/>
    </row>
    <row r="137" spans="19:19" x14ac:dyDescent="0.2">
      <c r="S137" s="81"/>
    </row>
    <row r="138" spans="19:19" x14ac:dyDescent="0.2">
      <c r="S138" s="81"/>
    </row>
    <row r="139" spans="19:19" x14ac:dyDescent="0.2">
      <c r="S139" s="81"/>
    </row>
    <row r="140" spans="19:19" x14ac:dyDescent="0.2">
      <c r="S140" s="81"/>
    </row>
    <row r="141" spans="19:19" x14ac:dyDescent="0.2">
      <c r="S141" s="81"/>
    </row>
    <row r="142" spans="19:19" x14ac:dyDescent="0.2">
      <c r="S142" s="81"/>
    </row>
    <row r="143" spans="19:19" x14ac:dyDescent="0.2">
      <c r="S143" s="81"/>
    </row>
    <row r="144" spans="19:19" x14ac:dyDescent="0.2">
      <c r="S144" s="81"/>
    </row>
    <row r="145" spans="19:19" x14ac:dyDescent="0.2">
      <c r="S145" s="81"/>
    </row>
    <row r="146" spans="19:19" x14ac:dyDescent="0.2">
      <c r="S146" s="81"/>
    </row>
    <row r="147" spans="19:19" x14ac:dyDescent="0.2">
      <c r="S147" s="81"/>
    </row>
    <row r="148" spans="19:19" x14ac:dyDescent="0.2">
      <c r="S148" s="81"/>
    </row>
    <row r="149" spans="19:19" x14ac:dyDescent="0.2">
      <c r="S149" s="81"/>
    </row>
    <row r="150" spans="19:19" x14ac:dyDescent="0.2">
      <c r="S150" s="81"/>
    </row>
    <row r="151" spans="19:19" x14ac:dyDescent="0.2">
      <c r="S151" s="81"/>
    </row>
    <row r="152" spans="19:19" x14ac:dyDescent="0.2">
      <c r="S152" s="81"/>
    </row>
    <row r="153" spans="19:19" x14ac:dyDescent="0.2">
      <c r="S153" s="81"/>
    </row>
    <row r="154" spans="19:19" x14ac:dyDescent="0.2">
      <c r="S154" s="81"/>
    </row>
    <row r="155" spans="19:19" x14ac:dyDescent="0.2">
      <c r="S155" s="81"/>
    </row>
    <row r="156" spans="19:19" x14ac:dyDescent="0.2">
      <c r="S156" s="81"/>
    </row>
    <row r="157" spans="19:19" x14ac:dyDescent="0.2">
      <c r="S157" s="81"/>
    </row>
    <row r="158" spans="19:19" x14ac:dyDescent="0.2">
      <c r="S158" s="81"/>
    </row>
    <row r="159" spans="19:19" x14ac:dyDescent="0.2">
      <c r="S159" s="81"/>
    </row>
    <row r="160" spans="19:19" x14ac:dyDescent="0.2">
      <c r="S160" s="81"/>
    </row>
    <row r="161" spans="19:19" x14ac:dyDescent="0.2">
      <c r="S161" s="81"/>
    </row>
    <row r="162" spans="19:19" x14ac:dyDescent="0.2">
      <c r="S162" s="81"/>
    </row>
    <row r="163" spans="19:19" x14ac:dyDescent="0.2">
      <c r="S163" s="81"/>
    </row>
    <row r="164" spans="19:19" x14ac:dyDescent="0.2">
      <c r="S164" s="81"/>
    </row>
    <row r="165" spans="19:19" x14ac:dyDescent="0.2">
      <c r="S165" s="81"/>
    </row>
    <row r="166" spans="19:19" x14ac:dyDescent="0.2">
      <c r="S166" s="81"/>
    </row>
    <row r="167" spans="19:19" x14ac:dyDescent="0.2">
      <c r="S167" s="81"/>
    </row>
    <row r="168" spans="19:19" x14ac:dyDescent="0.2">
      <c r="S168" s="81"/>
    </row>
    <row r="169" spans="19:19" x14ac:dyDescent="0.2">
      <c r="S169" s="81"/>
    </row>
    <row r="170" spans="19:19" x14ac:dyDescent="0.2">
      <c r="S170" s="81"/>
    </row>
    <row r="171" spans="19:19" x14ac:dyDescent="0.2">
      <c r="S171" s="81"/>
    </row>
    <row r="172" spans="19:19" x14ac:dyDescent="0.2">
      <c r="S172" s="81"/>
    </row>
    <row r="173" spans="19:19" x14ac:dyDescent="0.2">
      <c r="S173" s="81"/>
    </row>
    <row r="174" spans="19:19" x14ac:dyDescent="0.2">
      <c r="S174" s="81"/>
    </row>
    <row r="175" spans="19:19" x14ac:dyDescent="0.2">
      <c r="S175" s="81"/>
    </row>
    <row r="176" spans="19:19" x14ac:dyDescent="0.2">
      <c r="S176" s="81"/>
    </row>
    <row r="177" spans="19:19" x14ac:dyDescent="0.2">
      <c r="S177" s="81"/>
    </row>
    <row r="178" spans="19:19" x14ac:dyDescent="0.2">
      <c r="S178" s="81"/>
    </row>
    <row r="179" spans="19:19" x14ac:dyDescent="0.2">
      <c r="S179" s="81"/>
    </row>
    <row r="180" spans="19:19" x14ac:dyDescent="0.2">
      <c r="S180" s="81"/>
    </row>
    <row r="181" spans="19:19" x14ac:dyDescent="0.2">
      <c r="S181" s="81"/>
    </row>
    <row r="182" spans="19:19" x14ac:dyDescent="0.2">
      <c r="S182" s="81"/>
    </row>
    <row r="183" spans="19:19" x14ac:dyDescent="0.2">
      <c r="S183" s="81"/>
    </row>
    <row r="184" spans="19:19" x14ac:dyDescent="0.2">
      <c r="S184" s="81"/>
    </row>
    <row r="185" spans="19:19" x14ac:dyDescent="0.2">
      <c r="S185" s="81"/>
    </row>
    <row r="186" spans="19:19" x14ac:dyDescent="0.2">
      <c r="S186" s="81"/>
    </row>
    <row r="187" spans="19:19" x14ac:dyDescent="0.2">
      <c r="S187" s="81"/>
    </row>
    <row r="188" spans="19:19" x14ac:dyDescent="0.2">
      <c r="S188" s="81"/>
    </row>
    <row r="189" spans="19:19" x14ac:dyDescent="0.2">
      <c r="S189" s="81"/>
    </row>
    <row r="190" spans="19:19" x14ac:dyDescent="0.2">
      <c r="S190" s="81"/>
    </row>
    <row r="191" spans="19:19" x14ac:dyDescent="0.2">
      <c r="S191" s="81"/>
    </row>
    <row r="192" spans="19:19" x14ac:dyDescent="0.2">
      <c r="S192" s="81"/>
    </row>
    <row r="193" spans="19:19" x14ac:dyDescent="0.2">
      <c r="S193" s="81"/>
    </row>
    <row r="194" spans="19:19" x14ac:dyDescent="0.2">
      <c r="S194" s="81"/>
    </row>
    <row r="195" spans="19:19" x14ac:dyDescent="0.2">
      <c r="S195" s="81"/>
    </row>
    <row r="196" spans="19:19" x14ac:dyDescent="0.2">
      <c r="S196" s="81"/>
    </row>
    <row r="197" spans="19:19" x14ac:dyDescent="0.2">
      <c r="S197" s="81"/>
    </row>
    <row r="198" spans="19:19" x14ac:dyDescent="0.2">
      <c r="S198" s="81"/>
    </row>
    <row r="199" spans="19:19" x14ac:dyDescent="0.2">
      <c r="S199" s="81"/>
    </row>
    <row r="200" spans="19:19" x14ac:dyDescent="0.2">
      <c r="S200" s="81"/>
    </row>
    <row r="201" spans="19:19" x14ac:dyDescent="0.2">
      <c r="S201" s="81"/>
    </row>
    <row r="202" spans="19:19" x14ac:dyDescent="0.2">
      <c r="S202" s="81"/>
    </row>
    <row r="203" spans="19:19" x14ac:dyDescent="0.2">
      <c r="S203" s="81"/>
    </row>
    <row r="204" spans="19:19" x14ac:dyDescent="0.2">
      <c r="S204" s="81"/>
    </row>
    <row r="205" spans="19:19" x14ac:dyDescent="0.2">
      <c r="S205" s="81"/>
    </row>
    <row r="206" spans="19:19" x14ac:dyDescent="0.2">
      <c r="S206" s="81"/>
    </row>
    <row r="207" spans="19:19" x14ac:dyDescent="0.2">
      <c r="S207" s="81"/>
    </row>
    <row r="208" spans="19:19" x14ac:dyDescent="0.2">
      <c r="S208" s="81"/>
    </row>
    <row r="209" spans="19:19" x14ac:dyDescent="0.2">
      <c r="S209" s="81"/>
    </row>
    <row r="210" spans="19:19" x14ac:dyDescent="0.2">
      <c r="S210" s="81"/>
    </row>
    <row r="211" spans="19:19" x14ac:dyDescent="0.2">
      <c r="S211" s="81"/>
    </row>
    <row r="212" spans="19:19" x14ac:dyDescent="0.2">
      <c r="S212" s="81"/>
    </row>
    <row r="213" spans="19:19" x14ac:dyDescent="0.2">
      <c r="S213" s="81"/>
    </row>
    <row r="214" spans="19:19" x14ac:dyDescent="0.2">
      <c r="S214" s="81"/>
    </row>
    <row r="215" spans="19:19" x14ac:dyDescent="0.2">
      <c r="S215" s="81"/>
    </row>
    <row r="216" spans="19:19" x14ac:dyDescent="0.2">
      <c r="S216" s="81"/>
    </row>
    <row r="217" spans="19:19" x14ac:dyDescent="0.2">
      <c r="S217" s="81"/>
    </row>
    <row r="218" spans="19:19" x14ac:dyDescent="0.2">
      <c r="S218" s="81"/>
    </row>
    <row r="219" spans="19:19" x14ac:dyDescent="0.2">
      <c r="S219" s="81"/>
    </row>
    <row r="220" spans="19:19" x14ac:dyDescent="0.2">
      <c r="S220" s="81"/>
    </row>
    <row r="221" spans="19:19" x14ac:dyDescent="0.2">
      <c r="S221" s="81"/>
    </row>
    <row r="222" spans="19:19" x14ac:dyDescent="0.2">
      <c r="S222" s="81"/>
    </row>
    <row r="223" spans="19:19" x14ac:dyDescent="0.2">
      <c r="S223" s="81"/>
    </row>
    <row r="224" spans="19:19" x14ac:dyDescent="0.2">
      <c r="S224" s="81"/>
    </row>
    <row r="225" spans="19:19" x14ac:dyDescent="0.2">
      <c r="S225" s="81"/>
    </row>
    <row r="226" spans="19:19" x14ac:dyDescent="0.2">
      <c r="S226" s="81"/>
    </row>
    <row r="227" spans="19:19" x14ac:dyDescent="0.2">
      <c r="S227" s="81"/>
    </row>
    <row r="228" spans="19:19" x14ac:dyDescent="0.2">
      <c r="S228" s="81"/>
    </row>
    <row r="229" spans="19:19" x14ac:dyDescent="0.2">
      <c r="S229" s="81"/>
    </row>
    <row r="230" spans="19:19" x14ac:dyDescent="0.2">
      <c r="S230" s="81"/>
    </row>
    <row r="231" spans="19:19" x14ac:dyDescent="0.2">
      <c r="S231" s="81"/>
    </row>
    <row r="232" spans="19:19" x14ac:dyDescent="0.2">
      <c r="S232" s="81"/>
    </row>
    <row r="233" spans="19:19" x14ac:dyDescent="0.2">
      <c r="S233" s="81"/>
    </row>
    <row r="234" spans="19:19" x14ac:dyDescent="0.2">
      <c r="S234" s="81"/>
    </row>
    <row r="235" spans="19:19" x14ac:dyDescent="0.2">
      <c r="S235" s="81"/>
    </row>
    <row r="236" spans="19:19" x14ac:dyDescent="0.2">
      <c r="S236" s="81"/>
    </row>
    <row r="237" spans="19:19" x14ac:dyDescent="0.2">
      <c r="S237" s="81"/>
    </row>
    <row r="238" spans="19:19" x14ac:dyDescent="0.2">
      <c r="S238" s="81"/>
    </row>
    <row r="239" spans="19:19" x14ac:dyDescent="0.2">
      <c r="S239" s="81"/>
    </row>
    <row r="240" spans="19:19" x14ac:dyDescent="0.2">
      <c r="S240" s="81"/>
    </row>
    <row r="241" spans="19:19" x14ac:dyDescent="0.2">
      <c r="S241" s="81"/>
    </row>
    <row r="242" spans="19:19" x14ac:dyDescent="0.2">
      <c r="S242" s="81"/>
    </row>
    <row r="243" spans="19:19" x14ac:dyDescent="0.2">
      <c r="S243" s="81"/>
    </row>
    <row r="244" spans="19:19" x14ac:dyDescent="0.2">
      <c r="S244" s="81"/>
    </row>
    <row r="245" spans="19:19" x14ac:dyDescent="0.2">
      <c r="S245" s="81"/>
    </row>
    <row r="246" spans="19:19" x14ac:dyDescent="0.2">
      <c r="S246" s="81"/>
    </row>
    <row r="247" spans="19:19" x14ac:dyDescent="0.2">
      <c r="S247" s="81"/>
    </row>
    <row r="248" spans="19:19" x14ac:dyDescent="0.2">
      <c r="S248" s="81"/>
    </row>
    <row r="249" spans="19:19" x14ac:dyDescent="0.2">
      <c r="S249" s="81"/>
    </row>
    <row r="250" spans="19:19" x14ac:dyDescent="0.2">
      <c r="S250" s="81"/>
    </row>
    <row r="251" spans="19:19" x14ac:dyDescent="0.2">
      <c r="S251" s="81"/>
    </row>
    <row r="252" spans="19:19" x14ac:dyDescent="0.2">
      <c r="S252" s="81"/>
    </row>
    <row r="253" spans="19:19" x14ac:dyDescent="0.2">
      <c r="S253" s="81"/>
    </row>
    <row r="254" spans="19:19" x14ac:dyDescent="0.2">
      <c r="S254" s="81"/>
    </row>
    <row r="255" spans="19:19" x14ac:dyDescent="0.2">
      <c r="S255" s="81"/>
    </row>
    <row r="256" spans="19:19" x14ac:dyDescent="0.2">
      <c r="S256" s="81"/>
    </row>
    <row r="257" spans="19:19" x14ac:dyDescent="0.2">
      <c r="S257" s="81"/>
    </row>
    <row r="258" spans="19:19" x14ac:dyDescent="0.2">
      <c r="S258" s="81"/>
    </row>
    <row r="259" spans="19:19" x14ac:dyDescent="0.2">
      <c r="S259" s="81"/>
    </row>
    <row r="260" spans="19:19" x14ac:dyDescent="0.2">
      <c r="S260" s="81"/>
    </row>
    <row r="261" spans="19:19" x14ac:dyDescent="0.2">
      <c r="S261" s="81"/>
    </row>
    <row r="262" spans="19:19" x14ac:dyDescent="0.2">
      <c r="S262" s="81"/>
    </row>
    <row r="263" spans="19:19" x14ac:dyDescent="0.2">
      <c r="S263" s="81"/>
    </row>
    <row r="264" spans="19:19" x14ac:dyDescent="0.2">
      <c r="S264" s="81"/>
    </row>
    <row r="265" spans="19:19" x14ac:dyDescent="0.2">
      <c r="S265" s="81"/>
    </row>
    <row r="266" spans="19:19" x14ac:dyDescent="0.2">
      <c r="S266" s="81"/>
    </row>
    <row r="267" spans="19:19" x14ac:dyDescent="0.2">
      <c r="S267" s="81"/>
    </row>
    <row r="268" spans="19:19" x14ac:dyDescent="0.2">
      <c r="S268" s="81"/>
    </row>
    <row r="269" spans="19:19" x14ac:dyDescent="0.2">
      <c r="S269" s="81"/>
    </row>
    <row r="270" spans="19:19" x14ac:dyDescent="0.2">
      <c r="S270" s="81"/>
    </row>
    <row r="271" spans="19:19" x14ac:dyDescent="0.2">
      <c r="S271" s="81"/>
    </row>
    <row r="272" spans="19:19" x14ac:dyDescent="0.2">
      <c r="S272" s="81"/>
    </row>
    <row r="273" spans="19:19" x14ac:dyDescent="0.2">
      <c r="S273" s="81"/>
    </row>
    <row r="274" spans="19:19" x14ac:dyDescent="0.2">
      <c r="S274" s="81"/>
    </row>
    <row r="275" spans="19:19" x14ac:dyDescent="0.2">
      <c r="S275" s="81"/>
    </row>
    <row r="276" spans="19:19" x14ac:dyDescent="0.2">
      <c r="S276" s="81"/>
    </row>
    <row r="277" spans="19:19" x14ac:dyDescent="0.2">
      <c r="S277" s="81"/>
    </row>
    <row r="278" spans="19:19" x14ac:dyDescent="0.2">
      <c r="S278" s="81"/>
    </row>
    <row r="279" spans="19:19" x14ac:dyDescent="0.2">
      <c r="S279" s="81"/>
    </row>
    <row r="280" spans="19:19" x14ac:dyDescent="0.2">
      <c r="S280" s="81"/>
    </row>
    <row r="281" spans="19:19" x14ac:dyDescent="0.2">
      <c r="S281" s="81"/>
    </row>
    <row r="282" spans="19:19" x14ac:dyDescent="0.2">
      <c r="S282" s="81"/>
    </row>
    <row r="283" spans="19:19" x14ac:dyDescent="0.2">
      <c r="S283" s="81"/>
    </row>
    <row r="284" spans="19:19" x14ac:dyDescent="0.2">
      <c r="S284" s="81"/>
    </row>
    <row r="285" spans="19:19" x14ac:dyDescent="0.2">
      <c r="S285" s="81"/>
    </row>
    <row r="286" spans="19:19" x14ac:dyDescent="0.2">
      <c r="S286" s="81"/>
    </row>
    <row r="287" spans="19:19" x14ac:dyDescent="0.2">
      <c r="S287" s="81"/>
    </row>
    <row r="288" spans="19:19" x14ac:dyDescent="0.2">
      <c r="S288" s="81"/>
    </row>
    <row r="289" spans="19:19" x14ac:dyDescent="0.2">
      <c r="S289" s="81"/>
    </row>
    <row r="290" spans="19:19" x14ac:dyDescent="0.2">
      <c r="S290" s="81"/>
    </row>
    <row r="291" spans="19:19" x14ac:dyDescent="0.2">
      <c r="S291" s="81"/>
    </row>
    <row r="292" spans="19:19" x14ac:dyDescent="0.2">
      <c r="S292" s="81"/>
    </row>
    <row r="293" spans="19:19" x14ac:dyDescent="0.2">
      <c r="S293" s="81"/>
    </row>
    <row r="294" spans="19:19" x14ac:dyDescent="0.2">
      <c r="S294" s="81"/>
    </row>
    <row r="295" spans="19:19" x14ac:dyDescent="0.2">
      <c r="S295" s="81"/>
    </row>
    <row r="296" spans="19:19" x14ac:dyDescent="0.2">
      <c r="S296" s="81"/>
    </row>
    <row r="297" spans="19:19" x14ac:dyDescent="0.2">
      <c r="S297" s="81"/>
    </row>
    <row r="298" spans="19:19" x14ac:dyDescent="0.2">
      <c r="S298" s="81"/>
    </row>
    <row r="299" spans="19:19" x14ac:dyDescent="0.2">
      <c r="S299" s="81"/>
    </row>
    <row r="300" spans="19:19" x14ac:dyDescent="0.2">
      <c r="S300" s="81"/>
    </row>
    <row r="301" spans="19:19" x14ac:dyDescent="0.2">
      <c r="S301" s="81"/>
    </row>
    <row r="302" spans="19:19" x14ac:dyDescent="0.2">
      <c r="S302" s="81"/>
    </row>
    <row r="303" spans="19:19" x14ac:dyDescent="0.2">
      <c r="S303" s="81"/>
    </row>
    <row r="304" spans="19:19" x14ac:dyDescent="0.2">
      <c r="S304" s="81"/>
    </row>
    <row r="305" spans="19:19" x14ac:dyDescent="0.2">
      <c r="S305" s="81"/>
    </row>
    <row r="306" spans="19:19" x14ac:dyDescent="0.2">
      <c r="S306" s="81"/>
    </row>
    <row r="307" spans="19:19" x14ac:dyDescent="0.2">
      <c r="S307" s="81"/>
    </row>
    <row r="308" spans="19:19" x14ac:dyDescent="0.2">
      <c r="S308" s="81"/>
    </row>
    <row r="309" spans="19:19" x14ac:dyDescent="0.2">
      <c r="S309" s="81"/>
    </row>
    <row r="310" spans="19:19" x14ac:dyDescent="0.2">
      <c r="S310" s="81"/>
    </row>
    <row r="311" spans="19:19" x14ac:dyDescent="0.2">
      <c r="S311" s="81"/>
    </row>
    <row r="312" spans="19:19" x14ac:dyDescent="0.2">
      <c r="S312" s="81"/>
    </row>
    <row r="313" spans="19:19" x14ac:dyDescent="0.2">
      <c r="S313" s="81"/>
    </row>
    <row r="314" spans="19:19" x14ac:dyDescent="0.2">
      <c r="S314" s="81"/>
    </row>
    <row r="315" spans="19:19" x14ac:dyDescent="0.2">
      <c r="S315" s="81"/>
    </row>
    <row r="316" spans="19:19" x14ac:dyDescent="0.2">
      <c r="S316" s="81"/>
    </row>
    <row r="317" spans="19:19" x14ac:dyDescent="0.2">
      <c r="S317" s="81"/>
    </row>
    <row r="318" spans="19:19" x14ac:dyDescent="0.2">
      <c r="S318" s="81"/>
    </row>
    <row r="319" spans="19:19" x14ac:dyDescent="0.2">
      <c r="S319" s="81"/>
    </row>
    <row r="320" spans="19:19" x14ac:dyDescent="0.2">
      <c r="S320" s="81"/>
    </row>
    <row r="321" spans="19:19" x14ac:dyDescent="0.2">
      <c r="S321" s="81"/>
    </row>
    <row r="322" spans="19:19" x14ac:dyDescent="0.2">
      <c r="S322" s="81"/>
    </row>
    <row r="323" spans="19:19" x14ac:dyDescent="0.2">
      <c r="S323" s="81"/>
    </row>
    <row r="324" spans="19:19" x14ac:dyDescent="0.2">
      <c r="S324" s="81"/>
    </row>
    <row r="325" spans="19:19" x14ac:dyDescent="0.2">
      <c r="S325" s="81"/>
    </row>
    <row r="326" spans="19:19" x14ac:dyDescent="0.2">
      <c r="S326" s="81"/>
    </row>
    <row r="327" spans="19:19" x14ac:dyDescent="0.2">
      <c r="S327" s="81"/>
    </row>
    <row r="328" spans="19:19" x14ac:dyDescent="0.2">
      <c r="S328" s="81"/>
    </row>
    <row r="329" spans="19:19" x14ac:dyDescent="0.2">
      <c r="S329" s="81"/>
    </row>
    <row r="330" spans="19:19" x14ac:dyDescent="0.2">
      <c r="S330" s="81"/>
    </row>
    <row r="331" spans="19:19" x14ac:dyDescent="0.2">
      <c r="S331" s="81"/>
    </row>
    <row r="332" spans="19:19" x14ac:dyDescent="0.2">
      <c r="S332" s="81"/>
    </row>
    <row r="333" spans="19:19" x14ac:dyDescent="0.2">
      <c r="S333" s="81"/>
    </row>
    <row r="334" spans="19:19" x14ac:dyDescent="0.2">
      <c r="S334" s="81"/>
    </row>
    <row r="335" spans="19:19" x14ac:dyDescent="0.2">
      <c r="S335" s="81"/>
    </row>
    <row r="336" spans="19:19" x14ac:dyDescent="0.2">
      <c r="S336" s="81"/>
    </row>
    <row r="337" spans="19:19" x14ac:dyDescent="0.2">
      <c r="S337" s="81"/>
    </row>
    <row r="338" spans="19:19" x14ac:dyDescent="0.2">
      <c r="S338" s="81"/>
    </row>
    <row r="339" spans="19:19" x14ac:dyDescent="0.2">
      <c r="S339" s="81"/>
    </row>
    <row r="340" spans="19:19" x14ac:dyDescent="0.2">
      <c r="S340" s="81"/>
    </row>
    <row r="341" spans="19:19" x14ac:dyDescent="0.2">
      <c r="S341" s="81"/>
    </row>
    <row r="342" spans="19:19" x14ac:dyDescent="0.2">
      <c r="S342" s="81"/>
    </row>
    <row r="343" spans="19:19" x14ac:dyDescent="0.2">
      <c r="S343" s="81"/>
    </row>
    <row r="344" spans="19:19" x14ac:dyDescent="0.2">
      <c r="S344" s="81"/>
    </row>
    <row r="345" spans="19:19" x14ac:dyDescent="0.2">
      <c r="S345" s="81"/>
    </row>
    <row r="346" spans="19:19" x14ac:dyDescent="0.2">
      <c r="S346" s="81"/>
    </row>
    <row r="347" spans="19:19" x14ac:dyDescent="0.2">
      <c r="S347" s="81"/>
    </row>
    <row r="348" spans="19:19" x14ac:dyDescent="0.2">
      <c r="S348" s="81"/>
    </row>
    <row r="349" spans="19:19" x14ac:dyDescent="0.2">
      <c r="S349" s="81"/>
    </row>
    <row r="350" spans="19:19" x14ac:dyDescent="0.2">
      <c r="S350" s="81"/>
    </row>
    <row r="351" spans="19:19" x14ac:dyDescent="0.2">
      <c r="S351" s="81"/>
    </row>
    <row r="352" spans="19:19" x14ac:dyDescent="0.2">
      <c r="S352" s="81"/>
    </row>
    <row r="353" spans="19:19" x14ac:dyDescent="0.2">
      <c r="S353" s="81"/>
    </row>
    <row r="354" spans="19:19" x14ac:dyDescent="0.2">
      <c r="S354" s="81"/>
    </row>
    <row r="355" spans="19:19" x14ac:dyDescent="0.2">
      <c r="S355" s="81"/>
    </row>
    <row r="356" spans="19:19" x14ac:dyDescent="0.2">
      <c r="S356" s="81"/>
    </row>
    <row r="357" spans="19:19" x14ac:dyDescent="0.2">
      <c r="S357" s="81"/>
    </row>
    <row r="358" spans="19:19" x14ac:dyDescent="0.2">
      <c r="S358" s="81"/>
    </row>
    <row r="359" spans="19:19" x14ac:dyDescent="0.2">
      <c r="S359" s="81"/>
    </row>
    <row r="360" spans="19:19" x14ac:dyDescent="0.2">
      <c r="S360" s="81"/>
    </row>
    <row r="361" spans="19:19" x14ac:dyDescent="0.2">
      <c r="S361" s="81"/>
    </row>
    <row r="362" spans="19:19" x14ac:dyDescent="0.2">
      <c r="S362" s="81"/>
    </row>
    <row r="363" spans="19:19" x14ac:dyDescent="0.2">
      <c r="S363" s="81"/>
    </row>
    <row r="364" spans="19:19" x14ac:dyDescent="0.2">
      <c r="S364" s="81"/>
    </row>
    <row r="365" spans="19:19" x14ac:dyDescent="0.2">
      <c r="S365" s="81"/>
    </row>
    <row r="366" spans="19:19" x14ac:dyDescent="0.2">
      <c r="S366" s="81"/>
    </row>
    <row r="367" spans="19:19" x14ac:dyDescent="0.2">
      <c r="S367" s="81"/>
    </row>
    <row r="368" spans="19:19" x14ac:dyDescent="0.2">
      <c r="S368" s="81"/>
    </row>
    <row r="369" spans="19:19" x14ac:dyDescent="0.2">
      <c r="S369" s="81"/>
    </row>
    <row r="370" spans="19:19" x14ac:dyDescent="0.2">
      <c r="S370" s="81"/>
    </row>
    <row r="371" spans="19:19" x14ac:dyDescent="0.2">
      <c r="S371" s="81"/>
    </row>
    <row r="372" spans="19:19" x14ac:dyDescent="0.2">
      <c r="S372" s="81"/>
    </row>
    <row r="373" spans="19:19" x14ac:dyDescent="0.2">
      <c r="S373" s="81"/>
    </row>
    <row r="374" spans="19:19" x14ac:dyDescent="0.2">
      <c r="S374" s="81"/>
    </row>
    <row r="375" spans="19:19" x14ac:dyDescent="0.2">
      <c r="S375" s="81"/>
    </row>
    <row r="376" spans="19:19" x14ac:dyDescent="0.2">
      <c r="S376" s="81"/>
    </row>
    <row r="377" spans="19:19" x14ac:dyDescent="0.2">
      <c r="S377" s="81"/>
    </row>
    <row r="378" spans="19:19" x14ac:dyDescent="0.2">
      <c r="S378" s="81"/>
    </row>
    <row r="379" spans="19:19" x14ac:dyDescent="0.2">
      <c r="S379" s="81"/>
    </row>
    <row r="380" spans="19:19" x14ac:dyDescent="0.2">
      <c r="S380" s="81"/>
    </row>
    <row r="381" spans="19:19" x14ac:dyDescent="0.2">
      <c r="S381" s="81"/>
    </row>
    <row r="382" spans="19:19" x14ac:dyDescent="0.2">
      <c r="S382" s="81"/>
    </row>
    <row r="383" spans="19:19" x14ac:dyDescent="0.2">
      <c r="S383" s="81"/>
    </row>
    <row r="384" spans="19:19" x14ac:dyDescent="0.2">
      <c r="S384" s="81"/>
    </row>
    <row r="385" spans="19:19" x14ac:dyDescent="0.2">
      <c r="S385" s="81"/>
    </row>
    <row r="386" spans="19:19" x14ac:dyDescent="0.2">
      <c r="S386" s="81"/>
    </row>
    <row r="387" spans="19:19" x14ac:dyDescent="0.2">
      <c r="S387" s="81"/>
    </row>
    <row r="388" spans="19:19" x14ac:dyDescent="0.2">
      <c r="S388" s="81"/>
    </row>
    <row r="389" spans="19:19" x14ac:dyDescent="0.2">
      <c r="S389" s="81"/>
    </row>
    <row r="390" spans="19:19" x14ac:dyDescent="0.2">
      <c r="S390" s="81"/>
    </row>
    <row r="391" spans="19:19" x14ac:dyDescent="0.2">
      <c r="S391" s="81"/>
    </row>
    <row r="392" spans="19:19" x14ac:dyDescent="0.2">
      <c r="S392" s="81"/>
    </row>
    <row r="393" spans="19:19" x14ac:dyDescent="0.2">
      <c r="S393" s="81"/>
    </row>
    <row r="394" spans="19:19" x14ac:dyDescent="0.2">
      <c r="S394" s="81"/>
    </row>
    <row r="395" spans="19:19" x14ac:dyDescent="0.2">
      <c r="S395" s="81"/>
    </row>
    <row r="396" spans="19:19" x14ac:dyDescent="0.2">
      <c r="S396" s="81"/>
    </row>
    <row r="397" spans="19:19" x14ac:dyDescent="0.2">
      <c r="S397" s="81"/>
    </row>
    <row r="398" spans="19:19" x14ac:dyDescent="0.2">
      <c r="S398" s="81"/>
    </row>
    <row r="399" spans="19:19" x14ac:dyDescent="0.2">
      <c r="S399" s="81"/>
    </row>
    <row r="400" spans="19:19" x14ac:dyDescent="0.2">
      <c r="S400" s="81"/>
    </row>
    <row r="401" spans="19:19" x14ac:dyDescent="0.2">
      <c r="S401" s="81"/>
    </row>
    <row r="402" spans="19:19" x14ac:dyDescent="0.2">
      <c r="S402" s="81"/>
    </row>
    <row r="403" spans="19:19" x14ac:dyDescent="0.2">
      <c r="S403" s="81"/>
    </row>
    <row r="404" spans="19:19" x14ac:dyDescent="0.2">
      <c r="S404" s="81"/>
    </row>
    <row r="405" spans="19:19" x14ac:dyDescent="0.2">
      <c r="S405" s="81"/>
    </row>
    <row r="406" spans="19:19" x14ac:dyDescent="0.2">
      <c r="S406" s="81"/>
    </row>
    <row r="407" spans="19:19" x14ac:dyDescent="0.2">
      <c r="S407" s="81"/>
    </row>
    <row r="408" spans="19:19" x14ac:dyDescent="0.2">
      <c r="S408" s="81"/>
    </row>
    <row r="409" spans="19:19" x14ac:dyDescent="0.2">
      <c r="S409" s="81"/>
    </row>
    <row r="410" spans="19:19" x14ac:dyDescent="0.2">
      <c r="S410" s="81"/>
    </row>
    <row r="411" spans="19:19" x14ac:dyDescent="0.2">
      <c r="S411" s="81"/>
    </row>
    <row r="412" spans="19:19" x14ac:dyDescent="0.2">
      <c r="S412" s="81"/>
    </row>
    <row r="413" spans="19:19" x14ac:dyDescent="0.2">
      <c r="S413" s="81"/>
    </row>
    <row r="414" spans="19:19" x14ac:dyDescent="0.2">
      <c r="S414" s="81"/>
    </row>
    <row r="415" spans="19:19" x14ac:dyDescent="0.2">
      <c r="S415" s="81"/>
    </row>
    <row r="416" spans="19:19" x14ac:dyDescent="0.2">
      <c r="S416" s="81"/>
    </row>
    <row r="417" spans="19:19" x14ac:dyDescent="0.2">
      <c r="S417" s="81"/>
    </row>
    <row r="418" spans="19:19" x14ac:dyDescent="0.2">
      <c r="S418" s="81"/>
    </row>
    <row r="419" spans="19:19" x14ac:dyDescent="0.2">
      <c r="S419" s="81"/>
    </row>
    <row r="420" spans="19:19" x14ac:dyDescent="0.2">
      <c r="S420" s="81"/>
    </row>
    <row r="421" spans="19:19" x14ac:dyDescent="0.2">
      <c r="S421" s="81"/>
    </row>
    <row r="422" spans="19:19" x14ac:dyDescent="0.2">
      <c r="S422" s="81"/>
    </row>
    <row r="423" spans="19:19" x14ac:dyDescent="0.2">
      <c r="S423" s="81"/>
    </row>
    <row r="424" spans="19:19" x14ac:dyDescent="0.2">
      <c r="S424" s="81"/>
    </row>
    <row r="425" spans="19:19" x14ac:dyDescent="0.2">
      <c r="S425" s="81"/>
    </row>
    <row r="426" spans="19:19" x14ac:dyDescent="0.2">
      <c r="S426" s="81"/>
    </row>
    <row r="427" spans="19:19" x14ac:dyDescent="0.2">
      <c r="S427" s="81"/>
    </row>
    <row r="428" spans="19:19" x14ac:dyDescent="0.2">
      <c r="S428" s="81"/>
    </row>
    <row r="429" spans="19:19" x14ac:dyDescent="0.2">
      <c r="S429" s="81"/>
    </row>
    <row r="430" spans="19:19" x14ac:dyDescent="0.2">
      <c r="S430" s="81"/>
    </row>
    <row r="431" spans="19:19" x14ac:dyDescent="0.2">
      <c r="S431" s="81"/>
    </row>
    <row r="432" spans="19:19" x14ac:dyDescent="0.2">
      <c r="S432" s="81"/>
    </row>
    <row r="433" spans="19:19" x14ac:dyDescent="0.2">
      <c r="S433" s="81"/>
    </row>
    <row r="434" spans="19:19" x14ac:dyDescent="0.2">
      <c r="S434" s="81"/>
    </row>
    <row r="435" spans="19:19" x14ac:dyDescent="0.2">
      <c r="S435" s="81"/>
    </row>
    <row r="436" spans="19:19" x14ac:dyDescent="0.2">
      <c r="S436" s="81"/>
    </row>
    <row r="437" spans="19:19" x14ac:dyDescent="0.2">
      <c r="S437" s="81"/>
    </row>
    <row r="438" spans="19:19" x14ac:dyDescent="0.2">
      <c r="S438" s="81"/>
    </row>
    <row r="439" spans="19:19" x14ac:dyDescent="0.2">
      <c r="S439" s="81"/>
    </row>
    <row r="440" spans="19:19" x14ac:dyDescent="0.2">
      <c r="S440" s="81"/>
    </row>
    <row r="441" spans="19:19" x14ac:dyDescent="0.2">
      <c r="S441" s="81"/>
    </row>
    <row r="442" spans="19:19" x14ac:dyDescent="0.2">
      <c r="S442" s="81"/>
    </row>
    <row r="443" spans="19:19" x14ac:dyDescent="0.2">
      <c r="S443" s="81"/>
    </row>
    <row r="444" spans="19:19" x14ac:dyDescent="0.2">
      <c r="S444" s="81"/>
    </row>
    <row r="445" spans="19:19" x14ac:dyDescent="0.2">
      <c r="S445" s="81"/>
    </row>
    <row r="446" spans="19:19" x14ac:dyDescent="0.2">
      <c r="S446" s="81"/>
    </row>
    <row r="447" spans="19:19" x14ac:dyDescent="0.2">
      <c r="S447" s="81"/>
    </row>
    <row r="448" spans="19:19" x14ac:dyDescent="0.2">
      <c r="S448" s="81"/>
    </row>
    <row r="449" spans="19:19" x14ac:dyDescent="0.2">
      <c r="S449" s="81"/>
    </row>
    <row r="450" spans="19:19" x14ac:dyDescent="0.2">
      <c r="S450" s="81"/>
    </row>
    <row r="451" spans="19:19" x14ac:dyDescent="0.2">
      <c r="S451" s="81"/>
    </row>
    <row r="452" spans="19:19" x14ac:dyDescent="0.2">
      <c r="S452" s="81"/>
    </row>
    <row r="453" spans="19:19" x14ac:dyDescent="0.2">
      <c r="S453" s="81"/>
    </row>
    <row r="454" spans="19:19" x14ac:dyDescent="0.2">
      <c r="S454" s="81"/>
    </row>
    <row r="455" spans="19:19" x14ac:dyDescent="0.2">
      <c r="S455" s="81"/>
    </row>
    <row r="456" spans="19:19" x14ac:dyDescent="0.2">
      <c r="S456" s="81"/>
    </row>
    <row r="457" spans="19:19" x14ac:dyDescent="0.2">
      <c r="S457" s="81"/>
    </row>
    <row r="458" spans="19:19" x14ac:dyDescent="0.2">
      <c r="S458" s="81"/>
    </row>
    <row r="459" spans="19:19" x14ac:dyDescent="0.2">
      <c r="S459" s="81"/>
    </row>
    <row r="460" spans="19:19" x14ac:dyDescent="0.2">
      <c r="S460" s="81"/>
    </row>
    <row r="461" spans="19:19" x14ac:dyDescent="0.2">
      <c r="S461" s="81"/>
    </row>
    <row r="462" spans="19:19" x14ac:dyDescent="0.2">
      <c r="S462" s="81"/>
    </row>
    <row r="463" spans="19:19" x14ac:dyDescent="0.2">
      <c r="S463" s="81"/>
    </row>
    <row r="464" spans="19:19" x14ac:dyDescent="0.2">
      <c r="S464" s="81"/>
    </row>
    <row r="465" spans="19:19" x14ac:dyDescent="0.2">
      <c r="S465" s="81"/>
    </row>
    <row r="466" spans="19:19" x14ac:dyDescent="0.2">
      <c r="S466" s="81"/>
    </row>
    <row r="467" spans="19:19" x14ac:dyDescent="0.2">
      <c r="S467" s="81"/>
    </row>
    <row r="468" spans="19:19" x14ac:dyDescent="0.2">
      <c r="S468" s="81"/>
    </row>
    <row r="469" spans="19:19" x14ac:dyDescent="0.2">
      <c r="S469" s="81"/>
    </row>
    <row r="470" spans="19:19" x14ac:dyDescent="0.2">
      <c r="S470" s="81"/>
    </row>
    <row r="471" spans="19:19" x14ac:dyDescent="0.2">
      <c r="S471" s="81"/>
    </row>
    <row r="472" spans="19:19" x14ac:dyDescent="0.2">
      <c r="S472" s="81"/>
    </row>
    <row r="473" spans="19:19" x14ac:dyDescent="0.2">
      <c r="S473" s="81"/>
    </row>
    <row r="474" spans="19:19" x14ac:dyDescent="0.2">
      <c r="S474" s="81"/>
    </row>
    <row r="475" spans="19:19" x14ac:dyDescent="0.2">
      <c r="S475" s="81"/>
    </row>
    <row r="476" spans="19:19" x14ac:dyDescent="0.2">
      <c r="S476" s="81"/>
    </row>
    <row r="477" spans="19:19" x14ac:dyDescent="0.2">
      <c r="S477" s="81"/>
    </row>
    <row r="478" spans="19:19" x14ac:dyDescent="0.2">
      <c r="S478" s="81"/>
    </row>
    <row r="479" spans="19:19" x14ac:dyDescent="0.2">
      <c r="S479" s="81"/>
    </row>
    <row r="480" spans="19:19" x14ac:dyDescent="0.2">
      <c r="S480" s="81"/>
    </row>
    <row r="481" spans="19:19" x14ac:dyDescent="0.2">
      <c r="S481" s="81"/>
    </row>
    <row r="482" spans="19:19" x14ac:dyDescent="0.2">
      <c r="S482" s="81"/>
    </row>
    <row r="483" spans="19:19" x14ac:dyDescent="0.2">
      <c r="S483" s="81"/>
    </row>
    <row r="484" spans="19:19" x14ac:dyDescent="0.2">
      <c r="S484" s="81"/>
    </row>
    <row r="485" spans="19:19" x14ac:dyDescent="0.2">
      <c r="S485" s="81"/>
    </row>
    <row r="486" spans="19:19" x14ac:dyDescent="0.2">
      <c r="S486" s="81"/>
    </row>
    <row r="487" spans="19:19" x14ac:dyDescent="0.2">
      <c r="S487" s="81"/>
    </row>
    <row r="488" spans="19:19" x14ac:dyDescent="0.2">
      <c r="S488" s="81"/>
    </row>
    <row r="489" spans="19:19" x14ac:dyDescent="0.2">
      <c r="S489" s="81"/>
    </row>
    <row r="490" spans="19:19" x14ac:dyDescent="0.2">
      <c r="S490" s="81"/>
    </row>
    <row r="491" spans="19:19" x14ac:dyDescent="0.2">
      <c r="S491" s="81"/>
    </row>
    <row r="492" spans="19:19" x14ac:dyDescent="0.2">
      <c r="S492" s="81"/>
    </row>
    <row r="493" spans="19:19" x14ac:dyDescent="0.2">
      <c r="S493" s="81"/>
    </row>
    <row r="494" spans="19:19" x14ac:dyDescent="0.2">
      <c r="S494" s="81"/>
    </row>
    <row r="495" spans="19:19" x14ac:dyDescent="0.2">
      <c r="S495" s="81"/>
    </row>
    <row r="496" spans="19:19" x14ac:dyDescent="0.2">
      <c r="S496" s="81"/>
    </row>
    <row r="497" spans="19:19" x14ac:dyDescent="0.2">
      <c r="S497" s="81"/>
    </row>
    <row r="498" spans="19:19" x14ac:dyDescent="0.2">
      <c r="S498" s="81"/>
    </row>
    <row r="499" spans="19:19" x14ac:dyDescent="0.2">
      <c r="S499" s="81"/>
    </row>
    <row r="500" spans="19:19" x14ac:dyDescent="0.2">
      <c r="S500" s="81"/>
    </row>
    <row r="501" spans="19:19" x14ac:dyDescent="0.2">
      <c r="S501" s="81"/>
    </row>
    <row r="502" spans="19:19" x14ac:dyDescent="0.2">
      <c r="S502" s="81"/>
    </row>
    <row r="503" spans="19:19" x14ac:dyDescent="0.2">
      <c r="S503" s="81"/>
    </row>
    <row r="504" spans="19:19" x14ac:dyDescent="0.2">
      <c r="S504" s="81"/>
    </row>
    <row r="505" spans="19:19" x14ac:dyDescent="0.2">
      <c r="S505" s="81"/>
    </row>
    <row r="506" spans="19:19" x14ac:dyDescent="0.2">
      <c r="S506" s="81"/>
    </row>
    <row r="507" spans="19:19" x14ac:dyDescent="0.2">
      <c r="S507" s="81"/>
    </row>
    <row r="508" spans="19:19" x14ac:dyDescent="0.2">
      <c r="S508" s="81"/>
    </row>
    <row r="509" spans="19:19" x14ac:dyDescent="0.2">
      <c r="S509" s="81"/>
    </row>
    <row r="510" spans="19:19" x14ac:dyDescent="0.2">
      <c r="S510" s="81"/>
    </row>
    <row r="511" spans="19:19" x14ac:dyDescent="0.2">
      <c r="S511" s="81"/>
    </row>
    <row r="512" spans="19:19" x14ac:dyDescent="0.2">
      <c r="S512" s="81"/>
    </row>
    <row r="513" spans="19:19" x14ac:dyDescent="0.2">
      <c r="S513" s="81"/>
    </row>
    <row r="514" spans="19:19" x14ac:dyDescent="0.2">
      <c r="S514" s="81"/>
    </row>
    <row r="515" spans="19:19" x14ac:dyDescent="0.2">
      <c r="S515" s="81"/>
    </row>
    <row r="516" spans="19:19" x14ac:dyDescent="0.2">
      <c r="S516" s="81"/>
    </row>
    <row r="517" spans="19:19" x14ac:dyDescent="0.2">
      <c r="S517" s="81"/>
    </row>
    <row r="518" spans="19:19" x14ac:dyDescent="0.2">
      <c r="S518" s="81"/>
    </row>
    <row r="519" spans="19:19" x14ac:dyDescent="0.2">
      <c r="S519" s="81"/>
    </row>
    <row r="520" spans="19:19" x14ac:dyDescent="0.2">
      <c r="S520" s="81"/>
    </row>
    <row r="521" spans="19:19" x14ac:dyDescent="0.2">
      <c r="S521" s="81"/>
    </row>
    <row r="522" spans="19:19" x14ac:dyDescent="0.2">
      <c r="S522" s="81"/>
    </row>
    <row r="523" spans="19:19" x14ac:dyDescent="0.2">
      <c r="S523" s="81"/>
    </row>
    <row r="524" spans="19:19" x14ac:dyDescent="0.2">
      <c r="S524" s="81"/>
    </row>
    <row r="525" spans="19:19" x14ac:dyDescent="0.2">
      <c r="S525" s="81"/>
    </row>
    <row r="526" spans="19:19" x14ac:dyDescent="0.2">
      <c r="S526" s="81"/>
    </row>
    <row r="527" spans="19:19" x14ac:dyDescent="0.2">
      <c r="S527" s="81"/>
    </row>
    <row r="528" spans="19:19" x14ac:dyDescent="0.2">
      <c r="S528" s="81"/>
    </row>
    <row r="529" spans="19:19" x14ac:dyDescent="0.2">
      <c r="S529" s="81"/>
    </row>
    <row r="530" spans="19:19" x14ac:dyDescent="0.2">
      <c r="S530" s="81"/>
    </row>
    <row r="531" spans="19:19" x14ac:dyDescent="0.2">
      <c r="S531" s="81"/>
    </row>
    <row r="532" spans="19:19" x14ac:dyDescent="0.2">
      <c r="S532" s="81"/>
    </row>
    <row r="533" spans="19:19" x14ac:dyDescent="0.2">
      <c r="S533" s="81"/>
    </row>
    <row r="534" spans="19:19" x14ac:dyDescent="0.2">
      <c r="S534" s="81"/>
    </row>
    <row r="535" spans="19:19" x14ac:dyDescent="0.2">
      <c r="S535" s="81"/>
    </row>
    <row r="536" spans="19:19" x14ac:dyDescent="0.2">
      <c r="S536" s="81"/>
    </row>
    <row r="537" spans="19:19" x14ac:dyDescent="0.2">
      <c r="S537" s="81"/>
    </row>
    <row r="538" spans="19:19" x14ac:dyDescent="0.2">
      <c r="S538" s="81"/>
    </row>
    <row r="539" spans="19:19" x14ac:dyDescent="0.2">
      <c r="S539" s="81"/>
    </row>
    <row r="540" spans="19:19" x14ac:dyDescent="0.2">
      <c r="S540" s="81"/>
    </row>
    <row r="541" spans="19:19" x14ac:dyDescent="0.2">
      <c r="S541" s="81"/>
    </row>
    <row r="542" spans="19:19" x14ac:dyDescent="0.2">
      <c r="S542" s="81"/>
    </row>
    <row r="543" spans="19:19" x14ac:dyDescent="0.2">
      <c r="S543" s="81"/>
    </row>
    <row r="544" spans="19:19" x14ac:dyDescent="0.2">
      <c r="S544" s="81"/>
    </row>
    <row r="545" spans="19:19" x14ac:dyDescent="0.2">
      <c r="S545" s="81"/>
    </row>
    <row r="546" spans="19:19" x14ac:dyDescent="0.2">
      <c r="S546" s="81"/>
    </row>
    <row r="547" spans="19:19" x14ac:dyDescent="0.2">
      <c r="S547" s="81"/>
    </row>
    <row r="548" spans="19:19" x14ac:dyDescent="0.2">
      <c r="S548" s="81"/>
    </row>
    <row r="549" spans="19:19" x14ac:dyDescent="0.2">
      <c r="S549" s="81"/>
    </row>
    <row r="550" spans="19:19" x14ac:dyDescent="0.2">
      <c r="S550" s="81"/>
    </row>
    <row r="551" spans="19:19" x14ac:dyDescent="0.2">
      <c r="S551" s="81"/>
    </row>
    <row r="552" spans="19:19" x14ac:dyDescent="0.2">
      <c r="S552" s="81"/>
    </row>
    <row r="553" spans="19:19" x14ac:dyDescent="0.2">
      <c r="S553" s="81"/>
    </row>
    <row r="554" spans="19:19" x14ac:dyDescent="0.2">
      <c r="S554" s="81"/>
    </row>
    <row r="555" spans="19:19" x14ac:dyDescent="0.2">
      <c r="S555" s="81"/>
    </row>
    <row r="556" spans="19:19" x14ac:dyDescent="0.2">
      <c r="S556" s="81"/>
    </row>
    <row r="557" spans="19:19" x14ac:dyDescent="0.2">
      <c r="S557" s="81"/>
    </row>
    <row r="558" spans="19:19" x14ac:dyDescent="0.2">
      <c r="S558" s="81"/>
    </row>
    <row r="559" spans="19:19" x14ac:dyDescent="0.2">
      <c r="S559" s="81"/>
    </row>
    <row r="560" spans="19:19" x14ac:dyDescent="0.2">
      <c r="S560" s="81"/>
    </row>
    <row r="561" spans="19:19" x14ac:dyDescent="0.2">
      <c r="S561" s="81"/>
    </row>
    <row r="562" spans="19:19" x14ac:dyDescent="0.2">
      <c r="S562" s="81"/>
    </row>
    <row r="563" spans="19:19" x14ac:dyDescent="0.2">
      <c r="S563" s="81"/>
    </row>
    <row r="564" spans="19:19" x14ac:dyDescent="0.2">
      <c r="S564" s="81"/>
    </row>
    <row r="565" spans="19:19" x14ac:dyDescent="0.2">
      <c r="S565" s="81"/>
    </row>
    <row r="566" spans="19:19" x14ac:dyDescent="0.2">
      <c r="S566" s="81"/>
    </row>
    <row r="567" spans="19:19" x14ac:dyDescent="0.2">
      <c r="S567" s="81"/>
    </row>
    <row r="568" spans="19:19" x14ac:dyDescent="0.2">
      <c r="S568" s="81"/>
    </row>
    <row r="569" spans="19:19" x14ac:dyDescent="0.2">
      <c r="S569" s="81"/>
    </row>
    <row r="570" spans="19:19" x14ac:dyDescent="0.2">
      <c r="S570" s="81"/>
    </row>
    <row r="571" spans="19:19" x14ac:dyDescent="0.2">
      <c r="S571" s="81"/>
    </row>
    <row r="572" spans="19:19" x14ac:dyDescent="0.2">
      <c r="S572" s="81"/>
    </row>
    <row r="573" spans="19:19" x14ac:dyDescent="0.2">
      <c r="S573" s="81"/>
    </row>
    <row r="574" spans="19:19" x14ac:dyDescent="0.2">
      <c r="S574" s="81"/>
    </row>
    <row r="575" spans="19:19" x14ac:dyDescent="0.2">
      <c r="S575" s="81"/>
    </row>
    <row r="576" spans="19:19" x14ac:dyDescent="0.2">
      <c r="S576" s="81"/>
    </row>
    <row r="577" spans="19:19" x14ac:dyDescent="0.2">
      <c r="S577" s="81"/>
    </row>
    <row r="578" spans="19:19" x14ac:dyDescent="0.2">
      <c r="S578" s="81"/>
    </row>
    <row r="579" spans="19:19" x14ac:dyDescent="0.2">
      <c r="S579" s="81"/>
    </row>
    <row r="580" spans="19:19" x14ac:dyDescent="0.2">
      <c r="S580" s="81"/>
    </row>
    <row r="581" spans="19:19" x14ac:dyDescent="0.2">
      <c r="S581" s="81"/>
    </row>
    <row r="582" spans="19:19" x14ac:dyDescent="0.2">
      <c r="S582" s="81"/>
    </row>
    <row r="583" spans="19:19" x14ac:dyDescent="0.2">
      <c r="S583" s="81"/>
    </row>
    <row r="584" spans="19:19" x14ac:dyDescent="0.2">
      <c r="S584" s="81"/>
    </row>
    <row r="585" spans="19:19" x14ac:dyDescent="0.2">
      <c r="S585" s="81"/>
    </row>
    <row r="586" spans="19:19" x14ac:dyDescent="0.2">
      <c r="S586" s="81"/>
    </row>
    <row r="587" spans="19:19" x14ac:dyDescent="0.2">
      <c r="S587" s="81"/>
    </row>
    <row r="588" spans="19:19" x14ac:dyDescent="0.2">
      <c r="S588" s="81"/>
    </row>
    <row r="589" spans="19:19" x14ac:dyDescent="0.2">
      <c r="S589" s="81"/>
    </row>
    <row r="590" spans="19:19" x14ac:dyDescent="0.2">
      <c r="S590" s="81"/>
    </row>
    <row r="591" spans="19:19" x14ac:dyDescent="0.2">
      <c r="S591" s="81"/>
    </row>
    <row r="592" spans="19:19" x14ac:dyDescent="0.2">
      <c r="S592" s="81"/>
    </row>
    <row r="593" spans="19:19" x14ac:dyDescent="0.2">
      <c r="S593" s="81"/>
    </row>
    <row r="594" spans="19:19" x14ac:dyDescent="0.2">
      <c r="S594" s="81"/>
    </row>
    <row r="595" spans="19:19" x14ac:dyDescent="0.2">
      <c r="S595" s="81"/>
    </row>
    <row r="596" spans="19:19" x14ac:dyDescent="0.2">
      <c r="S596" s="81"/>
    </row>
    <row r="597" spans="19:19" x14ac:dyDescent="0.2">
      <c r="S597" s="81"/>
    </row>
    <row r="598" spans="19:19" x14ac:dyDescent="0.2">
      <c r="S598" s="81"/>
    </row>
    <row r="599" spans="19:19" x14ac:dyDescent="0.2">
      <c r="S599" s="81"/>
    </row>
    <row r="600" spans="19:19" x14ac:dyDescent="0.2">
      <c r="S600" s="81"/>
    </row>
    <row r="601" spans="19:19" x14ac:dyDescent="0.2">
      <c r="S601" s="81"/>
    </row>
    <row r="602" spans="19:19" x14ac:dyDescent="0.2">
      <c r="S602" s="81"/>
    </row>
    <row r="603" spans="19:19" x14ac:dyDescent="0.2">
      <c r="S603" s="81"/>
    </row>
    <row r="604" spans="19:19" x14ac:dyDescent="0.2">
      <c r="S604" s="81"/>
    </row>
    <row r="605" spans="19:19" x14ac:dyDescent="0.2">
      <c r="S605" s="81"/>
    </row>
    <row r="606" spans="19:19" x14ac:dyDescent="0.2">
      <c r="S606" s="81"/>
    </row>
    <row r="607" spans="19:19" x14ac:dyDescent="0.2">
      <c r="S607" s="81"/>
    </row>
    <row r="608" spans="19:19" x14ac:dyDescent="0.2">
      <c r="S608" s="81"/>
    </row>
    <row r="609" spans="19:19" x14ac:dyDescent="0.2">
      <c r="S609" s="81"/>
    </row>
    <row r="610" spans="19:19" x14ac:dyDescent="0.2">
      <c r="S610" s="81"/>
    </row>
    <row r="611" spans="19:19" x14ac:dyDescent="0.2">
      <c r="S611" s="81"/>
    </row>
    <row r="612" spans="19:19" x14ac:dyDescent="0.2">
      <c r="S612" s="81"/>
    </row>
    <row r="613" spans="19:19" x14ac:dyDescent="0.2">
      <c r="S613" s="81"/>
    </row>
    <row r="614" spans="19:19" x14ac:dyDescent="0.2">
      <c r="S614" s="81"/>
    </row>
    <row r="615" spans="19:19" x14ac:dyDescent="0.2">
      <c r="S615" s="81"/>
    </row>
    <row r="616" spans="19:19" x14ac:dyDescent="0.2">
      <c r="S616" s="81"/>
    </row>
    <row r="617" spans="19:19" x14ac:dyDescent="0.2">
      <c r="S617" s="81"/>
    </row>
    <row r="618" spans="19:19" x14ac:dyDescent="0.2">
      <c r="S618" s="81"/>
    </row>
    <row r="619" spans="19:19" x14ac:dyDescent="0.2">
      <c r="S619" s="81"/>
    </row>
    <row r="620" spans="19:19" x14ac:dyDescent="0.2">
      <c r="S620" s="81"/>
    </row>
    <row r="621" spans="19:19" x14ac:dyDescent="0.2">
      <c r="S621" s="81"/>
    </row>
    <row r="622" spans="19:19" x14ac:dyDescent="0.2">
      <c r="S622" s="81"/>
    </row>
    <row r="623" spans="19:19" x14ac:dyDescent="0.2">
      <c r="S623" s="81"/>
    </row>
    <row r="624" spans="19:19" x14ac:dyDescent="0.2">
      <c r="S624" s="81"/>
    </row>
    <row r="625" spans="19:19" x14ac:dyDescent="0.2">
      <c r="S625" s="81"/>
    </row>
    <row r="626" spans="19:19" x14ac:dyDescent="0.2">
      <c r="S626" s="81"/>
    </row>
    <row r="627" spans="19:19" x14ac:dyDescent="0.2">
      <c r="S627" s="81"/>
    </row>
    <row r="628" spans="19:19" x14ac:dyDescent="0.2">
      <c r="S628" s="81"/>
    </row>
    <row r="629" spans="19:19" x14ac:dyDescent="0.2">
      <c r="S629" s="81"/>
    </row>
    <row r="630" spans="19:19" x14ac:dyDescent="0.2">
      <c r="S630" s="81"/>
    </row>
    <row r="631" spans="19:19" x14ac:dyDescent="0.2">
      <c r="S631" s="81"/>
    </row>
    <row r="632" spans="19:19" x14ac:dyDescent="0.2">
      <c r="S632" s="81"/>
    </row>
    <row r="633" spans="19:19" x14ac:dyDescent="0.2">
      <c r="S633" s="81"/>
    </row>
    <row r="634" spans="19:19" x14ac:dyDescent="0.2">
      <c r="S634" s="81"/>
    </row>
    <row r="635" spans="19:19" x14ac:dyDescent="0.2">
      <c r="S635" s="81"/>
    </row>
    <row r="636" spans="19:19" x14ac:dyDescent="0.2">
      <c r="S636" s="81"/>
    </row>
    <row r="637" spans="19:19" x14ac:dyDescent="0.2">
      <c r="S637" s="81"/>
    </row>
    <row r="638" spans="19:19" x14ac:dyDescent="0.2">
      <c r="S638" s="81"/>
    </row>
    <row r="639" spans="19:19" x14ac:dyDescent="0.2">
      <c r="S639" s="81"/>
    </row>
    <row r="640" spans="19:19" x14ac:dyDescent="0.2">
      <c r="S640" s="81"/>
    </row>
    <row r="641" spans="19:19" x14ac:dyDescent="0.2">
      <c r="S641" s="81"/>
    </row>
    <row r="642" spans="19:19" x14ac:dyDescent="0.2">
      <c r="S642" s="81"/>
    </row>
    <row r="643" spans="19:19" x14ac:dyDescent="0.2">
      <c r="S643" s="81"/>
    </row>
    <row r="644" spans="19:19" x14ac:dyDescent="0.2">
      <c r="S644" s="81"/>
    </row>
    <row r="645" spans="19:19" x14ac:dyDescent="0.2">
      <c r="S645" s="81"/>
    </row>
    <row r="646" spans="19:19" x14ac:dyDescent="0.2">
      <c r="S646" s="81"/>
    </row>
    <row r="647" spans="19:19" x14ac:dyDescent="0.2">
      <c r="S647" s="81"/>
    </row>
    <row r="648" spans="19:19" x14ac:dyDescent="0.2">
      <c r="S648" s="81"/>
    </row>
    <row r="649" spans="19:19" x14ac:dyDescent="0.2">
      <c r="S649" s="81"/>
    </row>
    <row r="650" spans="19:19" x14ac:dyDescent="0.2">
      <c r="S650" s="81"/>
    </row>
    <row r="651" spans="19:19" x14ac:dyDescent="0.2">
      <c r="S651" s="81"/>
    </row>
    <row r="652" spans="19:19" x14ac:dyDescent="0.2">
      <c r="S652" s="81"/>
    </row>
    <row r="653" spans="19:19" x14ac:dyDescent="0.2">
      <c r="S653" s="81"/>
    </row>
    <row r="654" spans="19:19" x14ac:dyDescent="0.2">
      <c r="S654" s="81"/>
    </row>
    <row r="655" spans="19:19" x14ac:dyDescent="0.2">
      <c r="S655" s="81"/>
    </row>
    <row r="656" spans="19:19" x14ac:dyDescent="0.2">
      <c r="S656" s="81"/>
    </row>
    <row r="657" spans="19:19" x14ac:dyDescent="0.2">
      <c r="S657" s="81"/>
    </row>
    <row r="658" spans="19:19" x14ac:dyDescent="0.2">
      <c r="S658" s="81"/>
    </row>
    <row r="659" spans="19:19" x14ac:dyDescent="0.2">
      <c r="S659" s="81"/>
    </row>
    <row r="660" spans="19:19" x14ac:dyDescent="0.2">
      <c r="S660" s="81"/>
    </row>
    <row r="661" spans="19:19" x14ac:dyDescent="0.2">
      <c r="S661" s="81"/>
    </row>
    <row r="662" spans="19:19" x14ac:dyDescent="0.2">
      <c r="S662" s="81"/>
    </row>
    <row r="663" spans="19:19" x14ac:dyDescent="0.2">
      <c r="S663" s="81"/>
    </row>
    <row r="664" spans="19:19" x14ac:dyDescent="0.2">
      <c r="S664" s="81"/>
    </row>
    <row r="665" spans="19:19" x14ac:dyDescent="0.2">
      <c r="S665" s="81"/>
    </row>
    <row r="666" spans="19:19" x14ac:dyDescent="0.2">
      <c r="S666" s="81"/>
    </row>
    <row r="667" spans="19:19" x14ac:dyDescent="0.2">
      <c r="S667" s="81"/>
    </row>
    <row r="668" spans="19:19" x14ac:dyDescent="0.2">
      <c r="S668" s="81"/>
    </row>
    <row r="669" spans="19:19" x14ac:dyDescent="0.2">
      <c r="S669" s="81"/>
    </row>
    <row r="670" spans="19:19" x14ac:dyDescent="0.2">
      <c r="S670" s="81"/>
    </row>
    <row r="671" spans="19:19" x14ac:dyDescent="0.2">
      <c r="S671" s="81"/>
    </row>
    <row r="672" spans="19:19" x14ac:dyDescent="0.2">
      <c r="S672" s="81"/>
    </row>
    <row r="673" spans="19:19" x14ac:dyDescent="0.2">
      <c r="S673" s="81"/>
    </row>
    <row r="674" spans="19:19" x14ac:dyDescent="0.2">
      <c r="S674" s="81"/>
    </row>
    <row r="675" spans="19:19" x14ac:dyDescent="0.2">
      <c r="S675" s="81"/>
    </row>
    <row r="676" spans="19:19" x14ac:dyDescent="0.2">
      <c r="S676" s="81"/>
    </row>
    <row r="677" spans="19:19" x14ac:dyDescent="0.2">
      <c r="S677" s="81"/>
    </row>
    <row r="678" spans="19:19" x14ac:dyDescent="0.2">
      <c r="S678" s="81"/>
    </row>
    <row r="679" spans="19:19" x14ac:dyDescent="0.2">
      <c r="S679" s="81"/>
    </row>
    <row r="680" spans="19:19" x14ac:dyDescent="0.2">
      <c r="S680" s="81"/>
    </row>
    <row r="681" spans="19:19" x14ac:dyDescent="0.2">
      <c r="S681" s="81"/>
    </row>
    <row r="682" spans="19:19" x14ac:dyDescent="0.2">
      <c r="S682" s="81"/>
    </row>
    <row r="683" spans="19:19" x14ac:dyDescent="0.2">
      <c r="S683" s="81"/>
    </row>
    <row r="684" spans="19:19" x14ac:dyDescent="0.2">
      <c r="S684" s="81"/>
    </row>
    <row r="685" spans="19:19" x14ac:dyDescent="0.2">
      <c r="S685" s="81"/>
    </row>
    <row r="686" spans="19:19" x14ac:dyDescent="0.2">
      <c r="S686" s="81"/>
    </row>
    <row r="687" spans="19:19" x14ac:dyDescent="0.2">
      <c r="S687" s="81"/>
    </row>
    <row r="688" spans="19:19" x14ac:dyDescent="0.2">
      <c r="S688" s="81"/>
    </row>
    <row r="689" spans="19:19" x14ac:dyDescent="0.2">
      <c r="S689" s="81"/>
    </row>
    <row r="690" spans="19:19" x14ac:dyDescent="0.2">
      <c r="S690" s="81"/>
    </row>
    <row r="691" spans="19:19" x14ac:dyDescent="0.2">
      <c r="S691" s="81"/>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CRF</vt:lpstr>
      <vt:lpstr>BANDHAN FRF</vt:lpstr>
      <vt:lpstr>BANDHAN Long Dur</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2024-12-02T06:08:59Z</dcterms:created>
  <dcterms:modified xsi:type="dcterms:W3CDTF">2024-12-02T09:30:22Z</dcterms:modified>
</cp:coreProperties>
</file>