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drawings/drawing24.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drawings/drawing25.xml" ContentType="application/vnd.openxmlformats-officedocument.drawing+xml"/>
  <Override PartName="/xl/charts/chart4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defaultThemeVersion="166925"/>
  <mc:AlternateContent xmlns:mc="http://schemas.openxmlformats.org/markup-compatibility/2006">
    <mc:Choice Requires="x15">
      <x15ac:absPath xmlns:x15ac="http://schemas.microsoft.com/office/spreadsheetml/2010/11/ac" url="Y:\Product_Team\MONTH END DELIVERABLES-1\Portfolios_All\2024\June 2024\"/>
    </mc:Choice>
  </mc:AlternateContent>
  <xr:revisionPtr revIDLastSave="0" documentId="13_ncr:1_{F129455C-9651-42CF-8B88-877908A2EFEF}" xr6:coauthVersionLast="36" xr6:coauthVersionMax="36" xr10:uidLastSave="{00000000-0000-0000-0000-000000000000}"/>
  <bookViews>
    <workbookView xWindow="0" yWindow="0" windowWidth="6840" windowHeight="7515" xr2:uid="{792B35E5-D449-4D28-8774-38FB06556726}"/>
  </bookViews>
  <sheets>
    <sheet name="BANDHAN OF" sheetId="24" r:id="rId1"/>
    <sheet name="BANDHAN CF" sheetId="20" r:id="rId2"/>
    <sheet name="BANDHAN LDF" sheetId="22" r:id="rId3"/>
    <sheet name="BANDHAN MMF" sheetId="23" r:id="rId4"/>
    <sheet name="BANDHAN USTF" sheetId="25" r:id="rId5"/>
    <sheet name="BANDHAN DBF" sheetId="16" r:id="rId6"/>
    <sheet name="BANDHAN BOND IP" sheetId="4" r:id="rId7"/>
    <sheet name="BANDHAN BOND MT" sheetId="5" r:id="rId8"/>
    <sheet name="BANDHAN BOND ST" sheetId="6" r:id="rId9"/>
    <sheet name="BANDHAN BPDF" sheetId="3" r:id="rId10"/>
    <sheet name="BANDHAN CBF" sheetId="7" r:id="rId11"/>
    <sheet name="BANDHAN CRF" sheetId="8" r:id="rId12"/>
    <sheet name="BANDHAN FRF" sheetId="17" r:id="rId13"/>
    <sheet name="BANDHAN Long Dur" sheetId="21" r:id="rId14"/>
    <sheet name="BANDHAN GSF-IP" sheetId="19" r:id="rId15"/>
    <sheet name="BANDHAN GSF - CMP" sheetId="18" r:id="rId16"/>
    <sheet name="BANDHAN GIF26" sheetId="12" r:id="rId17"/>
    <sheet name="BANDHAN-GIF2027" sheetId="15" r:id="rId18"/>
    <sheet name="BANDHAN GIF2028" sheetId="13" r:id="rId19"/>
    <sheet name="BANDHAN GIF32" sheetId="14" r:id="rId20"/>
    <sheet name="BANDHAN SDLGIF26" sheetId="10" r:id="rId21"/>
    <sheet name="BANDHAN SDLGIF27" sheetId="26" r:id="rId22"/>
    <sheet name="BANDHAN SDLGIF32" sheetId="9" r:id="rId23"/>
    <sheet name="BANDHAN ASBF" sheetId="2" r:id="rId24"/>
    <sheet name="BANDHAN US TB 0-1yr FOF" sheetId="27" r:id="rId25"/>
  </sheets>
  <definedNames>
    <definedName name="JR_PAGE_ANCHOR_0_24" localSheetId="24">#REF!</definedName>
    <definedName name="JR_PAGE_ANCHOR_0_24">#REF!</definedName>
    <definedName name="JR_PAGE_ANCHOR_0_25" localSheetId="24">#REF!</definedName>
    <definedName name="JR_PAGE_ANCHOR_0_25">#REF!</definedName>
    <definedName name="JR_PAGE_ANCHOR_0_26">#REF!</definedName>
    <definedName name="JR_PAGE_ANCHOR_0_27">#REF!</definedName>
    <definedName name="JR_PAGE_ANCHOR_0_28">#REF!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 i="27" l="1"/>
  <c r="J10" i="27"/>
  <c r="J9" i="27"/>
  <c r="J8" i="27"/>
</calcChain>
</file>

<file path=xl/sharedStrings.xml><?xml version="1.0" encoding="utf-8"?>
<sst xmlns="http://schemas.openxmlformats.org/spreadsheetml/2006/main" count="1359" uniqueCount="291">
  <si>
    <t>Bandhan All Seasons Bond Fund (31 May, 2024 )</t>
  </si>
  <si>
    <t>Net Assets as on 31 May, 2024</t>
  </si>
  <si>
    <t>129.45 crs</t>
  </si>
  <si>
    <t>Name</t>
  </si>
  <si>
    <t>Rating</t>
  </si>
  <si>
    <t>Total</t>
  </si>
  <si>
    <t>Bandhan Bond Fund -Short Term Pl Direct Pl-Growth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</si>
  <si>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</si>
  <si>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</si>
  <si>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</si>
  <si>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</si>
  <si>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</si>
  <si>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</si>
  <si>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</si>
  <si>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</si>
  <si>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</si>
  <si>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</si>
  <si>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</si>
  <si>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</si>
  <si>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Bandhan Banking &amp; PSU Debt Fund (31 May, 2024 )</t>
  </si>
  <si>
    <t>14279.57 crs</t>
  </si>
  <si>
    <t>ICICI Bank Limited</t>
  </si>
  <si>
    <t xml:space="preserve"> A1+</t>
  </si>
  <si>
    <t>Kotak Mahindra Bank Limited</t>
  </si>
  <si>
    <t>Axis Bank Limited</t>
  </si>
  <si>
    <t>Small Industries Dev Bank of India</t>
  </si>
  <si>
    <t>Certificate of Deposit Total</t>
  </si>
  <si>
    <t>HDFC Bank Limited</t>
  </si>
  <si>
    <t xml:space="preserve"> AAA</t>
  </si>
  <si>
    <t>National Bank For Agriculture and Rural Development</t>
  </si>
  <si>
    <t>Indian Railway Finance Corporation Limited</t>
  </si>
  <si>
    <t>Power Finance Corporation Limited</t>
  </si>
  <si>
    <t>Bajaj Housing Finance Limited</t>
  </si>
  <si>
    <t>REC Limited</t>
  </si>
  <si>
    <t>Hindustan Petroleum Corporation Limited</t>
  </si>
  <si>
    <t>NTPC Limited</t>
  </si>
  <si>
    <t>Nuclear Power Corporation Of India Limited</t>
  </si>
  <si>
    <t>Indian Oil Corporation Limited</t>
  </si>
  <si>
    <t>National Housing Bank</t>
  </si>
  <si>
    <t>Power Grid Corporation of India Limited</t>
  </si>
  <si>
    <t>NHPC Limited</t>
  </si>
  <si>
    <t>Reliance Jio Infocomm Limited</t>
  </si>
  <si>
    <t>Corporate Bond Total</t>
  </si>
  <si>
    <t>Corporate Debt Market Development Fund</t>
  </si>
  <si>
    <t>Corporate Debt Market Development Fund Total</t>
  </si>
  <si>
    <t>7.1% GOI (MD 18/04/2029)</t>
  </si>
  <si>
    <t>7.17% GOI (MD 17/04/2030)</t>
  </si>
  <si>
    <t>7.26% GOI (MD 22/08/2032)</t>
  </si>
  <si>
    <t>7.32% GOI (MD 13/11/2030)</t>
  </si>
  <si>
    <t>6.54% GOI (MD 17/01/2032)</t>
  </si>
  <si>
    <t>7.26% GOI (MD 06/02/2033)</t>
  </si>
  <si>
    <t>7.18% GOI (MD 14/08/2033)</t>
  </si>
  <si>
    <t>Government Bond Total</t>
  </si>
  <si>
    <t>State Government Bond Total</t>
  </si>
  <si>
    <t>Certificate of Deposit</t>
  </si>
  <si>
    <t>Corporate Bond</t>
  </si>
  <si>
    <t>Government Bond</t>
  </si>
  <si>
    <t>State Government Bond</t>
  </si>
  <si>
    <t>Bandhan Bond Fund - Income Plan (31 May, 2024 )</t>
  </si>
  <si>
    <t>491.25 crs</t>
  </si>
  <si>
    <t>7.18% GOI (MD 24/07/2037)</t>
  </si>
  <si>
    <t>7.3% GOI (MD 19/06/2053)</t>
  </si>
  <si>
    <t>6.79% GOI (MD 15/05/2027)</t>
  </si>
  <si>
    <t>7.73% GOI (MD 19/12/2034)</t>
  </si>
  <si>
    <t>Bandhan Bond Fund - Medium Term Plan (31 May, 2024 )</t>
  </si>
  <si>
    <t>1557.45 crs</t>
  </si>
  <si>
    <t>8.24% GOI (MD 15/02/2027)</t>
  </si>
  <si>
    <t xml:space="preserve"> AAA(SO)</t>
  </si>
  <si>
    <t>PTC Total</t>
  </si>
  <si>
    <t>PTC</t>
  </si>
  <si>
    <t>Bandhan Bond Fund - Short Term Plan (31 May, 2024 )</t>
  </si>
  <si>
    <t>8759.17 crs</t>
  </si>
  <si>
    <t>Bajaj Finance Limited</t>
  </si>
  <si>
    <t>Kotak Mahindra Prime Limited</t>
  </si>
  <si>
    <t>Sundaram Finance Limited</t>
  </si>
  <si>
    <t>7.06% GOI (MD 10/04/2028)</t>
  </si>
  <si>
    <t>5.63% GOI (MD 12/04/2026)</t>
  </si>
  <si>
    <t>Bandhan Corporate Bond Fund (31 May, 2024 )</t>
  </si>
  <si>
    <t>13808.94 crs</t>
  </si>
  <si>
    <t>Export Import Bank of India</t>
  </si>
  <si>
    <t>National Highways Authority Of India</t>
  </si>
  <si>
    <t>Zero Coupon Bond Total</t>
  </si>
  <si>
    <t>Zero Coupon Bond</t>
  </si>
  <si>
    <t>Bandhan Credit Risk Fund (31 May, 2024 )</t>
  </si>
  <si>
    <t>346.14 crs</t>
  </si>
  <si>
    <t>Century Textiles &amp; Industries Limited</t>
  </si>
  <si>
    <t xml:space="preserve"> AA</t>
  </si>
  <si>
    <t>Godrej Industries Limited</t>
  </si>
  <si>
    <t>Tata Projects Limited</t>
  </si>
  <si>
    <t>Bharti Telecom Limited</t>
  </si>
  <si>
    <t xml:space="preserve"> AA+</t>
  </si>
  <si>
    <t>TVS Credit Services Limited</t>
  </si>
  <si>
    <t>AU Small Finance Bank Limited</t>
  </si>
  <si>
    <t>Nirma Limited</t>
  </si>
  <si>
    <t>Aadhar Housing Finance Limited</t>
  </si>
  <si>
    <t>Godrej Housing Finance Limited</t>
  </si>
  <si>
    <t>Godrej Properties Limited</t>
  </si>
  <si>
    <t>7.23% GOI (MD 15/04/2039)</t>
  </si>
  <si>
    <t>AA</t>
  </si>
  <si>
    <t>AA+</t>
  </si>
  <si>
    <t>Bandhan CRISIL IBX 90:10 SDL+Gilt Apr32 Index Fund (31 May, 2024 )</t>
  </si>
  <si>
    <t>357.45 crs</t>
  </si>
  <si>
    <t>6.1% GOI (MD 12/07/2031)</t>
  </si>
  <si>
    <t>Bandhan CRISIL IBX 90:10 SDL+Gilt Nov26 Index Fund (31 May, 2024 )</t>
  </si>
  <si>
    <t>114.65 crs</t>
  </si>
  <si>
    <t>5.74% GOI (MD 15/11/2026)</t>
  </si>
  <si>
    <t>Bandhan CRISIL IBX 90:10 SDL+Gilt Sep27 Index Fund (31 May, 2024 )</t>
  </si>
  <si>
    <t>Bandhan CRISIL IBX Gilt April 2026 Index Fund (31 May, 2024 )</t>
  </si>
  <si>
    <t>481.15 crs</t>
  </si>
  <si>
    <t>6.99% GOI (MD 17/04/2026)</t>
  </si>
  <si>
    <t>7.59% GOI(MD 11/01/2026)</t>
  </si>
  <si>
    <t>5.15% GOI (MD 09/11/2025)</t>
  </si>
  <si>
    <t>7.27% GOI (MD 08/04/2026)</t>
  </si>
  <si>
    <t>Bandhan CRISIL IBX Gilt April 2028 Index Fund (31 May, 2024 )</t>
  </si>
  <si>
    <t>5001.74 crs</t>
  </si>
  <si>
    <t>7.17% GOI (MD 08/01/2028)</t>
  </si>
  <si>
    <t>8.28% GOI (M/D 21/09/2027)</t>
  </si>
  <si>
    <t>7.38% GOI (MD 20/06/2027)</t>
  </si>
  <si>
    <t>Bandhan CRISIL IBX GILT APRIL 2032 INDEX FUND (31 May, 2024 )</t>
  </si>
  <si>
    <t>390.15 crs</t>
  </si>
  <si>
    <t>Average Maturity in Days</t>
  </si>
  <si>
    <t>Bandhan CRISIL IBX Gilt June 2027 Index Fund (31 May, 2024 )</t>
  </si>
  <si>
    <t>8285.49 crs</t>
  </si>
  <si>
    <t>Bandhan Dynamic Bond Fund (31 May, 2024 )</t>
  </si>
  <si>
    <t>2366.01 crs</t>
  </si>
  <si>
    <t>8.20% GOI (MD 24/09/2025)</t>
  </si>
  <si>
    <t>Bandhan Floating Rate Fund (31 May, 2024 )</t>
  </si>
  <si>
    <t>205.29 crs</t>
  </si>
  <si>
    <t>Cholamandalam Investment and Finance Company Ltd</t>
  </si>
  <si>
    <t>7.37% GOI (MD 23/10/2028)</t>
  </si>
  <si>
    <t>Interest Rate Swaps</t>
  </si>
  <si>
    <t>Bandhan Government Sec Fund-Constant Maturity Plan (31 May, 2024 )</t>
  </si>
  <si>
    <t>336.99 crs</t>
  </si>
  <si>
    <t>Bandhan Government Securities Fund-Investment Plan (31 May, 2024 )</t>
  </si>
  <si>
    <t>2190.88 crs</t>
  </si>
  <si>
    <t>Bandhan Liquid Fund (31 May, 2024 )</t>
  </si>
  <si>
    <t>14555.72 crs</t>
  </si>
  <si>
    <t>Bank of Baroda</t>
  </si>
  <si>
    <t>Canara Bank</t>
  </si>
  <si>
    <t>IndusInd Bank Limited</t>
  </si>
  <si>
    <t>Reliance Retail Ventures Limited</t>
  </si>
  <si>
    <t>Bajaj Financial Securities Limited</t>
  </si>
  <si>
    <t>Kotak Securities Limited</t>
  </si>
  <si>
    <t>L&amp;T Finance Limited</t>
  </si>
  <si>
    <t>HDFC Securities Limited</t>
  </si>
  <si>
    <t>Mahindra &amp; Mahindra Financial Services Limited</t>
  </si>
  <si>
    <t>Godrej Consumer Products Limited</t>
  </si>
  <si>
    <t>ICICI Securities Limited</t>
  </si>
  <si>
    <t>Commercial Paper Total</t>
  </si>
  <si>
    <t>6.69% GOI (MD 27/06/2024)</t>
  </si>
  <si>
    <t>91 Days Tbill (MD 06/06/2024)</t>
  </si>
  <si>
    <t>182 Days Tbill (MD 22/08/2024)</t>
  </si>
  <si>
    <t>182 Days Tbill (MD 01/08/2024)</t>
  </si>
  <si>
    <t>91 Days Tbill (MD 20/06/2024)</t>
  </si>
  <si>
    <t>182 Days Tbill (MD 27/06/2024)</t>
  </si>
  <si>
    <t>91 Days Tbill (MD 13/06/2024)</t>
  </si>
  <si>
    <t>182 Days Tbill (MD 06/06/2024)</t>
  </si>
  <si>
    <t>91 Days Tbill (MD 27/06/2024)</t>
  </si>
  <si>
    <t>364 Days Tbill (MD 16/08/2024)</t>
  </si>
  <si>
    <t>Treasury Bill Total</t>
  </si>
  <si>
    <t>Commercial Paper</t>
  </si>
  <si>
    <t>Treasury Bill</t>
  </si>
  <si>
    <t>Bandhan Long Duration Fund (31 May, 2024 )</t>
  </si>
  <si>
    <t>76.38 crs</t>
  </si>
  <si>
    <t>7.46% GOI (MD 06/11/2073)</t>
  </si>
  <si>
    <t>7.25% GOI (MD 12/06/2063)</t>
  </si>
  <si>
    <t>Bandhan Low Duration Fund (31 May, 2024 )</t>
  </si>
  <si>
    <t>5064.23 crs</t>
  </si>
  <si>
    <t>Larsen &amp; Toubro Limited</t>
  </si>
  <si>
    <t>182 Days Tbill (MD 25/07/2024)</t>
  </si>
  <si>
    <t>364 Days Tbill (MD 21/11/2024)</t>
  </si>
  <si>
    <t>91 Days Tbill (MD 04/07/2024)</t>
  </si>
  <si>
    <t>364 Days Tbill (MD 24/10/2024)</t>
  </si>
  <si>
    <t>182 Days Tbill (MD 08/08/2024)</t>
  </si>
  <si>
    <t>Bandhan Money Manager Fund (31 May, 2024 )</t>
  </si>
  <si>
    <t>5068.90 crs</t>
  </si>
  <si>
    <t>Punjab National Bank</t>
  </si>
  <si>
    <t>Panatone Finvest Limited</t>
  </si>
  <si>
    <t>Tata Capital Housing Finance Limited</t>
  </si>
  <si>
    <t>Government of India</t>
  </si>
  <si>
    <t>Government Bond Strips Total</t>
  </si>
  <si>
    <t>364 Days Tbill (MD 23/01/2025)</t>
  </si>
  <si>
    <t>364 Days Tbill (MD 26/12/2024)</t>
  </si>
  <si>
    <t>364 Days Tbill (MD 27/02/2025)</t>
  </si>
  <si>
    <t>182 Days Tbill (MD 29/08/2024)</t>
  </si>
  <si>
    <t>Government Bond Strips</t>
  </si>
  <si>
    <t>Bandhan Overnight Fund (31 May, 2024 )</t>
  </si>
  <si>
    <t>1737.29 crs</t>
  </si>
  <si>
    <t>REPO Total</t>
  </si>
  <si>
    <t>REPO</t>
  </si>
  <si>
    <t>Bandhan Ultra Short Term Fund (31 May, 2024 )</t>
  </si>
  <si>
    <t>3889.69 crs</t>
  </si>
  <si>
    <t>Reliance Industries Limited</t>
  </si>
  <si>
    <t>364 Days Tbill (MD 13/06/2024)</t>
  </si>
  <si>
    <t xml:space="preserve">SOV </t>
  </si>
  <si>
    <t>8.94% Rajasthan SDL (MD 23/07/2024)</t>
  </si>
  <si>
    <t>8.27% Haryana SDL (MD 13/05/2025)</t>
  </si>
  <si>
    <t>5.95% Tamilnadu SDL (MD 13/05/2025)</t>
  </si>
  <si>
    <t>7.41% Uttar Pradesh SDL (MD 09/11/2026)</t>
  </si>
  <si>
    <t>8.07% Gujrat SDL (MD 11/02/2025)</t>
  </si>
  <si>
    <t>8.72% Tamil Nadu SDL (MD 29/10/2024)</t>
  </si>
  <si>
    <t>8.06% Tamilnadu SDL (MD 29/04/2025)</t>
  </si>
  <si>
    <t>8.24% Maharashtra SDL (MD 24/12/2024)</t>
  </si>
  <si>
    <t>8.09% Andhra Pradesh SDL (MD 28/01/2025)</t>
  </si>
  <si>
    <t>5.8% Maharashtra SDL (MD 02/02/2025)</t>
  </si>
  <si>
    <t>8.43% Maharashtra SDL (MD 12/11/2024)</t>
  </si>
  <si>
    <t>8.37% Tamil Nadu SDL (MD 05/12/2028)</t>
  </si>
  <si>
    <t>7.18% Tamilnadu SDL (MD 26/07/2027)</t>
  </si>
  <si>
    <t>8.96% Maharashtra SDL  (MD 09/07/2024)</t>
  </si>
  <si>
    <t>5.75% Tamilnadu SDL (MD 27/05/2025)</t>
  </si>
  <si>
    <t>Power Grid Corporation of India Limited*</t>
  </si>
  <si>
    <t>8.72% Tamilnadu SDL (MD 19/09/2026)</t>
  </si>
  <si>
    <t>7.04% Gujarat SDL (MD 07/08/2026)</t>
  </si>
  <si>
    <t>7.22% Maharashtra SDL (MD 26/10/2026)</t>
  </si>
  <si>
    <t>6.82% Maharashtra SDL (MD 23/11/2026)</t>
  </si>
  <si>
    <t>6.24% Maharashtra SDL (MD 11/08/2026)</t>
  </si>
  <si>
    <t>7.38% Rajasthan SDL (MD 14/09/2026)</t>
  </si>
  <si>
    <t>7.4% Madhya Pradesh SDL (MD 09/11/2026)</t>
  </si>
  <si>
    <t>7.17% Rajasthan SDL (MD 28/09/2026)</t>
  </si>
  <si>
    <t>7.69% Uttar Pradesh SDL (MD 27/07/2026)</t>
  </si>
  <si>
    <t>7.57% Gujarat SDL (MD 09/11/2026)</t>
  </si>
  <si>
    <t>7.59% Kerala SDL (MD 24/08/2026)</t>
  </si>
  <si>
    <t>7.16% Madhya Pradesh SDL (MD 28/09/2026)</t>
  </si>
  <si>
    <t>7.49% Gujarat SDL (MD 28/09/2026)</t>
  </si>
  <si>
    <t>7.69% Tamilnadu SDL (MD 27/07/2026)</t>
  </si>
  <si>
    <t>7.18% Haryana SDL (MD 28/09/2026)</t>
  </si>
  <si>
    <t>7.19% West Bangal SDL (MD 28/09/2026)</t>
  </si>
  <si>
    <t>7.15% Madhya Pradesh SDL (MD 13/10/2026)</t>
  </si>
  <si>
    <t>7.58% Tamilnadu SDL (MD 24/08/2026)</t>
  </si>
  <si>
    <t>7.51% Maharashtra SDL (MD 24/05/2027)</t>
  </si>
  <si>
    <t>7.2% Maharashtra SDL (MD 09/08/2027)</t>
  </si>
  <si>
    <t>7.47% Chhattisgarh SDL (MD 27/09/2027)</t>
  </si>
  <si>
    <t>7.33% Maharashtra SDL (MD 13/09/2027)</t>
  </si>
  <si>
    <t>6.2% Rajasthan SDL (MD 29/07/2027)</t>
  </si>
  <si>
    <t>7.27% Tamilnadu SDL (MD 12/07/2027)</t>
  </si>
  <si>
    <t>7.25% Gujarat SDL (MD 12/07/2027)</t>
  </si>
  <si>
    <t>8.49% Andhra Pradesh SDL (MD 21/08/2027)</t>
  </si>
  <si>
    <t>7.21% Tamilnadu SDL (MD 09/08/2027)</t>
  </si>
  <si>
    <t>7.28% Madhya Pradesh SDL (MD 23/08/2027)</t>
  </si>
  <si>
    <t>7.93% Karnataka SDL (MD 08/04/2031)</t>
  </si>
  <si>
    <t>6.84% Gujarat SDL (MD 24/03/2031)</t>
  </si>
  <si>
    <t>6.85% Madhya Pradesh SDL (MD 15/09/2031)</t>
  </si>
  <si>
    <t>6.83% Tamilnadu SDL (MD 15/12/2031)</t>
  </si>
  <si>
    <t>7.12% Gujarat SDL (MD 02/03/2032)</t>
  </si>
  <si>
    <t>7.17% Kerala SDL (MD 02/03/2032)</t>
  </si>
  <si>
    <t>7.09% Rajasthan SDL (MD 16/02/2032)</t>
  </si>
  <si>
    <t>7.22% Rajasthan SDL (MD 16/03/2032)</t>
  </si>
  <si>
    <t>7.23% Tamilnadu SDL (MD 23/03/2032)</t>
  </si>
  <si>
    <t>7.29% Gujarat SDL (MD 30/03/2032)</t>
  </si>
  <si>
    <t>7.3% Tamilnadu SDL (MD 30/03/2032)</t>
  </si>
  <si>
    <t>7.8% Andhra Pradesh SDL (MD 22/06/2031)</t>
  </si>
  <si>
    <t>7.68% Karnataka SDL (MD 16/11/2031)</t>
  </si>
  <si>
    <t>7.68% Haryana SDL (MD 23/11/2031)</t>
  </si>
  <si>
    <t>6.9% Andhra Pradesh SDL (MD 03/02/2032)</t>
  </si>
  <si>
    <t>7.57% Gujarat SDL (MD 28/12/2031)</t>
  </si>
  <si>
    <t>7.57% Gujarat SDL (MD 18/01/2032)</t>
  </si>
  <si>
    <t>7.63% Gujarat SDL (MD 25/01/2032)</t>
  </si>
  <si>
    <t>7.74% Andhra Pradesh SDL (MD 01/03/2032)</t>
  </si>
  <si>
    <t>7.72% Maharashtra SDL (MD 23/03/2032)</t>
  </si>
  <si>
    <t>7.73% Maharashtra SDL (MD 29/03/2032)</t>
  </si>
  <si>
    <t>7.73% Andhra Pradesh SDL (MD 23/03/2032)</t>
  </si>
  <si>
    <t>7.72% Haryana SDL (MD 23/03/2032)</t>
  </si>
  <si>
    <t>Bandhan Banking &amp; PSU Debt Fund -Direct Gr</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</si>
  <si>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</si>
  <si>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The Scheme may or may not have any present or future positions in the above securities. Investors are advised to consult their own investment advisor before making any investment decision in light of their risk appetite, investment goals and horizon.”</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</si>
  <si>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</si>
  <si>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</si>
  <si>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^PTC originated by Reliance Industries Limited</t>
  </si>
  <si>
    <t>First Business Receivables Trust^</t>
  </si>
  <si>
    <t>*Reduced Face Value Bonds</t>
  </si>
  <si>
    <t>168.40 crs</t>
  </si>
  <si>
    <t>JPMorgan ETFs BetaBuilders US Tre Bond0-1 yr UCITS</t>
  </si>
  <si>
    <t>International Mutual Fund Units</t>
  </si>
  <si>
    <t>Banks</t>
  </si>
  <si>
    <t>Software</t>
  </si>
  <si>
    <t>Power</t>
  </si>
  <si>
    <t>Consumer Non Durables</t>
  </si>
  <si>
    <t>Retailing</t>
  </si>
  <si>
    <t>Construction Project</t>
  </si>
  <si>
    <t>Gas</t>
  </si>
  <si>
    <t>Chemicals</t>
  </si>
  <si>
    <t>Hotels, Resorts And Other Recreational Activities</t>
  </si>
  <si>
    <t>Telecom - Services</t>
  </si>
  <si>
    <t>Petroleum Products</t>
  </si>
  <si>
    <t>Auto</t>
  </si>
  <si>
    <t>Ferrous Metals</t>
  </si>
  <si>
    <t>Industrial Capital Goods</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</si>
  <si>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</si>
  <si>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</si>
  <si>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173.12 crs</t>
  </si>
  <si>
    <t>BANDHAN US TREASURY BOND 0-1 YEAR FUND OF FUND (31st May, 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</si>
</sst>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Black]\(0.00%\)"/>
    <numFmt numFmtId="165" formatCode="0.000%;[Black]\(0.000%\)"/>
    <numFmt numFmtId="166" formatCode="#0.00%;\(#0.00%\)"/>
    <numFmt numFmtId="167" formatCode="#,##0.00%_);\(#,##0.00%\)"/>
  </numFmts>
  <fonts count="15"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rgb="FFFF0000"/>
      <name val="Calibri"/>
      <family val="2"/>
      <scheme val="minor"/>
    </font>
    <font>
      <sz val="11"/>
      <color theme="0"/>
      <name val="Calibri"/>
      <family val="2"/>
      <scheme val="minor"/>
    </font>
    <font>
      <sz val="11"/>
      <color theme="1"/>
      <name val="Calibri"/>
      <family val="2"/>
      <scheme val="minor"/>
    </font>
    <font>
      <sz val="12"/>
      <name val="Arial"/>
      <family val="2"/>
    </font>
    <font>
      <b/>
      <sz val="16"/>
      <name val="Arial"/>
      <family val="2"/>
    </font>
    <font>
      <sz val="11"/>
      <name val="Calibri"/>
      <family val="2"/>
      <scheme val="minor"/>
    </font>
    <font>
      <b/>
      <sz val="12"/>
      <name val="Arial"/>
      <family val="2"/>
    </font>
    <font>
      <b/>
      <sz val="11"/>
      <name val="Arial"/>
      <family val="2"/>
    </font>
  </fonts>
  <fills count="4">
    <fill>
      <patternFill patternType="none"/>
    </fill>
    <fill>
      <patternFill patternType="gray125"/>
    </fill>
    <fill>
      <patternFill patternType="solid">
        <fgColor rgb="FFD8D8D8"/>
        <bgColor indexed="64"/>
      </patternFill>
    </fill>
    <fill>
      <patternFill patternType="solid">
        <fgColor theme="0" tint="-0.14999847407452621"/>
        <bgColor indexed="64"/>
      </patternFill>
    </fill>
  </fills>
  <borders count="35">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9" fillId="0" borderId="0" applyFont="0" applyFill="0" applyBorder="0" applyAlignment="0" applyProtection="0"/>
  </cellStyleXfs>
  <cellXfs count="103">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0" fontId="0" fillId="2" borderId="0" xfId="0" applyFill="1" applyBorder="1"/>
    <xf numFmtId="0" fontId="0" fillId="2" borderId="12" xfId="0" applyFill="1" applyBorder="1"/>
    <xf numFmtId="10" fontId="6" fillId="0" borderId="0" xfId="0" applyNumberFormat="1" applyFont="1" applyBorder="1"/>
    <xf numFmtId="165" fontId="1" fillId="0" borderId="2" xfId="0" applyNumberFormat="1" applyFont="1" applyBorder="1" applyAlignment="1">
      <alignment vertical="center"/>
    </xf>
    <xf numFmtId="0" fontId="7" fillId="0" borderId="0" xfId="0" applyFont="1" applyBorder="1"/>
    <xf numFmtId="0" fontId="8" fillId="0" borderId="0" xfId="0" applyFont="1" applyBorder="1"/>
    <xf numFmtId="10" fontId="8" fillId="0" borderId="0" xfId="0" applyNumberFormat="1" applyFont="1" applyBorder="1"/>
    <xf numFmtId="0" fontId="1" fillId="0" borderId="29" xfId="0" applyFont="1" applyBorder="1" applyAlignment="1">
      <alignment vertical="center"/>
    </xf>
    <xf numFmtId="164" fontId="1" fillId="0" borderId="29" xfId="0" applyNumberFormat="1" applyFont="1" applyBorder="1" applyAlignment="1">
      <alignment vertical="center"/>
    </xf>
    <xf numFmtId="0" fontId="10" fillId="0" borderId="0" xfId="0" applyFont="1"/>
    <xf numFmtId="0" fontId="10" fillId="0" borderId="18" xfId="0" applyFont="1" applyBorder="1"/>
    <xf numFmtId="0" fontId="10" fillId="0" borderId="19" xfId="0" applyFont="1" applyBorder="1"/>
    <xf numFmtId="0" fontId="10" fillId="0" borderId="20" xfId="0" applyFont="1" applyBorder="1"/>
    <xf numFmtId="0" fontId="10" fillId="0" borderId="21" xfId="0" applyFont="1" applyBorder="1"/>
    <xf numFmtId="0" fontId="12" fillId="0" borderId="0" xfId="0" applyFont="1" applyBorder="1"/>
    <xf numFmtId="0" fontId="10" fillId="0" borderId="0" xfId="0" applyFont="1" applyBorder="1"/>
    <xf numFmtId="0" fontId="10" fillId="0" borderId="22" xfId="0" applyFont="1" applyBorder="1"/>
    <xf numFmtId="0" fontId="11" fillId="3" borderId="0" xfId="0" applyFont="1" applyFill="1" applyBorder="1" applyAlignment="1">
      <alignment vertical="center"/>
    </xf>
    <xf numFmtId="0" fontId="12" fillId="0" borderId="0" xfId="0" applyFont="1"/>
    <xf numFmtId="0" fontId="13" fillId="3" borderId="30" xfId="0" applyFont="1" applyFill="1" applyBorder="1" applyAlignment="1">
      <alignment horizontal="center" vertical="center" wrapText="1"/>
    </xf>
    <xf numFmtId="0" fontId="13" fillId="3" borderId="31" xfId="0" applyFont="1" applyFill="1" applyBorder="1" applyAlignment="1">
      <alignment horizontal="center" vertical="center" wrapText="1"/>
    </xf>
    <xf numFmtId="0" fontId="10" fillId="0" borderId="32" xfId="0" applyFont="1" applyBorder="1" applyAlignment="1">
      <alignment horizontal="left" vertical="center" wrapText="1"/>
    </xf>
    <xf numFmtId="166" fontId="10" fillId="0" borderId="33" xfId="1" applyNumberFormat="1" applyFont="1" applyBorder="1" applyAlignment="1">
      <alignment horizontal="right"/>
    </xf>
    <xf numFmtId="10" fontId="10" fillId="0" borderId="0" xfId="0" applyNumberFormat="1" applyFont="1" applyBorder="1"/>
    <xf numFmtId="10" fontId="10" fillId="0" borderId="0" xfId="1" applyNumberFormat="1" applyFont="1" applyBorder="1"/>
    <xf numFmtId="14" fontId="10" fillId="0" borderId="0" xfId="0" applyNumberFormat="1" applyFont="1"/>
    <xf numFmtId="0" fontId="13" fillId="3" borderId="32" xfId="0" applyFont="1" applyFill="1" applyBorder="1" applyAlignment="1">
      <alignment horizontal="left"/>
    </xf>
    <xf numFmtId="166" fontId="13" fillId="3" borderId="33" xfId="0" applyNumberFormat="1" applyFont="1" applyFill="1" applyBorder="1" applyAlignment="1">
      <alignment horizontal="right"/>
    </xf>
    <xf numFmtId="0" fontId="10" fillId="0" borderId="8" xfId="0" applyFont="1" applyBorder="1" applyAlignment="1">
      <alignment vertical="center"/>
    </xf>
    <xf numFmtId="166" fontId="10" fillId="0" borderId="33" xfId="0" applyNumberFormat="1" applyFont="1" applyBorder="1" applyAlignment="1">
      <alignment vertical="center"/>
    </xf>
    <xf numFmtId="0" fontId="13" fillId="2" borderId="8" xfId="0" applyFont="1" applyFill="1" applyBorder="1" applyAlignment="1">
      <alignment horizontal="left" vertical="center"/>
    </xf>
    <xf numFmtId="166" fontId="13" fillId="2" borderId="33" xfId="0" applyNumberFormat="1" applyFont="1" applyFill="1" applyBorder="1" applyAlignment="1">
      <alignment horizontal="right" vertical="center"/>
    </xf>
    <xf numFmtId="164" fontId="10" fillId="0" borderId="33" xfId="0" applyNumberFormat="1" applyFont="1" applyBorder="1" applyAlignment="1">
      <alignment vertical="center"/>
    </xf>
    <xf numFmtId="0" fontId="13" fillId="2" borderId="9" xfId="0" applyFont="1" applyFill="1" applyBorder="1" applyAlignment="1">
      <alignment horizontal="left" vertical="center"/>
    </xf>
    <xf numFmtId="164" fontId="13" fillId="2" borderId="34" xfId="0" applyNumberFormat="1" applyFont="1" applyFill="1" applyBorder="1" applyAlignment="1">
      <alignment horizontal="right" vertical="center"/>
    </xf>
    <xf numFmtId="0" fontId="13" fillId="0" borderId="0" xfId="0" applyFont="1" applyFill="1" applyBorder="1" applyAlignment="1">
      <alignment horizontal="left"/>
    </xf>
    <xf numFmtId="167" fontId="13" fillId="0" borderId="0" xfId="0" applyNumberFormat="1" applyFont="1" applyFill="1" applyBorder="1" applyAlignment="1">
      <alignment horizontal="right"/>
    </xf>
    <xf numFmtId="0" fontId="10" fillId="0" borderId="0" xfId="0" applyFont="1" applyFill="1" applyBorder="1"/>
    <xf numFmtId="10" fontId="13" fillId="0" borderId="0" xfId="1" applyNumberFormat="1" applyFont="1" applyFill="1" applyBorder="1" applyAlignment="1">
      <alignment horizontal="right"/>
    </xf>
    <xf numFmtId="0" fontId="10" fillId="0" borderId="23" xfId="0" applyFont="1" applyBorder="1"/>
    <xf numFmtId="3" fontId="5" fillId="2" borderId="0" xfId="0" applyNumberFormat="1" applyFont="1" applyFill="1" applyBorder="1" applyAlignment="1">
      <alignment vertical="center"/>
    </xf>
    <xf numFmtId="4" fontId="5" fillId="2" borderId="0" xfId="0" applyNumberFormat="1" applyFont="1" applyFill="1" applyBorder="1" applyAlignment="1">
      <alignment vertical="center"/>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0"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11" fillId="3" borderId="0" xfId="0" applyFont="1" applyFill="1" applyBorder="1" applyAlignment="1">
      <alignment horizontal="center" vertical="center" wrapText="1"/>
    </xf>
    <xf numFmtId="0" fontId="11" fillId="3" borderId="22" xfId="0" applyFont="1" applyFill="1" applyBorder="1" applyAlignment="1">
      <alignment horizontal="center" vertical="center" wrapText="1"/>
    </xf>
    <xf numFmtId="0" fontId="14" fillId="3" borderId="0" xfId="0" applyFont="1" applyFill="1" applyBorder="1" applyAlignment="1">
      <alignment vertical="center" wrapText="1"/>
    </xf>
    <xf numFmtId="0" fontId="14" fillId="3" borderId="22" xfId="0" applyFont="1" applyFill="1" applyBorder="1" applyAlignment="1">
      <alignment vertical="center" wrapText="1"/>
    </xf>
    <xf numFmtId="0" fontId="13" fillId="0" borderId="24" xfId="0" applyFont="1" applyBorder="1" applyAlignment="1"/>
    <xf numFmtId="0" fontId="13" fillId="0" borderId="25" xfId="0" applyFont="1" applyBorder="1" applyAlignment="1"/>
    <xf numFmtId="0" fontId="12" fillId="0" borderId="18" xfId="0" applyFont="1" applyBorder="1" applyAlignment="1">
      <alignment horizontal="left" vertical="top" wrapText="1"/>
    </xf>
    <xf numFmtId="0" fontId="12" fillId="0" borderId="19" xfId="0" applyFont="1" applyBorder="1" applyAlignment="1">
      <alignment horizontal="left" vertical="top" wrapText="1"/>
    </xf>
    <xf numFmtId="0" fontId="12" fillId="0" borderId="20" xfId="0" applyFont="1" applyBorder="1" applyAlignment="1">
      <alignment horizontal="left" vertical="top" wrapText="1"/>
    </xf>
    <xf numFmtId="0" fontId="12" fillId="0" borderId="21" xfId="0" applyFont="1" applyBorder="1" applyAlignment="1">
      <alignment horizontal="left" vertical="top" wrapText="1"/>
    </xf>
    <xf numFmtId="0" fontId="12" fillId="0" borderId="0" xfId="0" applyFont="1" applyBorder="1" applyAlignment="1">
      <alignment horizontal="left" vertical="top" wrapText="1"/>
    </xf>
    <xf numFmtId="0" fontId="12" fillId="0" borderId="22" xfId="0" applyFont="1" applyBorder="1" applyAlignment="1">
      <alignment horizontal="left" vertical="top" wrapText="1"/>
    </xf>
    <xf numFmtId="0" fontId="12" fillId="0" borderId="23" xfId="0" applyFont="1" applyBorder="1" applyAlignment="1">
      <alignment horizontal="left" vertical="top" wrapText="1"/>
    </xf>
    <xf numFmtId="0" fontId="12" fillId="0" borderId="24" xfId="0" applyFont="1" applyBorder="1" applyAlignment="1">
      <alignment horizontal="left" vertical="top" wrapText="1"/>
    </xf>
    <xf numFmtId="0" fontId="12" fillId="0" borderId="25" xfId="0" applyFont="1" applyBorder="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2.173913043478260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281-4983-B6CA-13C45792211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OF'!$G$8</c:f>
              <c:strCache>
                <c:ptCount val="1"/>
                <c:pt idx="0">
                  <c:v>AAA EQUIVALENT</c:v>
                </c:pt>
              </c:strCache>
            </c:strRef>
          </c:cat>
          <c:val>
            <c:numRef>
              <c:f>'BANDHAN OF'!$H$8</c:f>
              <c:numCache>
                <c:formatCode>0%</c:formatCode>
                <c:ptCount val="1"/>
                <c:pt idx="0">
                  <c:v>1</c:v>
                </c:pt>
              </c:numCache>
            </c:numRef>
          </c:val>
          <c:extLst>
            <c:ext xmlns:c16="http://schemas.microsoft.com/office/drawing/2014/chart" uri="{C3380CC4-5D6E-409C-BE32-E72D297353CC}">
              <c16:uniqueId val="{0000000C-1281-4983-B6CA-13C45792211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0B4-434F-89A9-9728B279A475}"/>
                </c:ext>
              </c:extLst>
            </c:dLbl>
            <c:dLbl>
              <c:idx val="1"/>
              <c:layout>
                <c:manualLayout>
                  <c:x val="-0.10943954543155339"/>
                  <c:y val="-8.231146106736657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0B4-434F-89A9-9728B279A475}"/>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0B4-434F-89A9-9728B279A475}"/>
                </c:ext>
              </c:extLst>
            </c:dLbl>
            <c:dLbl>
              <c:idx val="3"/>
              <c:layout>
                <c:manualLayout>
                  <c:x val="3.8450235208821598E-2"/>
                  <c:y val="0.109699737532808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0B4-434F-89A9-9728B279A475}"/>
                </c:ext>
              </c:extLst>
            </c:dLbl>
            <c:dLbl>
              <c:idx val="4"/>
              <c:layout>
                <c:manualLayout>
                  <c:x val="-0.14250096949872701"/>
                  <c:y val="1.507751531058617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0B4-434F-89A9-9728B279A47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OF'!$J$9:$J$13</c:f>
              <c:strCache>
                <c:ptCount val="5"/>
                <c:pt idx="0">
                  <c:v>Net Current Asset</c:v>
                </c:pt>
                <c:pt idx="1">
                  <c:v>TRI Party Repo</c:v>
                </c:pt>
                <c:pt idx="2">
                  <c:v>Government Bond</c:v>
                </c:pt>
                <c:pt idx="3">
                  <c:v>REPO</c:v>
                </c:pt>
                <c:pt idx="4">
                  <c:v>Treasury Bill</c:v>
                </c:pt>
              </c:strCache>
            </c:strRef>
          </c:cat>
          <c:val>
            <c:numRef>
              <c:f>'BANDHAN OF'!$K$9:$K$13</c:f>
              <c:numCache>
                <c:formatCode>0.00%</c:formatCode>
                <c:ptCount val="5"/>
                <c:pt idx="0">
                  <c:v>1.1069999999999999E-3</c:v>
                </c:pt>
                <c:pt idx="1">
                  <c:v>0.25069399999999997</c:v>
                </c:pt>
                <c:pt idx="2">
                  <c:v>1.1509999999999999E-2</c:v>
                </c:pt>
                <c:pt idx="3">
                  <c:v>0.69360299999999997</c:v>
                </c:pt>
                <c:pt idx="4">
                  <c:v>4.3085999999999999E-2</c:v>
                </c:pt>
              </c:numCache>
            </c:numRef>
          </c:val>
          <c:extLst>
            <c:ext xmlns:c16="http://schemas.microsoft.com/office/drawing/2014/chart" uri="{C3380CC4-5D6E-409C-BE32-E72D297353CC}">
              <c16:uniqueId val="{0000000C-B0B4-434F-89A9-9728B279A47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2476352661485"/>
                  <c:y val="-3.31858407079646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CB2-4C0C-A9F8-2E2B606DE60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CF'!$G$8</c:f>
              <c:strCache>
                <c:ptCount val="1"/>
                <c:pt idx="0">
                  <c:v>AAA EQUIVALENT</c:v>
                </c:pt>
              </c:strCache>
            </c:strRef>
          </c:cat>
          <c:val>
            <c:numRef>
              <c:f>'BANDHAN CF'!$H$8</c:f>
              <c:numCache>
                <c:formatCode>0%</c:formatCode>
                <c:ptCount val="1"/>
                <c:pt idx="0">
                  <c:v>1</c:v>
                </c:pt>
              </c:numCache>
            </c:numRef>
          </c:val>
          <c:extLst>
            <c:ext xmlns:c16="http://schemas.microsoft.com/office/drawing/2014/chart" uri="{C3380CC4-5D6E-409C-BE32-E72D297353CC}">
              <c16:uniqueId val="{0000000C-5CB2-4C0C-A9F8-2E2B606DE60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F61-43BB-BF63-7A0997F6BA52}"/>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F61-43BB-BF63-7A0997F6BA52}"/>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F61-43BB-BF63-7A0997F6BA52}"/>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F61-43BB-BF63-7A0997F6BA52}"/>
                </c:ext>
              </c:extLst>
            </c:dLbl>
            <c:dLbl>
              <c:idx val="4"/>
              <c:layout>
                <c:manualLayout>
                  <c:x val="3.7694026201756901E-2"/>
                  <c:y val="4.417719119902134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F61-43BB-BF63-7A0997F6BA52}"/>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7F61-43BB-BF63-7A0997F6BA52}"/>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7F61-43BB-BF63-7A0997F6BA52}"/>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7F61-43BB-BF63-7A0997F6BA52}"/>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7F61-43BB-BF63-7A0997F6BA5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CF'!$J$9:$J$17</c:f>
              <c:strCache>
                <c:ptCount val="9"/>
                <c:pt idx="0">
                  <c:v>Net Current Asset</c:v>
                </c:pt>
                <c:pt idx="1">
                  <c:v>TRI Party Repo</c:v>
                </c:pt>
                <c:pt idx="2">
                  <c:v>Certificate of Deposit</c:v>
                </c:pt>
                <c:pt idx="3">
                  <c:v>Corporate Bond</c:v>
                </c:pt>
                <c:pt idx="4">
                  <c:v>Commercial Paper</c:v>
                </c:pt>
                <c:pt idx="5">
                  <c:v>Corporate Debt Market Development Fund</c:v>
                </c:pt>
                <c:pt idx="6">
                  <c:v>Government Bond</c:v>
                </c:pt>
                <c:pt idx="7">
                  <c:v>State Government Bond</c:v>
                </c:pt>
                <c:pt idx="8">
                  <c:v>Treasury Bill</c:v>
                </c:pt>
              </c:strCache>
            </c:strRef>
          </c:cat>
          <c:val>
            <c:numRef>
              <c:f>'BANDHAN CF'!$K$9:$K$17</c:f>
              <c:numCache>
                <c:formatCode>0.00%</c:formatCode>
                <c:ptCount val="9"/>
                <c:pt idx="0">
                  <c:v>2.6510000000000001E-3</c:v>
                </c:pt>
                <c:pt idx="1">
                  <c:v>2.3599999999999999E-2</c:v>
                </c:pt>
                <c:pt idx="2">
                  <c:v>0.22667499999999999</c:v>
                </c:pt>
                <c:pt idx="3">
                  <c:v>3.4660999999999997E-2</c:v>
                </c:pt>
                <c:pt idx="4">
                  <c:v>0.48058499999999998</c:v>
                </c:pt>
                <c:pt idx="5">
                  <c:v>1.9650000000000002E-3</c:v>
                </c:pt>
                <c:pt idx="6">
                  <c:v>1.8889E-2</c:v>
                </c:pt>
                <c:pt idx="7">
                  <c:v>6.8900000000000005E-4</c:v>
                </c:pt>
                <c:pt idx="8">
                  <c:v>0.210285</c:v>
                </c:pt>
              </c:numCache>
            </c:numRef>
          </c:val>
          <c:extLst>
            <c:ext xmlns:c16="http://schemas.microsoft.com/office/drawing/2014/chart" uri="{C3380CC4-5D6E-409C-BE32-E72D297353CC}">
              <c16:uniqueId val="{0000000C-7F61-43BB-BF63-7A0997F6BA5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908665632534691"/>
                  <c:y val="-9.868421052631578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5E8-4F00-A0D7-9A9DF122A0DA}"/>
                </c:ext>
              </c:extLst>
            </c:dLbl>
            <c:dLbl>
              <c:idx val="1"/>
              <c:layout>
                <c:manualLayout>
                  <c:x val="-6.7906810096275444E-2"/>
                  <c:y val="-5.91190081502970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5E8-4F00-A0D7-9A9DF122A0D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LDF'!$G$8:$G$9</c:f>
              <c:strCache>
                <c:ptCount val="2"/>
                <c:pt idx="0">
                  <c:v>AAA EQUIVALENT</c:v>
                </c:pt>
                <c:pt idx="1">
                  <c:v>AA+</c:v>
                </c:pt>
              </c:strCache>
            </c:strRef>
          </c:cat>
          <c:val>
            <c:numRef>
              <c:f>'BANDHAN LDF'!$H$8:$H$9</c:f>
              <c:numCache>
                <c:formatCode>0.00%</c:formatCode>
                <c:ptCount val="2"/>
                <c:pt idx="0">
                  <c:v>0.98822600000000005</c:v>
                </c:pt>
                <c:pt idx="1">
                  <c:v>1.1774E-2</c:v>
                </c:pt>
              </c:numCache>
            </c:numRef>
          </c:val>
          <c:extLst>
            <c:ext xmlns:c16="http://schemas.microsoft.com/office/drawing/2014/chart" uri="{C3380CC4-5D6E-409C-BE32-E72D297353CC}">
              <c16:uniqueId val="{0000000C-F5E8-4F00-A0D7-9A9DF122A0D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F9C-4387-AB37-017F73C2B101}"/>
                </c:ext>
              </c:extLst>
            </c:dLbl>
            <c:dLbl>
              <c:idx val="1"/>
              <c:layout>
                <c:manualLayout>
                  <c:x val="0.29905174594075096"/>
                  <c:y val="1.09483053748716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F9C-4387-AB37-017F73C2B101}"/>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F9C-4387-AB37-017F73C2B101}"/>
                </c:ext>
              </c:extLst>
            </c:dLbl>
            <c:dLbl>
              <c:idx val="3"/>
              <c:layout>
                <c:manualLayout>
                  <c:x val="6.8481849297745701E-2"/>
                  <c:y val="-1.171687778158165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F9C-4387-AB37-017F73C2B101}"/>
                </c:ext>
              </c:extLst>
            </c:dLbl>
            <c:dLbl>
              <c:idx val="4"/>
              <c:layout>
                <c:manualLayout>
                  <c:x val="-3.4045254514491897E-2"/>
                  <c:y val="-0.1943289969188634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F9C-4387-AB37-017F73C2B101}"/>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F9C-4387-AB37-017F73C2B101}"/>
                </c:ext>
              </c:extLst>
            </c:dLbl>
            <c:dLbl>
              <c:idx val="6"/>
              <c:layout>
                <c:manualLayout>
                  <c:x val="0.16074221450370096"/>
                  <c:y val="0.5982523108524477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F9C-4387-AB37-017F73C2B101}"/>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AF9C-4387-AB37-017F73C2B101}"/>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AF9C-4387-AB37-017F73C2B101}"/>
                </c:ext>
              </c:extLst>
            </c:dLbl>
            <c:dLbl>
              <c:idx val="9"/>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6-AF9C-4387-AB37-017F73C2B10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LDF'!$J$9:$J$18</c:f>
              <c:strCache>
                <c:ptCount val="10"/>
                <c:pt idx="0">
                  <c:v>Net Current Asset</c:v>
                </c:pt>
                <c:pt idx="1">
                  <c:v>TRI Party Repo</c:v>
                </c:pt>
                <c:pt idx="2">
                  <c:v>Certificate of Deposit</c:v>
                </c:pt>
                <c:pt idx="3">
                  <c:v>Corporate Bond</c:v>
                </c:pt>
                <c:pt idx="4">
                  <c:v>Commercial Paper</c:v>
                </c:pt>
                <c:pt idx="5">
                  <c:v>Corporate Debt Market Development Fund</c:v>
                </c:pt>
                <c:pt idx="6">
                  <c:v>Government Bond</c:v>
                </c:pt>
                <c:pt idx="7">
                  <c:v>State Government Bond</c:v>
                </c:pt>
                <c:pt idx="8">
                  <c:v>Treasury Bill</c:v>
                </c:pt>
                <c:pt idx="9">
                  <c:v>Zero Coupon Bond</c:v>
                </c:pt>
              </c:strCache>
            </c:strRef>
          </c:cat>
          <c:val>
            <c:numRef>
              <c:f>'BANDHAN LDF'!$K$9:$K$18</c:f>
              <c:numCache>
                <c:formatCode>0.00%</c:formatCode>
                <c:ptCount val="10"/>
                <c:pt idx="0">
                  <c:v>1.4040000000000001E-3</c:v>
                </c:pt>
                <c:pt idx="1">
                  <c:v>3.2661999999999997E-2</c:v>
                </c:pt>
                <c:pt idx="2">
                  <c:v>7.4578000000000005E-2</c:v>
                </c:pt>
                <c:pt idx="3">
                  <c:v>0.714364</c:v>
                </c:pt>
                <c:pt idx="4">
                  <c:v>1.8758E-2</c:v>
                </c:pt>
                <c:pt idx="5">
                  <c:v>3.0539999999999999E-3</c:v>
                </c:pt>
                <c:pt idx="6">
                  <c:v>1.3940000000000001E-3</c:v>
                </c:pt>
                <c:pt idx="7">
                  <c:v>1.1053E-2</c:v>
                </c:pt>
                <c:pt idx="8">
                  <c:v>0.121436</c:v>
                </c:pt>
                <c:pt idx="9">
                  <c:v>2.1297E-2</c:v>
                </c:pt>
              </c:numCache>
            </c:numRef>
          </c:val>
          <c:extLst>
            <c:ext xmlns:c16="http://schemas.microsoft.com/office/drawing/2014/chart" uri="{C3380CC4-5D6E-409C-BE32-E72D297353CC}">
              <c16:uniqueId val="{0000000C-AF9C-4387-AB37-017F73C2B10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1.99115044247787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248-49EC-B166-5429AC413B9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MMF'!$G$8</c:f>
              <c:strCache>
                <c:ptCount val="1"/>
                <c:pt idx="0">
                  <c:v>AAA EQUIVALENT</c:v>
                </c:pt>
              </c:strCache>
            </c:strRef>
          </c:cat>
          <c:val>
            <c:numRef>
              <c:f>'BANDHAN MMF'!$H$8</c:f>
              <c:numCache>
                <c:formatCode>0%</c:formatCode>
                <c:ptCount val="1"/>
                <c:pt idx="0">
                  <c:v>1</c:v>
                </c:pt>
              </c:numCache>
            </c:numRef>
          </c:val>
          <c:extLst>
            <c:ext xmlns:c16="http://schemas.microsoft.com/office/drawing/2014/chart" uri="{C3380CC4-5D6E-409C-BE32-E72D297353CC}">
              <c16:uniqueId val="{0000000C-B248-49EC-B166-5429AC413B9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MMF'!$K$8</c:f>
              <c:strCache>
                <c:ptCount val="1"/>
                <c:pt idx="0">
                  <c:v>Total</c:v>
                </c:pt>
              </c:strCache>
            </c:strRef>
          </c:tx>
          <c:dLbls>
            <c:dLbl>
              <c:idx val="0"/>
              <c:layout>
                <c:manualLayout>
                  <c:x val="0.14266510984842098"/>
                  <c:y val="-9.191967816250043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0D3-436F-B2B8-54DF7789A221}"/>
                </c:ext>
              </c:extLst>
            </c:dLbl>
            <c:dLbl>
              <c:idx val="1"/>
              <c:layout>
                <c:manualLayout>
                  <c:x val="0.30027803537405789"/>
                  <c:y val="-2.88426228380841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0D3-436F-B2B8-54DF7789A221}"/>
                </c:ext>
              </c:extLst>
            </c:dLbl>
            <c:dLbl>
              <c:idx val="2"/>
              <c:layout>
                <c:manualLayout>
                  <c:x val="-8.6833532853361206E-2"/>
                  <c:y val="0.2334391225114327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0D3-436F-B2B8-54DF7789A221}"/>
                </c:ext>
              </c:extLst>
            </c:dLbl>
            <c:dLbl>
              <c:idx val="3"/>
              <c:layout>
                <c:manualLayout>
                  <c:x val="0.38230462493044898"/>
                  <c:y val="0.3426427810060860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0D3-436F-B2B8-54DF7789A221}"/>
                </c:ext>
              </c:extLst>
            </c:dLbl>
            <c:dLbl>
              <c:idx val="4"/>
              <c:layout>
                <c:manualLayout>
                  <c:x val="-6.313333558144632E-2"/>
                  <c:y val="0.5967606505518687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0D3-436F-B2B8-54DF7789A221}"/>
                </c:ext>
              </c:extLst>
            </c:dLbl>
            <c:dLbl>
              <c:idx val="5"/>
              <c:layout>
                <c:manualLayout>
                  <c:x val="-3.483046417912964E-2"/>
                  <c:y val="-0.1703476257607537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F0D3-436F-B2B8-54DF7789A221}"/>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F0D3-436F-B2B8-54DF7789A221}"/>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F0D3-436F-B2B8-54DF7789A22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MMF'!$J$9:$J$16</c:f>
              <c:strCache>
                <c:ptCount val="8"/>
                <c:pt idx="0">
                  <c:v>Net Current Asset</c:v>
                </c:pt>
                <c:pt idx="1">
                  <c:v>TRI Party Repo</c:v>
                </c:pt>
                <c:pt idx="2">
                  <c:v>Certificate of Deposit</c:v>
                </c:pt>
                <c:pt idx="3">
                  <c:v>Commercial Paper</c:v>
                </c:pt>
                <c:pt idx="4">
                  <c:v>Corporate Debt Market Development Fund</c:v>
                </c:pt>
                <c:pt idx="5">
                  <c:v>Government Bond Strips</c:v>
                </c:pt>
                <c:pt idx="6">
                  <c:v>State Government Bond</c:v>
                </c:pt>
                <c:pt idx="7">
                  <c:v>Treasury Bill</c:v>
                </c:pt>
              </c:strCache>
            </c:strRef>
          </c:cat>
          <c:val>
            <c:numRef>
              <c:f>'BANDHAN MMF'!$K$9:$K$16</c:f>
              <c:numCache>
                <c:formatCode>0.00%</c:formatCode>
                <c:ptCount val="8"/>
                <c:pt idx="0">
                  <c:v>-2.7469999999999999E-3</c:v>
                </c:pt>
                <c:pt idx="1">
                  <c:v>4.5570000000000003E-3</c:v>
                </c:pt>
                <c:pt idx="2">
                  <c:v>0.62790599999999996</c:v>
                </c:pt>
                <c:pt idx="3">
                  <c:v>0.23385300000000001</c:v>
                </c:pt>
                <c:pt idx="4">
                  <c:v>1.6230000000000001E-3</c:v>
                </c:pt>
                <c:pt idx="5">
                  <c:v>1.023E-3</c:v>
                </c:pt>
                <c:pt idx="6">
                  <c:v>8.8345999999999994E-2</c:v>
                </c:pt>
                <c:pt idx="7">
                  <c:v>4.5439E-2</c:v>
                </c:pt>
              </c:numCache>
            </c:numRef>
          </c:val>
          <c:extLst>
            <c:ext xmlns:c16="http://schemas.microsoft.com/office/drawing/2014/chart" uri="{C3380CC4-5D6E-409C-BE32-E72D297353CC}">
              <c16:uniqueId val="{0000000C-F0D3-436F-B2B8-54DF7789A22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7908015646866413"/>
                  <c:y val="-6.057268722466960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F4D-4BF5-81AB-C4D418868EF7}"/>
                </c:ext>
              </c:extLst>
            </c:dLbl>
            <c:dLbl>
              <c:idx val="1"/>
              <c:layout>
                <c:manualLayout>
                  <c:x val="-0.13043054173902779"/>
                  <c:y val="-6.10319469978147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F4D-4BF5-81AB-C4D418868EF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USTF'!$G$8:$G$9</c:f>
              <c:strCache>
                <c:ptCount val="2"/>
                <c:pt idx="0">
                  <c:v>AAA EQUIVALENT</c:v>
                </c:pt>
                <c:pt idx="1">
                  <c:v>AA+</c:v>
                </c:pt>
              </c:strCache>
            </c:strRef>
          </c:cat>
          <c:val>
            <c:numRef>
              <c:f>'BANDHAN USTF'!$H$8:$H$9</c:f>
              <c:numCache>
                <c:formatCode>0.00%</c:formatCode>
                <c:ptCount val="2"/>
                <c:pt idx="0">
                  <c:v>0.98973299999999997</c:v>
                </c:pt>
                <c:pt idx="1">
                  <c:v>1.0267E-2</c:v>
                </c:pt>
              </c:numCache>
            </c:numRef>
          </c:val>
          <c:extLst>
            <c:ext xmlns:c16="http://schemas.microsoft.com/office/drawing/2014/chart" uri="{C3380CC4-5D6E-409C-BE32-E72D297353CC}">
              <c16:uniqueId val="{0000000C-CF4D-4BF5-81AB-C4D418868EF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USTF'!$K$8</c:f>
              <c:strCache>
                <c:ptCount val="1"/>
                <c:pt idx="0">
                  <c:v>Total</c:v>
                </c:pt>
              </c:strCache>
            </c:strRef>
          </c:tx>
          <c:dLbls>
            <c:dLbl>
              <c:idx val="0"/>
              <c:layout>
                <c:manualLayout>
                  <c:x val="0.11359869497040921"/>
                  <c:y val="-4.81754632156128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D0B-48A0-B200-06C96752F0BD}"/>
                </c:ext>
              </c:extLst>
            </c:dLbl>
            <c:dLbl>
              <c:idx val="1"/>
              <c:layout>
                <c:manualLayout>
                  <c:x val="0.22838312903606536"/>
                  <c:y val="1.37442720650017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D0B-48A0-B200-06C96752F0BD}"/>
                </c:ext>
              </c:extLst>
            </c:dLbl>
            <c:dLbl>
              <c:idx val="2"/>
              <c:layout>
                <c:manualLayout>
                  <c:x val="2.0279047024903473E-2"/>
                  <c:y val="0.5897247992515787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D0B-48A0-B200-06C96752F0BD}"/>
                </c:ext>
              </c:extLst>
            </c:dLbl>
            <c:dLbl>
              <c:idx val="3"/>
              <c:layout>
                <c:manualLayout>
                  <c:x val="-0.13440675108330943"/>
                  <c:y val="2.21938099321743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D0B-48A0-B200-06C96752F0BD}"/>
                </c:ext>
              </c:extLst>
            </c:dLbl>
            <c:dLbl>
              <c:idx val="4"/>
              <c:layout>
                <c:manualLayout>
                  <c:x val="-6.8051307558717897E-2"/>
                  <c:y val="0.5287073274256559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D0B-48A0-B200-06C96752F0BD}"/>
                </c:ext>
              </c:extLst>
            </c:dLbl>
            <c:dLbl>
              <c:idx val="5"/>
              <c:layout>
                <c:manualLayout>
                  <c:x val="-7.0500851472795029E-2"/>
                  <c:y val="-8.55514842822864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D0B-48A0-B200-06C96752F0BD}"/>
                </c:ext>
              </c:extLst>
            </c:dLbl>
            <c:dLbl>
              <c:idx val="6"/>
              <c:layout>
                <c:manualLayout>
                  <c:x val="-2.2591680857879916E-2"/>
                  <c:y val="-4.164375492667377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D0B-48A0-B200-06C96752F0BD}"/>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AD0B-48A0-B200-06C96752F0B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USTF'!$J$9:$J$16</c:f>
              <c:strCache>
                <c:ptCount val="8"/>
                <c:pt idx="0">
                  <c:v>Net Current Asset</c:v>
                </c:pt>
                <c:pt idx="1">
                  <c:v>TRI Party Repo</c:v>
                </c:pt>
                <c:pt idx="2">
                  <c:v>Certificate of Deposit</c:v>
                </c:pt>
                <c:pt idx="3">
                  <c:v>Corporate Bond</c:v>
                </c:pt>
                <c:pt idx="4">
                  <c:v>Commercial Paper</c:v>
                </c:pt>
                <c:pt idx="5">
                  <c:v>Corporate Debt Market Development Fund</c:v>
                </c:pt>
                <c:pt idx="6">
                  <c:v>Treasury Bill</c:v>
                </c:pt>
                <c:pt idx="7">
                  <c:v>Zero Coupon Bond</c:v>
                </c:pt>
              </c:strCache>
            </c:strRef>
          </c:cat>
          <c:val>
            <c:numRef>
              <c:f>'BANDHAN USTF'!$K$9:$K$16</c:f>
              <c:numCache>
                <c:formatCode>0.00%</c:formatCode>
                <c:ptCount val="8"/>
                <c:pt idx="0">
                  <c:v>2.5565999999999998E-2</c:v>
                </c:pt>
                <c:pt idx="1">
                  <c:v>3.4686000000000002E-2</c:v>
                </c:pt>
                <c:pt idx="2">
                  <c:v>0.142286</c:v>
                </c:pt>
                <c:pt idx="3">
                  <c:v>0.61158000000000001</c:v>
                </c:pt>
                <c:pt idx="4">
                  <c:v>7.7216999999999994E-2</c:v>
                </c:pt>
                <c:pt idx="5">
                  <c:v>2.5920000000000001E-3</c:v>
                </c:pt>
                <c:pt idx="6">
                  <c:v>9.9949999999999997E-2</c:v>
                </c:pt>
                <c:pt idx="7">
                  <c:v>6.123E-3</c:v>
                </c:pt>
              </c:numCache>
            </c:numRef>
          </c:val>
          <c:extLst>
            <c:ext xmlns:c16="http://schemas.microsoft.com/office/drawing/2014/chart" uri="{C3380CC4-5D6E-409C-BE32-E72D297353CC}">
              <c16:uniqueId val="{0000000C-AD0B-48A0-B200-06C96752F0B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781508708627697"/>
                  <c:y val="-2.72925764192139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98B-4366-A0EC-8AB7F75CC2E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DBF'!$G$8</c:f>
              <c:strCache>
                <c:ptCount val="1"/>
                <c:pt idx="0">
                  <c:v>AAA EQUIVALENT</c:v>
                </c:pt>
              </c:strCache>
            </c:strRef>
          </c:cat>
          <c:val>
            <c:numRef>
              <c:f>'BANDHAN DBF'!$H$8</c:f>
              <c:numCache>
                <c:formatCode>0%</c:formatCode>
                <c:ptCount val="1"/>
                <c:pt idx="0">
                  <c:v>1</c:v>
                </c:pt>
              </c:numCache>
            </c:numRef>
          </c:val>
          <c:extLst>
            <c:ext xmlns:c16="http://schemas.microsoft.com/office/drawing/2014/chart" uri="{C3380CC4-5D6E-409C-BE32-E72D297353CC}">
              <c16:uniqueId val="{0000000C-898B-4366-A0EC-8AB7F75CC2E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DBF'!$K$8</c:f>
              <c:strCache>
                <c:ptCount val="1"/>
                <c:pt idx="0">
                  <c:v>Total</c:v>
                </c:pt>
              </c:strCache>
            </c:strRef>
          </c:tx>
          <c:dLbls>
            <c:dLbl>
              <c:idx val="0"/>
              <c:layout>
                <c:manualLayout>
                  <c:x val="-0.21156898615724426"/>
                  <c:y val="-1.93669291338582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052-465C-B5C6-611CB4BD6E55}"/>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052-465C-B5C6-611CB4BD6E55}"/>
                </c:ext>
              </c:extLst>
            </c:dLbl>
            <c:dLbl>
              <c:idx val="2"/>
              <c:layout>
                <c:manualLayout>
                  <c:x val="0.15222394577551468"/>
                  <c:y val="1.63636045494313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052-465C-B5C6-611CB4BD6E55}"/>
                </c:ext>
              </c:extLst>
            </c:dLbl>
            <c:dLbl>
              <c:idx val="3"/>
              <c:layout>
                <c:manualLayout>
                  <c:x val="-0.25676988315432736"/>
                  <c:y val="-1.137462817147856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052-465C-B5C6-611CB4BD6E5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DBF'!$J$9:$J$12</c:f>
              <c:strCache>
                <c:ptCount val="4"/>
                <c:pt idx="0">
                  <c:v>Net Current Asset</c:v>
                </c:pt>
                <c:pt idx="1">
                  <c:v>TRI Party Repo</c:v>
                </c:pt>
                <c:pt idx="2">
                  <c:v>Corporate Debt Market Development Fund</c:v>
                </c:pt>
                <c:pt idx="3">
                  <c:v>Government Bond</c:v>
                </c:pt>
              </c:strCache>
            </c:strRef>
          </c:cat>
          <c:val>
            <c:numRef>
              <c:f>'BANDHAN DBF'!$K$9:$K$12</c:f>
              <c:numCache>
                <c:formatCode>0.00%</c:formatCode>
                <c:ptCount val="4"/>
                <c:pt idx="0">
                  <c:v>2.4840000000000001E-2</c:v>
                </c:pt>
                <c:pt idx="1">
                  <c:v>3.6809999999999998E-3</c:v>
                </c:pt>
                <c:pt idx="2">
                  <c:v>2.3930000000000002E-3</c:v>
                </c:pt>
                <c:pt idx="3">
                  <c:v>0.969086</c:v>
                </c:pt>
              </c:numCache>
            </c:numRef>
          </c:val>
          <c:extLst>
            <c:ext xmlns:c16="http://schemas.microsoft.com/office/drawing/2014/chart" uri="{C3380CC4-5D6E-409C-BE32-E72D297353CC}">
              <c16:uniqueId val="{0000000C-9052-465C-B5C6-611CB4BD6E5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4.4956140350877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8C3-451D-8E16-AA6E2CFB8A8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IP'!$G$8</c:f>
              <c:strCache>
                <c:ptCount val="1"/>
                <c:pt idx="0">
                  <c:v>AAA EQUIVALENT</c:v>
                </c:pt>
              </c:strCache>
            </c:strRef>
          </c:cat>
          <c:val>
            <c:numRef>
              <c:f>'BANDHAN BOND IP'!$H$8</c:f>
              <c:numCache>
                <c:formatCode>0%</c:formatCode>
                <c:ptCount val="1"/>
                <c:pt idx="0">
                  <c:v>1</c:v>
                </c:pt>
              </c:numCache>
            </c:numRef>
          </c:val>
          <c:extLst>
            <c:ext xmlns:c16="http://schemas.microsoft.com/office/drawing/2014/chart" uri="{C3380CC4-5D6E-409C-BE32-E72D297353CC}">
              <c16:uniqueId val="{0000000C-28C3-451D-8E16-AA6E2CFB8A8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9A8-4388-8E3E-D024C70AE0D2}"/>
                </c:ext>
              </c:extLst>
            </c:dLbl>
            <c:dLbl>
              <c:idx val="1"/>
              <c:layout>
                <c:manualLayout>
                  <c:x val="-0.26360982312971049"/>
                  <c:y val="-4.07164220751475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9A8-4388-8E3E-D024C70AE0D2}"/>
                </c:ext>
              </c:extLst>
            </c:dLbl>
            <c:dLbl>
              <c:idx val="2"/>
              <c:layout>
                <c:manualLayout>
                  <c:x val="-0.10068589927329748"/>
                  <c:y val="-0.1350277726912043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9A8-4388-8E3E-D024C70AE0D2}"/>
                </c:ext>
              </c:extLst>
            </c:dLbl>
            <c:dLbl>
              <c:idx val="3"/>
              <c:layout>
                <c:manualLayout>
                  <c:x val="-2.760441079768669E-2"/>
                  <c:y val="0.2664709934513999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9A8-4388-8E3E-D024C70AE0D2}"/>
                </c:ext>
              </c:extLst>
            </c:dLbl>
            <c:dLbl>
              <c:idx val="4"/>
              <c:layout>
                <c:manualLayout>
                  <c:x val="6.7079785530020739E-2"/>
                  <c:y val="0.1617593149693497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9A8-4388-8E3E-D024C70AE0D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IP'!$J$9:$J$13</c:f>
              <c:strCache>
                <c:ptCount val="5"/>
                <c:pt idx="0">
                  <c:v>Net Current Asset</c:v>
                </c:pt>
                <c:pt idx="1">
                  <c:v>TRI Party Repo</c:v>
                </c:pt>
                <c:pt idx="2">
                  <c:v>Corporate Bond</c:v>
                </c:pt>
                <c:pt idx="3">
                  <c:v>Corporate Debt Market Development Fund</c:v>
                </c:pt>
                <c:pt idx="4">
                  <c:v>Government Bond</c:v>
                </c:pt>
              </c:strCache>
            </c:strRef>
          </c:cat>
          <c:val>
            <c:numRef>
              <c:f>'BANDHAN BOND IP'!$K$9:$K$13</c:f>
              <c:numCache>
                <c:formatCode>0.00%</c:formatCode>
                <c:ptCount val="5"/>
                <c:pt idx="0">
                  <c:v>2.8251999999999999E-2</c:v>
                </c:pt>
                <c:pt idx="1">
                  <c:v>4.9950000000000003E-3</c:v>
                </c:pt>
                <c:pt idx="2">
                  <c:v>0.248918</c:v>
                </c:pt>
                <c:pt idx="3">
                  <c:v>2.617E-3</c:v>
                </c:pt>
                <c:pt idx="4">
                  <c:v>0.71521800000000002</c:v>
                </c:pt>
              </c:numCache>
            </c:numRef>
          </c:val>
          <c:extLst>
            <c:ext xmlns:c16="http://schemas.microsoft.com/office/drawing/2014/chart" uri="{C3380CC4-5D6E-409C-BE32-E72D297353CC}">
              <c16:uniqueId val="{0000000C-A9A8-4388-8E3E-D024C70AE0D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1.7621145374449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096-4882-B39E-249A4C9CC8B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MT'!$G$8</c:f>
              <c:strCache>
                <c:ptCount val="1"/>
                <c:pt idx="0">
                  <c:v>AAA EQUIVALENT</c:v>
                </c:pt>
              </c:strCache>
            </c:strRef>
          </c:cat>
          <c:val>
            <c:numRef>
              <c:f>'BANDHAN BOND MT'!$H$8</c:f>
              <c:numCache>
                <c:formatCode>0%</c:formatCode>
                <c:ptCount val="1"/>
                <c:pt idx="0">
                  <c:v>1</c:v>
                </c:pt>
              </c:numCache>
            </c:numRef>
          </c:val>
          <c:extLst>
            <c:ext xmlns:c16="http://schemas.microsoft.com/office/drawing/2014/chart" uri="{C3380CC4-5D6E-409C-BE32-E72D297353CC}">
              <c16:uniqueId val="{0000000C-9096-4882-B39E-249A4C9CC8B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MT'!$K$8</c:f>
              <c:strCache>
                <c:ptCount val="1"/>
                <c:pt idx="0">
                  <c:v>Total</c:v>
                </c:pt>
              </c:strCache>
            </c:strRef>
          </c:tx>
          <c:dLbls>
            <c:dLbl>
              <c:idx val="0"/>
              <c:layout>
                <c:manualLayout>
                  <c:x val="9.4761166096207911E-2"/>
                  <c:y val="-4.26707972978787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377-47A8-A8D7-D9AE407E4F5A}"/>
                </c:ext>
              </c:extLst>
            </c:dLbl>
            <c:dLbl>
              <c:idx val="1"/>
              <c:layout>
                <c:manualLayout>
                  <c:x val="0.26233902105919843"/>
                  <c:y val="-5.016651607073705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377-47A8-A8D7-D9AE407E4F5A}"/>
                </c:ext>
              </c:extLst>
            </c:dLbl>
            <c:dLbl>
              <c:idx val="2"/>
              <c:layout>
                <c:manualLayout>
                  <c:x val="-4.3792847628521807E-2"/>
                  <c:y val="0.3478673034723118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377-47A8-A8D7-D9AE407E4F5A}"/>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377-47A8-A8D7-D9AE407E4F5A}"/>
                </c:ext>
              </c:extLst>
            </c:dLbl>
            <c:dLbl>
              <c:idx val="4"/>
              <c:layout>
                <c:manualLayout>
                  <c:x val="0"/>
                  <c:y val="-0.21975646486812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377-47A8-A8D7-D9AE407E4F5A}"/>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2377-47A8-A8D7-D9AE407E4F5A}"/>
                </c:ext>
              </c:extLst>
            </c:dLbl>
            <c:dLbl>
              <c:idx val="6"/>
              <c:layout>
                <c:manualLayout>
                  <c:x val="-0.19727056601864809"/>
                  <c:y val="-1.644128910115743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2377-47A8-A8D7-D9AE407E4F5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MT'!$J$9:$J$15</c:f>
              <c:strCache>
                <c:ptCount val="7"/>
                <c:pt idx="0">
                  <c:v>Net Current Asset</c:v>
                </c:pt>
                <c:pt idx="1">
                  <c:v>TRI Party Repo</c:v>
                </c:pt>
                <c:pt idx="2">
                  <c:v>Corporate Bond</c:v>
                </c:pt>
                <c:pt idx="3">
                  <c:v>Corporate Debt Market Development Fund</c:v>
                </c:pt>
                <c:pt idx="4">
                  <c:v>Government Bond</c:v>
                </c:pt>
                <c:pt idx="5">
                  <c:v>PTC</c:v>
                </c:pt>
                <c:pt idx="6">
                  <c:v>State Government Bond</c:v>
                </c:pt>
              </c:strCache>
            </c:strRef>
          </c:cat>
          <c:val>
            <c:numRef>
              <c:f>'BANDHAN BOND MT'!$K$9:$K$15</c:f>
              <c:numCache>
                <c:formatCode>0.00%</c:formatCode>
                <c:ptCount val="7"/>
                <c:pt idx="0">
                  <c:v>2.3747000000000001E-2</c:v>
                </c:pt>
                <c:pt idx="1">
                  <c:v>3.333E-3</c:v>
                </c:pt>
                <c:pt idx="2">
                  <c:v>0.49314599999999997</c:v>
                </c:pt>
                <c:pt idx="3">
                  <c:v>3.3479999999999998E-3</c:v>
                </c:pt>
                <c:pt idx="4">
                  <c:v>0.46888200000000002</c:v>
                </c:pt>
                <c:pt idx="5">
                  <c:v>6.2480000000000001E-3</c:v>
                </c:pt>
                <c:pt idx="6">
                  <c:v>1.2960000000000001E-3</c:v>
                </c:pt>
              </c:numCache>
            </c:numRef>
          </c:val>
          <c:extLst>
            <c:ext xmlns:c16="http://schemas.microsoft.com/office/drawing/2014/chart" uri="{C3380CC4-5D6E-409C-BE32-E72D297353CC}">
              <c16:uniqueId val="{0000000C-2377-47A8-A8D7-D9AE407E4F5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3.96475770925110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C76-4D05-8060-E166E498CC5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ST'!$G$8</c:f>
              <c:strCache>
                <c:ptCount val="1"/>
                <c:pt idx="0">
                  <c:v>AAA EQUIVALENT</c:v>
                </c:pt>
              </c:strCache>
            </c:strRef>
          </c:cat>
          <c:val>
            <c:numRef>
              <c:f>'BANDHAN BOND ST'!$H$8</c:f>
              <c:numCache>
                <c:formatCode>0%</c:formatCode>
                <c:ptCount val="1"/>
                <c:pt idx="0">
                  <c:v>1</c:v>
                </c:pt>
              </c:numCache>
            </c:numRef>
          </c:val>
          <c:extLst>
            <c:ext xmlns:c16="http://schemas.microsoft.com/office/drawing/2014/chart" uri="{C3380CC4-5D6E-409C-BE32-E72D297353CC}">
              <c16:uniqueId val="{0000000C-FC76-4D05-8060-E166E498CC5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ST'!$K$8</c:f>
              <c:strCache>
                <c:ptCount val="1"/>
                <c:pt idx="0">
                  <c:v>Total</c:v>
                </c:pt>
              </c:strCache>
            </c:strRef>
          </c:tx>
          <c:dLbls>
            <c:dLbl>
              <c:idx val="0"/>
              <c:layout>
                <c:manualLayout>
                  <c:x val="0.23875566945994706"/>
                  <c:y val="1.04586872055840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769-4C16-B98B-3EDDE063C532}"/>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769-4C16-B98B-3EDDE063C532}"/>
                </c:ext>
              </c:extLst>
            </c:dLbl>
            <c:dLbl>
              <c:idx val="2"/>
              <c:layout>
                <c:manualLayout>
                  <c:x val="-0.10749734441653037"/>
                  <c:y val="0.3246143795344359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769-4C16-B98B-3EDDE063C532}"/>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769-4C16-B98B-3EDDE063C532}"/>
                </c:ext>
              </c:extLst>
            </c:dLbl>
            <c:dLbl>
              <c:idx val="4"/>
              <c:layout>
                <c:manualLayout>
                  <c:x val="8.3675074609249861E-2"/>
                  <c:y val="-0.3929281710965168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769-4C16-B98B-3EDDE063C532}"/>
                </c:ext>
              </c:extLst>
            </c:dLbl>
            <c:dLbl>
              <c:idx val="5"/>
              <c:layout>
                <c:manualLayout>
                  <c:x val="-0.13865172233556458"/>
                  <c:y val="-5.28600900869923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7769-4C16-B98B-3EDDE063C53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ST'!$J$9:$J$14</c:f>
              <c:strCache>
                <c:ptCount val="6"/>
                <c:pt idx="0">
                  <c:v>Net Current Asset</c:v>
                </c:pt>
                <c:pt idx="1">
                  <c:v>TRI Party Repo</c:v>
                </c:pt>
                <c:pt idx="2">
                  <c:v>Corporate Bond</c:v>
                </c:pt>
                <c:pt idx="3">
                  <c:v>Corporate Debt Market Development Fund</c:v>
                </c:pt>
                <c:pt idx="4">
                  <c:v>Government Bond</c:v>
                </c:pt>
                <c:pt idx="5">
                  <c:v>PTC</c:v>
                </c:pt>
              </c:strCache>
            </c:strRef>
          </c:cat>
          <c:val>
            <c:numRef>
              <c:f>'BANDHAN BOND ST'!$K$9:$K$14</c:f>
              <c:numCache>
                <c:formatCode>0.00%</c:formatCode>
                <c:ptCount val="6"/>
                <c:pt idx="0">
                  <c:v>2.4050999999999999E-2</c:v>
                </c:pt>
                <c:pt idx="1">
                  <c:v>4.15E-3</c:v>
                </c:pt>
                <c:pt idx="2">
                  <c:v>0.47312199999999999</c:v>
                </c:pt>
                <c:pt idx="3">
                  <c:v>2.7850000000000001E-3</c:v>
                </c:pt>
                <c:pt idx="4">
                  <c:v>0.49377900000000002</c:v>
                </c:pt>
                <c:pt idx="5">
                  <c:v>2.1129999999999999E-3</c:v>
                </c:pt>
              </c:numCache>
            </c:numRef>
          </c:val>
          <c:extLst>
            <c:ext xmlns:c16="http://schemas.microsoft.com/office/drawing/2014/chart" uri="{C3380CC4-5D6E-409C-BE32-E72D297353CC}">
              <c16:uniqueId val="{0000000C-7769-4C16-B98B-3EDDE063C53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580223912053817"/>
                  <c:y val="-2.87610619469026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89B-4A98-A553-7D7FE53C2E9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BPDF'!$G$8</c:f>
              <c:strCache>
                <c:ptCount val="1"/>
                <c:pt idx="0">
                  <c:v>AAA EQUIVALENT</c:v>
                </c:pt>
              </c:strCache>
            </c:strRef>
          </c:cat>
          <c:val>
            <c:numRef>
              <c:f>'BANDHAN BPDF'!$H$8</c:f>
              <c:numCache>
                <c:formatCode>0%</c:formatCode>
                <c:ptCount val="1"/>
                <c:pt idx="0">
                  <c:v>1</c:v>
                </c:pt>
              </c:numCache>
            </c:numRef>
          </c:val>
          <c:extLst>
            <c:ext xmlns:c16="http://schemas.microsoft.com/office/drawing/2014/chart" uri="{C3380CC4-5D6E-409C-BE32-E72D297353CC}">
              <c16:uniqueId val="{0000000C-189B-4A98-A553-7D7FE53C2E9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BPDF'!$K$8</c:f>
              <c:strCache>
                <c:ptCount val="1"/>
                <c:pt idx="0">
                  <c:v>Total</c:v>
                </c:pt>
              </c:strCache>
            </c:strRef>
          </c:tx>
          <c:dLbls>
            <c:dLbl>
              <c:idx val="0"/>
              <c:layout>
                <c:manualLayout>
                  <c:x val="0.12912332023807516"/>
                  <c:y val="-1.29719428635776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730-479E-97F5-B56250A8C357}"/>
                </c:ext>
              </c:extLst>
            </c:dLbl>
            <c:dLbl>
              <c:idx val="1"/>
              <c:layout>
                <c:manualLayout>
                  <c:x val="-7.1014264276922562E-2"/>
                  <c:y val="-9.509108391154076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730-479E-97F5-B56250A8C357}"/>
                </c:ext>
              </c:extLst>
            </c:dLbl>
            <c:dLbl>
              <c:idx val="2"/>
              <c:layout>
                <c:manualLayout>
                  <c:x val="0.18952384966868435"/>
                  <c:y val="-3.67083322505478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730-479E-97F5-B56250A8C357}"/>
                </c:ext>
              </c:extLst>
            </c:dLbl>
            <c:dLbl>
              <c:idx val="3"/>
              <c:layout>
                <c:manualLayout>
                  <c:x val="1.8774890826012917E-2"/>
                  <c:y val="5.46170837556196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730-479E-97F5-B56250A8C357}"/>
                </c:ext>
              </c:extLst>
            </c:dLbl>
            <c:dLbl>
              <c:idx val="4"/>
              <c:layout>
                <c:manualLayout>
                  <c:x val="-1.3035121145188757E-3"/>
                  <c:y val="0.4940557677815025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730-479E-97F5-B56250A8C357}"/>
                </c:ext>
              </c:extLst>
            </c:dLbl>
            <c:dLbl>
              <c:idx val="5"/>
              <c:layout>
                <c:manualLayout>
                  <c:x val="-8.3914667251176051E-2"/>
                  <c:y val="-0.1104160494789636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F730-479E-97F5-B56250A8C357}"/>
                </c:ext>
              </c:extLst>
            </c:dLbl>
            <c:dLbl>
              <c:idx val="6"/>
              <c:layout>
                <c:manualLayout>
                  <c:x val="-0.15123202212143183"/>
                  <c:y val="-3.82744731166030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F730-479E-97F5-B56250A8C35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BPDF'!$J$9:$J$15</c:f>
              <c:strCache>
                <c:ptCount val="7"/>
                <c:pt idx="0">
                  <c:v>Net Current Asset</c:v>
                </c:pt>
                <c:pt idx="1">
                  <c:v>TRI Party Repo</c:v>
                </c:pt>
                <c:pt idx="2">
                  <c:v>Certificate of Deposit</c:v>
                </c:pt>
                <c:pt idx="3">
                  <c:v>Corporate Bond</c:v>
                </c:pt>
                <c:pt idx="4">
                  <c:v>Corporate Debt Market Development Fund</c:v>
                </c:pt>
                <c:pt idx="5">
                  <c:v>Government Bond</c:v>
                </c:pt>
                <c:pt idx="6">
                  <c:v>State Government Bond</c:v>
                </c:pt>
              </c:strCache>
            </c:strRef>
          </c:cat>
          <c:val>
            <c:numRef>
              <c:f>'BANDHAN BPDF'!$K$9:$K$15</c:f>
              <c:numCache>
                <c:formatCode>0.00%</c:formatCode>
                <c:ptCount val="7"/>
                <c:pt idx="0">
                  <c:v>2.8063000000000001E-2</c:v>
                </c:pt>
                <c:pt idx="1">
                  <c:v>2.4399999999999999E-3</c:v>
                </c:pt>
                <c:pt idx="2">
                  <c:v>4.7157999999999999E-2</c:v>
                </c:pt>
                <c:pt idx="3">
                  <c:v>0.70425300000000002</c:v>
                </c:pt>
                <c:pt idx="4">
                  <c:v>2.6150000000000001E-3</c:v>
                </c:pt>
                <c:pt idx="5">
                  <c:v>0.215387</c:v>
                </c:pt>
                <c:pt idx="6">
                  <c:v>8.3999999999999995E-5</c:v>
                </c:pt>
              </c:numCache>
            </c:numRef>
          </c:val>
          <c:extLst>
            <c:ext xmlns:c16="http://schemas.microsoft.com/office/drawing/2014/chart" uri="{C3380CC4-5D6E-409C-BE32-E72D297353CC}">
              <c16:uniqueId val="{0000000C-F730-479E-97F5-B56250A8C35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813628622974591"/>
                  <c:y val="-1.99115044247787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88D-432A-AFC9-5279DE18366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CBF'!$G$8</c:f>
              <c:strCache>
                <c:ptCount val="1"/>
                <c:pt idx="0">
                  <c:v>AAA EQUIVALENT</c:v>
                </c:pt>
              </c:strCache>
            </c:strRef>
          </c:cat>
          <c:val>
            <c:numRef>
              <c:f>'BANDHAN CBF'!$H$8</c:f>
              <c:numCache>
                <c:formatCode>0%</c:formatCode>
                <c:ptCount val="1"/>
                <c:pt idx="0">
                  <c:v>1</c:v>
                </c:pt>
              </c:numCache>
            </c:numRef>
          </c:val>
          <c:extLst>
            <c:ext xmlns:c16="http://schemas.microsoft.com/office/drawing/2014/chart" uri="{C3380CC4-5D6E-409C-BE32-E72D297353CC}">
              <c16:uniqueId val="{0000000C-788D-432A-AFC9-5279DE18366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CBF'!$K$8</c:f>
              <c:strCache>
                <c:ptCount val="1"/>
                <c:pt idx="0">
                  <c:v>Total</c:v>
                </c:pt>
              </c:strCache>
            </c:strRef>
          </c:tx>
          <c:dLbls>
            <c:dLbl>
              <c:idx val="0"/>
              <c:layout>
                <c:manualLayout>
                  <c:x val="0.22981554232915746"/>
                  <c:y val="-0.1164626177453009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49E-4BB1-99AE-5143413217DC}"/>
                </c:ext>
              </c:extLst>
            </c:dLbl>
            <c:dLbl>
              <c:idx val="1"/>
              <c:layout>
                <c:manualLayout>
                  <c:x val="2.2493382117385219E-2"/>
                  <c:y val="-1.38029692853278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49E-4BB1-99AE-5143413217DC}"/>
                </c:ext>
              </c:extLst>
            </c:dLbl>
            <c:dLbl>
              <c:idx val="2"/>
              <c:layout>
                <c:manualLayout>
                  <c:x val="0.24089244465426832"/>
                  <c:y val="4.61480864510256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49E-4BB1-99AE-5143413217DC}"/>
                </c:ext>
              </c:extLst>
            </c:dLbl>
            <c:dLbl>
              <c:idx val="3"/>
              <c:layout>
                <c:manualLayout>
                  <c:x val="-0.18351447503751539"/>
                  <c:y val="0.1511556856919602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49E-4BB1-99AE-5143413217DC}"/>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49E-4BB1-99AE-5143413217DC}"/>
                </c:ext>
              </c:extLst>
            </c:dLbl>
            <c:dLbl>
              <c:idx val="5"/>
              <c:layout>
                <c:manualLayout>
                  <c:x val="-5.0796169215464766E-2"/>
                  <c:y val="-2.24831056423290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849E-4BB1-99AE-5143413217DC}"/>
                </c:ext>
              </c:extLst>
            </c:dLbl>
            <c:dLbl>
              <c:idx val="6"/>
              <c:layout>
                <c:manualLayout>
                  <c:x val="-0.18602421217690401"/>
                  <c:y val="-7.50231411913205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849E-4BB1-99AE-5143413217DC}"/>
                </c:ext>
              </c:extLst>
            </c:dLbl>
            <c:dLbl>
              <c:idx val="7"/>
              <c:layout>
                <c:manualLayout>
                  <c:x val="-0.17306218280530777"/>
                  <c:y val="-8.047570389579165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849E-4BB1-99AE-5143413217DC}"/>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849E-4BB1-99AE-5143413217D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CBF'!$J$9:$J$17</c:f>
              <c:strCache>
                <c:ptCount val="9"/>
                <c:pt idx="0">
                  <c:v>Net Current Asset</c:v>
                </c:pt>
                <c:pt idx="1">
                  <c:v>TRI Party Repo</c:v>
                </c:pt>
                <c:pt idx="2">
                  <c:v>Certificate of Deposit</c:v>
                </c:pt>
                <c:pt idx="3">
                  <c:v>Corporate Bond</c:v>
                </c:pt>
                <c:pt idx="4">
                  <c:v>Corporate Debt Market Development Fund</c:v>
                </c:pt>
                <c:pt idx="5">
                  <c:v>Government Bond</c:v>
                </c:pt>
                <c:pt idx="7">
                  <c:v>State Government Bond</c:v>
                </c:pt>
                <c:pt idx="8">
                  <c:v>Zero Coupon Bond</c:v>
                </c:pt>
              </c:strCache>
            </c:strRef>
          </c:cat>
          <c:val>
            <c:numRef>
              <c:f>'BANDHAN CBF'!$K$9:$K$17</c:f>
              <c:numCache>
                <c:formatCode>0.00%</c:formatCode>
                <c:ptCount val="9"/>
                <c:pt idx="0">
                  <c:v>2.1891000000000001E-2</c:v>
                </c:pt>
                <c:pt idx="1">
                  <c:v>8.4620000000000008E-3</c:v>
                </c:pt>
                <c:pt idx="2">
                  <c:v>3.48E-4</c:v>
                </c:pt>
                <c:pt idx="3">
                  <c:v>0.68438300000000019</c:v>
                </c:pt>
                <c:pt idx="4">
                  <c:v>2.8579999999999999E-3</c:v>
                </c:pt>
                <c:pt idx="5">
                  <c:v>0.272227</c:v>
                </c:pt>
                <c:pt idx="7">
                  <c:v>9.0499999999999999E-4</c:v>
                </c:pt>
                <c:pt idx="8">
                  <c:v>8.9259999999999999E-3</c:v>
                </c:pt>
              </c:numCache>
            </c:numRef>
          </c:val>
          <c:extLst>
            <c:ext xmlns:c16="http://schemas.microsoft.com/office/drawing/2014/chart" uri="{C3380CC4-5D6E-409C-BE32-E72D297353CC}">
              <c16:uniqueId val="{0000000C-849E-4BB1-99AE-5143413217D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1366436797113423"/>
                  <c:y val="-0.4017100835963786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96E-47EC-8BC2-2AC59C0315BE}"/>
                </c:ext>
              </c:extLst>
            </c:dLbl>
            <c:dLbl>
              <c:idx val="1"/>
              <c:layout>
                <c:manualLayout>
                  <c:x val="-4.4405570823989613E-3"/>
                  <c:y val="-0.121710777342259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96E-47EC-8BC2-2AC59C0315BE}"/>
                </c:ext>
              </c:extLst>
            </c:dLbl>
            <c:dLbl>
              <c:idx val="2"/>
              <c:layout>
                <c:manualLayout>
                  <c:x val="2.868738302787098E-2"/>
                  <c:y val="-8.24090325713691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96E-47EC-8BC2-2AC59C0315B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CRF'!$G$8:$G$10</c:f>
              <c:strCache>
                <c:ptCount val="3"/>
                <c:pt idx="0">
                  <c:v>AA</c:v>
                </c:pt>
                <c:pt idx="1">
                  <c:v>AAA EQUIVALENT</c:v>
                </c:pt>
                <c:pt idx="2">
                  <c:v>AA+</c:v>
                </c:pt>
              </c:strCache>
            </c:strRef>
          </c:cat>
          <c:val>
            <c:numRef>
              <c:f>'BANDHAN CRF'!$H$8:$H$10</c:f>
              <c:numCache>
                <c:formatCode>0.00%</c:formatCode>
                <c:ptCount val="3"/>
                <c:pt idx="0">
                  <c:v>0.60578500000000002</c:v>
                </c:pt>
                <c:pt idx="1">
                  <c:v>0.293072</c:v>
                </c:pt>
                <c:pt idx="2">
                  <c:v>0.101143</c:v>
                </c:pt>
              </c:numCache>
            </c:numRef>
          </c:val>
          <c:extLst>
            <c:ext xmlns:c16="http://schemas.microsoft.com/office/drawing/2014/chart" uri="{C3380CC4-5D6E-409C-BE32-E72D297353CC}">
              <c16:uniqueId val="{0000000C-396E-47EC-8BC2-2AC59C0315B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B1A-4489-B573-281774AF9292}"/>
                </c:ext>
              </c:extLst>
            </c:dLbl>
            <c:dLbl>
              <c:idx val="1"/>
              <c:layout>
                <c:manualLayout>
                  <c:x val="0.20140518302449881"/>
                  <c:y val="-3.55405847792001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B1A-4489-B573-281774AF9292}"/>
                </c:ext>
              </c:extLst>
            </c:dLbl>
            <c:dLbl>
              <c:idx val="2"/>
              <c:layout>
                <c:manualLayout>
                  <c:x val="-0.14293446188605433"/>
                  <c:y val="0.1044921518289426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B1A-4489-B573-281774AF9292}"/>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B1A-4489-B573-281774AF9292}"/>
                </c:ext>
              </c:extLst>
            </c:dLbl>
            <c:dLbl>
              <c:idx val="4"/>
              <c:layout>
                <c:manualLayout>
                  <c:x val="-3.7382606349795143E-2"/>
                  <c:y val="-0.1869460190561519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B1A-4489-B573-281774AF9292}"/>
                </c:ext>
              </c:extLst>
            </c:dLbl>
            <c:dLbl>
              <c:idx val="5"/>
              <c:layout>
                <c:manualLayout>
                  <c:x val="-5.0909811327117298E-2"/>
                  <c:y val="-3.558572683884973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7B1A-4489-B573-281774AF929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CRF'!$J$9:$J$14</c:f>
              <c:strCache>
                <c:ptCount val="6"/>
                <c:pt idx="0">
                  <c:v>Net Current Asset</c:v>
                </c:pt>
                <c:pt idx="1">
                  <c:v>TRI Party Repo</c:v>
                </c:pt>
                <c:pt idx="2">
                  <c:v>Corporate Bond</c:v>
                </c:pt>
                <c:pt idx="3">
                  <c:v>Corporate Debt Market Development Fund</c:v>
                </c:pt>
                <c:pt idx="4">
                  <c:v>Government Bond</c:v>
                </c:pt>
                <c:pt idx="5">
                  <c:v>PTC</c:v>
                </c:pt>
              </c:strCache>
            </c:strRef>
          </c:cat>
          <c:val>
            <c:numRef>
              <c:f>'BANDHAN CRF'!$K$9:$K$14</c:f>
              <c:numCache>
                <c:formatCode>0.00%</c:formatCode>
                <c:ptCount val="6"/>
                <c:pt idx="0">
                  <c:v>2.8941999999999999E-2</c:v>
                </c:pt>
                <c:pt idx="1">
                  <c:v>1.0533000000000001E-2</c:v>
                </c:pt>
                <c:pt idx="2">
                  <c:v>0.706928</c:v>
                </c:pt>
                <c:pt idx="3">
                  <c:v>4.1830000000000001E-3</c:v>
                </c:pt>
                <c:pt idx="4">
                  <c:v>0.19595000000000001</c:v>
                </c:pt>
                <c:pt idx="5">
                  <c:v>5.3463999999999998E-2</c:v>
                </c:pt>
              </c:numCache>
            </c:numRef>
          </c:val>
          <c:extLst>
            <c:ext xmlns:c16="http://schemas.microsoft.com/office/drawing/2014/chart" uri="{C3380CC4-5D6E-409C-BE32-E72D297353CC}">
              <c16:uniqueId val="{0000000C-7B1A-4489-B573-281774AF929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2725109173987093"/>
                  <c:y val="-0.4592257217847768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7D8-443D-98B0-16EC9C081533}"/>
                </c:ext>
              </c:extLst>
            </c:dLbl>
            <c:dLbl>
              <c:idx val="1"/>
              <c:layout>
                <c:manualLayout>
                  <c:x val="8.806420610699894E-4"/>
                  <c:y val="-0.3669156651471197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7D8-443D-98B0-16EC9C081533}"/>
                </c:ext>
              </c:extLst>
            </c:dLbl>
            <c:dLbl>
              <c:idx val="2"/>
              <c:layout>
                <c:manualLayout>
                  <c:x val="7.0317068235849531E-2"/>
                  <c:y val="-0.1091694294792098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7D8-443D-98B0-16EC9C08153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FRF'!$G$8:$G$10</c:f>
              <c:strCache>
                <c:ptCount val="3"/>
                <c:pt idx="0">
                  <c:v>AAA EQUIVALENT</c:v>
                </c:pt>
                <c:pt idx="1">
                  <c:v>AA+</c:v>
                </c:pt>
                <c:pt idx="2">
                  <c:v>AA</c:v>
                </c:pt>
              </c:strCache>
            </c:strRef>
          </c:cat>
          <c:val>
            <c:numRef>
              <c:f>'BANDHAN FRF'!$H$8:$H$10</c:f>
              <c:numCache>
                <c:formatCode>0.00%</c:formatCode>
                <c:ptCount val="3"/>
                <c:pt idx="0">
                  <c:v>0.61136400000000002</c:v>
                </c:pt>
                <c:pt idx="1">
                  <c:v>0.19462199999999999</c:v>
                </c:pt>
                <c:pt idx="2">
                  <c:v>0.19401399999999999</c:v>
                </c:pt>
              </c:numCache>
            </c:numRef>
          </c:val>
          <c:extLst>
            <c:ext xmlns:c16="http://schemas.microsoft.com/office/drawing/2014/chart" uri="{C3380CC4-5D6E-409C-BE32-E72D297353CC}">
              <c16:uniqueId val="{0000000C-E7D8-443D-98B0-16EC9C08153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4FC-4864-BEEC-9D7326B28F4B}"/>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4FC-4864-BEEC-9D7326B28F4B}"/>
                </c:ext>
              </c:extLst>
            </c:dLbl>
            <c:dLbl>
              <c:idx val="2"/>
              <c:layout>
                <c:manualLayout>
                  <c:x val="0.17082736178320324"/>
                  <c:y val="8.834370594505381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4FC-4864-BEEC-9D7326B28F4B}"/>
                </c:ext>
              </c:extLst>
            </c:dLbl>
            <c:dLbl>
              <c:idx val="3"/>
              <c:layout>
                <c:manualLayout>
                  <c:x val="-0.11124466775700147"/>
                  <c:y val="0.1882959117009937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4FC-4864-BEEC-9D7326B28F4B}"/>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04FC-4864-BEEC-9D7326B28F4B}"/>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04FC-4864-BEEC-9D7326B28F4B}"/>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04FC-4864-BEEC-9D7326B28F4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FRF'!$J$9:$J$15</c:f>
              <c:strCache>
                <c:ptCount val="6"/>
                <c:pt idx="0">
                  <c:v>Net Current Asset</c:v>
                </c:pt>
                <c:pt idx="1">
                  <c:v>TRI Party Repo</c:v>
                </c:pt>
                <c:pt idx="2">
                  <c:v>Certificate of Deposit</c:v>
                </c:pt>
                <c:pt idx="3">
                  <c:v>Corporate Bond</c:v>
                </c:pt>
                <c:pt idx="4">
                  <c:v>Corporate Debt Market Development Fund</c:v>
                </c:pt>
                <c:pt idx="5">
                  <c:v>Government Bond</c:v>
                </c:pt>
              </c:strCache>
            </c:strRef>
          </c:cat>
          <c:val>
            <c:numRef>
              <c:f>'BANDHAN FRF'!$K$9:$K$15</c:f>
              <c:numCache>
                <c:formatCode>0.00%</c:formatCode>
                <c:ptCount val="7"/>
                <c:pt idx="0">
                  <c:v>2.7414999999999998E-2</c:v>
                </c:pt>
                <c:pt idx="1">
                  <c:v>1.051E-2</c:v>
                </c:pt>
                <c:pt idx="2">
                  <c:v>4.6561999999999999E-2</c:v>
                </c:pt>
                <c:pt idx="3">
                  <c:v>0.55393000000000003</c:v>
                </c:pt>
                <c:pt idx="4">
                  <c:v>4.3569999999999998E-3</c:v>
                </c:pt>
                <c:pt idx="5">
                  <c:v>0.35723100000000002</c:v>
                </c:pt>
              </c:numCache>
            </c:numRef>
          </c:val>
          <c:extLst>
            <c:ext xmlns:c16="http://schemas.microsoft.com/office/drawing/2014/chart" uri="{C3380CC4-5D6E-409C-BE32-E72D297353CC}">
              <c16:uniqueId val="{0000000C-04FC-4864-BEEC-9D7326B28F4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348960528756175"/>
                  <c:y val="-5.81140350877192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25A-43DE-8732-20D13240AB2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Long Dur'!$G$8</c:f>
              <c:strCache>
                <c:ptCount val="1"/>
                <c:pt idx="0">
                  <c:v>AAA EQUIVALENT</c:v>
                </c:pt>
              </c:strCache>
            </c:strRef>
          </c:cat>
          <c:val>
            <c:numRef>
              <c:f>'BANDHAN Long Dur'!$H$8</c:f>
              <c:numCache>
                <c:formatCode>0%</c:formatCode>
                <c:ptCount val="1"/>
                <c:pt idx="0">
                  <c:v>1</c:v>
                </c:pt>
              </c:numCache>
            </c:numRef>
          </c:val>
          <c:extLst>
            <c:ext xmlns:c16="http://schemas.microsoft.com/office/drawing/2014/chart" uri="{C3380CC4-5D6E-409C-BE32-E72D297353CC}">
              <c16:uniqueId val="{0000000C-725A-43DE-8732-20D13240AB2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Long Dur'!$K$8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77F-45CA-AFCA-6DD5969293F2}"/>
                </c:ext>
              </c:extLst>
            </c:dLbl>
            <c:dLbl>
              <c:idx val="1"/>
              <c:layout>
                <c:manualLayout>
                  <c:x val="0.10080308216290942"/>
                  <c:y val="-4.19002624671915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77F-45CA-AFCA-6DD5969293F2}"/>
                </c:ext>
              </c:extLst>
            </c:dLbl>
            <c:dLbl>
              <c:idx val="2"/>
              <c:layout>
                <c:manualLayout>
                  <c:x val="-0.18113507224873121"/>
                  <c:y val="-1.84752405949256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77F-45CA-AFCA-6DD5969293F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Long Dur'!$J$9:$J$11</c:f>
              <c:strCache>
                <c:ptCount val="3"/>
                <c:pt idx="0">
                  <c:v>Net Current Asset</c:v>
                </c:pt>
                <c:pt idx="1">
                  <c:v>TRI Party Repo</c:v>
                </c:pt>
                <c:pt idx="2">
                  <c:v>Government Bond</c:v>
                </c:pt>
              </c:strCache>
            </c:strRef>
          </c:cat>
          <c:val>
            <c:numRef>
              <c:f>'BANDHAN Long Dur'!$K$9:$K$11</c:f>
              <c:numCache>
                <c:formatCode>0.00%</c:formatCode>
                <c:ptCount val="3"/>
                <c:pt idx="0">
                  <c:v>2.3636000000000001E-2</c:v>
                </c:pt>
                <c:pt idx="1">
                  <c:v>5.1447E-2</c:v>
                </c:pt>
                <c:pt idx="2">
                  <c:v>0.92491699999999999</c:v>
                </c:pt>
              </c:numCache>
            </c:numRef>
          </c:val>
          <c:extLst>
            <c:ext xmlns:c16="http://schemas.microsoft.com/office/drawing/2014/chart" uri="{C3380CC4-5D6E-409C-BE32-E72D297353CC}">
              <c16:uniqueId val="{0000000C-E77F-45CA-AFCA-6DD5969293F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123-4D92-9D13-A4C2990C167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GSF-IP'!$G$8</c:f>
              <c:strCache>
                <c:ptCount val="1"/>
                <c:pt idx="0">
                  <c:v>AAA EQUIVALENT</c:v>
                </c:pt>
              </c:strCache>
            </c:strRef>
          </c:cat>
          <c:val>
            <c:numRef>
              <c:f>'BANDHAN GSF-IP'!$H$8</c:f>
              <c:numCache>
                <c:formatCode>0%</c:formatCode>
                <c:ptCount val="1"/>
                <c:pt idx="0">
                  <c:v>1</c:v>
                </c:pt>
              </c:numCache>
            </c:numRef>
          </c:val>
          <c:extLst>
            <c:ext xmlns:c16="http://schemas.microsoft.com/office/drawing/2014/chart" uri="{C3380CC4-5D6E-409C-BE32-E72D297353CC}">
              <c16:uniqueId val="{0000000C-C123-4D92-9D13-A4C2990C167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6CE-42A3-A260-7FBEB6D85710}"/>
                </c:ext>
              </c:extLst>
            </c:dLbl>
            <c:dLbl>
              <c:idx val="1"/>
              <c:layout>
                <c:manualLayout>
                  <c:x val="0.14359034885093325"/>
                  <c:y val="-1.19135608048993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6CE-42A3-A260-7FBEB6D85710}"/>
                </c:ext>
              </c:extLst>
            </c:dLbl>
            <c:dLbl>
              <c:idx val="2"/>
              <c:layout>
                <c:manualLayout>
                  <c:x val="-0.21092009644404727"/>
                  <c:y val="-4.693018372703412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6CE-42A3-A260-7FBEB6D8571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GSF-IP'!$J$9:$J$11</c:f>
              <c:strCache>
                <c:ptCount val="3"/>
                <c:pt idx="0">
                  <c:v>Net Current Asset</c:v>
                </c:pt>
                <c:pt idx="1">
                  <c:v>TRI Party Repo</c:v>
                </c:pt>
                <c:pt idx="2">
                  <c:v>Government Bond</c:v>
                </c:pt>
              </c:strCache>
            </c:strRef>
          </c:cat>
          <c:val>
            <c:numRef>
              <c:f>'BANDHAN GSF-IP'!$K$9:$K$11</c:f>
              <c:numCache>
                <c:formatCode>0.00%</c:formatCode>
                <c:ptCount val="3"/>
                <c:pt idx="0">
                  <c:v>2.9096E-2</c:v>
                </c:pt>
                <c:pt idx="1">
                  <c:v>3.091E-3</c:v>
                </c:pt>
                <c:pt idx="2">
                  <c:v>0.96781300000000003</c:v>
                </c:pt>
              </c:numCache>
            </c:numRef>
          </c:val>
          <c:extLst>
            <c:ext xmlns:c16="http://schemas.microsoft.com/office/drawing/2014/chart" uri="{C3380CC4-5D6E-409C-BE32-E72D297353CC}">
              <c16:uniqueId val="{0000000C-B6CE-42A3-A260-7FBEB6D8571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4.4956140350877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B67-4EF5-95F4-731474C6472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CMP'!$G$8</c:f>
              <c:strCache>
                <c:ptCount val="1"/>
                <c:pt idx="0">
                  <c:v>AAA EQUIVALENT</c:v>
                </c:pt>
              </c:strCache>
            </c:strRef>
          </c:cat>
          <c:val>
            <c:numRef>
              <c:f>'BANDHAN GSF - CMP'!$H$8</c:f>
              <c:numCache>
                <c:formatCode>0%</c:formatCode>
                <c:ptCount val="1"/>
                <c:pt idx="0">
                  <c:v>1</c:v>
                </c:pt>
              </c:numCache>
            </c:numRef>
          </c:val>
          <c:extLst>
            <c:ext xmlns:c16="http://schemas.microsoft.com/office/drawing/2014/chart" uri="{C3380CC4-5D6E-409C-BE32-E72D297353CC}">
              <c16:uniqueId val="{0000000C-0B67-4EF5-95F4-731474C6472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9CD-4E7F-9FC3-A673E85C8FAC}"/>
                </c:ext>
              </c:extLst>
            </c:dLbl>
            <c:dLbl>
              <c:idx val="1"/>
              <c:layout>
                <c:manualLayout>
                  <c:x val="0.12915931814733"/>
                  <c:y val="-3.636395450568678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9CD-4E7F-9FC3-A673E85C8FAC}"/>
                </c:ext>
              </c:extLst>
            </c:dLbl>
            <c:dLbl>
              <c:idx val="2"/>
              <c:layout>
                <c:manualLayout>
                  <c:x val="-0.16756815997572039"/>
                  <c:y val="-7.359685039370078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9CD-4E7F-9FC3-A673E85C8FA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CMP'!$J$9:$J$11</c:f>
              <c:strCache>
                <c:ptCount val="3"/>
                <c:pt idx="0">
                  <c:v>Net Current Asset</c:v>
                </c:pt>
                <c:pt idx="1">
                  <c:v>TRI Party Repo</c:v>
                </c:pt>
                <c:pt idx="2">
                  <c:v>Government Bond</c:v>
                </c:pt>
              </c:strCache>
            </c:strRef>
          </c:cat>
          <c:val>
            <c:numRef>
              <c:f>'BANDHAN GSF - CMP'!$K$9:$K$11</c:f>
              <c:numCache>
                <c:formatCode>0.00%</c:formatCode>
                <c:ptCount val="3"/>
                <c:pt idx="0">
                  <c:v>2.2742999999999999E-2</c:v>
                </c:pt>
                <c:pt idx="1">
                  <c:v>1.355E-2</c:v>
                </c:pt>
                <c:pt idx="2">
                  <c:v>0.96370699999999998</c:v>
                </c:pt>
              </c:numCache>
            </c:numRef>
          </c:val>
          <c:extLst>
            <c:ext xmlns:c16="http://schemas.microsoft.com/office/drawing/2014/chart" uri="{C3380CC4-5D6E-409C-BE32-E72D297353CC}">
              <c16:uniqueId val="{0000000C-49CD-4E7F-9FC3-A673E85C8FA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7087035694414"/>
                  <c:y val="-9.868421052631578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1A1-4D4A-83C6-6A9AACCF715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GIF26'!$G$8</c:f>
              <c:strCache>
                <c:ptCount val="1"/>
                <c:pt idx="0">
                  <c:v>AAA EQUIVALENT</c:v>
                </c:pt>
              </c:strCache>
            </c:strRef>
          </c:cat>
          <c:val>
            <c:numRef>
              <c:f>'BANDHAN GIF26'!$H$8</c:f>
              <c:numCache>
                <c:formatCode>0%</c:formatCode>
                <c:ptCount val="1"/>
                <c:pt idx="0">
                  <c:v>1</c:v>
                </c:pt>
              </c:numCache>
            </c:numRef>
          </c:val>
          <c:extLst>
            <c:ext xmlns:c16="http://schemas.microsoft.com/office/drawing/2014/chart" uri="{C3380CC4-5D6E-409C-BE32-E72D297353CC}">
              <c16:uniqueId val="{0000000C-81A1-4D4A-83C6-6A9AACCF715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35D-4270-AF74-7E8620702F6B}"/>
                </c:ext>
              </c:extLst>
            </c:dLbl>
            <c:dLbl>
              <c:idx val="1"/>
              <c:layout>
                <c:manualLayout>
                  <c:x val="0.12615404070208561"/>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35D-4270-AF74-7E8620702F6B}"/>
                </c:ext>
              </c:extLst>
            </c:dLbl>
            <c:dLbl>
              <c:idx val="2"/>
              <c:layout>
                <c:manualLayout>
                  <c:x val="-0.27485938053246556"/>
                  <c:y val="-4.35968503937007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35D-4270-AF74-7E8620702F6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GIF26'!$J$9:$J$11</c:f>
              <c:strCache>
                <c:ptCount val="3"/>
                <c:pt idx="0">
                  <c:v>Net Current Asset</c:v>
                </c:pt>
                <c:pt idx="1">
                  <c:v>TRI Party Repo</c:v>
                </c:pt>
                <c:pt idx="2">
                  <c:v>Government Bond</c:v>
                </c:pt>
              </c:strCache>
            </c:strRef>
          </c:cat>
          <c:val>
            <c:numRef>
              <c:f>'BANDHAN GIF26'!$K$9:$K$11</c:f>
              <c:numCache>
                <c:formatCode>0.00%</c:formatCode>
                <c:ptCount val="3"/>
                <c:pt idx="0">
                  <c:v>1.1469E-2</c:v>
                </c:pt>
                <c:pt idx="1">
                  <c:v>4.8300000000000001E-3</c:v>
                </c:pt>
                <c:pt idx="2">
                  <c:v>0.98370100000000005</c:v>
                </c:pt>
              </c:numCache>
            </c:numRef>
          </c:val>
          <c:extLst>
            <c:ext xmlns:c16="http://schemas.microsoft.com/office/drawing/2014/chart" uri="{C3380CC4-5D6E-409C-BE32-E72D297353CC}">
              <c16:uniqueId val="{0000000C-135D-4270-AF74-7E8620702F6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96F-492B-9CE5-D71DEF6A5D8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'BANDHAN-GIF2027'!$G$8</c:f>
              <c:strCache>
                <c:ptCount val="1"/>
                <c:pt idx="0">
                  <c:v>AAA EQUIVALENT</c:v>
                </c:pt>
              </c:strCache>
            </c:strRef>
          </c:cat>
          <c:val>
            <c:numRef>
              <c:f>'BANDHAN-GIF2027'!$H$8</c:f>
              <c:numCache>
                <c:formatCode>0%</c:formatCode>
                <c:ptCount val="1"/>
                <c:pt idx="0">
                  <c:v>1</c:v>
                </c:pt>
              </c:numCache>
            </c:numRef>
          </c:val>
          <c:extLst>
            <c:ext xmlns:c16="http://schemas.microsoft.com/office/drawing/2014/chart" uri="{C3380CC4-5D6E-409C-BE32-E72D297353CC}">
              <c16:uniqueId val="{0000000C-E96F-492B-9CE5-D71DEF6A5D8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130-41C6-9553-CB7A104047C9}"/>
                </c:ext>
              </c:extLst>
            </c:dLbl>
            <c:dLbl>
              <c:idx val="1"/>
              <c:layout>
                <c:manualLayout>
                  <c:x val="0.15271392200171979"/>
                  <c:y val="8.0804899387576555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130-41C6-9553-CB7A104047C9}"/>
                </c:ext>
              </c:extLst>
            </c:dLbl>
            <c:dLbl>
              <c:idx val="2"/>
              <c:layout>
                <c:manualLayout>
                  <c:x val="-0.23260103862820145"/>
                  <c:y val="-3.35968503937007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130-41C6-9553-CB7A104047C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'BANDHAN-GIF2027'!$J$9:$J$11</c:f>
              <c:strCache>
                <c:ptCount val="3"/>
                <c:pt idx="0">
                  <c:v>Net Current Asset</c:v>
                </c:pt>
                <c:pt idx="1">
                  <c:v>TRI Party Repo</c:v>
                </c:pt>
                <c:pt idx="2">
                  <c:v>Government Bond</c:v>
                </c:pt>
              </c:strCache>
            </c:strRef>
          </c:cat>
          <c:val>
            <c:numRef>
              <c:f>'BANDHAN-GIF2027'!$K$9:$K$11</c:f>
              <c:numCache>
                <c:formatCode>0.00%</c:formatCode>
                <c:ptCount val="3"/>
                <c:pt idx="0">
                  <c:v>2.7685000000000001E-2</c:v>
                </c:pt>
                <c:pt idx="1">
                  <c:v>5.4010000000000004E-3</c:v>
                </c:pt>
                <c:pt idx="2">
                  <c:v>0.96691400000000005</c:v>
                </c:pt>
              </c:numCache>
            </c:numRef>
          </c:val>
          <c:extLst>
            <c:ext xmlns:c16="http://schemas.microsoft.com/office/drawing/2014/chart" uri="{C3380CC4-5D6E-409C-BE32-E72D297353CC}">
              <c16:uniqueId val="{0000000C-7130-41C6-9553-CB7A104047C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565234618691936"/>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6A1-40CF-88FA-576F38B7D62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GIF2028'!$G$8</c:f>
              <c:strCache>
                <c:ptCount val="1"/>
                <c:pt idx="0">
                  <c:v>AAA EQUIVALENT</c:v>
                </c:pt>
              </c:strCache>
            </c:strRef>
          </c:cat>
          <c:val>
            <c:numRef>
              <c:f>'BANDHAN GIF2028'!$H$8</c:f>
              <c:numCache>
                <c:formatCode>0%</c:formatCode>
                <c:ptCount val="1"/>
                <c:pt idx="0">
                  <c:v>1</c:v>
                </c:pt>
              </c:numCache>
            </c:numRef>
          </c:val>
          <c:extLst>
            <c:ext xmlns:c16="http://schemas.microsoft.com/office/drawing/2014/chart" uri="{C3380CC4-5D6E-409C-BE32-E72D297353CC}">
              <c16:uniqueId val="{0000000C-76A1-40CF-88FA-576F38B7D62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A50-4C26-97D1-7D8467192F3D}"/>
                </c:ext>
              </c:extLst>
            </c:dLbl>
            <c:dLbl>
              <c:idx val="1"/>
              <c:layout>
                <c:manualLayout>
                  <c:x val="0.15697221332344163"/>
                  <c:y val="8.0804899387576555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A50-4C26-97D1-7D8467192F3D}"/>
                </c:ext>
              </c:extLst>
            </c:dLbl>
            <c:dLbl>
              <c:idx val="2"/>
              <c:layout>
                <c:manualLayout>
                  <c:x val="-0.26372919792948796"/>
                  <c:y val="-8.248573928258967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A50-4C26-97D1-7D8467192F3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GIF2028'!$J$9:$J$11</c:f>
              <c:strCache>
                <c:ptCount val="3"/>
                <c:pt idx="0">
                  <c:v>Net Current Asset</c:v>
                </c:pt>
                <c:pt idx="1">
                  <c:v>TRI Party Repo</c:v>
                </c:pt>
                <c:pt idx="2">
                  <c:v>Government Bond</c:v>
                </c:pt>
              </c:strCache>
            </c:strRef>
          </c:cat>
          <c:val>
            <c:numRef>
              <c:f>'BANDHAN GIF2028'!$K$9:$K$11</c:f>
              <c:numCache>
                <c:formatCode>0.00%</c:formatCode>
                <c:ptCount val="3"/>
                <c:pt idx="0">
                  <c:v>2.4160999999999998E-2</c:v>
                </c:pt>
                <c:pt idx="1">
                  <c:v>6.0520000000000001E-3</c:v>
                </c:pt>
                <c:pt idx="2">
                  <c:v>0.96978699999999995</c:v>
                </c:pt>
              </c:numCache>
            </c:numRef>
          </c:val>
          <c:extLst>
            <c:ext xmlns:c16="http://schemas.microsoft.com/office/drawing/2014/chart" uri="{C3380CC4-5D6E-409C-BE32-E72D297353CC}">
              <c16:uniqueId val="{0000000C-6A50-4C26-97D1-7D8467192F3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DFE-468F-A86D-D3270539081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GIF32'!$G$8</c:f>
              <c:strCache>
                <c:ptCount val="1"/>
                <c:pt idx="0">
                  <c:v>AAA EQUIVALENT</c:v>
                </c:pt>
              </c:strCache>
            </c:strRef>
          </c:cat>
          <c:val>
            <c:numRef>
              <c:f>'BANDHAN GIF32'!$H$8</c:f>
              <c:numCache>
                <c:formatCode>0%</c:formatCode>
                <c:ptCount val="1"/>
                <c:pt idx="0">
                  <c:v>1</c:v>
                </c:pt>
              </c:numCache>
            </c:numRef>
          </c:val>
          <c:extLst>
            <c:ext xmlns:c16="http://schemas.microsoft.com/office/drawing/2014/chart" uri="{C3380CC4-5D6E-409C-BE32-E72D297353CC}">
              <c16:uniqueId val="{0000000C-4DFE-468F-A86D-D3270539081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725-46FE-83B2-7622631A15D6}"/>
                </c:ext>
              </c:extLst>
            </c:dLbl>
            <c:dLbl>
              <c:idx val="1"/>
              <c:layout>
                <c:manualLayout>
                  <c:x val="0.19308435481967323"/>
                  <c:y val="-2.18162729658792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725-46FE-83B2-7622631A15D6}"/>
                </c:ext>
              </c:extLst>
            </c:dLbl>
            <c:dLbl>
              <c:idx val="2"/>
              <c:layout>
                <c:manualLayout>
                  <c:x val="-0.27978915510293545"/>
                  <c:y val="-6.91524059492563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725-46FE-83B2-7622631A15D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GIF32'!$J$9:$J$11</c:f>
              <c:strCache>
                <c:ptCount val="3"/>
                <c:pt idx="0">
                  <c:v>Net Current Asset</c:v>
                </c:pt>
                <c:pt idx="1">
                  <c:v>TRI Party Repo</c:v>
                </c:pt>
                <c:pt idx="2">
                  <c:v>Government Bond</c:v>
                </c:pt>
              </c:strCache>
            </c:strRef>
          </c:cat>
          <c:val>
            <c:numRef>
              <c:f>'BANDHAN GIF32'!$K$9:$K$11</c:f>
              <c:numCache>
                <c:formatCode>0.00%</c:formatCode>
                <c:ptCount val="3"/>
                <c:pt idx="0">
                  <c:v>2.4118000000000001E-2</c:v>
                </c:pt>
                <c:pt idx="1">
                  <c:v>6.8570000000000002E-3</c:v>
                </c:pt>
                <c:pt idx="2">
                  <c:v>0.96902500000000003</c:v>
                </c:pt>
              </c:numCache>
            </c:numRef>
          </c:val>
          <c:extLst>
            <c:ext xmlns:c16="http://schemas.microsoft.com/office/drawing/2014/chart" uri="{C3380CC4-5D6E-409C-BE32-E72D297353CC}">
              <c16:uniqueId val="{0000000C-2725-46FE-83B2-7622631A15D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1.85589519650655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BEE-45A4-B646-EDA2B750F06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SDLGIF26'!$G$8</c:f>
              <c:strCache>
                <c:ptCount val="1"/>
                <c:pt idx="0">
                  <c:v>AAA EQUIVALENT</c:v>
                </c:pt>
              </c:strCache>
            </c:strRef>
          </c:cat>
          <c:val>
            <c:numRef>
              <c:f>'BANDHAN SDLGIF26'!$H$8</c:f>
              <c:numCache>
                <c:formatCode>0%</c:formatCode>
                <c:ptCount val="1"/>
                <c:pt idx="0">
                  <c:v>1</c:v>
                </c:pt>
              </c:numCache>
            </c:numRef>
          </c:val>
          <c:extLst>
            <c:ext xmlns:c16="http://schemas.microsoft.com/office/drawing/2014/chart" uri="{C3380CC4-5D6E-409C-BE32-E72D297353CC}">
              <c16:uniqueId val="{0000000C-EBEE-45A4-B646-EDA2B750F06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SDLGIF26'!$K$8</c:f>
              <c:strCache>
                <c:ptCount val="1"/>
                <c:pt idx="0">
                  <c:v>Total</c:v>
                </c:pt>
              </c:strCache>
            </c:strRef>
          </c:tx>
          <c:dLbls>
            <c:dLbl>
              <c:idx val="0"/>
              <c:layout>
                <c:manualLayout>
                  <c:x val="-0.16302829250198111"/>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4C0-45F3-9461-EB0C664FA733}"/>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4C0-45F3-9461-EB0C664FA733}"/>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4C0-45F3-9461-EB0C664FA733}"/>
                </c:ext>
              </c:extLst>
            </c:dLbl>
            <c:dLbl>
              <c:idx val="3"/>
              <c:layout>
                <c:manualLayout>
                  <c:x val="-5.4064307272083494E-3"/>
                  <c:y val="7.69851268591426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4C0-45F3-9461-EB0C664FA73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SDLGIF26'!$J$9:$J$12</c:f>
              <c:strCache>
                <c:ptCount val="4"/>
                <c:pt idx="0">
                  <c:v>Net Current Asset</c:v>
                </c:pt>
                <c:pt idx="1">
                  <c:v>TRI Party Repo</c:v>
                </c:pt>
                <c:pt idx="2">
                  <c:v>Government Bond</c:v>
                </c:pt>
                <c:pt idx="3">
                  <c:v>State Government Bond</c:v>
                </c:pt>
              </c:strCache>
            </c:strRef>
          </c:cat>
          <c:val>
            <c:numRef>
              <c:f>'BANDHAN SDLGIF26'!$K$9:$K$12</c:f>
              <c:numCache>
                <c:formatCode>0.00%</c:formatCode>
                <c:ptCount val="4"/>
                <c:pt idx="0">
                  <c:v>1.1143999999999999E-2</c:v>
                </c:pt>
                <c:pt idx="1">
                  <c:v>3.2524999999999998E-2</c:v>
                </c:pt>
                <c:pt idx="2">
                  <c:v>0.127223</c:v>
                </c:pt>
                <c:pt idx="3">
                  <c:v>0.82910799999999996</c:v>
                </c:pt>
              </c:numCache>
            </c:numRef>
          </c:val>
          <c:extLst>
            <c:ext xmlns:c16="http://schemas.microsoft.com/office/drawing/2014/chart" uri="{C3380CC4-5D6E-409C-BE32-E72D297353CC}">
              <c16:uniqueId val="{0000000C-84C0-45F3-9461-EB0C664FA73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494570807128764"/>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6655-43B6-904B-2D43475FC8B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SDLGIF27'!$G$8</c:f>
              <c:strCache>
                <c:ptCount val="1"/>
                <c:pt idx="0">
                  <c:v>AAA EQUIVALENT</c:v>
                </c:pt>
              </c:strCache>
            </c:strRef>
          </c:cat>
          <c:val>
            <c:numRef>
              <c:f>'BANDHAN SDLGIF27'!$H$8</c:f>
              <c:numCache>
                <c:formatCode>0%</c:formatCode>
                <c:ptCount val="1"/>
                <c:pt idx="0">
                  <c:v>1</c:v>
                </c:pt>
              </c:numCache>
            </c:numRef>
          </c:val>
          <c:extLst>
            <c:ext xmlns:c16="http://schemas.microsoft.com/office/drawing/2014/chart" uri="{C3380CC4-5D6E-409C-BE32-E72D297353CC}">
              <c16:uniqueId val="{00000001-6655-43B6-904B-2D43475FC8B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C602-4114-BE21-77C7A21C6841}"/>
                </c:ext>
              </c:extLst>
            </c:dLbl>
            <c:dLbl>
              <c:idx val="1"/>
              <c:layout>
                <c:manualLayout>
                  <c:x val="6.0030012308418618E-2"/>
                  <c:y val="-3.4747506561679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C602-4114-BE21-77C7A21C6841}"/>
                </c:ext>
              </c:extLst>
            </c:dLbl>
            <c:dLbl>
              <c:idx val="2"/>
              <c:layout>
                <c:manualLayout>
                  <c:x val="9.2663002242492701E-2"/>
                  <c:y val="-0.1415296587926509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C602-4114-BE21-77C7A21C6841}"/>
                </c:ext>
              </c:extLst>
            </c:dLbl>
            <c:dLbl>
              <c:idx val="3"/>
              <c:layout>
                <c:manualLayout>
                  <c:x val="2.2529464330877269E-2"/>
                  <c:y val="7.09294838145231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3-C602-4114-BE21-77C7A21C684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SDLGIF27'!$J$9:$J$12</c:f>
              <c:strCache>
                <c:ptCount val="4"/>
                <c:pt idx="0">
                  <c:v>Net Current Asset</c:v>
                </c:pt>
                <c:pt idx="1">
                  <c:v>TRI Party Repo</c:v>
                </c:pt>
                <c:pt idx="2">
                  <c:v>Government Bond</c:v>
                </c:pt>
                <c:pt idx="3">
                  <c:v>State Government Bond</c:v>
                </c:pt>
              </c:strCache>
            </c:strRef>
          </c:cat>
          <c:val>
            <c:numRef>
              <c:f>'BANDHAN SDLGIF27'!$K$9:$K$12</c:f>
              <c:numCache>
                <c:formatCode>0.00%</c:formatCode>
                <c:ptCount val="4"/>
                <c:pt idx="0">
                  <c:v>2.2699E-2</c:v>
                </c:pt>
                <c:pt idx="1">
                  <c:v>5.6290000000000003E-3</c:v>
                </c:pt>
                <c:pt idx="2">
                  <c:v>0.18160200000000001</c:v>
                </c:pt>
                <c:pt idx="3">
                  <c:v>0.79006999999999994</c:v>
                </c:pt>
              </c:numCache>
            </c:numRef>
          </c:val>
          <c:extLst>
            <c:ext xmlns:c16="http://schemas.microsoft.com/office/drawing/2014/chart" uri="{C3380CC4-5D6E-409C-BE32-E72D297353CC}">
              <c16:uniqueId val="{00000004-C602-4114-BE21-77C7A21C684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1.091703056768558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6EC-4287-BD93-FBFB9822980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SDLGIF32'!$G$8</c:f>
              <c:strCache>
                <c:ptCount val="1"/>
                <c:pt idx="0">
                  <c:v>AAA EQUIVALENT</c:v>
                </c:pt>
              </c:strCache>
            </c:strRef>
          </c:cat>
          <c:val>
            <c:numRef>
              <c:f>'BANDHAN SDLGIF32'!$H$8</c:f>
              <c:numCache>
                <c:formatCode>0%</c:formatCode>
                <c:ptCount val="1"/>
                <c:pt idx="0">
                  <c:v>1</c:v>
                </c:pt>
              </c:numCache>
            </c:numRef>
          </c:val>
          <c:extLst>
            <c:ext xmlns:c16="http://schemas.microsoft.com/office/drawing/2014/chart" uri="{C3380CC4-5D6E-409C-BE32-E72D297353CC}">
              <c16:uniqueId val="{0000000C-86EC-4287-BD93-FBFB9822980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SDLGIF32'!$K$8</c:f>
              <c:strCache>
                <c:ptCount val="1"/>
                <c:pt idx="0">
                  <c:v>Total</c:v>
                </c:pt>
              </c:strCache>
            </c:strRef>
          </c:tx>
          <c:dLbls>
            <c:dLbl>
              <c:idx val="0"/>
              <c:layout>
                <c:manualLayout>
                  <c:x val="-0.27772184660001009"/>
                  <c:y val="-1.93669291338582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96B-4EFA-A681-EE7461796B07}"/>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96B-4EFA-A681-EE7461796B07}"/>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96B-4EFA-A681-EE7461796B07}"/>
                </c:ext>
              </c:extLst>
            </c:dLbl>
            <c:dLbl>
              <c:idx val="3"/>
              <c:layout>
                <c:manualLayout>
                  <c:x val="5.6722335564585474E-2"/>
                  <c:y val="3.40122484689413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96B-4EFA-A681-EE7461796B0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SDLGIF32'!$J$9:$J$12</c:f>
              <c:strCache>
                <c:ptCount val="4"/>
                <c:pt idx="0">
                  <c:v>Net Current Asset</c:v>
                </c:pt>
                <c:pt idx="1">
                  <c:v>TRI Party Repo</c:v>
                </c:pt>
                <c:pt idx="2">
                  <c:v>Government Bond</c:v>
                </c:pt>
                <c:pt idx="3">
                  <c:v>State Government Bond</c:v>
                </c:pt>
              </c:strCache>
            </c:strRef>
          </c:cat>
          <c:val>
            <c:numRef>
              <c:f>'BANDHAN SDLGIF32'!$K$9:$K$12</c:f>
              <c:numCache>
                <c:formatCode>0.00%</c:formatCode>
                <c:ptCount val="4"/>
                <c:pt idx="0">
                  <c:v>1.6587000000000001E-2</c:v>
                </c:pt>
                <c:pt idx="1">
                  <c:v>2.813E-3</c:v>
                </c:pt>
                <c:pt idx="2">
                  <c:v>0.13391400000000001</c:v>
                </c:pt>
                <c:pt idx="3">
                  <c:v>0.84668600000000005</c:v>
                </c:pt>
              </c:numCache>
            </c:numRef>
          </c:val>
          <c:extLst>
            <c:ext xmlns:c16="http://schemas.microsoft.com/office/drawing/2014/chart" uri="{C3380CC4-5D6E-409C-BE32-E72D297353CC}">
              <c16:uniqueId val="{0000000C-D96B-4EFA-A681-EE7461796B0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3F0-47CA-B373-597ADD1B8B5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ASBF'!$G$8</c:f>
              <c:strCache>
                <c:ptCount val="1"/>
                <c:pt idx="0">
                  <c:v>AAA EQUIVALENT</c:v>
                </c:pt>
              </c:strCache>
            </c:strRef>
          </c:cat>
          <c:val>
            <c:numRef>
              <c:f>'BANDHAN ASBF'!$H$8</c:f>
              <c:numCache>
                <c:formatCode>0%</c:formatCode>
                <c:ptCount val="1"/>
                <c:pt idx="0">
                  <c:v>1</c:v>
                </c:pt>
              </c:numCache>
            </c:numRef>
          </c:val>
          <c:extLst>
            <c:ext xmlns:c16="http://schemas.microsoft.com/office/drawing/2014/chart" uri="{C3380CC4-5D6E-409C-BE32-E72D297353CC}">
              <c16:uniqueId val="{0000000C-C3F0-47CA-B373-597ADD1B8B5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D8D-4A62-96AD-D11F5A244036}"/>
                </c:ext>
              </c:extLst>
            </c:dLbl>
            <c:dLbl>
              <c:idx val="1"/>
              <c:layout>
                <c:manualLayout>
                  <c:x val="0.16790562983695553"/>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D8D-4A62-96AD-D11F5A244036}"/>
                </c:ext>
              </c:extLst>
            </c:dLbl>
            <c:dLbl>
              <c:idx val="2"/>
              <c:layout>
                <c:manualLayout>
                  <c:x val="-0.26558852787941123"/>
                  <c:y val="-5.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D8D-4A62-96AD-D11F5A24403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ASBF'!$J$9:$J$11</c:f>
              <c:strCache>
                <c:ptCount val="3"/>
                <c:pt idx="0">
                  <c:v>Net Current Asset</c:v>
                </c:pt>
                <c:pt idx="1">
                  <c:v>TRI Party Repo</c:v>
                </c:pt>
                <c:pt idx="2">
                  <c:v>Mutual Fund Units</c:v>
                </c:pt>
              </c:strCache>
            </c:strRef>
          </c:cat>
          <c:val>
            <c:numRef>
              <c:f>'BANDHAN ASBF'!$K$9:$K$11</c:f>
              <c:numCache>
                <c:formatCode>0.00%</c:formatCode>
                <c:ptCount val="3"/>
                <c:pt idx="0">
                  <c:v>-5.6599999999999999E-4</c:v>
                </c:pt>
                <c:pt idx="1">
                  <c:v>1.3577000000000001E-2</c:v>
                </c:pt>
                <c:pt idx="2">
                  <c:v>0.98698900000000001</c:v>
                </c:pt>
              </c:numCache>
            </c:numRef>
          </c:val>
          <c:extLst>
            <c:ext xmlns:c16="http://schemas.microsoft.com/office/drawing/2014/chart" uri="{C3380CC4-5D6E-409C-BE32-E72D297353CC}">
              <c16:uniqueId val="{0000000C-DD8D-4A62-96AD-D11F5A24403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251E-4193-A634-8683DA51841D}"/>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251E-4193-A634-8683DA51841D}"/>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251E-4193-A634-8683DA51841D}"/>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251E-4193-A634-8683DA51841D}"/>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 US TB 0-1yr FOF'!$I$8:$I$10</c:f>
              <c:strCache>
                <c:ptCount val="3"/>
                <c:pt idx="0">
                  <c:v>International Mutual Fund Units</c:v>
                </c:pt>
                <c:pt idx="1">
                  <c:v>Net Current Asset</c:v>
                </c:pt>
                <c:pt idx="2">
                  <c:v>TRI Party Repo Total</c:v>
                </c:pt>
              </c:strCache>
            </c:strRef>
          </c:cat>
          <c:val>
            <c:numRef>
              <c:f>'BANDHAN US TB 0-1yr FOF'!$J$8:$J$10</c:f>
              <c:numCache>
                <c:formatCode>0.00%</c:formatCode>
                <c:ptCount val="3"/>
                <c:pt idx="0">
                  <c:v>0.97514000000000001</c:v>
                </c:pt>
                <c:pt idx="1">
                  <c:v>-6.8219999999999999E-3</c:v>
                </c:pt>
                <c:pt idx="2">
                  <c:v>3.1682000000000002E-2</c:v>
                </c:pt>
              </c:numCache>
            </c:numRef>
          </c:val>
          <c:extLst>
            <c:ext xmlns:c16="http://schemas.microsoft.com/office/drawing/2014/chart" uri="{C3380CC4-5D6E-409C-BE32-E72D297353CC}">
              <c16:uniqueId val="{00000004-251E-4193-A634-8683DA51841D}"/>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chart" Target="../charts/chart47.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F568D98-1D6F-4B86-B1F7-7F27200444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C2382E3-A1D3-47F3-A97E-042F4DEB2D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F2E3E567-6468-431F-A696-D5B3AAB5D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a:extLst>
            <a:ext uri="{FF2B5EF4-FFF2-40B4-BE49-F238E27FC236}">
              <a16:creationId xmlns:a16="http://schemas.microsoft.com/office/drawing/2014/main" id="{8D2DA437-4800-40DF-9F82-EB132E951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1938902C-1F95-4E53-9570-9973A4A901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A89F5407-F25F-48E1-B362-AA00571E22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4A107D5-4790-465A-880A-8E9CF9857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8A95443-EE8D-497B-9326-F2219616D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DC8EEE36-204D-45BD-88DF-5B723FE51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3C27FAF2-2C67-4C98-BA9A-177E4BCFE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CC2CB223-FE20-4A68-BF19-78C0C767E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39094B7-B884-4EA7-AF22-CB6D717C1A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AE89066-C7DB-4A3A-9AD2-FAC9B7EB7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A587A0E8-3DEA-44D8-ADC1-41105E557A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F336FA6D-266B-4BC8-BEAB-FB1EE301F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C0B75B07-E37E-4C28-A9AB-F4EE300B49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9C29D391-3E67-46C9-A271-56125D14B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73C2942-865A-4D08-B7A3-2CE93B6C10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45739C7-CC60-4894-9AEC-2BD2DA39FE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6D3DCBCF-CAC7-4756-98E3-FAADFA55D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25400</xdr:colOff>
      <xdr:row>7</xdr:row>
      <xdr:rowOff>12701</xdr:rowOff>
    </xdr:from>
    <xdr:to>
      <xdr:col>13</xdr:col>
      <xdr:colOff>571500</xdr:colOff>
      <xdr:row>22</xdr:row>
      <xdr:rowOff>12701</xdr:rowOff>
    </xdr:to>
    <xdr:graphicFrame macro="">
      <xdr:nvGraphicFramePr>
        <xdr:cNvPr id="2" name="Chart 1">
          <a:extLst>
            <a:ext uri="{FF2B5EF4-FFF2-40B4-BE49-F238E27FC236}">
              <a16:creationId xmlns:a16="http://schemas.microsoft.com/office/drawing/2014/main" id="{5CA6E2CB-EDE8-4216-A3DB-D567CFE2F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F07AE7B2-7FB7-4233-885F-C1C6300013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BA1DEA27-6733-4259-9342-2FF974D4F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464DD5AD-9EA9-47CB-997C-C020CF360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12700</xdr:colOff>
      <xdr:row>7</xdr:row>
      <xdr:rowOff>12701</xdr:rowOff>
    </xdr:from>
    <xdr:to>
      <xdr:col>13</xdr:col>
      <xdr:colOff>558800</xdr:colOff>
      <xdr:row>22</xdr:row>
      <xdr:rowOff>12701</xdr:rowOff>
    </xdr:to>
    <xdr:graphicFrame macro="">
      <xdr:nvGraphicFramePr>
        <xdr:cNvPr id="2" name="Chart 1">
          <a:extLst>
            <a:ext uri="{FF2B5EF4-FFF2-40B4-BE49-F238E27FC236}">
              <a16:creationId xmlns:a16="http://schemas.microsoft.com/office/drawing/2014/main" id="{7511577C-B6F4-4DA7-AB1B-005B0D394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A7734D94-AE2F-48AC-8867-308FB171B6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B48BBBE-875E-4E35-9765-2300550703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20C0F37-B261-41D9-8281-65C407A064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2E89AD64-31F1-448C-ABFC-49165C40F5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510DAB7-CF0E-4259-8D28-F2B4F6D5C0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95272127-83BD-4AE0-B204-28718AA2E9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D5F0A94-AEC4-43C8-B151-47F96F4E1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728BB16-0820-4953-A62B-076D8F3D5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67202BC-F836-4853-9680-B1497815B1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A9122892-F092-4111-B10D-7FF3C2B381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7053527-3EFD-440C-8D0E-8F0D5B373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2C83DD5E-E517-40FF-8AD5-1D60AC128B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220C32A-4725-4662-BBB5-8E4774BA29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2531B955-2B19-49B3-93CF-5F2BA937F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0E01635-51FE-41A5-A55C-C05D853C4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63500</xdr:colOff>
      <xdr:row>7</xdr:row>
      <xdr:rowOff>25400</xdr:rowOff>
    </xdr:from>
    <xdr:to>
      <xdr:col>14</xdr:col>
      <xdr:colOff>0</xdr:colOff>
      <xdr:row>22</xdr:row>
      <xdr:rowOff>25400</xdr:rowOff>
    </xdr:to>
    <xdr:graphicFrame macro="">
      <xdr:nvGraphicFramePr>
        <xdr:cNvPr id="2" name="Chart 1">
          <a:extLst>
            <a:ext uri="{FF2B5EF4-FFF2-40B4-BE49-F238E27FC236}">
              <a16:creationId xmlns:a16="http://schemas.microsoft.com/office/drawing/2014/main" id="{B6349AD4-768C-41E7-B9EC-47CD3993C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63D6E2F-1EEF-4428-927C-4024D75435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584200</xdr:colOff>
      <xdr:row>7</xdr:row>
      <xdr:rowOff>25400</xdr:rowOff>
    </xdr:from>
    <xdr:to>
      <xdr:col>13</xdr:col>
      <xdr:colOff>520700</xdr:colOff>
      <xdr:row>22</xdr:row>
      <xdr:rowOff>25400</xdr:rowOff>
    </xdr:to>
    <xdr:graphicFrame macro="">
      <xdr:nvGraphicFramePr>
        <xdr:cNvPr id="2" name="Chart 1">
          <a:extLst>
            <a:ext uri="{FF2B5EF4-FFF2-40B4-BE49-F238E27FC236}">
              <a16:creationId xmlns:a16="http://schemas.microsoft.com/office/drawing/2014/main" id="{DDE2D6CE-1C91-457F-8E26-20830D190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88B81C3-BF03-41AF-8030-10B5487A0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77DDB650-1477-4C5A-A193-CAEFC9492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7AD2DDF-A458-428C-80C1-ABDF4CAF0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FF5837CA-0C86-4BCC-918A-B3AF3FF4D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82756AD-AE83-4AF4-BDD4-71FA5CE05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1C8313E3-7D91-4A9C-A722-477DDF716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C62F4-4CF9-4B79-8BEF-33CB57FC2D5B}">
  <dimension ref="B1:N49"/>
  <sheetViews>
    <sheetView showGridLines="0" tabSelected="1"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186</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187</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149</v>
      </c>
      <c r="D8" s="6" t="s">
        <v>194</v>
      </c>
      <c r="E8" s="11">
        <v>1.1509999999999999E-2</v>
      </c>
      <c r="F8" s="1"/>
      <c r="G8" s="24" t="s">
        <v>15</v>
      </c>
      <c r="H8" s="25">
        <v>1</v>
      </c>
      <c r="I8" s="1"/>
      <c r="J8" s="24" t="s">
        <v>12</v>
      </c>
      <c r="K8" s="24" t="s">
        <v>5</v>
      </c>
      <c r="L8" s="1"/>
      <c r="M8" s="1"/>
      <c r="N8" s="18"/>
    </row>
    <row r="9" spans="2:14" ht="15.75" customHeight="1" x14ac:dyDescent="0.25">
      <c r="B9" s="20"/>
      <c r="C9" s="7" t="s">
        <v>52</v>
      </c>
      <c r="D9" s="8"/>
      <c r="E9" s="12">
        <v>1.1509999999999999E-2</v>
      </c>
      <c r="F9" s="1"/>
      <c r="G9" s="1"/>
      <c r="H9" s="1"/>
      <c r="I9" s="1"/>
      <c r="J9" s="24" t="s">
        <v>10</v>
      </c>
      <c r="K9" s="28">
        <v>1.1069999999999999E-3</v>
      </c>
      <c r="L9" s="1"/>
      <c r="M9" s="1"/>
      <c r="N9" s="18"/>
    </row>
    <row r="10" spans="2:14" ht="15" customHeight="1" x14ac:dyDescent="0.25">
      <c r="B10" s="20"/>
      <c r="C10" s="5" t="s">
        <v>8</v>
      </c>
      <c r="D10" s="6"/>
      <c r="E10" s="11">
        <v>0.69360299999999997</v>
      </c>
      <c r="F10" s="1"/>
      <c r="G10" s="1"/>
      <c r="H10" s="1"/>
      <c r="I10" s="1"/>
      <c r="J10" s="24" t="s">
        <v>13</v>
      </c>
      <c r="K10" s="28">
        <v>0.25069399999999997</v>
      </c>
      <c r="L10" s="1"/>
      <c r="M10" s="1"/>
      <c r="N10" s="18"/>
    </row>
    <row r="11" spans="2:14" ht="15.75" customHeight="1" x14ac:dyDescent="0.25">
      <c r="B11" s="20"/>
      <c r="C11" s="7" t="s">
        <v>188</v>
      </c>
      <c r="D11" s="8"/>
      <c r="E11" s="12">
        <v>0.69360299999999997</v>
      </c>
      <c r="F11" s="1"/>
      <c r="G11" s="1"/>
      <c r="H11" s="1"/>
      <c r="I11" s="1"/>
      <c r="J11" s="24" t="s">
        <v>56</v>
      </c>
      <c r="K11" s="28">
        <v>1.1509999999999999E-2</v>
      </c>
      <c r="L11" s="1"/>
      <c r="M11" s="1"/>
      <c r="N11" s="18"/>
    </row>
    <row r="12" spans="2:14" ht="15" customHeight="1" x14ac:dyDescent="0.25">
      <c r="B12" s="20"/>
      <c r="C12" s="5" t="s">
        <v>150</v>
      </c>
      <c r="D12" s="6" t="s">
        <v>194</v>
      </c>
      <c r="E12" s="11">
        <v>2.3002999999999999E-2</v>
      </c>
      <c r="F12" s="1"/>
      <c r="G12" s="1"/>
      <c r="H12" s="1"/>
      <c r="I12" s="1"/>
      <c r="J12" s="24" t="s">
        <v>189</v>
      </c>
      <c r="K12" s="28">
        <v>0.69360299999999997</v>
      </c>
      <c r="L12" s="1"/>
      <c r="M12" s="1"/>
      <c r="N12" s="18"/>
    </row>
    <row r="13" spans="2:14" ht="15" customHeight="1" x14ac:dyDescent="0.25">
      <c r="B13" s="20"/>
      <c r="C13" s="5" t="s">
        <v>153</v>
      </c>
      <c r="D13" s="6" t="s">
        <v>194</v>
      </c>
      <c r="E13" s="11">
        <v>1.434E-2</v>
      </c>
      <c r="F13" s="1"/>
      <c r="G13" s="1"/>
      <c r="H13" s="1"/>
      <c r="I13" s="1"/>
      <c r="J13" s="24" t="s">
        <v>161</v>
      </c>
      <c r="K13" s="28">
        <v>4.3085999999999999E-2</v>
      </c>
      <c r="L13" s="1"/>
      <c r="M13" s="1"/>
      <c r="N13" s="18"/>
    </row>
    <row r="14" spans="2:14" ht="15" customHeight="1" x14ac:dyDescent="0.25">
      <c r="B14" s="20"/>
      <c r="C14" s="5" t="s">
        <v>155</v>
      </c>
      <c r="D14" s="6" t="s">
        <v>194</v>
      </c>
      <c r="E14" s="11">
        <v>5.7429999999999998E-3</v>
      </c>
      <c r="F14" s="1"/>
      <c r="G14" s="1"/>
      <c r="H14" s="1"/>
      <c r="I14" s="1"/>
      <c r="J14" s="1"/>
      <c r="K14" s="1"/>
      <c r="L14" s="1"/>
      <c r="M14" s="1"/>
      <c r="N14" s="18"/>
    </row>
    <row r="15" spans="2:14" ht="15.75" customHeight="1" x14ac:dyDescent="0.25">
      <c r="B15" s="20"/>
      <c r="C15" s="7" t="s">
        <v>159</v>
      </c>
      <c r="D15" s="8"/>
      <c r="E15" s="12">
        <v>4.3085999999999999E-2</v>
      </c>
      <c r="F15" s="1"/>
      <c r="G15" s="1"/>
      <c r="H15" s="1"/>
      <c r="I15" s="1"/>
      <c r="J15" s="1"/>
      <c r="K15" s="1"/>
      <c r="L15" s="1"/>
      <c r="M15" s="1"/>
      <c r="N15" s="18"/>
    </row>
    <row r="16" spans="2:14" ht="15" customHeight="1" x14ac:dyDescent="0.25">
      <c r="B16" s="20"/>
      <c r="C16" s="5" t="s">
        <v>8</v>
      </c>
      <c r="D16" s="6"/>
      <c r="E16" s="11">
        <v>0.25069399999999997</v>
      </c>
      <c r="F16" s="1"/>
      <c r="G16" s="1"/>
      <c r="H16" s="1"/>
      <c r="I16" s="1"/>
      <c r="J16" s="1"/>
      <c r="K16" s="1"/>
      <c r="L16" s="1"/>
      <c r="M16" s="1"/>
      <c r="N16" s="18"/>
    </row>
    <row r="17" spans="2:14" ht="15.75" customHeight="1" x14ac:dyDescent="0.25">
      <c r="B17" s="20"/>
      <c r="C17" s="7" t="s">
        <v>9</v>
      </c>
      <c r="D17" s="8"/>
      <c r="E17" s="12">
        <v>0.25069399999999997</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75" customHeight="1" x14ac:dyDescent="0.25">
      <c r="B19" s="20"/>
      <c r="C19" s="7" t="s">
        <v>10</v>
      </c>
      <c r="D19" s="8"/>
      <c r="E19" s="12">
        <v>1.1069999999999999E-3</v>
      </c>
      <c r="F19" s="1"/>
      <c r="G19" s="1"/>
      <c r="H19" s="1"/>
      <c r="I19" s="1"/>
      <c r="J19" s="1"/>
      <c r="K19" s="1"/>
      <c r="L19" s="1"/>
      <c r="M19" s="1"/>
      <c r="N19" s="18"/>
    </row>
    <row r="20" spans="2:14" ht="15" customHeight="1" x14ac:dyDescent="0.25">
      <c r="B20" s="20"/>
      <c r="C20" s="5"/>
      <c r="D20" s="6"/>
      <c r="E20" s="11"/>
      <c r="F20" s="1"/>
      <c r="G20" s="1"/>
      <c r="H20" s="1"/>
      <c r="I20" s="1"/>
      <c r="J20" s="1"/>
      <c r="K20" s="1"/>
      <c r="L20" s="1"/>
      <c r="M20" s="1"/>
      <c r="N20" s="18"/>
    </row>
    <row r="21" spans="2:14" ht="15" customHeight="1" x14ac:dyDescent="0.25">
      <c r="B21" s="20"/>
      <c r="C21" s="9" t="s">
        <v>11</v>
      </c>
      <c r="D21" s="10"/>
      <c r="E21" s="13">
        <v>1</v>
      </c>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120</v>
      </c>
      <c r="H24" s="86"/>
      <c r="I24" s="86"/>
      <c r="J24" s="86"/>
      <c r="K24" s="86"/>
      <c r="L24" s="66">
        <v>3.6524197085390111</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18</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68" t="s">
        <v>263</v>
      </c>
      <c r="C45" s="69"/>
      <c r="D45" s="69"/>
      <c r="E45" s="69"/>
      <c r="F45" s="69"/>
      <c r="G45" s="69"/>
      <c r="H45" s="69"/>
      <c r="I45" s="69"/>
      <c r="J45" s="69"/>
      <c r="K45" s="69"/>
      <c r="L45" s="69"/>
      <c r="M45" s="69"/>
      <c r="N45" s="70"/>
    </row>
    <row r="46" spans="2:14" x14ac:dyDescent="0.25">
      <c r="B46" s="71"/>
      <c r="C46" s="72"/>
      <c r="D46" s="72"/>
      <c r="E46" s="72"/>
      <c r="F46" s="72"/>
      <c r="G46" s="72"/>
      <c r="H46" s="72"/>
      <c r="I46" s="72"/>
      <c r="J46" s="72"/>
      <c r="K46" s="72"/>
      <c r="L46" s="72"/>
      <c r="M46" s="72"/>
      <c r="N46" s="73"/>
    </row>
    <row r="47" spans="2:14" ht="15.75" thickBot="1" x14ac:dyDescent="0.3">
      <c r="B47" s="74"/>
      <c r="C47" s="75"/>
      <c r="D47" s="75"/>
      <c r="E47" s="75"/>
      <c r="F47" s="75"/>
      <c r="G47" s="75"/>
      <c r="H47" s="75"/>
      <c r="I47" s="75"/>
      <c r="J47" s="75"/>
      <c r="K47" s="75"/>
      <c r="L47" s="75"/>
      <c r="M47" s="75"/>
      <c r="N47" s="76"/>
    </row>
    <row r="48" spans="2:14" ht="15.75" thickBot="1" x14ac:dyDescent="0.3"/>
    <row r="49" spans="2:14" ht="131.25" customHeight="1" thickBot="1" x14ac:dyDescent="0.3">
      <c r="B49" s="77" t="s">
        <v>264</v>
      </c>
      <c r="C49" s="78"/>
      <c r="D49" s="78"/>
      <c r="E49" s="78"/>
      <c r="F49" s="78"/>
      <c r="G49" s="78"/>
      <c r="H49" s="78"/>
      <c r="I49" s="78"/>
      <c r="J49" s="78"/>
      <c r="K49" s="78"/>
      <c r="L49" s="78"/>
      <c r="M49" s="78"/>
      <c r="N49" s="79"/>
    </row>
  </sheetData>
  <mergeCells count="7">
    <mergeCell ref="B45:N47"/>
    <mergeCell ref="B49:N49"/>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27CB7-E337-4310-A374-742CEF45D7AA}">
  <dimension ref="B1:N81"/>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135</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136</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137</v>
      </c>
      <c r="D8" s="6" t="s">
        <v>22</v>
      </c>
      <c r="E8" s="11">
        <v>6.2561000000000005E-2</v>
      </c>
      <c r="F8" s="1"/>
      <c r="G8" s="24" t="s">
        <v>15</v>
      </c>
      <c r="H8" s="25">
        <v>1</v>
      </c>
      <c r="I8" s="1"/>
      <c r="J8" s="24" t="s">
        <v>12</v>
      </c>
      <c r="K8" s="24" t="s">
        <v>5</v>
      </c>
      <c r="L8" s="1"/>
      <c r="M8" s="1"/>
      <c r="N8" s="18"/>
    </row>
    <row r="9" spans="2:14" ht="15" customHeight="1" x14ac:dyDescent="0.25">
      <c r="B9" s="20"/>
      <c r="C9" s="5" t="s">
        <v>27</v>
      </c>
      <c r="D9" s="6" t="s">
        <v>22</v>
      </c>
      <c r="E9" s="11">
        <v>5.4507E-2</v>
      </c>
      <c r="F9" s="1"/>
      <c r="G9" s="1"/>
      <c r="H9" s="1"/>
      <c r="I9" s="1"/>
      <c r="J9" s="24" t="s">
        <v>10</v>
      </c>
      <c r="K9" s="28">
        <v>2.6510000000000001E-3</v>
      </c>
      <c r="L9" s="1"/>
      <c r="M9" s="1"/>
      <c r="N9" s="18"/>
    </row>
    <row r="10" spans="2:14" ht="15" customHeight="1" x14ac:dyDescent="0.25">
      <c r="B10" s="20"/>
      <c r="C10" s="5" t="s">
        <v>24</v>
      </c>
      <c r="D10" s="6" t="s">
        <v>22</v>
      </c>
      <c r="E10" s="11">
        <v>4.6141000000000001E-2</v>
      </c>
      <c r="F10" s="1"/>
      <c r="G10" s="1"/>
      <c r="H10" s="1"/>
      <c r="I10" s="1"/>
      <c r="J10" s="24" t="s">
        <v>13</v>
      </c>
      <c r="K10" s="28">
        <v>2.3599999999999999E-2</v>
      </c>
      <c r="L10" s="1"/>
      <c r="M10" s="1"/>
      <c r="N10" s="18"/>
    </row>
    <row r="11" spans="2:14" ht="15" customHeight="1" x14ac:dyDescent="0.25">
      <c r="B11" s="20"/>
      <c r="C11" s="5" t="s">
        <v>138</v>
      </c>
      <c r="D11" s="6" t="s">
        <v>22</v>
      </c>
      <c r="E11" s="11">
        <v>3.7759000000000001E-2</v>
      </c>
      <c r="F11" s="1"/>
      <c r="G11" s="1"/>
      <c r="H11" s="1"/>
      <c r="I11" s="1"/>
      <c r="J11" s="24" t="s">
        <v>54</v>
      </c>
      <c r="K11" s="28">
        <v>0.22667499999999999</v>
      </c>
      <c r="L11" s="1"/>
      <c r="M11" s="1"/>
      <c r="N11" s="18"/>
    </row>
    <row r="12" spans="2:14" ht="15" customHeight="1" x14ac:dyDescent="0.25">
      <c r="B12" s="20"/>
      <c r="C12" s="5" t="s">
        <v>21</v>
      </c>
      <c r="D12" s="6" t="s">
        <v>22</v>
      </c>
      <c r="E12" s="11">
        <v>1.7135999999999998E-2</v>
      </c>
      <c r="F12" s="1"/>
      <c r="G12" s="1"/>
      <c r="H12" s="1"/>
      <c r="I12" s="1"/>
      <c r="J12" s="24" t="s">
        <v>55</v>
      </c>
      <c r="K12" s="28">
        <v>3.4660999999999997E-2</v>
      </c>
      <c r="L12" s="1"/>
      <c r="M12" s="1"/>
      <c r="N12" s="18"/>
    </row>
    <row r="13" spans="2:14" ht="15" customHeight="1" x14ac:dyDescent="0.25">
      <c r="B13" s="20"/>
      <c r="C13" s="5" t="s">
        <v>139</v>
      </c>
      <c r="D13" s="6" t="s">
        <v>22</v>
      </c>
      <c r="E13" s="11">
        <v>8.5710000000000005E-3</v>
      </c>
      <c r="F13" s="1"/>
      <c r="G13" s="1"/>
      <c r="H13" s="1"/>
      <c r="I13" s="1"/>
      <c r="J13" s="24" t="s">
        <v>160</v>
      </c>
      <c r="K13" s="28">
        <v>0.48058499999999998</v>
      </c>
      <c r="L13" s="1"/>
      <c r="M13" s="1"/>
      <c r="N13" s="18"/>
    </row>
    <row r="14" spans="2:14" ht="15.75" customHeight="1" x14ac:dyDescent="0.25">
      <c r="B14" s="20"/>
      <c r="C14" s="7" t="s">
        <v>26</v>
      </c>
      <c r="D14" s="8"/>
      <c r="E14" s="12">
        <v>0.22667499999999999</v>
      </c>
      <c r="F14" s="1"/>
      <c r="G14" s="1"/>
      <c r="H14" s="1"/>
      <c r="I14" s="1"/>
      <c r="J14" s="24" t="s">
        <v>43</v>
      </c>
      <c r="K14" s="28">
        <v>1.9650000000000002E-3</v>
      </c>
      <c r="L14" s="1"/>
      <c r="M14" s="1"/>
      <c r="N14" s="18"/>
    </row>
    <row r="15" spans="2:14" ht="15" customHeight="1" x14ac:dyDescent="0.25">
      <c r="B15" s="20"/>
      <c r="C15" s="5" t="s">
        <v>25</v>
      </c>
      <c r="D15" s="6" t="s">
        <v>22</v>
      </c>
      <c r="E15" s="11">
        <v>0.114566</v>
      </c>
      <c r="F15" s="1"/>
      <c r="G15" s="1"/>
      <c r="H15" s="1"/>
      <c r="I15" s="1"/>
      <c r="J15" s="24" t="s">
        <v>56</v>
      </c>
      <c r="K15" s="28">
        <v>1.8889E-2</v>
      </c>
      <c r="L15" s="1"/>
      <c r="M15" s="1"/>
      <c r="N15" s="18"/>
    </row>
    <row r="16" spans="2:14" ht="15" customHeight="1" x14ac:dyDescent="0.25">
      <c r="B16" s="20"/>
      <c r="C16" s="5" t="s">
        <v>29</v>
      </c>
      <c r="D16" s="6" t="s">
        <v>22</v>
      </c>
      <c r="E16" s="11">
        <v>8.7969000000000006E-2</v>
      </c>
      <c r="F16" s="1"/>
      <c r="G16" s="1"/>
      <c r="H16" s="1"/>
      <c r="I16" s="1"/>
      <c r="J16" s="24" t="s">
        <v>57</v>
      </c>
      <c r="K16" s="28">
        <v>6.8900000000000005E-4</v>
      </c>
      <c r="L16" s="1"/>
      <c r="M16" s="1"/>
      <c r="N16" s="18"/>
    </row>
    <row r="17" spans="2:14" ht="15" customHeight="1" x14ac:dyDescent="0.25">
      <c r="B17" s="20"/>
      <c r="C17" s="5" t="s">
        <v>72</v>
      </c>
      <c r="D17" s="6" t="s">
        <v>22</v>
      </c>
      <c r="E17" s="11">
        <v>7.6184000000000002E-2</v>
      </c>
      <c r="F17" s="1"/>
      <c r="G17" s="1"/>
      <c r="H17" s="1"/>
      <c r="I17" s="1"/>
      <c r="J17" s="24" t="s">
        <v>161</v>
      </c>
      <c r="K17" s="28">
        <v>0.210285</v>
      </c>
      <c r="L17" s="1"/>
      <c r="M17" s="1"/>
      <c r="N17" s="18"/>
    </row>
    <row r="18" spans="2:14" ht="15" customHeight="1" x14ac:dyDescent="0.25">
      <c r="B18" s="20"/>
      <c r="C18" s="5" t="s">
        <v>140</v>
      </c>
      <c r="D18" s="6" t="s">
        <v>22</v>
      </c>
      <c r="E18" s="11">
        <v>4.7358999999999998E-2</v>
      </c>
      <c r="F18" s="1"/>
      <c r="G18" s="1"/>
      <c r="H18" s="1"/>
      <c r="I18" s="1"/>
      <c r="J18" s="1"/>
      <c r="K18" s="1"/>
      <c r="L18" s="1"/>
      <c r="M18" s="1"/>
      <c r="N18" s="18"/>
    </row>
    <row r="19" spans="2:14" ht="15" customHeight="1" x14ac:dyDescent="0.25">
      <c r="B19" s="20"/>
      <c r="C19" s="5" t="s">
        <v>38</v>
      </c>
      <c r="D19" s="6" t="s">
        <v>22</v>
      </c>
      <c r="E19" s="11">
        <v>2.8704E-2</v>
      </c>
      <c r="F19" s="1"/>
      <c r="G19" s="1"/>
      <c r="H19" s="1"/>
      <c r="I19" s="1"/>
      <c r="J19" s="1"/>
      <c r="K19" s="1"/>
      <c r="L19" s="1"/>
      <c r="M19" s="1"/>
      <c r="N19" s="18"/>
    </row>
    <row r="20" spans="2:14" ht="15" customHeight="1" x14ac:dyDescent="0.25">
      <c r="B20" s="20"/>
      <c r="C20" s="5" t="s">
        <v>141</v>
      </c>
      <c r="D20" s="6" t="s">
        <v>22</v>
      </c>
      <c r="E20" s="11">
        <v>2.3775000000000001E-2</v>
      </c>
      <c r="F20" s="1"/>
      <c r="G20" s="1"/>
      <c r="H20" s="1"/>
      <c r="I20" s="1"/>
      <c r="J20" s="1"/>
      <c r="K20" s="1"/>
      <c r="L20" s="1"/>
      <c r="M20" s="1"/>
      <c r="N20" s="18"/>
    </row>
    <row r="21" spans="2:14" ht="15" customHeight="1" x14ac:dyDescent="0.25">
      <c r="B21" s="20"/>
      <c r="C21" s="5" t="s">
        <v>142</v>
      </c>
      <c r="D21" s="6" t="s">
        <v>22</v>
      </c>
      <c r="E21" s="11">
        <v>2.3716000000000001E-2</v>
      </c>
      <c r="F21" s="1"/>
      <c r="G21" s="1"/>
      <c r="H21" s="1"/>
      <c r="I21" s="1"/>
      <c r="J21" s="1"/>
      <c r="K21" s="1"/>
      <c r="L21" s="1"/>
      <c r="M21" s="1"/>
      <c r="N21" s="18"/>
    </row>
    <row r="22" spans="2:14" ht="15" customHeight="1" x14ac:dyDescent="0.25">
      <c r="B22" s="20"/>
      <c r="C22" s="5" t="s">
        <v>143</v>
      </c>
      <c r="D22" s="6" t="s">
        <v>22</v>
      </c>
      <c r="E22" s="11">
        <v>1.8603999999999999E-2</v>
      </c>
      <c r="F22" s="1"/>
      <c r="G22" s="1"/>
      <c r="H22" s="1"/>
      <c r="I22" s="1"/>
      <c r="J22" s="1"/>
      <c r="K22" s="1"/>
      <c r="L22" s="1"/>
      <c r="M22" s="1"/>
      <c r="N22" s="18"/>
    </row>
    <row r="23" spans="2:14" ht="15" customHeight="1" x14ac:dyDescent="0.25">
      <c r="B23" s="20"/>
      <c r="C23" s="5" t="s">
        <v>144</v>
      </c>
      <c r="D23" s="6" t="s">
        <v>22</v>
      </c>
      <c r="E23" s="11">
        <v>1.6910000000000001E-2</v>
      </c>
      <c r="F23" s="1"/>
      <c r="G23" s="1"/>
      <c r="H23" s="1"/>
      <c r="I23" s="1"/>
      <c r="J23" s="1"/>
      <c r="K23" s="1"/>
      <c r="L23" s="1"/>
      <c r="M23" s="1"/>
      <c r="N23" s="18"/>
    </row>
    <row r="24" spans="2:14" ht="15" customHeight="1" x14ac:dyDescent="0.25">
      <c r="B24" s="20"/>
      <c r="C24" s="5" t="s">
        <v>145</v>
      </c>
      <c r="D24" s="6" t="s">
        <v>22</v>
      </c>
      <c r="E24" s="11">
        <v>1.3735000000000001E-2</v>
      </c>
      <c r="F24" s="1"/>
      <c r="G24" s="85" t="s">
        <v>120</v>
      </c>
      <c r="H24" s="86"/>
      <c r="I24" s="86"/>
      <c r="J24" s="86"/>
      <c r="K24" s="86"/>
      <c r="L24" s="66">
        <v>43.804311433202351</v>
      </c>
      <c r="M24" s="26"/>
      <c r="N24" s="27"/>
    </row>
    <row r="25" spans="2:14" ht="15" customHeight="1" x14ac:dyDescent="0.25">
      <c r="B25" s="20"/>
      <c r="C25" s="5" t="s">
        <v>146</v>
      </c>
      <c r="D25" s="6" t="s">
        <v>22</v>
      </c>
      <c r="E25" s="11">
        <v>1.3724E-2</v>
      </c>
      <c r="F25" s="1"/>
      <c r="G25" s="1"/>
      <c r="H25" s="1"/>
      <c r="I25" s="1"/>
      <c r="J25" s="1"/>
      <c r="K25" s="1"/>
      <c r="L25" s="1"/>
      <c r="M25" s="1"/>
      <c r="N25" s="18"/>
    </row>
    <row r="26" spans="2:14" ht="15" customHeight="1" x14ac:dyDescent="0.25">
      <c r="B26" s="20"/>
      <c r="C26" s="5" t="s">
        <v>74</v>
      </c>
      <c r="D26" s="6" t="s">
        <v>22</v>
      </c>
      <c r="E26" s="11">
        <v>8.5769999999999996E-3</v>
      </c>
      <c r="F26" s="1"/>
      <c r="G26" s="85" t="s">
        <v>18</v>
      </c>
      <c r="H26" s="86"/>
      <c r="I26" s="86"/>
      <c r="J26" s="86"/>
      <c r="K26" s="86"/>
      <c r="L26" s="86"/>
      <c r="M26" s="86"/>
      <c r="N26" s="87"/>
    </row>
    <row r="27" spans="2:14" ht="15" customHeight="1" x14ac:dyDescent="0.25">
      <c r="B27" s="20"/>
      <c r="C27" s="5" t="s">
        <v>147</v>
      </c>
      <c r="D27" s="6" t="s">
        <v>22</v>
      </c>
      <c r="E27" s="11">
        <v>6.7619999999999998E-3</v>
      </c>
      <c r="F27" s="1"/>
      <c r="G27" s="1"/>
      <c r="H27" s="1"/>
      <c r="I27" s="1"/>
      <c r="J27" s="1"/>
      <c r="K27" s="1"/>
      <c r="L27" s="1"/>
      <c r="M27" s="1"/>
      <c r="N27" s="18"/>
    </row>
    <row r="28" spans="2:14" ht="15.75" customHeight="1" x14ac:dyDescent="0.25">
      <c r="B28" s="20"/>
      <c r="C28" s="7" t="s">
        <v>148</v>
      </c>
      <c r="D28" s="8"/>
      <c r="E28" s="12">
        <v>0.48058499999999998</v>
      </c>
      <c r="F28" s="1"/>
      <c r="G28" s="1"/>
      <c r="H28" s="1"/>
      <c r="I28" s="1"/>
      <c r="J28" s="1"/>
      <c r="K28" s="1"/>
      <c r="L28" s="1"/>
      <c r="M28" s="1"/>
      <c r="N28" s="18"/>
    </row>
    <row r="29" spans="2:14" ht="15" customHeight="1" x14ac:dyDescent="0.25">
      <c r="B29" s="20"/>
      <c r="C29" s="5" t="s">
        <v>39</v>
      </c>
      <c r="D29" s="6" t="s">
        <v>28</v>
      </c>
      <c r="E29" s="11">
        <v>9.9559999999999996E-3</v>
      </c>
      <c r="F29" s="1"/>
      <c r="G29" s="1"/>
      <c r="H29" s="1"/>
      <c r="I29" s="1"/>
      <c r="J29" s="1"/>
      <c r="K29" s="1"/>
      <c r="L29" s="1"/>
      <c r="M29" s="1"/>
      <c r="N29" s="18"/>
    </row>
    <row r="30" spans="2:14" ht="15" customHeight="1" x14ac:dyDescent="0.25">
      <c r="B30" s="20"/>
      <c r="C30" s="5" t="s">
        <v>34</v>
      </c>
      <c r="D30" s="6" t="s">
        <v>28</v>
      </c>
      <c r="E30" s="11">
        <v>6.8609999999999999E-3</v>
      </c>
      <c r="F30" s="1"/>
      <c r="G30" s="1"/>
      <c r="H30" s="1"/>
      <c r="I30" s="1"/>
      <c r="J30" s="1"/>
      <c r="K30" s="1"/>
      <c r="L30" s="1"/>
      <c r="M30" s="1"/>
      <c r="N30" s="18"/>
    </row>
    <row r="31" spans="2:14" ht="15" customHeight="1" x14ac:dyDescent="0.25">
      <c r="B31" s="20"/>
      <c r="C31" s="5" t="s">
        <v>33</v>
      </c>
      <c r="D31" s="6" t="s">
        <v>28</v>
      </c>
      <c r="E31" s="11">
        <v>5.8389999999999996E-3</v>
      </c>
      <c r="F31" s="1"/>
      <c r="G31" s="1"/>
      <c r="H31" s="1"/>
      <c r="I31" s="1"/>
      <c r="J31" s="1"/>
      <c r="K31" s="1"/>
      <c r="L31" s="1"/>
      <c r="M31" s="1"/>
      <c r="N31" s="18"/>
    </row>
    <row r="32" spans="2:14" ht="15" customHeight="1" x14ac:dyDescent="0.25">
      <c r="B32" s="20"/>
      <c r="C32" s="5" t="s">
        <v>72</v>
      </c>
      <c r="D32" s="6" t="s">
        <v>28</v>
      </c>
      <c r="E32" s="11">
        <v>5.1529999999999996E-3</v>
      </c>
      <c r="F32" s="1"/>
      <c r="G32" s="1"/>
      <c r="H32" s="1"/>
      <c r="I32" s="1"/>
      <c r="J32" s="1"/>
      <c r="K32" s="1"/>
      <c r="L32" s="1"/>
      <c r="M32" s="1"/>
      <c r="N32" s="18"/>
    </row>
    <row r="33" spans="2:14" ht="15" customHeight="1" x14ac:dyDescent="0.25">
      <c r="B33" s="20"/>
      <c r="C33" s="5" t="s">
        <v>29</v>
      </c>
      <c r="D33" s="6" t="s">
        <v>28</v>
      </c>
      <c r="E33" s="11">
        <v>5.1349999999999998E-3</v>
      </c>
      <c r="F33" s="1"/>
      <c r="G33" s="1"/>
      <c r="H33" s="1"/>
      <c r="I33" s="1"/>
      <c r="J33" s="1"/>
      <c r="K33" s="1"/>
      <c r="L33" s="1"/>
      <c r="M33" s="1"/>
      <c r="N33" s="18"/>
    </row>
    <row r="34" spans="2:14" ht="15" customHeight="1" x14ac:dyDescent="0.25">
      <c r="B34" s="20"/>
      <c r="C34" s="5" t="s">
        <v>32</v>
      </c>
      <c r="D34" s="6" t="s">
        <v>28</v>
      </c>
      <c r="E34" s="11">
        <v>1.717E-3</v>
      </c>
      <c r="F34" s="1"/>
      <c r="G34" s="1"/>
      <c r="H34" s="1"/>
      <c r="I34" s="1"/>
      <c r="J34" s="1"/>
      <c r="K34" s="1"/>
      <c r="L34" s="1"/>
      <c r="M34" s="1"/>
      <c r="N34" s="18"/>
    </row>
    <row r="35" spans="2:14" ht="15.75" customHeight="1" x14ac:dyDescent="0.25">
      <c r="B35" s="20"/>
      <c r="C35" s="7" t="s">
        <v>42</v>
      </c>
      <c r="D35" s="8"/>
      <c r="E35" s="12">
        <v>3.4660999999999997E-2</v>
      </c>
      <c r="F35" s="1"/>
      <c r="G35" s="1"/>
      <c r="H35" s="1"/>
      <c r="I35" s="1"/>
      <c r="J35" s="1"/>
      <c r="K35" s="1"/>
      <c r="L35" s="1"/>
      <c r="M35" s="1"/>
      <c r="N35" s="18"/>
    </row>
    <row r="36" spans="2:14" ht="15" customHeight="1" x14ac:dyDescent="0.25">
      <c r="B36" s="20"/>
      <c r="C36" s="5" t="s">
        <v>43</v>
      </c>
      <c r="D36" s="6"/>
      <c r="E36" s="11">
        <v>1.9650000000000002E-3</v>
      </c>
      <c r="F36" s="1"/>
      <c r="G36" s="1"/>
      <c r="H36" s="1"/>
      <c r="I36" s="1"/>
      <c r="J36" s="1"/>
      <c r="K36" s="1"/>
      <c r="L36" s="1"/>
      <c r="M36" s="1"/>
      <c r="N36" s="18"/>
    </row>
    <row r="37" spans="2:14" ht="15.75" customHeight="1" x14ac:dyDescent="0.25">
      <c r="B37" s="20"/>
      <c r="C37" s="7" t="s">
        <v>44</v>
      </c>
      <c r="D37" s="8"/>
      <c r="E37" s="12">
        <v>1.9650000000000002E-3</v>
      </c>
      <c r="F37" s="1"/>
      <c r="G37" s="1"/>
      <c r="H37" s="1"/>
      <c r="I37" s="1"/>
      <c r="J37" s="1"/>
      <c r="K37" s="1"/>
      <c r="L37" s="1"/>
      <c r="M37" s="1"/>
      <c r="N37" s="18"/>
    </row>
    <row r="38" spans="2:14" ht="15" customHeight="1" x14ac:dyDescent="0.25">
      <c r="B38" s="20"/>
      <c r="C38" s="5" t="s">
        <v>149</v>
      </c>
      <c r="D38" s="6" t="s">
        <v>194</v>
      </c>
      <c r="E38" s="11">
        <v>1.8889E-2</v>
      </c>
      <c r="F38" s="1"/>
      <c r="G38" s="1"/>
      <c r="H38" s="1"/>
      <c r="I38" s="1"/>
      <c r="J38" s="1"/>
      <c r="K38" s="1"/>
      <c r="L38" s="1"/>
      <c r="M38" s="1"/>
      <c r="N38" s="18"/>
    </row>
    <row r="39" spans="2:14" ht="15.75" customHeight="1" x14ac:dyDescent="0.25">
      <c r="B39" s="20"/>
      <c r="C39" s="7" t="s">
        <v>52</v>
      </c>
      <c r="D39" s="8"/>
      <c r="E39" s="12">
        <v>1.8889E-2</v>
      </c>
      <c r="F39" s="1"/>
      <c r="G39" s="1"/>
      <c r="H39" s="1"/>
      <c r="I39" s="1"/>
      <c r="J39" s="1"/>
      <c r="K39" s="1"/>
      <c r="L39" s="1"/>
      <c r="M39" s="1"/>
      <c r="N39" s="18"/>
    </row>
    <row r="40" spans="2:14" ht="15" customHeight="1" x14ac:dyDescent="0.25">
      <c r="B40" s="20"/>
      <c r="C40" s="5" t="s">
        <v>195</v>
      </c>
      <c r="D40" s="6" t="s">
        <v>194</v>
      </c>
      <c r="E40" s="11">
        <v>6.8900000000000005E-4</v>
      </c>
      <c r="F40" s="1"/>
      <c r="G40" s="1"/>
      <c r="H40" s="1"/>
      <c r="I40" s="1"/>
      <c r="J40" s="1"/>
      <c r="K40" s="1"/>
      <c r="L40" s="1"/>
      <c r="M40" s="1"/>
      <c r="N40" s="18"/>
    </row>
    <row r="41" spans="2:14" ht="15.75" customHeight="1" x14ac:dyDescent="0.25">
      <c r="B41" s="20"/>
      <c r="C41" s="7" t="s">
        <v>53</v>
      </c>
      <c r="D41" s="8"/>
      <c r="E41" s="12">
        <v>6.8900000000000005E-4</v>
      </c>
      <c r="F41" s="1"/>
      <c r="G41" s="1"/>
      <c r="H41" s="1"/>
      <c r="I41" s="1"/>
      <c r="J41" s="1"/>
      <c r="K41" s="1"/>
      <c r="L41" s="1"/>
      <c r="M41" s="1"/>
      <c r="N41" s="18"/>
    </row>
    <row r="42" spans="2:14" ht="15" customHeight="1" x14ac:dyDescent="0.25">
      <c r="B42" s="20"/>
      <c r="C42" s="5" t="s">
        <v>150</v>
      </c>
      <c r="D42" s="6" t="s">
        <v>194</v>
      </c>
      <c r="E42" s="11">
        <v>6.8637000000000004E-2</v>
      </c>
      <c r="F42" s="1"/>
      <c r="G42" s="1"/>
      <c r="H42" s="1"/>
      <c r="I42" s="1"/>
      <c r="J42" s="1"/>
      <c r="K42" s="1"/>
      <c r="L42" s="1"/>
      <c r="M42" s="1"/>
      <c r="N42" s="18"/>
    </row>
    <row r="43" spans="2:14" ht="15" customHeight="1" x14ac:dyDescent="0.25">
      <c r="B43" s="20"/>
      <c r="C43" s="5" t="s">
        <v>151</v>
      </c>
      <c r="D43" s="6" t="s">
        <v>194</v>
      </c>
      <c r="E43" s="11">
        <v>3.3828999999999998E-2</v>
      </c>
      <c r="F43" s="1"/>
      <c r="G43" s="1"/>
      <c r="H43" s="1"/>
      <c r="I43" s="1"/>
      <c r="J43" s="1"/>
      <c r="K43" s="1"/>
      <c r="L43" s="1"/>
      <c r="M43" s="1"/>
      <c r="N43" s="18"/>
    </row>
    <row r="44" spans="2:14" ht="15" customHeight="1" x14ac:dyDescent="0.25">
      <c r="B44" s="20"/>
      <c r="C44" s="5" t="s">
        <v>152</v>
      </c>
      <c r="D44" s="6" t="s">
        <v>194</v>
      </c>
      <c r="E44" s="11">
        <v>2.7167E-2</v>
      </c>
      <c r="F44" s="1"/>
      <c r="G44" s="1"/>
      <c r="H44" s="1"/>
      <c r="I44" s="1"/>
      <c r="J44" s="1"/>
      <c r="K44" s="1"/>
      <c r="L44" s="1"/>
      <c r="M44" s="1"/>
      <c r="N44" s="18"/>
    </row>
    <row r="45" spans="2:14" ht="15" customHeight="1" x14ac:dyDescent="0.25">
      <c r="B45" s="20"/>
      <c r="C45" s="5" t="s">
        <v>153</v>
      </c>
      <c r="D45" s="6" t="s">
        <v>194</v>
      </c>
      <c r="E45" s="11">
        <v>2.0539000000000002E-2</v>
      </c>
      <c r="F45" s="1"/>
      <c r="G45" s="1"/>
      <c r="H45" s="1"/>
      <c r="I45" s="1"/>
      <c r="J45" s="1"/>
      <c r="K45" s="1"/>
      <c r="L45" s="1"/>
      <c r="M45" s="1"/>
      <c r="N45" s="18"/>
    </row>
    <row r="46" spans="2:14" ht="15" customHeight="1" x14ac:dyDescent="0.25">
      <c r="B46" s="20"/>
      <c r="C46" s="5" t="s">
        <v>154</v>
      </c>
      <c r="D46" s="6" t="s">
        <v>194</v>
      </c>
      <c r="E46" s="11">
        <v>1.9487000000000001E-2</v>
      </c>
      <c r="F46" s="1"/>
      <c r="G46" s="1"/>
      <c r="H46" s="1"/>
      <c r="I46" s="1"/>
      <c r="J46" s="1"/>
      <c r="K46" s="1"/>
      <c r="L46" s="1"/>
      <c r="M46" s="1"/>
      <c r="N46" s="18"/>
    </row>
    <row r="47" spans="2:14" ht="15" customHeight="1" x14ac:dyDescent="0.25">
      <c r="B47" s="20"/>
      <c r="C47" s="5" t="s">
        <v>155</v>
      </c>
      <c r="D47" s="6" t="s">
        <v>194</v>
      </c>
      <c r="E47" s="11">
        <v>1.7138E-2</v>
      </c>
      <c r="F47" s="1"/>
      <c r="G47" s="1"/>
      <c r="H47" s="1"/>
      <c r="I47" s="1"/>
      <c r="J47" s="1"/>
      <c r="K47" s="1"/>
      <c r="L47" s="1"/>
      <c r="M47" s="1"/>
      <c r="N47" s="18"/>
    </row>
    <row r="48" spans="2:14" ht="15" customHeight="1" x14ac:dyDescent="0.25">
      <c r="B48" s="20"/>
      <c r="C48" s="5" t="s">
        <v>156</v>
      </c>
      <c r="D48" s="6" t="s">
        <v>194</v>
      </c>
      <c r="E48" s="11">
        <v>1.3727E-2</v>
      </c>
      <c r="F48" s="1"/>
      <c r="G48" s="1"/>
      <c r="H48" s="1"/>
      <c r="I48" s="1"/>
      <c r="J48" s="1"/>
      <c r="K48" s="1"/>
      <c r="L48" s="1"/>
      <c r="M48" s="1"/>
      <c r="N48" s="18"/>
    </row>
    <row r="49" spans="2:14" ht="15" customHeight="1" x14ac:dyDescent="0.25">
      <c r="B49" s="20"/>
      <c r="C49" s="5" t="s">
        <v>157</v>
      </c>
      <c r="D49" s="6" t="s">
        <v>194</v>
      </c>
      <c r="E49" s="11">
        <v>6.1539999999999997E-3</v>
      </c>
      <c r="F49" s="1"/>
      <c r="G49" s="1"/>
      <c r="H49" s="1"/>
      <c r="I49" s="1"/>
      <c r="J49" s="1"/>
      <c r="K49" s="1"/>
      <c r="L49" s="1"/>
      <c r="M49" s="1"/>
      <c r="N49" s="18"/>
    </row>
    <row r="50" spans="2:14" ht="15" customHeight="1" x14ac:dyDescent="0.25">
      <c r="B50" s="20"/>
      <c r="C50" s="5" t="s">
        <v>158</v>
      </c>
      <c r="D50" s="6" t="s">
        <v>194</v>
      </c>
      <c r="E50" s="11">
        <v>3.607E-3</v>
      </c>
      <c r="F50" s="1"/>
      <c r="G50" s="1"/>
      <c r="H50" s="1"/>
      <c r="I50" s="1"/>
      <c r="J50" s="1"/>
      <c r="K50" s="1"/>
      <c r="L50" s="1"/>
      <c r="M50" s="1"/>
      <c r="N50" s="18"/>
    </row>
    <row r="51" spans="2:14" ht="15.75" customHeight="1" x14ac:dyDescent="0.25">
      <c r="B51" s="20"/>
      <c r="C51" s="7" t="s">
        <v>159</v>
      </c>
      <c r="D51" s="8"/>
      <c r="E51" s="12">
        <v>0.210285</v>
      </c>
      <c r="F51" s="1"/>
      <c r="G51" s="1"/>
      <c r="H51" s="1"/>
      <c r="I51" s="1"/>
      <c r="J51" s="1"/>
      <c r="K51" s="1"/>
      <c r="L51" s="1"/>
      <c r="M51" s="1"/>
      <c r="N51" s="18"/>
    </row>
    <row r="52" spans="2:14" ht="15" customHeight="1" x14ac:dyDescent="0.25">
      <c r="B52" s="20"/>
      <c r="C52" s="5" t="s">
        <v>8</v>
      </c>
      <c r="D52" s="6"/>
      <c r="E52" s="11">
        <v>2.3599999999999999E-2</v>
      </c>
      <c r="F52" s="1"/>
      <c r="G52" s="1"/>
      <c r="H52" s="1"/>
      <c r="I52" s="1"/>
      <c r="J52" s="1"/>
      <c r="K52" s="1"/>
      <c r="L52" s="1"/>
      <c r="M52" s="1"/>
      <c r="N52" s="18"/>
    </row>
    <row r="53" spans="2:14" ht="15.75" customHeight="1" x14ac:dyDescent="0.25">
      <c r="B53" s="20"/>
      <c r="C53" s="7" t="s">
        <v>9</v>
      </c>
      <c r="D53" s="8"/>
      <c r="E53" s="12">
        <v>2.3599999999999999E-2</v>
      </c>
      <c r="F53" s="1"/>
      <c r="G53" s="1"/>
      <c r="H53" s="1"/>
      <c r="I53" s="1"/>
      <c r="J53" s="1"/>
      <c r="K53" s="1"/>
      <c r="L53" s="1"/>
      <c r="M53" s="1"/>
      <c r="N53" s="18"/>
    </row>
    <row r="54" spans="2:14" ht="15" customHeight="1" x14ac:dyDescent="0.25">
      <c r="B54" s="20"/>
      <c r="C54" s="5"/>
      <c r="D54" s="6"/>
      <c r="E54" s="11"/>
      <c r="F54" s="1"/>
      <c r="G54" s="1"/>
      <c r="H54" s="1"/>
      <c r="I54" s="1"/>
      <c r="J54" s="1"/>
      <c r="K54" s="1"/>
      <c r="L54" s="1"/>
      <c r="M54" s="1"/>
      <c r="N54" s="18"/>
    </row>
    <row r="55" spans="2:14" ht="15.75" customHeight="1" x14ac:dyDescent="0.25">
      <c r="B55" s="20"/>
      <c r="C55" s="7" t="s">
        <v>10</v>
      </c>
      <c r="D55" s="8"/>
      <c r="E55" s="12">
        <v>2.6510000000000001E-3</v>
      </c>
      <c r="F55" s="1"/>
      <c r="G55" s="1"/>
      <c r="H55" s="1"/>
      <c r="I55" s="1"/>
      <c r="J55" s="1"/>
      <c r="K55" s="1"/>
      <c r="L55" s="1"/>
      <c r="M55" s="1"/>
      <c r="N55" s="18"/>
    </row>
    <row r="56" spans="2:14" ht="15" customHeight="1" x14ac:dyDescent="0.25">
      <c r="B56" s="20"/>
      <c r="C56" s="5"/>
      <c r="D56" s="6"/>
      <c r="E56" s="11"/>
      <c r="F56" s="1"/>
      <c r="G56" s="1"/>
      <c r="H56" s="1"/>
      <c r="I56" s="1"/>
      <c r="J56" s="1"/>
      <c r="K56" s="1"/>
      <c r="L56" s="1"/>
      <c r="M56" s="1"/>
      <c r="N56" s="18"/>
    </row>
    <row r="57" spans="2:14" ht="15" customHeight="1" x14ac:dyDescent="0.25">
      <c r="B57" s="20"/>
      <c r="C57" s="9" t="s">
        <v>11</v>
      </c>
      <c r="D57" s="10"/>
      <c r="E57" s="13">
        <v>1</v>
      </c>
      <c r="F57" s="1"/>
      <c r="G57" s="1"/>
      <c r="H57" s="1"/>
      <c r="I57" s="1"/>
      <c r="J57" s="1"/>
      <c r="K57" s="1"/>
      <c r="L57" s="1"/>
      <c r="M57" s="1"/>
      <c r="N57" s="18"/>
    </row>
    <row r="58" spans="2:14" ht="15" customHeight="1" x14ac:dyDescent="0.25">
      <c r="B58" s="20"/>
      <c r="C58" s="1"/>
      <c r="D58" s="1"/>
      <c r="E58" s="1"/>
      <c r="F58" s="1"/>
      <c r="G58" s="1"/>
      <c r="H58" s="1"/>
      <c r="I58" s="1"/>
      <c r="J58" s="1"/>
      <c r="K58" s="1"/>
      <c r="L58" s="1"/>
      <c r="M58" s="1"/>
      <c r="N58" s="18"/>
    </row>
    <row r="59" spans="2:14" ht="15" customHeight="1" thickBot="1" x14ac:dyDescent="0.3">
      <c r="B59" s="21"/>
      <c r="C59" s="22"/>
      <c r="D59" s="22"/>
      <c r="E59" s="22"/>
      <c r="F59" s="22"/>
      <c r="G59" s="22"/>
      <c r="H59" s="22"/>
      <c r="I59" s="22"/>
      <c r="J59" s="22"/>
      <c r="K59" s="22"/>
      <c r="L59" s="22"/>
      <c r="M59" s="22"/>
      <c r="N59" s="23"/>
    </row>
    <row r="60" spans="2:14" ht="15" customHeight="1" thickBot="1" x14ac:dyDescent="0.3"/>
    <row r="61" spans="2:14" ht="15" customHeight="1" x14ac:dyDescent="0.25">
      <c r="B61" s="68" t="s">
        <v>265</v>
      </c>
      <c r="C61" s="69"/>
      <c r="D61" s="69"/>
      <c r="E61" s="69"/>
      <c r="F61" s="69"/>
      <c r="G61" s="69"/>
      <c r="H61" s="69"/>
      <c r="I61" s="69"/>
      <c r="J61" s="69"/>
      <c r="K61" s="69"/>
      <c r="L61" s="69"/>
      <c r="M61" s="69"/>
      <c r="N61" s="70"/>
    </row>
    <row r="62" spans="2:14" ht="15" customHeight="1" x14ac:dyDescent="0.25">
      <c r="B62" s="71"/>
      <c r="C62" s="72"/>
      <c r="D62" s="72"/>
      <c r="E62" s="72"/>
      <c r="F62" s="72"/>
      <c r="G62" s="72"/>
      <c r="H62" s="72"/>
      <c r="I62" s="72"/>
      <c r="J62" s="72"/>
      <c r="K62" s="72"/>
      <c r="L62" s="72"/>
      <c r="M62" s="72"/>
      <c r="N62" s="73"/>
    </row>
    <row r="63" spans="2:14" ht="15" customHeight="1" x14ac:dyDescent="0.25">
      <c r="B63" s="71"/>
      <c r="C63" s="72"/>
      <c r="D63" s="72"/>
      <c r="E63" s="72"/>
      <c r="F63" s="72"/>
      <c r="G63" s="72"/>
      <c r="H63" s="72"/>
      <c r="I63" s="72"/>
      <c r="J63" s="72"/>
      <c r="K63" s="72"/>
      <c r="L63" s="72"/>
      <c r="M63" s="72"/>
      <c r="N63" s="73"/>
    </row>
    <row r="64" spans="2:14" ht="15" customHeight="1" thickBot="1" x14ac:dyDescent="0.3">
      <c r="B64" s="74"/>
      <c r="C64" s="75"/>
      <c r="D64" s="75"/>
      <c r="E64" s="75"/>
      <c r="F64" s="75"/>
      <c r="G64" s="75"/>
      <c r="H64" s="75"/>
      <c r="I64" s="75"/>
      <c r="J64" s="75"/>
      <c r="K64" s="75"/>
      <c r="L64" s="75"/>
      <c r="M64" s="75"/>
      <c r="N64" s="76"/>
    </row>
    <row r="65" spans="2:14" ht="15" customHeight="1" thickBot="1" x14ac:dyDescent="0.3"/>
    <row r="66" spans="2:14" ht="126" customHeight="1" thickBot="1" x14ac:dyDescent="0.3">
      <c r="B66" s="77" t="s">
        <v>264</v>
      </c>
      <c r="C66" s="78"/>
      <c r="D66" s="78"/>
      <c r="E66" s="78"/>
      <c r="F66" s="78"/>
      <c r="G66" s="78"/>
      <c r="H66" s="78"/>
      <c r="I66" s="78"/>
      <c r="J66" s="78"/>
      <c r="K66" s="78"/>
      <c r="L66" s="78"/>
      <c r="M66" s="78"/>
      <c r="N66" s="79"/>
    </row>
    <row r="67" spans="2:14" ht="15" customHeight="1" x14ac:dyDescent="0.25"/>
    <row r="68" spans="2:14" ht="15" customHeight="1" x14ac:dyDescent="0.25"/>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sheetData>
  <mergeCells count="7">
    <mergeCell ref="B61:N64"/>
    <mergeCell ref="B66:N66"/>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499-2960-458D-A8D0-920162EA232A}">
  <dimension ref="B1:N67"/>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166</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167</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24</v>
      </c>
      <c r="D8" s="6" t="s">
        <v>22</v>
      </c>
      <c r="E8" s="11">
        <v>7.4578000000000005E-2</v>
      </c>
      <c r="F8" s="1"/>
      <c r="G8" s="24" t="s">
        <v>15</v>
      </c>
      <c r="H8" s="28">
        <v>0.98822600000000005</v>
      </c>
      <c r="I8" s="1"/>
      <c r="J8" s="24" t="s">
        <v>12</v>
      </c>
      <c r="K8" s="24" t="s">
        <v>5</v>
      </c>
      <c r="L8" s="1"/>
      <c r="M8" s="1"/>
      <c r="N8" s="18"/>
    </row>
    <row r="9" spans="2:14" ht="15.75" customHeight="1" x14ac:dyDescent="0.25">
      <c r="B9" s="20"/>
      <c r="C9" s="7" t="s">
        <v>26</v>
      </c>
      <c r="D9" s="8"/>
      <c r="E9" s="12">
        <v>7.4578000000000005E-2</v>
      </c>
      <c r="F9" s="1"/>
      <c r="G9" s="24" t="s">
        <v>99</v>
      </c>
      <c r="H9" s="28">
        <v>1.1774E-2</v>
      </c>
      <c r="I9" s="1"/>
      <c r="J9" s="24" t="s">
        <v>10</v>
      </c>
      <c r="K9" s="28">
        <v>1.4040000000000001E-3</v>
      </c>
      <c r="L9" s="1"/>
      <c r="M9" s="1"/>
      <c r="N9" s="18"/>
    </row>
    <row r="10" spans="2:14" ht="15" customHeight="1" x14ac:dyDescent="0.25">
      <c r="B10" s="20"/>
      <c r="C10" s="5" t="s">
        <v>74</v>
      </c>
      <c r="D10" s="6" t="s">
        <v>22</v>
      </c>
      <c r="E10" s="11">
        <v>1.8758E-2</v>
      </c>
      <c r="F10" s="1"/>
      <c r="G10" s="1"/>
      <c r="H10" s="1"/>
      <c r="I10" s="1"/>
      <c r="J10" s="24" t="s">
        <v>13</v>
      </c>
      <c r="K10" s="28">
        <v>3.2661999999999997E-2</v>
      </c>
      <c r="L10" s="1"/>
      <c r="M10" s="1"/>
      <c r="N10" s="18"/>
    </row>
    <row r="11" spans="2:14" ht="15.75" customHeight="1" x14ac:dyDescent="0.25">
      <c r="B11" s="20"/>
      <c r="C11" s="7" t="s">
        <v>148</v>
      </c>
      <c r="D11" s="8"/>
      <c r="E11" s="12">
        <v>1.8758E-2</v>
      </c>
      <c r="F11" s="1"/>
      <c r="G11" s="1"/>
      <c r="H11" s="1"/>
      <c r="I11" s="1"/>
      <c r="J11" s="24" t="s">
        <v>54</v>
      </c>
      <c r="K11" s="28">
        <v>7.4578000000000005E-2</v>
      </c>
      <c r="L11" s="1"/>
      <c r="M11" s="1"/>
      <c r="N11" s="18"/>
    </row>
    <row r="12" spans="2:14" ht="15" customHeight="1" x14ac:dyDescent="0.25">
      <c r="B12" s="20"/>
      <c r="C12" s="5" t="s">
        <v>25</v>
      </c>
      <c r="D12" s="6" t="s">
        <v>28</v>
      </c>
      <c r="E12" s="11">
        <v>0.114759</v>
      </c>
      <c r="F12" s="1"/>
      <c r="G12" s="1"/>
      <c r="H12" s="1"/>
      <c r="I12" s="1"/>
      <c r="J12" s="24" t="s">
        <v>55</v>
      </c>
      <c r="K12" s="28">
        <v>0.714364</v>
      </c>
      <c r="L12" s="1"/>
      <c r="M12" s="1"/>
      <c r="N12" s="18"/>
    </row>
    <row r="13" spans="2:14" ht="15" customHeight="1" x14ac:dyDescent="0.25">
      <c r="B13" s="20"/>
      <c r="C13" s="5" t="s">
        <v>31</v>
      </c>
      <c r="D13" s="6" t="s">
        <v>28</v>
      </c>
      <c r="E13" s="11">
        <v>0.114547</v>
      </c>
      <c r="F13" s="1"/>
      <c r="G13" s="1"/>
      <c r="H13" s="1"/>
      <c r="I13" s="1"/>
      <c r="J13" s="24" t="s">
        <v>160</v>
      </c>
      <c r="K13" s="28">
        <v>1.8758E-2</v>
      </c>
      <c r="L13" s="1"/>
      <c r="M13" s="1"/>
      <c r="N13" s="18"/>
    </row>
    <row r="14" spans="2:14" ht="15" customHeight="1" x14ac:dyDescent="0.25">
      <c r="B14" s="20"/>
      <c r="C14" s="5" t="s">
        <v>29</v>
      </c>
      <c r="D14" s="6" t="s">
        <v>28</v>
      </c>
      <c r="E14" s="11">
        <v>0.11357399999999999</v>
      </c>
      <c r="F14" s="1"/>
      <c r="G14" s="1"/>
      <c r="H14" s="1"/>
      <c r="I14" s="1"/>
      <c r="J14" s="24" t="s">
        <v>43</v>
      </c>
      <c r="K14" s="28">
        <v>3.0539999999999999E-3</v>
      </c>
      <c r="L14" s="1"/>
      <c r="M14" s="1"/>
      <c r="N14" s="18"/>
    </row>
    <row r="15" spans="2:14" ht="15" customHeight="1" x14ac:dyDescent="0.25">
      <c r="B15" s="20"/>
      <c r="C15" s="5" t="s">
        <v>33</v>
      </c>
      <c r="D15" s="6" t="s">
        <v>28</v>
      </c>
      <c r="E15" s="11">
        <v>0.111141</v>
      </c>
      <c r="F15" s="1"/>
      <c r="G15" s="1"/>
      <c r="H15" s="1"/>
      <c r="I15" s="1"/>
      <c r="J15" s="24" t="s">
        <v>56</v>
      </c>
      <c r="K15" s="28">
        <v>1.3940000000000001E-3</v>
      </c>
      <c r="L15" s="1"/>
      <c r="M15" s="1"/>
      <c r="N15" s="18"/>
    </row>
    <row r="16" spans="2:14" ht="15" customHeight="1" x14ac:dyDescent="0.25">
      <c r="B16" s="20"/>
      <c r="C16" s="5" t="s">
        <v>32</v>
      </c>
      <c r="D16" s="6" t="s">
        <v>28</v>
      </c>
      <c r="E16" s="11">
        <v>9.1414999999999996E-2</v>
      </c>
      <c r="F16" s="1"/>
      <c r="G16" s="1"/>
      <c r="H16" s="1"/>
      <c r="I16" s="1"/>
      <c r="J16" s="24" t="s">
        <v>57</v>
      </c>
      <c r="K16" s="28">
        <v>1.1053E-2</v>
      </c>
      <c r="L16" s="1"/>
      <c r="M16" s="1"/>
      <c r="N16" s="18"/>
    </row>
    <row r="17" spans="2:14" ht="15" customHeight="1" x14ac:dyDescent="0.25">
      <c r="B17" s="20"/>
      <c r="C17" s="5" t="s">
        <v>72</v>
      </c>
      <c r="D17" s="6" t="s">
        <v>28</v>
      </c>
      <c r="E17" s="11">
        <v>8.9408000000000001E-2</v>
      </c>
      <c r="F17" s="1"/>
      <c r="G17" s="1"/>
      <c r="H17" s="1"/>
      <c r="I17" s="1"/>
      <c r="J17" s="24" t="s">
        <v>161</v>
      </c>
      <c r="K17" s="28">
        <v>0.121436</v>
      </c>
      <c r="L17" s="1"/>
      <c r="M17" s="1"/>
      <c r="N17" s="18"/>
    </row>
    <row r="18" spans="2:14" ht="15" customHeight="1" x14ac:dyDescent="0.25">
      <c r="B18" s="20"/>
      <c r="C18" s="5" t="s">
        <v>27</v>
      </c>
      <c r="D18" s="6" t="s">
        <v>28</v>
      </c>
      <c r="E18" s="11">
        <v>4.2165000000000001E-2</v>
      </c>
      <c r="F18" s="1"/>
      <c r="G18" s="1"/>
      <c r="H18" s="1"/>
      <c r="I18" s="1"/>
      <c r="J18" s="24" t="s">
        <v>82</v>
      </c>
      <c r="K18" s="28">
        <v>2.1297E-2</v>
      </c>
      <c r="L18" s="1"/>
      <c r="M18" s="1"/>
      <c r="N18" s="18"/>
    </row>
    <row r="19" spans="2:14" ht="15" customHeight="1" x14ac:dyDescent="0.25">
      <c r="B19" s="20"/>
      <c r="C19" s="5" t="s">
        <v>168</v>
      </c>
      <c r="D19" s="6" t="s">
        <v>28</v>
      </c>
      <c r="E19" s="11">
        <v>1.4777E-2</v>
      </c>
      <c r="F19" s="1"/>
      <c r="G19" s="1"/>
      <c r="H19" s="1"/>
      <c r="I19" s="1"/>
      <c r="J19" s="1"/>
      <c r="K19" s="1"/>
      <c r="L19" s="1"/>
      <c r="M19" s="1"/>
      <c r="N19" s="18"/>
    </row>
    <row r="20" spans="2:14" ht="15" customHeight="1" x14ac:dyDescent="0.25">
      <c r="B20" s="20"/>
      <c r="C20" s="5" t="s">
        <v>128</v>
      </c>
      <c r="D20" s="6" t="s">
        <v>90</v>
      </c>
      <c r="E20" s="11">
        <v>1.1774E-2</v>
      </c>
      <c r="F20" s="1"/>
      <c r="G20" s="1"/>
      <c r="H20" s="1"/>
      <c r="I20" s="1"/>
      <c r="J20" s="1"/>
      <c r="K20" s="1"/>
      <c r="L20" s="1"/>
      <c r="M20" s="1"/>
      <c r="N20" s="18"/>
    </row>
    <row r="21" spans="2:14" ht="15" customHeight="1" x14ac:dyDescent="0.25">
      <c r="B21" s="20"/>
      <c r="C21" s="5" t="s">
        <v>73</v>
      </c>
      <c r="D21" s="6" t="s">
        <v>28</v>
      </c>
      <c r="E21" s="11">
        <v>1.0803999999999999E-2</v>
      </c>
      <c r="F21" s="1"/>
      <c r="G21" s="1"/>
      <c r="H21" s="1"/>
      <c r="I21" s="1"/>
      <c r="J21" s="1"/>
      <c r="K21" s="1"/>
      <c r="L21" s="1"/>
      <c r="M21" s="1"/>
      <c r="N21" s="18"/>
    </row>
    <row r="22" spans="2:14" ht="15.75" customHeight="1" x14ac:dyDescent="0.25">
      <c r="B22" s="20"/>
      <c r="C22" s="7" t="s">
        <v>42</v>
      </c>
      <c r="D22" s="8"/>
      <c r="E22" s="12">
        <v>0.714364</v>
      </c>
      <c r="F22" s="1"/>
      <c r="G22" s="1"/>
      <c r="H22" s="1"/>
      <c r="I22" s="1"/>
      <c r="J22" s="1"/>
      <c r="K22" s="1"/>
      <c r="L22" s="1"/>
      <c r="M22" s="1"/>
      <c r="N22" s="18"/>
    </row>
    <row r="23" spans="2:14" ht="15" customHeight="1" x14ac:dyDescent="0.25">
      <c r="B23" s="20"/>
      <c r="C23" s="5" t="s">
        <v>43</v>
      </c>
      <c r="D23" s="6"/>
      <c r="E23" s="11">
        <v>3.0539999999999999E-3</v>
      </c>
      <c r="F23" s="1"/>
      <c r="G23" s="1"/>
      <c r="H23" s="1"/>
      <c r="I23" s="1"/>
      <c r="J23" s="1"/>
      <c r="K23" s="1"/>
      <c r="L23" s="1"/>
      <c r="M23" s="1"/>
      <c r="N23" s="18"/>
    </row>
    <row r="24" spans="2:14" ht="15.75" customHeight="1" x14ac:dyDescent="0.25">
      <c r="B24" s="20"/>
      <c r="C24" s="7" t="s">
        <v>44</v>
      </c>
      <c r="D24" s="8"/>
      <c r="E24" s="12">
        <v>3.0539999999999999E-3</v>
      </c>
      <c r="F24" s="1"/>
      <c r="G24" s="85" t="s">
        <v>120</v>
      </c>
      <c r="H24" s="86"/>
      <c r="I24" s="86"/>
      <c r="J24" s="86"/>
      <c r="K24" s="86"/>
      <c r="L24" s="66">
        <v>366.8055417335238</v>
      </c>
      <c r="M24" s="26"/>
      <c r="N24" s="27"/>
    </row>
    <row r="25" spans="2:14" ht="15" customHeight="1" x14ac:dyDescent="0.25">
      <c r="B25" s="20"/>
      <c r="C25" s="5" t="s">
        <v>117</v>
      </c>
      <c r="D25" s="6" t="s">
        <v>194</v>
      </c>
      <c r="E25" s="11">
        <v>1.3940000000000001E-3</v>
      </c>
      <c r="F25" s="1"/>
      <c r="G25" s="1"/>
      <c r="H25" s="1"/>
      <c r="I25" s="1"/>
      <c r="J25" s="1"/>
      <c r="K25" s="1"/>
      <c r="L25" s="1"/>
      <c r="M25" s="1"/>
      <c r="N25" s="18"/>
    </row>
    <row r="26" spans="2:14" ht="15.75" customHeight="1" x14ac:dyDescent="0.25">
      <c r="B26" s="20"/>
      <c r="C26" s="7" t="s">
        <v>52</v>
      </c>
      <c r="D26" s="8"/>
      <c r="E26" s="12">
        <v>1.3940000000000001E-3</v>
      </c>
      <c r="F26" s="1"/>
      <c r="G26" s="85" t="s">
        <v>18</v>
      </c>
      <c r="H26" s="86"/>
      <c r="I26" s="86"/>
      <c r="J26" s="86"/>
      <c r="K26" s="86"/>
      <c r="L26" s="86"/>
      <c r="M26" s="86"/>
      <c r="N26" s="87"/>
    </row>
    <row r="27" spans="2:14" ht="15" customHeight="1" x14ac:dyDescent="0.25">
      <c r="B27" s="20"/>
      <c r="C27" s="5" t="s">
        <v>197</v>
      </c>
      <c r="D27" s="6" t="s">
        <v>194</v>
      </c>
      <c r="E27" s="11">
        <v>9.7599999999999996E-3</v>
      </c>
      <c r="F27" s="1"/>
      <c r="G27" s="1"/>
      <c r="H27" s="1"/>
      <c r="I27" s="1"/>
      <c r="J27" s="1"/>
      <c r="K27" s="1"/>
      <c r="L27" s="1"/>
      <c r="M27" s="1"/>
      <c r="N27" s="18"/>
    </row>
    <row r="28" spans="2:14" ht="15.75" customHeight="1" x14ac:dyDescent="0.25">
      <c r="B28" s="20"/>
      <c r="C28" s="5" t="s">
        <v>196</v>
      </c>
      <c r="D28" s="6" t="s">
        <v>194</v>
      </c>
      <c r="E28" s="11">
        <v>9.9599999999999992E-4</v>
      </c>
      <c r="F28" s="1"/>
      <c r="G28" s="1"/>
      <c r="H28" s="1"/>
      <c r="I28" s="1"/>
      <c r="J28" s="1"/>
      <c r="K28" s="1"/>
      <c r="L28" s="1"/>
      <c r="M28" s="1"/>
      <c r="N28" s="18"/>
    </row>
    <row r="29" spans="2:14" ht="15" customHeight="1" x14ac:dyDescent="0.25">
      <c r="B29" s="20"/>
      <c r="C29" s="5" t="s">
        <v>198</v>
      </c>
      <c r="D29" s="6" t="s">
        <v>194</v>
      </c>
      <c r="E29" s="11">
        <v>2.9700000000000001E-4</v>
      </c>
      <c r="F29" s="1"/>
      <c r="G29" s="1"/>
      <c r="H29" s="1"/>
      <c r="I29" s="1"/>
      <c r="J29" s="1"/>
      <c r="K29" s="1"/>
      <c r="L29" s="1"/>
      <c r="M29" s="1"/>
      <c r="N29" s="18"/>
    </row>
    <row r="30" spans="2:14" ht="15" customHeight="1" x14ac:dyDescent="0.25">
      <c r="B30" s="20"/>
      <c r="C30" s="7" t="s">
        <v>53</v>
      </c>
      <c r="D30" s="8"/>
      <c r="E30" s="12">
        <v>1.1053E-2</v>
      </c>
      <c r="F30" s="1"/>
      <c r="G30" s="1"/>
      <c r="H30" s="1"/>
      <c r="I30" s="1"/>
      <c r="J30" s="1"/>
      <c r="K30" s="1"/>
      <c r="L30" s="1"/>
      <c r="M30" s="1"/>
      <c r="N30" s="18"/>
    </row>
    <row r="31" spans="2:14" ht="15" customHeight="1" x14ac:dyDescent="0.25">
      <c r="B31" s="20"/>
      <c r="C31" s="5" t="s">
        <v>169</v>
      </c>
      <c r="D31" s="6" t="s">
        <v>194</v>
      </c>
      <c r="E31" s="11">
        <v>6.8419999999999995E-2</v>
      </c>
      <c r="F31" s="1"/>
      <c r="G31" s="1"/>
      <c r="H31" s="1"/>
      <c r="I31" s="1"/>
      <c r="J31" s="1"/>
      <c r="K31" s="1"/>
      <c r="L31" s="1"/>
      <c r="M31" s="1"/>
      <c r="N31" s="18"/>
    </row>
    <row r="32" spans="2:14" ht="15" customHeight="1" x14ac:dyDescent="0.25">
      <c r="B32" s="20"/>
      <c r="C32" s="5" t="s">
        <v>170</v>
      </c>
      <c r="D32" s="6" t="s">
        <v>194</v>
      </c>
      <c r="E32" s="11">
        <v>3.3445999999999997E-2</v>
      </c>
      <c r="F32" s="1"/>
      <c r="G32" s="1"/>
      <c r="H32" s="1"/>
      <c r="I32" s="1"/>
      <c r="J32" s="1"/>
      <c r="K32" s="1"/>
      <c r="L32" s="1"/>
      <c r="M32" s="1"/>
      <c r="N32" s="18"/>
    </row>
    <row r="33" spans="2:14" ht="15" customHeight="1" x14ac:dyDescent="0.25">
      <c r="B33" s="20"/>
      <c r="C33" s="5" t="s">
        <v>171</v>
      </c>
      <c r="D33" s="6" t="s">
        <v>194</v>
      </c>
      <c r="E33" s="11">
        <v>9.8119999999999995E-3</v>
      </c>
      <c r="F33" s="1"/>
      <c r="G33" s="1"/>
      <c r="H33" s="1"/>
      <c r="I33" s="1"/>
      <c r="J33" s="1"/>
      <c r="K33" s="1"/>
      <c r="L33" s="1"/>
      <c r="M33" s="1"/>
      <c r="N33" s="18"/>
    </row>
    <row r="34" spans="2:14" ht="15.75" customHeight="1" x14ac:dyDescent="0.25">
      <c r="B34" s="20"/>
      <c r="C34" s="5" t="s">
        <v>172</v>
      </c>
      <c r="D34" s="6" t="s">
        <v>194</v>
      </c>
      <c r="E34" s="11">
        <v>9.606E-3</v>
      </c>
      <c r="F34" s="1"/>
      <c r="G34" s="1"/>
      <c r="H34" s="1"/>
      <c r="I34" s="1"/>
      <c r="J34" s="1"/>
      <c r="K34" s="1"/>
      <c r="L34" s="1"/>
      <c r="M34" s="1"/>
      <c r="N34" s="18"/>
    </row>
    <row r="35" spans="2:14" ht="15" customHeight="1" x14ac:dyDescent="0.25">
      <c r="B35" s="20"/>
      <c r="C35" s="5" t="s">
        <v>173</v>
      </c>
      <c r="D35" s="6" t="s">
        <v>194</v>
      </c>
      <c r="E35" s="11">
        <v>1.5200000000000001E-4</v>
      </c>
      <c r="F35" s="1"/>
      <c r="G35" s="1"/>
      <c r="H35" s="1"/>
      <c r="I35" s="1"/>
      <c r="J35" s="1"/>
      <c r="K35" s="1"/>
      <c r="L35" s="1"/>
      <c r="M35" s="1"/>
      <c r="N35" s="18"/>
    </row>
    <row r="36" spans="2:14" ht="15.75" customHeight="1" x14ac:dyDescent="0.25">
      <c r="B36" s="20"/>
      <c r="C36" s="7" t="s">
        <v>159</v>
      </c>
      <c r="D36" s="8"/>
      <c r="E36" s="12">
        <v>0.121436</v>
      </c>
      <c r="F36" s="1"/>
      <c r="G36" s="1"/>
      <c r="H36" s="1"/>
      <c r="I36" s="1"/>
      <c r="J36" s="1"/>
      <c r="K36" s="1"/>
      <c r="L36" s="1"/>
      <c r="M36" s="1"/>
      <c r="N36" s="18"/>
    </row>
    <row r="37" spans="2:14" ht="15" customHeight="1" x14ac:dyDescent="0.25">
      <c r="B37" s="20"/>
      <c r="C37" s="5" t="s">
        <v>8</v>
      </c>
      <c r="D37" s="6"/>
      <c r="E37" s="11">
        <v>3.2661999999999997E-2</v>
      </c>
      <c r="F37" s="1"/>
      <c r="G37" s="1"/>
      <c r="H37" s="1"/>
      <c r="I37" s="1"/>
      <c r="J37" s="1"/>
      <c r="K37" s="1"/>
      <c r="L37" s="1"/>
      <c r="M37" s="1"/>
      <c r="N37" s="18"/>
    </row>
    <row r="38" spans="2:14" ht="15" customHeight="1" x14ac:dyDescent="0.25">
      <c r="B38" s="20"/>
      <c r="C38" s="7" t="s">
        <v>9</v>
      </c>
      <c r="D38" s="8"/>
      <c r="E38" s="12">
        <v>3.2661999999999997E-2</v>
      </c>
      <c r="F38" s="1"/>
      <c r="G38" s="1"/>
      <c r="H38" s="1"/>
      <c r="I38" s="1"/>
      <c r="J38" s="1"/>
      <c r="K38" s="1"/>
      <c r="L38" s="1"/>
      <c r="M38" s="1"/>
      <c r="N38" s="18"/>
    </row>
    <row r="39" spans="2:14" ht="15.75" customHeight="1" x14ac:dyDescent="0.25">
      <c r="B39" s="20"/>
      <c r="C39" s="5" t="s">
        <v>72</v>
      </c>
      <c r="D39" s="6" t="s">
        <v>28</v>
      </c>
      <c r="E39" s="11">
        <v>1.6594000000000001E-2</v>
      </c>
      <c r="F39" s="1"/>
      <c r="G39" s="1"/>
      <c r="H39" s="1"/>
      <c r="I39" s="1"/>
      <c r="J39" s="1"/>
      <c r="K39" s="1"/>
      <c r="L39" s="1"/>
      <c r="M39" s="1"/>
      <c r="N39" s="18"/>
    </row>
    <row r="40" spans="2:14" ht="15" customHeight="1" x14ac:dyDescent="0.25">
      <c r="B40" s="20"/>
      <c r="C40" s="5" t="s">
        <v>73</v>
      </c>
      <c r="D40" s="6" t="s">
        <v>28</v>
      </c>
      <c r="E40" s="11">
        <v>4.7029999999999997E-3</v>
      </c>
      <c r="F40" s="1"/>
      <c r="G40" s="1"/>
      <c r="H40" s="1"/>
      <c r="I40" s="1"/>
      <c r="J40" s="1"/>
      <c r="K40" s="1"/>
      <c r="L40" s="1"/>
      <c r="M40" s="1"/>
      <c r="N40" s="18"/>
    </row>
    <row r="41" spans="2:14" ht="15.75" customHeight="1" x14ac:dyDescent="0.25">
      <c r="B41" s="20"/>
      <c r="C41" s="7" t="s">
        <v>81</v>
      </c>
      <c r="D41" s="8"/>
      <c r="E41" s="12">
        <v>2.1297E-2</v>
      </c>
      <c r="F41" s="1"/>
      <c r="G41" s="1"/>
      <c r="H41" s="1"/>
      <c r="I41" s="1"/>
      <c r="J41" s="1"/>
      <c r="K41" s="1"/>
      <c r="L41" s="1"/>
      <c r="M41" s="1"/>
      <c r="N41" s="18"/>
    </row>
    <row r="42" spans="2:14" ht="15" customHeight="1" x14ac:dyDescent="0.25">
      <c r="B42" s="20"/>
      <c r="C42" s="5"/>
      <c r="D42" s="6"/>
      <c r="E42" s="11"/>
      <c r="F42" s="1"/>
      <c r="G42" s="1"/>
      <c r="H42" s="1"/>
      <c r="I42" s="1"/>
      <c r="J42" s="1"/>
      <c r="K42" s="1"/>
      <c r="L42" s="1"/>
      <c r="M42" s="1"/>
      <c r="N42" s="18"/>
    </row>
    <row r="43" spans="2:14" ht="15" customHeight="1" x14ac:dyDescent="0.25">
      <c r="B43" s="20"/>
      <c r="C43" s="7" t="s">
        <v>10</v>
      </c>
      <c r="D43" s="8"/>
      <c r="E43" s="12">
        <v>1.4040000000000001E-3</v>
      </c>
      <c r="F43" s="1"/>
      <c r="G43" s="1"/>
      <c r="H43" s="1"/>
      <c r="I43" s="1"/>
      <c r="J43" s="1"/>
      <c r="K43" s="1"/>
      <c r="L43" s="1"/>
      <c r="M43" s="1"/>
      <c r="N43" s="18"/>
    </row>
    <row r="44" spans="2:14" ht="15" customHeight="1" x14ac:dyDescent="0.25">
      <c r="B44" s="20"/>
      <c r="C44" s="5"/>
      <c r="D44" s="6"/>
      <c r="E44" s="11"/>
      <c r="F44" s="1"/>
      <c r="G44" s="1"/>
      <c r="H44" s="1"/>
      <c r="I44" s="1"/>
      <c r="J44" s="1"/>
      <c r="K44" s="1"/>
      <c r="L44" s="1"/>
      <c r="M44" s="1"/>
      <c r="N44" s="18"/>
    </row>
    <row r="45" spans="2:14" ht="15" customHeight="1" x14ac:dyDescent="0.25">
      <c r="B45" s="20"/>
      <c r="C45" s="9" t="s">
        <v>11</v>
      </c>
      <c r="D45" s="10"/>
      <c r="E45" s="13">
        <v>1</v>
      </c>
      <c r="F45" s="1"/>
      <c r="G45" s="1"/>
      <c r="H45" s="1"/>
      <c r="I45" s="1"/>
      <c r="J45" s="1"/>
      <c r="K45" s="1"/>
      <c r="L45" s="1"/>
      <c r="M45" s="1"/>
      <c r="N45" s="18"/>
    </row>
    <row r="46" spans="2:14" ht="15" customHeight="1" x14ac:dyDescent="0.25">
      <c r="B46" s="20"/>
      <c r="C46" s="1"/>
      <c r="D46" s="1"/>
      <c r="E46" s="1"/>
      <c r="F46" s="1"/>
      <c r="G46" s="1"/>
      <c r="H46" s="1"/>
      <c r="I46" s="1"/>
      <c r="J46" s="1"/>
      <c r="K46" s="1"/>
      <c r="L46" s="1"/>
      <c r="M46" s="1"/>
      <c r="N46" s="18"/>
    </row>
    <row r="47" spans="2:14" ht="15" customHeight="1" thickBot="1" x14ac:dyDescent="0.3">
      <c r="B47" s="21"/>
      <c r="C47" s="22"/>
      <c r="D47" s="22"/>
      <c r="E47" s="22"/>
      <c r="F47" s="22"/>
      <c r="G47" s="22"/>
      <c r="H47" s="22"/>
      <c r="I47" s="22"/>
      <c r="J47" s="22"/>
      <c r="K47" s="22"/>
      <c r="L47" s="22"/>
      <c r="M47" s="22"/>
      <c r="N47" s="23"/>
    </row>
    <row r="48" spans="2:14" ht="15" customHeight="1" thickBot="1" x14ac:dyDescent="0.3"/>
    <row r="49" spans="2:14" ht="15" customHeight="1" x14ac:dyDescent="0.25">
      <c r="B49" s="68" t="s">
        <v>265</v>
      </c>
      <c r="C49" s="69"/>
      <c r="D49" s="69"/>
      <c r="E49" s="69"/>
      <c r="F49" s="69"/>
      <c r="G49" s="69"/>
      <c r="H49" s="69"/>
      <c r="I49" s="69"/>
      <c r="J49" s="69"/>
      <c r="K49" s="69"/>
      <c r="L49" s="69"/>
      <c r="M49" s="69"/>
      <c r="N49" s="70"/>
    </row>
    <row r="50" spans="2:14" ht="15" customHeight="1" x14ac:dyDescent="0.25">
      <c r="B50" s="71"/>
      <c r="C50" s="72"/>
      <c r="D50" s="72"/>
      <c r="E50" s="72"/>
      <c r="F50" s="72"/>
      <c r="G50" s="72"/>
      <c r="H50" s="72"/>
      <c r="I50" s="72"/>
      <c r="J50" s="72"/>
      <c r="K50" s="72"/>
      <c r="L50" s="72"/>
      <c r="M50" s="72"/>
      <c r="N50" s="73"/>
    </row>
    <row r="51" spans="2:14" ht="15" customHeight="1" x14ac:dyDescent="0.25">
      <c r="B51" s="71"/>
      <c r="C51" s="72"/>
      <c r="D51" s="72"/>
      <c r="E51" s="72"/>
      <c r="F51" s="72"/>
      <c r="G51" s="72"/>
      <c r="H51" s="72"/>
      <c r="I51" s="72"/>
      <c r="J51" s="72"/>
      <c r="K51" s="72"/>
      <c r="L51" s="72"/>
      <c r="M51" s="72"/>
      <c r="N51" s="73"/>
    </row>
    <row r="52" spans="2:14" ht="15" customHeight="1" thickBot="1" x14ac:dyDescent="0.3">
      <c r="B52" s="74"/>
      <c r="C52" s="75"/>
      <c r="D52" s="75"/>
      <c r="E52" s="75"/>
      <c r="F52" s="75"/>
      <c r="G52" s="75"/>
      <c r="H52" s="75"/>
      <c r="I52" s="75"/>
      <c r="J52" s="75"/>
      <c r="K52" s="75"/>
      <c r="L52" s="75"/>
      <c r="M52" s="75"/>
      <c r="N52" s="76"/>
    </row>
    <row r="53" spans="2:14" ht="15" customHeight="1" thickBot="1" x14ac:dyDescent="0.3"/>
    <row r="54" spans="2:14" ht="125.25" customHeight="1" thickBot="1" x14ac:dyDescent="0.3">
      <c r="B54" s="77" t="s">
        <v>264</v>
      </c>
      <c r="C54" s="78"/>
      <c r="D54" s="78"/>
      <c r="E54" s="78"/>
      <c r="F54" s="78"/>
      <c r="G54" s="78"/>
      <c r="H54" s="78"/>
      <c r="I54" s="78"/>
      <c r="J54" s="78"/>
      <c r="K54" s="78"/>
      <c r="L54" s="78"/>
      <c r="M54" s="78"/>
      <c r="N54" s="79"/>
    </row>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sheetData>
  <sortState ref="C27:E29">
    <sortCondition descending="1" ref="E27"/>
  </sortState>
  <mergeCells count="7">
    <mergeCell ref="B49:N52"/>
    <mergeCell ref="B54:N54"/>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6553C-CC51-406F-8985-2D7F5D368A08}">
  <dimension ref="B1:N80"/>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174</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175</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24</v>
      </c>
      <c r="D8" s="6" t="s">
        <v>22</v>
      </c>
      <c r="E8" s="11">
        <v>0.118089</v>
      </c>
      <c r="F8" s="1"/>
      <c r="G8" s="24" t="s">
        <v>15</v>
      </c>
      <c r="H8" s="25">
        <v>1</v>
      </c>
      <c r="I8" s="1"/>
      <c r="J8" s="24" t="s">
        <v>12</v>
      </c>
      <c r="K8" s="24" t="s">
        <v>5</v>
      </c>
      <c r="L8" s="1"/>
      <c r="M8" s="1"/>
      <c r="N8" s="18"/>
    </row>
    <row r="9" spans="2:14" ht="15" customHeight="1" x14ac:dyDescent="0.25">
      <c r="B9" s="20"/>
      <c r="C9" s="5" t="s">
        <v>27</v>
      </c>
      <c r="D9" s="6" t="s">
        <v>22</v>
      </c>
      <c r="E9" s="11">
        <v>0.11276899999999999</v>
      </c>
      <c r="F9" s="1"/>
      <c r="G9" s="1"/>
      <c r="H9" s="1"/>
      <c r="I9" s="1"/>
      <c r="J9" s="24" t="s">
        <v>10</v>
      </c>
      <c r="K9" s="28">
        <v>-2.7469999999999999E-3</v>
      </c>
      <c r="L9" s="1"/>
      <c r="M9" s="1"/>
      <c r="N9" s="18"/>
    </row>
    <row r="10" spans="2:14" ht="15" customHeight="1" x14ac:dyDescent="0.25">
      <c r="B10" s="20"/>
      <c r="C10" s="5" t="s">
        <v>29</v>
      </c>
      <c r="D10" s="6" t="s">
        <v>22</v>
      </c>
      <c r="E10" s="11">
        <v>0.107739</v>
      </c>
      <c r="F10" s="1"/>
      <c r="G10" s="1"/>
      <c r="H10" s="1"/>
      <c r="I10" s="1"/>
      <c r="J10" s="24" t="s">
        <v>13</v>
      </c>
      <c r="K10" s="28">
        <v>4.5570000000000003E-3</v>
      </c>
      <c r="L10" s="1"/>
      <c r="M10" s="1"/>
      <c r="N10" s="18"/>
    </row>
    <row r="11" spans="2:14" ht="15" customHeight="1" x14ac:dyDescent="0.25">
      <c r="B11" s="20"/>
      <c r="C11" s="5" t="s">
        <v>25</v>
      </c>
      <c r="D11" s="6" t="s">
        <v>22</v>
      </c>
      <c r="E11" s="11">
        <v>9.2291999999999999E-2</v>
      </c>
      <c r="F11" s="1"/>
      <c r="G11" s="1"/>
      <c r="H11" s="1"/>
      <c r="I11" s="1"/>
      <c r="J11" s="24" t="s">
        <v>54</v>
      </c>
      <c r="K11" s="28">
        <v>0.62790599999999996</v>
      </c>
      <c r="L11" s="1"/>
      <c r="M11" s="1"/>
      <c r="N11" s="18"/>
    </row>
    <row r="12" spans="2:14" ht="15" customHeight="1" x14ac:dyDescent="0.25">
      <c r="B12" s="20"/>
      <c r="C12" s="5" t="s">
        <v>21</v>
      </c>
      <c r="D12" s="6" t="s">
        <v>22</v>
      </c>
      <c r="E12" s="11">
        <v>6.1136999999999997E-2</v>
      </c>
      <c r="F12" s="1"/>
      <c r="G12" s="1"/>
      <c r="H12" s="1"/>
      <c r="I12" s="1"/>
      <c r="J12" s="24" t="s">
        <v>160</v>
      </c>
      <c r="K12" s="28">
        <v>0.23385300000000001</v>
      </c>
      <c r="L12" s="1"/>
      <c r="M12" s="1"/>
      <c r="N12" s="18"/>
    </row>
    <row r="13" spans="2:14" ht="15" customHeight="1" x14ac:dyDescent="0.25">
      <c r="B13" s="20"/>
      <c r="C13" s="5" t="s">
        <v>176</v>
      </c>
      <c r="D13" s="6" t="s">
        <v>22</v>
      </c>
      <c r="E13" s="11">
        <v>5.6306000000000002E-2</v>
      </c>
      <c r="F13" s="1"/>
      <c r="G13" s="1"/>
      <c r="H13" s="1"/>
      <c r="I13" s="1"/>
      <c r="J13" s="24" t="s">
        <v>43</v>
      </c>
      <c r="K13" s="28">
        <v>1.6230000000000001E-3</v>
      </c>
      <c r="L13" s="1"/>
      <c r="M13" s="1"/>
      <c r="N13" s="18"/>
    </row>
    <row r="14" spans="2:14" ht="15" customHeight="1" x14ac:dyDescent="0.25">
      <c r="B14" s="20"/>
      <c r="C14" s="5" t="s">
        <v>23</v>
      </c>
      <c r="D14" s="6" t="s">
        <v>22</v>
      </c>
      <c r="E14" s="11">
        <v>5.1330000000000001E-2</v>
      </c>
      <c r="F14" s="1"/>
      <c r="G14" s="1"/>
      <c r="H14" s="1"/>
      <c r="I14" s="1"/>
      <c r="J14" s="24" t="s">
        <v>185</v>
      </c>
      <c r="K14" s="28">
        <v>1.023E-3</v>
      </c>
      <c r="L14" s="1"/>
      <c r="M14" s="1"/>
      <c r="N14" s="18"/>
    </row>
    <row r="15" spans="2:14" ht="15" customHeight="1" x14ac:dyDescent="0.25">
      <c r="B15" s="20"/>
      <c r="C15" s="5" t="s">
        <v>139</v>
      </c>
      <c r="D15" s="6" t="s">
        <v>22</v>
      </c>
      <c r="E15" s="11">
        <v>1.8856000000000001E-2</v>
      </c>
      <c r="F15" s="1"/>
      <c r="G15" s="1"/>
      <c r="H15" s="1"/>
      <c r="I15" s="1"/>
      <c r="J15" s="24" t="s">
        <v>57</v>
      </c>
      <c r="K15" s="28">
        <v>8.8345999999999994E-2</v>
      </c>
      <c r="L15" s="1"/>
      <c r="M15" s="1"/>
      <c r="N15" s="18"/>
    </row>
    <row r="16" spans="2:14" ht="15" customHeight="1" x14ac:dyDescent="0.25">
      <c r="B16" s="20"/>
      <c r="C16" s="5" t="s">
        <v>138</v>
      </c>
      <c r="D16" s="6" t="s">
        <v>22</v>
      </c>
      <c r="E16" s="11">
        <v>4.7099999999999998E-3</v>
      </c>
      <c r="F16" s="1"/>
      <c r="G16" s="1"/>
      <c r="H16" s="1"/>
      <c r="I16" s="1"/>
      <c r="J16" s="24" t="s">
        <v>161</v>
      </c>
      <c r="K16" s="28">
        <v>4.5439E-2</v>
      </c>
      <c r="L16" s="1"/>
      <c r="M16" s="1"/>
      <c r="N16" s="18"/>
    </row>
    <row r="17" spans="2:14" ht="15" customHeight="1" x14ac:dyDescent="0.25">
      <c r="B17" s="20"/>
      <c r="C17" s="5" t="s">
        <v>137</v>
      </c>
      <c r="D17" s="6" t="s">
        <v>22</v>
      </c>
      <c r="E17" s="11">
        <v>4.6779999999999999E-3</v>
      </c>
      <c r="F17" s="1"/>
      <c r="G17" s="1"/>
      <c r="H17" s="1"/>
      <c r="I17" s="1"/>
      <c r="J17" s="1"/>
      <c r="K17" s="1"/>
      <c r="L17" s="1"/>
      <c r="M17" s="1"/>
      <c r="N17" s="18"/>
    </row>
    <row r="18" spans="2:14" ht="15.75" customHeight="1" x14ac:dyDescent="0.25">
      <c r="B18" s="20"/>
      <c r="C18" s="7" t="s">
        <v>26</v>
      </c>
      <c r="D18" s="8"/>
      <c r="E18" s="12">
        <v>0.62790599999999996</v>
      </c>
      <c r="F18" s="1"/>
      <c r="G18" s="1"/>
      <c r="H18" s="1"/>
      <c r="I18" s="1"/>
      <c r="J18" s="1"/>
      <c r="K18" s="1"/>
      <c r="L18" s="1"/>
      <c r="M18" s="1"/>
      <c r="N18" s="18"/>
    </row>
    <row r="19" spans="2:14" ht="15" customHeight="1" x14ac:dyDescent="0.25">
      <c r="B19" s="20"/>
      <c r="C19" s="5" t="s">
        <v>79</v>
      </c>
      <c r="D19" s="6" t="s">
        <v>22</v>
      </c>
      <c r="E19" s="11">
        <v>3.2635999999999998E-2</v>
      </c>
      <c r="F19" s="1"/>
      <c r="G19" s="1"/>
      <c r="H19" s="1"/>
      <c r="I19" s="1"/>
      <c r="J19" s="1"/>
      <c r="K19" s="1"/>
      <c r="L19" s="1"/>
      <c r="M19" s="1"/>
      <c r="N19" s="18"/>
    </row>
    <row r="20" spans="2:14" ht="15" customHeight="1" x14ac:dyDescent="0.25">
      <c r="B20" s="20"/>
      <c r="C20" s="5" t="s">
        <v>73</v>
      </c>
      <c r="D20" s="6" t="s">
        <v>22</v>
      </c>
      <c r="E20" s="11">
        <v>2.8177000000000001E-2</v>
      </c>
      <c r="F20" s="1"/>
      <c r="G20" s="1"/>
      <c r="H20" s="1"/>
      <c r="I20" s="1"/>
      <c r="J20" s="1"/>
      <c r="K20" s="1"/>
      <c r="L20" s="1"/>
      <c r="M20" s="1"/>
      <c r="N20" s="18"/>
    </row>
    <row r="21" spans="2:14" ht="15" customHeight="1" x14ac:dyDescent="0.25">
      <c r="B21" s="20"/>
      <c r="C21" s="5" t="s">
        <v>143</v>
      </c>
      <c r="D21" s="6" t="s">
        <v>22</v>
      </c>
      <c r="E21" s="11">
        <v>2.8004000000000001E-2</v>
      </c>
      <c r="F21" s="1"/>
      <c r="G21" s="1"/>
      <c r="H21" s="1"/>
      <c r="I21" s="1"/>
      <c r="J21" s="1"/>
      <c r="K21" s="1"/>
      <c r="L21" s="1"/>
      <c r="M21" s="1"/>
      <c r="N21" s="18"/>
    </row>
    <row r="22" spans="2:14" ht="15" customHeight="1" x14ac:dyDescent="0.25">
      <c r="B22" s="20"/>
      <c r="C22" s="5" t="s">
        <v>147</v>
      </c>
      <c r="D22" s="6" t="s">
        <v>22</v>
      </c>
      <c r="E22" s="11">
        <v>2.7869000000000001E-2</v>
      </c>
      <c r="F22" s="1"/>
      <c r="G22" s="1"/>
      <c r="H22" s="1"/>
      <c r="I22" s="1"/>
      <c r="J22" s="1"/>
      <c r="K22" s="1"/>
      <c r="L22" s="1"/>
      <c r="M22" s="1"/>
      <c r="N22" s="18"/>
    </row>
    <row r="23" spans="2:14" ht="15" customHeight="1" x14ac:dyDescent="0.25">
      <c r="B23" s="20"/>
      <c r="C23" s="5" t="s">
        <v>142</v>
      </c>
      <c r="D23" s="6" t="s">
        <v>22</v>
      </c>
      <c r="E23" s="11">
        <v>1.9026999999999999E-2</v>
      </c>
      <c r="F23" s="1"/>
      <c r="G23" s="1"/>
      <c r="H23" s="1"/>
      <c r="I23" s="1"/>
      <c r="J23" s="1"/>
      <c r="K23" s="1"/>
      <c r="L23" s="1"/>
      <c r="M23" s="1"/>
      <c r="N23" s="18"/>
    </row>
    <row r="24" spans="2:14" ht="15" customHeight="1" x14ac:dyDescent="0.25">
      <c r="B24" s="20"/>
      <c r="C24" s="5" t="s">
        <v>177</v>
      </c>
      <c r="D24" s="6" t="s">
        <v>22</v>
      </c>
      <c r="E24" s="11">
        <v>1.8782E-2</v>
      </c>
      <c r="F24" s="1"/>
      <c r="G24" s="85" t="s">
        <v>120</v>
      </c>
      <c r="H24" s="86"/>
      <c r="I24" s="86"/>
      <c r="J24" s="86"/>
      <c r="K24" s="86"/>
      <c r="L24" s="66">
        <v>244.19618784981731</v>
      </c>
      <c r="M24" s="26"/>
      <c r="N24" s="27"/>
    </row>
    <row r="25" spans="2:14" ht="15" customHeight="1" x14ac:dyDescent="0.25">
      <c r="B25" s="20"/>
      <c r="C25" s="5" t="s">
        <v>74</v>
      </c>
      <c r="D25" s="6" t="s">
        <v>22</v>
      </c>
      <c r="E25" s="11">
        <v>1.8741000000000001E-2</v>
      </c>
      <c r="F25" s="1"/>
      <c r="G25" s="1"/>
      <c r="H25" s="1"/>
      <c r="I25" s="1"/>
      <c r="J25" s="1"/>
      <c r="K25" s="1"/>
      <c r="L25" s="1"/>
      <c r="M25" s="1"/>
      <c r="N25" s="18"/>
    </row>
    <row r="26" spans="2:14" ht="15" customHeight="1" x14ac:dyDescent="0.25">
      <c r="B26" s="20"/>
      <c r="C26" s="5" t="s">
        <v>128</v>
      </c>
      <c r="D26" s="6" t="s">
        <v>22</v>
      </c>
      <c r="E26" s="11">
        <v>1.8629E-2</v>
      </c>
      <c r="F26" s="1"/>
      <c r="G26" s="85" t="s">
        <v>18</v>
      </c>
      <c r="H26" s="86"/>
      <c r="I26" s="86"/>
      <c r="J26" s="86"/>
      <c r="K26" s="86"/>
      <c r="L26" s="86"/>
      <c r="M26" s="86"/>
      <c r="N26" s="87"/>
    </row>
    <row r="27" spans="2:14" ht="15" customHeight="1" x14ac:dyDescent="0.25">
      <c r="B27" s="20"/>
      <c r="C27" s="5" t="s">
        <v>178</v>
      </c>
      <c r="D27" s="6" t="s">
        <v>22</v>
      </c>
      <c r="E27" s="11">
        <v>9.3849999999999992E-3</v>
      </c>
      <c r="F27" s="1"/>
      <c r="G27" s="1"/>
      <c r="H27" s="1"/>
      <c r="I27" s="1"/>
      <c r="J27" s="1"/>
      <c r="K27" s="1"/>
      <c r="L27" s="1"/>
      <c r="M27" s="1"/>
      <c r="N27" s="18"/>
    </row>
    <row r="28" spans="2:14" ht="15" customHeight="1" x14ac:dyDescent="0.25">
      <c r="B28" s="20"/>
      <c r="C28" s="5" t="s">
        <v>144</v>
      </c>
      <c r="D28" s="6" t="s">
        <v>22</v>
      </c>
      <c r="E28" s="11">
        <v>9.3710000000000009E-3</v>
      </c>
      <c r="F28" s="1"/>
      <c r="G28" s="1"/>
      <c r="H28" s="1"/>
      <c r="I28" s="1"/>
      <c r="J28" s="1"/>
      <c r="K28" s="1"/>
      <c r="L28" s="1"/>
      <c r="M28" s="1"/>
      <c r="N28" s="18"/>
    </row>
    <row r="29" spans="2:14" ht="15" customHeight="1" x14ac:dyDescent="0.25">
      <c r="B29" s="20"/>
      <c r="C29" s="5" t="s">
        <v>145</v>
      </c>
      <c r="D29" s="6" t="s">
        <v>22</v>
      </c>
      <c r="E29" s="11">
        <v>9.2929999999999992E-3</v>
      </c>
      <c r="F29" s="1"/>
      <c r="G29" s="1"/>
      <c r="H29" s="1"/>
      <c r="I29" s="1"/>
      <c r="J29" s="1"/>
      <c r="K29" s="1"/>
      <c r="L29" s="1"/>
      <c r="M29" s="1"/>
      <c r="N29" s="18"/>
    </row>
    <row r="30" spans="2:14" ht="15" customHeight="1" x14ac:dyDescent="0.25">
      <c r="B30" s="20"/>
      <c r="C30" s="5" t="s">
        <v>89</v>
      </c>
      <c r="D30" s="6" t="s">
        <v>22</v>
      </c>
      <c r="E30" s="11">
        <v>9.2910000000000006E-3</v>
      </c>
      <c r="F30" s="1"/>
      <c r="G30" s="1"/>
      <c r="H30" s="1"/>
      <c r="I30" s="1"/>
      <c r="J30" s="1"/>
      <c r="K30" s="1"/>
      <c r="L30" s="1"/>
      <c r="M30" s="1"/>
      <c r="N30" s="18"/>
    </row>
    <row r="31" spans="2:14" ht="15" customHeight="1" x14ac:dyDescent="0.25">
      <c r="B31" s="20"/>
      <c r="C31" s="5" t="s">
        <v>72</v>
      </c>
      <c r="D31" s="6" t="s">
        <v>22</v>
      </c>
      <c r="E31" s="11">
        <v>4.6480000000000002E-3</v>
      </c>
      <c r="F31" s="1"/>
      <c r="G31" s="1"/>
      <c r="H31" s="1"/>
      <c r="I31" s="1"/>
      <c r="J31" s="1"/>
      <c r="K31" s="1"/>
      <c r="L31" s="1"/>
      <c r="M31" s="1"/>
      <c r="N31" s="18"/>
    </row>
    <row r="32" spans="2:14" ht="15.75" customHeight="1" x14ac:dyDescent="0.25">
      <c r="B32" s="20"/>
      <c r="C32" s="7" t="s">
        <v>148</v>
      </c>
      <c r="D32" s="8"/>
      <c r="E32" s="12">
        <v>0.23385300000000001</v>
      </c>
      <c r="F32" s="1"/>
      <c r="G32" s="1"/>
      <c r="H32" s="1"/>
      <c r="I32" s="1"/>
      <c r="J32" s="1"/>
      <c r="K32" s="1"/>
      <c r="L32" s="1"/>
      <c r="M32" s="1"/>
      <c r="N32" s="18"/>
    </row>
    <row r="33" spans="2:14" ht="15" customHeight="1" x14ac:dyDescent="0.25">
      <c r="B33" s="20"/>
      <c r="C33" s="5" t="s">
        <v>43</v>
      </c>
      <c r="D33" s="6"/>
      <c r="E33" s="11">
        <v>1.6230000000000001E-3</v>
      </c>
      <c r="F33" s="1"/>
      <c r="G33" s="1"/>
      <c r="H33" s="1"/>
      <c r="I33" s="1"/>
      <c r="J33" s="1"/>
      <c r="K33" s="1"/>
      <c r="L33" s="1"/>
      <c r="M33" s="1"/>
      <c r="N33" s="18"/>
    </row>
    <row r="34" spans="2:14" ht="15.75" customHeight="1" x14ac:dyDescent="0.25">
      <c r="B34" s="20"/>
      <c r="C34" s="7" t="s">
        <v>44</v>
      </c>
      <c r="D34" s="8"/>
      <c r="E34" s="12">
        <v>1.6230000000000001E-3</v>
      </c>
      <c r="F34" s="1"/>
      <c r="G34" s="1"/>
      <c r="H34" s="1"/>
      <c r="I34" s="1"/>
      <c r="J34" s="1"/>
      <c r="K34" s="1"/>
      <c r="L34" s="1"/>
      <c r="M34" s="1"/>
      <c r="N34" s="18"/>
    </row>
    <row r="35" spans="2:14" ht="15" customHeight="1" x14ac:dyDescent="0.25">
      <c r="B35" s="20"/>
      <c r="C35" s="5" t="s">
        <v>179</v>
      </c>
      <c r="D35" s="6" t="s">
        <v>194</v>
      </c>
      <c r="E35" s="11">
        <v>1.023E-3</v>
      </c>
      <c r="F35" s="1"/>
      <c r="G35" s="1"/>
      <c r="H35" s="1"/>
      <c r="I35" s="1"/>
      <c r="J35" s="1"/>
      <c r="K35" s="1"/>
      <c r="L35" s="1"/>
      <c r="M35" s="1"/>
      <c r="N35" s="18"/>
    </row>
    <row r="36" spans="2:14" ht="15.75" customHeight="1" x14ac:dyDescent="0.25">
      <c r="B36" s="20"/>
      <c r="C36" s="7" t="s">
        <v>180</v>
      </c>
      <c r="D36" s="8"/>
      <c r="E36" s="12">
        <v>1.023E-3</v>
      </c>
      <c r="F36" s="1"/>
      <c r="G36" s="1"/>
      <c r="H36" s="1"/>
      <c r="I36" s="1"/>
      <c r="J36" s="1"/>
      <c r="K36" s="1"/>
      <c r="L36" s="1"/>
      <c r="M36" s="1"/>
      <c r="N36" s="18"/>
    </row>
    <row r="37" spans="2:14" ht="15" customHeight="1" x14ac:dyDescent="0.25">
      <c r="B37" s="20"/>
      <c r="C37" s="5" t="s">
        <v>204</v>
      </c>
      <c r="D37" s="6" t="s">
        <v>194</v>
      </c>
      <c r="E37" s="11">
        <v>3.227E-2</v>
      </c>
      <c r="F37" s="1"/>
      <c r="G37" s="1"/>
      <c r="H37" s="1"/>
      <c r="I37" s="1"/>
      <c r="J37" s="1"/>
      <c r="K37" s="1"/>
      <c r="L37" s="1"/>
      <c r="M37" s="1"/>
      <c r="N37" s="18"/>
    </row>
    <row r="38" spans="2:14" ht="15.75" customHeight="1" x14ac:dyDescent="0.25">
      <c r="B38" s="20"/>
      <c r="C38" s="5" t="s">
        <v>199</v>
      </c>
      <c r="D38" s="6" t="s">
        <v>194</v>
      </c>
      <c r="E38" s="11">
        <v>1.7860999999999998E-2</v>
      </c>
      <c r="F38" s="1"/>
      <c r="G38" s="1"/>
      <c r="H38" s="1"/>
      <c r="I38" s="1"/>
      <c r="J38" s="1"/>
      <c r="K38" s="1"/>
      <c r="L38" s="1"/>
      <c r="M38" s="1"/>
      <c r="N38" s="18"/>
    </row>
    <row r="39" spans="2:14" ht="15" customHeight="1" x14ac:dyDescent="0.25">
      <c r="B39" s="20"/>
      <c r="C39" s="5" t="s">
        <v>197</v>
      </c>
      <c r="D39" s="6" t="s">
        <v>194</v>
      </c>
      <c r="E39" s="11">
        <v>1.4626999999999999E-2</v>
      </c>
      <c r="F39" s="1"/>
      <c r="G39" s="1"/>
      <c r="H39" s="1"/>
      <c r="I39" s="1"/>
      <c r="J39" s="1"/>
      <c r="K39" s="1"/>
      <c r="L39" s="1"/>
      <c r="M39" s="1"/>
      <c r="N39" s="18"/>
    </row>
    <row r="40" spans="2:14" ht="15" customHeight="1" x14ac:dyDescent="0.25">
      <c r="B40" s="20"/>
      <c r="C40" s="5" t="s">
        <v>203</v>
      </c>
      <c r="D40" s="6" t="s">
        <v>194</v>
      </c>
      <c r="E40" s="11">
        <v>9.691E-3</v>
      </c>
      <c r="F40" s="1"/>
      <c r="G40" s="1"/>
      <c r="H40" s="1"/>
      <c r="I40" s="1"/>
      <c r="J40" s="1"/>
      <c r="K40" s="1"/>
      <c r="L40" s="1"/>
      <c r="M40" s="1"/>
      <c r="N40" s="18"/>
    </row>
    <row r="41" spans="2:14" ht="15" customHeight="1" x14ac:dyDescent="0.25">
      <c r="B41" s="20"/>
      <c r="C41" s="5" t="s">
        <v>200</v>
      </c>
      <c r="D41" s="6" t="s">
        <v>194</v>
      </c>
      <c r="E41" s="11">
        <v>4.9630000000000004E-3</v>
      </c>
      <c r="F41" s="1"/>
      <c r="G41" s="1"/>
      <c r="H41" s="1"/>
      <c r="I41" s="1"/>
      <c r="J41" s="1"/>
      <c r="K41" s="1"/>
      <c r="L41" s="1"/>
      <c r="M41" s="1"/>
      <c r="N41" s="18"/>
    </row>
    <row r="42" spans="2:14" ht="15" customHeight="1" x14ac:dyDescent="0.25">
      <c r="B42" s="20"/>
      <c r="C42" s="5" t="s">
        <v>201</v>
      </c>
      <c r="D42" s="6" t="s">
        <v>194</v>
      </c>
      <c r="E42" s="11">
        <v>3.9740000000000001E-3</v>
      </c>
      <c r="F42" s="1"/>
      <c r="G42" s="1"/>
      <c r="H42" s="1"/>
      <c r="I42" s="1"/>
      <c r="J42" s="1"/>
      <c r="K42" s="1"/>
      <c r="L42" s="1"/>
      <c r="M42" s="1"/>
      <c r="N42" s="18"/>
    </row>
    <row r="43" spans="2:14" ht="15.75" customHeight="1" x14ac:dyDescent="0.25">
      <c r="B43" s="20"/>
      <c r="C43" s="5" t="s">
        <v>202</v>
      </c>
      <c r="D43" s="6" t="s">
        <v>194</v>
      </c>
      <c r="E43" s="11">
        <v>2.977E-3</v>
      </c>
      <c r="F43" s="1"/>
      <c r="G43" s="1"/>
      <c r="H43" s="1"/>
      <c r="I43" s="1"/>
      <c r="J43" s="1"/>
      <c r="K43" s="1"/>
      <c r="L43" s="1"/>
      <c r="M43" s="1"/>
      <c r="N43" s="18"/>
    </row>
    <row r="44" spans="2:14" ht="15" customHeight="1" x14ac:dyDescent="0.25">
      <c r="B44" s="20"/>
      <c r="C44" s="5" t="s">
        <v>205</v>
      </c>
      <c r="D44" s="6" t="s">
        <v>194</v>
      </c>
      <c r="E44" s="11">
        <v>1.983E-3</v>
      </c>
      <c r="F44" s="1"/>
      <c r="G44" s="1"/>
      <c r="H44" s="1"/>
      <c r="I44" s="1"/>
      <c r="J44" s="1"/>
      <c r="K44" s="1"/>
      <c r="L44" s="1"/>
      <c r="M44" s="1"/>
      <c r="N44" s="18"/>
    </row>
    <row r="45" spans="2:14" ht="15.75" customHeight="1" x14ac:dyDescent="0.25">
      <c r="B45" s="20"/>
      <c r="C45" s="7" t="s">
        <v>53</v>
      </c>
      <c r="D45" s="8"/>
      <c r="E45" s="12">
        <v>8.8345999999999994E-2</v>
      </c>
      <c r="F45" s="1"/>
      <c r="G45" s="1"/>
      <c r="H45" s="1"/>
      <c r="I45" s="1"/>
      <c r="J45" s="1"/>
      <c r="K45" s="1"/>
      <c r="L45" s="1"/>
      <c r="M45" s="1"/>
      <c r="N45" s="18"/>
    </row>
    <row r="46" spans="2:14" ht="15" customHeight="1" x14ac:dyDescent="0.25">
      <c r="B46" s="20"/>
      <c r="C46" s="5" t="s">
        <v>181</v>
      </c>
      <c r="D46" s="6" t="s">
        <v>194</v>
      </c>
      <c r="E46" s="11">
        <v>1.9817999999999999E-2</v>
      </c>
      <c r="F46" s="1"/>
      <c r="G46" s="1"/>
      <c r="H46" s="1"/>
      <c r="I46" s="1"/>
      <c r="J46" s="1"/>
      <c r="K46" s="1"/>
      <c r="L46" s="1"/>
      <c r="M46" s="1"/>
      <c r="N46" s="18"/>
    </row>
    <row r="47" spans="2:14" ht="15.75" customHeight="1" x14ac:dyDescent="0.25">
      <c r="B47" s="20"/>
      <c r="C47" s="5" t="s">
        <v>182</v>
      </c>
      <c r="D47" s="6" t="s">
        <v>194</v>
      </c>
      <c r="E47" s="11">
        <v>1.2331999999999999E-2</v>
      </c>
      <c r="F47" s="1"/>
      <c r="G47" s="1"/>
      <c r="H47" s="1"/>
      <c r="I47" s="1"/>
      <c r="J47" s="1"/>
      <c r="K47" s="1"/>
      <c r="L47" s="1"/>
      <c r="M47" s="1"/>
      <c r="N47" s="18"/>
    </row>
    <row r="48" spans="2:14" ht="15" customHeight="1" x14ac:dyDescent="0.25">
      <c r="B48" s="20"/>
      <c r="C48" s="5" t="s">
        <v>183</v>
      </c>
      <c r="D48" s="6" t="s">
        <v>194</v>
      </c>
      <c r="E48" s="11">
        <v>8.4379999999999993E-3</v>
      </c>
      <c r="F48" s="1"/>
      <c r="G48" s="1"/>
      <c r="H48" s="1"/>
      <c r="I48" s="1"/>
      <c r="J48" s="1"/>
      <c r="K48" s="1"/>
      <c r="L48" s="1"/>
      <c r="M48" s="1"/>
      <c r="N48" s="18"/>
    </row>
    <row r="49" spans="2:14" ht="15" customHeight="1" x14ac:dyDescent="0.25">
      <c r="B49" s="20"/>
      <c r="C49" s="5" t="s">
        <v>184</v>
      </c>
      <c r="D49" s="6" t="s">
        <v>194</v>
      </c>
      <c r="E49" s="11">
        <v>4.8510000000000003E-3</v>
      </c>
      <c r="F49" s="1"/>
      <c r="G49" s="1"/>
      <c r="H49" s="1"/>
      <c r="I49" s="1"/>
      <c r="J49" s="1"/>
      <c r="K49" s="1"/>
      <c r="L49" s="1"/>
      <c r="M49" s="1"/>
      <c r="N49" s="18"/>
    </row>
    <row r="50" spans="2:14" ht="15" customHeight="1" x14ac:dyDescent="0.25">
      <c r="B50" s="20"/>
      <c r="C50" s="7" t="s">
        <v>159</v>
      </c>
      <c r="D50" s="8"/>
      <c r="E50" s="12">
        <v>4.5439E-2</v>
      </c>
      <c r="F50" s="1"/>
      <c r="G50" s="1"/>
      <c r="H50" s="1"/>
      <c r="I50" s="1"/>
      <c r="J50" s="1"/>
      <c r="K50" s="1"/>
      <c r="L50" s="1"/>
      <c r="M50" s="1"/>
      <c r="N50" s="18"/>
    </row>
    <row r="51" spans="2:14" ht="15" customHeight="1" x14ac:dyDescent="0.25">
      <c r="B51" s="20"/>
      <c r="C51" s="5" t="s">
        <v>8</v>
      </c>
      <c r="D51" s="6"/>
      <c r="E51" s="11">
        <v>4.5570000000000003E-3</v>
      </c>
      <c r="F51" s="1"/>
      <c r="G51" s="1"/>
      <c r="H51" s="1"/>
      <c r="I51" s="1"/>
      <c r="J51" s="1"/>
      <c r="K51" s="1"/>
      <c r="L51" s="1"/>
      <c r="M51" s="1"/>
      <c r="N51" s="18"/>
    </row>
    <row r="52" spans="2:14" ht="15" customHeight="1" x14ac:dyDescent="0.25">
      <c r="B52" s="20"/>
      <c r="C52" s="7" t="s">
        <v>9</v>
      </c>
      <c r="D52" s="8"/>
      <c r="E52" s="12">
        <v>4.5570000000000003E-3</v>
      </c>
      <c r="F52" s="1"/>
      <c r="G52" s="1"/>
      <c r="H52" s="1"/>
      <c r="I52" s="1"/>
      <c r="J52" s="1"/>
      <c r="K52" s="1"/>
      <c r="L52" s="1"/>
      <c r="M52" s="1"/>
      <c r="N52" s="18"/>
    </row>
    <row r="53" spans="2:14" ht="15" customHeight="1" x14ac:dyDescent="0.25">
      <c r="B53" s="20"/>
      <c r="C53" s="5"/>
      <c r="D53" s="6"/>
      <c r="E53" s="11"/>
      <c r="F53" s="1"/>
      <c r="G53" s="1"/>
      <c r="H53" s="1"/>
      <c r="I53" s="1"/>
      <c r="J53" s="1"/>
      <c r="K53" s="1"/>
      <c r="L53" s="1"/>
      <c r="M53" s="1"/>
      <c r="N53" s="18"/>
    </row>
    <row r="54" spans="2:14" ht="15" customHeight="1" x14ac:dyDescent="0.25">
      <c r="B54" s="20"/>
      <c r="C54" s="7" t="s">
        <v>10</v>
      </c>
      <c r="D54" s="8"/>
      <c r="E54" s="12">
        <v>-2.7469999999999999E-3</v>
      </c>
      <c r="F54" s="1"/>
      <c r="G54" s="1"/>
      <c r="H54" s="1"/>
      <c r="I54" s="1"/>
      <c r="J54" s="1"/>
      <c r="K54" s="1"/>
      <c r="L54" s="1"/>
      <c r="M54" s="1"/>
      <c r="N54" s="18"/>
    </row>
    <row r="55" spans="2:14" ht="15" customHeight="1" x14ac:dyDescent="0.25">
      <c r="B55" s="20"/>
      <c r="C55" s="5"/>
      <c r="D55" s="6"/>
      <c r="E55" s="11"/>
      <c r="F55" s="1"/>
      <c r="G55" s="1"/>
      <c r="H55" s="1"/>
      <c r="I55" s="1"/>
      <c r="J55" s="1"/>
      <c r="K55" s="1"/>
      <c r="L55" s="1"/>
      <c r="M55" s="1"/>
      <c r="N55" s="18"/>
    </row>
    <row r="56" spans="2:14" ht="15" customHeight="1" x14ac:dyDescent="0.25">
      <c r="B56" s="20"/>
      <c r="C56" s="9" t="s">
        <v>11</v>
      </c>
      <c r="D56" s="10"/>
      <c r="E56" s="13">
        <v>1</v>
      </c>
      <c r="F56" s="1"/>
      <c r="G56" s="1"/>
      <c r="H56" s="1"/>
      <c r="I56" s="1"/>
      <c r="J56" s="1"/>
      <c r="K56" s="1"/>
      <c r="L56" s="1"/>
      <c r="M56" s="1"/>
      <c r="N56" s="18"/>
    </row>
    <row r="57" spans="2:14" ht="15" customHeight="1" x14ac:dyDescent="0.25">
      <c r="B57" s="20"/>
      <c r="C57" s="1"/>
      <c r="D57" s="1"/>
      <c r="E57" s="1"/>
      <c r="F57" s="1"/>
      <c r="G57" s="1"/>
      <c r="H57" s="1"/>
      <c r="I57" s="1"/>
      <c r="J57" s="1"/>
      <c r="K57" s="1"/>
      <c r="L57" s="1"/>
      <c r="M57" s="1"/>
      <c r="N57" s="18"/>
    </row>
    <row r="58" spans="2:14" ht="15" customHeight="1" thickBot="1" x14ac:dyDescent="0.3">
      <c r="B58" s="21"/>
      <c r="C58" s="22"/>
      <c r="D58" s="22"/>
      <c r="E58" s="22"/>
      <c r="F58" s="22"/>
      <c r="G58" s="22"/>
      <c r="H58" s="22"/>
      <c r="I58" s="22"/>
      <c r="J58" s="22"/>
      <c r="K58" s="22"/>
      <c r="L58" s="22"/>
      <c r="M58" s="22"/>
      <c r="N58" s="23"/>
    </row>
    <row r="59" spans="2:14" ht="15" customHeight="1" thickBot="1" x14ac:dyDescent="0.3"/>
    <row r="60" spans="2:14" ht="15" customHeight="1" x14ac:dyDescent="0.25">
      <c r="B60" s="68" t="s">
        <v>265</v>
      </c>
      <c r="C60" s="69"/>
      <c r="D60" s="69"/>
      <c r="E60" s="69"/>
      <c r="F60" s="69"/>
      <c r="G60" s="69"/>
      <c r="H60" s="69"/>
      <c r="I60" s="69"/>
      <c r="J60" s="69"/>
      <c r="K60" s="69"/>
      <c r="L60" s="69"/>
      <c r="M60" s="69"/>
      <c r="N60" s="70"/>
    </row>
    <row r="61" spans="2:14" ht="15" customHeight="1" x14ac:dyDescent="0.25">
      <c r="B61" s="71"/>
      <c r="C61" s="72"/>
      <c r="D61" s="72"/>
      <c r="E61" s="72"/>
      <c r="F61" s="72"/>
      <c r="G61" s="72"/>
      <c r="H61" s="72"/>
      <c r="I61" s="72"/>
      <c r="J61" s="72"/>
      <c r="K61" s="72"/>
      <c r="L61" s="72"/>
      <c r="M61" s="72"/>
      <c r="N61" s="73"/>
    </row>
    <row r="62" spans="2:14" ht="15" customHeight="1" x14ac:dyDescent="0.25">
      <c r="B62" s="71"/>
      <c r="C62" s="72"/>
      <c r="D62" s="72"/>
      <c r="E62" s="72"/>
      <c r="F62" s="72"/>
      <c r="G62" s="72"/>
      <c r="H62" s="72"/>
      <c r="I62" s="72"/>
      <c r="J62" s="72"/>
      <c r="K62" s="72"/>
      <c r="L62" s="72"/>
      <c r="M62" s="72"/>
      <c r="N62" s="73"/>
    </row>
    <row r="63" spans="2:14" ht="15" customHeight="1" thickBot="1" x14ac:dyDescent="0.3">
      <c r="B63" s="74"/>
      <c r="C63" s="75"/>
      <c r="D63" s="75"/>
      <c r="E63" s="75"/>
      <c r="F63" s="75"/>
      <c r="G63" s="75"/>
      <c r="H63" s="75"/>
      <c r="I63" s="75"/>
      <c r="J63" s="75"/>
      <c r="K63" s="75"/>
      <c r="L63" s="75"/>
      <c r="M63" s="75"/>
      <c r="N63" s="76"/>
    </row>
    <row r="64" spans="2:14" ht="15" customHeight="1" thickBot="1" x14ac:dyDescent="0.3"/>
    <row r="65" spans="2:14" ht="129.75" customHeight="1" thickBot="1" x14ac:dyDescent="0.3">
      <c r="B65" s="77" t="s">
        <v>264</v>
      </c>
      <c r="C65" s="78"/>
      <c r="D65" s="78"/>
      <c r="E65" s="78"/>
      <c r="F65" s="78"/>
      <c r="G65" s="78"/>
      <c r="H65" s="78"/>
      <c r="I65" s="78"/>
      <c r="J65" s="78"/>
      <c r="K65" s="78"/>
      <c r="L65" s="78"/>
      <c r="M65" s="78"/>
      <c r="N65" s="79"/>
    </row>
    <row r="66" spans="2:14" ht="15" customHeight="1" x14ac:dyDescent="0.25"/>
    <row r="67" spans="2:14" ht="15" customHeight="1" x14ac:dyDescent="0.25"/>
    <row r="68" spans="2:14" ht="15" customHeight="1" x14ac:dyDescent="0.25"/>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sheetData>
  <sortState ref="C37:E44">
    <sortCondition descending="1" ref="E37"/>
  </sortState>
  <mergeCells count="7">
    <mergeCell ref="B60:N63"/>
    <mergeCell ref="B65:N65"/>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2534A-5909-459A-A58A-FB526D9FB5F2}">
  <dimension ref="B1:N72"/>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190</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191</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137</v>
      </c>
      <c r="D8" s="6" t="s">
        <v>22</v>
      </c>
      <c r="E8" s="11">
        <v>7.4912999999999993E-2</v>
      </c>
      <c r="F8" s="1"/>
      <c r="G8" s="24" t="s">
        <v>15</v>
      </c>
      <c r="H8" s="28">
        <v>0.98973299999999997</v>
      </c>
      <c r="I8" s="1"/>
      <c r="J8" s="24" t="s">
        <v>12</v>
      </c>
      <c r="K8" s="24" t="s">
        <v>5</v>
      </c>
      <c r="L8" s="1"/>
      <c r="M8" s="1"/>
      <c r="N8" s="18"/>
    </row>
    <row r="9" spans="2:14" ht="15" customHeight="1" x14ac:dyDescent="0.25">
      <c r="B9" s="20"/>
      <c r="C9" s="5" t="s">
        <v>24</v>
      </c>
      <c r="D9" s="6" t="s">
        <v>22</v>
      </c>
      <c r="E9" s="11">
        <v>5.1249000000000003E-2</v>
      </c>
      <c r="F9" s="1"/>
      <c r="G9" s="24" t="s">
        <v>99</v>
      </c>
      <c r="H9" s="28">
        <v>1.0267E-2</v>
      </c>
      <c r="I9" s="1"/>
      <c r="J9" s="24" t="s">
        <v>10</v>
      </c>
      <c r="K9" s="28">
        <v>2.5565999999999998E-2</v>
      </c>
      <c r="L9" s="1"/>
      <c r="M9" s="1"/>
      <c r="N9" s="18"/>
    </row>
    <row r="10" spans="2:14" ht="15" customHeight="1" x14ac:dyDescent="0.25">
      <c r="B10" s="20"/>
      <c r="C10" s="5" t="s">
        <v>176</v>
      </c>
      <c r="D10" s="6" t="s">
        <v>22</v>
      </c>
      <c r="E10" s="11">
        <v>1.2381E-2</v>
      </c>
      <c r="F10" s="1"/>
      <c r="G10" s="1"/>
      <c r="H10" s="1"/>
      <c r="I10" s="1"/>
      <c r="J10" s="24" t="s">
        <v>13</v>
      </c>
      <c r="K10" s="28">
        <v>3.4686000000000002E-2</v>
      </c>
      <c r="L10" s="1"/>
      <c r="M10" s="1"/>
      <c r="N10" s="18"/>
    </row>
    <row r="11" spans="2:14" ht="15" customHeight="1" x14ac:dyDescent="0.25">
      <c r="B11" s="20"/>
      <c r="C11" s="5" t="s">
        <v>21</v>
      </c>
      <c r="D11" s="6" t="s">
        <v>22</v>
      </c>
      <c r="E11" s="11">
        <v>3.7429999999999998E-3</v>
      </c>
      <c r="F11" s="1"/>
      <c r="G11" s="1"/>
      <c r="H11" s="1"/>
      <c r="I11" s="1"/>
      <c r="J11" s="24" t="s">
        <v>54</v>
      </c>
      <c r="K11" s="28">
        <v>0.142286</v>
      </c>
      <c r="L11" s="1"/>
      <c r="M11" s="1"/>
      <c r="N11" s="18"/>
    </row>
    <row r="12" spans="2:14" ht="15.75" customHeight="1" x14ac:dyDescent="0.25">
      <c r="B12" s="20"/>
      <c r="C12" s="7" t="s">
        <v>26</v>
      </c>
      <c r="D12" s="8"/>
      <c r="E12" s="12">
        <v>0.142286</v>
      </c>
      <c r="F12" s="1"/>
      <c r="G12" s="1"/>
      <c r="H12" s="1"/>
      <c r="I12" s="1"/>
      <c r="J12" s="24" t="s">
        <v>55</v>
      </c>
      <c r="K12" s="28">
        <v>0.61158000000000001</v>
      </c>
      <c r="L12" s="1"/>
      <c r="M12" s="1"/>
      <c r="N12" s="18"/>
    </row>
    <row r="13" spans="2:14" ht="15" customHeight="1" x14ac:dyDescent="0.25">
      <c r="B13" s="20"/>
      <c r="C13" s="5" t="s">
        <v>73</v>
      </c>
      <c r="D13" s="6" t="s">
        <v>22</v>
      </c>
      <c r="E13" s="11">
        <v>4.7988999999999997E-2</v>
      </c>
      <c r="F13" s="1"/>
      <c r="G13" s="1"/>
      <c r="H13" s="1"/>
      <c r="I13" s="1"/>
      <c r="J13" s="24" t="s">
        <v>160</v>
      </c>
      <c r="K13" s="28">
        <v>7.7216999999999994E-2</v>
      </c>
      <c r="L13" s="1"/>
      <c r="M13" s="1"/>
      <c r="N13" s="18"/>
    </row>
    <row r="14" spans="2:14" ht="15" customHeight="1" x14ac:dyDescent="0.25">
      <c r="B14" s="20"/>
      <c r="C14" s="5" t="s">
        <v>168</v>
      </c>
      <c r="D14" s="6" t="s">
        <v>22</v>
      </c>
      <c r="E14" s="11">
        <v>2.5596000000000001E-2</v>
      </c>
      <c r="F14" s="1"/>
      <c r="G14" s="1"/>
      <c r="H14" s="1"/>
      <c r="I14" s="1"/>
      <c r="J14" s="24" t="s">
        <v>43</v>
      </c>
      <c r="K14" s="28">
        <v>2.5920000000000001E-3</v>
      </c>
      <c r="L14" s="1"/>
      <c r="M14" s="1"/>
      <c r="N14" s="18"/>
    </row>
    <row r="15" spans="2:14" ht="15" customHeight="1" x14ac:dyDescent="0.25">
      <c r="B15" s="20"/>
      <c r="C15" s="5" t="s">
        <v>147</v>
      </c>
      <c r="D15" s="6" t="s">
        <v>22</v>
      </c>
      <c r="E15" s="11">
        <v>3.6319999999999998E-3</v>
      </c>
      <c r="F15" s="1"/>
      <c r="G15" s="1"/>
      <c r="H15" s="1"/>
      <c r="I15" s="1"/>
      <c r="J15" s="24" t="s">
        <v>161</v>
      </c>
      <c r="K15" s="28">
        <v>9.9949999999999997E-2</v>
      </c>
      <c r="L15" s="1"/>
      <c r="M15" s="1"/>
      <c r="N15" s="18"/>
    </row>
    <row r="16" spans="2:14" ht="15.75" customHeight="1" x14ac:dyDescent="0.25">
      <c r="B16" s="20"/>
      <c r="C16" s="7" t="s">
        <v>148</v>
      </c>
      <c r="D16" s="8"/>
      <c r="E16" s="12">
        <v>7.7216999999999994E-2</v>
      </c>
      <c r="F16" s="1"/>
      <c r="G16" s="1"/>
      <c r="H16" s="1"/>
      <c r="I16" s="1"/>
      <c r="J16" s="24" t="s">
        <v>82</v>
      </c>
      <c r="K16" s="28">
        <v>6.123E-3</v>
      </c>
      <c r="L16" s="1"/>
      <c r="M16" s="1"/>
      <c r="N16" s="18"/>
    </row>
    <row r="17" spans="2:14" ht="15" customHeight="1" x14ac:dyDescent="0.25">
      <c r="B17" s="20"/>
      <c r="C17" s="5" t="s">
        <v>33</v>
      </c>
      <c r="D17" s="6" t="s">
        <v>28</v>
      </c>
      <c r="E17" s="11">
        <v>0.116079</v>
      </c>
      <c r="F17" s="1"/>
      <c r="G17" s="1"/>
      <c r="H17" s="1"/>
      <c r="I17" s="1"/>
      <c r="J17" s="1"/>
      <c r="K17" s="1"/>
      <c r="L17" s="1"/>
      <c r="M17" s="1"/>
      <c r="N17" s="18"/>
    </row>
    <row r="18" spans="2:14" ht="15" customHeight="1" x14ac:dyDescent="0.25">
      <c r="B18" s="20"/>
      <c r="C18" s="5" t="s">
        <v>29</v>
      </c>
      <c r="D18" s="6" t="s">
        <v>28</v>
      </c>
      <c r="E18" s="11">
        <v>0.110015</v>
      </c>
      <c r="F18" s="1"/>
      <c r="G18" s="1"/>
      <c r="H18" s="1"/>
      <c r="I18" s="1"/>
      <c r="J18" s="1"/>
      <c r="K18" s="1"/>
      <c r="L18" s="1"/>
      <c r="M18" s="1"/>
      <c r="N18" s="18"/>
    </row>
    <row r="19" spans="2:14" ht="15" customHeight="1" x14ac:dyDescent="0.25">
      <c r="B19" s="20"/>
      <c r="C19" s="5" t="s">
        <v>31</v>
      </c>
      <c r="D19" s="6" t="s">
        <v>28</v>
      </c>
      <c r="E19" s="11">
        <v>9.8932999999999993E-2</v>
      </c>
      <c r="F19" s="1"/>
      <c r="G19" s="1"/>
      <c r="H19" s="1"/>
      <c r="I19" s="1"/>
      <c r="J19" s="1"/>
      <c r="K19" s="1"/>
      <c r="L19" s="1"/>
      <c r="M19" s="1"/>
      <c r="N19" s="18"/>
    </row>
    <row r="20" spans="2:14" ht="15" customHeight="1" x14ac:dyDescent="0.25">
      <c r="B20" s="20"/>
      <c r="C20" s="5" t="s">
        <v>27</v>
      </c>
      <c r="D20" s="6" t="s">
        <v>28</v>
      </c>
      <c r="E20" s="11">
        <v>6.6592999999999999E-2</v>
      </c>
      <c r="F20" s="1"/>
      <c r="G20" s="1"/>
      <c r="H20" s="1"/>
      <c r="I20" s="1"/>
      <c r="J20" s="1"/>
      <c r="K20" s="1"/>
      <c r="L20" s="1"/>
      <c r="M20" s="1"/>
      <c r="N20" s="18"/>
    </row>
    <row r="21" spans="2:14" ht="15" customHeight="1" x14ac:dyDescent="0.25">
      <c r="B21" s="20"/>
      <c r="C21" s="5" t="s">
        <v>25</v>
      </c>
      <c r="D21" s="6" t="s">
        <v>28</v>
      </c>
      <c r="E21" s="11">
        <v>4.2063999999999997E-2</v>
      </c>
      <c r="F21" s="1"/>
      <c r="G21" s="1"/>
      <c r="H21" s="1"/>
      <c r="I21" s="1"/>
      <c r="J21" s="1"/>
      <c r="K21" s="1"/>
      <c r="L21" s="1"/>
      <c r="M21" s="1"/>
      <c r="N21" s="18"/>
    </row>
    <row r="22" spans="2:14" ht="15" customHeight="1" x14ac:dyDescent="0.25">
      <c r="B22" s="20"/>
      <c r="C22" s="5" t="s">
        <v>32</v>
      </c>
      <c r="D22" s="6" t="s">
        <v>28</v>
      </c>
      <c r="E22" s="11">
        <v>4.1003999999999999E-2</v>
      </c>
      <c r="F22" s="1"/>
      <c r="G22" s="1"/>
      <c r="H22" s="1"/>
      <c r="I22" s="1"/>
      <c r="J22" s="1"/>
      <c r="K22" s="1"/>
      <c r="L22" s="1"/>
      <c r="M22" s="1"/>
      <c r="N22" s="18"/>
    </row>
    <row r="23" spans="2:14" ht="15" customHeight="1" x14ac:dyDescent="0.25">
      <c r="B23" s="20"/>
      <c r="C23" s="5" t="s">
        <v>73</v>
      </c>
      <c r="D23" s="6" t="s">
        <v>28</v>
      </c>
      <c r="E23" s="11">
        <v>3.4412999999999999E-2</v>
      </c>
      <c r="F23" s="1"/>
      <c r="G23" s="1"/>
      <c r="H23" s="1"/>
      <c r="I23" s="1"/>
      <c r="J23" s="1"/>
      <c r="K23" s="1"/>
      <c r="L23" s="1"/>
      <c r="M23" s="1"/>
      <c r="N23" s="18"/>
    </row>
    <row r="24" spans="2:14" ht="15" customHeight="1" x14ac:dyDescent="0.25">
      <c r="B24" s="20"/>
      <c r="C24" s="5" t="s">
        <v>178</v>
      </c>
      <c r="D24" s="6" t="s">
        <v>28</v>
      </c>
      <c r="E24" s="11">
        <v>2.5557E-2</v>
      </c>
      <c r="F24" s="1"/>
      <c r="G24" s="85" t="s">
        <v>120</v>
      </c>
      <c r="H24" s="86"/>
      <c r="I24" s="86"/>
      <c r="J24" s="86"/>
      <c r="K24" s="86"/>
      <c r="L24" s="66">
        <v>179.11925124930372</v>
      </c>
      <c r="M24" s="26"/>
      <c r="N24" s="27"/>
    </row>
    <row r="25" spans="2:14" ht="15" customHeight="1" x14ac:dyDescent="0.25">
      <c r="B25" s="20"/>
      <c r="C25" s="5" t="s">
        <v>72</v>
      </c>
      <c r="D25" s="6" t="s">
        <v>28</v>
      </c>
      <c r="E25" s="11">
        <v>2.1786E-2</v>
      </c>
      <c r="F25" s="1"/>
      <c r="G25" s="1"/>
      <c r="H25" s="1"/>
      <c r="I25" s="1"/>
      <c r="J25" s="1"/>
      <c r="K25" s="1"/>
      <c r="L25" s="1"/>
      <c r="M25" s="1"/>
      <c r="N25" s="18"/>
    </row>
    <row r="26" spans="2:14" ht="15" customHeight="1" x14ac:dyDescent="0.25">
      <c r="B26" s="20"/>
      <c r="C26" s="5" t="s">
        <v>168</v>
      </c>
      <c r="D26" s="6" t="s">
        <v>28</v>
      </c>
      <c r="E26" s="11">
        <v>1.9258999999999998E-2</v>
      </c>
      <c r="F26" s="1"/>
      <c r="G26" s="85" t="s">
        <v>18</v>
      </c>
      <c r="H26" s="86"/>
      <c r="I26" s="86"/>
      <c r="J26" s="86"/>
      <c r="K26" s="86"/>
      <c r="L26" s="86"/>
      <c r="M26" s="86"/>
      <c r="N26" s="87"/>
    </row>
    <row r="27" spans="2:14" ht="15" customHeight="1" x14ac:dyDescent="0.25">
      <c r="B27" s="20"/>
      <c r="C27" s="5" t="s">
        <v>128</v>
      </c>
      <c r="D27" s="6" t="s">
        <v>90</v>
      </c>
      <c r="E27" s="11">
        <v>1.0267E-2</v>
      </c>
      <c r="F27" s="1"/>
      <c r="G27" s="1"/>
      <c r="H27" s="1"/>
      <c r="I27" s="1"/>
      <c r="J27" s="1"/>
      <c r="K27" s="1"/>
      <c r="L27" s="1"/>
      <c r="M27" s="1"/>
      <c r="N27" s="18"/>
    </row>
    <row r="28" spans="2:14" ht="15" customHeight="1" x14ac:dyDescent="0.25">
      <c r="B28" s="20"/>
      <c r="C28" s="5" t="s">
        <v>38</v>
      </c>
      <c r="D28" s="6" t="s">
        <v>28</v>
      </c>
      <c r="E28" s="11">
        <v>8.9639999999999997E-3</v>
      </c>
      <c r="F28" s="1"/>
      <c r="G28" s="1"/>
      <c r="H28" s="1"/>
      <c r="I28" s="1"/>
      <c r="J28" s="1"/>
      <c r="K28" s="1"/>
      <c r="L28" s="1"/>
      <c r="M28" s="1"/>
      <c r="N28" s="18"/>
    </row>
    <row r="29" spans="2:14" ht="15" customHeight="1" x14ac:dyDescent="0.25">
      <c r="B29" s="20"/>
      <c r="C29" s="5" t="s">
        <v>30</v>
      </c>
      <c r="D29" s="6" t="s">
        <v>28</v>
      </c>
      <c r="E29" s="11">
        <v>6.4019999999999997E-3</v>
      </c>
      <c r="F29" s="1"/>
      <c r="G29" s="1"/>
      <c r="H29" s="1"/>
      <c r="I29" s="1"/>
      <c r="J29" s="1"/>
      <c r="K29" s="1"/>
      <c r="L29" s="1"/>
      <c r="M29" s="1"/>
      <c r="N29" s="18"/>
    </row>
    <row r="30" spans="2:14" ht="15" customHeight="1" x14ac:dyDescent="0.25">
      <c r="B30" s="20"/>
      <c r="C30" s="5" t="s">
        <v>143</v>
      </c>
      <c r="D30" s="6" t="s">
        <v>28</v>
      </c>
      <c r="E30" s="11">
        <v>6.3850000000000001E-3</v>
      </c>
      <c r="F30" s="1"/>
      <c r="G30" s="1"/>
      <c r="H30" s="1"/>
      <c r="I30" s="1"/>
      <c r="J30" s="1"/>
      <c r="K30" s="1"/>
      <c r="L30" s="1"/>
      <c r="M30" s="1"/>
      <c r="N30" s="18"/>
    </row>
    <row r="31" spans="2:14" ht="15" customHeight="1" x14ac:dyDescent="0.25">
      <c r="B31" s="20"/>
      <c r="C31" s="5" t="s">
        <v>192</v>
      </c>
      <c r="D31" s="6" t="s">
        <v>28</v>
      </c>
      <c r="E31" s="11">
        <v>3.859E-3</v>
      </c>
      <c r="F31" s="1"/>
      <c r="G31" s="1"/>
      <c r="H31" s="1"/>
      <c r="I31" s="1"/>
      <c r="J31" s="1"/>
      <c r="K31" s="1"/>
      <c r="L31" s="1"/>
      <c r="M31" s="1"/>
      <c r="N31" s="18"/>
    </row>
    <row r="32" spans="2:14" ht="15.75" customHeight="1" x14ac:dyDescent="0.25">
      <c r="B32" s="20"/>
      <c r="C32" s="7" t="s">
        <v>42</v>
      </c>
      <c r="D32" s="8"/>
      <c r="E32" s="12">
        <v>0.61158000000000001</v>
      </c>
      <c r="F32" s="1"/>
      <c r="G32" s="1"/>
      <c r="H32" s="1"/>
      <c r="I32" s="1"/>
      <c r="J32" s="1"/>
      <c r="K32" s="1"/>
      <c r="L32" s="1"/>
      <c r="M32" s="1"/>
      <c r="N32" s="18"/>
    </row>
    <row r="33" spans="2:14" ht="15" customHeight="1" x14ac:dyDescent="0.25">
      <c r="B33" s="20"/>
      <c r="C33" s="5" t="s">
        <v>43</v>
      </c>
      <c r="D33" s="6"/>
      <c r="E33" s="11">
        <v>2.5920000000000001E-3</v>
      </c>
      <c r="F33" s="1"/>
      <c r="G33" s="1"/>
      <c r="H33" s="1"/>
      <c r="I33" s="1"/>
      <c r="J33" s="1"/>
      <c r="K33" s="1"/>
      <c r="L33" s="1"/>
      <c r="M33" s="1"/>
      <c r="N33" s="18"/>
    </row>
    <row r="34" spans="2:14" ht="15.75" customHeight="1" x14ac:dyDescent="0.25">
      <c r="B34" s="20"/>
      <c r="C34" s="7" t="s">
        <v>44</v>
      </c>
      <c r="D34" s="8"/>
      <c r="E34" s="12">
        <v>2.5920000000000001E-3</v>
      </c>
      <c r="F34" s="1"/>
      <c r="G34" s="1"/>
      <c r="H34" s="1"/>
      <c r="I34" s="1"/>
      <c r="J34" s="1"/>
      <c r="K34" s="1"/>
      <c r="L34" s="1"/>
      <c r="M34" s="1"/>
      <c r="N34" s="18"/>
    </row>
    <row r="35" spans="2:14" ht="15" customHeight="1" x14ac:dyDescent="0.25">
      <c r="B35" s="20"/>
      <c r="C35" s="5" t="s">
        <v>169</v>
      </c>
      <c r="D35" s="6" t="s">
        <v>194</v>
      </c>
      <c r="E35" s="11">
        <v>3.8177000000000003E-2</v>
      </c>
      <c r="F35" s="1"/>
      <c r="G35" s="1"/>
      <c r="H35" s="1"/>
      <c r="I35" s="1"/>
      <c r="J35" s="1"/>
      <c r="K35" s="1"/>
      <c r="L35" s="1"/>
      <c r="M35" s="1"/>
      <c r="N35" s="18"/>
    </row>
    <row r="36" spans="2:14" ht="15" customHeight="1" x14ac:dyDescent="0.25">
      <c r="B36" s="20"/>
      <c r="C36" s="5" t="s">
        <v>171</v>
      </c>
      <c r="D36" s="6" t="s">
        <v>194</v>
      </c>
      <c r="E36" s="11">
        <v>3.1938000000000001E-2</v>
      </c>
      <c r="F36" s="1"/>
      <c r="G36" s="1"/>
      <c r="H36" s="1"/>
      <c r="I36" s="1"/>
      <c r="J36" s="1"/>
      <c r="K36" s="1"/>
      <c r="L36" s="1"/>
      <c r="M36" s="1"/>
      <c r="N36" s="18"/>
    </row>
    <row r="37" spans="2:14" ht="15" customHeight="1" x14ac:dyDescent="0.25">
      <c r="B37" s="20"/>
      <c r="C37" s="5" t="s">
        <v>157</v>
      </c>
      <c r="D37" s="6" t="s">
        <v>194</v>
      </c>
      <c r="E37" s="11">
        <v>1.9189999999999999E-2</v>
      </c>
      <c r="F37" s="1"/>
      <c r="G37" s="1"/>
      <c r="H37" s="1"/>
      <c r="I37" s="1"/>
      <c r="J37" s="1"/>
      <c r="K37" s="1"/>
      <c r="L37" s="1"/>
      <c r="M37" s="1"/>
      <c r="N37" s="18"/>
    </row>
    <row r="38" spans="2:14" ht="15" customHeight="1" x14ac:dyDescent="0.25">
      <c r="B38" s="20"/>
      <c r="C38" s="5" t="s">
        <v>193</v>
      </c>
      <c r="D38" s="6" t="s">
        <v>194</v>
      </c>
      <c r="E38" s="11">
        <v>1.0260999999999999E-2</v>
      </c>
      <c r="F38" s="1"/>
      <c r="G38" s="1"/>
      <c r="H38" s="1"/>
      <c r="I38" s="1"/>
      <c r="J38" s="1"/>
      <c r="K38" s="1"/>
      <c r="L38" s="1"/>
      <c r="M38" s="1"/>
      <c r="N38" s="18"/>
    </row>
    <row r="39" spans="2:14" ht="15" customHeight="1" x14ac:dyDescent="0.25">
      <c r="B39" s="20"/>
      <c r="C39" s="5" t="s">
        <v>173</v>
      </c>
      <c r="D39" s="6" t="s">
        <v>194</v>
      </c>
      <c r="E39" s="11">
        <v>3.8400000000000001E-4</v>
      </c>
      <c r="F39" s="1"/>
      <c r="G39" s="1"/>
      <c r="H39" s="1"/>
      <c r="I39" s="1"/>
      <c r="J39" s="1"/>
      <c r="K39" s="1"/>
      <c r="L39" s="1"/>
      <c r="M39" s="1"/>
      <c r="N39" s="18"/>
    </row>
    <row r="40" spans="2:14" ht="15.75" customHeight="1" x14ac:dyDescent="0.25">
      <c r="B40" s="20"/>
      <c r="C40" s="7" t="s">
        <v>159</v>
      </c>
      <c r="D40" s="8"/>
      <c r="E40" s="12">
        <v>9.9949999999999997E-2</v>
      </c>
      <c r="F40" s="1"/>
      <c r="G40" s="1"/>
      <c r="H40" s="1"/>
      <c r="I40" s="1"/>
      <c r="J40" s="1"/>
      <c r="K40" s="1"/>
      <c r="L40" s="1"/>
      <c r="M40" s="1"/>
      <c r="N40" s="18"/>
    </row>
    <row r="41" spans="2:14" ht="15" customHeight="1" x14ac:dyDescent="0.25">
      <c r="B41" s="20"/>
      <c r="C41" s="5" t="s">
        <v>8</v>
      </c>
      <c r="D41" s="6"/>
      <c r="E41" s="11">
        <v>3.4686000000000002E-2</v>
      </c>
      <c r="F41" s="1"/>
      <c r="G41" s="1"/>
      <c r="H41" s="1"/>
      <c r="I41" s="1"/>
      <c r="J41" s="1"/>
      <c r="K41" s="1"/>
      <c r="L41" s="1"/>
      <c r="M41" s="1"/>
      <c r="N41" s="18"/>
    </row>
    <row r="42" spans="2:14" ht="15.75" customHeight="1" x14ac:dyDescent="0.25">
      <c r="B42" s="20"/>
      <c r="C42" s="7" t="s">
        <v>9</v>
      </c>
      <c r="D42" s="8"/>
      <c r="E42" s="12">
        <v>3.4686000000000002E-2</v>
      </c>
      <c r="F42" s="1"/>
      <c r="G42" s="1"/>
      <c r="H42" s="1"/>
      <c r="I42" s="1"/>
      <c r="J42" s="1"/>
      <c r="K42" s="1"/>
      <c r="L42" s="1"/>
      <c r="M42" s="1"/>
      <c r="N42" s="18"/>
    </row>
    <row r="43" spans="2:14" ht="15" customHeight="1" x14ac:dyDescent="0.25">
      <c r="B43" s="20"/>
      <c r="C43" s="5" t="s">
        <v>73</v>
      </c>
      <c r="D43" s="6" t="s">
        <v>28</v>
      </c>
      <c r="E43" s="11">
        <v>6.123E-3</v>
      </c>
      <c r="F43" s="1"/>
      <c r="G43" s="1"/>
      <c r="H43" s="1"/>
      <c r="I43" s="1"/>
      <c r="J43" s="1"/>
      <c r="K43" s="1"/>
      <c r="L43" s="1"/>
      <c r="M43" s="1"/>
      <c r="N43" s="18"/>
    </row>
    <row r="44" spans="2:14" ht="15.75" customHeight="1" x14ac:dyDescent="0.25">
      <c r="B44" s="20"/>
      <c r="C44" s="7" t="s">
        <v>81</v>
      </c>
      <c r="D44" s="8"/>
      <c r="E44" s="12">
        <v>6.123E-3</v>
      </c>
      <c r="F44" s="1"/>
      <c r="G44" s="1"/>
      <c r="H44" s="1"/>
      <c r="I44" s="1"/>
      <c r="J44" s="1"/>
      <c r="K44" s="1"/>
      <c r="L44" s="1"/>
      <c r="M44" s="1"/>
      <c r="N44" s="18"/>
    </row>
    <row r="45" spans="2:14" ht="15" customHeight="1" x14ac:dyDescent="0.25">
      <c r="B45" s="20"/>
      <c r="C45" s="5"/>
      <c r="D45" s="6"/>
      <c r="E45" s="11"/>
      <c r="F45" s="1"/>
      <c r="G45" s="1"/>
      <c r="H45" s="1"/>
      <c r="I45" s="1"/>
      <c r="J45" s="1"/>
      <c r="K45" s="1"/>
      <c r="L45" s="1"/>
      <c r="M45" s="1"/>
      <c r="N45" s="18"/>
    </row>
    <row r="46" spans="2:14" ht="15.75" customHeight="1" x14ac:dyDescent="0.25">
      <c r="B46" s="20"/>
      <c r="C46" s="7" t="s">
        <v>10</v>
      </c>
      <c r="D46" s="8"/>
      <c r="E46" s="12">
        <v>2.5565999999999998E-2</v>
      </c>
      <c r="F46" s="1"/>
      <c r="G46" s="1"/>
      <c r="H46" s="1"/>
      <c r="I46" s="1"/>
      <c r="J46" s="1"/>
      <c r="K46" s="1"/>
      <c r="L46" s="1"/>
      <c r="M46" s="1"/>
      <c r="N46" s="18"/>
    </row>
    <row r="47" spans="2:14" ht="15" customHeight="1" x14ac:dyDescent="0.25">
      <c r="B47" s="20"/>
      <c r="C47" s="5"/>
      <c r="D47" s="6"/>
      <c r="E47" s="11"/>
      <c r="F47" s="1"/>
      <c r="G47" s="1"/>
      <c r="H47" s="1"/>
      <c r="I47" s="1"/>
      <c r="J47" s="1"/>
      <c r="K47" s="1"/>
      <c r="L47" s="1"/>
      <c r="M47" s="1"/>
      <c r="N47" s="18"/>
    </row>
    <row r="48" spans="2:14" ht="15" customHeight="1" x14ac:dyDescent="0.25">
      <c r="B48" s="20"/>
      <c r="C48" s="9" t="s">
        <v>11</v>
      </c>
      <c r="D48" s="10"/>
      <c r="E48" s="13">
        <v>1</v>
      </c>
      <c r="F48" s="1"/>
      <c r="G48" s="1"/>
      <c r="H48" s="1"/>
      <c r="I48" s="1"/>
      <c r="J48" s="1"/>
      <c r="K48" s="1"/>
      <c r="L48" s="1"/>
      <c r="M48" s="1"/>
      <c r="N48" s="18"/>
    </row>
    <row r="49" spans="2:14" ht="15" customHeight="1" x14ac:dyDescent="0.25">
      <c r="B49" s="20"/>
      <c r="C49" s="1"/>
      <c r="D49" s="1"/>
      <c r="E49" s="1"/>
      <c r="F49" s="1"/>
      <c r="G49" s="1"/>
      <c r="H49" s="1"/>
      <c r="I49" s="1"/>
      <c r="J49" s="1"/>
      <c r="K49" s="1"/>
      <c r="L49" s="1"/>
      <c r="M49" s="1"/>
      <c r="N49" s="18"/>
    </row>
    <row r="50" spans="2:14" ht="15" customHeight="1" thickBot="1" x14ac:dyDescent="0.3">
      <c r="B50" s="21"/>
      <c r="C50" s="22"/>
      <c r="D50" s="22"/>
      <c r="E50" s="22"/>
      <c r="F50" s="22"/>
      <c r="G50" s="22"/>
      <c r="H50" s="22"/>
      <c r="I50" s="22"/>
      <c r="J50" s="22"/>
      <c r="K50" s="22"/>
      <c r="L50" s="22"/>
      <c r="M50" s="22"/>
      <c r="N50" s="23"/>
    </row>
    <row r="51" spans="2:14" ht="15" customHeight="1" thickBot="1" x14ac:dyDescent="0.3"/>
    <row r="52" spans="2:14" ht="15" customHeight="1" x14ac:dyDescent="0.25">
      <c r="B52" s="68" t="s">
        <v>265</v>
      </c>
      <c r="C52" s="69"/>
      <c r="D52" s="69"/>
      <c r="E52" s="69"/>
      <c r="F52" s="69"/>
      <c r="G52" s="69"/>
      <c r="H52" s="69"/>
      <c r="I52" s="69"/>
      <c r="J52" s="69"/>
      <c r="K52" s="69"/>
      <c r="L52" s="69"/>
      <c r="M52" s="69"/>
      <c r="N52" s="70"/>
    </row>
    <row r="53" spans="2:14" ht="15" customHeight="1" x14ac:dyDescent="0.25">
      <c r="B53" s="71"/>
      <c r="C53" s="72"/>
      <c r="D53" s="72"/>
      <c r="E53" s="72"/>
      <c r="F53" s="72"/>
      <c r="G53" s="72"/>
      <c r="H53" s="72"/>
      <c r="I53" s="72"/>
      <c r="J53" s="72"/>
      <c r="K53" s="72"/>
      <c r="L53" s="72"/>
      <c r="M53" s="72"/>
      <c r="N53" s="73"/>
    </row>
    <row r="54" spans="2:14" ht="15" customHeight="1" x14ac:dyDescent="0.25">
      <c r="B54" s="71"/>
      <c r="C54" s="72"/>
      <c r="D54" s="72"/>
      <c r="E54" s="72"/>
      <c r="F54" s="72"/>
      <c r="G54" s="72"/>
      <c r="H54" s="72"/>
      <c r="I54" s="72"/>
      <c r="J54" s="72"/>
      <c r="K54" s="72"/>
      <c r="L54" s="72"/>
      <c r="M54" s="72"/>
      <c r="N54" s="73"/>
    </row>
    <row r="55" spans="2:14" ht="15" customHeight="1" thickBot="1" x14ac:dyDescent="0.3">
      <c r="B55" s="74"/>
      <c r="C55" s="75"/>
      <c r="D55" s="75"/>
      <c r="E55" s="75"/>
      <c r="F55" s="75"/>
      <c r="G55" s="75"/>
      <c r="H55" s="75"/>
      <c r="I55" s="75"/>
      <c r="J55" s="75"/>
      <c r="K55" s="75"/>
      <c r="L55" s="75"/>
      <c r="M55" s="75"/>
      <c r="N55" s="76"/>
    </row>
    <row r="56" spans="2:14" ht="15" customHeight="1" thickBot="1" x14ac:dyDescent="0.3"/>
    <row r="57" spans="2:14" ht="136.5" customHeight="1" thickBot="1" x14ac:dyDescent="0.3">
      <c r="B57" s="77" t="s">
        <v>264</v>
      </c>
      <c r="C57" s="78"/>
      <c r="D57" s="78"/>
      <c r="E57" s="78"/>
      <c r="F57" s="78"/>
      <c r="G57" s="78"/>
      <c r="H57" s="78"/>
      <c r="I57" s="78"/>
      <c r="J57" s="78"/>
      <c r="K57" s="78"/>
      <c r="L57" s="78"/>
      <c r="M57" s="78"/>
      <c r="N57" s="79"/>
    </row>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sheetData>
  <mergeCells count="7">
    <mergeCell ref="B52:N55"/>
    <mergeCell ref="B57:N57"/>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1EC7C-D7F3-4BD3-8C63-96A17E2769D9}">
  <dimension ref="B1:N50"/>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123</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124</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43</v>
      </c>
      <c r="D8" s="6"/>
      <c r="E8" s="11">
        <v>2.3930000000000002E-3</v>
      </c>
      <c r="F8" s="1"/>
      <c r="G8" s="24" t="s">
        <v>15</v>
      </c>
      <c r="H8" s="25">
        <v>1</v>
      </c>
      <c r="I8" s="1"/>
      <c r="J8" s="24" t="s">
        <v>12</v>
      </c>
      <c r="K8" s="24" t="s">
        <v>5</v>
      </c>
      <c r="L8" s="1"/>
      <c r="M8" s="1"/>
      <c r="N8" s="18"/>
    </row>
    <row r="9" spans="2:14" ht="15.75" customHeight="1" x14ac:dyDescent="0.25">
      <c r="B9" s="20"/>
      <c r="C9" s="7" t="s">
        <v>44</v>
      </c>
      <c r="D9" s="8"/>
      <c r="E9" s="12">
        <v>2.3930000000000002E-3</v>
      </c>
      <c r="F9" s="1"/>
      <c r="G9" s="1"/>
      <c r="H9" s="1"/>
      <c r="I9" s="1"/>
      <c r="J9" s="24" t="s">
        <v>10</v>
      </c>
      <c r="K9" s="28">
        <v>2.4840000000000001E-2</v>
      </c>
      <c r="L9" s="1"/>
      <c r="M9" s="1"/>
      <c r="N9" s="18"/>
    </row>
    <row r="10" spans="2:14" ht="15" customHeight="1" x14ac:dyDescent="0.25">
      <c r="B10" s="20"/>
      <c r="C10" s="5" t="s">
        <v>61</v>
      </c>
      <c r="D10" s="6" t="s">
        <v>194</v>
      </c>
      <c r="E10" s="11">
        <v>0.96388300000000005</v>
      </c>
      <c r="F10" s="1"/>
      <c r="G10" s="1"/>
      <c r="H10" s="1"/>
      <c r="I10" s="1"/>
      <c r="J10" s="24" t="s">
        <v>13</v>
      </c>
      <c r="K10" s="28">
        <v>3.6809999999999998E-3</v>
      </c>
      <c r="L10" s="1"/>
      <c r="M10" s="1"/>
      <c r="N10" s="18"/>
    </row>
    <row r="11" spans="2:14" ht="15" customHeight="1" x14ac:dyDescent="0.25">
      <c r="B11" s="20"/>
      <c r="C11" s="5" t="s">
        <v>60</v>
      </c>
      <c r="D11" s="6" t="s">
        <v>194</v>
      </c>
      <c r="E11" s="11">
        <v>5.1180000000000002E-3</v>
      </c>
      <c r="F11" s="1"/>
      <c r="G11" s="1"/>
      <c r="H11" s="1"/>
      <c r="I11" s="1"/>
      <c r="J11" s="24" t="s">
        <v>43</v>
      </c>
      <c r="K11" s="28">
        <v>2.3930000000000002E-3</v>
      </c>
      <c r="L11" s="1"/>
      <c r="M11" s="1"/>
      <c r="N11" s="18"/>
    </row>
    <row r="12" spans="2:14" ht="15" customHeight="1" x14ac:dyDescent="0.25">
      <c r="B12" s="20"/>
      <c r="C12" s="5" t="s">
        <v>125</v>
      </c>
      <c r="D12" s="6" t="s">
        <v>194</v>
      </c>
      <c r="E12" s="29">
        <v>4.3000000000000002E-5</v>
      </c>
      <c r="F12" s="1"/>
      <c r="G12" s="1"/>
      <c r="H12" s="1"/>
      <c r="I12" s="1"/>
      <c r="J12" s="24" t="s">
        <v>56</v>
      </c>
      <c r="K12" s="28">
        <v>0.969086</v>
      </c>
      <c r="L12" s="1"/>
      <c r="M12" s="1"/>
      <c r="N12" s="18"/>
    </row>
    <row r="13" spans="2:14" ht="15" customHeight="1" x14ac:dyDescent="0.25">
      <c r="B13" s="20"/>
      <c r="C13" s="5" t="s">
        <v>115</v>
      </c>
      <c r="D13" s="6" t="s">
        <v>194</v>
      </c>
      <c r="E13" s="29">
        <v>4.1999999999999998E-5</v>
      </c>
      <c r="F13" s="1"/>
      <c r="G13" s="1"/>
      <c r="H13" s="1"/>
      <c r="I13" s="1"/>
      <c r="J13" s="1"/>
      <c r="K13" s="1"/>
      <c r="L13" s="1"/>
      <c r="M13" s="1"/>
      <c r="N13" s="18"/>
    </row>
    <row r="14" spans="2:14" ht="15.75" customHeight="1" x14ac:dyDescent="0.25">
      <c r="B14" s="20"/>
      <c r="C14" s="7" t="s">
        <v>52</v>
      </c>
      <c r="D14" s="8"/>
      <c r="E14" s="12">
        <v>0.969086</v>
      </c>
      <c r="F14" s="1"/>
      <c r="G14" s="1"/>
      <c r="H14" s="1"/>
      <c r="I14" s="1"/>
      <c r="J14" s="1"/>
      <c r="K14" s="1"/>
      <c r="L14" s="1"/>
      <c r="M14" s="1"/>
      <c r="N14" s="18"/>
    </row>
    <row r="15" spans="2:14" ht="15" customHeight="1" x14ac:dyDescent="0.25">
      <c r="B15" s="20"/>
      <c r="C15" s="5" t="s">
        <v>8</v>
      </c>
      <c r="D15" s="6"/>
      <c r="E15" s="11">
        <v>3.6809999999999998E-3</v>
      </c>
      <c r="F15" s="1"/>
      <c r="G15" s="1"/>
      <c r="H15" s="1"/>
      <c r="I15" s="1"/>
      <c r="J15" s="1"/>
      <c r="K15" s="1"/>
      <c r="L15" s="1"/>
      <c r="M15" s="1"/>
      <c r="N15" s="18"/>
    </row>
    <row r="16" spans="2:14" ht="15.75" customHeight="1" x14ac:dyDescent="0.25">
      <c r="B16" s="20"/>
      <c r="C16" s="7" t="s">
        <v>9</v>
      </c>
      <c r="D16" s="8"/>
      <c r="E16" s="12">
        <v>3.6809999999999998E-3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10</v>
      </c>
      <c r="D18" s="8"/>
      <c r="E18" s="12">
        <v>2.4840000000000001E-2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11</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17</v>
      </c>
      <c r="H24" s="86"/>
      <c r="I24" s="86"/>
      <c r="J24" s="86"/>
      <c r="K24" s="86"/>
      <c r="L24" s="67">
        <v>29.0626350867201</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18</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68" t="s">
        <v>265</v>
      </c>
      <c r="C45" s="69"/>
      <c r="D45" s="69"/>
      <c r="E45" s="69"/>
      <c r="F45" s="69"/>
      <c r="G45" s="69"/>
      <c r="H45" s="69"/>
      <c r="I45" s="69"/>
      <c r="J45" s="69"/>
      <c r="K45" s="69"/>
      <c r="L45" s="69"/>
      <c r="M45" s="69"/>
      <c r="N45" s="70"/>
    </row>
    <row r="46" spans="2:14" x14ac:dyDescent="0.25">
      <c r="B46" s="71"/>
      <c r="C46" s="72"/>
      <c r="D46" s="72"/>
      <c r="E46" s="72"/>
      <c r="F46" s="72"/>
      <c r="G46" s="72"/>
      <c r="H46" s="72"/>
      <c r="I46" s="72"/>
      <c r="J46" s="72"/>
      <c r="K46" s="72"/>
      <c r="L46" s="72"/>
      <c r="M46" s="72"/>
      <c r="N46" s="73"/>
    </row>
    <row r="47" spans="2:14" x14ac:dyDescent="0.25">
      <c r="B47" s="71"/>
      <c r="C47" s="72"/>
      <c r="D47" s="72"/>
      <c r="E47" s="72"/>
      <c r="F47" s="72"/>
      <c r="G47" s="72"/>
      <c r="H47" s="72"/>
      <c r="I47" s="72"/>
      <c r="J47" s="72"/>
      <c r="K47" s="72"/>
      <c r="L47" s="72"/>
      <c r="M47" s="72"/>
      <c r="N47" s="73"/>
    </row>
    <row r="48" spans="2:14" ht="15.75" thickBot="1" x14ac:dyDescent="0.3">
      <c r="B48" s="74"/>
      <c r="C48" s="75"/>
      <c r="D48" s="75"/>
      <c r="E48" s="75"/>
      <c r="F48" s="75"/>
      <c r="G48" s="75"/>
      <c r="H48" s="75"/>
      <c r="I48" s="75"/>
      <c r="J48" s="75"/>
      <c r="K48" s="75"/>
      <c r="L48" s="75"/>
      <c r="M48" s="75"/>
      <c r="N48" s="76"/>
    </row>
    <row r="49" spans="2:14" ht="15.75" thickBot="1" x14ac:dyDescent="0.3"/>
    <row r="50" spans="2:14" ht="123" customHeight="1" thickBot="1" x14ac:dyDescent="0.3">
      <c r="B50" s="77" t="s">
        <v>264</v>
      </c>
      <c r="C50" s="78"/>
      <c r="D50" s="78"/>
      <c r="E50" s="78"/>
      <c r="F50" s="78"/>
      <c r="G50" s="78"/>
      <c r="H50" s="78"/>
      <c r="I50" s="78"/>
      <c r="J50" s="78"/>
      <c r="K50" s="78"/>
      <c r="L50" s="78"/>
      <c r="M50" s="78"/>
      <c r="N50" s="79"/>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F709A-CB91-4B3A-B27C-322EDFE9445F}">
  <dimension ref="B1:N5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58</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59</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29</v>
      </c>
      <c r="D8" s="6" t="s">
        <v>28</v>
      </c>
      <c r="E8" s="11">
        <v>0.101284</v>
      </c>
      <c r="F8" s="1"/>
      <c r="G8" s="24" t="s">
        <v>15</v>
      </c>
      <c r="H8" s="25">
        <v>1</v>
      </c>
      <c r="I8" s="1"/>
      <c r="J8" s="24" t="s">
        <v>12</v>
      </c>
      <c r="K8" s="24" t="s">
        <v>5</v>
      </c>
      <c r="L8" s="1"/>
      <c r="M8" s="1"/>
      <c r="N8" s="18"/>
    </row>
    <row r="9" spans="2:14" ht="15" customHeight="1" x14ac:dyDescent="0.25">
      <c r="B9" s="20"/>
      <c r="C9" s="5" t="s">
        <v>25</v>
      </c>
      <c r="D9" s="6" t="s">
        <v>28</v>
      </c>
      <c r="E9" s="11">
        <v>9.2771999999999993E-2</v>
      </c>
      <c r="F9" s="1"/>
      <c r="G9" s="1"/>
      <c r="H9" s="1"/>
      <c r="I9" s="1"/>
      <c r="J9" s="24" t="s">
        <v>10</v>
      </c>
      <c r="K9" s="28">
        <v>2.8251999999999999E-2</v>
      </c>
      <c r="L9" s="1"/>
      <c r="M9" s="1"/>
      <c r="N9" s="18"/>
    </row>
    <row r="10" spans="2:14" ht="15" customHeight="1" x14ac:dyDescent="0.25">
      <c r="B10" s="20"/>
      <c r="C10" s="5" t="s">
        <v>32</v>
      </c>
      <c r="D10" s="6" t="s">
        <v>28</v>
      </c>
      <c r="E10" s="11">
        <v>5.0900000000000001E-2</v>
      </c>
      <c r="F10" s="1"/>
      <c r="G10" s="1"/>
      <c r="H10" s="1"/>
      <c r="I10" s="1"/>
      <c r="J10" s="24" t="s">
        <v>13</v>
      </c>
      <c r="K10" s="28">
        <v>4.9950000000000003E-3</v>
      </c>
      <c r="L10" s="1"/>
      <c r="M10" s="1"/>
      <c r="N10" s="18"/>
    </row>
    <row r="11" spans="2:14" ht="15" customHeight="1" x14ac:dyDescent="0.25">
      <c r="B11" s="20"/>
      <c r="C11" s="5" t="s">
        <v>33</v>
      </c>
      <c r="D11" s="6" t="s">
        <v>28</v>
      </c>
      <c r="E11" s="11">
        <v>3.9620000000000002E-3</v>
      </c>
      <c r="F11" s="1"/>
      <c r="G11" s="1"/>
      <c r="H11" s="1"/>
      <c r="I11" s="1"/>
      <c r="J11" s="24" t="s">
        <v>55</v>
      </c>
      <c r="K11" s="28">
        <v>0.248918</v>
      </c>
      <c r="L11" s="1"/>
      <c r="M11" s="1"/>
      <c r="N11" s="18"/>
    </row>
    <row r="12" spans="2:14" ht="15.75" customHeight="1" x14ac:dyDescent="0.25">
      <c r="B12" s="20"/>
      <c r="C12" s="7" t="s">
        <v>42</v>
      </c>
      <c r="D12" s="8"/>
      <c r="E12" s="12">
        <v>0.248918</v>
      </c>
      <c r="F12" s="1"/>
      <c r="G12" s="1"/>
      <c r="H12" s="1"/>
      <c r="I12" s="1"/>
      <c r="J12" s="24" t="s">
        <v>43</v>
      </c>
      <c r="K12" s="28">
        <v>2.617E-3</v>
      </c>
      <c r="L12" s="1"/>
      <c r="M12" s="1"/>
      <c r="N12" s="18"/>
    </row>
    <row r="13" spans="2:14" ht="15" customHeight="1" x14ac:dyDescent="0.25">
      <c r="B13" s="20"/>
      <c r="C13" s="5" t="s">
        <v>43</v>
      </c>
      <c r="D13" s="6"/>
      <c r="E13" s="11">
        <v>2.617E-3</v>
      </c>
      <c r="F13" s="1"/>
      <c r="G13" s="1"/>
      <c r="H13" s="1"/>
      <c r="I13" s="1"/>
      <c r="J13" s="24" t="s">
        <v>56</v>
      </c>
      <c r="K13" s="28">
        <v>0.71521800000000002</v>
      </c>
      <c r="L13" s="1"/>
      <c r="M13" s="1"/>
      <c r="N13" s="18"/>
    </row>
    <row r="14" spans="2:14" ht="15.75" customHeight="1" x14ac:dyDescent="0.25">
      <c r="B14" s="20"/>
      <c r="C14" s="7" t="s">
        <v>44</v>
      </c>
      <c r="D14" s="8"/>
      <c r="E14" s="12">
        <v>2.617E-3</v>
      </c>
      <c r="F14" s="1"/>
      <c r="G14" s="1"/>
      <c r="H14" s="1"/>
      <c r="I14" s="1"/>
      <c r="J14" s="1"/>
      <c r="K14" s="1"/>
      <c r="L14" s="1"/>
      <c r="M14" s="1"/>
      <c r="N14" s="18"/>
    </row>
    <row r="15" spans="2:14" ht="15" customHeight="1" x14ac:dyDescent="0.25">
      <c r="B15" s="20"/>
      <c r="C15" s="5" t="s">
        <v>60</v>
      </c>
      <c r="D15" s="6" t="s">
        <v>194</v>
      </c>
      <c r="E15" s="11">
        <v>0.49507099999999998</v>
      </c>
      <c r="F15" s="1"/>
      <c r="G15" s="1"/>
      <c r="H15" s="1"/>
      <c r="I15" s="1"/>
      <c r="J15" s="1"/>
      <c r="K15" s="1"/>
      <c r="L15" s="1"/>
      <c r="M15" s="1"/>
      <c r="N15" s="18"/>
    </row>
    <row r="16" spans="2:14" ht="15" customHeight="1" x14ac:dyDescent="0.25">
      <c r="B16" s="20"/>
      <c r="C16" s="5" t="s">
        <v>61</v>
      </c>
      <c r="D16" s="6" t="s">
        <v>194</v>
      </c>
      <c r="E16" s="11">
        <v>0.128722</v>
      </c>
      <c r="F16" s="1"/>
      <c r="G16" s="1"/>
      <c r="H16" s="1"/>
      <c r="I16" s="1"/>
      <c r="J16" s="1"/>
      <c r="K16" s="1"/>
      <c r="L16" s="1"/>
      <c r="M16" s="1"/>
      <c r="N16" s="18"/>
    </row>
    <row r="17" spans="2:14" ht="15" customHeight="1" x14ac:dyDescent="0.25">
      <c r="B17" s="20"/>
      <c r="C17" s="5" t="s">
        <v>50</v>
      </c>
      <c r="D17" s="6" t="s">
        <v>194</v>
      </c>
      <c r="E17" s="11">
        <v>8.2413E-2</v>
      </c>
      <c r="F17" s="1"/>
      <c r="G17" s="1"/>
      <c r="H17" s="1"/>
      <c r="I17" s="1"/>
      <c r="J17" s="1"/>
      <c r="K17" s="1"/>
      <c r="L17" s="1"/>
      <c r="M17" s="1"/>
      <c r="N17" s="18"/>
    </row>
    <row r="18" spans="2:14" ht="15" customHeight="1" x14ac:dyDescent="0.25">
      <c r="B18" s="20"/>
      <c r="C18" s="5" t="s">
        <v>48</v>
      </c>
      <c r="D18" s="6" t="s">
        <v>194</v>
      </c>
      <c r="E18" s="11">
        <v>6.1890000000000001E-3</v>
      </c>
      <c r="F18" s="1"/>
      <c r="G18" s="1"/>
      <c r="H18" s="1"/>
      <c r="I18" s="1"/>
      <c r="J18" s="1"/>
      <c r="K18" s="1"/>
      <c r="L18" s="1"/>
      <c r="M18" s="1"/>
      <c r="N18" s="18"/>
    </row>
    <row r="19" spans="2:14" ht="15" customHeight="1" x14ac:dyDescent="0.25">
      <c r="B19" s="20"/>
      <c r="C19" s="5" t="s">
        <v>62</v>
      </c>
      <c r="D19" s="6" t="s">
        <v>194</v>
      </c>
      <c r="E19" s="11">
        <v>2.0219999999999999E-3</v>
      </c>
      <c r="F19" s="1"/>
      <c r="G19" s="1"/>
      <c r="H19" s="1"/>
      <c r="I19" s="1"/>
      <c r="J19" s="1"/>
      <c r="K19" s="1"/>
      <c r="L19" s="1"/>
      <c r="M19" s="1"/>
      <c r="N19" s="18"/>
    </row>
    <row r="20" spans="2:14" ht="15" customHeight="1" x14ac:dyDescent="0.25">
      <c r="B20" s="20"/>
      <c r="C20" s="5" t="s">
        <v>63</v>
      </c>
      <c r="D20" s="6" t="s">
        <v>194</v>
      </c>
      <c r="E20" s="11">
        <v>8.0099999999999995E-4</v>
      </c>
      <c r="F20" s="1"/>
      <c r="G20" s="1"/>
      <c r="H20" s="1"/>
      <c r="I20" s="1"/>
      <c r="J20" s="1"/>
      <c r="K20" s="1"/>
      <c r="L20" s="1"/>
      <c r="M20" s="1"/>
      <c r="N20" s="18"/>
    </row>
    <row r="21" spans="2:14" ht="15.75" customHeight="1" x14ac:dyDescent="0.25">
      <c r="B21" s="20"/>
      <c r="C21" s="7" t="s">
        <v>52</v>
      </c>
      <c r="D21" s="8"/>
      <c r="E21" s="12">
        <v>0.71521800000000002</v>
      </c>
      <c r="F21" s="1"/>
      <c r="G21" s="1"/>
      <c r="H21" s="1"/>
      <c r="I21" s="1"/>
      <c r="J21" s="1"/>
      <c r="K21" s="1"/>
      <c r="L21" s="1"/>
      <c r="M21" s="1"/>
      <c r="N21" s="18"/>
    </row>
    <row r="22" spans="2:14" ht="15" customHeight="1" x14ac:dyDescent="0.25">
      <c r="B22" s="20"/>
      <c r="C22" s="5" t="s">
        <v>8</v>
      </c>
      <c r="D22" s="6"/>
      <c r="E22" s="11">
        <v>4.9950000000000003E-3</v>
      </c>
      <c r="F22" s="1"/>
      <c r="G22" s="1"/>
      <c r="H22" s="1"/>
      <c r="I22" s="1"/>
      <c r="J22" s="1"/>
      <c r="K22" s="1"/>
      <c r="L22" s="1"/>
      <c r="M22" s="1"/>
      <c r="N22" s="18"/>
    </row>
    <row r="23" spans="2:14" ht="15.75" customHeight="1" x14ac:dyDescent="0.25">
      <c r="B23" s="20"/>
      <c r="C23" s="7" t="s">
        <v>9</v>
      </c>
      <c r="D23" s="8"/>
      <c r="E23" s="12">
        <v>4.9950000000000003E-3</v>
      </c>
      <c r="F23" s="1"/>
      <c r="G23" s="1"/>
      <c r="H23" s="1"/>
      <c r="I23" s="1"/>
      <c r="J23" s="1"/>
      <c r="K23" s="1"/>
      <c r="L23" s="1"/>
      <c r="M23" s="1"/>
      <c r="N23" s="18"/>
    </row>
    <row r="24" spans="2:14" ht="15" customHeight="1" x14ac:dyDescent="0.25">
      <c r="B24" s="20"/>
      <c r="C24" s="5"/>
      <c r="D24" s="6"/>
      <c r="E24" s="11"/>
      <c r="F24" s="1"/>
      <c r="G24" s="85" t="s">
        <v>17</v>
      </c>
      <c r="H24" s="86"/>
      <c r="I24" s="86"/>
      <c r="J24" s="86"/>
      <c r="K24" s="86"/>
      <c r="L24" s="67">
        <v>11.887004345976562</v>
      </c>
      <c r="M24" s="26"/>
      <c r="N24" s="27"/>
    </row>
    <row r="25" spans="2:14" ht="15.75" customHeight="1" x14ac:dyDescent="0.25">
      <c r="B25" s="20"/>
      <c r="C25" s="7" t="s">
        <v>10</v>
      </c>
      <c r="D25" s="8"/>
      <c r="E25" s="12">
        <v>2.8251999999999999E-2</v>
      </c>
      <c r="F25" s="1"/>
      <c r="G25" s="1"/>
      <c r="H25" s="1"/>
      <c r="I25" s="1"/>
      <c r="J25" s="1"/>
      <c r="K25" s="1"/>
      <c r="L25" s="1"/>
      <c r="M25" s="1"/>
      <c r="N25" s="18"/>
    </row>
    <row r="26" spans="2:14" ht="15" customHeight="1" x14ac:dyDescent="0.25">
      <c r="B26" s="20"/>
      <c r="C26" s="5"/>
      <c r="D26" s="6"/>
      <c r="E26" s="11"/>
      <c r="F26" s="1"/>
      <c r="G26" s="85" t="s">
        <v>18</v>
      </c>
      <c r="H26" s="86"/>
      <c r="I26" s="86"/>
      <c r="J26" s="86"/>
      <c r="K26" s="86"/>
      <c r="L26" s="86"/>
      <c r="M26" s="86"/>
      <c r="N26" s="87"/>
    </row>
    <row r="27" spans="2:14" ht="15" customHeight="1" x14ac:dyDescent="0.25">
      <c r="B27" s="20"/>
      <c r="C27" s="9" t="s">
        <v>11</v>
      </c>
      <c r="D27" s="10"/>
      <c r="E27" s="13">
        <v>1</v>
      </c>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8" t="s">
        <v>265</v>
      </c>
      <c r="C45" s="69"/>
      <c r="D45" s="69"/>
      <c r="E45" s="69"/>
      <c r="F45" s="69"/>
      <c r="G45" s="69"/>
      <c r="H45" s="69"/>
      <c r="I45" s="69"/>
      <c r="J45" s="69"/>
      <c r="K45" s="69"/>
      <c r="L45" s="69"/>
      <c r="M45" s="69"/>
      <c r="N45" s="70"/>
    </row>
    <row r="46" spans="2:14" ht="15" customHeight="1" x14ac:dyDescent="0.25">
      <c r="B46" s="71"/>
      <c r="C46" s="72"/>
      <c r="D46" s="72"/>
      <c r="E46" s="72"/>
      <c r="F46" s="72"/>
      <c r="G46" s="72"/>
      <c r="H46" s="72"/>
      <c r="I46" s="72"/>
      <c r="J46" s="72"/>
      <c r="K46" s="72"/>
      <c r="L46" s="72"/>
      <c r="M46" s="72"/>
      <c r="N46" s="73"/>
    </row>
    <row r="47" spans="2:14" ht="15" customHeight="1" x14ac:dyDescent="0.25">
      <c r="B47" s="71"/>
      <c r="C47" s="72"/>
      <c r="D47" s="72"/>
      <c r="E47" s="72"/>
      <c r="F47" s="72"/>
      <c r="G47" s="72"/>
      <c r="H47" s="72"/>
      <c r="I47" s="72"/>
      <c r="J47" s="72"/>
      <c r="K47" s="72"/>
      <c r="L47" s="72"/>
      <c r="M47" s="72"/>
      <c r="N47" s="73"/>
    </row>
    <row r="48" spans="2:14" ht="15.75" thickBot="1" x14ac:dyDescent="0.3">
      <c r="B48" s="74"/>
      <c r="C48" s="75"/>
      <c r="D48" s="75"/>
      <c r="E48" s="75"/>
      <c r="F48" s="75"/>
      <c r="G48" s="75"/>
      <c r="H48" s="75"/>
      <c r="I48" s="75"/>
      <c r="J48" s="75"/>
      <c r="K48" s="75"/>
      <c r="L48" s="75"/>
      <c r="M48" s="75"/>
      <c r="N48" s="76"/>
    </row>
    <row r="49" spans="2:14" ht="15.75" thickBot="1" x14ac:dyDescent="0.3"/>
    <row r="50" spans="2:14" ht="123.75" customHeight="1" thickBot="1" x14ac:dyDescent="0.3">
      <c r="B50" s="77" t="s">
        <v>264</v>
      </c>
      <c r="C50" s="78"/>
      <c r="D50" s="78"/>
      <c r="E50" s="78"/>
      <c r="F50" s="78"/>
      <c r="G50" s="78"/>
      <c r="H50" s="78"/>
      <c r="I50" s="78"/>
      <c r="J50" s="78"/>
      <c r="K50" s="78"/>
      <c r="L50" s="78"/>
      <c r="M50" s="78"/>
      <c r="N50" s="79"/>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48947-5F17-476A-95CF-0E687E5520F1}">
  <dimension ref="B1:N5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64</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65</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29</v>
      </c>
      <c r="D8" s="6" t="s">
        <v>28</v>
      </c>
      <c r="E8" s="11">
        <v>0.112554</v>
      </c>
      <c r="F8" s="1"/>
      <c r="G8" s="24" t="s">
        <v>15</v>
      </c>
      <c r="H8" s="25">
        <v>1</v>
      </c>
      <c r="I8" s="1"/>
      <c r="J8" s="24" t="s">
        <v>12</v>
      </c>
      <c r="K8" s="24" t="s">
        <v>5</v>
      </c>
      <c r="L8" s="1"/>
      <c r="M8" s="1"/>
      <c r="N8" s="18"/>
    </row>
    <row r="9" spans="2:14" ht="15" customHeight="1" x14ac:dyDescent="0.25">
      <c r="B9" s="20"/>
      <c r="C9" s="5" t="s">
        <v>33</v>
      </c>
      <c r="D9" s="6" t="s">
        <v>28</v>
      </c>
      <c r="E9" s="11">
        <v>0.10287300000000001</v>
      </c>
      <c r="F9" s="1"/>
      <c r="G9" s="1"/>
      <c r="H9" s="1"/>
      <c r="I9" s="1"/>
      <c r="J9" s="24" t="s">
        <v>10</v>
      </c>
      <c r="K9" s="28">
        <v>2.3747000000000001E-2</v>
      </c>
      <c r="L9" s="1"/>
      <c r="M9" s="1"/>
      <c r="N9" s="18"/>
    </row>
    <row r="10" spans="2:14" ht="15" customHeight="1" x14ac:dyDescent="0.25">
      <c r="B10" s="20"/>
      <c r="C10" s="5" t="s">
        <v>25</v>
      </c>
      <c r="D10" s="6" t="s">
        <v>28</v>
      </c>
      <c r="E10" s="11">
        <v>0.10221</v>
      </c>
      <c r="F10" s="1"/>
      <c r="G10" s="1"/>
      <c r="H10" s="1"/>
      <c r="I10" s="1"/>
      <c r="J10" s="24" t="s">
        <v>13</v>
      </c>
      <c r="K10" s="28">
        <v>3.333E-3</v>
      </c>
      <c r="L10" s="1"/>
      <c r="M10" s="1"/>
      <c r="N10" s="18"/>
    </row>
    <row r="11" spans="2:14" ht="15" customHeight="1" x14ac:dyDescent="0.25">
      <c r="B11" s="20"/>
      <c r="C11" s="5" t="s">
        <v>30</v>
      </c>
      <c r="D11" s="6" t="s">
        <v>28</v>
      </c>
      <c r="E11" s="11">
        <v>8.0304E-2</v>
      </c>
      <c r="F11" s="1"/>
      <c r="G11" s="1"/>
      <c r="H11" s="1"/>
      <c r="I11" s="1"/>
      <c r="J11" s="24" t="s">
        <v>55</v>
      </c>
      <c r="K11" s="28">
        <v>0.49314599999999997</v>
      </c>
      <c r="L11" s="1"/>
      <c r="M11" s="1"/>
      <c r="N11" s="18"/>
    </row>
    <row r="12" spans="2:14" ht="15" customHeight="1" x14ac:dyDescent="0.25">
      <c r="B12" s="20"/>
      <c r="C12" s="5" t="s">
        <v>32</v>
      </c>
      <c r="D12" s="6" t="s">
        <v>28</v>
      </c>
      <c r="E12" s="11">
        <v>6.4219999999999999E-2</v>
      </c>
      <c r="F12" s="1"/>
      <c r="G12" s="1"/>
      <c r="H12" s="1"/>
      <c r="I12" s="1"/>
      <c r="J12" s="24" t="s">
        <v>43</v>
      </c>
      <c r="K12" s="28">
        <v>3.3479999999999998E-3</v>
      </c>
      <c r="L12" s="1"/>
      <c r="M12" s="1"/>
      <c r="N12" s="18"/>
    </row>
    <row r="13" spans="2:14" ht="15" customHeight="1" x14ac:dyDescent="0.25">
      <c r="B13" s="20"/>
      <c r="C13" s="5" t="s">
        <v>27</v>
      </c>
      <c r="D13" s="6" t="s">
        <v>28</v>
      </c>
      <c r="E13" s="11">
        <v>3.0984999999999999E-2</v>
      </c>
      <c r="F13" s="1"/>
      <c r="G13" s="1"/>
      <c r="H13" s="1"/>
      <c r="I13" s="1"/>
      <c r="J13" s="24" t="s">
        <v>56</v>
      </c>
      <c r="K13" s="28">
        <v>0.46888200000000002</v>
      </c>
      <c r="L13" s="1"/>
      <c r="M13" s="1"/>
      <c r="N13" s="18"/>
    </row>
    <row r="14" spans="2:14" ht="15.75" customHeight="1" x14ac:dyDescent="0.25">
      <c r="B14" s="20"/>
      <c r="C14" s="7" t="s">
        <v>42</v>
      </c>
      <c r="D14" s="8"/>
      <c r="E14" s="12">
        <v>0.49314599999999997</v>
      </c>
      <c r="F14" s="1"/>
      <c r="G14" s="1"/>
      <c r="H14" s="1"/>
      <c r="I14" s="1"/>
      <c r="J14" s="24" t="s">
        <v>69</v>
      </c>
      <c r="K14" s="28">
        <v>6.2480000000000001E-3</v>
      </c>
      <c r="L14" s="1"/>
      <c r="M14" s="1"/>
      <c r="N14" s="18"/>
    </row>
    <row r="15" spans="2:14" ht="15" customHeight="1" x14ac:dyDescent="0.25">
      <c r="B15" s="20"/>
      <c r="C15" s="5" t="s">
        <v>43</v>
      </c>
      <c r="D15" s="6"/>
      <c r="E15" s="11">
        <v>3.3479999999999998E-3</v>
      </c>
      <c r="F15" s="1"/>
      <c r="G15" s="1"/>
      <c r="H15" s="1"/>
      <c r="I15" s="1"/>
      <c r="J15" s="24" t="s">
        <v>57</v>
      </c>
      <c r="K15" s="28">
        <v>1.2960000000000001E-3</v>
      </c>
      <c r="L15" s="1"/>
      <c r="M15" s="1"/>
      <c r="N15" s="18"/>
    </row>
    <row r="16" spans="2:14" ht="15.75" customHeight="1" x14ac:dyDescent="0.25">
      <c r="B16" s="20"/>
      <c r="C16" s="7" t="s">
        <v>44</v>
      </c>
      <c r="D16" s="8"/>
      <c r="E16" s="12">
        <v>3.3479999999999998E-3</v>
      </c>
      <c r="F16" s="1"/>
      <c r="G16" s="1"/>
      <c r="H16" s="1"/>
      <c r="I16" s="1"/>
      <c r="J16" s="1"/>
      <c r="K16" s="1"/>
      <c r="L16" s="1"/>
      <c r="M16" s="1"/>
      <c r="N16" s="18"/>
    </row>
    <row r="17" spans="2:14" ht="15" customHeight="1" x14ac:dyDescent="0.25">
      <c r="B17" s="20"/>
      <c r="C17" s="5" t="s">
        <v>50</v>
      </c>
      <c r="D17" s="6" t="s">
        <v>194</v>
      </c>
      <c r="E17" s="11">
        <v>0.33468500000000001</v>
      </c>
      <c r="F17" s="1"/>
      <c r="G17" s="1"/>
      <c r="H17" s="1"/>
      <c r="I17" s="1"/>
      <c r="J17" s="1"/>
      <c r="K17" s="1"/>
      <c r="L17" s="1"/>
      <c r="M17" s="1"/>
      <c r="N17" s="18"/>
    </row>
    <row r="18" spans="2:14" ht="15" customHeight="1" x14ac:dyDescent="0.25">
      <c r="B18" s="20"/>
      <c r="C18" s="5" t="s">
        <v>45</v>
      </c>
      <c r="D18" s="6" t="s">
        <v>194</v>
      </c>
      <c r="E18" s="11">
        <v>8.0402000000000001E-2</v>
      </c>
      <c r="F18" s="1"/>
      <c r="G18" s="1"/>
      <c r="H18" s="1"/>
      <c r="I18" s="1"/>
      <c r="J18" s="1"/>
      <c r="K18" s="1"/>
      <c r="L18" s="1"/>
      <c r="M18" s="1"/>
      <c r="N18" s="18"/>
    </row>
    <row r="19" spans="2:14" ht="15" customHeight="1" x14ac:dyDescent="0.25">
      <c r="B19" s="20"/>
      <c r="C19" s="5" t="s">
        <v>49</v>
      </c>
      <c r="D19" s="6" t="s">
        <v>194</v>
      </c>
      <c r="E19" s="11">
        <v>3.4229000000000002E-2</v>
      </c>
      <c r="F19" s="1"/>
      <c r="G19" s="1"/>
      <c r="H19" s="1"/>
      <c r="I19" s="1"/>
      <c r="J19" s="1"/>
      <c r="K19" s="1"/>
      <c r="L19" s="1"/>
      <c r="M19" s="1"/>
      <c r="N19" s="18"/>
    </row>
    <row r="20" spans="2:14" ht="15" customHeight="1" x14ac:dyDescent="0.25">
      <c r="B20" s="20"/>
      <c r="C20" s="5" t="s">
        <v>46</v>
      </c>
      <c r="D20" s="6" t="s">
        <v>194</v>
      </c>
      <c r="E20" s="11">
        <v>1.9365E-2</v>
      </c>
      <c r="F20" s="1"/>
      <c r="G20" s="1"/>
      <c r="H20" s="1"/>
      <c r="I20" s="1"/>
      <c r="J20" s="1"/>
      <c r="K20" s="1"/>
      <c r="L20" s="1"/>
      <c r="M20" s="1"/>
      <c r="N20" s="18"/>
    </row>
    <row r="21" spans="2:14" ht="15" customHeight="1" x14ac:dyDescent="0.25">
      <c r="B21" s="20"/>
      <c r="C21" s="5" t="s">
        <v>62</v>
      </c>
      <c r="D21" s="6" t="s">
        <v>194</v>
      </c>
      <c r="E21" s="11">
        <v>1.2799999999999999E-4</v>
      </c>
      <c r="F21" s="1"/>
      <c r="G21" s="1"/>
      <c r="H21" s="1"/>
      <c r="I21" s="1"/>
      <c r="J21" s="1"/>
      <c r="K21" s="1"/>
      <c r="L21" s="1"/>
      <c r="M21" s="1"/>
      <c r="N21" s="18"/>
    </row>
    <row r="22" spans="2:14" ht="15" customHeight="1" x14ac:dyDescent="0.25">
      <c r="B22" s="20"/>
      <c r="C22" s="5" t="s">
        <v>66</v>
      </c>
      <c r="D22" s="6" t="s">
        <v>194</v>
      </c>
      <c r="E22" s="11">
        <v>7.2999999999999999E-5</v>
      </c>
      <c r="F22" s="1"/>
      <c r="G22" s="1"/>
      <c r="H22" s="1"/>
      <c r="I22" s="1"/>
      <c r="J22" s="1"/>
      <c r="K22" s="1"/>
      <c r="L22" s="1"/>
      <c r="M22" s="1"/>
      <c r="N22" s="18"/>
    </row>
    <row r="23" spans="2:14" ht="15.75" customHeight="1" x14ac:dyDescent="0.25">
      <c r="B23" s="20"/>
      <c r="C23" s="7" t="s">
        <v>52</v>
      </c>
      <c r="D23" s="8"/>
      <c r="E23" s="12">
        <v>0.46888200000000002</v>
      </c>
      <c r="F23" s="1"/>
      <c r="G23" s="1"/>
      <c r="H23" s="1"/>
      <c r="I23" s="1"/>
      <c r="J23" s="1"/>
      <c r="K23" s="1"/>
      <c r="L23" s="1"/>
      <c r="M23" s="1"/>
      <c r="N23" s="18"/>
    </row>
    <row r="24" spans="2:14" ht="15" customHeight="1" x14ac:dyDescent="0.25">
      <c r="B24" s="20"/>
      <c r="C24" s="5" t="s">
        <v>268</v>
      </c>
      <c r="D24" s="6" t="s">
        <v>67</v>
      </c>
      <c r="E24" s="11">
        <v>6.2480000000000001E-3</v>
      </c>
      <c r="F24" s="1"/>
      <c r="G24" s="85" t="s">
        <v>17</v>
      </c>
      <c r="H24" s="86"/>
      <c r="I24" s="86"/>
      <c r="J24" s="86"/>
      <c r="K24" s="86"/>
      <c r="L24" s="67">
        <v>5.0111819262827328</v>
      </c>
      <c r="M24" s="26"/>
      <c r="N24" s="27"/>
    </row>
    <row r="25" spans="2:14" ht="15.75" customHeight="1" x14ac:dyDescent="0.25">
      <c r="B25" s="20"/>
      <c r="C25" s="7" t="s">
        <v>68</v>
      </c>
      <c r="D25" s="8"/>
      <c r="E25" s="12">
        <v>6.2480000000000001E-3</v>
      </c>
      <c r="F25" s="1"/>
      <c r="G25" s="1"/>
      <c r="H25" s="1"/>
      <c r="I25" s="1"/>
      <c r="J25" s="1"/>
      <c r="K25" s="1"/>
      <c r="L25" s="1"/>
      <c r="M25" s="1"/>
      <c r="N25" s="18"/>
    </row>
    <row r="26" spans="2:14" ht="15" customHeight="1" x14ac:dyDescent="0.25">
      <c r="B26" s="20"/>
      <c r="C26" s="5" t="s">
        <v>206</v>
      </c>
      <c r="D26" s="6" t="s">
        <v>194</v>
      </c>
      <c r="E26" s="11">
        <v>1.2960000000000001E-3</v>
      </c>
      <c r="F26" s="1"/>
      <c r="G26" s="85" t="s">
        <v>18</v>
      </c>
      <c r="H26" s="86"/>
      <c r="I26" s="86"/>
      <c r="J26" s="86"/>
      <c r="K26" s="86"/>
      <c r="L26" s="86"/>
      <c r="M26" s="86"/>
      <c r="N26" s="87"/>
    </row>
    <row r="27" spans="2:14" ht="15.75" customHeight="1" x14ac:dyDescent="0.25">
      <c r="B27" s="20"/>
      <c r="C27" s="7" t="s">
        <v>53</v>
      </c>
      <c r="D27" s="8"/>
      <c r="E27" s="12">
        <v>1.2960000000000001E-3</v>
      </c>
      <c r="F27" s="1"/>
      <c r="G27" s="1"/>
      <c r="H27" s="1"/>
      <c r="I27" s="1"/>
      <c r="J27" s="1"/>
      <c r="K27" s="1"/>
      <c r="L27" s="1"/>
      <c r="M27" s="1"/>
      <c r="N27" s="18"/>
    </row>
    <row r="28" spans="2:14" ht="15" customHeight="1" x14ac:dyDescent="0.25">
      <c r="B28" s="20"/>
      <c r="C28" s="5" t="s">
        <v>8</v>
      </c>
      <c r="D28" s="6"/>
      <c r="E28" s="11">
        <v>3.333E-3</v>
      </c>
      <c r="F28" s="1"/>
      <c r="G28" s="1"/>
      <c r="H28" s="1"/>
      <c r="I28" s="1"/>
      <c r="J28" s="1"/>
      <c r="K28" s="1"/>
      <c r="L28" s="1"/>
      <c r="M28" s="1"/>
      <c r="N28" s="18"/>
    </row>
    <row r="29" spans="2:14" ht="15.75" customHeight="1" x14ac:dyDescent="0.25">
      <c r="B29" s="20"/>
      <c r="C29" s="7" t="s">
        <v>9</v>
      </c>
      <c r="D29" s="8"/>
      <c r="E29" s="12">
        <v>3.333E-3</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75" customHeight="1" x14ac:dyDescent="0.25">
      <c r="B31" s="20"/>
      <c r="C31" s="7" t="s">
        <v>10</v>
      </c>
      <c r="D31" s="8"/>
      <c r="E31" s="12">
        <v>2.3747000000000001E-2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9" t="s">
        <v>11</v>
      </c>
      <c r="D33" s="10"/>
      <c r="E33" s="13">
        <v>1</v>
      </c>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t="s">
        <v>267</v>
      </c>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8" t="s">
        <v>265</v>
      </c>
      <c r="C45" s="69"/>
      <c r="D45" s="69"/>
      <c r="E45" s="69"/>
      <c r="F45" s="69"/>
      <c r="G45" s="69"/>
      <c r="H45" s="69"/>
      <c r="I45" s="69"/>
      <c r="J45" s="69"/>
      <c r="K45" s="69"/>
      <c r="L45" s="69"/>
      <c r="M45" s="69"/>
      <c r="N45" s="70"/>
    </row>
    <row r="46" spans="2:14" ht="15" customHeight="1" x14ac:dyDescent="0.25">
      <c r="B46" s="71"/>
      <c r="C46" s="72"/>
      <c r="D46" s="72"/>
      <c r="E46" s="72"/>
      <c r="F46" s="72"/>
      <c r="G46" s="72"/>
      <c r="H46" s="72"/>
      <c r="I46" s="72"/>
      <c r="J46" s="72"/>
      <c r="K46" s="72"/>
      <c r="L46" s="72"/>
      <c r="M46" s="72"/>
      <c r="N46" s="73"/>
    </row>
    <row r="47" spans="2:14" ht="15" customHeight="1" x14ac:dyDescent="0.25">
      <c r="B47" s="71"/>
      <c r="C47" s="72"/>
      <c r="D47" s="72"/>
      <c r="E47" s="72"/>
      <c r="F47" s="72"/>
      <c r="G47" s="72"/>
      <c r="H47" s="72"/>
      <c r="I47" s="72"/>
      <c r="J47" s="72"/>
      <c r="K47" s="72"/>
      <c r="L47" s="72"/>
      <c r="M47" s="72"/>
      <c r="N47" s="73"/>
    </row>
    <row r="48" spans="2:14" ht="15" customHeight="1" thickBot="1" x14ac:dyDescent="0.3">
      <c r="B48" s="74"/>
      <c r="C48" s="75"/>
      <c r="D48" s="75"/>
      <c r="E48" s="75"/>
      <c r="F48" s="75"/>
      <c r="G48" s="75"/>
      <c r="H48" s="75"/>
      <c r="I48" s="75"/>
      <c r="J48" s="75"/>
      <c r="K48" s="75"/>
      <c r="L48" s="75"/>
      <c r="M48" s="75"/>
      <c r="N48" s="76"/>
    </row>
    <row r="49" spans="2:14" ht="15" customHeight="1" thickBot="1" x14ac:dyDescent="0.3"/>
    <row r="50" spans="2:14" ht="120.75" customHeight="1" thickBot="1" x14ac:dyDescent="0.3">
      <c r="B50" s="77" t="s">
        <v>264</v>
      </c>
      <c r="C50" s="78"/>
      <c r="D50" s="78"/>
      <c r="E50" s="78"/>
      <c r="F50" s="78"/>
      <c r="G50" s="78"/>
      <c r="H50" s="78"/>
      <c r="I50" s="78"/>
      <c r="J50" s="78"/>
      <c r="K50" s="78"/>
      <c r="L50" s="78"/>
      <c r="M50" s="78"/>
      <c r="N50" s="79"/>
    </row>
    <row r="51" spans="2:14" ht="15" customHeight="1" x14ac:dyDescent="0.25"/>
    <row r="52" spans="2:14" ht="15" customHeight="1" x14ac:dyDescent="0.25"/>
    <row r="53"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1F2B6-9331-4BEE-9AF3-C43D2FE0BD66}">
  <dimension ref="B1:N55"/>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70</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71</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29</v>
      </c>
      <c r="D8" s="6" t="s">
        <v>28</v>
      </c>
      <c r="E8" s="11">
        <v>0.11282300000000001</v>
      </c>
      <c r="F8" s="1"/>
      <c r="G8" s="24" t="s">
        <v>15</v>
      </c>
      <c r="H8" s="25">
        <v>1</v>
      </c>
      <c r="I8" s="1"/>
      <c r="J8" s="24" t="s">
        <v>12</v>
      </c>
      <c r="K8" s="24" t="s">
        <v>5</v>
      </c>
      <c r="L8" s="1"/>
      <c r="M8" s="1"/>
      <c r="N8" s="18"/>
    </row>
    <row r="9" spans="2:14" ht="15" customHeight="1" x14ac:dyDescent="0.25">
      <c r="B9" s="20"/>
      <c r="C9" s="5" t="s">
        <v>25</v>
      </c>
      <c r="D9" s="6" t="s">
        <v>28</v>
      </c>
      <c r="E9" s="11">
        <v>9.4522999999999996E-2</v>
      </c>
      <c r="F9" s="1"/>
      <c r="G9" s="1"/>
      <c r="H9" s="1"/>
      <c r="I9" s="1"/>
      <c r="J9" s="24" t="s">
        <v>10</v>
      </c>
      <c r="K9" s="28">
        <v>2.4050999999999999E-2</v>
      </c>
      <c r="L9" s="1"/>
      <c r="M9" s="1"/>
      <c r="N9" s="18"/>
    </row>
    <row r="10" spans="2:14" ht="15" customHeight="1" x14ac:dyDescent="0.25">
      <c r="B10" s="20"/>
      <c r="C10" s="5" t="s">
        <v>27</v>
      </c>
      <c r="D10" s="6" t="s">
        <v>28</v>
      </c>
      <c r="E10" s="11">
        <v>8.5630999999999999E-2</v>
      </c>
      <c r="F10" s="1"/>
      <c r="G10" s="1"/>
      <c r="H10" s="1"/>
      <c r="I10" s="1"/>
      <c r="J10" s="24" t="s">
        <v>13</v>
      </c>
      <c r="K10" s="28">
        <v>4.15E-3</v>
      </c>
      <c r="L10" s="1"/>
      <c r="M10" s="1"/>
      <c r="N10" s="18"/>
    </row>
    <row r="11" spans="2:14" ht="15" customHeight="1" x14ac:dyDescent="0.25">
      <c r="B11" s="20"/>
      <c r="C11" s="5" t="s">
        <v>32</v>
      </c>
      <c r="D11" s="6" t="s">
        <v>28</v>
      </c>
      <c r="E11" s="11">
        <v>8.2754999999999995E-2</v>
      </c>
      <c r="F11" s="1"/>
      <c r="G11" s="1"/>
      <c r="H11" s="1"/>
      <c r="I11" s="1"/>
      <c r="J11" s="24" t="s">
        <v>55</v>
      </c>
      <c r="K11" s="28">
        <v>0.47312199999999999</v>
      </c>
      <c r="L11" s="1"/>
      <c r="M11" s="1"/>
      <c r="N11" s="18"/>
    </row>
    <row r="12" spans="2:14" ht="15" customHeight="1" x14ac:dyDescent="0.25">
      <c r="B12" s="20"/>
      <c r="C12" s="5" t="s">
        <v>72</v>
      </c>
      <c r="D12" s="6" t="s">
        <v>28</v>
      </c>
      <c r="E12" s="11">
        <v>3.4221000000000001E-2</v>
      </c>
      <c r="F12" s="1"/>
      <c r="G12" s="1"/>
      <c r="H12" s="1"/>
      <c r="I12" s="1"/>
      <c r="J12" s="24" t="s">
        <v>43</v>
      </c>
      <c r="K12" s="28">
        <v>2.7850000000000001E-3</v>
      </c>
      <c r="L12" s="1"/>
      <c r="M12" s="1"/>
      <c r="N12" s="18"/>
    </row>
    <row r="13" spans="2:14" ht="15" customHeight="1" x14ac:dyDescent="0.25">
      <c r="B13" s="20"/>
      <c r="C13" s="5" t="s">
        <v>73</v>
      </c>
      <c r="D13" s="6" t="s">
        <v>28</v>
      </c>
      <c r="E13" s="11">
        <v>2.9547E-2</v>
      </c>
      <c r="F13" s="1"/>
      <c r="G13" s="1"/>
      <c r="H13" s="1"/>
      <c r="I13" s="1"/>
      <c r="J13" s="24" t="s">
        <v>56</v>
      </c>
      <c r="K13" s="28">
        <v>0.49377900000000002</v>
      </c>
      <c r="L13" s="1"/>
      <c r="M13" s="1"/>
      <c r="N13" s="18"/>
    </row>
    <row r="14" spans="2:14" ht="15" customHeight="1" x14ac:dyDescent="0.25">
      <c r="B14" s="20"/>
      <c r="C14" s="5" t="s">
        <v>74</v>
      </c>
      <c r="D14" s="6" t="s">
        <v>28</v>
      </c>
      <c r="E14" s="11">
        <v>1.7146000000000002E-2</v>
      </c>
      <c r="F14" s="1"/>
      <c r="G14" s="1"/>
      <c r="H14" s="1"/>
      <c r="I14" s="1"/>
      <c r="J14" s="24" t="s">
        <v>69</v>
      </c>
      <c r="K14" s="28">
        <v>2.1129999999999999E-3</v>
      </c>
      <c r="L14" s="1"/>
      <c r="M14" s="1"/>
      <c r="N14" s="18"/>
    </row>
    <row r="15" spans="2:14" ht="15" customHeight="1" x14ac:dyDescent="0.25">
      <c r="B15" s="20"/>
      <c r="C15" s="5" t="s">
        <v>31</v>
      </c>
      <c r="D15" s="6" t="s">
        <v>28</v>
      </c>
      <c r="E15" s="11">
        <v>1.0222999999999999E-2</v>
      </c>
      <c r="F15" s="1"/>
      <c r="G15" s="1"/>
      <c r="H15" s="1"/>
      <c r="I15" s="1"/>
      <c r="J15" s="1"/>
      <c r="K15" s="1"/>
      <c r="L15" s="1"/>
      <c r="M15" s="1"/>
      <c r="N15" s="18"/>
    </row>
    <row r="16" spans="2:14" ht="15" customHeight="1" x14ac:dyDescent="0.25">
      <c r="B16" s="20"/>
      <c r="C16" s="5" t="s">
        <v>33</v>
      </c>
      <c r="D16" s="6" t="s">
        <v>28</v>
      </c>
      <c r="E16" s="11">
        <v>6.2529999999999999E-3</v>
      </c>
      <c r="F16" s="1"/>
      <c r="G16" s="1"/>
      <c r="H16" s="1"/>
      <c r="I16" s="1"/>
      <c r="J16" s="1"/>
      <c r="K16" s="1"/>
      <c r="L16" s="1"/>
      <c r="M16" s="1"/>
      <c r="N16" s="18"/>
    </row>
    <row r="17" spans="2:14" ht="15.75" customHeight="1" x14ac:dyDescent="0.25">
      <c r="B17" s="20"/>
      <c r="C17" s="7" t="s">
        <v>42</v>
      </c>
      <c r="D17" s="8"/>
      <c r="E17" s="12">
        <v>0.47312199999999999</v>
      </c>
      <c r="F17" s="1"/>
      <c r="G17" s="1"/>
      <c r="H17" s="1"/>
      <c r="I17" s="1"/>
      <c r="J17" s="1"/>
      <c r="K17" s="1"/>
      <c r="L17" s="1"/>
      <c r="M17" s="1"/>
      <c r="N17" s="18"/>
    </row>
    <row r="18" spans="2:14" ht="15" customHeight="1" x14ac:dyDescent="0.25">
      <c r="B18" s="20"/>
      <c r="C18" s="5" t="s">
        <v>43</v>
      </c>
      <c r="D18" s="6"/>
      <c r="E18" s="11">
        <v>2.7850000000000001E-3</v>
      </c>
      <c r="F18" s="1"/>
      <c r="G18" s="1"/>
      <c r="H18" s="1"/>
      <c r="I18" s="1"/>
      <c r="J18" s="1"/>
      <c r="K18" s="1"/>
      <c r="L18" s="1"/>
      <c r="M18" s="1"/>
      <c r="N18" s="18"/>
    </row>
    <row r="19" spans="2:14" ht="15.75" customHeight="1" x14ac:dyDescent="0.25">
      <c r="B19" s="20"/>
      <c r="C19" s="7" t="s">
        <v>44</v>
      </c>
      <c r="D19" s="8"/>
      <c r="E19" s="12">
        <v>2.7850000000000001E-3</v>
      </c>
      <c r="F19" s="1"/>
      <c r="G19" s="1"/>
      <c r="H19" s="1"/>
      <c r="I19" s="1"/>
      <c r="J19" s="1"/>
      <c r="K19" s="1"/>
      <c r="L19" s="1"/>
      <c r="M19" s="1"/>
      <c r="N19" s="18"/>
    </row>
    <row r="20" spans="2:14" ht="15" customHeight="1" x14ac:dyDescent="0.25">
      <c r="B20" s="20"/>
      <c r="C20" s="5" t="s">
        <v>45</v>
      </c>
      <c r="D20" s="6" t="s">
        <v>194</v>
      </c>
      <c r="E20" s="11">
        <v>0.44889699999999999</v>
      </c>
      <c r="F20" s="1"/>
      <c r="G20" s="1"/>
      <c r="H20" s="1"/>
      <c r="I20" s="1"/>
      <c r="J20" s="1"/>
      <c r="K20" s="1"/>
      <c r="L20" s="1"/>
      <c r="M20" s="1"/>
      <c r="N20" s="18"/>
    </row>
    <row r="21" spans="2:14" ht="15" customHeight="1" x14ac:dyDescent="0.25">
      <c r="B21" s="20"/>
      <c r="C21" s="5" t="s">
        <v>48</v>
      </c>
      <c r="D21" s="6" t="s">
        <v>194</v>
      </c>
      <c r="E21" s="11">
        <v>2.1059000000000001E-2</v>
      </c>
      <c r="F21" s="1"/>
      <c r="G21" s="1"/>
      <c r="H21" s="1"/>
      <c r="I21" s="1"/>
      <c r="J21" s="1"/>
      <c r="K21" s="1"/>
      <c r="L21" s="1"/>
      <c r="M21" s="1"/>
      <c r="N21" s="18"/>
    </row>
    <row r="22" spans="2:14" ht="15" customHeight="1" x14ac:dyDescent="0.25">
      <c r="B22" s="20"/>
      <c r="C22" s="5" t="s">
        <v>46</v>
      </c>
      <c r="D22" s="6" t="s">
        <v>194</v>
      </c>
      <c r="E22" s="11">
        <v>1.779E-2</v>
      </c>
      <c r="F22" s="1"/>
      <c r="G22" s="1"/>
      <c r="H22" s="1"/>
      <c r="I22" s="1"/>
      <c r="J22" s="1"/>
      <c r="K22" s="1"/>
      <c r="L22" s="1"/>
      <c r="M22" s="1"/>
      <c r="N22" s="18"/>
    </row>
    <row r="23" spans="2:14" ht="15" customHeight="1" x14ac:dyDescent="0.25">
      <c r="B23" s="20"/>
      <c r="C23" s="5" t="s">
        <v>75</v>
      </c>
      <c r="D23" s="6" t="s">
        <v>194</v>
      </c>
      <c r="E23" s="11">
        <v>5.7089999999999997E-3</v>
      </c>
      <c r="F23" s="1"/>
      <c r="G23" s="1"/>
      <c r="H23" s="1"/>
      <c r="I23" s="1"/>
      <c r="J23" s="1"/>
      <c r="K23" s="1"/>
      <c r="L23" s="1"/>
      <c r="M23" s="1"/>
      <c r="N23" s="18"/>
    </row>
    <row r="24" spans="2:14" ht="15" customHeight="1" x14ac:dyDescent="0.25">
      <c r="B24" s="20"/>
      <c r="C24" s="5" t="s">
        <v>66</v>
      </c>
      <c r="D24" s="6" t="s">
        <v>194</v>
      </c>
      <c r="E24" s="11">
        <v>1.17E-4</v>
      </c>
      <c r="F24" s="1"/>
      <c r="G24" s="85" t="s">
        <v>17</v>
      </c>
      <c r="H24" s="86"/>
      <c r="I24" s="86"/>
      <c r="J24" s="86"/>
      <c r="K24" s="86"/>
      <c r="L24" s="67">
        <v>3.4151807299384287</v>
      </c>
      <c r="M24" s="26"/>
      <c r="N24" s="27"/>
    </row>
    <row r="25" spans="2:14" ht="15" customHeight="1" x14ac:dyDescent="0.25">
      <c r="B25" s="20"/>
      <c r="C25" s="5" t="s">
        <v>76</v>
      </c>
      <c r="D25" s="6" t="s">
        <v>194</v>
      </c>
      <c r="E25" s="11">
        <v>1.11E-4</v>
      </c>
      <c r="F25" s="1"/>
      <c r="G25" s="1"/>
      <c r="H25" s="1"/>
      <c r="I25" s="1"/>
      <c r="J25" s="1"/>
      <c r="K25" s="1"/>
      <c r="L25" s="1"/>
      <c r="M25" s="1"/>
      <c r="N25" s="18"/>
    </row>
    <row r="26" spans="2:14" ht="15" customHeight="1" x14ac:dyDescent="0.25">
      <c r="B26" s="20"/>
      <c r="C26" s="5" t="s">
        <v>62</v>
      </c>
      <c r="D26" s="6" t="s">
        <v>194</v>
      </c>
      <c r="E26" s="11">
        <v>9.6000000000000002E-5</v>
      </c>
      <c r="F26" s="1"/>
      <c r="G26" s="85" t="s">
        <v>18</v>
      </c>
      <c r="H26" s="86"/>
      <c r="I26" s="86"/>
      <c r="J26" s="86"/>
      <c r="K26" s="86"/>
      <c r="L26" s="86"/>
      <c r="M26" s="86"/>
      <c r="N26" s="87"/>
    </row>
    <row r="27" spans="2:14" ht="15.75" customHeight="1" x14ac:dyDescent="0.25">
      <c r="B27" s="20"/>
      <c r="C27" s="7" t="s">
        <v>52</v>
      </c>
      <c r="D27" s="8"/>
      <c r="E27" s="12">
        <v>0.49377900000000002</v>
      </c>
      <c r="F27" s="1"/>
      <c r="G27" s="1"/>
      <c r="H27" s="1"/>
      <c r="I27" s="1"/>
      <c r="J27" s="1"/>
      <c r="K27" s="1"/>
      <c r="L27" s="1"/>
      <c r="M27" s="1"/>
      <c r="N27" s="18"/>
    </row>
    <row r="28" spans="2:14" ht="15" customHeight="1" x14ac:dyDescent="0.25">
      <c r="B28" s="20"/>
      <c r="C28" s="5" t="s">
        <v>268</v>
      </c>
      <c r="D28" s="6" t="s">
        <v>67</v>
      </c>
      <c r="E28" s="11">
        <v>2.1129999999999999E-3</v>
      </c>
      <c r="F28" s="1"/>
      <c r="G28" s="1"/>
      <c r="H28" s="1"/>
      <c r="I28" s="1"/>
      <c r="J28" s="1"/>
      <c r="K28" s="1"/>
      <c r="L28" s="1"/>
      <c r="M28" s="1"/>
      <c r="N28" s="18"/>
    </row>
    <row r="29" spans="2:14" ht="15.75" customHeight="1" x14ac:dyDescent="0.25">
      <c r="B29" s="20"/>
      <c r="C29" s="7" t="s">
        <v>68</v>
      </c>
      <c r="D29" s="8"/>
      <c r="E29" s="12">
        <v>2.1129999999999999E-3</v>
      </c>
      <c r="F29" s="1"/>
      <c r="G29" s="1"/>
      <c r="H29" s="1"/>
      <c r="I29" s="1"/>
      <c r="J29" s="1"/>
      <c r="K29" s="1"/>
      <c r="L29" s="1"/>
      <c r="M29" s="1"/>
      <c r="N29" s="18"/>
    </row>
    <row r="30" spans="2:14" ht="15" customHeight="1" x14ac:dyDescent="0.25">
      <c r="B30" s="20"/>
      <c r="C30" s="5" t="s">
        <v>8</v>
      </c>
      <c r="D30" s="6"/>
      <c r="E30" s="11">
        <v>4.15E-3</v>
      </c>
      <c r="F30" s="1"/>
      <c r="G30" s="1"/>
      <c r="H30" s="1"/>
      <c r="I30" s="1"/>
      <c r="J30" s="1"/>
      <c r="K30" s="1"/>
      <c r="L30" s="1"/>
      <c r="M30" s="1"/>
      <c r="N30" s="18"/>
    </row>
    <row r="31" spans="2:14" ht="15.75" customHeight="1" x14ac:dyDescent="0.25">
      <c r="B31" s="20"/>
      <c r="C31" s="7" t="s">
        <v>9</v>
      </c>
      <c r="D31" s="8"/>
      <c r="E31" s="12">
        <v>4.15E-3</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75" customHeight="1" x14ac:dyDescent="0.25">
      <c r="B33" s="20"/>
      <c r="C33" s="7" t="s">
        <v>10</v>
      </c>
      <c r="D33" s="8"/>
      <c r="E33" s="12">
        <v>2.4050999999999999E-2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 customHeight="1" x14ac:dyDescent="0.25">
      <c r="B35" s="20"/>
      <c r="C35" s="9" t="s">
        <v>11</v>
      </c>
      <c r="D35" s="10"/>
      <c r="E35" s="13">
        <v>1</v>
      </c>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t="s">
        <v>267</v>
      </c>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8" t="s">
        <v>265</v>
      </c>
      <c r="C45" s="69"/>
      <c r="D45" s="69"/>
      <c r="E45" s="69"/>
      <c r="F45" s="69"/>
      <c r="G45" s="69"/>
      <c r="H45" s="69"/>
      <c r="I45" s="69"/>
      <c r="J45" s="69"/>
      <c r="K45" s="69"/>
      <c r="L45" s="69"/>
      <c r="M45" s="69"/>
      <c r="N45" s="70"/>
    </row>
    <row r="46" spans="2:14" ht="15" customHeight="1" x14ac:dyDescent="0.25">
      <c r="B46" s="71"/>
      <c r="C46" s="72"/>
      <c r="D46" s="72"/>
      <c r="E46" s="72"/>
      <c r="F46" s="72"/>
      <c r="G46" s="72"/>
      <c r="H46" s="72"/>
      <c r="I46" s="72"/>
      <c r="J46" s="72"/>
      <c r="K46" s="72"/>
      <c r="L46" s="72"/>
      <c r="M46" s="72"/>
      <c r="N46" s="73"/>
    </row>
    <row r="47" spans="2:14" ht="15" customHeight="1" x14ac:dyDescent="0.25">
      <c r="B47" s="71"/>
      <c r="C47" s="72"/>
      <c r="D47" s="72"/>
      <c r="E47" s="72"/>
      <c r="F47" s="72"/>
      <c r="G47" s="72"/>
      <c r="H47" s="72"/>
      <c r="I47" s="72"/>
      <c r="J47" s="72"/>
      <c r="K47" s="72"/>
      <c r="L47" s="72"/>
      <c r="M47" s="72"/>
      <c r="N47" s="73"/>
    </row>
    <row r="48" spans="2:14" ht="15" customHeight="1" thickBot="1" x14ac:dyDescent="0.3">
      <c r="B48" s="74"/>
      <c r="C48" s="75"/>
      <c r="D48" s="75"/>
      <c r="E48" s="75"/>
      <c r="F48" s="75"/>
      <c r="G48" s="75"/>
      <c r="H48" s="75"/>
      <c r="I48" s="75"/>
      <c r="J48" s="75"/>
      <c r="K48" s="75"/>
      <c r="L48" s="75"/>
      <c r="M48" s="75"/>
      <c r="N48" s="76"/>
    </row>
    <row r="49" spans="2:14" ht="15" customHeight="1" thickBot="1" x14ac:dyDescent="0.3"/>
    <row r="50" spans="2:14" ht="120" customHeight="1" thickBot="1" x14ac:dyDescent="0.3">
      <c r="B50" s="77" t="s">
        <v>264</v>
      </c>
      <c r="C50" s="78"/>
      <c r="D50" s="78"/>
      <c r="E50" s="78"/>
      <c r="F50" s="78"/>
      <c r="G50" s="78"/>
      <c r="H50" s="78"/>
      <c r="I50" s="78"/>
      <c r="J50" s="78"/>
      <c r="K50" s="78"/>
      <c r="L50" s="78"/>
      <c r="M50" s="78"/>
      <c r="N50" s="79"/>
    </row>
    <row r="51" spans="2:14" ht="15" customHeight="1" x14ac:dyDescent="0.25"/>
    <row r="52" spans="2:14" ht="15" customHeight="1" x14ac:dyDescent="0.25"/>
    <row r="53" spans="2:14" ht="15" customHeight="1" x14ac:dyDescent="0.25"/>
    <row r="54" spans="2:14" ht="15" customHeight="1" x14ac:dyDescent="0.25"/>
    <row r="55"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7DD37-568C-4DBA-8B41-1015418FBDA2}">
  <dimension ref="B1:N7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19</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20</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21</v>
      </c>
      <c r="D8" s="6" t="s">
        <v>22</v>
      </c>
      <c r="E8" s="11">
        <v>1.9904999999999999E-2</v>
      </c>
      <c r="F8" s="1"/>
      <c r="G8" s="24" t="s">
        <v>15</v>
      </c>
      <c r="H8" s="25">
        <v>1</v>
      </c>
      <c r="I8" s="1"/>
      <c r="J8" s="24" t="s">
        <v>12</v>
      </c>
      <c r="K8" s="24" t="s">
        <v>5</v>
      </c>
      <c r="L8" s="1"/>
      <c r="M8" s="1"/>
      <c r="N8" s="18"/>
    </row>
    <row r="9" spans="2:14" ht="15" customHeight="1" x14ac:dyDescent="0.25">
      <c r="B9" s="20"/>
      <c r="C9" s="5" t="s">
        <v>23</v>
      </c>
      <c r="D9" s="6" t="s">
        <v>22</v>
      </c>
      <c r="E9" s="11">
        <v>1.6580999999999999E-2</v>
      </c>
      <c r="F9" s="1"/>
      <c r="G9" s="1"/>
      <c r="H9" s="1"/>
      <c r="I9" s="1"/>
      <c r="J9" s="24" t="s">
        <v>10</v>
      </c>
      <c r="K9" s="28">
        <v>2.8063000000000001E-2</v>
      </c>
      <c r="L9" s="1"/>
      <c r="M9" s="1"/>
      <c r="N9" s="18"/>
    </row>
    <row r="10" spans="2:14" ht="15" customHeight="1" x14ac:dyDescent="0.25">
      <c r="B10" s="20"/>
      <c r="C10" s="5" t="s">
        <v>24</v>
      </c>
      <c r="D10" s="6" t="s">
        <v>22</v>
      </c>
      <c r="E10" s="11">
        <v>1.0000999999999999E-2</v>
      </c>
      <c r="F10" s="1"/>
      <c r="G10" s="1"/>
      <c r="H10" s="1"/>
      <c r="I10" s="1"/>
      <c r="J10" s="24" t="s">
        <v>13</v>
      </c>
      <c r="K10" s="28">
        <v>2.4399999999999999E-3</v>
      </c>
      <c r="L10" s="1"/>
      <c r="M10" s="1"/>
      <c r="N10" s="18"/>
    </row>
    <row r="11" spans="2:14" ht="15" customHeight="1" x14ac:dyDescent="0.25">
      <c r="B11" s="20"/>
      <c r="C11" s="5" t="s">
        <v>25</v>
      </c>
      <c r="D11" s="6" t="s">
        <v>22</v>
      </c>
      <c r="E11" s="11">
        <v>6.7100000000000005E-4</v>
      </c>
      <c r="F11" s="1"/>
      <c r="G11" s="1"/>
      <c r="H11" s="1"/>
      <c r="I11" s="1"/>
      <c r="J11" s="24" t="s">
        <v>54</v>
      </c>
      <c r="K11" s="28">
        <v>4.7157999999999999E-2</v>
      </c>
      <c r="L11" s="1"/>
      <c r="M11" s="1"/>
      <c r="N11" s="18"/>
    </row>
    <row r="12" spans="2:14" ht="15.75" customHeight="1" x14ac:dyDescent="0.25">
      <c r="B12" s="20"/>
      <c r="C12" s="7" t="s">
        <v>26</v>
      </c>
      <c r="D12" s="8"/>
      <c r="E12" s="12">
        <v>4.7157999999999999E-2</v>
      </c>
      <c r="F12" s="1"/>
      <c r="G12" s="1"/>
      <c r="H12" s="1"/>
      <c r="I12" s="1"/>
      <c r="J12" s="24" t="s">
        <v>55</v>
      </c>
      <c r="K12" s="28">
        <v>0.70425300000000002</v>
      </c>
      <c r="L12" s="1"/>
      <c r="M12" s="1"/>
      <c r="N12" s="18"/>
    </row>
    <row r="13" spans="2:14" ht="15" customHeight="1" x14ac:dyDescent="0.25">
      <c r="B13" s="20"/>
      <c r="C13" s="5" t="s">
        <v>27</v>
      </c>
      <c r="D13" s="6" t="s">
        <v>28</v>
      </c>
      <c r="E13" s="11">
        <v>0.112042</v>
      </c>
      <c r="F13" s="1"/>
      <c r="G13" s="1"/>
      <c r="H13" s="1"/>
      <c r="I13" s="1"/>
      <c r="J13" s="24" t="s">
        <v>43</v>
      </c>
      <c r="K13" s="28">
        <v>2.6150000000000001E-3</v>
      </c>
      <c r="L13" s="1"/>
      <c r="M13" s="1"/>
      <c r="N13" s="18"/>
    </row>
    <row r="14" spans="2:14" ht="15" customHeight="1" x14ac:dyDescent="0.25">
      <c r="B14" s="20"/>
      <c r="C14" s="5" t="s">
        <v>29</v>
      </c>
      <c r="D14" s="6" t="s">
        <v>28</v>
      </c>
      <c r="E14" s="11">
        <v>0.109572</v>
      </c>
      <c r="F14" s="1"/>
      <c r="G14" s="1"/>
      <c r="H14" s="1"/>
      <c r="I14" s="1"/>
      <c r="J14" s="24" t="s">
        <v>56</v>
      </c>
      <c r="K14" s="28">
        <v>0.215387</v>
      </c>
      <c r="L14" s="1"/>
      <c r="M14" s="1"/>
      <c r="N14" s="18"/>
    </row>
    <row r="15" spans="2:14" ht="15" customHeight="1" x14ac:dyDescent="0.25">
      <c r="B15" s="20"/>
      <c r="C15" s="5" t="s">
        <v>30</v>
      </c>
      <c r="D15" s="6" t="s">
        <v>28</v>
      </c>
      <c r="E15" s="11">
        <v>9.1855999999999993E-2</v>
      </c>
      <c r="F15" s="1"/>
      <c r="G15" s="1"/>
      <c r="H15" s="1"/>
      <c r="I15" s="1"/>
      <c r="J15" s="24" t="s">
        <v>57</v>
      </c>
      <c r="K15" s="28">
        <v>8.3999999999999995E-5</v>
      </c>
      <c r="L15" s="1"/>
      <c r="M15" s="1"/>
      <c r="N15" s="18"/>
    </row>
    <row r="16" spans="2:14" ht="15" customHeight="1" x14ac:dyDescent="0.25">
      <c r="B16" s="20"/>
      <c r="C16" s="5" t="s">
        <v>25</v>
      </c>
      <c r="D16" s="6" t="s">
        <v>28</v>
      </c>
      <c r="E16" s="11">
        <v>8.1519999999999995E-2</v>
      </c>
      <c r="F16" s="1"/>
      <c r="G16" s="1"/>
      <c r="H16" s="1"/>
      <c r="I16" s="1"/>
      <c r="J16" s="1"/>
      <c r="K16" s="1"/>
      <c r="L16" s="1"/>
      <c r="M16" s="1"/>
      <c r="N16" s="18"/>
    </row>
    <row r="17" spans="2:14" ht="15" customHeight="1" x14ac:dyDescent="0.25">
      <c r="B17" s="20"/>
      <c r="C17" s="5" t="s">
        <v>31</v>
      </c>
      <c r="D17" s="6" t="s">
        <v>28</v>
      </c>
      <c r="E17" s="11">
        <v>6.6526000000000002E-2</v>
      </c>
      <c r="F17" s="1"/>
      <c r="G17" s="1"/>
      <c r="H17" s="1"/>
      <c r="I17" s="1"/>
      <c r="J17" s="1"/>
      <c r="K17" s="1"/>
      <c r="L17" s="1"/>
      <c r="M17" s="1"/>
      <c r="N17" s="18"/>
    </row>
    <row r="18" spans="2:14" ht="15" customHeight="1" x14ac:dyDescent="0.25">
      <c r="B18" s="20"/>
      <c r="C18" s="5" t="s">
        <v>32</v>
      </c>
      <c r="D18" s="6" t="s">
        <v>28</v>
      </c>
      <c r="E18" s="11">
        <v>5.5964E-2</v>
      </c>
      <c r="F18" s="1"/>
      <c r="G18" s="1"/>
      <c r="H18" s="1"/>
      <c r="I18" s="1"/>
      <c r="J18" s="1"/>
      <c r="K18" s="1"/>
      <c r="L18" s="1"/>
      <c r="M18" s="1"/>
      <c r="N18" s="18"/>
    </row>
    <row r="19" spans="2:14" ht="15" customHeight="1" x14ac:dyDescent="0.25">
      <c r="B19" s="20"/>
      <c r="C19" s="5" t="s">
        <v>33</v>
      </c>
      <c r="D19" s="6" t="s">
        <v>28</v>
      </c>
      <c r="E19" s="11">
        <v>5.5745000000000003E-2</v>
      </c>
      <c r="F19" s="1"/>
      <c r="G19" s="1"/>
      <c r="H19" s="1"/>
      <c r="I19" s="1"/>
      <c r="J19" s="1"/>
      <c r="K19" s="1"/>
      <c r="L19" s="1"/>
      <c r="M19" s="1"/>
      <c r="N19" s="18"/>
    </row>
    <row r="20" spans="2:14" ht="15" customHeight="1" x14ac:dyDescent="0.25">
      <c r="B20" s="20"/>
      <c r="C20" s="5" t="s">
        <v>34</v>
      </c>
      <c r="D20" s="6" t="s">
        <v>28</v>
      </c>
      <c r="E20" s="11">
        <v>3.7337000000000002E-2</v>
      </c>
      <c r="F20" s="1"/>
      <c r="G20" s="1"/>
      <c r="H20" s="1"/>
      <c r="I20" s="1"/>
      <c r="J20" s="1"/>
      <c r="K20" s="1"/>
      <c r="L20" s="1"/>
      <c r="M20" s="1"/>
      <c r="N20" s="18"/>
    </row>
    <row r="21" spans="2:14" ht="15" customHeight="1" x14ac:dyDescent="0.25">
      <c r="B21" s="20"/>
      <c r="C21" s="5" t="s">
        <v>35</v>
      </c>
      <c r="D21" s="6" t="s">
        <v>28</v>
      </c>
      <c r="E21" s="11">
        <v>2.9742000000000001E-2</v>
      </c>
      <c r="F21" s="1"/>
      <c r="G21" s="1"/>
      <c r="H21" s="1"/>
      <c r="I21" s="1"/>
      <c r="J21" s="1"/>
      <c r="K21" s="1"/>
      <c r="L21" s="1"/>
      <c r="M21" s="1"/>
      <c r="N21" s="18"/>
    </row>
    <row r="22" spans="2:14" ht="15" customHeight="1" x14ac:dyDescent="0.25">
      <c r="B22" s="20"/>
      <c r="C22" s="5" t="s">
        <v>36</v>
      </c>
      <c r="D22" s="6" t="s">
        <v>28</v>
      </c>
      <c r="E22" s="11">
        <v>2.2107999999999999E-2</v>
      </c>
      <c r="F22" s="1"/>
      <c r="G22" s="1"/>
      <c r="H22" s="1"/>
      <c r="I22" s="1"/>
      <c r="J22" s="1"/>
      <c r="K22" s="1"/>
      <c r="L22" s="1"/>
      <c r="M22" s="1"/>
      <c r="N22" s="18"/>
    </row>
    <row r="23" spans="2:14" ht="15" customHeight="1" x14ac:dyDescent="0.25">
      <c r="B23" s="20"/>
      <c r="C23" s="5" t="s">
        <v>37</v>
      </c>
      <c r="D23" s="6" t="s">
        <v>28</v>
      </c>
      <c r="E23" s="11">
        <v>2.1600999999999999E-2</v>
      </c>
      <c r="F23" s="1"/>
      <c r="G23" s="1"/>
      <c r="H23" s="1"/>
      <c r="I23" s="1"/>
      <c r="J23" s="1"/>
      <c r="K23" s="1"/>
      <c r="L23" s="1"/>
      <c r="M23" s="1"/>
      <c r="N23" s="18"/>
    </row>
    <row r="24" spans="2:14" ht="15" customHeight="1" x14ac:dyDescent="0.25">
      <c r="B24" s="20"/>
      <c r="C24" s="5" t="s">
        <v>21</v>
      </c>
      <c r="D24" s="6" t="s">
        <v>28</v>
      </c>
      <c r="E24" s="11">
        <v>7.7419999999999998E-3</v>
      </c>
      <c r="F24" s="1"/>
      <c r="G24" s="85" t="s">
        <v>17</v>
      </c>
      <c r="H24" s="86"/>
      <c r="I24" s="86"/>
      <c r="J24" s="86"/>
      <c r="K24" s="86"/>
      <c r="L24" s="67">
        <v>3.0000925308976099</v>
      </c>
      <c r="M24" s="26"/>
      <c r="N24" s="27"/>
    </row>
    <row r="25" spans="2:14" ht="15" customHeight="1" x14ac:dyDescent="0.25">
      <c r="B25" s="20"/>
      <c r="C25" s="5" t="s">
        <v>38</v>
      </c>
      <c r="D25" s="6" t="s">
        <v>28</v>
      </c>
      <c r="E25" s="11">
        <v>6.28E-3</v>
      </c>
      <c r="F25" s="1"/>
      <c r="G25" s="1"/>
      <c r="H25" s="1"/>
      <c r="I25" s="1"/>
      <c r="J25" s="1"/>
      <c r="K25" s="1"/>
      <c r="L25" s="1"/>
      <c r="M25" s="1"/>
      <c r="N25" s="18"/>
    </row>
    <row r="26" spans="2:14" ht="15" customHeight="1" x14ac:dyDescent="0.25">
      <c r="B26" s="20"/>
      <c r="C26" s="5" t="s">
        <v>39</v>
      </c>
      <c r="D26" s="6" t="s">
        <v>28</v>
      </c>
      <c r="E26" s="11">
        <v>3.3500000000000001E-3</v>
      </c>
      <c r="F26" s="1"/>
      <c r="G26" s="85" t="s">
        <v>18</v>
      </c>
      <c r="H26" s="86"/>
      <c r="I26" s="86"/>
      <c r="J26" s="86"/>
      <c r="K26" s="86"/>
      <c r="L26" s="86"/>
      <c r="M26" s="86"/>
      <c r="N26" s="87"/>
    </row>
    <row r="27" spans="2:14" ht="15" customHeight="1" x14ac:dyDescent="0.25">
      <c r="B27" s="20"/>
      <c r="C27" s="5" t="s">
        <v>40</v>
      </c>
      <c r="D27" s="6" t="s">
        <v>28</v>
      </c>
      <c r="E27" s="11">
        <v>1.748E-3</v>
      </c>
      <c r="F27" s="1"/>
      <c r="G27" s="1"/>
      <c r="H27" s="1"/>
      <c r="I27" s="1"/>
      <c r="J27" s="1"/>
      <c r="K27" s="1"/>
      <c r="L27" s="1"/>
      <c r="M27" s="1"/>
      <c r="N27" s="18"/>
    </row>
    <row r="28" spans="2:14" ht="15" customHeight="1" x14ac:dyDescent="0.25">
      <c r="B28" s="20"/>
      <c r="C28" s="5" t="s">
        <v>41</v>
      </c>
      <c r="D28" s="6" t="s">
        <v>28</v>
      </c>
      <c r="E28" s="11">
        <v>1.0150000000000001E-3</v>
      </c>
      <c r="F28" s="1"/>
      <c r="G28" s="1"/>
      <c r="H28" s="1"/>
      <c r="I28" s="1"/>
      <c r="J28" s="1"/>
      <c r="K28" s="1"/>
      <c r="L28" s="1"/>
      <c r="M28" s="1"/>
      <c r="N28" s="18"/>
    </row>
    <row r="29" spans="2:14" ht="15" customHeight="1" x14ac:dyDescent="0.25">
      <c r="B29" s="20"/>
      <c r="C29" s="5" t="s">
        <v>24</v>
      </c>
      <c r="D29" s="6" t="s">
        <v>28</v>
      </c>
      <c r="E29" s="11">
        <v>1.05E-4</v>
      </c>
      <c r="F29" s="1"/>
      <c r="G29" s="1"/>
      <c r="H29" s="1"/>
      <c r="I29" s="1"/>
      <c r="J29" s="1"/>
      <c r="K29" s="1"/>
      <c r="L29" s="1"/>
      <c r="M29" s="1"/>
      <c r="N29" s="18"/>
    </row>
    <row r="30" spans="2:14" ht="15.75" customHeight="1" x14ac:dyDescent="0.25">
      <c r="B30" s="20"/>
      <c r="C30" s="7" t="s">
        <v>42</v>
      </c>
      <c r="D30" s="8"/>
      <c r="E30" s="12">
        <v>0.70425300000000002</v>
      </c>
      <c r="F30" s="1"/>
      <c r="G30" s="1"/>
      <c r="H30" s="1"/>
      <c r="I30" s="1"/>
      <c r="J30" s="1"/>
      <c r="K30" s="1"/>
      <c r="L30" s="1"/>
      <c r="M30" s="1"/>
      <c r="N30" s="18"/>
    </row>
    <row r="31" spans="2:14" ht="15" customHeight="1" x14ac:dyDescent="0.25">
      <c r="B31" s="20"/>
      <c r="C31" s="5" t="s">
        <v>43</v>
      </c>
      <c r="D31" s="6"/>
      <c r="E31" s="11">
        <v>2.6150000000000001E-3</v>
      </c>
      <c r="F31" s="1"/>
      <c r="G31" s="1"/>
      <c r="H31" s="1"/>
      <c r="I31" s="1"/>
      <c r="J31" s="1"/>
      <c r="K31" s="1"/>
      <c r="L31" s="1"/>
      <c r="M31" s="1"/>
      <c r="N31" s="18"/>
    </row>
    <row r="32" spans="2:14" ht="15.75" customHeight="1" x14ac:dyDescent="0.25">
      <c r="B32" s="20"/>
      <c r="C32" s="7" t="s">
        <v>44</v>
      </c>
      <c r="D32" s="8"/>
      <c r="E32" s="12">
        <v>2.6150000000000001E-3</v>
      </c>
      <c r="F32" s="1"/>
      <c r="G32" s="1"/>
      <c r="H32" s="1"/>
      <c r="I32" s="1"/>
      <c r="J32" s="1"/>
      <c r="K32" s="1"/>
      <c r="L32" s="1"/>
      <c r="M32" s="1"/>
      <c r="N32" s="18"/>
    </row>
    <row r="33" spans="2:14" ht="15" customHeight="1" x14ac:dyDescent="0.25">
      <c r="B33" s="20"/>
      <c r="C33" s="5" t="s">
        <v>45</v>
      </c>
      <c r="D33" s="6" t="s">
        <v>194</v>
      </c>
      <c r="E33" s="11">
        <v>6.1735999999999999E-2</v>
      </c>
      <c r="F33" s="1"/>
      <c r="G33" s="1"/>
      <c r="H33" s="1"/>
      <c r="I33" s="1"/>
      <c r="J33" s="1"/>
      <c r="K33" s="1"/>
      <c r="L33" s="1"/>
      <c r="M33" s="1"/>
      <c r="N33" s="18"/>
    </row>
    <row r="34" spans="2:14" ht="15" customHeight="1" x14ac:dyDescent="0.25">
      <c r="B34" s="20"/>
      <c r="C34" s="5" t="s">
        <v>46</v>
      </c>
      <c r="D34" s="6" t="s">
        <v>194</v>
      </c>
      <c r="E34" s="11">
        <v>4.7522000000000002E-2</v>
      </c>
      <c r="F34" s="1"/>
      <c r="G34" s="1"/>
      <c r="H34" s="1"/>
      <c r="I34" s="1"/>
      <c r="J34" s="1"/>
      <c r="K34" s="1"/>
      <c r="L34" s="1"/>
      <c r="M34" s="1"/>
      <c r="N34" s="18"/>
    </row>
    <row r="35" spans="2:14" ht="15" customHeight="1" x14ac:dyDescent="0.25">
      <c r="B35" s="20"/>
      <c r="C35" s="5" t="s">
        <v>47</v>
      </c>
      <c r="D35" s="6" t="s">
        <v>194</v>
      </c>
      <c r="E35" s="11">
        <v>3.5074000000000001E-2</v>
      </c>
      <c r="F35" s="1"/>
      <c r="G35" s="1"/>
      <c r="H35" s="1"/>
      <c r="I35" s="1"/>
      <c r="J35" s="1"/>
      <c r="K35" s="1"/>
      <c r="L35" s="1"/>
      <c r="M35" s="1"/>
      <c r="N35" s="18"/>
    </row>
    <row r="36" spans="2:14" ht="15" customHeight="1" x14ac:dyDescent="0.25">
      <c r="B36" s="20"/>
      <c r="C36" s="5" t="s">
        <v>48</v>
      </c>
      <c r="D36" s="6" t="s">
        <v>194</v>
      </c>
      <c r="E36" s="11">
        <v>2.9454999999999999E-2</v>
      </c>
      <c r="F36" s="1"/>
      <c r="G36" s="1"/>
      <c r="H36" s="1"/>
      <c r="I36" s="1"/>
      <c r="J36" s="1"/>
      <c r="K36" s="1"/>
      <c r="L36" s="1"/>
      <c r="M36" s="1"/>
      <c r="N36" s="18"/>
    </row>
    <row r="37" spans="2:14" ht="15" customHeight="1" x14ac:dyDescent="0.25">
      <c r="B37" s="20"/>
      <c r="C37" s="5" t="s">
        <v>49</v>
      </c>
      <c r="D37" s="6" t="s">
        <v>194</v>
      </c>
      <c r="E37" s="11">
        <v>2.0364E-2</v>
      </c>
      <c r="F37" s="1"/>
      <c r="G37" s="1"/>
      <c r="H37" s="1"/>
      <c r="I37" s="1"/>
      <c r="J37" s="1"/>
      <c r="K37" s="1"/>
      <c r="L37" s="1"/>
      <c r="M37" s="1"/>
      <c r="N37" s="18"/>
    </row>
    <row r="38" spans="2:14" ht="15" customHeight="1" x14ac:dyDescent="0.25">
      <c r="B38" s="20"/>
      <c r="C38" s="5" t="s">
        <v>50</v>
      </c>
      <c r="D38" s="6" t="s">
        <v>194</v>
      </c>
      <c r="E38" s="11">
        <v>1.205E-2</v>
      </c>
      <c r="F38" s="1"/>
      <c r="G38" s="1"/>
      <c r="H38" s="1"/>
      <c r="I38" s="1"/>
      <c r="J38" s="1"/>
      <c r="K38" s="1"/>
      <c r="L38" s="1"/>
      <c r="M38" s="1"/>
      <c r="N38" s="18"/>
    </row>
    <row r="39" spans="2:14" ht="15" customHeight="1" x14ac:dyDescent="0.25">
      <c r="B39" s="20"/>
      <c r="C39" s="5" t="s">
        <v>51</v>
      </c>
      <c r="D39" s="6" t="s">
        <v>194</v>
      </c>
      <c r="E39" s="11">
        <v>9.1859999999999997E-3</v>
      </c>
      <c r="F39" s="1"/>
      <c r="G39" s="1"/>
      <c r="H39" s="1"/>
      <c r="I39" s="1"/>
      <c r="J39" s="1"/>
      <c r="K39" s="1"/>
      <c r="L39" s="1"/>
      <c r="M39" s="1"/>
      <c r="N39" s="18"/>
    </row>
    <row r="40" spans="2:14" ht="15.75" customHeight="1" x14ac:dyDescent="0.25">
      <c r="B40" s="20"/>
      <c r="C40" s="7" t="s">
        <v>52</v>
      </c>
      <c r="D40" s="8"/>
      <c r="E40" s="12">
        <v>0.215387</v>
      </c>
      <c r="F40" s="1"/>
      <c r="G40" s="1"/>
      <c r="H40" s="1"/>
      <c r="I40" s="1"/>
      <c r="J40" s="1"/>
      <c r="K40" s="1"/>
      <c r="L40" s="1"/>
      <c r="M40" s="1"/>
      <c r="N40" s="18"/>
    </row>
    <row r="41" spans="2:14" ht="15" customHeight="1" x14ac:dyDescent="0.25">
      <c r="B41" s="20"/>
      <c r="C41" s="5" t="s">
        <v>207</v>
      </c>
      <c r="D41" s="6" t="s">
        <v>194</v>
      </c>
      <c r="E41" s="11">
        <v>8.3999999999999995E-5</v>
      </c>
      <c r="F41" s="1"/>
      <c r="G41" s="1"/>
      <c r="H41" s="1"/>
      <c r="I41" s="1"/>
      <c r="J41" s="1"/>
      <c r="K41" s="1"/>
      <c r="L41" s="1"/>
      <c r="M41" s="1"/>
      <c r="N41" s="18"/>
    </row>
    <row r="42" spans="2:14" ht="15.75" customHeight="1" x14ac:dyDescent="0.25">
      <c r="B42" s="20"/>
      <c r="C42" s="7" t="s">
        <v>53</v>
      </c>
      <c r="D42" s="8"/>
      <c r="E42" s="12">
        <v>8.3999999999999995E-5</v>
      </c>
      <c r="F42" s="1"/>
      <c r="G42" s="1"/>
      <c r="H42" s="1"/>
      <c r="I42" s="1"/>
      <c r="J42" s="1"/>
      <c r="K42" s="1"/>
      <c r="L42" s="1"/>
      <c r="M42" s="1"/>
      <c r="N42" s="18"/>
    </row>
    <row r="43" spans="2:14" ht="15" customHeight="1" x14ac:dyDescent="0.25">
      <c r="B43" s="20"/>
      <c r="C43" s="5" t="s">
        <v>8</v>
      </c>
      <c r="D43" s="6"/>
      <c r="E43" s="11">
        <v>2.4399999999999999E-3</v>
      </c>
      <c r="F43" s="1"/>
      <c r="G43" s="1"/>
      <c r="H43" s="1"/>
      <c r="I43" s="1"/>
      <c r="J43" s="1"/>
      <c r="K43" s="1"/>
      <c r="L43" s="1"/>
      <c r="M43" s="1"/>
      <c r="N43" s="18"/>
    </row>
    <row r="44" spans="2:14" ht="15.75" customHeight="1" x14ac:dyDescent="0.25">
      <c r="B44" s="20"/>
      <c r="C44" s="7" t="s">
        <v>9</v>
      </c>
      <c r="D44" s="8"/>
      <c r="E44" s="12">
        <v>2.4399999999999999E-3</v>
      </c>
      <c r="F44" s="1"/>
      <c r="G44" s="1"/>
      <c r="H44" s="1"/>
      <c r="I44" s="1"/>
      <c r="J44" s="1"/>
      <c r="K44" s="1"/>
      <c r="L44" s="1"/>
      <c r="M44" s="1"/>
      <c r="N44" s="18"/>
    </row>
    <row r="45" spans="2:14" ht="15" customHeight="1" x14ac:dyDescent="0.25">
      <c r="B45" s="20"/>
      <c r="C45" s="5"/>
      <c r="D45" s="6"/>
      <c r="E45" s="11"/>
      <c r="F45" s="1"/>
      <c r="G45" s="1"/>
      <c r="H45" s="1"/>
      <c r="I45" s="1"/>
      <c r="J45" s="1"/>
      <c r="K45" s="1"/>
      <c r="L45" s="1"/>
      <c r="M45" s="1"/>
      <c r="N45" s="18"/>
    </row>
    <row r="46" spans="2:14" ht="15.75" customHeight="1" x14ac:dyDescent="0.25">
      <c r="B46" s="20"/>
      <c r="C46" s="7" t="s">
        <v>10</v>
      </c>
      <c r="D46" s="8"/>
      <c r="E46" s="12">
        <v>2.8063000000000001E-2</v>
      </c>
      <c r="F46" s="1"/>
      <c r="G46" s="1"/>
      <c r="H46" s="1"/>
      <c r="I46" s="1"/>
      <c r="J46" s="1"/>
      <c r="K46" s="1"/>
      <c r="L46" s="1"/>
      <c r="M46" s="1"/>
      <c r="N46" s="18"/>
    </row>
    <row r="47" spans="2:14" ht="15" customHeight="1" x14ac:dyDescent="0.25">
      <c r="B47" s="20"/>
      <c r="C47" s="5"/>
      <c r="D47" s="6"/>
      <c r="E47" s="11"/>
      <c r="F47" s="1"/>
      <c r="G47" s="1"/>
      <c r="H47" s="1"/>
      <c r="I47" s="1"/>
      <c r="J47" s="1"/>
      <c r="K47" s="1"/>
      <c r="L47" s="1"/>
      <c r="M47" s="1"/>
      <c r="N47" s="18"/>
    </row>
    <row r="48" spans="2:14" ht="15" customHeight="1" x14ac:dyDescent="0.25">
      <c r="B48" s="20"/>
      <c r="C48" s="9" t="s">
        <v>11</v>
      </c>
      <c r="D48" s="10"/>
      <c r="E48" s="13">
        <v>1</v>
      </c>
      <c r="F48" s="1"/>
      <c r="G48" s="1"/>
      <c r="H48" s="1"/>
      <c r="I48" s="1"/>
      <c r="J48" s="1"/>
      <c r="K48" s="1"/>
      <c r="L48" s="1"/>
      <c r="M48" s="1"/>
      <c r="N48" s="18"/>
    </row>
    <row r="49" spans="2:14" ht="15" customHeight="1" x14ac:dyDescent="0.25">
      <c r="B49" s="20"/>
      <c r="C49" s="1"/>
      <c r="D49" s="1"/>
      <c r="E49" s="1"/>
      <c r="F49" s="1"/>
      <c r="G49" s="1"/>
      <c r="H49" s="1"/>
      <c r="I49" s="1"/>
      <c r="J49" s="1"/>
      <c r="K49" s="1"/>
      <c r="L49" s="1"/>
      <c r="M49" s="1"/>
      <c r="N49" s="18"/>
    </row>
    <row r="50" spans="2:14" ht="15" customHeight="1" thickBot="1" x14ac:dyDescent="0.3">
      <c r="B50" s="21"/>
      <c r="C50" s="22"/>
      <c r="D50" s="22"/>
      <c r="E50" s="22"/>
      <c r="F50" s="22"/>
      <c r="G50" s="22"/>
      <c r="H50" s="22"/>
      <c r="I50" s="22"/>
      <c r="J50" s="22"/>
      <c r="K50" s="22"/>
      <c r="L50" s="22"/>
      <c r="M50" s="22"/>
      <c r="N50" s="23"/>
    </row>
    <row r="51" spans="2:14" ht="15" customHeight="1" thickBot="1" x14ac:dyDescent="0.3"/>
    <row r="52" spans="2:14" ht="15" customHeight="1" x14ac:dyDescent="0.25">
      <c r="B52" s="68" t="s">
        <v>265</v>
      </c>
      <c r="C52" s="69"/>
      <c r="D52" s="69"/>
      <c r="E52" s="69"/>
      <c r="F52" s="69"/>
      <c r="G52" s="69"/>
      <c r="H52" s="69"/>
      <c r="I52" s="69"/>
      <c r="J52" s="69"/>
      <c r="K52" s="69"/>
      <c r="L52" s="69"/>
      <c r="M52" s="69"/>
      <c r="N52" s="70"/>
    </row>
    <row r="53" spans="2:14" ht="15" customHeight="1" x14ac:dyDescent="0.25">
      <c r="B53" s="71"/>
      <c r="C53" s="72"/>
      <c r="D53" s="72"/>
      <c r="E53" s="72"/>
      <c r="F53" s="72"/>
      <c r="G53" s="72"/>
      <c r="H53" s="72"/>
      <c r="I53" s="72"/>
      <c r="J53" s="72"/>
      <c r="K53" s="72"/>
      <c r="L53" s="72"/>
      <c r="M53" s="72"/>
      <c r="N53" s="73"/>
    </row>
    <row r="54" spans="2:14" ht="15" customHeight="1" x14ac:dyDescent="0.25">
      <c r="B54" s="71"/>
      <c r="C54" s="72"/>
      <c r="D54" s="72"/>
      <c r="E54" s="72"/>
      <c r="F54" s="72"/>
      <c r="G54" s="72"/>
      <c r="H54" s="72"/>
      <c r="I54" s="72"/>
      <c r="J54" s="72"/>
      <c r="K54" s="72"/>
      <c r="L54" s="72"/>
      <c r="M54" s="72"/>
      <c r="N54" s="73"/>
    </row>
    <row r="55" spans="2:14" ht="15" customHeight="1" thickBot="1" x14ac:dyDescent="0.3">
      <c r="B55" s="74"/>
      <c r="C55" s="75"/>
      <c r="D55" s="75"/>
      <c r="E55" s="75"/>
      <c r="F55" s="75"/>
      <c r="G55" s="75"/>
      <c r="H55" s="75"/>
      <c r="I55" s="75"/>
      <c r="J55" s="75"/>
      <c r="K55" s="75"/>
      <c r="L55" s="75"/>
      <c r="M55" s="75"/>
      <c r="N55" s="76"/>
    </row>
    <row r="56" spans="2:14" ht="15" customHeight="1" thickBot="1" x14ac:dyDescent="0.3"/>
    <row r="57" spans="2:14" ht="129.75" customHeight="1" thickBot="1" x14ac:dyDescent="0.3">
      <c r="B57" s="77" t="s">
        <v>264</v>
      </c>
      <c r="C57" s="78"/>
      <c r="D57" s="78"/>
      <c r="E57" s="78"/>
      <c r="F57" s="78"/>
      <c r="G57" s="78"/>
      <c r="H57" s="78"/>
      <c r="I57" s="78"/>
      <c r="J57" s="78"/>
      <c r="K57" s="78"/>
      <c r="L57" s="78"/>
      <c r="M57" s="78"/>
      <c r="N57" s="79"/>
    </row>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sheetData>
  <mergeCells count="7">
    <mergeCell ref="B52:N55"/>
    <mergeCell ref="B57:N57"/>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66CA5-1252-4091-975B-12A0734C9414}">
  <dimension ref="B1:N72"/>
  <sheetViews>
    <sheetView showGridLines="0" zoomScale="75" zoomScaleNormal="75" workbookViewId="0"/>
  </sheetViews>
  <sheetFormatPr defaultRowHeight="15" x14ac:dyDescent="0.25"/>
  <cols>
    <col min="1" max="1" width="2.85546875" customWidth="1"/>
    <col min="2" max="2" width="3.85546875" customWidth="1"/>
    <col min="3" max="3" width="60.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77</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78</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25</v>
      </c>
      <c r="D8" s="6" t="s">
        <v>22</v>
      </c>
      <c r="E8" s="11">
        <v>3.48E-4</v>
      </c>
      <c r="F8" s="1"/>
      <c r="G8" s="24" t="s">
        <v>15</v>
      </c>
      <c r="H8" s="25">
        <v>1</v>
      </c>
      <c r="I8" s="1"/>
      <c r="J8" s="24" t="s">
        <v>12</v>
      </c>
      <c r="K8" s="24" t="s">
        <v>5</v>
      </c>
      <c r="L8" s="1"/>
      <c r="M8" s="1"/>
      <c r="N8" s="18"/>
    </row>
    <row r="9" spans="2:14" ht="15.75" customHeight="1" x14ac:dyDescent="0.25">
      <c r="B9" s="20"/>
      <c r="C9" s="7" t="s">
        <v>26</v>
      </c>
      <c r="D9" s="8"/>
      <c r="E9" s="12">
        <v>3.48E-4</v>
      </c>
      <c r="F9" s="1"/>
      <c r="G9" s="1"/>
      <c r="H9" s="1"/>
      <c r="I9" s="1"/>
      <c r="J9" s="24" t="s">
        <v>10</v>
      </c>
      <c r="K9" s="28">
        <v>2.1891000000000001E-2</v>
      </c>
      <c r="L9" s="1"/>
      <c r="M9" s="1"/>
      <c r="N9" s="18"/>
    </row>
    <row r="10" spans="2:14" ht="15" customHeight="1" x14ac:dyDescent="0.25">
      <c r="B10" s="20"/>
      <c r="C10" s="5" t="s">
        <v>25</v>
      </c>
      <c r="D10" s="6" t="s">
        <v>28</v>
      </c>
      <c r="E10" s="11">
        <v>9.9794999999999995E-2</v>
      </c>
      <c r="F10" s="1"/>
      <c r="G10" s="1"/>
      <c r="H10" s="1"/>
      <c r="I10" s="1"/>
      <c r="J10" s="24" t="s">
        <v>13</v>
      </c>
      <c r="K10" s="28">
        <v>8.4620000000000008E-3</v>
      </c>
      <c r="L10" s="1"/>
      <c r="M10" s="1"/>
      <c r="N10" s="18"/>
    </row>
    <row r="11" spans="2:14" ht="15" customHeight="1" x14ac:dyDescent="0.25">
      <c r="B11" s="20"/>
      <c r="C11" s="5" t="s">
        <v>32</v>
      </c>
      <c r="D11" s="6" t="s">
        <v>28</v>
      </c>
      <c r="E11" s="11">
        <v>9.2049000000000006E-2</v>
      </c>
      <c r="F11" s="1"/>
      <c r="G11" s="1"/>
      <c r="H11" s="1"/>
      <c r="I11" s="1"/>
      <c r="J11" s="24" t="s">
        <v>54</v>
      </c>
      <c r="K11" s="28">
        <v>3.48E-4</v>
      </c>
      <c r="L11" s="1"/>
      <c r="M11" s="1"/>
      <c r="N11" s="18"/>
    </row>
    <row r="12" spans="2:14" ht="15" customHeight="1" x14ac:dyDescent="0.25">
      <c r="B12" s="20"/>
      <c r="C12" s="5" t="s">
        <v>79</v>
      </c>
      <c r="D12" s="6" t="s">
        <v>28</v>
      </c>
      <c r="E12" s="11">
        <v>8.3572999999999995E-2</v>
      </c>
      <c r="F12" s="1"/>
      <c r="G12" s="1"/>
      <c r="H12" s="1"/>
      <c r="I12" s="1"/>
      <c r="J12" s="24" t="s">
        <v>55</v>
      </c>
      <c r="K12" s="28">
        <v>0.68438300000000019</v>
      </c>
      <c r="L12" s="1"/>
      <c r="M12" s="1"/>
      <c r="N12" s="18"/>
    </row>
    <row r="13" spans="2:14" ht="15" customHeight="1" x14ac:dyDescent="0.25">
      <c r="B13" s="20"/>
      <c r="C13" s="5" t="s">
        <v>27</v>
      </c>
      <c r="D13" s="6" t="s">
        <v>28</v>
      </c>
      <c r="E13" s="11">
        <v>8.3252999999999994E-2</v>
      </c>
      <c r="F13" s="1"/>
      <c r="G13" s="1"/>
      <c r="H13" s="1"/>
      <c r="I13" s="1"/>
      <c r="J13" s="24" t="s">
        <v>43</v>
      </c>
      <c r="K13" s="28">
        <v>2.8579999999999999E-3</v>
      </c>
      <c r="L13" s="1"/>
      <c r="M13" s="1"/>
      <c r="N13" s="18"/>
    </row>
    <row r="14" spans="2:14" ht="15" customHeight="1" x14ac:dyDescent="0.25">
      <c r="B14" s="20"/>
      <c r="C14" s="5" t="s">
        <v>38</v>
      </c>
      <c r="D14" s="6" t="s">
        <v>28</v>
      </c>
      <c r="E14" s="11">
        <v>6.9984000000000005E-2</v>
      </c>
      <c r="F14" s="1"/>
      <c r="G14" s="1"/>
      <c r="H14" s="1"/>
      <c r="I14" s="1"/>
      <c r="J14" s="24" t="s">
        <v>56</v>
      </c>
      <c r="K14" s="28">
        <v>0.272227</v>
      </c>
      <c r="L14" s="1"/>
      <c r="M14" s="1"/>
      <c r="N14" s="18"/>
    </row>
    <row r="15" spans="2:14" ht="15" customHeight="1" x14ac:dyDescent="0.25">
      <c r="B15" s="20"/>
      <c r="C15" s="5" t="s">
        <v>73</v>
      </c>
      <c r="D15" s="6" t="s">
        <v>28</v>
      </c>
      <c r="E15" s="11">
        <v>6.0262000000000003E-2</v>
      </c>
      <c r="F15" s="1"/>
      <c r="G15" s="1"/>
      <c r="H15" s="1"/>
      <c r="I15" s="1"/>
      <c r="J15" s="24"/>
      <c r="K15" s="28"/>
      <c r="L15" s="1"/>
      <c r="M15" s="1"/>
      <c r="N15" s="18"/>
    </row>
    <row r="16" spans="2:14" ht="15" customHeight="1" x14ac:dyDescent="0.25">
      <c r="B16" s="20"/>
      <c r="C16" s="5" t="s">
        <v>29</v>
      </c>
      <c r="D16" s="6" t="s">
        <v>28</v>
      </c>
      <c r="E16" s="11">
        <v>5.9542999999999999E-2</v>
      </c>
      <c r="F16" s="1"/>
      <c r="G16" s="1"/>
      <c r="H16" s="1"/>
      <c r="I16" s="1"/>
      <c r="J16" s="24" t="s">
        <v>57</v>
      </c>
      <c r="K16" s="28">
        <v>9.0499999999999999E-4</v>
      </c>
      <c r="L16" s="1"/>
      <c r="M16" s="1"/>
      <c r="N16" s="18"/>
    </row>
    <row r="17" spans="2:14" ht="15" customHeight="1" x14ac:dyDescent="0.25">
      <c r="B17" s="20"/>
      <c r="C17" s="5" t="s">
        <v>31</v>
      </c>
      <c r="D17" s="6" t="s">
        <v>28</v>
      </c>
      <c r="E17" s="11">
        <v>3.7633E-2</v>
      </c>
      <c r="F17" s="1"/>
      <c r="G17" s="1"/>
      <c r="H17" s="1"/>
      <c r="I17" s="1"/>
      <c r="J17" s="24" t="s">
        <v>82</v>
      </c>
      <c r="K17" s="28">
        <v>8.9259999999999999E-3</v>
      </c>
      <c r="L17" s="1"/>
      <c r="M17" s="1"/>
      <c r="N17" s="18"/>
    </row>
    <row r="18" spans="2:14" ht="15" customHeight="1" x14ac:dyDescent="0.25">
      <c r="B18" s="20"/>
      <c r="C18" s="5" t="s">
        <v>33</v>
      </c>
      <c r="D18" s="6" t="s">
        <v>28</v>
      </c>
      <c r="E18" s="11">
        <v>3.3037999999999998E-2</v>
      </c>
      <c r="F18" s="1"/>
      <c r="G18" s="1"/>
      <c r="H18" s="1"/>
      <c r="I18" s="1"/>
      <c r="J18" s="1"/>
      <c r="K18" s="1"/>
      <c r="L18" s="1"/>
      <c r="M18" s="1"/>
      <c r="N18" s="18"/>
    </row>
    <row r="19" spans="2:14" ht="15" customHeight="1" x14ac:dyDescent="0.25">
      <c r="B19" s="20"/>
      <c r="C19" s="5" t="s">
        <v>72</v>
      </c>
      <c r="D19" s="6" t="s">
        <v>28</v>
      </c>
      <c r="E19" s="11">
        <v>2.3487000000000001E-2</v>
      </c>
      <c r="F19" s="1"/>
      <c r="G19" s="1"/>
      <c r="H19" s="1"/>
      <c r="I19" s="1"/>
      <c r="J19" s="1"/>
      <c r="K19" s="1"/>
      <c r="L19" s="1"/>
      <c r="M19" s="1"/>
      <c r="N19" s="18"/>
    </row>
    <row r="20" spans="2:14" ht="15" customHeight="1" x14ac:dyDescent="0.25">
      <c r="B20" s="20"/>
      <c r="C20" s="5" t="s">
        <v>30</v>
      </c>
      <c r="D20" s="6" t="s">
        <v>28</v>
      </c>
      <c r="E20" s="11">
        <v>1.453E-2</v>
      </c>
      <c r="F20" s="1"/>
      <c r="G20" s="1"/>
      <c r="H20" s="1"/>
      <c r="I20" s="1"/>
      <c r="J20" s="1"/>
      <c r="K20" s="1"/>
      <c r="L20" s="1"/>
      <c r="M20" s="1"/>
      <c r="N20" s="18"/>
    </row>
    <row r="21" spans="2:14" ht="15" customHeight="1" x14ac:dyDescent="0.25">
      <c r="B21" s="20"/>
      <c r="C21" s="5" t="s">
        <v>35</v>
      </c>
      <c r="D21" s="6" t="s">
        <v>28</v>
      </c>
      <c r="E21" s="11">
        <v>9.8670000000000008E-3</v>
      </c>
      <c r="F21" s="1"/>
      <c r="G21" s="1"/>
      <c r="H21" s="1"/>
      <c r="I21" s="1"/>
      <c r="J21" s="1"/>
      <c r="K21" s="1"/>
      <c r="L21" s="1"/>
      <c r="M21" s="1"/>
      <c r="N21" s="18"/>
    </row>
    <row r="22" spans="2:14" ht="15" customHeight="1" x14ac:dyDescent="0.25">
      <c r="B22" s="20"/>
      <c r="C22" s="5" t="s">
        <v>21</v>
      </c>
      <c r="D22" s="6" t="s">
        <v>28</v>
      </c>
      <c r="E22" s="11">
        <v>5.1050000000000002E-3</v>
      </c>
      <c r="F22" s="1"/>
      <c r="G22" s="1"/>
      <c r="H22" s="1"/>
      <c r="I22" s="1"/>
      <c r="J22" s="1"/>
      <c r="K22" s="1"/>
      <c r="L22" s="1"/>
      <c r="M22" s="1"/>
      <c r="N22" s="18"/>
    </row>
    <row r="23" spans="2:14" ht="15" customHeight="1" x14ac:dyDescent="0.25">
      <c r="B23" s="20"/>
      <c r="C23" s="5" t="s">
        <v>39</v>
      </c>
      <c r="D23" s="6" t="s">
        <v>28</v>
      </c>
      <c r="E23" s="11">
        <v>4.9950000000000003E-3</v>
      </c>
      <c r="F23" s="1"/>
      <c r="G23" s="1"/>
      <c r="H23" s="1"/>
      <c r="I23" s="1"/>
      <c r="J23" s="1"/>
      <c r="K23" s="1"/>
      <c r="L23" s="1"/>
      <c r="M23" s="1"/>
      <c r="N23" s="18"/>
    </row>
    <row r="24" spans="2:14" ht="15" customHeight="1" x14ac:dyDescent="0.25">
      <c r="B24" s="20"/>
      <c r="C24" s="5" t="s">
        <v>210</v>
      </c>
      <c r="D24" s="6" t="s">
        <v>28</v>
      </c>
      <c r="E24" s="11">
        <v>1.843E-3</v>
      </c>
      <c r="F24" s="1"/>
      <c r="G24" s="85" t="s">
        <v>17</v>
      </c>
      <c r="H24" s="86"/>
      <c r="I24" s="86"/>
      <c r="J24" s="86"/>
      <c r="K24" s="86"/>
      <c r="L24" s="67">
        <v>3.9770873878082136</v>
      </c>
      <c r="M24" s="26"/>
      <c r="N24" s="27"/>
    </row>
    <row r="25" spans="2:14" ht="15" customHeight="1" x14ac:dyDescent="0.25">
      <c r="B25" s="20"/>
      <c r="C25" s="5" t="s">
        <v>80</v>
      </c>
      <c r="D25" s="6" t="s">
        <v>28</v>
      </c>
      <c r="E25" s="11">
        <v>1.812E-3</v>
      </c>
      <c r="F25" s="1"/>
      <c r="G25" s="1"/>
      <c r="H25" s="1"/>
      <c r="I25" s="1"/>
      <c r="J25" s="1"/>
      <c r="K25" s="1"/>
      <c r="L25" s="1"/>
      <c r="M25" s="1"/>
      <c r="N25" s="18"/>
    </row>
    <row r="26" spans="2:14" ht="15" customHeight="1" x14ac:dyDescent="0.25">
      <c r="B26" s="20"/>
      <c r="C26" s="5" t="s">
        <v>74</v>
      </c>
      <c r="D26" s="6" t="s">
        <v>28</v>
      </c>
      <c r="E26" s="11">
        <v>1.804E-3</v>
      </c>
      <c r="F26" s="1"/>
      <c r="G26" s="85" t="s">
        <v>18</v>
      </c>
      <c r="H26" s="86"/>
      <c r="I26" s="86"/>
      <c r="J26" s="86"/>
      <c r="K26" s="86"/>
      <c r="L26" s="86"/>
      <c r="M26" s="86"/>
      <c r="N26" s="87"/>
    </row>
    <row r="27" spans="2:14" ht="15" customHeight="1" x14ac:dyDescent="0.25">
      <c r="B27" s="20"/>
      <c r="C27" s="5" t="s">
        <v>36</v>
      </c>
      <c r="D27" s="6" t="s">
        <v>28</v>
      </c>
      <c r="E27" s="11">
        <v>1.08E-3</v>
      </c>
      <c r="F27" s="1"/>
      <c r="G27" s="1"/>
      <c r="H27" s="1"/>
      <c r="I27" s="1"/>
      <c r="J27" s="1"/>
      <c r="K27" s="1"/>
      <c r="L27" s="1"/>
      <c r="M27" s="1"/>
      <c r="N27" s="18"/>
    </row>
    <row r="28" spans="2:14" ht="15.75" customHeight="1" x14ac:dyDescent="0.25">
      <c r="B28" s="20"/>
      <c r="C28" s="5" t="s">
        <v>34</v>
      </c>
      <c r="D28" s="6" t="s">
        <v>28</v>
      </c>
      <c r="E28" s="11">
        <v>7.2999999999999996E-4</v>
      </c>
      <c r="F28" s="1"/>
      <c r="G28" s="1"/>
      <c r="H28" s="1"/>
      <c r="I28" s="1"/>
      <c r="J28" s="1"/>
      <c r="K28" s="1"/>
      <c r="L28" s="1"/>
      <c r="M28" s="1"/>
      <c r="N28" s="18"/>
    </row>
    <row r="29" spans="2:14" ht="15" customHeight="1" x14ac:dyDescent="0.25">
      <c r="B29" s="20"/>
      <c r="C29" s="7" t="s">
        <v>42</v>
      </c>
      <c r="D29" s="8"/>
      <c r="E29" s="12">
        <v>0.68438300000000019</v>
      </c>
      <c r="F29" s="1"/>
      <c r="G29" s="1"/>
      <c r="H29" s="1"/>
      <c r="I29" s="1"/>
      <c r="J29" s="1"/>
      <c r="K29" s="1"/>
      <c r="L29" s="1"/>
      <c r="M29" s="1"/>
      <c r="N29" s="18"/>
    </row>
    <row r="30" spans="2:14" ht="15.75" customHeight="1" x14ac:dyDescent="0.25">
      <c r="B30" s="20"/>
      <c r="C30" s="5" t="s">
        <v>43</v>
      </c>
      <c r="D30" s="6"/>
      <c r="E30" s="11">
        <v>2.8579999999999999E-3</v>
      </c>
      <c r="F30" s="1"/>
      <c r="G30" s="1"/>
      <c r="H30" s="1"/>
      <c r="I30" s="1"/>
      <c r="J30" s="1"/>
      <c r="K30" s="1"/>
      <c r="L30" s="1"/>
      <c r="M30" s="1"/>
      <c r="N30" s="18"/>
    </row>
    <row r="31" spans="2:14" ht="15" customHeight="1" x14ac:dyDescent="0.25">
      <c r="B31" s="20"/>
      <c r="C31" s="7" t="s">
        <v>44</v>
      </c>
      <c r="D31" s="8"/>
      <c r="E31" s="12">
        <v>2.8579999999999999E-3</v>
      </c>
      <c r="F31" s="1"/>
      <c r="G31" s="1"/>
      <c r="H31" s="1"/>
      <c r="I31" s="1"/>
      <c r="J31" s="1"/>
      <c r="K31" s="1"/>
      <c r="L31" s="1"/>
      <c r="M31" s="1"/>
      <c r="N31" s="18"/>
    </row>
    <row r="32" spans="2:14" ht="15" customHeight="1" x14ac:dyDescent="0.25">
      <c r="B32" s="20"/>
      <c r="C32" s="5" t="s">
        <v>49</v>
      </c>
      <c r="D32" s="6" t="s">
        <v>194</v>
      </c>
      <c r="E32" s="11">
        <v>0.11862499999999999</v>
      </c>
      <c r="F32" s="1"/>
      <c r="G32" s="1"/>
      <c r="H32" s="1"/>
      <c r="I32" s="1"/>
      <c r="J32" s="1"/>
      <c r="K32" s="1"/>
      <c r="L32" s="1"/>
      <c r="M32" s="1"/>
      <c r="N32" s="18"/>
    </row>
    <row r="33" spans="2:14" ht="15" customHeight="1" x14ac:dyDescent="0.25">
      <c r="B33" s="20"/>
      <c r="C33" s="5" t="s">
        <v>50</v>
      </c>
      <c r="D33" s="6" t="s">
        <v>194</v>
      </c>
      <c r="E33" s="11">
        <v>8.3557999999999993E-2</v>
      </c>
      <c r="F33" s="1"/>
      <c r="G33" s="1"/>
      <c r="H33" s="1"/>
      <c r="I33" s="1"/>
      <c r="J33" s="1"/>
      <c r="K33" s="1"/>
      <c r="L33" s="1"/>
      <c r="M33" s="1"/>
      <c r="N33" s="18"/>
    </row>
    <row r="34" spans="2:14" ht="15" customHeight="1" x14ac:dyDescent="0.25">
      <c r="B34" s="20"/>
      <c r="C34" s="5" t="s">
        <v>51</v>
      </c>
      <c r="D34" s="6" t="s">
        <v>194</v>
      </c>
      <c r="E34" s="11">
        <v>2.4478E-2</v>
      </c>
      <c r="F34" s="1"/>
      <c r="G34" s="1"/>
      <c r="H34" s="1"/>
      <c r="I34" s="1"/>
      <c r="J34" s="1"/>
      <c r="K34" s="1"/>
      <c r="L34" s="1"/>
      <c r="M34" s="1"/>
      <c r="N34" s="18"/>
    </row>
    <row r="35" spans="2:14" ht="15" customHeight="1" x14ac:dyDescent="0.25">
      <c r="B35" s="20"/>
      <c r="C35" s="5" t="s">
        <v>45</v>
      </c>
      <c r="D35" s="6" t="s">
        <v>194</v>
      </c>
      <c r="E35" s="11">
        <v>2.2852000000000001E-2</v>
      </c>
      <c r="F35" s="1"/>
      <c r="G35" s="1"/>
      <c r="H35" s="1"/>
      <c r="I35" s="1"/>
      <c r="J35" s="1"/>
      <c r="K35" s="1"/>
      <c r="L35" s="1"/>
      <c r="M35" s="1"/>
      <c r="N35" s="18"/>
    </row>
    <row r="36" spans="2:14" ht="15.75" customHeight="1" x14ac:dyDescent="0.25">
      <c r="B36" s="20"/>
      <c r="C36" s="5" t="s">
        <v>47</v>
      </c>
      <c r="D36" s="6" t="s">
        <v>194</v>
      </c>
      <c r="E36" s="11">
        <v>2.2714000000000002E-2</v>
      </c>
      <c r="F36" s="1"/>
      <c r="G36" s="1"/>
      <c r="H36" s="1"/>
      <c r="I36" s="1"/>
      <c r="J36" s="1"/>
      <c r="K36" s="1"/>
      <c r="L36" s="1"/>
      <c r="M36" s="1"/>
      <c r="N36" s="18"/>
    </row>
    <row r="37" spans="2:14" ht="15" customHeight="1" x14ac:dyDescent="0.25">
      <c r="B37" s="20"/>
      <c r="C37" s="7" t="s">
        <v>52</v>
      </c>
      <c r="D37" s="8"/>
      <c r="E37" s="12">
        <v>0.272227</v>
      </c>
      <c r="F37" s="1"/>
      <c r="G37" s="1"/>
      <c r="H37" s="1"/>
      <c r="I37" s="1"/>
      <c r="J37" s="1"/>
      <c r="K37" s="1"/>
      <c r="L37" s="1"/>
      <c r="M37" s="1"/>
      <c r="N37" s="18"/>
    </row>
    <row r="38" spans="2:14" ht="15.75" customHeight="1" x14ac:dyDescent="0.25">
      <c r="B38" s="20"/>
      <c r="C38" s="5" t="s">
        <v>208</v>
      </c>
      <c r="D38" s="6" t="s">
        <v>194</v>
      </c>
      <c r="E38" s="11">
        <v>7.2599999999999997E-4</v>
      </c>
      <c r="F38" s="1"/>
      <c r="G38" s="1"/>
      <c r="H38" s="1"/>
      <c r="I38" s="1"/>
      <c r="J38" s="1"/>
      <c r="K38" s="1"/>
      <c r="L38" s="1"/>
      <c r="M38" s="1"/>
      <c r="N38" s="18"/>
    </row>
    <row r="39" spans="2:14" ht="15" customHeight="1" x14ac:dyDescent="0.25">
      <c r="B39" s="20"/>
      <c r="C39" s="5" t="s">
        <v>209</v>
      </c>
      <c r="D39" s="6" t="s">
        <v>194</v>
      </c>
      <c r="E39" s="11">
        <v>1.7899999999999999E-4</v>
      </c>
      <c r="F39" s="1"/>
      <c r="G39" s="1"/>
      <c r="H39" s="1"/>
      <c r="I39" s="1"/>
      <c r="J39" s="1"/>
      <c r="K39" s="1"/>
      <c r="L39" s="1"/>
      <c r="M39" s="1"/>
      <c r="N39" s="18"/>
    </row>
    <row r="40" spans="2:14" ht="15.75" customHeight="1" x14ac:dyDescent="0.25">
      <c r="B40" s="20"/>
      <c r="C40" s="7" t="s">
        <v>53</v>
      </c>
      <c r="D40" s="8"/>
      <c r="E40" s="12">
        <v>9.0499999999999999E-4</v>
      </c>
      <c r="F40" s="1"/>
      <c r="G40" s="1"/>
      <c r="H40" s="1"/>
      <c r="I40" s="1"/>
      <c r="J40" s="1"/>
      <c r="K40" s="1"/>
      <c r="L40" s="1"/>
      <c r="M40" s="1"/>
      <c r="N40" s="18"/>
    </row>
    <row r="41" spans="2:14" ht="15" customHeight="1" x14ac:dyDescent="0.25">
      <c r="B41" s="20"/>
      <c r="C41" s="5" t="s">
        <v>8</v>
      </c>
      <c r="D41" s="6"/>
      <c r="E41" s="11">
        <v>8.4620000000000008E-3</v>
      </c>
      <c r="F41" s="1"/>
      <c r="G41" s="1"/>
      <c r="H41" s="1"/>
      <c r="I41" s="1"/>
      <c r="J41" s="1"/>
      <c r="K41" s="1"/>
      <c r="L41" s="1"/>
      <c r="M41" s="1"/>
      <c r="N41" s="18"/>
    </row>
    <row r="42" spans="2:14" ht="15.75" customHeight="1" x14ac:dyDescent="0.25">
      <c r="B42" s="20"/>
      <c r="C42" s="7" t="s">
        <v>9</v>
      </c>
      <c r="D42" s="8"/>
      <c r="E42" s="12">
        <v>8.4620000000000008E-3</v>
      </c>
      <c r="F42" s="1"/>
      <c r="G42" s="1"/>
      <c r="H42" s="1"/>
      <c r="I42" s="1"/>
      <c r="J42" s="1"/>
      <c r="K42" s="1"/>
      <c r="L42" s="1"/>
      <c r="M42" s="1"/>
      <c r="N42" s="18"/>
    </row>
    <row r="43" spans="2:14" ht="15" customHeight="1" x14ac:dyDescent="0.25">
      <c r="B43" s="20"/>
      <c r="C43" s="5" t="s">
        <v>72</v>
      </c>
      <c r="D43" s="6" t="s">
        <v>28</v>
      </c>
      <c r="E43" s="11">
        <v>8.9259999999999999E-3</v>
      </c>
      <c r="F43" s="1"/>
      <c r="G43" s="1"/>
      <c r="H43" s="1"/>
      <c r="I43" s="1"/>
      <c r="J43" s="1"/>
      <c r="K43" s="1"/>
      <c r="L43" s="1"/>
      <c r="M43" s="1"/>
      <c r="N43" s="18"/>
    </row>
    <row r="44" spans="2:14" ht="15.75" customHeight="1" x14ac:dyDescent="0.25">
      <c r="B44" s="20"/>
      <c r="C44" s="7" t="s">
        <v>81</v>
      </c>
      <c r="D44" s="8"/>
      <c r="E44" s="12">
        <v>8.9259999999999999E-3</v>
      </c>
      <c r="F44" s="1"/>
      <c r="G44" s="1"/>
      <c r="H44" s="1"/>
      <c r="I44" s="1"/>
      <c r="J44" s="1"/>
      <c r="K44" s="1"/>
      <c r="L44" s="1"/>
      <c r="M44" s="1"/>
      <c r="N44" s="18"/>
    </row>
    <row r="45" spans="2:14" ht="15" customHeight="1" x14ac:dyDescent="0.25">
      <c r="B45" s="20"/>
      <c r="C45" s="5"/>
      <c r="D45" s="6"/>
      <c r="E45" s="11"/>
      <c r="F45" s="1"/>
      <c r="G45" s="1"/>
      <c r="H45" s="1"/>
      <c r="I45" s="1"/>
      <c r="J45" s="1"/>
      <c r="K45" s="1"/>
      <c r="L45" s="1"/>
      <c r="M45" s="1"/>
      <c r="N45" s="18"/>
    </row>
    <row r="46" spans="2:14" ht="15.75" customHeight="1" x14ac:dyDescent="0.25">
      <c r="B46" s="20"/>
      <c r="C46" s="7" t="s">
        <v>10</v>
      </c>
      <c r="D46" s="8"/>
      <c r="E46" s="12">
        <v>2.1891000000000001E-2</v>
      </c>
      <c r="F46" s="1"/>
      <c r="G46" s="1"/>
      <c r="H46" s="1"/>
      <c r="I46" s="1"/>
      <c r="J46" s="1"/>
      <c r="K46" s="1"/>
      <c r="L46" s="1"/>
      <c r="M46" s="1"/>
      <c r="N46" s="18"/>
    </row>
    <row r="47" spans="2:14" ht="15" customHeight="1" x14ac:dyDescent="0.25">
      <c r="B47" s="20"/>
      <c r="C47" s="5"/>
      <c r="D47" s="6"/>
      <c r="E47" s="11"/>
      <c r="F47" s="1"/>
      <c r="G47" s="1"/>
      <c r="H47" s="1"/>
      <c r="I47" s="1"/>
      <c r="J47" s="1"/>
      <c r="K47" s="1"/>
      <c r="L47" s="1"/>
      <c r="M47" s="1"/>
      <c r="N47" s="18"/>
    </row>
    <row r="48" spans="2:14" ht="15" customHeight="1" x14ac:dyDescent="0.25">
      <c r="B48" s="20"/>
      <c r="C48" s="9" t="s">
        <v>11</v>
      </c>
      <c r="D48" s="10"/>
      <c r="E48" s="13">
        <v>1</v>
      </c>
      <c r="F48" s="1"/>
      <c r="G48" s="1"/>
      <c r="H48" s="1"/>
      <c r="I48" s="1"/>
      <c r="J48" s="1"/>
      <c r="K48" s="1"/>
      <c r="L48" s="1"/>
      <c r="M48" s="1"/>
      <c r="N48" s="18"/>
    </row>
    <row r="49" spans="2:14" ht="15" customHeight="1" x14ac:dyDescent="0.25">
      <c r="B49" s="20"/>
      <c r="C49" t="s">
        <v>269</v>
      </c>
      <c r="F49" s="1"/>
      <c r="G49" s="1"/>
      <c r="H49" s="1"/>
      <c r="I49" s="1"/>
      <c r="J49" s="1"/>
      <c r="K49" s="1"/>
      <c r="L49" s="1"/>
      <c r="M49" s="1"/>
      <c r="N49" s="18"/>
    </row>
    <row r="50" spans="2:14" ht="15" customHeight="1" thickBot="1" x14ac:dyDescent="0.3">
      <c r="B50" s="21"/>
      <c r="C50" s="22"/>
      <c r="D50" s="22"/>
      <c r="E50" s="22"/>
      <c r="F50" s="22"/>
      <c r="G50" s="22"/>
      <c r="H50" s="22"/>
      <c r="I50" s="22"/>
      <c r="J50" s="22"/>
      <c r="K50" s="22"/>
      <c r="L50" s="22"/>
      <c r="M50" s="22"/>
      <c r="N50" s="23"/>
    </row>
    <row r="51" spans="2:14" ht="15" customHeight="1" thickBot="1" x14ac:dyDescent="0.3"/>
    <row r="52" spans="2:14" ht="15" customHeight="1" x14ac:dyDescent="0.25">
      <c r="B52" s="68" t="s">
        <v>265</v>
      </c>
      <c r="C52" s="69"/>
      <c r="D52" s="69"/>
      <c r="E52" s="69"/>
      <c r="F52" s="69"/>
      <c r="G52" s="69"/>
      <c r="H52" s="69"/>
      <c r="I52" s="69"/>
      <c r="J52" s="69"/>
      <c r="K52" s="69"/>
      <c r="L52" s="69"/>
      <c r="M52" s="69"/>
      <c r="N52" s="70"/>
    </row>
    <row r="53" spans="2:14" ht="15" customHeight="1" x14ac:dyDescent="0.25">
      <c r="B53" s="71"/>
      <c r="C53" s="72"/>
      <c r="D53" s="72"/>
      <c r="E53" s="72"/>
      <c r="F53" s="72"/>
      <c r="G53" s="72"/>
      <c r="H53" s="72"/>
      <c r="I53" s="72"/>
      <c r="J53" s="72"/>
      <c r="K53" s="72"/>
      <c r="L53" s="72"/>
      <c r="M53" s="72"/>
      <c r="N53" s="73"/>
    </row>
    <row r="54" spans="2:14" ht="15" customHeight="1" x14ac:dyDescent="0.25">
      <c r="B54" s="71"/>
      <c r="C54" s="72"/>
      <c r="D54" s="72"/>
      <c r="E54" s="72"/>
      <c r="F54" s="72"/>
      <c r="G54" s="72"/>
      <c r="H54" s="72"/>
      <c r="I54" s="72"/>
      <c r="J54" s="72"/>
      <c r="K54" s="72"/>
      <c r="L54" s="72"/>
      <c r="M54" s="72"/>
      <c r="N54" s="73"/>
    </row>
    <row r="55" spans="2:14" ht="15" customHeight="1" thickBot="1" x14ac:dyDescent="0.3">
      <c r="B55" s="74"/>
      <c r="C55" s="75"/>
      <c r="D55" s="75"/>
      <c r="E55" s="75"/>
      <c r="F55" s="75"/>
      <c r="G55" s="75"/>
      <c r="H55" s="75"/>
      <c r="I55" s="75"/>
      <c r="J55" s="75"/>
      <c r="K55" s="75"/>
      <c r="L55" s="75"/>
      <c r="M55" s="75"/>
      <c r="N55" s="76"/>
    </row>
    <row r="56" spans="2:14" ht="15" customHeight="1" thickBot="1" x14ac:dyDescent="0.3"/>
    <row r="57" spans="2:14" ht="119.25" customHeight="1" thickBot="1" x14ac:dyDescent="0.3">
      <c r="B57" s="77" t="s">
        <v>264</v>
      </c>
      <c r="C57" s="78"/>
      <c r="D57" s="78"/>
      <c r="E57" s="78"/>
      <c r="F57" s="78"/>
      <c r="G57" s="78"/>
      <c r="H57" s="78"/>
      <c r="I57" s="78"/>
      <c r="J57" s="78"/>
      <c r="K57" s="78"/>
      <c r="L57" s="78"/>
      <c r="M57" s="78"/>
      <c r="N57" s="79"/>
    </row>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sheetData>
  <sortState ref="C10:E28">
    <sortCondition descending="1" ref="E10"/>
  </sortState>
  <mergeCells count="7">
    <mergeCell ref="B52:N55"/>
    <mergeCell ref="B57:N57"/>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80B89-7747-4FA8-986D-652ABF7B198B}">
  <dimension ref="B1:N52"/>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83</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84</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85</v>
      </c>
      <c r="D8" s="6" t="s">
        <v>86</v>
      </c>
      <c r="E8" s="11">
        <v>0.115499</v>
      </c>
      <c r="F8" s="1"/>
      <c r="G8" s="24" t="s">
        <v>98</v>
      </c>
      <c r="H8" s="28">
        <v>0.60578500000000002</v>
      </c>
      <c r="I8" s="1"/>
      <c r="J8" s="24" t="s">
        <v>12</v>
      </c>
      <c r="K8" s="24" t="s">
        <v>5</v>
      </c>
      <c r="L8" s="1"/>
      <c r="M8" s="1"/>
      <c r="N8" s="18"/>
    </row>
    <row r="9" spans="2:14" ht="15" customHeight="1" x14ac:dyDescent="0.25">
      <c r="B9" s="20"/>
      <c r="C9" s="5" t="s">
        <v>87</v>
      </c>
      <c r="D9" s="6" t="s">
        <v>86</v>
      </c>
      <c r="E9" s="11">
        <v>0.114388</v>
      </c>
      <c r="F9" s="1"/>
      <c r="G9" s="24" t="s">
        <v>15</v>
      </c>
      <c r="H9" s="28">
        <v>0.293072</v>
      </c>
      <c r="I9" s="1"/>
      <c r="J9" s="24" t="s">
        <v>10</v>
      </c>
      <c r="K9" s="28">
        <v>2.8941999999999999E-2</v>
      </c>
      <c r="L9" s="1"/>
      <c r="M9" s="1"/>
      <c r="N9" s="18"/>
    </row>
    <row r="10" spans="2:14" ht="15" customHeight="1" x14ac:dyDescent="0.25">
      <c r="B10" s="20"/>
      <c r="C10" s="5" t="s">
        <v>88</v>
      </c>
      <c r="D10" s="6" t="s">
        <v>86</v>
      </c>
      <c r="E10" s="11">
        <v>8.6780999999999997E-2</v>
      </c>
      <c r="F10" s="1"/>
      <c r="G10" s="24" t="s">
        <v>99</v>
      </c>
      <c r="H10" s="28">
        <v>0.101143</v>
      </c>
      <c r="I10" s="1"/>
      <c r="J10" s="24" t="s">
        <v>13</v>
      </c>
      <c r="K10" s="28">
        <v>1.0533000000000001E-2</v>
      </c>
      <c r="L10" s="1"/>
      <c r="M10" s="1"/>
      <c r="N10" s="18"/>
    </row>
    <row r="11" spans="2:14" ht="15" customHeight="1" x14ac:dyDescent="0.25">
      <c r="B11" s="20"/>
      <c r="C11" s="5" t="s">
        <v>89</v>
      </c>
      <c r="D11" s="6" t="s">
        <v>90</v>
      </c>
      <c r="E11" s="11">
        <v>7.2267999999999999E-2</v>
      </c>
      <c r="F11" s="1"/>
      <c r="G11" s="1"/>
      <c r="H11" s="1"/>
      <c r="I11" s="1"/>
      <c r="J11" s="24" t="s">
        <v>55</v>
      </c>
      <c r="K11" s="28">
        <v>0.706928</v>
      </c>
      <c r="L11" s="1"/>
      <c r="M11" s="1"/>
      <c r="N11" s="18"/>
    </row>
    <row r="12" spans="2:14" ht="15" customHeight="1" x14ac:dyDescent="0.25">
      <c r="B12" s="20"/>
      <c r="C12" s="5" t="s">
        <v>91</v>
      </c>
      <c r="D12" s="6" t="s">
        <v>86</v>
      </c>
      <c r="E12" s="11">
        <v>7.1781999999999999E-2</v>
      </c>
      <c r="F12" s="1"/>
      <c r="G12" s="1"/>
      <c r="H12" s="1"/>
      <c r="I12" s="1"/>
      <c r="J12" s="24" t="s">
        <v>43</v>
      </c>
      <c r="K12" s="28">
        <v>4.1830000000000001E-3</v>
      </c>
      <c r="L12" s="1"/>
      <c r="M12" s="1"/>
      <c r="N12" s="18"/>
    </row>
    <row r="13" spans="2:14" ht="15" customHeight="1" x14ac:dyDescent="0.25">
      <c r="B13" s="20"/>
      <c r="C13" s="5" t="s">
        <v>92</v>
      </c>
      <c r="D13" s="6" t="s">
        <v>86</v>
      </c>
      <c r="E13" s="11">
        <v>5.8740000000000001E-2</v>
      </c>
      <c r="F13" s="1"/>
      <c r="G13" s="1"/>
      <c r="H13" s="1"/>
      <c r="I13" s="1"/>
      <c r="J13" s="24" t="s">
        <v>56</v>
      </c>
      <c r="K13" s="28">
        <v>0.19595000000000001</v>
      </c>
      <c r="L13" s="1"/>
      <c r="M13" s="1"/>
      <c r="N13" s="18"/>
    </row>
    <row r="14" spans="2:14" ht="15" customHeight="1" x14ac:dyDescent="0.25">
      <c r="B14" s="20"/>
      <c r="C14" s="5" t="s">
        <v>93</v>
      </c>
      <c r="D14" s="6" t="s">
        <v>86</v>
      </c>
      <c r="E14" s="11">
        <v>5.7749000000000002E-2</v>
      </c>
      <c r="F14" s="1"/>
      <c r="G14" s="1"/>
      <c r="H14" s="1"/>
      <c r="I14" s="1"/>
      <c r="J14" s="24" t="s">
        <v>69</v>
      </c>
      <c r="K14" s="28">
        <v>5.3463999999999998E-2</v>
      </c>
      <c r="L14" s="1"/>
      <c r="M14" s="1"/>
      <c r="N14" s="18"/>
    </row>
    <row r="15" spans="2:14" ht="15" customHeight="1" x14ac:dyDescent="0.25">
      <c r="B15" s="20"/>
      <c r="C15" s="5" t="s">
        <v>94</v>
      </c>
      <c r="D15" s="6" t="s">
        <v>86</v>
      </c>
      <c r="E15" s="11">
        <v>5.7584000000000003E-2</v>
      </c>
      <c r="F15" s="1"/>
      <c r="G15" s="1"/>
      <c r="H15" s="1"/>
      <c r="I15" s="1"/>
      <c r="J15" s="1"/>
      <c r="K15" s="1"/>
      <c r="L15" s="1"/>
      <c r="M15" s="1"/>
      <c r="N15" s="18"/>
    </row>
    <row r="16" spans="2:14" ht="15" customHeight="1" x14ac:dyDescent="0.25">
      <c r="B16" s="20"/>
      <c r="C16" s="5" t="s">
        <v>95</v>
      </c>
      <c r="D16" s="6" t="s">
        <v>86</v>
      </c>
      <c r="E16" s="11">
        <v>4.3262000000000002E-2</v>
      </c>
      <c r="F16" s="1"/>
      <c r="G16" s="1"/>
      <c r="H16" s="1"/>
      <c r="I16" s="1"/>
      <c r="J16" s="1"/>
      <c r="K16" s="1"/>
      <c r="L16" s="1"/>
      <c r="M16" s="1"/>
      <c r="N16" s="18"/>
    </row>
    <row r="17" spans="2:14" ht="15" customHeight="1" x14ac:dyDescent="0.25">
      <c r="B17" s="20"/>
      <c r="C17" s="5" t="s">
        <v>96</v>
      </c>
      <c r="D17" s="6" t="s">
        <v>90</v>
      </c>
      <c r="E17" s="11">
        <v>2.8875000000000001E-2</v>
      </c>
      <c r="F17" s="1"/>
      <c r="G17" s="1"/>
      <c r="H17" s="1"/>
      <c r="I17" s="1"/>
      <c r="J17" s="1"/>
      <c r="K17" s="1"/>
      <c r="L17" s="1"/>
      <c r="M17" s="1"/>
      <c r="N17" s="18"/>
    </row>
    <row r="18" spans="2:14" ht="15.75" customHeight="1" x14ac:dyDescent="0.25">
      <c r="B18" s="20"/>
      <c r="C18" s="7" t="s">
        <v>42</v>
      </c>
      <c r="D18" s="8"/>
      <c r="E18" s="12">
        <v>0.706928</v>
      </c>
      <c r="F18" s="1"/>
      <c r="G18" s="1"/>
      <c r="H18" s="1"/>
      <c r="I18" s="1"/>
      <c r="J18" s="1"/>
      <c r="K18" s="1"/>
      <c r="L18" s="1"/>
      <c r="M18" s="1"/>
      <c r="N18" s="18"/>
    </row>
    <row r="19" spans="2:14" ht="15" customHeight="1" x14ac:dyDescent="0.25">
      <c r="B19" s="20"/>
      <c r="C19" s="5" t="s">
        <v>43</v>
      </c>
      <c r="D19" s="6"/>
      <c r="E19" s="11">
        <v>4.1830000000000001E-3</v>
      </c>
      <c r="F19" s="1"/>
      <c r="G19" s="1"/>
      <c r="H19" s="1"/>
      <c r="I19" s="1"/>
      <c r="J19" s="1"/>
      <c r="K19" s="1"/>
      <c r="L19" s="1"/>
      <c r="M19" s="1"/>
      <c r="N19" s="18"/>
    </row>
    <row r="20" spans="2:14" ht="15.75" customHeight="1" x14ac:dyDescent="0.25">
      <c r="B20" s="20"/>
      <c r="C20" s="7" t="s">
        <v>44</v>
      </c>
      <c r="D20" s="8"/>
      <c r="E20" s="12">
        <v>4.1830000000000001E-3</v>
      </c>
      <c r="F20" s="1"/>
      <c r="G20" s="1"/>
      <c r="H20" s="1"/>
      <c r="I20" s="1"/>
      <c r="J20" s="1"/>
      <c r="K20" s="1"/>
      <c r="L20" s="1"/>
      <c r="M20" s="1"/>
      <c r="N20" s="18"/>
    </row>
    <row r="21" spans="2:14" ht="15" customHeight="1" x14ac:dyDescent="0.25">
      <c r="B21" s="20"/>
      <c r="C21" s="5" t="s">
        <v>60</v>
      </c>
      <c r="D21" s="6" t="s">
        <v>194</v>
      </c>
      <c r="E21" s="11">
        <v>8.7464E-2</v>
      </c>
      <c r="F21" s="1"/>
      <c r="G21" s="1"/>
      <c r="H21" s="1"/>
      <c r="I21" s="1"/>
      <c r="J21" s="1"/>
      <c r="K21" s="1"/>
      <c r="L21" s="1"/>
      <c r="M21" s="1"/>
      <c r="N21" s="18"/>
    </row>
    <row r="22" spans="2:14" ht="15" customHeight="1" x14ac:dyDescent="0.25">
      <c r="B22" s="20"/>
      <c r="C22" s="5" t="s">
        <v>97</v>
      </c>
      <c r="D22" s="6" t="s">
        <v>194</v>
      </c>
      <c r="E22" s="11">
        <v>7.3506000000000002E-2</v>
      </c>
      <c r="F22" s="1"/>
      <c r="G22" s="1"/>
      <c r="H22" s="1"/>
      <c r="I22" s="1"/>
      <c r="J22" s="1"/>
      <c r="K22" s="1"/>
      <c r="L22" s="1"/>
      <c r="M22" s="1"/>
      <c r="N22" s="18"/>
    </row>
    <row r="23" spans="2:14" ht="15" customHeight="1" x14ac:dyDescent="0.25">
      <c r="B23" s="20"/>
      <c r="C23" s="5" t="s">
        <v>51</v>
      </c>
      <c r="D23" s="6" t="s">
        <v>194</v>
      </c>
      <c r="E23" s="11">
        <v>3.4979999999999997E-2</v>
      </c>
      <c r="F23" s="1"/>
      <c r="G23" s="1"/>
      <c r="H23" s="1"/>
      <c r="I23" s="1"/>
      <c r="J23" s="1"/>
      <c r="K23" s="1"/>
      <c r="L23" s="1"/>
      <c r="M23" s="1"/>
      <c r="N23" s="18"/>
    </row>
    <row r="24" spans="2:14" ht="15.75" customHeight="1" x14ac:dyDescent="0.25">
      <c r="B24" s="20"/>
      <c r="C24" s="7" t="s">
        <v>52</v>
      </c>
      <c r="D24" s="8"/>
      <c r="E24" s="12">
        <v>0.19595000000000001</v>
      </c>
      <c r="F24" s="1"/>
      <c r="G24" s="85" t="s">
        <v>17</v>
      </c>
      <c r="H24" s="86"/>
      <c r="I24" s="86"/>
      <c r="J24" s="86"/>
      <c r="K24" s="86"/>
      <c r="L24" s="67">
        <v>3.6867052642966498</v>
      </c>
      <c r="M24" s="26"/>
      <c r="N24" s="27"/>
    </row>
    <row r="25" spans="2:14" ht="15" customHeight="1" x14ac:dyDescent="0.25">
      <c r="B25" s="20"/>
      <c r="C25" s="5" t="s">
        <v>268</v>
      </c>
      <c r="D25" s="6" t="s">
        <v>67</v>
      </c>
      <c r="E25" s="11">
        <v>5.3463999999999998E-2</v>
      </c>
      <c r="F25" s="1"/>
      <c r="G25" s="1"/>
      <c r="H25" s="1"/>
      <c r="I25" s="1"/>
      <c r="J25" s="1"/>
      <c r="K25" s="1"/>
      <c r="L25" s="1"/>
      <c r="M25" s="1"/>
      <c r="N25" s="18"/>
    </row>
    <row r="26" spans="2:14" ht="15.75" customHeight="1" x14ac:dyDescent="0.25">
      <c r="B26" s="20"/>
      <c r="C26" s="7" t="s">
        <v>68</v>
      </c>
      <c r="D26" s="8"/>
      <c r="E26" s="12">
        <v>5.3463999999999998E-2</v>
      </c>
      <c r="F26" s="1"/>
      <c r="G26" s="85" t="s">
        <v>18</v>
      </c>
      <c r="H26" s="86"/>
      <c r="I26" s="86"/>
      <c r="J26" s="86"/>
      <c r="K26" s="86"/>
      <c r="L26" s="86"/>
      <c r="M26" s="86"/>
      <c r="N26" s="87"/>
    </row>
    <row r="27" spans="2:14" ht="15" customHeight="1" x14ac:dyDescent="0.25">
      <c r="B27" s="20"/>
      <c r="C27" s="5" t="s">
        <v>8</v>
      </c>
      <c r="D27" s="6"/>
      <c r="E27" s="11">
        <v>1.0533000000000001E-2</v>
      </c>
      <c r="F27" s="1"/>
      <c r="G27" s="1"/>
      <c r="H27" s="1"/>
      <c r="I27" s="1"/>
      <c r="J27" s="1"/>
      <c r="K27" s="1"/>
      <c r="L27" s="1"/>
      <c r="M27" s="1"/>
      <c r="N27" s="18"/>
    </row>
    <row r="28" spans="2:14" ht="15.75" customHeight="1" x14ac:dyDescent="0.25">
      <c r="B28" s="20"/>
      <c r="C28" s="7" t="s">
        <v>9</v>
      </c>
      <c r="D28" s="8"/>
      <c r="E28" s="12">
        <v>1.0533000000000001E-2</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75" customHeight="1" x14ac:dyDescent="0.25">
      <c r="B30" s="20"/>
      <c r="C30" s="7" t="s">
        <v>10</v>
      </c>
      <c r="D30" s="8"/>
      <c r="E30" s="12">
        <v>2.8941999999999999E-2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 customHeight="1" x14ac:dyDescent="0.25">
      <c r="B32" s="20"/>
      <c r="C32" s="9" t="s">
        <v>11</v>
      </c>
      <c r="D32" s="10"/>
      <c r="E32" s="13">
        <v>1</v>
      </c>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t="s">
        <v>267</v>
      </c>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8" t="s">
        <v>265</v>
      </c>
      <c r="C45" s="69"/>
      <c r="D45" s="69"/>
      <c r="E45" s="69"/>
      <c r="F45" s="69"/>
      <c r="G45" s="69"/>
      <c r="H45" s="69"/>
      <c r="I45" s="69"/>
      <c r="J45" s="69"/>
      <c r="K45" s="69"/>
      <c r="L45" s="69"/>
      <c r="M45" s="69"/>
      <c r="N45" s="70"/>
    </row>
    <row r="46" spans="2:14" ht="15" customHeight="1" x14ac:dyDescent="0.25">
      <c r="B46" s="71"/>
      <c r="C46" s="72"/>
      <c r="D46" s="72"/>
      <c r="E46" s="72"/>
      <c r="F46" s="72"/>
      <c r="G46" s="72"/>
      <c r="H46" s="72"/>
      <c r="I46" s="72"/>
      <c r="J46" s="72"/>
      <c r="K46" s="72"/>
      <c r="L46" s="72"/>
      <c r="M46" s="72"/>
      <c r="N46" s="73"/>
    </row>
    <row r="47" spans="2:14" ht="15" customHeight="1" x14ac:dyDescent="0.25">
      <c r="B47" s="71"/>
      <c r="C47" s="72"/>
      <c r="D47" s="72"/>
      <c r="E47" s="72"/>
      <c r="F47" s="72"/>
      <c r="G47" s="72"/>
      <c r="H47" s="72"/>
      <c r="I47" s="72"/>
      <c r="J47" s="72"/>
      <c r="K47" s="72"/>
      <c r="L47" s="72"/>
      <c r="M47" s="72"/>
      <c r="N47" s="73"/>
    </row>
    <row r="48" spans="2:14" ht="15" customHeight="1" thickBot="1" x14ac:dyDescent="0.3">
      <c r="B48" s="74"/>
      <c r="C48" s="75"/>
      <c r="D48" s="75"/>
      <c r="E48" s="75"/>
      <c r="F48" s="75"/>
      <c r="G48" s="75"/>
      <c r="H48" s="75"/>
      <c r="I48" s="75"/>
      <c r="J48" s="75"/>
      <c r="K48" s="75"/>
      <c r="L48" s="75"/>
      <c r="M48" s="75"/>
      <c r="N48" s="76"/>
    </row>
    <row r="49" spans="2:14" ht="15" customHeight="1" thickBot="1" x14ac:dyDescent="0.3"/>
    <row r="50" spans="2:14" ht="126" customHeight="1" thickBot="1" x14ac:dyDescent="0.3">
      <c r="B50" s="77" t="s">
        <v>264</v>
      </c>
      <c r="C50" s="78"/>
      <c r="D50" s="78"/>
      <c r="E50" s="78"/>
      <c r="F50" s="78"/>
      <c r="G50" s="78"/>
      <c r="H50" s="78"/>
      <c r="I50" s="78"/>
      <c r="J50" s="78"/>
      <c r="K50" s="78"/>
      <c r="L50" s="78"/>
      <c r="M50" s="78"/>
      <c r="N50" s="79"/>
    </row>
    <row r="51" spans="2:14" ht="15" customHeight="1" x14ac:dyDescent="0.25"/>
    <row r="52"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8BE90-25DE-40A1-A465-EF7D42791478}">
  <dimension ref="B1:N55"/>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126</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127</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25</v>
      </c>
      <c r="D8" s="6" t="s">
        <v>22</v>
      </c>
      <c r="E8" s="11">
        <v>4.6561999999999999E-2</v>
      </c>
      <c r="F8" s="1"/>
      <c r="G8" s="24" t="s">
        <v>15</v>
      </c>
      <c r="H8" s="28">
        <v>0.61136400000000002</v>
      </c>
      <c r="I8" s="1"/>
      <c r="J8" s="24" t="s">
        <v>12</v>
      </c>
      <c r="K8" s="24" t="s">
        <v>5</v>
      </c>
      <c r="L8" s="1"/>
      <c r="M8" s="1"/>
      <c r="N8" s="18"/>
    </row>
    <row r="9" spans="2:14" ht="15.75" customHeight="1" x14ac:dyDescent="0.25">
      <c r="B9" s="20"/>
      <c r="C9" s="7" t="s">
        <v>26</v>
      </c>
      <c r="D9" s="8"/>
      <c r="E9" s="12">
        <v>4.6561999999999999E-2</v>
      </c>
      <c r="F9" s="1"/>
      <c r="G9" s="24" t="s">
        <v>99</v>
      </c>
      <c r="H9" s="28">
        <v>0.19462199999999999</v>
      </c>
      <c r="I9" s="1"/>
      <c r="J9" s="24" t="s">
        <v>10</v>
      </c>
      <c r="K9" s="28">
        <v>2.7414999999999998E-2</v>
      </c>
      <c r="L9" s="1"/>
      <c r="M9" s="1"/>
      <c r="N9" s="18"/>
    </row>
    <row r="10" spans="2:14" ht="15" customHeight="1" x14ac:dyDescent="0.25">
      <c r="B10" s="20"/>
      <c r="C10" s="5" t="s">
        <v>89</v>
      </c>
      <c r="D10" s="6" t="s">
        <v>90</v>
      </c>
      <c r="E10" s="11">
        <v>9.7483E-2</v>
      </c>
      <c r="F10" s="1"/>
      <c r="G10" s="24" t="s">
        <v>98</v>
      </c>
      <c r="H10" s="28">
        <v>0.19401399999999999</v>
      </c>
      <c r="I10" s="1"/>
      <c r="J10" s="24" t="s">
        <v>13</v>
      </c>
      <c r="K10" s="28">
        <v>1.051E-2</v>
      </c>
      <c r="L10" s="1"/>
      <c r="M10" s="1"/>
      <c r="N10" s="18"/>
    </row>
    <row r="11" spans="2:14" ht="15" customHeight="1" x14ac:dyDescent="0.25">
      <c r="B11" s="20"/>
      <c r="C11" s="5" t="s">
        <v>31</v>
      </c>
      <c r="D11" s="6" t="s">
        <v>28</v>
      </c>
      <c r="E11" s="11">
        <v>7.2967000000000004E-2</v>
      </c>
      <c r="F11" s="1"/>
      <c r="G11" s="1"/>
      <c r="H11" s="1"/>
      <c r="I11" s="1"/>
      <c r="J11" s="24" t="s">
        <v>54</v>
      </c>
      <c r="K11" s="28">
        <v>4.6561999999999999E-2</v>
      </c>
      <c r="L11" s="1"/>
      <c r="M11" s="1"/>
      <c r="N11" s="18"/>
    </row>
    <row r="12" spans="2:14" ht="15" customHeight="1" x14ac:dyDescent="0.25">
      <c r="B12" s="20"/>
      <c r="C12" s="5" t="s">
        <v>33</v>
      </c>
      <c r="D12" s="6" t="s">
        <v>28</v>
      </c>
      <c r="E12" s="11">
        <v>4.8801999999999998E-2</v>
      </c>
      <c r="F12" s="1"/>
      <c r="G12" s="1"/>
      <c r="H12" s="1"/>
      <c r="I12" s="1"/>
      <c r="J12" s="24" t="s">
        <v>55</v>
      </c>
      <c r="K12" s="28">
        <v>0.55393000000000003</v>
      </c>
      <c r="L12" s="1"/>
      <c r="M12" s="1"/>
      <c r="N12" s="18"/>
    </row>
    <row r="13" spans="2:14" ht="15" customHeight="1" x14ac:dyDescent="0.25">
      <c r="B13" s="20"/>
      <c r="C13" s="5" t="s">
        <v>88</v>
      </c>
      <c r="D13" s="6" t="s">
        <v>86</v>
      </c>
      <c r="E13" s="11">
        <v>4.8792000000000002E-2</v>
      </c>
      <c r="F13" s="1"/>
      <c r="G13" s="1"/>
      <c r="H13" s="1"/>
      <c r="I13" s="1"/>
      <c r="J13" s="24" t="s">
        <v>43</v>
      </c>
      <c r="K13" s="28">
        <v>4.3569999999999998E-3</v>
      </c>
      <c r="L13" s="1"/>
      <c r="M13" s="1"/>
      <c r="N13" s="18"/>
    </row>
    <row r="14" spans="2:14" ht="15" customHeight="1" x14ac:dyDescent="0.25">
      <c r="B14" s="20"/>
      <c r="C14" s="5" t="s">
        <v>96</v>
      </c>
      <c r="D14" s="6" t="s">
        <v>90</v>
      </c>
      <c r="E14" s="11">
        <v>4.8687000000000001E-2</v>
      </c>
      <c r="F14" s="1"/>
      <c r="G14" s="1"/>
      <c r="H14" s="1"/>
      <c r="I14" s="1"/>
      <c r="J14" s="24" t="s">
        <v>56</v>
      </c>
      <c r="K14" s="28">
        <v>0.35723100000000002</v>
      </c>
      <c r="L14" s="1"/>
      <c r="M14" s="1"/>
      <c r="N14" s="18"/>
    </row>
    <row r="15" spans="2:14" ht="15" customHeight="1" x14ac:dyDescent="0.25">
      <c r="B15" s="20"/>
      <c r="C15" s="5" t="s">
        <v>94</v>
      </c>
      <c r="D15" s="6" t="s">
        <v>86</v>
      </c>
      <c r="E15" s="11">
        <v>4.8589E-2</v>
      </c>
      <c r="F15" s="1"/>
      <c r="G15" s="1"/>
      <c r="H15" s="1"/>
      <c r="I15" s="1"/>
      <c r="J15" s="24"/>
      <c r="K15" s="28"/>
      <c r="L15" s="1"/>
      <c r="M15" s="1"/>
      <c r="N15" s="18"/>
    </row>
    <row r="16" spans="2:14" ht="15" customHeight="1" x14ac:dyDescent="0.25">
      <c r="B16" s="20"/>
      <c r="C16" s="5" t="s">
        <v>128</v>
      </c>
      <c r="D16" s="6" t="s">
        <v>90</v>
      </c>
      <c r="E16" s="11">
        <v>4.8452000000000002E-2</v>
      </c>
      <c r="F16" s="1"/>
      <c r="G16" s="1"/>
      <c r="H16" s="1"/>
      <c r="I16" s="1"/>
      <c r="J16" s="1"/>
      <c r="K16" s="1"/>
      <c r="L16" s="1"/>
      <c r="M16" s="1"/>
      <c r="N16" s="18"/>
    </row>
    <row r="17" spans="2:14" ht="15" customHeight="1" x14ac:dyDescent="0.25">
      <c r="B17" s="20"/>
      <c r="C17" s="5" t="s">
        <v>91</v>
      </c>
      <c r="D17" s="6" t="s">
        <v>86</v>
      </c>
      <c r="E17" s="11">
        <v>4.8413999999999999E-2</v>
      </c>
      <c r="F17" s="1"/>
      <c r="G17" s="1"/>
      <c r="H17" s="1"/>
      <c r="I17" s="1"/>
      <c r="J17" s="1"/>
      <c r="K17" s="1"/>
      <c r="L17" s="1"/>
      <c r="M17" s="1"/>
      <c r="N17" s="18"/>
    </row>
    <row r="18" spans="2:14" ht="15" customHeight="1" x14ac:dyDescent="0.25">
      <c r="B18" s="20"/>
      <c r="C18" s="5" t="s">
        <v>87</v>
      </c>
      <c r="D18" s="6" t="s">
        <v>86</v>
      </c>
      <c r="E18" s="11">
        <v>4.8218999999999998E-2</v>
      </c>
      <c r="F18" s="1"/>
      <c r="G18" s="1"/>
      <c r="H18" s="1"/>
      <c r="I18" s="1"/>
      <c r="J18" s="1"/>
      <c r="K18" s="1"/>
      <c r="L18" s="1"/>
      <c r="M18" s="1"/>
      <c r="N18" s="18"/>
    </row>
    <row r="19" spans="2:14" ht="15" customHeight="1" x14ac:dyDescent="0.25">
      <c r="B19" s="20"/>
      <c r="C19" s="5" t="s">
        <v>29</v>
      </c>
      <c r="D19" s="6" t="s">
        <v>28</v>
      </c>
      <c r="E19" s="11">
        <v>4.3525000000000001E-2</v>
      </c>
      <c r="F19" s="1"/>
      <c r="G19" s="1"/>
      <c r="H19" s="1"/>
      <c r="I19" s="1"/>
      <c r="J19" s="1"/>
      <c r="K19" s="1"/>
      <c r="L19" s="1"/>
      <c r="M19" s="1"/>
      <c r="N19" s="18"/>
    </row>
    <row r="20" spans="2:14" ht="15.75" customHeight="1" x14ac:dyDescent="0.25">
      <c r="B20" s="20"/>
      <c r="C20" s="7" t="s">
        <v>42</v>
      </c>
      <c r="D20" s="8"/>
      <c r="E20" s="12">
        <v>0.55393000000000003</v>
      </c>
      <c r="F20" s="1"/>
      <c r="G20" s="1"/>
      <c r="H20" s="1"/>
      <c r="I20" s="1"/>
      <c r="J20" s="1"/>
      <c r="K20" s="1"/>
      <c r="L20" s="1"/>
      <c r="M20" s="1"/>
      <c r="N20" s="18"/>
    </row>
    <row r="21" spans="2:14" ht="15" customHeight="1" x14ac:dyDescent="0.25">
      <c r="B21" s="20"/>
      <c r="C21" s="5" t="s">
        <v>43</v>
      </c>
      <c r="D21" s="6"/>
      <c r="E21" s="11">
        <v>4.3569999999999998E-3</v>
      </c>
      <c r="F21" s="1"/>
      <c r="G21" s="1"/>
      <c r="H21" s="1"/>
      <c r="I21" s="1"/>
      <c r="J21" s="1"/>
      <c r="K21" s="1"/>
      <c r="L21" s="1"/>
      <c r="M21" s="1"/>
      <c r="N21" s="18"/>
    </row>
    <row r="22" spans="2:14" ht="15.75" customHeight="1" x14ac:dyDescent="0.25">
      <c r="B22" s="20"/>
      <c r="C22" s="7" t="s">
        <v>44</v>
      </c>
      <c r="D22" s="8"/>
      <c r="E22" s="12">
        <v>4.3569999999999998E-3</v>
      </c>
      <c r="F22" s="1"/>
      <c r="G22" s="1"/>
      <c r="H22" s="1"/>
      <c r="I22" s="1"/>
      <c r="J22" s="1"/>
      <c r="K22" s="1"/>
      <c r="L22" s="1"/>
      <c r="M22" s="1"/>
      <c r="N22" s="18"/>
    </row>
    <row r="23" spans="2:14" ht="15" customHeight="1" x14ac:dyDescent="0.25">
      <c r="B23" s="20"/>
      <c r="C23" s="5" t="s">
        <v>49</v>
      </c>
      <c r="D23" s="6" t="s">
        <v>194</v>
      </c>
      <c r="E23" s="11">
        <v>0.16053500000000001</v>
      </c>
      <c r="F23" s="1"/>
      <c r="G23" s="1"/>
      <c r="H23" s="1"/>
      <c r="I23" s="1"/>
      <c r="J23" s="1"/>
      <c r="K23" s="1"/>
      <c r="L23" s="1"/>
      <c r="M23" s="1"/>
      <c r="N23" s="18"/>
    </row>
    <row r="24" spans="2:14" ht="15" customHeight="1" x14ac:dyDescent="0.25">
      <c r="B24" s="20"/>
      <c r="C24" s="5" t="s">
        <v>50</v>
      </c>
      <c r="D24" s="6" t="s">
        <v>194</v>
      </c>
      <c r="E24" s="11">
        <v>7.3956999999999995E-2</v>
      </c>
      <c r="F24" s="1"/>
      <c r="G24" s="85" t="s">
        <v>17</v>
      </c>
      <c r="H24" s="86"/>
      <c r="I24" s="86"/>
      <c r="J24" s="86"/>
      <c r="K24" s="86"/>
      <c r="L24" s="67">
        <v>3.6061579840435192</v>
      </c>
      <c r="M24" s="26"/>
      <c r="N24" s="27"/>
    </row>
    <row r="25" spans="2:14" ht="15" customHeight="1" x14ac:dyDescent="0.25">
      <c r="B25" s="20"/>
      <c r="C25" s="5" t="s">
        <v>129</v>
      </c>
      <c r="D25" s="6" t="s">
        <v>194</v>
      </c>
      <c r="E25" s="11">
        <v>7.3940000000000006E-2</v>
      </c>
      <c r="F25" s="1"/>
      <c r="G25" s="1"/>
      <c r="H25" s="1"/>
      <c r="I25" s="1"/>
      <c r="J25" s="1"/>
      <c r="K25" s="1"/>
      <c r="L25" s="1"/>
      <c r="M25" s="1"/>
      <c r="N25" s="18"/>
    </row>
    <row r="26" spans="2:14" ht="15" customHeight="1" x14ac:dyDescent="0.25">
      <c r="B26" s="20"/>
      <c r="C26" s="5" t="s">
        <v>45</v>
      </c>
      <c r="D26" s="6" t="s">
        <v>194</v>
      </c>
      <c r="E26" s="11">
        <v>4.8799000000000002E-2</v>
      </c>
      <c r="F26" s="1"/>
      <c r="G26" s="85" t="s">
        <v>18</v>
      </c>
      <c r="H26" s="86"/>
      <c r="I26" s="86"/>
      <c r="J26" s="86"/>
      <c r="K26" s="86"/>
      <c r="L26" s="86"/>
      <c r="M26" s="86"/>
      <c r="N26" s="87"/>
    </row>
    <row r="27" spans="2:14" ht="15.75" customHeight="1" x14ac:dyDescent="0.25">
      <c r="B27" s="20"/>
      <c r="C27" s="7" t="s">
        <v>52</v>
      </c>
      <c r="D27" s="8"/>
      <c r="E27" s="12">
        <v>0.35723100000000002</v>
      </c>
      <c r="F27" s="1"/>
      <c r="G27" s="1"/>
      <c r="H27" s="1"/>
      <c r="I27" s="1"/>
      <c r="J27" s="1"/>
      <c r="K27" s="1"/>
      <c r="L27" s="1"/>
      <c r="M27" s="1"/>
      <c r="N27" s="18"/>
    </row>
    <row r="28" spans="2:14" ht="15" customHeight="1" x14ac:dyDescent="0.25">
      <c r="B28" s="20"/>
      <c r="C28" s="5" t="s">
        <v>8</v>
      </c>
      <c r="D28" s="6"/>
      <c r="E28" s="11">
        <v>1.051E-2</v>
      </c>
      <c r="F28" s="1"/>
      <c r="G28" s="1"/>
      <c r="H28" s="1"/>
      <c r="I28" s="1"/>
      <c r="J28" s="1"/>
      <c r="K28" s="1"/>
      <c r="L28" s="1"/>
      <c r="M28" s="1"/>
      <c r="N28" s="18"/>
    </row>
    <row r="29" spans="2:14" ht="15.75" customHeight="1" x14ac:dyDescent="0.25">
      <c r="B29" s="20"/>
      <c r="C29" s="7" t="s">
        <v>9</v>
      </c>
      <c r="D29" s="8"/>
      <c r="E29" s="12">
        <v>1.051E-2</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75" customHeight="1" x14ac:dyDescent="0.25">
      <c r="B31" s="20"/>
      <c r="C31" s="7" t="s">
        <v>10</v>
      </c>
      <c r="D31" s="8"/>
      <c r="E31" s="12">
        <v>2.7414999999999998E-2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75" customHeight="1" x14ac:dyDescent="0.25">
      <c r="B33" s="20"/>
      <c r="C33" s="9" t="s">
        <v>11</v>
      </c>
      <c r="D33" s="10"/>
      <c r="E33" s="13">
        <v>1</v>
      </c>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33" t="s">
        <v>130</v>
      </c>
      <c r="D35" s="33"/>
      <c r="E35" s="34">
        <v>0.60890699999999998</v>
      </c>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8" t="s">
        <v>265</v>
      </c>
      <c r="C45" s="69"/>
      <c r="D45" s="69"/>
      <c r="E45" s="69"/>
      <c r="F45" s="69"/>
      <c r="G45" s="69"/>
      <c r="H45" s="69"/>
      <c r="I45" s="69"/>
      <c r="J45" s="69"/>
      <c r="K45" s="69"/>
      <c r="L45" s="69"/>
      <c r="M45" s="69"/>
      <c r="N45" s="70"/>
    </row>
    <row r="46" spans="2:14" ht="15" customHeight="1" x14ac:dyDescent="0.25">
      <c r="B46" s="71"/>
      <c r="C46" s="72"/>
      <c r="D46" s="72"/>
      <c r="E46" s="72"/>
      <c r="F46" s="72"/>
      <c r="G46" s="72"/>
      <c r="H46" s="72"/>
      <c r="I46" s="72"/>
      <c r="J46" s="72"/>
      <c r="K46" s="72"/>
      <c r="L46" s="72"/>
      <c r="M46" s="72"/>
      <c r="N46" s="73"/>
    </row>
    <row r="47" spans="2:14" ht="15" customHeight="1" x14ac:dyDescent="0.25">
      <c r="B47" s="71"/>
      <c r="C47" s="72"/>
      <c r="D47" s="72"/>
      <c r="E47" s="72"/>
      <c r="F47" s="72"/>
      <c r="G47" s="72"/>
      <c r="H47" s="72"/>
      <c r="I47" s="72"/>
      <c r="J47" s="72"/>
      <c r="K47" s="72"/>
      <c r="L47" s="72"/>
      <c r="M47" s="72"/>
      <c r="N47" s="73"/>
    </row>
    <row r="48" spans="2:14" ht="15" customHeight="1" thickBot="1" x14ac:dyDescent="0.3">
      <c r="B48" s="74"/>
      <c r="C48" s="75"/>
      <c r="D48" s="75"/>
      <c r="E48" s="75"/>
      <c r="F48" s="75"/>
      <c r="G48" s="75"/>
      <c r="H48" s="75"/>
      <c r="I48" s="75"/>
      <c r="J48" s="75"/>
      <c r="K48" s="75"/>
      <c r="L48" s="75"/>
      <c r="M48" s="75"/>
      <c r="N48" s="76"/>
    </row>
    <row r="49" spans="2:14" ht="15" customHeight="1" thickBot="1" x14ac:dyDescent="0.3"/>
    <row r="50" spans="2:14" ht="81" customHeight="1" thickBot="1" x14ac:dyDescent="0.3">
      <c r="B50" s="77" t="s">
        <v>266</v>
      </c>
      <c r="C50" s="78"/>
      <c r="D50" s="78"/>
      <c r="E50" s="78"/>
      <c r="F50" s="78"/>
      <c r="G50" s="78"/>
      <c r="H50" s="78"/>
      <c r="I50" s="78"/>
      <c r="J50" s="78"/>
      <c r="K50" s="78"/>
      <c r="L50" s="78"/>
      <c r="M50" s="78"/>
      <c r="N50" s="79"/>
    </row>
    <row r="51" spans="2:14" ht="15" customHeight="1" thickBot="1" x14ac:dyDescent="0.3"/>
    <row r="52" spans="2:14" ht="104.25" customHeight="1" thickBot="1" x14ac:dyDescent="0.3">
      <c r="B52" s="77" t="s">
        <v>264</v>
      </c>
      <c r="C52" s="78"/>
      <c r="D52" s="78"/>
      <c r="E52" s="78"/>
      <c r="F52" s="78"/>
      <c r="G52" s="78"/>
      <c r="H52" s="78"/>
      <c r="I52" s="78"/>
      <c r="J52" s="78"/>
      <c r="K52" s="78"/>
      <c r="L52" s="78"/>
      <c r="M52" s="78"/>
      <c r="N52" s="79"/>
    </row>
    <row r="53" spans="2:14" ht="15" customHeight="1" x14ac:dyDescent="0.25"/>
    <row r="54" spans="2:14" ht="15" customHeight="1" x14ac:dyDescent="0.25"/>
    <row r="55" spans="2:14" ht="15" customHeight="1" x14ac:dyDescent="0.25"/>
  </sheetData>
  <mergeCells count="8">
    <mergeCell ref="B45:N48"/>
    <mergeCell ref="B50:N50"/>
    <mergeCell ref="B52:N52"/>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AB590-90E5-47C3-8089-EECC8005345A}">
  <dimension ref="B1:N45"/>
  <sheetViews>
    <sheetView showGridLines="0"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162</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163</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61</v>
      </c>
      <c r="D8" s="6" t="s">
        <v>194</v>
      </c>
      <c r="E8" s="11">
        <v>0.65430999999999995</v>
      </c>
      <c r="F8" s="1"/>
      <c r="G8" s="24" t="s">
        <v>15</v>
      </c>
      <c r="H8" s="25">
        <v>1</v>
      </c>
      <c r="I8" s="1"/>
      <c r="J8" s="24" t="s">
        <v>12</v>
      </c>
      <c r="K8" s="24" t="s">
        <v>5</v>
      </c>
      <c r="L8" s="1"/>
      <c r="M8" s="1"/>
      <c r="N8" s="18"/>
    </row>
    <row r="9" spans="2:14" ht="15" customHeight="1" x14ac:dyDescent="0.25">
      <c r="B9" s="20"/>
      <c r="C9" s="5" t="s">
        <v>164</v>
      </c>
      <c r="D9" s="6" t="s">
        <v>194</v>
      </c>
      <c r="E9" s="11">
        <v>0.204372</v>
      </c>
      <c r="F9" s="1"/>
      <c r="G9" s="1"/>
      <c r="H9" s="1"/>
      <c r="I9" s="1"/>
      <c r="J9" s="24" t="s">
        <v>10</v>
      </c>
      <c r="K9" s="28">
        <v>2.3636000000000001E-2</v>
      </c>
      <c r="L9" s="1"/>
      <c r="M9" s="1"/>
      <c r="N9" s="18"/>
    </row>
    <row r="10" spans="2:14" ht="15" customHeight="1" x14ac:dyDescent="0.25">
      <c r="B10" s="20"/>
      <c r="C10" s="5" t="s">
        <v>165</v>
      </c>
      <c r="D10" s="6" t="s">
        <v>194</v>
      </c>
      <c r="E10" s="11">
        <v>6.6235000000000002E-2</v>
      </c>
      <c r="F10" s="1"/>
      <c r="G10" s="1"/>
      <c r="H10" s="1"/>
      <c r="I10" s="1"/>
      <c r="J10" s="24" t="s">
        <v>13</v>
      </c>
      <c r="K10" s="28">
        <v>5.1447E-2</v>
      </c>
      <c r="L10" s="1"/>
      <c r="M10" s="1"/>
      <c r="N10" s="18"/>
    </row>
    <row r="11" spans="2:14" ht="15.75" customHeight="1" x14ac:dyDescent="0.25">
      <c r="B11" s="20"/>
      <c r="C11" s="7" t="s">
        <v>52</v>
      </c>
      <c r="D11" s="8"/>
      <c r="E11" s="12">
        <v>0.92491699999999999</v>
      </c>
      <c r="F11" s="1"/>
      <c r="G11" s="1"/>
      <c r="H11" s="1"/>
      <c r="I11" s="1"/>
      <c r="J11" s="24" t="s">
        <v>56</v>
      </c>
      <c r="K11" s="28">
        <v>0.92491699999999999</v>
      </c>
      <c r="L11" s="1"/>
      <c r="M11" s="1"/>
      <c r="N11" s="18"/>
    </row>
    <row r="12" spans="2:14" ht="15" customHeight="1" x14ac:dyDescent="0.25">
      <c r="B12" s="20"/>
      <c r="C12" s="5" t="s">
        <v>8</v>
      </c>
      <c r="D12" s="6"/>
      <c r="E12" s="11">
        <v>5.1447E-2</v>
      </c>
      <c r="F12" s="1"/>
      <c r="G12" s="1"/>
      <c r="H12" s="1"/>
      <c r="I12" s="1"/>
      <c r="J12" s="1"/>
      <c r="K12" s="1"/>
      <c r="L12" s="1"/>
      <c r="M12" s="1"/>
      <c r="N12" s="18"/>
    </row>
    <row r="13" spans="2:14" ht="15.75" customHeight="1" x14ac:dyDescent="0.25">
      <c r="B13" s="20"/>
      <c r="C13" s="7" t="s">
        <v>9</v>
      </c>
      <c r="D13" s="8"/>
      <c r="E13" s="12">
        <v>5.1447E-2</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10</v>
      </c>
      <c r="D15" s="8"/>
      <c r="E15" s="12">
        <v>2.3636000000000001E-2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11</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17</v>
      </c>
      <c r="H24" s="86"/>
      <c r="I24" s="86"/>
      <c r="J24" s="86"/>
      <c r="K24" s="86"/>
      <c r="L24" s="67">
        <v>32.468981368489615</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18</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5.75" thickBot="1" x14ac:dyDescent="0.3">
      <c r="B45" s="77" t="s">
        <v>264</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2580B-8D74-4C60-BAD9-CC705A06C673}">
  <dimension ref="B1:N45"/>
  <sheetViews>
    <sheetView showGridLines="0"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133</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134</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61</v>
      </c>
      <c r="D8" s="6" t="s">
        <v>194</v>
      </c>
      <c r="E8" s="11">
        <v>0.96225700000000003</v>
      </c>
      <c r="F8" s="1"/>
      <c r="G8" s="24" t="s">
        <v>15</v>
      </c>
      <c r="H8" s="25">
        <v>1</v>
      </c>
      <c r="I8" s="1"/>
      <c r="J8" s="24" t="s">
        <v>12</v>
      </c>
      <c r="K8" s="24" t="s">
        <v>5</v>
      </c>
      <c r="L8" s="1"/>
      <c r="M8" s="1"/>
      <c r="N8" s="18"/>
    </row>
    <row r="9" spans="2:14" ht="15" customHeight="1" x14ac:dyDescent="0.25">
      <c r="B9" s="20"/>
      <c r="C9" s="5" t="s">
        <v>60</v>
      </c>
      <c r="D9" s="6" t="s">
        <v>194</v>
      </c>
      <c r="E9" s="11">
        <v>5.5269999999999998E-3</v>
      </c>
      <c r="F9" s="1"/>
      <c r="G9" s="1"/>
      <c r="H9" s="1"/>
      <c r="I9" s="1"/>
      <c r="J9" s="24" t="s">
        <v>10</v>
      </c>
      <c r="K9" s="28">
        <v>2.9096E-2</v>
      </c>
      <c r="L9" s="1"/>
      <c r="M9" s="1"/>
      <c r="N9" s="18"/>
    </row>
    <row r="10" spans="2:14" ht="15" customHeight="1" x14ac:dyDescent="0.25">
      <c r="B10" s="20"/>
      <c r="C10" s="5" t="s">
        <v>115</v>
      </c>
      <c r="D10" s="6" t="s">
        <v>194</v>
      </c>
      <c r="E10" s="29">
        <v>2.9E-5</v>
      </c>
      <c r="F10" s="1"/>
      <c r="G10" s="1"/>
      <c r="H10" s="1"/>
      <c r="I10" s="1"/>
      <c r="J10" s="24" t="s">
        <v>13</v>
      </c>
      <c r="K10" s="28">
        <v>3.091E-3</v>
      </c>
      <c r="L10" s="1"/>
      <c r="M10" s="1"/>
      <c r="N10" s="18"/>
    </row>
    <row r="11" spans="2:14" ht="15.75" customHeight="1" x14ac:dyDescent="0.25">
      <c r="B11" s="20"/>
      <c r="C11" s="7" t="s">
        <v>52</v>
      </c>
      <c r="D11" s="8"/>
      <c r="E11" s="12">
        <v>0.96781300000000003</v>
      </c>
      <c r="F11" s="1"/>
      <c r="G11" s="1"/>
      <c r="H11" s="1"/>
      <c r="I11" s="1"/>
      <c r="J11" s="24" t="s">
        <v>56</v>
      </c>
      <c r="K11" s="28">
        <v>0.96781300000000003</v>
      </c>
      <c r="L11" s="1"/>
      <c r="M11" s="1"/>
      <c r="N11" s="18"/>
    </row>
    <row r="12" spans="2:14" ht="15" customHeight="1" x14ac:dyDescent="0.25">
      <c r="B12" s="20"/>
      <c r="C12" s="5" t="s">
        <v>8</v>
      </c>
      <c r="D12" s="6"/>
      <c r="E12" s="11">
        <v>3.091E-3</v>
      </c>
      <c r="F12" s="1"/>
      <c r="G12" s="1"/>
      <c r="H12" s="1"/>
      <c r="I12" s="1"/>
      <c r="J12" s="1"/>
      <c r="K12" s="1"/>
      <c r="L12" s="1"/>
      <c r="M12" s="1"/>
      <c r="N12" s="18"/>
    </row>
    <row r="13" spans="2:14" ht="15.75" customHeight="1" x14ac:dyDescent="0.25">
      <c r="B13" s="20"/>
      <c r="C13" s="7" t="s">
        <v>9</v>
      </c>
      <c r="D13" s="8"/>
      <c r="E13" s="12">
        <v>3.091E-3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10</v>
      </c>
      <c r="D15" s="8"/>
      <c r="E15" s="12">
        <v>2.9096E-2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11</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17</v>
      </c>
      <c r="H24" s="86"/>
      <c r="I24" s="86"/>
      <c r="J24" s="86"/>
      <c r="K24" s="86"/>
      <c r="L24" s="67">
        <v>28.949691180719732</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18</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5.75" thickBot="1" x14ac:dyDescent="0.3">
      <c r="B45" s="77" t="s">
        <v>264</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CDFF4-6671-4F68-89D5-403F7B39C6B7}">
  <dimension ref="B1:N45"/>
  <sheetViews>
    <sheetView showGridLines="0"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131</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132</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60</v>
      </c>
      <c r="D8" s="6" t="s">
        <v>194</v>
      </c>
      <c r="E8" s="11">
        <v>0.42823</v>
      </c>
      <c r="F8" s="1"/>
      <c r="G8" s="24" t="s">
        <v>15</v>
      </c>
      <c r="H8" s="25">
        <v>1</v>
      </c>
      <c r="I8" s="1"/>
      <c r="J8" s="24" t="s">
        <v>12</v>
      </c>
      <c r="K8" s="24" t="s">
        <v>5</v>
      </c>
      <c r="L8" s="1"/>
      <c r="M8" s="1"/>
      <c r="N8" s="18"/>
    </row>
    <row r="9" spans="2:14" ht="15" customHeight="1" x14ac:dyDescent="0.25">
      <c r="B9" s="20"/>
      <c r="C9" s="5" t="s">
        <v>49</v>
      </c>
      <c r="D9" s="6" t="s">
        <v>194</v>
      </c>
      <c r="E9" s="11">
        <v>0.34659299999999998</v>
      </c>
      <c r="F9" s="1"/>
      <c r="G9" s="1"/>
      <c r="H9" s="1"/>
      <c r="I9" s="1"/>
      <c r="J9" s="24" t="s">
        <v>10</v>
      </c>
      <c r="K9" s="28">
        <v>2.2742999999999999E-2</v>
      </c>
      <c r="L9" s="1"/>
      <c r="M9" s="1"/>
      <c r="N9" s="18"/>
    </row>
    <row r="10" spans="2:14" ht="15" customHeight="1" x14ac:dyDescent="0.25">
      <c r="B10" s="20"/>
      <c r="C10" s="5" t="s">
        <v>47</v>
      </c>
      <c r="D10" s="6" t="s">
        <v>194</v>
      </c>
      <c r="E10" s="11">
        <v>0.180148</v>
      </c>
      <c r="F10" s="1"/>
      <c r="G10" s="1"/>
      <c r="H10" s="1"/>
      <c r="I10" s="1"/>
      <c r="J10" s="24" t="s">
        <v>13</v>
      </c>
      <c r="K10" s="28">
        <v>1.355E-2</v>
      </c>
      <c r="L10" s="1"/>
      <c r="M10" s="1"/>
      <c r="N10" s="18"/>
    </row>
    <row r="11" spans="2:14" ht="15" customHeight="1" x14ac:dyDescent="0.25">
      <c r="B11" s="20"/>
      <c r="C11" s="5" t="s">
        <v>66</v>
      </c>
      <c r="D11" s="6" t="s">
        <v>194</v>
      </c>
      <c r="E11" s="11">
        <v>6.6220000000000003E-3</v>
      </c>
      <c r="F11" s="1"/>
      <c r="G11" s="1"/>
      <c r="H11" s="1"/>
      <c r="I11" s="1"/>
      <c r="J11" s="24" t="s">
        <v>56</v>
      </c>
      <c r="K11" s="28">
        <v>0.96370699999999998</v>
      </c>
      <c r="L11" s="1"/>
      <c r="M11" s="1"/>
      <c r="N11" s="18"/>
    </row>
    <row r="12" spans="2:14" ht="15" customHeight="1" x14ac:dyDescent="0.25">
      <c r="B12" s="20"/>
      <c r="C12" s="5" t="s">
        <v>115</v>
      </c>
      <c r="D12" s="6" t="s">
        <v>194</v>
      </c>
      <c r="E12" s="11">
        <v>2.114E-3</v>
      </c>
      <c r="F12" s="1"/>
      <c r="G12" s="1"/>
      <c r="H12" s="1"/>
      <c r="I12" s="1"/>
      <c r="J12" s="1"/>
      <c r="K12" s="1"/>
      <c r="L12" s="1"/>
      <c r="M12" s="1"/>
      <c r="N12" s="18"/>
    </row>
    <row r="13" spans="2:14" ht="15.75" customHeight="1" x14ac:dyDescent="0.25">
      <c r="B13" s="20"/>
      <c r="C13" s="7" t="s">
        <v>52</v>
      </c>
      <c r="D13" s="8"/>
      <c r="E13" s="12">
        <v>0.96370699999999998</v>
      </c>
      <c r="F13" s="1"/>
      <c r="G13" s="1"/>
      <c r="H13" s="1"/>
      <c r="I13" s="1"/>
      <c r="J13" s="1"/>
      <c r="K13" s="1"/>
      <c r="L13" s="1"/>
      <c r="M13" s="1"/>
      <c r="N13" s="18"/>
    </row>
    <row r="14" spans="2:14" ht="15" customHeight="1" x14ac:dyDescent="0.25">
      <c r="B14" s="20"/>
      <c r="C14" s="5" t="s">
        <v>8</v>
      </c>
      <c r="D14" s="6"/>
      <c r="E14" s="11">
        <v>1.355E-2</v>
      </c>
      <c r="F14" s="1"/>
      <c r="G14" s="1"/>
      <c r="H14" s="1"/>
      <c r="I14" s="1"/>
      <c r="J14" s="1"/>
      <c r="K14" s="1"/>
      <c r="L14" s="1"/>
      <c r="M14" s="1"/>
      <c r="N14" s="18"/>
    </row>
    <row r="15" spans="2:14" ht="15.75" customHeight="1" x14ac:dyDescent="0.25">
      <c r="B15" s="20"/>
      <c r="C15" s="7" t="s">
        <v>9</v>
      </c>
      <c r="D15" s="8"/>
      <c r="E15" s="12">
        <v>1.355E-2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10</v>
      </c>
      <c r="D17" s="8"/>
      <c r="E17" s="12">
        <v>2.2742999999999999E-2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11</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17</v>
      </c>
      <c r="H24" s="86"/>
      <c r="I24" s="86"/>
      <c r="J24" s="86"/>
      <c r="K24" s="86"/>
      <c r="L24" s="67">
        <v>10.026933058620504</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18</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5.75" thickBot="1" x14ac:dyDescent="0.3">
      <c r="B45" s="77" t="s">
        <v>264</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A07CC-6C33-47D8-9064-35A75E2D6FFB}">
  <dimension ref="B1:N45"/>
  <sheetViews>
    <sheetView showGridLines="0"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107</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108</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109</v>
      </c>
      <c r="D8" s="6" t="s">
        <v>194</v>
      </c>
      <c r="E8" s="11">
        <v>0.32190099999999999</v>
      </c>
      <c r="F8" s="1"/>
      <c r="G8" s="24" t="s">
        <v>15</v>
      </c>
      <c r="H8" s="25">
        <v>1</v>
      </c>
      <c r="I8" s="1"/>
      <c r="J8" s="24" t="s">
        <v>12</v>
      </c>
      <c r="K8" s="24" t="s">
        <v>5</v>
      </c>
      <c r="L8" s="1"/>
      <c r="M8" s="1"/>
      <c r="N8" s="18"/>
    </row>
    <row r="9" spans="2:14" ht="15" customHeight="1" x14ac:dyDescent="0.25">
      <c r="B9" s="20"/>
      <c r="C9" s="5" t="s">
        <v>76</v>
      </c>
      <c r="D9" s="6" t="s">
        <v>194</v>
      </c>
      <c r="E9" s="11">
        <v>0.31242300000000001</v>
      </c>
      <c r="F9" s="1"/>
      <c r="G9" s="1"/>
      <c r="H9" s="1"/>
      <c r="I9" s="1"/>
      <c r="J9" s="24" t="s">
        <v>10</v>
      </c>
      <c r="K9" s="28">
        <v>1.1469E-2</v>
      </c>
      <c r="L9" s="1"/>
      <c r="M9" s="1"/>
      <c r="N9" s="18"/>
    </row>
    <row r="10" spans="2:14" ht="15" customHeight="1" x14ac:dyDescent="0.25">
      <c r="B10" s="20"/>
      <c r="C10" s="5" t="s">
        <v>110</v>
      </c>
      <c r="D10" s="6" t="s">
        <v>194</v>
      </c>
      <c r="E10" s="11">
        <v>0.18541099999999999</v>
      </c>
      <c r="F10" s="1"/>
      <c r="G10" s="1"/>
      <c r="H10" s="1"/>
      <c r="I10" s="1"/>
      <c r="J10" s="24" t="s">
        <v>13</v>
      </c>
      <c r="K10" s="28">
        <v>4.8300000000000001E-3</v>
      </c>
      <c r="L10" s="1"/>
      <c r="M10" s="1"/>
      <c r="N10" s="18"/>
    </row>
    <row r="11" spans="2:14" ht="15" customHeight="1" x14ac:dyDescent="0.25">
      <c r="B11" s="20"/>
      <c r="C11" s="5" t="s">
        <v>111</v>
      </c>
      <c r="D11" s="6" t="s">
        <v>194</v>
      </c>
      <c r="E11" s="11">
        <v>0.101342</v>
      </c>
      <c r="F11" s="1"/>
      <c r="G11" s="1"/>
      <c r="H11" s="1"/>
      <c r="I11" s="1"/>
      <c r="J11" s="24" t="s">
        <v>56</v>
      </c>
      <c r="K11" s="28">
        <v>0.98370100000000005</v>
      </c>
      <c r="L11" s="1"/>
      <c r="M11" s="1"/>
      <c r="N11" s="18"/>
    </row>
    <row r="12" spans="2:14" ht="15" customHeight="1" x14ac:dyDescent="0.25">
      <c r="B12" s="20"/>
      <c r="C12" s="5" t="s">
        <v>112</v>
      </c>
      <c r="D12" s="6" t="s">
        <v>194</v>
      </c>
      <c r="E12" s="11">
        <v>6.2623999999999999E-2</v>
      </c>
      <c r="F12" s="1"/>
      <c r="G12" s="1"/>
      <c r="H12" s="1"/>
      <c r="I12" s="1"/>
      <c r="J12" s="1"/>
      <c r="K12" s="1"/>
      <c r="L12" s="1"/>
      <c r="M12" s="1"/>
      <c r="N12" s="18"/>
    </row>
    <row r="13" spans="2:14" ht="15.75" customHeight="1" x14ac:dyDescent="0.25">
      <c r="B13" s="20"/>
      <c r="C13" s="7" t="s">
        <v>52</v>
      </c>
      <c r="D13" s="8"/>
      <c r="E13" s="12">
        <v>0.98370100000000005</v>
      </c>
      <c r="F13" s="1"/>
      <c r="G13" s="1"/>
      <c r="H13" s="1"/>
      <c r="I13" s="1"/>
      <c r="J13" s="1"/>
      <c r="K13" s="1"/>
      <c r="L13" s="1"/>
      <c r="M13" s="1"/>
      <c r="N13" s="18"/>
    </row>
    <row r="14" spans="2:14" ht="15" customHeight="1" x14ac:dyDescent="0.25">
      <c r="B14" s="20"/>
      <c r="C14" s="5" t="s">
        <v>8</v>
      </c>
      <c r="D14" s="6"/>
      <c r="E14" s="11">
        <v>4.8300000000000001E-3</v>
      </c>
      <c r="F14" s="1"/>
      <c r="G14" s="1"/>
      <c r="H14" s="1"/>
      <c r="I14" s="1"/>
      <c r="J14" s="1"/>
      <c r="K14" s="1"/>
      <c r="L14" s="1"/>
      <c r="M14" s="1"/>
      <c r="N14" s="18"/>
    </row>
    <row r="15" spans="2:14" ht="15.75" customHeight="1" x14ac:dyDescent="0.25">
      <c r="B15" s="20"/>
      <c r="C15" s="7" t="s">
        <v>9</v>
      </c>
      <c r="D15" s="8"/>
      <c r="E15" s="12">
        <v>4.8300000000000001E-3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10</v>
      </c>
      <c r="D17" s="8"/>
      <c r="E17" s="12">
        <v>1.1469E-2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11</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17</v>
      </c>
      <c r="H24" s="86"/>
      <c r="I24" s="86"/>
      <c r="J24" s="86"/>
      <c r="K24" s="86"/>
      <c r="L24" s="67">
        <v>1.7703567518380094</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18</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2" customHeight="1" thickBot="1" x14ac:dyDescent="0.3">
      <c r="B45" s="77" t="s">
        <v>264</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5323D-595C-4D7B-9E57-E3DE4CFFC288}">
  <dimension ref="B1:N45"/>
  <sheetViews>
    <sheetView showGridLines="0"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121</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122</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117</v>
      </c>
      <c r="D8" s="6" t="s">
        <v>194</v>
      </c>
      <c r="E8" s="11">
        <v>0.76765700000000003</v>
      </c>
      <c r="F8" s="1"/>
      <c r="G8" s="24" t="s">
        <v>15</v>
      </c>
      <c r="H8" s="25">
        <v>1</v>
      </c>
      <c r="I8" s="1"/>
      <c r="J8" s="24" t="s">
        <v>12</v>
      </c>
      <c r="K8" s="24" t="s">
        <v>5</v>
      </c>
      <c r="L8" s="1"/>
      <c r="M8" s="1"/>
      <c r="N8" s="18"/>
    </row>
    <row r="9" spans="2:14" ht="15" customHeight="1" x14ac:dyDescent="0.25">
      <c r="B9" s="20"/>
      <c r="C9" s="5" t="s">
        <v>62</v>
      </c>
      <c r="D9" s="6" t="s">
        <v>194</v>
      </c>
      <c r="E9" s="11">
        <v>0.100801</v>
      </c>
      <c r="F9" s="1"/>
      <c r="G9" s="1"/>
      <c r="H9" s="1"/>
      <c r="I9" s="1"/>
      <c r="J9" s="24" t="s">
        <v>10</v>
      </c>
      <c r="K9" s="28">
        <v>2.7685000000000001E-2</v>
      </c>
      <c r="L9" s="1"/>
      <c r="M9" s="1"/>
      <c r="N9" s="18"/>
    </row>
    <row r="10" spans="2:14" ht="15" customHeight="1" x14ac:dyDescent="0.25">
      <c r="B10" s="20"/>
      <c r="C10" s="5" t="s">
        <v>66</v>
      </c>
      <c r="D10" s="6" t="s">
        <v>194</v>
      </c>
      <c r="E10" s="11">
        <v>9.8456000000000002E-2</v>
      </c>
      <c r="F10" s="1"/>
      <c r="G10" s="1"/>
      <c r="H10" s="1"/>
      <c r="I10" s="1"/>
      <c r="J10" s="24" t="s">
        <v>13</v>
      </c>
      <c r="K10" s="28">
        <v>5.4010000000000004E-3</v>
      </c>
      <c r="L10" s="1"/>
      <c r="M10" s="1"/>
      <c r="N10" s="18"/>
    </row>
    <row r="11" spans="2:14" ht="15.75" customHeight="1" x14ac:dyDescent="0.25">
      <c r="B11" s="20"/>
      <c r="C11" s="7" t="s">
        <v>52</v>
      </c>
      <c r="D11" s="8"/>
      <c r="E11" s="12">
        <v>0.96691400000000005</v>
      </c>
      <c r="F11" s="1"/>
      <c r="G11" s="1"/>
      <c r="H11" s="1"/>
      <c r="I11" s="1"/>
      <c r="J11" s="24" t="s">
        <v>56</v>
      </c>
      <c r="K11" s="28">
        <v>0.96691400000000005</v>
      </c>
      <c r="L11" s="1"/>
      <c r="M11" s="1"/>
      <c r="N11" s="18"/>
    </row>
    <row r="12" spans="2:14" ht="15" customHeight="1" x14ac:dyDescent="0.25">
      <c r="B12" s="20"/>
      <c r="C12" s="5" t="s">
        <v>8</v>
      </c>
      <c r="D12" s="6"/>
      <c r="E12" s="11">
        <v>5.4010000000000004E-3</v>
      </c>
      <c r="F12" s="1"/>
      <c r="G12" s="1"/>
      <c r="H12" s="1"/>
      <c r="I12" s="1"/>
      <c r="J12" s="1"/>
      <c r="K12" s="1"/>
      <c r="L12" s="1"/>
      <c r="M12" s="1"/>
      <c r="N12" s="18"/>
    </row>
    <row r="13" spans="2:14" ht="15.75" customHeight="1" x14ac:dyDescent="0.25">
      <c r="B13" s="20"/>
      <c r="C13" s="7" t="s">
        <v>9</v>
      </c>
      <c r="D13" s="8"/>
      <c r="E13" s="12">
        <v>5.4010000000000004E-3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10</v>
      </c>
      <c r="D15" s="8"/>
      <c r="E15" s="12">
        <v>2.7685000000000001E-2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11</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17</v>
      </c>
      <c r="H24" s="86"/>
      <c r="I24" s="86"/>
      <c r="J24" s="86"/>
      <c r="K24" s="86"/>
      <c r="L24" s="67">
        <v>2.994037911910139</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18</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2" customHeight="1" thickBot="1" x14ac:dyDescent="0.3">
      <c r="B45" s="77" t="s">
        <v>264</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26561-0240-48D0-810F-942C9C96DD23}">
  <dimension ref="B1:N45"/>
  <sheetViews>
    <sheetView showGridLines="0"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113</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114</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115</v>
      </c>
      <c r="D8" s="6" t="s">
        <v>194</v>
      </c>
      <c r="E8" s="11">
        <v>0.59946900000000003</v>
      </c>
      <c r="F8" s="1"/>
      <c r="G8" s="24" t="s">
        <v>15</v>
      </c>
      <c r="H8" s="25">
        <v>1</v>
      </c>
      <c r="I8" s="1"/>
      <c r="J8" s="24" t="s">
        <v>12</v>
      </c>
      <c r="K8" s="24" t="s">
        <v>5</v>
      </c>
      <c r="L8" s="1"/>
      <c r="M8" s="1"/>
      <c r="N8" s="18"/>
    </row>
    <row r="9" spans="2:14" ht="15" customHeight="1" x14ac:dyDescent="0.25">
      <c r="B9" s="20"/>
      <c r="C9" s="5" t="s">
        <v>116</v>
      </c>
      <c r="D9" s="6" t="s">
        <v>194</v>
      </c>
      <c r="E9" s="11">
        <v>0.28020400000000001</v>
      </c>
      <c r="F9" s="1"/>
      <c r="G9" s="1"/>
      <c r="H9" s="1"/>
      <c r="I9" s="1"/>
      <c r="J9" s="24" t="s">
        <v>10</v>
      </c>
      <c r="K9" s="28">
        <v>2.4160999999999998E-2</v>
      </c>
      <c r="L9" s="1"/>
      <c r="M9" s="1"/>
      <c r="N9" s="18"/>
    </row>
    <row r="10" spans="2:14" ht="15" customHeight="1" x14ac:dyDescent="0.25">
      <c r="B10" s="20"/>
      <c r="C10" s="5" t="s">
        <v>117</v>
      </c>
      <c r="D10" s="6" t="s">
        <v>194</v>
      </c>
      <c r="E10" s="11">
        <v>9.0114E-2</v>
      </c>
      <c r="F10" s="1"/>
      <c r="G10" s="1"/>
      <c r="H10" s="1"/>
      <c r="I10" s="1"/>
      <c r="J10" s="24" t="s">
        <v>13</v>
      </c>
      <c r="K10" s="28">
        <v>6.0520000000000001E-3</v>
      </c>
      <c r="L10" s="1"/>
      <c r="M10" s="1"/>
      <c r="N10" s="18"/>
    </row>
    <row r="11" spans="2:14" ht="15.75" customHeight="1" x14ac:dyDescent="0.25">
      <c r="B11" s="20"/>
      <c r="C11" s="7" t="s">
        <v>52</v>
      </c>
      <c r="D11" s="8"/>
      <c r="E11" s="12">
        <v>0.96978699999999995</v>
      </c>
      <c r="F11" s="1"/>
      <c r="G11" s="1"/>
      <c r="H11" s="1"/>
      <c r="I11" s="1"/>
      <c r="J11" s="24" t="s">
        <v>56</v>
      </c>
      <c r="K11" s="28">
        <v>0.96978699999999995</v>
      </c>
      <c r="L11" s="1"/>
      <c r="M11" s="1"/>
      <c r="N11" s="18"/>
    </row>
    <row r="12" spans="2:14" ht="15" customHeight="1" x14ac:dyDescent="0.25">
      <c r="B12" s="20"/>
      <c r="C12" s="5" t="s">
        <v>8</v>
      </c>
      <c r="D12" s="6"/>
      <c r="E12" s="11">
        <v>6.0520000000000001E-3</v>
      </c>
      <c r="F12" s="1"/>
      <c r="G12" s="1"/>
      <c r="H12" s="1"/>
      <c r="I12" s="1"/>
      <c r="J12" s="1"/>
      <c r="K12" s="1"/>
      <c r="L12" s="1"/>
      <c r="M12" s="1"/>
      <c r="N12" s="18"/>
    </row>
    <row r="13" spans="2:14" ht="15.75" customHeight="1" x14ac:dyDescent="0.25">
      <c r="B13" s="20"/>
      <c r="C13" s="7" t="s">
        <v>9</v>
      </c>
      <c r="D13" s="8"/>
      <c r="E13" s="12">
        <v>6.0520000000000001E-3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10</v>
      </c>
      <c r="D15" s="8"/>
      <c r="E15" s="12">
        <v>2.4160999999999998E-2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11</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17</v>
      </c>
      <c r="H24" s="86"/>
      <c r="I24" s="86"/>
      <c r="J24" s="86"/>
      <c r="K24" s="86"/>
      <c r="L24" s="67">
        <v>3.4505321748772624</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18</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2" customHeight="1" thickBot="1" x14ac:dyDescent="0.3">
      <c r="B45" s="77" t="s">
        <v>264</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F1DBB-88A2-42EB-871F-A9513EC87B8D}">
  <dimension ref="B1:N45"/>
  <sheetViews>
    <sheetView showGridLines="0" zoomScale="75" zoomScaleNormal="75" workbookViewId="0"/>
  </sheetViews>
  <sheetFormatPr defaultRowHeight="15" x14ac:dyDescent="0.25"/>
  <cols>
    <col min="1" max="1" width="2.85546875" customWidth="1"/>
    <col min="2" max="2" width="3.85546875" customWidth="1"/>
    <col min="3" max="3" width="46.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118</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119</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49</v>
      </c>
      <c r="D8" s="6" t="s">
        <v>194</v>
      </c>
      <c r="E8" s="11">
        <v>0.76209099999999996</v>
      </c>
      <c r="F8" s="1"/>
      <c r="G8" s="24" t="s">
        <v>15</v>
      </c>
      <c r="H8" s="25">
        <v>1</v>
      </c>
      <c r="I8" s="1"/>
      <c r="J8" s="24" t="s">
        <v>12</v>
      </c>
      <c r="K8" s="24" t="s">
        <v>5</v>
      </c>
      <c r="L8" s="1"/>
      <c r="M8" s="1"/>
      <c r="N8" s="18"/>
    </row>
    <row r="9" spans="2:14" ht="15" customHeight="1" x14ac:dyDescent="0.25">
      <c r="B9" s="20"/>
      <c r="C9" s="5" t="s">
        <v>102</v>
      </c>
      <c r="D9" s="6" t="s">
        <v>194</v>
      </c>
      <c r="E9" s="11">
        <v>0.20693400000000001</v>
      </c>
      <c r="F9" s="1"/>
      <c r="G9" s="1"/>
      <c r="H9" s="1"/>
      <c r="I9" s="1"/>
      <c r="J9" s="24" t="s">
        <v>10</v>
      </c>
      <c r="K9" s="28">
        <v>2.4118000000000001E-2</v>
      </c>
      <c r="L9" s="1"/>
      <c r="M9" s="1"/>
      <c r="N9" s="18"/>
    </row>
    <row r="10" spans="2:14" ht="15.75" customHeight="1" x14ac:dyDescent="0.25">
      <c r="B10" s="20"/>
      <c r="C10" s="7" t="s">
        <v>52</v>
      </c>
      <c r="D10" s="8"/>
      <c r="E10" s="12">
        <v>0.96902500000000003</v>
      </c>
      <c r="F10" s="1"/>
      <c r="G10" s="1"/>
      <c r="H10" s="1"/>
      <c r="I10" s="1"/>
      <c r="J10" s="24" t="s">
        <v>13</v>
      </c>
      <c r="K10" s="28">
        <v>6.8570000000000002E-3</v>
      </c>
      <c r="L10" s="1"/>
      <c r="M10" s="1"/>
      <c r="N10" s="18"/>
    </row>
    <row r="11" spans="2:14" ht="15" customHeight="1" x14ac:dyDescent="0.25">
      <c r="B11" s="20"/>
      <c r="C11" s="5" t="s">
        <v>8</v>
      </c>
      <c r="D11" s="6"/>
      <c r="E11" s="11">
        <v>6.8570000000000002E-3</v>
      </c>
      <c r="F11" s="1"/>
      <c r="G11" s="1"/>
      <c r="H11" s="1"/>
      <c r="I11" s="1"/>
      <c r="J11" s="24" t="s">
        <v>56</v>
      </c>
      <c r="K11" s="28">
        <v>0.96902500000000003</v>
      </c>
      <c r="L11" s="1"/>
      <c r="M11" s="1"/>
      <c r="N11" s="18"/>
    </row>
    <row r="12" spans="2:14" ht="15.75" customHeight="1" x14ac:dyDescent="0.25">
      <c r="B12" s="20"/>
      <c r="C12" s="7" t="s">
        <v>9</v>
      </c>
      <c r="D12" s="8"/>
      <c r="E12" s="12">
        <v>6.8570000000000002E-3</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10</v>
      </c>
      <c r="D14" s="8"/>
      <c r="E14" s="12">
        <v>2.4118000000000001E-2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11</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17</v>
      </c>
      <c r="H24" s="86"/>
      <c r="I24" s="86"/>
      <c r="J24" s="86"/>
      <c r="K24" s="86"/>
      <c r="L24" s="67">
        <v>7.4747867930186018</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18</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2" customHeight="1" thickBot="1" x14ac:dyDescent="0.3">
      <c r="B45" s="77" t="s">
        <v>264</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EC7A6-37EE-44E6-8EEA-8A3FB8B72BC4}">
  <dimension ref="B1:N45"/>
  <sheetViews>
    <sheetView showGridLines="0" zoomScale="75" zoomScaleNormal="75" workbookViewId="0"/>
  </sheetViews>
  <sheetFormatPr defaultRowHeight="15" x14ac:dyDescent="0.25"/>
  <cols>
    <col min="1" max="1" width="2.85546875" customWidth="1"/>
    <col min="2" max="2" width="3.85546875" customWidth="1"/>
    <col min="3" max="3" width="50.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103</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104</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105</v>
      </c>
      <c r="D8" s="6" t="s">
        <v>194</v>
      </c>
      <c r="E8" s="11">
        <v>0.127223</v>
      </c>
      <c r="F8" s="1"/>
      <c r="G8" s="24" t="s">
        <v>15</v>
      </c>
      <c r="H8" s="25">
        <v>1</v>
      </c>
      <c r="I8" s="1"/>
      <c r="J8" s="24" t="s">
        <v>12</v>
      </c>
      <c r="K8" s="24" t="s">
        <v>5</v>
      </c>
      <c r="L8" s="1"/>
      <c r="M8" s="1"/>
      <c r="N8" s="18"/>
    </row>
    <row r="9" spans="2:14" ht="15.75" customHeight="1" x14ac:dyDescent="0.25">
      <c r="B9" s="20"/>
      <c r="C9" s="7" t="s">
        <v>52</v>
      </c>
      <c r="D9" s="8"/>
      <c r="E9" s="12">
        <v>0.127223</v>
      </c>
      <c r="F9" s="1"/>
      <c r="G9" s="1"/>
      <c r="H9" s="1"/>
      <c r="I9" s="1"/>
      <c r="J9" s="24" t="s">
        <v>10</v>
      </c>
      <c r="K9" s="28">
        <v>1.1143999999999999E-2</v>
      </c>
      <c r="L9" s="1"/>
      <c r="M9" s="1"/>
      <c r="N9" s="18"/>
    </row>
    <row r="10" spans="2:14" ht="15" customHeight="1" x14ac:dyDescent="0.25">
      <c r="B10" s="20"/>
      <c r="C10" s="5" t="s">
        <v>220</v>
      </c>
      <c r="D10" s="6" t="s">
        <v>194</v>
      </c>
      <c r="E10" s="11">
        <v>0.15355199999999999</v>
      </c>
      <c r="F10" s="1"/>
      <c r="G10" s="1"/>
      <c r="H10" s="1"/>
      <c r="I10" s="1"/>
      <c r="J10" s="24" t="s">
        <v>13</v>
      </c>
      <c r="K10" s="28">
        <v>3.2524999999999998E-2</v>
      </c>
      <c r="L10" s="1"/>
      <c r="M10" s="1"/>
      <c r="N10" s="18"/>
    </row>
    <row r="11" spans="2:14" ht="15.75" customHeight="1" x14ac:dyDescent="0.25">
      <c r="B11" s="20"/>
      <c r="C11" s="5" t="s">
        <v>215</v>
      </c>
      <c r="D11" s="6" t="s">
        <v>194</v>
      </c>
      <c r="E11" s="11">
        <v>0.128109</v>
      </c>
      <c r="F11" s="1"/>
      <c r="G11" s="1"/>
      <c r="H11" s="1"/>
      <c r="I11" s="1"/>
      <c r="J11" s="24" t="s">
        <v>56</v>
      </c>
      <c r="K11" s="28">
        <v>0.127223</v>
      </c>
      <c r="L11" s="1"/>
      <c r="M11" s="1"/>
      <c r="N11" s="18"/>
    </row>
    <row r="12" spans="2:14" ht="15" customHeight="1" x14ac:dyDescent="0.25">
      <c r="B12" s="20"/>
      <c r="C12" s="5" t="s">
        <v>217</v>
      </c>
      <c r="D12" s="6" t="s">
        <v>194</v>
      </c>
      <c r="E12" s="11">
        <v>8.7417999999999996E-2</v>
      </c>
      <c r="F12" s="1"/>
      <c r="G12" s="1"/>
      <c r="H12" s="1"/>
      <c r="I12" s="1"/>
      <c r="J12" s="24" t="s">
        <v>57</v>
      </c>
      <c r="K12" s="28">
        <v>0.82910799999999996</v>
      </c>
      <c r="L12" s="1"/>
      <c r="M12" s="1"/>
      <c r="N12" s="18"/>
    </row>
    <row r="13" spans="2:14" ht="15.75" customHeight="1" x14ac:dyDescent="0.25">
      <c r="B13" s="20"/>
      <c r="C13" s="5" t="s">
        <v>223</v>
      </c>
      <c r="D13" s="6" t="s">
        <v>194</v>
      </c>
      <c r="E13" s="11">
        <v>5.3616999999999998E-2</v>
      </c>
      <c r="F13" s="1"/>
      <c r="G13" s="1"/>
      <c r="H13" s="1"/>
      <c r="I13" s="1"/>
      <c r="J13" s="1"/>
      <c r="K13" s="1"/>
      <c r="L13" s="1"/>
      <c r="M13" s="1"/>
      <c r="N13" s="18"/>
    </row>
    <row r="14" spans="2:14" ht="15" customHeight="1" x14ac:dyDescent="0.25">
      <c r="B14" s="20"/>
      <c r="C14" s="5" t="s">
        <v>228</v>
      </c>
      <c r="D14" s="6" t="s">
        <v>194</v>
      </c>
      <c r="E14" s="11">
        <v>4.3851000000000001E-2</v>
      </c>
      <c r="F14" s="1"/>
      <c r="G14" s="1"/>
      <c r="H14" s="1"/>
      <c r="I14" s="1"/>
      <c r="J14" s="1"/>
      <c r="K14" s="1"/>
      <c r="L14" s="1"/>
      <c r="M14" s="1"/>
      <c r="N14" s="18"/>
    </row>
    <row r="15" spans="2:14" ht="15.75" customHeight="1" x14ac:dyDescent="0.25">
      <c r="B15" s="20"/>
      <c r="C15" s="5" t="s">
        <v>213</v>
      </c>
      <c r="D15" s="6" t="s">
        <v>194</v>
      </c>
      <c r="E15" s="11">
        <v>4.3548000000000003E-2</v>
      </c>
      <c r="F15" s="1"/>
      <c r="G15" s="1"/>
      <c r="H15" s="1"/>
      <c r="I15" s="1"/>
      <c r="J15" s="1"/>
      <c r="K15" s="1"/>
      <c r="L15" s="1"/>
      <c r="M15" s="1"/>
      <c r="N15" s="18"/>
    </row>
    <row r="16" spans="2:14" ht="15" customHeight="1" x14ac:dyDescent="0.25">
      <c r="B16" s="20"/>
      <c r="C16" s="5" t="s">
        <v>218</v>
      </c>
      <c r="D16" s="6" t="s">
        <v>194</v>
      </c>
      <c r="E16" s="11">
        <v>4.3499999999999997E-2</v>
      </c>
      <c r="F16" s="1"/>
      <c r="G16" s="1"/>
      <c r="H16" s="1"/>
      <c r="I16" s="1"/>
      <c r="J16" s="1"/>
      <c r="K16" s="1"/>
      <c r="L16" s="1"/>
      <c r="M16" s="1"/>
      <c r="N16" s="18"/>
    </row>
    <row r="17" spans="2:14" ht="15" customHeight="1" x14ac:dyDescent="0.25">
      <c r="B17" s="20"/>
      <c r="C17" s="5" t="s">
        <v>212</v>
      </c>
      <c r="D17" s="6" t="s">
        <v>194</v>
      </c>
      <c r="E17" s="11">
        <v>4.3396999999999998E-2</v>
      </c>
      <c r="F17" s="1"/>
      <c r="G17" s="1"/>
      <c r="H17" s="1"/>
      <c r="I17" s="1"/>
      <c r="J17" s="1"/>
      <c r="K17" s="1"/>
      <c r="L17" s="1"/>
      <c r="M17" s="1"/>
      <c r="N17" s="18"/>
    </row>
    <row r="18" spans="2:14" ht="15" customHeight="1" x14ac:dyDescent="0.25">
      <c r="B18" s="20"/>
      <c r="C18" s="5" t="s">
        <v>219</v>
      </c>
      <c r="D18" s="6" t="s">
        <v>194</v>
      </c>
      <c r="E18" s="11">
        <v>3.5564999999999999E-2</v>
      </c>
      <c r="F18" s="1"/>
      <c r="G18" s="1"/>
      <c r="H18" s="1"/>
      <c r="I18" s="1"/>
      <c r="J18" s="1"/>
      <c r="K18" s="1"/>
      <c r="L18" s="1"/>
      <c r="M18" s="1"/>
      <c r="N18" s="18"/>
    </row>
    <row r="19" spans="2:14" ht="15" customHeight="1" x14ac:dyDescent="0.25">
      <c r="B19" s="20"/>
      <c r="C19" s="5" t="s">
        <v>224</v>
      </c>
      <c r="D19" s="6" t="s">
        <v>194</v>
      </c>
      <c r="E19" s="11">
        <v>3.5299999999999998E-2</v>
      </c>
      <c r="F19" s="1"/>
      <c r="G19" s="1"/>
      <c r="H19" s="1"/>
      <c r="I19" s="1"/>
      <c r="J19" s="1"/>
      <c r="K19" s="1"/>
      <c r="L19" s="1"/>
      <c r="M19" s="1"/>
      <c r="N19" s="18"/>
    </row>
    <row r="20" spans="2:14" ht="15" customHeight="1" x14ac:dyDescent="0.25">
      <c r="B20" s="20"/>
      <c r="C20" s="5" t="s">
        <v>221</v>
      </c>
      <c r="D20" s="6" t="s">
        <v>194</v>
      </c>
      <c r="E20" s="11">
        <v>3.5085999999999999E-2</v>
      </c>
      <c r="F20" s="1"/>
      <c r="G20" s="1"/>
      <c r="H20" s="1"/>
      <c r="I20" s="1"/>
      <c r="J20" s="1"/>
      <c r="K20" s="1"/>
      <c r="L20" s="1"/>
      <c r="M20" s="1"/>
      <c r="N20" s="18"/>
    </row>
    <row r="21" spans="2:14" ht="15" customHeight="1" x14ac:dyDescent="0.25">
      <c r="B21" s="20"/>
      <c r="C21" s="5" t="s">
        <v>198</v>
      </c>
      <c r="D21" s="6" t="s">
        <v>194</v>
      </c>
      <c r="E21" s="11">
        <v>3.0585999999999999E-2</v>
      </c>
      <c r="F21" s="1"/>
      <c r="G21" s="1"/>
      <c r="H21" s="1"/>
      <c r="I21" s="1"/>
      <c r="J21" s="1"/>
      <c r="K21" s="1"/>
      <c r="L21" s="1"/>
      <c r="M21" s="1"/>
      <c r="N21" s="18"/>
    </row>
    <row r="22" spans="2:14" ht="15" customHeight="1" x14ac:dyDescent="0.25">
      <c r="B22" s="20"/>
      <c r="C22" s="5" t="s">
        <v>222</v>
      </c>
      <c r="D22" s="6" t="s">
        <v>194</v>
      </c>
      <c r="E22" s="11">
        <v>2.988E-2</v>
      </c>
      <c r="F22" s="1"/>
      <c r="G22" s="1"/>
      <c r="H22" s="1"/>
      <c r="I22" s="1"/>
      <c r="J22" s="1"/>
      <c r="K22" s="1"/>
      <c r="L22" s="1"/>
      <c r="M22" s="1"/>
      <c r="N22" s="18"/>
    </row>
    <row r="23" spans="2:14" ht="15" customHeight="1" x14ac:dyDescent="0.25">
      <c r="B23" s="20"/>
      <c r="C23" s="5" t="s">
        <v>211</v>
      </c>
      <c r="D23" s="6" t="s">
        <v>194</v>
      </c>
      <c r="E23" s="11">
        <v>2.1534999999999999E-2</v>
      </c>
      <c r="F23" s="1"/>
      <c r="G23" s="1"/>
      <c r="H23" s="1"/>
      <c r="I23" s="1"/>
      <c r="J23" s="1"/>
      <c r="K23" s="1"/>
      <c r="L23" s="1"/>
      <c r="M23" s="1"/>
      <c r="N23" s="18"/>
    </row>
    <row r="24" spans="2:14" ht="15" customHeight="1" x14ac:dyDescent="0.25">
      <c r="B24" s="20"/>
      <c r="C24" s="5" t="s">
        <v>226</v>
      </c>
      <c r="D24" s="6" t="s">
        <v>194</v>
      </c>
      <c r="E24" s="11">
        <v>1.7394E-2</v>
      </c>
      <c r="F24" s="1"/>
      <c r="G24" s="85" t="s">
        <v>17</v>
      </c>
      <c r="H24" s="86"/>
      <c r="I24" s="86"/>
      <c r="J24" s="86"/>
      <c r="K24" s="86"/>
      <c r="L24" s="67">
        <v>2.2616937282209859</v>
      </c>
      <c r="M24" s="26"/>
      <c r="N24" s="27"/>
    </row>
    <row r="25" spans="2:14" ht="15" customHeight="1" x14ac:dyDescent="0.25">
      <c r="B25" s="20"/>
      <c r="C25" s="5" t="s">
        <v>225</v>
      </c>
      <c r="D25" s="6" t="s">
        <v>194</v>
      </c>
      <c r="E25" s="11">
        <v>8.6999999999999994E-3</v>
      </c>
      <c r="F25" s="1"/>
      <c r="G25" s="1"/>
      <c r="H25" s="1"/>
      <c r="I25" s="1"/>
      <c r="J25" s="1"/>
      <c r="K25" s="1"/>
      <c r="L25" s="1"/>
      <c r="M25" s="1"/>
      <c r="N25" s="18"/>
    </row>
    <row r="26" spans="2:14" ht="15" customHeight="1" x14ac:dyDescent="0.25">
      <c r="B26" s="20"/>
      <c r="C26" s="5" t="s">
        <v>227</v>
      </c>
      <c r="D26" s="6" t="s">
        <v>194</v>
      </c>
      <c r="E26" s="11">
        <v>8.6940000000000003E-3</v>
      </c>
      <c r="F26" s="1"/>
      <c r="G26" s="85" t="s">
        <v>18</v>
      </c>
      <c r="H26" s="86"/>
      <c r="I26" s="86"/>
      <c r="J26" s="86"/>
      <c r="K26" s="86"/>
      <c r="L26" s="86"/>
      <c r="M26" s="86"/>
      <c r="N26" s="87"/>
    </row>
    <row r="27" spans="2:14" ht="15" customHeight="1" x14ac:dyDescent="0.25">
      <c r="B27" s="20"/>
      <c r="C27" s="5" t="s">
        <v>216</v>
      </c>
      <c r="D27" s="6" t="s">
        <v>194</v>
      </c>
      <c r="E27" s="11">
        <v>5.0590000000000001E-3</v>
      </c>
      <c r="F27" s="1"/>
      <c r="G27" s="1"/>
      <c r="H27" s="1"/>
      <c r="I27" s="1"/>
      <c r="J27" s="1"/>
      <c r="K27" s="1"/>
      <c r="L27" s="1"/>
      <c r="M27" s="1"/>
      <c r="N27" s="18"/>
    </row>
    <row r="28" spans="2:14" ht="15" customHeight="1" x14ac:dyDescent="0.25">
      <c r="B28" s="20"/>
      <c r="C28" s="5" t="s">
        <v>214</v>
      </c>
      <c r="D28" s="6" t="s">
        <v>194</v>
      </c>
      <c r="E28" s="11">
        <v>4.3169999999999997E-3</v>
      </c>
      <c r="F28" s="1"/>
      <c r="G28" s="1"/>
      <c r="H28" s="1"/>
      <c r="I28" s="1"/>
      <c r="J28" s="1"/>
      <c r="K28" s="1"/>
      <c r="L28" s="1"/>
      <c r="M28" s="1"/>
      <c r="N28" s="18"/>
    </row>
    <row r="29" spans="2:14" ht="15" customHeight="1" x14ac:dyDescent="0.25">
      <c r="B29" s="20"/>
      <c r="C29" s="7" t="s">
        <v>53</v>
      </c>
      <c r="D29" s="8"/>
      <c r="E29" s="12">
        <v>0.82910799999999996</v>
      </c>
      <c r="F29" s="1"/>
      <c r="G29" s="1"/>
      <c r="H29" s="1"/>
      <c r="I29" s="1"/>
      <c r="J29" s="1"/>
      <c r="K29" s="1"/>
      <c r="L29" s="1"/>
      <c r="M29" s="1"/>
      <c r="N29" s="18"/>
    </row>
    <row r="30" spans="2:14" ht="15" customHeight="1" x14ac:dyDescent="0.25">
      <c r="B30" s="20"/>
      <c r="C30" s="5" t="s">
        <v>8</v>
      </c>
      <c r="D30" s="6"/>
      <c r="E30" s="11">
        <v>3.2524999999999998E-2</v>
      </c>
      <c r="F30" s="1"/>
      <c r="G30" s="1"/>
      <c r="H30" s="1"/>
      <c r="I30" s="1"/>
      <c r="J30" s="1"/>
      <c r="K30" s="1"/>
      <c r="L30" s="1"/>
      <c r="M30" s="1"/>
      <c r="N30" s="18"/>
    </row>
    <row r="31" spans="2:14" ht="15" customHeight="1" x14ac:dyDescent="0.25">
      <c r="B31" s="20"/>
      <c r="C31" s="7" t="s">
        <v>9</v>
      </c>
      <c r="D31" s="8"/>
      <c r="E31" s="12">
        <v>3.2524999999999998E-2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7" t="s">
        <v>10</v>
      </c>
      <c r="D33" s="8"/>
      <c r="E33" s="12">
        <v>1.1143999999999999E-2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 customHeight="1" x14ac:dyDescent="0.25">
      <c r="B35" s="20"/>
      <c r="C35" s="9" t="s">
        <v>11</v>
      </c>
      <c r="D35" s="10"/>
      <c r="E35" s="13">
        <v>1</v>
      </c>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1.5" customHeight="1" thickBot="1" x14ac:dyDescent="0.3">
      <c r="B45" s="77" t="s">
        <v>264</v>
      </c>
      <c r="C45" s="78"/>
      <c r="D45" s="78"/>
      <c r="E45" s="78"/>
      <c r="F45" s="78"/>
      <c r="G45" s="78"/>
      <c r="H45" s="78"/>
      <c r="I45" s="78"/>
      <c r="J45" s="78"/>
      <c r="K45" s="78"/>
      <c r="L45" s="78"/>
      <c r="M45" s="78"/>
      <c r="N45" s="79"/>
    </row>
  </sheetData>
  <sortState ref="C10:E28">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DA7BD-3A1B-44EB-9A36-9AE8275E090A}">
  <dimension ref="B1:N45"/>
  <sheetViews>
    <sheetView showGridLines="0" zoomScale="75" zoomScaleNormal="75" workbookViewId="0">
      <selection activeCell="K9" sqref="K9"/>
    </sheetView>
  </sheetViews>
  <sheetFormatPr defaultRowHeight="15" x14ac:dyDescent="0.25"/>
  <cols>
    <col min="1" max="1" width="2.85546875" customWidth="1"/>
    <col min="2" max="2" width="3.85546875" customWidth="1"/>
    <col min="3" max="3" width="50.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106</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270</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117</v>
      </c>
      <c r="D8" s="6" t="s">
        <v>194</v>
      </c>
      <c r="E8" s="11">
        <v>0.18160200000000001</v>
      </c>
      <c r="F8" s="1"/>
      <c r="G8" s="24" t="s">
        <v>15</v>
      </c>
      <c r="H8" s="25">
        <v>1</v>
      </c>
      <c r="I8" s="1"/>
      <c r="J8" s="31" t="s">
        <v>12</v>
      </c>
      <c r="K8" s="31" t="s">
        <v>5</v>
      </c>
      <c r="L8" s="1"/>
      <c r="M8" s="1"/>
      <c r="N8" s="18"/>
    </row>
    <row r="9" spans="2:14" ht="15.75" customHeight="1" x14ac:dyDescent="0.25">
      <c r="B9" s="20"/>
      <c r="C9" s="7" t="s">
        <v>52</v>
      </c>
      <c r="D9" s="8"/>
      <c r="E9" s="12">
        <v>0.18160200000000001</v>
      </c>
      <c r="F9" s="1"/>
      <c r="G9" s="1"/>
      <c r="H9" s="1"/>
      <c r="I9" s="1"/>
      <c r="J9" s="31" t="s">
        <v>10</v>
      </c>
      <c r="K9" s="32">
        <v>2.2699E-2</v>
      </c>
      <c r="L9" s="1"/>
      <c r="M9" s="1"/>
      <c r="N9" s="18"/>
    </row>
    <row r="10" spans="2:14" ht="15" customHeight="1" x14ac:dyDescent="0.25">
      <c r="B10" s="20"/>
      <c r="C10" s="5" t="s">
        <v>232</v>
      </c>
      <c r="D10" s="6" t="s">
        <v>194</v>
      </c>
      <c r="E10" s="11">
        <v>0.172263</v>
      </c>
      <c r="F10" s="1"/>
      <c r="G10" s="1"/>
      <c r="H10" s="1"/>
      <c r="I10" s="1"/>
      <c r="J10" s="31" t="s">
        <v>13</v>
      </c>
      <c r="K10" s="32">
        <v>5.6290000000000003E-3</v>
      </c>
      <c r="L10" s="1"/>
      <c r="M10" s="1"/>
      <c r="N10" s="18"/>
    </row>
    <row r="11" spans="2:14" ht="15.75" customHeight="1" x14ac:dyDescent="0.25">
      <c r="B11" s="20"/>
      <c r="C11" s="5" t="s">
        <v>207</v>
      </c>
      <c r="D11" s="6" t="s">
        <v>194</v>
      </c>
      <c r="E11" s="11">
        <v>0.15062500000000001</v>
      </c>
      <c r="F11" s="1"/>
      <c r="G11" s="1"/>
      <c r="H11" s="1"/>
      <c r="I11" s="1"/>
      <c r="J11" s="31" t="s">
        <v>56</v>
      </c>
      <c r="K11" s="32">
        <v>0.18160200000000001</v>
      </c>
      <c r="L11" s="1"/>
      <c r="M11" s="1"/>
      <c r="N11" s="18"/>
    </row>
    <row r="12" spans="2:14" ht="15" customHeight="1" x14ac:dyDescent="0.25">
      <c r="B12" s="20"/>
      <c r="C12" s="5" t="s">
        <v>230</v>
      </c>
      <c r="D12" s="6" t="s">
        <v>194</v>
      </c>
      <c r="E12" s="11">
        <v>0.130214</v>
      </c>
      <c r="F12" s="1"/>
      <c r="G12" s="1"/>
      <c r="H12" s="1"/>
      <c r="I12" s="1"/>
      <c r="J12" s="31" t="s">
        <v>57</v>
      </c>
      <c r="K12" s="32">
        <v>0.79006999999999994</v>
      </c>
      <c r="L12" s="1"/>
      <c r="M12" s="1"/>
      <c r="N12" s="18"/>
    </row>
    <row r="13" spans="2:14" ht="15.75" customHeight="1" x14ac:dyDescent="0.25">
      <c r="B13" s="20"/>
      <c r="C13" s="5" t="s">
        <v>238</v>
      </c>
      <c r="D13" s="6" t="s">
        <v>194</v>
      </c>
      <c r="E13" s="11">
        <v>0.118605</v>
      </c>
      <c r="F13" s="1"/>
      <c r="G13" s="1"/>
      <c r="H13" s="1"/>
      <c r="I13" s="1"/>
      <c r="J13" s="30"/>
      <c r="K13" s="30"/>
      <c r="L13" s="1"/>
      <c r="M13" s="1"/>
      <c r="N13" s="18"/>
    </row>
    <row r="14" spans="2:14" ht="15" customHeight="1" x14ac:dyDescent="0.25">
      <c r="B14" s="20"/>
      <c r="C14" s="5" t="s">
        <v>235</v>
      </c>
      <c r="D14" s="6" t="s">
        <v>194</v>
      </c>
      <c r="E14" s="11">
        <v>5.9283000000000002E-2</v>
      </c>
      <c r="F14" s="1"/>
      <c r="G14" s="1"/>
      <c r="H14" s="1"/>
      <c r="I14" s="1"/>
      <c r="J14" s="30"/>
      <c r="K14" s="30"/>
      <c r="L14" s="1"/>
      <c r="M14" s="1"/>
      <c r="N14" s="18"/>
    </row>
    <row r="15" spans="2:14" ht="15.75" customHeight="1" x14ac:dyDescent="0.25">
      <c r="B15" s="20"/>
      <c r="C15" s="5" t="s">
        <v>233</v>
      </c>
      <c r="D15" s="6" t="s">
        <v>194</v>
      </c>
      <c r="E15" s="11">
        <v>5.7570999999999997E-2</v>
      </c>
      <c r="F15" s="1"/>
      <c r="G15" s="1"/>
      <c r="H15" s="1"/>
      <c r="I15" s="1"/>
      <c r="J15" s="30"/>
      <c r="K15" s="30"/>
      <c r="L15" s="1"/>
      <c r="M15" s="1"/>
      <c r="N15" s="18"/>
    </row>
    <row r="16" spans="2:14" ht="15" customHeight="1" x14ac:dyDescent="0.25">
      <c r="B16" s="20"/>
      <c r="C16" s="5" t="s">
        <v>234</v>
      </c>
      <c r="D16" s="6" t="s">
        <v>194</v>
      </c>
      <c r="E16" s="11">
        <v>3.5591999999999999E-2</v>
      </c>
      <c r="F16" s="1"/>
      <c r="G16" s="1"/>
      <c r="H16" s="1"/>
      <c r="I16" s="1"/>
      <c r="J16" s="30"/>
      <c r="K16" s="30"/>
      <c r="L16" s="1"/>
      <c r="M16" s="1"/>
      <c r="N16" s="18"/>
    </row>
    <row r="17" spans="2:14" ht="15" customHeight="1" x14ac:dyDescent="0.25">
      <c r="B17" s="20"/>
      <c r="C17" s="5" t="s">
        <v>237</v>
      </c>
      <c r="D17" s="6" t="s">
        <v>194</v>
      </c>
      <c r="E17" s="11">
        <v>2.9609E-2</v>
      </c>
      <c r="F17" s="1"/>
      <c r="G17" s="1"/>
      <c r="H17" s="1"/>
      <c r="I17" s="1"/>
      <c r="J17" s="30"/>
      <c r="K17" s="30"/>
      <c r="L17" s="1"/>
      <c r="M17" s="1"/>
      <c r="N17" s="18"/>
    </row>
    <row r="18" spans="2:14" ht="15" customHeight="1" x14ac:dyDescent="0.25">
      <c r="B18" s="20"/>
      <c r="C18" s="5" t="s">
        <v>236</v>
      </c>
      <c r="D18" s="6" t="s">
        <v>194</v>
      </c>
      <c r="E18" s="11">
        <v>2.6733E-2</v>
      </c>
      <c r="F18" s="1"/>
      <c r="G18" s="1"/>
      <c r="H18" s="1"/>
      <c r="I18" s="1"/>
      <c r="J18" s="30"/>
      <c r="K18" s="30"/>
      <c r="L18" s="1"/>
      <c r="M18" s="1"/>
      <c r="N18" s="18"/>
    </row>
    <row r="19" spans="2:14" ht="15" customHeight="1" x14ac:dyDescent="0.25">
      <c r="B19" s="20"/>
      <c r="C19" s="5" t="s">
        <v>229</v>
      </c>
      <c r="D19" s="6" t="s">
        <v>194</v>
      </c>
      <c r="E19" s="11">
        <v>5.9709999999999997E-3</v>
      </c>
      <c r="F19" s="1"/>
      <c r="G19" s="1"/>
      <c r="H19" s="1"/>
      <c r="I19" s="1"/>
      <c r="J19" s="30"/>
      <c r="K19" s="30"/>
      <c r="L19" s="1"/>
      <c r="M19" s="1"/>
      <c r="N19" s="18"/>
    </row>
    <row r="20" spans="2:14" ht="15" customHeight="1" x14ac:dyDescent="0.25">
      <c r="B20" s="20"/>
      <c r="C20" s="5" t="s">
        <v>231</v>
      </c>
      <c r="D20" s="6" t="s">
        <v>194</v>
      </c>
      <c r="E20" s="11">
        <v>3.604E-3</v>
      </c>
      <c r="F20" s="1"/>
      <c r="G20" s="1"/>
      <c r="H20" s="1"/>
      <c r="I20" s="1"/>
      <c r="J20" s="1"/>
      <c r="K20" s="1"/>
      <c r="L20" s="1"/>
      <c r="M20" s="1"/>
      <c r="N20" s="18"/>
    </row>
    <row r="21" spans="2:14" ht="15" customHeight="1" x14ac:dyDescent="0.25">
      <c r="B21" s="20"/>
      <c r="C21" s="7" t="s">
        <v>53</v>
      </c>
      <c r="D21" s="8"/>
      <c r="E21" s="12">
        <v>0.79006999999999994</v>
      </c>
      <c r="F21" s="1"/>
      <c r="G21" s="1"/>
      <c r="H21" s="1"/>
      <c r="I21" s="1"/>
      <c r="J21" s="1"/>
      <c r="K21" s="1"/>
      <c r="L21" s="1"/>
      <c r="M21" s="1"/>
      <c r="N21" s="18"/>
    </row>
    <row r="22" spans="2:14" ht="15" customHeight="1" x14ac:dyDescent="0.25">
      <c r="B22" s="20"/>
      <c r="C22" s="5" t="s">
        <v>8</v>
      </c>
      <c r="D22" s="6"/>
      <c r="E22" s="11">
        <v>5.6290000000000003E-3</v>
      </c>
      <c r="F22" s="1"/>
      <c r="G22" s="1"/>
      <c r="H22" s="1"/>
      <c r="I22" s="1"/>
      <c r="J22" s="1"/>
      <c r="K22" s="1"/>
      <c r="L22" s="1"/>
      <c r="M22" s="1"/>
      <c r="N22" s="18"/>
    </row>
    <row r="23" spans="2:14" ht="15" customHeight="1" x14ac:dyDescent="0.25">
      <c r="B23" s="20"/>
      <c r="C23" s="7" t="s">
        <v>9</v>
      </c>
      <c r="D23" s="8"/>
      <c r="E23" s="12">
        <v>5.6290000000000003E-3</v>
      </c>
      <c r="F23" s="1"/>
      <c r="G23" s="1"/>
      <c r="H23" s="1"/>
      <c r="I23" s="1"/>
      <c r="J23" s="1"/>
      <c r="K23" s="1"/>
      <c r="L23" s="1"/>
      <c r="M23" s="1"/>
      <c r="N23" s="18"/>
    </row>
    <row r="24" spans="2:14" ht="15" customHeight="1" x14ac:dyDescent="0.25">
      <c r="B24" s="20"/>
      <c r="C24" s="5"/>
      <c r="D24" s="6"/>
      <c r="E24" s="11"/>
      <c r="F24" s="1"/>
      <c r="G24" s="85" t="s">
        <v>17</v>
      </c>
      <c r="H24" s="86"/>
      <c r="I24" s="86"/>
      <c r="J24" s="86"/>
      <c r="K24" s="86"/>
      <c r="L24" s="67">
        <v>3.1553979115367765</v>
      </c>
      <c r="M24" s="26"/>
      <c r="N24" s="27"/>
    </row>
    <row r="25" spans="2:14" ht="15" customHeight="1" x14ac:dyDescent="0.25">
      <c r="B25" s="20"/>
      <c r="C25" s="7" t="s">
        <v>10</v>
      </c>
      <c r="D25" s="8"/>
      <c r="E25" s="12">
        <v>2.2699E-2</v>
      </c>
      <c r="F25" s="1"/>
      <c r="G25" s="1"/>
      <c r="H25" s="1"/>
      <c r="I25" s="1"/>
      <c r="J25" s="1"/>
      <c r="K25" s="1"/>
      <c r="L25" s="1"/>
      <c r="M25" s="1"/>
      <c r="N25" s="18"/>
    </row>
    <row r="26" spans="2:14" ht="15" customHeight="1" x14ac:dyDescent="0.25">
      <c r="B26" s="20"/>
      <c r="C26" s="5"/>
      <c r="D26" s="6"/>
      <c r="E26" s="11"/>
      <c r="F26" s="1"/>
      <c r="G26" s="85" t="s">
        <v>18</v>
      </c>
      <c r="H26" s="86"/>
      <c r="I26" s="86"/>
      <c r="J26" s="86"/>
      <c r="K26" s="86"/>
      <c r="L26" s="86"/>
      <c r="M26" s="86"/>
      <c r="N26" s="87"/>
    </row>
    <row r="27" spans="2:14" ht="15" customHeight="1" x14ac:dyDescent="0.25">
      <c r="B27" s="20"/>
      <c r="C27" s="9" t="s">
        <v>11</v>
      </c>
      <c r="D27" s="10"/>
      <c r="E27" s="13">
        <v>1</v>
      </c>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F34" s="1"/>
      <c r="G34" s="1"/>
      <c r="H34" s="1"/>
      <c r="I34" s="1"/>
      <c r="J34" s="1"/>
      <c r="K34" s="1"/>
      <c r="L34" s="1"/>
      <c r="M34" s="1"/>
      <c r="N34" s="18"/>
    </row>
    <row r="35" spans="2:14" ht="15" customHeight="1" x14ac:dyDescent="0.25">
      <c r="B35" s="20"/>
      <c r="F35" s="1"/>
      <c r="G35" s="1"/>
      <c r="H35" s="1"/>
      <c r="I35" s="1"/>
      <c r="J35" s="1"/>
      <c r="K35" s="1"/>
      <c r="L35" s="1"/>
      <c r="M35" s="1"/>
      <c r="N35" s="18"/>
    </row>
    <row r="36" spans="2:14" ht="15" customHeight="1" x14ac:dyDescent="0.25">
      <c r="B36" s="20"/>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9.5" customHeight="1" thickBot="1" x14ac:dyDescent="0.3">
      <c r="B45" s="77" t="s">
        <v>264</v>
      </c>
      <c r="C45" s="78"/>
      <c r="D45" s="78"/>
      <c r="E45" s="78"/>
      <c r="F45" s="78"/>
      <c r="G45" s="78"/>
      <c r="H45" s="78"/>
      <c r="I45" s="78"/>
      <c r="J45" s="78"/>
      <c r="K45" s="78"/>
      <c r="L45" s="78"/>
      <c r="M45" s="78"/>
      <c r="N45" s="79"/>
    </row>
  </sheetData>
  <sortState ref="C10:E20">
    <sortCondition descending="1" ref="E10"/>
  </sortState>
  <mergeCells count="6">
    <mergeCell ref="C3:N3"/>
    <mergeCell ref="G7:N7"/>
    <mergeCell ref="G26:N26"/>
    <mergeCell ref="D5:E5"/>
    <mergeCell ref="B45:N45"/>
    <mergeCell ref="G24:K24"/>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66173-4E18-4B14-8504-933AEF66CF29}">
  <dimension ref="B1:N45"/>
  <sheetViews>
    <sheetView showGridLines="0" zoomScale="75" zoomScaleNormal="75" workbookViewId="0"/>
  </sheetViews>
  <sheetFormatPr defaultRowHeight="15" x14ac:dyDescent="0.25"/>
  <cols>
    <col min="1" max="1" width="2.85546875" customWidth="1"/>
    <col min="2" max="2" width="3.85546875" customWidth="1"/>
    <col min="3" max="3" width="50.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100</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101</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49</v>
      </c>
      <c r="D8" s="6" t="s">
        <v>194</v>
      </c>
      <c r="E8" s="11">
        <v>0.120667</v>
      </c>
      <c r="F8" s="1"/>
      <c r="G8" s="24" t="s">
        <v>15</v>
      </c>
      <c r="H8" s="25">
        <v>1</v>
      </c>
      <c r="I8" s="1"/>
      <c r="J8" s="24" t="s">
        <v>12</v>
      </c>
      <c r="K8" s="24" t="s">
        <v>5</v>
      </c>
      <c r="L8" s="1"/>
      <c r="M8" s="1"/>
      <c r="N8" s="18"/>
    </row>
    <row r="9" spans="2:14" ht="15" customHeight="1" x14ac:dyDescent="0.25">
      <c r="B9" s="20"/>
      <c r="C9" s="5" t="s">
        <v>102</v>
      </c>
      <c r="D9" s="6" t="s">
        <v>194</v>
      </c>
      <c r="E9" s="11">
        <v>1.3247E-2</v>
      </c>
      <c r="F9" s="1"/>
      <c r="G9" s="1"/>
      <c r="H9" s="1"/>
      <c r="I9" s="1"/>
      <c r="J9" s="24" t="s">
        <v>10</v>
      </c>
      <c r="K9" s="28">
        <v>1.6587000000000001E-2</v>
      </c>
      <c r="L9" s="1"/>
      <c r="M9" s="1"/>
      <c r="N9" s="18"/>
    </row>
    <row r="10" spans="2:14" ht="15.75" customHeight="1" x14ac:dyDescent="0.25">
      <c r="B10" s="20"/>
      <c r="C10" s="7" t="s">
        <v>52</v>
      </c>
      <c r="D10" s="8"/>
      <c r="E10" s="12">
        <v>0.13391400000000001</v>
      </c>
      <c r="F10" s="1"/>
      <c r="G10" s="1"/>
      <c r="H10" s="1"/>
      <c r="I10" s="1"/>
      <c r="J10" s="24" t="s">
        <v>13</v>
      </c>
      <c r="K10" s="28">
        <v>2.813E-3</v>
      </c>
      <c r="L10" s="1"/>
      <c r="M10" s="1"/>
      <c r="N10" s="18"/>
    </row>
    <row r="11" spans="2:14" ht="15" customHeight="1" x14ac:dyDescent="0.25">
      <c r="B11" s="20"/>
      <c r="C11" s="5" t="s">
        <v>261</v>
      </c>
      <c r="D11" s="6" t="s">
        <v>194</v>
      </c>
      <c r="E11" s="11">
        <v>0.142674</v>
      </c>
      <c r="F11" s="1"/>
      <c r="G11" s="1"/>
      <c r="H11" s="1"/>
      <c r="I11" s="1"/>
      <c r="J11" s="24" t="s">
        <v>56</v>
      </c>
      <c r="K11" s="28">
        <v>0.13391400000000001</v>
      </c>
      <c r="L11" s="1"/>
      <c r="M11" s="1"/>
      <c r="N11" s="18"/>
    </row>
    <row r="12" spans="2:14" ht="15.75" customHeight="1" x14ac:dyDescent="0.25">
      <c r="B12" s="20"/>
      <c r="C12" s="5" t="s">
        <v>260</v>
      </c>
      <c r="D12" s="6" t="s">
        <v>194</v>
      </c>
      <c r="E12" s="11">
        <v>0.14255100000000001</v>
      </c>
      <c r="F12" s="1"/>
      <c r="G12" s="1"/>
      <c r="H12" s="1"/>
      <c r="I12" s="1"/>
      <c r="J12" s="24" t="s">
        <v>57</v>
      </c>
      <c r="K12" s="28">
        <v>0.84668600000000005</v>
      </c>
      <c r="L12" s="1"/>
      <c r="M12" s="1"/>
      <c r="N12" s="18"/>
    </row>
    <row r="13" spans="2:14" ht="15" customHeight="1" x14ac:dyDescent="0.25">
      <c r="B13" s="20"/>
      <c r="C13" s="5" t="s">
        <v>258</v>
      </c>
      <c r="D13" s="6" t="s">
        <v>194</v>
      </c>
      <c r="E13" s="11">
        <v>0.11991300000000001</v>
      </c>
      <c r="F13" s="1"/>
      <c r="G13" s="1"/>
      <c r="H13" s="1"/>
      <c r="I13" s="1"/>
      <c r="J13" s="1"/>
      <c r="K13" s="1"/>
      <c r="L13" s="1"/>
      <c r="M13" s="1"/>
      <c r="N13" s="18"/>
    </row>
    <row r="14" spans="2:14" ht="15.75" customHeight="1" x14ac:dyDescent="0.25">
      <c r="B14" s="20"/>
      <c r="C14" s="5" t="s">
        <v>259</v>
      </c>
      <c r="D14" s="6" t="s">
        <v>194</v>
      </c>
      <c r="E14" s="11">
        <v>7.9991000000000007E-2</v>
      </c>
      <c r="F14" s="1"/>
      <c r="G14" s="1"/>
      <c r="H14" s="1"/>
      <c r="I14" s="1"/>
      <c r="J14" s="1"/>
      <c r="K14" s="1"/>
      <c r="L14" s="1"/>
      <c r="M14" s="1"/>
      <c r="N14" s="18"/>
    </row>
    <row r="15" spans="2:14" ht="15" customHeight="1" x14ac:dyDescent="0.25">
      <c r="B15" s="20"/>
      <c r="C15" s="5" t="s">
        <v>256</v>
      </c>
      <c r="D15" s="6" t="s">
        <v>194</v>
      </c>
      <c r="E15" s="11">
        <v>6.5318000000000001E-2</v>
      </c>
      <c r="F15" s="1"/>
      <c r="G15" s="1"/>
      <c r="H15" s="1"/>
      <c r="I15" s="1"/>
      <c r="J15" s="1"/>
      <c r="K15" s="1"/>
      <c r="L15" s="1"/>
      <c r="M15" s="1"/>
      <c r="N15" s="18"/>
    </row>
    <row r="16" spans="2:14" ht="15.75" customHeight="1" x14ac:dyDescent="0.25">
      <c r="B16" s="20"/>
      <c r="C16" s="5" t="s">
        <v>249</v>
      </c>
      <c r="D16" s="6" t="s">
        <v>194</v>
      </c>
      <c r="E16" s="11">
        <v>4.1834999999999997E-2</v>
      </c>
      <c r="F16" s="1"/>
      <c r="G16" s="1"/>
      <c r="H16" s="1"/>
      <c r="I16" s="1"/>
      <c r="J16" s="1"/>
      <c r="K16" s="1"/>
      <c r="L16" s="1"/>
      <c r="M16" s="1"/>
      <c r="N16" s="18"/>
    </row>
    <row r="17" spans="2:14" ht="15" customHeight="1" x14ac:dyDescent="0.25">
      <c r="B17" s="20"/>
      <c r="C17" s="5" t="s">
        <v>251</v>
      </c>
      <c r="D17" s="6" t="s">
        <v>194</v>
      </c>
      <c r="E17" s="11">
        <v>3.2207E-2</v>
      </c>
      <c r="F17" s="1"/>
      <c r="G17" s="1"/>
      <c r="H17" s="1"/>
      <c r="I17" s="1"/>
      <c r="J17" s="1"/>
      <c r="K17" s="1"/>
      <c r="L17" s="1"/>
      <c r="M17" s="1"/>
      <c r="N17" s="18"/>
    </row>
    <row r="18" spans="2:14" ht="15" customHeight="1" x14ac:dyDescent="0.25">
      <c r="B18" s="20"/>
      <c r="C18" s="5" t="s">
        <v>252</v>
      </c>
      <c r="D18" s="6" t="s">
        <v>194</v>
      </c>
      <c r="E18" s="11">
        <v>2.8409E-2</v>
      </c>
      <c r="F18" s="1"/>
      <c r="G18" s="1"/>
      <c r="H18" s="1"/>
      <c r="I18" s="1"/>
      <c r="J18" s="1"/>
      <c r="K18" s="1"/>
      <c r="L18" s="1"/>
      <c r="M18" s="1"/>
      <c r="N18" s="18"/>
    </row>
    <row r="19" spans="2:14" ht="15" customHeight="1" x14ac:dyDescent="0.25">
      <c r="B19" s="20"/>
      <c r="C19" s="5" t="s">
        <v>245</v>
      </c>
      <c r="D19" s="6" t="s">
        <v>194</v>
      </c>
      <c r="E19" s="11">
        <v>2.7532999999999998E-2</v>
      </c>
      <c r="F19" s="1"/>
      <c r="G19" s="1"/>
      <c r="H19" s="1"/>
      <c r="I19" s="1"/>
      <c r="J19" s="1"/>
      <c r="K19" s="1"/>
      <c r="L19" s="1"/>
      <c r="M19" s="1"/>
      <c r="N19" s="18"/>
    </row>
    <row r="20" spans="2:14" ht="15" customHeight="1" x14ac:dyDescent="0.25">
      <c r="B20" s="20"/>
      <c r="C20" s="5" t="s">
        <v>242</v>
      </c>
      <c r="D20" s="6" t="s">
        <v>194</v>
      </c>
      <c r="E20" s="11">
        <v>2.5744E-2</v>
      </c>
      <c r="F20" s="1"/>
      <c r="G20" s="1"/>
      <c r="H20" s="1"/>
      <c r="I20" s="1"/>
      <c r="J20" s="1"/>
      <c r="K20" s="1"/>
      <c r="L20" s="1"/>
      <c r="M20" s="1"/>
      <c r="N20" s="18"/>
    </row>
    <row r="21" spans="2:14" ht="15" customHeight="1" x14ac:dyDescent="0.25">
      <c r="B21" s="20"/>
      <c r="C21" s="5" t="s">
        <v>247</v>
      </c>
      <c r="D21" s="6" t="s">
        <v>194</v>
      </c>
      <c r="E21" s="11">
        <v>1.5276E-2</v>
      </c>
      <c r="F21" s="1"/>
      <c r="G21" s="1"/>
      <c r="H21" s="1"/>
      <c r="I21" s="1"/>
      <c r="J21" s="1"/>
      <c r="K21" s="1"/>
      <c r="L21" s="1"/>
      <c r="M21" s="1"/>
      <c r="N21" s="18"/>
    </row>
    <row r="22" spans="2:14" ht="15" customHeight="1" x14ac:dyDescent="0.25">
      <c r="B22" s="20"/>
      <c r="C22" s="5" t="s">
        <v>239</v>
      </c>
      <c r="D22" s="6" t="s">
        <v>194</v>
      </c>
      <c r="E22" s="11">
        <v>1.4385999999999999E-2</v>
      </c>
      <c r="F22" s="1"/>
      <c r="G22" s="1"/>
      <c r="H22" s="1"/>
      <c r="I22" s="1"/>
      <c r="J22" s="1"/>
      <c r="K22" s="1"/>
      <c r="L22" s="1"/>
      <c r="M22" s="1"/>
      <c r="N22" s="18"/>
    </row>
    <row r="23" spans="2:14" ht="15" customHeight="1" x14ac:dyDescent="0.25">
      <c r="B23" s="20"/>
      <c r="C23" s="5" t="s">
        <v>250</v>
      </c>
      <c r="D23" s="6" t="s">
        <v>194</v>
      </c>
      <c r="E23" s="11">
        <v>1.4290000000000001E-2</v>
      </c>
      <c r="F23" s="1"/>
      <c r="G23" s="1"/>
      <c r="H23" s="1"/>
      <c r="I23" s="1"/>
      <c r="J23" s="1"/>
      <c r="K23" s="1"/>
      <c r="L23" s="1"/>
      <c r="M23" s="1"/>
      <c r="N23" s="18"/>
    </row>
    <row r="24" spans="2:14" ht="15" customHeight="1" x14ac:dyDescent="0.25">
      <c r="B24" s="20"/>
      <c r="C24" s="5" t="s">
        <v>257</v>
      </c>
      <c r="D24" s="6" t="s">
        <v>194</v>
      </c>
      <c r="E24" s="11">
        <v>1.4262E-2</v>
      </c>
      <c r="F24" s="1"/>
      <c r="G24" s="85" t="s">
        <v>17</v>
      </c>
      <c r="H24" s="86"/>
      <c r="I24" s="86"/>
      <c r="J24" s="86"/>
      <c r="K24" s="86"/>
      <c r="L24" s="67">
        <v>7.682978068006074</v>
      </c>
      <c r="M24" s="26"/>
      <c r="N24" s="27"/>
    </row>
    <row r="25" spans="2:14" ht="15" customHeight="1" x14ac:dyDescent="0.25">
      <c r="B25" s="20"/>
      <c r="C25" s="5" t="s">
        <v>248</v>
      </c>
      <c r="D25" s="6" t="s">
        <v>194</v>
      </c>
      <c r="E25" s="11">
        <v>1.3936E-2</v>
      </c>
      <c r="F25" s="1"/>
      <c r="G25" s="1"/>
      <c r="H25" s="1"/>
      <c r="I25" s="1"/>
      <c r="J25" s="1"/>
      <c r="K25" s="1"/>
      <c r="L25" s="1"/>
      <c r="M25" s="1"/>
      <c r="N25" s="18"/>
    </row>
    <row r="26" spans="2:14" ht="15" customHeight="1" x14ac:dyDescent="0.25">
      <c r="B26" s="20"/>
      <c r="C26" s="5" t="s">
        <v>244</v>
      </c>
      <c r="D26" s="6" t="s">
        <v>194</v>
      </c>
      <c r="E26" s="11">
        <v>1.3811E-2</v>
      </c>
      <c r="F26" s="1"/>
      <c r="G26" s="85" t="s">
        <v>18</v>
      </c>
      <c r="H26" s="86"/>
      <c r="I26" s="86"/>
      <c r="J26" s="86"/>
      <c r="K26" s="86"/>
      <c r="L26" s="86"/>
      <c r="M26" s="86"/>
      <c r="N26" s="87"/>
    </row>
    <row r="27" spans="2:14" ht="15" customHeight="1" x14ac:dyDescent="0.25">
      <c r="B27" s="20"/>
      <c r="C27" s="5" t="s">
        <v>243</v>
      </c>
      <c r="D27" s="6" t="s">
        <v>194</v>
      </c>
      <c r="E27" s="11">
        <v>1.3806000000000001E-2</v>
      </c>
      <c r="F27" s="1"/>
      <c r="G27" s="1"/>
      <c r="H27" s="1"/>
      <c r="I27" s="1"/>
      <c r="J27" s="1"/>
      <c r="K27" s="1"/>
      <c r="L27" s="1"/>
      <c r="M27" s="1"/>
      <c r="N27" s="18"/>
    </row>
    <row r="28" spans="2:14" ht="15" customHeight="1" x14ac:dyDescent="0.25">
      <c r="B28" s="20"/>
      <c r="C28" s="5" t="s">
        <v>241</v>
      </c>
      <c r="D28" s="6" t="s">
        <v>194</v>
      </c>
      <c r="E28" s="11">
        <v>1.3572000000000001E-2</v>
      </c>
      <c r="F28" s="1"/>
      <c r="G28" s="1"/>
      <c r="H28" s="1"/>
      <c r="I28" s="1"/>
      <c r="J28" s="1"/>
      <c r="K28" s="1"/>
      <c r="L28" s="1"/>
      <c r="M28" s="1"/>
      <c r="N28" s="18"/>
    </row>
    <row r="29" spans="2:14" ht="15" customHeight="1" x14ac:dyDescent="0.25">
      <c r="B29" s="20"/>
      <c r="C29" s="5" t="s">
        <v>255</v>
      </c>
      <c r="D29" s="6" t="s">
        <v>194</v>
      </c>
      <c r="E29" s="11">
        <v>8.4910000000000003E-3</v>
      </c>
      <c r="F29" s="1"/>
      <c r="G29" s="1"/>
      <c r="H29" s="1"/>
      <c r="I29" s="1"/>
      <c r="J29" s="1"/>
      <c r="K29" s="1"/>
      <c r="L29" s="1"/>
      <c r="M29" s="1"/>
      <c r="N29" s="18"/>
    </row>
    <row r="30" spans="2:14" ht="15" customHeight="1" x14ac:dyDescent="0.25">
      <c r="B30" s="20"/>
      <c r="C30" s="5" t="s">
        <v>254</v>
      </c>
      <c r="D30" s="6" t="s">
        <v>194</v>
      </c>
      <c r="E30" s="11">
        <v>6.9119999999999997E-3</v>
      </c>
      <c r="F30" s="1"/>
      <c r="G30" s="1"/>
      <c r="H30" s="1"/>
      <c r="I30" s="1"/>
      <c r="J30" s="1"/>
      <c r="K30" s="1"/>
      <c r="L30" s="1"/>
      <c r="M30" s="1"/>
      <c r="N30" s="18"/>
    </row>
    <row r="31" spans="2:14" ht="15" customHeight="1" x14ac:dyDescent="0.25">
      <c r="B31" s="20"/>
      <c r="C31" s="5" t="s">
        <v>253</v>
      </c>
      <c r="D31" s="6" t="s">
        <v>194</v>
      </c>
      <c r="E31" s="11">
        <v>5.4390000000000003E-3</v>
      </c>
      <c r="F31" s="1"/>
      <c r="G31" s="1"/>
      <c r="H31" s="1"/>
      <c r="I31" s="1"/>
      <c r="J31" s="1"/>
      <c r="K31" s="1"/>
      <c r="L31" s="1"/>
      <c r="M31" s="1"/>
      <c r="N31" s="18"/>
    </row>
    <row r="32" spans="2:14" ht="15" customHeight="1" x14ac:dyDescent="0.25">
      <c r="B32" s="20"/>
      <c r="C32" s="5" t="s">
        <v>246</v>
      </c>
      <c r="D32" s="6" t="s">
        <v>194</v>
      </c>
      <c r="E32" s="11">
        <v>3.8839999999999999E-3</v>
      </c>
      <c r="F32" s="1"/>
      <c r="G32" s="1"/>
      <c r="H32" s="1"/>
      <c r="I32" s="1"/>
      <c r="J32" s="1"/>
      <c r="K32" s="1"/>
      <c r="L32" s="1"/>
      <c r="M32" s="1"/>
      <c r="N32" s="18"/>
    </row>
    <row r="33" spans="2:14" ht="15" customHeight="1" x14ac:dyDescent="0.25">
      <c r="B33" s="20"/>
      <c r="C33" s="5" t="s">
        <v>240</v>
      </c>
      <c r="D33" s="6" t="s">
        <v>194</v>
      </c>
      <c r="E33" s="11">
        <v>2.4459999999999998E-3</v>
      </c>
      <c r="F33" s="1"/>
      <c r="G33" s="1"/>
      <c r="H33" s="1"/>
      <c r="I33" s="1"/>
      <c r="J33" s="1"/>
      <c r="K33" s="1"/>
      <c r="L33" s="1"/>
      <c r="M33" s="1"/>
      <c r="N33" s="18"/>
    </row>
    <row r="34" spans="2:14" ht="15" customHeight="1" x14ac:dyDescent="0.25">
      <c r="B34" s="20"/>
      <c r="C34" s="7" t="s">
        <v>53</v>
      </c>
      <c r="D34" s="8"/>
      <c r="E34" s="12">
        <v>0.84668600000000005</v>
      </c>
      <c r="F34" s="1"/>
      <c r="G34" s="1"/>
      <c r="H34" s="1"/>
      <c r="I34" s="1"/>
      <c r="J34" s="1"/>
      <c r="K34" s="1"/>
      <c r="L34" s="1"/>
      <c r="M34" s="1"/>
      <c r="N34" s="18"/>
    </row>
    <row r="35" spans="2:14" ht="15" customHeight="1" x14ac:dyDescent="0.25">
      <c r="B35" s="20"/>
      <c r="C35" s="5" t="s">
        <v>8</v>
      </c>
      <c r="D35" s="6"/>
      <c r="E35" s="11">
        <v>2.813E-3</v>
      </c>
      <c r="F35" s="1"/>
      <c r="G35" s="1"/>
      <c r="H35" s="1"/>
      <c r="I35" s="1"/>
      <c r="J35" s="1"/>
      <c r="K35" s="1"/>
      <c r="L35" s="1"/>
      <c r="M35" s="1"/>
      <c r="N35" s="18"/>
    </row>
    <row r="36" spans="2:14" ht="15" customHeight="1" x14ac:dyDescent="0.25">
      <c r="B36" s="20"/>
      <c r="C36" s="7" t="s">
        <v>9</v>
      </c>
      <c r="D36" s="8"/>
      <c r="E36" s="12">
        <v>2.813E-3</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 customHeight="1" x14ac:dyDescent="0.25">
      <c r="B38" s="20"/>
      <c r="C38" s="7" t="s">
        <v>10</v>
      </c>
      <c r="D38" s="8"/>
      <c r="E38" s="12">
        <v>1.6587000000000001E-2</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 customHeight="1" x14ac:dyDescent="0.25">
      <c r="B40" s="20"/>
      <c r="C40" s="9" t="s">
        <v>11</v>
      </c>
      <c r="D40" s="10"/>
      <c r="E40" s="13">
        <v>1</v>
      </c>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1.75" customHeight="1" thickBot="1" x14ac:dyDescent="0.3">
      <c r="B45" s="77" t="s">
        <v>264</v>
      </c>
      <c r="C45" s="78"/>
      <c r="D45" s="78"/>
      <c r="E45" s="78"/>
      <c r="F45" s="78"/>
      <c r="G45" s="78"/>
      <c r="H45" s="78"/>
      <c r="I45" s="78"/>
      <c r="J45" s="78"/>
      <c r="K45" s="78"/>
      <c r="L45" s="78"/>
      <c r="M45" s="78"/>
      <c r="N45" s="79"/>
    </row>
  </sheetData>
  <sortState ref="C11:E33">
    <sortCondition descending="1" ref="E11"/>
  </sortState>
  <mergeCells count="6">
    <mergeCell ref="B45:N45"/>
    <mergeCell ref="C3:N3"/>
    <mergeCell ref="D5:E5"/>
    <mergeCell ref="G7:N7"/>
    <mergeCell ref="G24:K24"/>
    <mergeCell ref="G26:N2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6D993-EA61-46D1-986F-F0BB6EC60824}">
  <dimension ref="B1:N45"/>
  <sheetViews>
    <sheetView showGridLines="0" zoomScale="75" zoomScaleNormal="75" workbookViewId="0"/>
  </sheetViews>
  <sheetFormatPr defaultRowHeight="15" x14ac:dyDescent="0.25"/>
  <cols>
    <col min="1" max="1" width="2.85546875" customWidth="1"/>
    <col min="2" max="2" width="3.85546875" customWidth="1"/>
    <col min="3" max="3" width="6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0</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2</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6</v>
      </c>
      <c r="D8" s="6"/>
      <c r="E8" s="11">
        <v>0.56340199999999996</v>
      </c>
      <c r="F8" s="1"/>
      <c r="G8" s="24" t="s">
        <v>15</v>
      </c>
      <c r="H8" s="25">
        <v>1</v>
      </c>
      <c r="I8" s="1"/>
      <c r="J8" s="24" t="s">
        <v>12</v>
      </c>
      <c r="K8" s="24" t="s">
        <v>5</v>
      </c>
      <c r="L8" s="1"/>
      <c r="M8" s="1"/>
      <c r="N8" s="18"/>
    </row>
    <row r="9" spans="2:14" ht="15" customHeight="1" x14ac:dyDescent="0.25">
      <c r="B9" s="20"/>
      <c r="C9" s="5" t="s">
        <v>262</v>
      </c>
      <c r="D9" s="6"/>
      <c r="E9" s="11">
        <v>0.42358699999999999</v>
      </c>
      <c r="F9" s="1"/>
      <c r="G9" s="1"/>
      <c r="H9" s="1"/>
      <c r="I9" s="1"/>
      <c r="J9" s="24" t="s">
        <v>10</v>
      </c>
      <c r="K9" s="28">
        <v>-5.6599999999999999E-4</v>
      </c>
      <c r="L9" s="1"/>
      <c r="M9" s="1"/>
      <c r="N9" s="18"/>
    </row>
    <row r="10" spans="2:14" ht="15.75" customHeight="1" x14ac:dyDescent="0.25">
      <c r="B10" s="20"/>
      <c r="C10" s="7" t="s">
        <v>7</v>
      </c>
      <c r="D10" s="8"/>
      <c r="E10" s="12">
        <v>0.98698900000000001</v>
      </c>
      <c r="F10" s="1"/>
      <c r="G10" s="1"/>
      <c r="H10" s="1"/>
      <c r="I10" s="1"/>
      <c r="J10" s="24" t="s">
        <v>13</v>
      </c>
      <c r="K10" s="28">
        <v>1.3577000000000001E-2</v>
      </c>
      <c r="L10" s="1"/>
      <c r="M10" s="1"/>
      <c r="N10" s="18"/>
    </row>
    <row r="11" spans="2:14" ht="15" customHeight="1" x14ac:dyDescent="0.25">
      <c r="B11" s="20"/>
      <c r="C11" s="5" t="s">
        <v>8</v>
      </c>
      <c r="D11" s="6"/>
      <c r="E11" s="11">
        <v>1.3577000000000001E-2</v>
      </c>
      <c r="F11" s="1"/>
      <c r="G11" s="1"/>
      <c r="H11" s="1"/>
      <c r="I11" s="1"/>
      <c r="J11" s="24" t="s">
        <v>14</v>
      </c>
      <c r="K11" s="28">
        <v>0.98698900000000001</v>
      </c>
      <c r="L11" s="1"/>
      <c r="M11" s="1"/>
      <c r="N11" s="18"/>
    </row>
    <row r="12" spans="2:14" ht="15.75" customHeight="1" x14ac:dyDescent="0.25">
      <c r="B12" s="20"/>
      <c r="C12" s="7" t="s">
        <v>9</v>
      </c>
      <c r="D12" s="8"/>
      <c r="E12" s="12">
        <v>1.3577000000000001E-2</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10</v>
      </c>
      <c r="D14" s="8"/>
      <c r="E14" s="12">
        <v>-5.6599999999999999E-4</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11</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17</v>
      </c>
      <c r="H24" s="86"/>
      <c r="I24" s="86"/>
      <c r="J24" s="86"/>
      <c r="K24" s="86"/>
      <c r="L24" s="67">
        <v>3.1950331674103301</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18</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2" customHeight="1" thickBot="1" x14ac:dyDescent="0.3">
      <c r="B45" s="77" t="s">
        <v>264</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46CAA-839A-4344-92DB-3C0555539853}">
  <sheetPr>
    <tabColor rgb="FFE5E3E3"/>
    <pageSetUpPr fitToPage="1"/>
  </sheetPr>
  <dimension ref="B1:X691"/>
  <sheetViews>
    <sheetView showGridLines="0" zoomScale="75" zoomScaleNormal="75" workbookViewId="0"/>
  </sheetViews>
  <sheetFormatPr defaultRowHeight="15" x14ac:dyDescent="0.2"/>
  <cols>
    <col min="1" max="1" width="2.85546875" style="35" customWidth="1"/>
    <col min="2" max="2" width="3.85546875" style="35" customWidth="1"/>
    <col min="3" max="3" width="60.5703125" style="35" customWidth="1"/>
    <col min="4" max="4" width="15.42578125" style="35" bestFit="1" customWidth="1"/>
    <col min="5" max="5" width="9.140625" style="35"/>
    <col min="6" max="6" width="10.7109375" style="35" customWidth="1"/>
    <col min="7" max="7" width="10.5703125" style="35" bestFit="1" customWidth="1"/>
    <col min="8" max="9" width="9.140625" style="35"/>
    <col min="10" max="11" width="16.42578125" style="35" customWidth="1"/>
    <col min="12" max="18" width="9.140625" style="35"/>
    <col min="19" max="19" width="9.85546875" style="35" customWidth="1"/>
    <col min="20" max="21" width="9.28515625" style="35" bestFit="1" customWidth="1"/>
    <col min="22" max="16384" width="9.140625" style="35"/>
  </cols>
  <sheetData>
    <row r="1" spans="2:24" ht="15.75" thickBot="1" x14ac:dyDescent="0.25"/>
    <row r="2" spans="2:24" x14ac:dyDescent="0.2">
      <c r="B2" s="36"/>
      <c r="C2" s="37"/>
      <c r="D2" s="37"/>
      <c r="E2" s="37"/>
      <c r="F2" s="37"/>
      <c r="G2" s="37"/>
      <c r="H2" s="37"/>
      <c r="I2" s="37"/>
      <c r="J2" s="37"/>
      <c r="K2" s="37"/>
      <c r="L2" s="37"/>
      <c r="M2" s="38"/>
    </row>
    <row r="3" spans="2:24" ht="20.25" customHeight="1" x14ac:dyDescent="0.2">
      <c r="B3" s="39"/>
      <c r="C3" s="88" t="s">
        <v>290</v>
      </c>
      <c r="D3" s="88"/>
      <c r="E3" s="88"/>
      <c r="F3" s="88"/>
      <c r="G3" s="88"/>
      <c r="H3" s="88"/>
      <c r="I3" s="88"/>
      <c r="J3" s="88"/>
      <c r="K3" s="88"/>
      <c r="L3" s="88"/>
      <c r="M3" s="89"/>
    </row>
    <row r="4" spans="2:24" ht="15.75" x14ac:dyDescent="0.25">
      <c r="B4" s="39"/>
      <c r="C4" s="14"/>
      <c r="D4" s="40"/>
      <c r="E4" s="40"/>
      <c r="F4" s="41"/>
      <c r="G4" s="41"/>
      <c r="H4" s="41"/>
      <c r="I4" s="41"/>
      <c r="J4" s="41"/>
      <c r="K4" s="41"/>
      <c r="L4" s="41"/>
      <c r="M4" s="42"/>
    </row>
    <row r="5" spans="2:24" ht="20.25" customHeight="1" x14ac:dyDescent="0.25">
      <c r="B5" s="39"/>
      <c r="C5" s="15" t="s">
        <v>1</v>
      </c>
      <c r="D5" s="43" t="s">
        <v>289</v>
      </c>
      <c r="E5" s="44"/>
      <c r="F5" s="41"/>
      <c r="G5" s="41"/>
      <c r="H5" s="41"/>
      <c r="I5" s="41"/>
      <c r="J5" s="41"/>
      <c r="K5" s="41"/>
      <c r="L5" s="41"/>
      <c r="M5" s="42"/>
    </row>
    <row r="6" spans="2:24" x14ac:dyDescent="0.2">
      <c r="B6" s="39"/>
      <c r="C6" s="41"/>
      <c r="D6" s="41"/>
      <c r="E6" s="41"/>
      <c r="F6" s="41"/>
      <c r="G6" s="41"/>
      <c r="H6" s="41"/>
      <c r="I6" s="41"/>
      <c r="J6" s="41"/>
      <c r="K6" s="41"/>
      <c r="L6" s="41"/>
      <c r="M6" s="42"/>
    </row>
    <row r="7" spans="2:24" ht="15.75" x14ac:dyDescent="0.2">
      <c r="B7" s="39"/>
      <c r="C7" s="45" t="s">
        <v>3</v>
      </c>
      <c r="D7" s="46" t="s">
        <v>5</v>
      </c>
      <c r="E7" s="41"/>
      <c r="F7" s="90" t="s">
        <v>18</v>
      </c>
      <c r="G7" s="90"/>
      <c r="H7" s="90"/>
      <c r="I7" s="90"/>
      <c r="J7" s="90"/>
      <c r="K7" s="90"/>
      <c r="L7" s="90"/>
      <c r="M7" s="91"/>
    </row>
    <row r="8" spans="2:24" x14ac:dyDescent="0.2">
      <c r="B8" s="39"/>
      <c r="C8" s="47" t="s">
        <v>271</v>
      </c>
      <c r="D8" s="48">
        <v>0.97514000000000001</v>
      </c>
      <c r="E8" s="41"/>
      <c r="F8" s="41"/>
      <c r="G8" s="49"/>
      <c r="H8" s="41"/>
      <c r="I8" s="41" t="s">
        <v>272</v>
      </c>
      <c r="J8" s="50">
        <f>D9</f>
        <v>0.97514000000000001</v>
      </c>
      <c r="K8" s="41"/>
      <c r="L8" s="41"/>
      <c r="M8" s="42"/>
      <c r="S8" s="51"/>
      <c r="W8" s="35" t="s">
        <v>273</v>
      </c>
      <c r="X8" s="35">
        <v>0.25058799999999998</v>
      </c>
    </row>
    <row r="9" spans="2:24" ht="15.75" x14ac:dyDescent="0.25">
      <c r="B9" s="39"/>
      <c r="C9" s="52" t="s">
        <v>272</v>
      </c>
      <c r="D9" s="53">
        <v>0.97514000000000001</v>
      </c>
      <c r="E9" s="41"/>
      <c r="F9" s="41"/>
      <c r="G9" s="41"/>
      <c r="H9" s="41"/>
      <c r="I9" s="41" t="s">
        <v>10</v>
      </c>
      <c r="J9" s="50">
        <f>D13</f>
        <v>-6.8219999999999999E-3</v>
      </c>
      <c r="K9" s="41"/>
      <c r="L9" s="41"/>
      <c r="M9" s="42"/>
      <c r="S9" s="51"/>
      <c r="W9" s="35" t="s">
        <v>274</v>
      </c>
      <c r="X9" s="35">
        <v>6.1296999999999997E-2</v>
      </c>
    </row>
    <row r="10" spans="2:24" x14ac:dyDescent="0.2">
      <c r="B10" s="39"/>
      <c r="C10" s="54" t="s">
        <v>8</v>
      </c>
      <c r="D10" s="55">
        <v>3.1682000000000002E-2</v>
      </c>
      <c r="E10" s="41"/>
      <c r="F10" s="41"/>
      <c r="G10" s="41"/>
      <c r="I10" s="35" t="s">
        <v>9</v>
      </c>
      <c r="J10" s="50">
        <f>D11</f>
        <v>3.1682000000000002E-2</v>
      </c>
      <c r="K10" s="41"/>
      <c r="L10" s="41"/>
      <c r="M10" s="42"/>
      <c r="S10" s="51"/>
      <c r="W10" s="35" t="s">
        <v>275</v>
      </c>
      <c r="X10" s="35">
        <v>3.0130999999999998E-2</v>
      </c>
    </row>
    <row r="11" spans="2:24" ht="15.75" x14ac:dyDescent="0.2">
      <c r="B11" s="39"/>
      <c r="C11" s="56" t="s">
        <v>9</v>
      </c>
      <c r="D11" s="57">
        <v>3.1682000000000002E-2</v>
      </c>
      <c r="E11" s="41"/>
      <c r="F11" s="41"/>
      <c r="G11" s="41"/>
      <c r="J11" s="41"/>
      <c r="K11" s="41"/>
      <c r="L11" s="41"/>
      <c r="M11" s="42"/>
      <c r="S11" s="51"/>
      <c r="W11" s="35" t="s">
        <v>276</v>
      </c>
      <c r="X11" s="35">
        <v>2.7299E-2</v>
      </c>
    </row>
    <row r="12" spans="2:24" x14ac:dyDescent="0.2">
      <c r="B12" s="39"/>
      <c r="C12" s="54"/>
      <c r="D12" s="58"/>
      <c r="E12" s="41"/>
      <c r="F12" s="41"/>
      <c r="G12" s="41"/>
      <c r="J12" s="41"/>
      <c r="K12" s="41"/>
      <c r="L12" s="41"/>
      <c r="M12" s="42"/>
      <c r="S12" s="51"/>
      <c r="W12" s="35" t="s">
        <v>277</v>
      </c>
      <c r="X12" s="35">
        <v>2.5925E-2</v>
      </c>
    </row>
    <row r="13" spans="2:24" ht="15.75" x14ac:dyDescent="0.2">
      <c r="B13" s="39"/>
      <c r="C13" s="56" t="s">
        <v>10</v>
      </c>
      <c r="D13" s="57">
        <v>-6.8219999999999999E-3</v>
      </c>
      <c r="E13" s="41"/>
      <c r="F13" s="41"/>
      <c r="G13" s="41"/>
      <c r="J13" s="41"/>
      <c r="K13" s="41"/>
      <c r="L13" s="41"/>
      <c r="M13" s="42"/>
      <c r="S13" s="51"/>
      <c r="W13" s="35" t="s">
        <v>278</v>
      </c>
      <c r="X13" s="35">
        <v>2.3822000000000003E-2</v>
      </c>
    </row>
    <row r="14" spans="2:24" x14ac:dyDescent="0.2">
      <c r="B14" s="39"/>
      <c r="C14" s="54"/>
      <c r="D14" s="58"/>
      <c r="E14" s="41"/>
      <c r="F14" s="41"/>
      <c r="G14" s="41"/>
      <c r="H14" s="41"/>
      <c r="I14" s="41"/>
      <c r="J14" s="41"/>
      <c r="K14" s="41"/>
      <c r="L14" s="41"/>
      <c r="M14" s="42"/>
      <c r="S14" s="51"/>
      <c r="W14" s="35" t="s">
        <v>279</v>
      </c>
      <c r="X14" s="35">
        <v>2.3753E-2</v>
      </c>
    </row>
    <row r="15" spans="2:24" ht="15.75" x14ac:dyDescent="0.2">
      <c r="B15" s="39"/>
      <c r="C15" s="59" t="s">
        <v>11</v>
      </c>
      <c r="D15" s="60">
        <f>D13+D11+D9</f>
        <v>1</v>
      </c>
      <c r="E15" s="41"/>
      <c r="F15" s="41"/>
      <c r="G15" s="41"/>
      <c r="H15" s="41"/>
      <c r="I15" s="41"/>
      <c r="J15" s="41"/>
      <c r="K15" s="41"/>
      <c r="L15" s="41"/>
      <c r="M15" s="42"/>
      <c r="S15" s="51"/>
      <c r="W15" s="35" t="s">
        <v>280</v>
      </c>
      <c r="X15" s="35">
        <v>1.8620999999999999E-2</v>
      </c>
    </row>
    <row r="16" spans="2:24" x14ac:dyDescent="0.2">
      <c r="B16" s="39"/>
      <c r="E16" s="41"/>
      <c r="F16" s="41"/>
      <c r="G16" s="41"/>
      <c r="H16" s="41"/>
      <c r="I16" s="41"/>
      <c r="J16" s="41"/>
      <c r="K16" s="41"/>
      <c r="L16" s="41"/>
      <c r="M16" s="42"/>
      <c r="S16" s="51"/>
      <c r="W16" s="35" t="s">
        <v>281</v>
      </c>
      <c r="X16" s="35">
        <v>1.7219000000000002E-2</v>
      </c>
    </row>
    <row r="17" spans="2:24" ht="15.75" x14ac:dyDescent="0.25">
      <c r="B17" s="39"/>
      <c r="C17" s="61"/>
      <c r="D17" s="62"/>
      <c r="E17" s="41"/>
      <c r="F17" s="41"/>
      <c r="G17" s="41"/>
      <c r="H17" s="41"/>
      <c r="I17" s="41"/>
      <c r="J17" s="41"/>
      <c r="K17" s="41"/>
      <c r="L17" s="41"/>
      <c r="M17" s="42"/>
      <c r="S17" s="51"/>
      <c r="W17" s="35" t="s">
        <v>282</v>
      </c>
      <c r="X17" s="35">
        <v>1.6056000000000001E-2</v>
      </c>
    </row>
    <row r="18" spans="2:24" x14ac:dyDescent="0.2">
      <c r="B18" s="39"/>
      <c r="C18" s="63"/>
      <c r="D18" s="63"/>
      <c r="E18" s="41"/>
      <c r="F18" s="41"/>
      <c r="G18" s="41"/>
      <c r="H18" s="41"/>
      <c r="I18" s="41"/>
      <c r="J18" s="41"/>
      <c r="K18" s="41"/>
      <c r="L18" s="41"/>
      <c r="M18" s="42"/>
      <c r="S18" s="51"/>
      <c r="W18" s="35" t="s">
        <v>283</v>
      </c>
      <c r="X18" s="35">
        <v>1.41E-2</v>
      </c>
    </row>
    <row r="19" spans="2:24" ht="15.75" x14ac:dyDescent="0.25">
      <c r="B19" s="39"/>
      <c r="C19" s="61"/>
      <c r="D19" s="64"/>
      <c r="E19" s="41"/>
      <c r="F19" s="41"/>
      <c r="G19" s="41"/>
      <c r="H19" s="41"/>
      <c r="I19" s="41"/>
      <c r="J19" s="41"/>
      <c r="K19" s="41"/>
      <c r="L19" s="41"/>
      <c r="M19" s="42"/>
      <c r="S19" s="51"/>
      <c r="W19" s="35" t="s">
        <v>284</v>
      </c>
      <c r="X19" s="35">
        <v>1.1167E-2</v>
      </c>
    </row>
    <row r="20" spans="2:24" x14ac:dyDescent="0.2">
      <c r="B20" s="39"/>
      <c r="E20" s="41"/>
      <c r="F20" s="41"/>
      <c r="G20" s="41"/>
      <c r="H20" s="41"/>
      <c r="I20" s="41"/>
      <c r="J20" s="41"/>
      <c r="K20" s="41"/>
      <c r="L20" s="41"/>
      <c r="M20" s="42"/>
      <c r="S20" s="51"/>
      <c r="W20" s="35" t="s">
        <v>285</v>
      </c>
      <c r="X20" s="35">
        <v>1.1159000000000001E-2</v>
      </c>
    </row>
    <row r="21" spans="2:24" x14ac:dyDescent="0.2">
      <c r="B21" s="39"/>
      <c r="E21" s="41"/>
      <c r="F21" s="41"/>
      <c r="G21" s="41"/>
      <c r="H21" s="41"/>
      <c r="I21" s="41"/>
      <c r="J21" s="41"/>
      <c r="K21" s="41"/>
      <c r="L21" s="41"/>
      <c r="M21" s="42"/>
      <c r="S21" s="51"/>
      <c r="W21" s="35" t="s">
        <v>286</v>
      </c>
      <c r="X21" s="35">
        <v>1.0543E-2</v>
      </c>
    </row>
    <row r="22" spans="2:24" ht="16.5" thickBot="1" x14ac:dyDescent="0.3">
      <c r="B22" s="65"/>
      <c r="C22" s="92"/>
      <c r="D22" s="92"/>
      <c r="E22" s="92"/>
      <c r="F22" s="92"/>
      <c r="G22" s="92"/>
      <c r="H22" s="92"/>
      <c r="I22" s="92"/>
      <c r="J22" s="92"/>
      <c r="K22" s="92"/>
      <c r="L22" s="92"/>
      <c r="M22" s="93"/>
      <c r="S22" s="51"/>
    </row>
    <row r="23" spans="2:24" ht="15.75" thickBot="1" x14ac:dyDescent="0.25">
      <c r="S23" s="51"/>
    </row>
    <row r="24" spans="2:24" ht="15" customHeight="1" x14ac:dyDescent="0.2">
      <c r="B24" s="94" t="s">
        <v>287</v>
      </c>
      <c r="C24" s="95"/>
      <c r="D24" s="95"/>
      <c r="E24" s="95"/>
      <c r="F24" s="95"/>
      <c r="G24" s="95"/>
      <c r="H24" s="95"/>
      <c r="I24" s="95"/>
      <c r="J24" s="95"/>
      <c r="K24" s="95"/>
      <c r="L24" s="95"/>
      <c r="M24" s="95"/>
      <c r="N24" s="96"/>
      <c r="S24" s="51"/>
    </row>
    <row r="25" spans="2:24" ht="15.75" customHeight="1" x14ac:dyDescent="0.2">
      <c r="B25" s="97"/>
      <c r="C25" s="98"/>
      <c r="D25" s="98"/>
      <c r="E25" s="98"/>
      <c r="F25" s="98"/>
      <c r="G25" s="98"/>
      <c r="H25" s="98"/>
      <c r="I25" s="98"/>
      <c r="J25" s="98"/>
      <c r="K25" s="98"/>
      <c r="L25" s="98"/>
      <c r="M25" s="98"/>
      <c r="N25" s="99"/>
      <c r="S25" s="51"/>
    </row>
    <row r="26" spans="2:24" ht="15.75" customHeight="1" x14ac:dyDescent="0.2">
      <c r="B26" s="97"/>
      <c r="C26" s="98"/>
      <c r="D26" s="98"/>
      <c r="E26" s="98"/>
      <c r="F26" s="98"/>
      <c r="G26" s="98"/>
      <c r="H26" s="98"/>
      <c r="I26" s="98"/>
      <c r="J26" s="98"/>
      <c r="K26" s="98"/>
      <c r="L26" s="98"/>
      <c r="M26" s="98"/>
      <c r="N26" s="99"/>
      <c r="S26" s="51"/>
    </row>
    <row r="27" spans="2:24" ht="15.75" customHeight="1" x14ac:dyDescent="0.2">
      <c r="B27" s="97"/>
      <c r="C27" s="98"/>
      <c r="D27" s="98"/>
      <c r="E27" s="98"/>
      <c r="F27" s="98"/>
      <c r="G27" s="98"/>
      <c r="H27" s="98"/>
      <c r="I27" s="98"/>
      <c r="J27" s="98"/>
      <c r="K27" s="98"/>
      <c r="L27" s="98"/>
      <c r="M27" s="98"/>
      <c r="N27" s="99"/>
      <c r="S27" s="51"/>
    </row>
    <row r="28" spans="2:24" ht="15.75" customHeight="1" x14ac:dyDescent="0.2">
      <c r="B28" s="97"/>
      <c r="C28" s="98"/>
      <c r="D28" s="98"/>
      <c r="E28" s="98"/>
      <c r="F28" s="98"/>
      <c r="G28" s="98"/>
      <c r="H28" s="98"/>
      <c r="I28" s="98"/>
      <c r="J28" s="98"/>
      <c r="K28" s="98"/>
      <c r="L28" s="98"/>
      <c r="M28" s="98"/>
      <c r="N28" s="99"/>
      <c r="S28" s="51"/>
    </row>
    <row r="29" spans="2:24" ht="15.75" customHeight="1" x14ac:dyDescent="0.2">
      <c r="B29" s="97"/>
      <c r="C29" s="98"/>
      <c r="D29" s="98"/>
      <c r="E29" s="98"/>
      <c r="F29" s="98"/>
      <c r="G29" s="98"/>
      <c r="H29" s="98"/>
      <c r="I29" s="98"/>
      <c r="J29" s="98"/>
      <c r="K29" s="98"/>
      <c r="L29" s="98"/>
      <c r="M29" s="98"/>
      <c r="N29" s="99"/>
      <c r="S29" s="51"/>
    </row>
    <row r="30" spans="2:24" ht="28.5" customHeight="1" thickBot="1" x14ac:dyDescent="0.25">
      <c r="B30" s="100"/>
      <c r="C30" s="101"/>
      <c r="D30" s="101"/>
      <c r="E30" s="101"/>
      <c r="F30" s="101"/>
      <c r="G30" s="101"/>
      <c r="H30" s="101"/>
      <c r="I30" s="101"/>
      <c r="J30" s="101"/>
      <c r="K30" s="101"/>
      <c r="L30" s="101"/>
      <c r="M30" s="101"/>
      <c r="N30" s="102"/>
      <c r="S30" s="51"/>
    </row>
    <row r="31" spans="2:24" ht="15.75" thickBot="1" x14ac:dyDescent="0.25">
      <c r="S31" s="51"/>
    </row>
    <row r="32" spans="2:24" x14ac:dyDescent="0.2">
      <c r="B32" s="94" t="s">
        <v>288</v>
      </c>
      <c r="C32" s="95"/>
      <c r="D32" s="95"/>
      <c r="E32" s="95"/>
      <c r="F32" s="95"/>
      <c r="G32" s="95"/>
      <c r="H32" s="95"/>
      <c r="I32" s="95"/>
      <c r="J32" s="95"/>
      <c r="K32" s="95"/>
      <c r="L32" s="95"/>
      <c r="M32" s="95"/>
      <c r="N32" s="96"/>
      <c r="S32" s="51"/>
    </row>
    <row r="33" spans="2:19" x14ac:dyDescent="0.2">
      <c r="B33" s="97"/>
      <c r="C33" s="98"/>
      <c r="D33" s="98"/>
      <c r="E33" s="98"/>
      <c r="F33" s="98"/>
      <c r="G33" s="98"/>
      <c r="H33" s="98"/>
      <c r="I33" s="98"/>
      <c r="J33" s="98"/>
      <c r="K33" s="98"/>
      <c r="L33" s="98"/>
      <c r="M33" s="98"/>
      <c r="N33" s="99"/>
      <c r="S33" s="51"/>
    </row>
    <row r="34" spans="2:19" x14ac:dyDescent="0.2">
      <c r="B34" s="97"/>
      <c r="C34" s="98"/>
      <c r="D34" s="98"/>
      <c r="E34" s="98"/>
      <c r="F34" s="98"/>
      <c r="G34" s="98"/>
      <c r="H34" s="98"/>
      <c r="I34" s="98"/>
      <c r="J34" s="98"/>
      <c r="K34" s="98"/>
      <c r="L34" s="98"/>
      <c r="M34" s="98"/>
      <c r="N34" s="99"/>
      <c r="S34" s="51"/>
    </row>
    <row r="35" spans="2:19" x14ac:dyDescent="0.2">
      <c r="B35" s="97"/>
      <c r="C35" s="98"/>
      <c r="D35" s="98"/>
      <c r="E35" s="98"/>
      <c r="F35" s="98"/>
      <c r="G35" s="98"/>
      <c r="H35" s="98"/>
      <c r="I35" s="98"/>
      <c r="J35" s="98"/>
      <c r="K35" s="98"/>
      <c r="L35" s="98"/>
      <c r="M35" s="98"/>
      <c r="N35" s="99"/>
      <c r="S35" s="51"/>
    </row>
    <row r="36" spans="2:19" x14ac:dyDescent="0.2">
      <c r="B36" s="97"/>
      <c r="C36" s="98"/>
      <c r="D36" s="98"/>
      <c r="E36" s="98"/>
      <c r="F36" s="98"/>
      <c r="G36" s="98"/>
      <c r="H36" s="98"/>
      <c r="I36" s="98"/>
      <c r="J36" s="98"/>
      <c r="K36" s="98"/>
      <c r="L36" s="98"/>
      <c r="M36" s="98"/>
      <c r="N36" s="99"/>
      <c r="S36" s="51"/>
    </row>
    <row r="37" spans="2:19" x14ac:dyDescent="0.2">
      <c r="B37" s="97"/>
      <c r="C37" s="98"/>
      <c r="D37" s="98"/>
      <c r="E37" s="98"/>
      <c r="F37" s="98"/>
      <c r="G37" s="98"/>
      <c r="H37" s="98"/>
      <c r="I37" s="98"/>
      <c r="J37" s="98"/>
      <c r="K37" s="98"/>
      <c r="L37" s="98"/>
      <c r="M37" s="98"/>
      <c r="N37" s="99"/>
      <c r="S37" s="51"/>
    </row>
    <row r="38" spans="2:19" ht="15.75" thickBot="1" x14ac:dyDescent="0.25">
      <c r="B38" s="100"/>
      <c r="C38" s="101"/>
      <c r="D38" s="101"/>
      <c r="E38" s="101"/>
      <c r="F38" s="101"/>
      <c r="G38" s="101"/>
      <c r="H38" s="101"/>
      <c r="I38" s="101"/>
      <c r="J38" s="101"/>
      <c r="K38" s="101"/>
      <c r="L38" s="101"/>
      <c r="M38" s="101"/>
      <c r="N38" s="102"/>
      <c r="S38" s="51"/>
    </row>
    <row r="39" spans="2:19" x14ac:dyDescent="0.2">
      <c r="S39" s="51"/>
    </row>
    <row r="40" spans="2:19" x14ac:dyDescent="0.2">
      <c r="S40" s="51"/>
    </row>
    <row r="41" spans="2:19" x14ac:dyDescent="0.2">
      <c r="S41" s="51"/>
    </row>
    <row r="42" spans="2:19" x14ac:dyDescent="0.2">
      <c r="S42" s="51"/>
    </row>
    <row r="43" spans="2:19" x14ac:dyDescent="0.2">
      <c r="S43" s="51"/>
    </row>
    <row r="44" spans="2:19" x14ac:dyDescent="0.2">
      <c r="S44" s="51"/>
    </row>
    <row r="45" spans="2:19" x14ac:dyDescent="0.2">
      <c r="S45" s="51"/>
    </row>
    <row r="46" spans="2:19" x14ac:dyDescent="0.2">
      <c r="S46" s="51"/>
    </row>
    <row r="47" spans="2:19" x14ac:dyDescent="0.2">
      <c r="S47" s="51"/>
    </row>
    <row r="48" spans="2:19" x14ac:dyDescent="0.2">
      <c r="S48" s="51"/>
    </row>
    <row r="49" spans="19:19" x14ac:dyDescent="0.2">
      <c r="S49" s="51"/>
    </row>
    <row r="50" spans="19:19" x14ac:dyDescent="0.2">
      <c r="S50" s="51"/>
    </row>
    <row r="51" spans="19:19" x14ac:dyDescent="0.2">
      <c r="S51" s="51"/>
    </row>
    <row r="52" spans="19:19" x14ac:dyDescent="0.2">
      <c r="S52" s="51"/>
    </row>
    <row r="53" spans="19:19" x14ac:dyDescent="0.2">
      <c r="S53" s="51"/>
    </row>
    <row r="54" spans="19:19" x14ac:dyDescent="0.2">
      <c r="S54" s="51"/>
    </row>
    <row r="55" spans="19:19" x14ac:dyDescent="0.2">
      <c r="S55" s="51"/>
    </row>
    <row r="56" spans="19:19" x14ac:dyDescent="0.2">
      <c r="S56" s="51"/>
    </row>
    <row r="57" spans="19:19" x14ac:dyDescent="0.2">
      <c r="S57" s="51"/>
    </row>
    <row r="58" spans="19:19" x14ac:dyDescent="0.2">
      <c r="S58" s="51"/>
    </row>
    <row r="59" spans="19:19" x14ac:dyDescent="0.2">
      <c r="S59" s="51"/>
    </row>
    <row r="60" spans="19:19" x14ac:dyDescent="0.2">
      <c r="S60" s="51"/>
    </row>
    <row r="61" spans="19:19" x14ac:dyDescent="0.2">
      <c r="S61" s="51"/>
    </row>
    <row r="62" spans="19:19" x14ac:dyDescent="0.2">
      <c r="S62" s="51"/>
    </row>
    <row r="63" spans="19:19" x14ac:dyDescent="0.2">
      <c r="S63" s="51"/>
    </row>
    <row r="64" spans="19:19" x14ac:dyDescent="0.2">
      <c r="S64" s="51"/>
    </row>
    <row r="65" spans="19:19" x14ac:dyDescent="0.2">
      <c r="S65" s="51"/>
    </row>
    <row r="66" spans="19:19" x14ac:dyDescent="0.2">
      <c r="S66" s="51"/>
    </row>
    <row r="67" spans="19:19" x14ac:dyDescent="0.2">
      <c r="S67" s="51"/>
    </row>
    <row r="68" spans="19:19" x14ac:dyDescent="0.2">
      <c r="S68" s="51"/>
    </row>
    <row r="69" spans="19:19" x14ac:dyDescent="0.2">
      <c r="S69" s="51"/>
    </row>
    <row r="70" spans="19:19" x14ac:dyDescent="0.2">
      <c r="S70" s="51"/>
    </row>
    <row r="71" spans="19:19" x14ac:dyDescent="0.2">
      <c r="S71" s="51"/>
    </row>
    <row r="72" spans="19:19" x14ac:dyDescent="0.2">
      <c r="S72" s="51"/>
    </row>
    <row r="73" spans="19:19" x14ac:dyDescent="0.2">
      <c r="S73" s="51"/>
    </row>
    <row r="74" spans="19:19" x14ac:dyDescent="0.2">
      <c r="S74" s="51"/>
    </row>
    <row r="75" spans="19:19" x14ac:dyDescent="0.2">
      <c r="S75" s="51"/>
    </row>
    <row r="76" spans="19:19" x14ac:dyDescent="0.2">
      <c r="S76" s="51"/>
    </row>
    <row r="77" spans="19:19" x14ac:dyDescent="0.2">
      <c r="S77" s="51"/>
    </row>
    <row r="78" spans="19:19" x14ac:dyDescent="0.2">
      <c r="S78" s="51"/>
    </row>
    <row r="79" spans="19:19" x14ac:dyDescent="0.2">
      <c r="S79" s="51"/>
    </row>
    <row r="80" spans="19:19" x14ac:dyDescent="0.2">
      <c r="S80" s="51"/>
    </row>
    <row r="81" spans="19:19" x14ac:dyDescent="0.2">
      <c r="S81" s="51"/>
    </row>
    <row r="82" spans="19:19" x14ac:dyDescent="0.2">
      <c r="S82" s="51"/>
    </row>
    <row r="83" spans="19:19" x14ac:dyDescent="0.2">
      <c r="S83" s="51"/>
    </row>
    <row r="84" spans="19:19" x14ac:dyDescent="0.2">
      <c r="S84" s="51"/>
    </row>
    <row r="85" spans="19:19" x14ac:dyDescent="0.2">
      <c r="S85" s="51"/>
    </row>
    <row r="86" spans="19:19" x14ac:dyDescent="0.2">
      <c r="S86" s="51"/>
    </row>
    <row r="87" spans="19:19" x14ac:dyDescent="0.2">
      <c r="S87" s="51"/>
    </row>
    <row r="88" spans="19:19" x14ac:dyDescent="0.2">
      <c r="S88" s="51"/>
    </row>
    <row r="89" spans="19:19" x14ac:dyDescent="0.2">
      <c r="S89" s="51"/>
    </row>
    <row r="90" spans="19:19" x14ac:dyDescent="0.2">
      <c r="S90" s="51"/>
    </row>
    <row r="91" spans="19:19" x14ac:dyDescent="0.2">
      <c r="S91" s="51"/>
    </row>
    <row r="92" spans="19:19" x14ac:dyDescent="0.2">
      <c r="S92" s="51"/>
    </row>
    <row r="93" spans="19:19" x14ac:dyDescent="0.2">
      <c r="S93" s="51"/>
    </row>
    <row r="94" spans="19:19" x14ac:dyDescent="0.2">
      <c r="S94" s="51"/>
    </row>
    <row r="95" spans="19:19" x14ac:dyDescent="0.2">
      <c r="S95" s="51"/>
    </row>
    <row r="96" spans="19:19" x14ac:dyDescent="0.2">
      <c r="S96" s="51"/>
    </row>
    <row r="97" spans="19:19" x14ac:dyDescent="0.2">
      <c r="S97" s="51"/>
    </row>
    <row r="98" spans="19:19" x14ac:dyDescent="0.2">
      <c r="S98" s="51"/>
    </row>
    <row r="99" spans="19:19" x14ac:dyDescent="0.2">
      <c r="S99" s="51"/>
    </row>
    <row r="100" spans="19:19" x14ac:dyDescent="0.2">
      <c r="S100" s="51"/>
    </row>
    <row r="101" spans="19:19" x14ac:dyDescent="0.2">
      <c r="S101" s="51"/>
    </row>
    <row r="102" spans="19:19" x14ac:dyDescent="0.2">
      <c r="S102" s="51"/>
    </row>
    <row r="103" spans="19:19" x14ac:dyDescent="0.2">
      <c r="S103" s="51"/>
    </row>
    <row r="104" spans="19:19" x14ac:dyDescent="0.2">
      <c r="S104" s="51"/>
    </row>
    <row r="105" spans="19:19" x14ac:dyDescent="0.2">
      <c r="S105" s="51"/>
    </row>
    <row r="106" spans="19:19" x14ac:dyDescent="0.2">
      <c r="S106" s="51"/>
    </row>
    <row r="107" spans="19:19" x14ac:dyDescent="0.2">
      <c r="S107" s="51"/>
    </row>
    <row r="108" spans="19:19" x14ac:dyDescent="0.2">
      <c r="S108" s="51"/>
    </row>
    <row r="109" spans="19:19" x14ac:dyDescent="0.2">
      <c r="S109" s="51"/>
    </row>
    <row r="110" spans="19:19" x14ac:dyDescent="0.2">
      <c r="S110" s="51"/>
    </row>
    <row r="111" spans="19:19" x14ac:dyDescent="0.2">
      <c r="S111" s="51"/>
    </row>
    <row r="112" spans="19:19" x14ac:dyDescent="0.2">
      <c r="S112" s="51"/>
    </row>
    <row r="113" spans="19:19" x14ac:dyDescent="0.2">
      <c r="S113" s="51"/>
    </row>
    <row r="114" spans="19:19" x14ac:dyDescent="0.2">
      <c r="S114" s="51"/>
    </row>
    <row r="115" spans="19:19" x14ac:dyDescent="0.2">
      <c r="S115" s="51"/>
    </row>
    <row r="116" spans="19:19" x14ac:dyDescent="0.2">
      <c r="S116" s="51"/>
    </row>
    <row r="117" spans="19:19" x14ac:dyDescent="0.2">
      <c r="S117" s="51"/>
    </row>
    <row r="118" spans="19:19" x14ac:dyDescent="0.2">
      <c r="S118" s="51"/>
    </row>
    <row r="119" spans="19:19" x14ac:dyDescent="0.2">
      <c r="S119" s="51"/>
    </row>
    <row r="120" spans="19:19" x14ac:dyDescent="0.2">
      <c r="S120" s="51"/>
    </row>
    <row r="121" spans="19:19" x14ac:dyDescent="0.2">
      <c r="S121" s="51"/>
    </row>
    <row r="122" spans="19:19" x14ac:dyDescent="0.2">
      <c r="S122" s="51"/>
    </row>
    <row r="123" spans="19:19" x14ac:dyDescent="0.2">
      <c r="S123" s="51"/>
    </row>
    <row r="124" spans="19:19" x14ac:dyDescent="0.2">
      <c r="S124" s="51"/>
    </row>
    <row r="125" spans="19:19" x14ac:dyDescent="0.2">
      <c r="S125" s="51"/>
    </row>
    <row r="126" spans="19:19" x14ac:dyDescent="0.2">
      <c r="S126" s="51"/>
    </row>
    <row r="127" spans="19:19" x14ac:dyDescent="0.2">
      <c r="S127" s="51"/>
    </row>
    <row r="128" spans="19:19" x14ac:dyDescent="0.2">
      <c r="S128" s="51"/>
    </row>
    <row r="129" spans="19:19" x14ac:dyDescent="0.2">
      <c r="S129" s="51"/>
    </row>
    <row r="130" spans="19:19" x14ac:dyDescent="0.2">
      <c r="S130" s="51"/>
    </row>
    <row r="131" spans="19:19" x14ac:dyDescent="0.2">
      <c r="S131" s="51"/>
    </row>
    <row r="132" spans="19:19" x14ac:dyDescent="0.2">
      <c r="S132" s="51"/>
    </row>
    <row r="133" spans="19:19" x14ac:dyDescent="0.2">
      <c r="S133" s="51"/>
    </row>
    <row r="134" spans="19:19" x14ac:dyDescent="0.2">
      <c r="S134" s="51"/>
    </row>
    <row r="135" spans="19:19" x14ac:dyDescent="0.2">
      <c r="S135" s="51"/>
    </row>
    <row r="136" spans="19:19" x14ac:dyDescent="0.2">
      <c r="S136" s="51"/>
    </row>
    <row r="137" spans="19:19" x14ac:dyDescent="0.2">
      <c r="S137" s="51"/>
    </row>
    <row r="138" spans="19:19" x14ac:dyDescent="0.2">
      <c r="S138" s="51"/>
    </row>
    <row r="139" spans="19:19" x14ac:dyDescent="0.2">
      <c r="S139" s="51"/>
    </row>
    <row r="140" spans="19:19" x14ac:dyDescent="0.2">
      <c r="S140" s="51"/>
    </row>
    <row r="141" spans="19:19" x14ac:dyDescent="0.2">
      <c r="S141" s="51"/>
    </row>
    <row r="142" spans="19:19" x14ac:dyDescent="0.2">
      <c r="S142" s="51"/>
    </row>
    <row r="143" spans="19:19" x14ac:dyDescent="0.2">
      <c r="S143" s="51"/>
    </row>
    <row r="144" spans="19:19" x14ac:dyDescent="0.2">
      <c r="S144" s="51"/>
    </row>
    <row r="145" spans="19:19" x14ac:dyDescent="0.2">
      <c r="S145" s="51"/>
    </row>
    <row r="146" spans="19:19" x14ac:dyDescent="0.2">
      <c r="S146" s="51"/>
    </row>
    <row r="147" spans="19:19" x14ac:dyDescent="0.2">
      <c r="S147" s="51"/>
    </row>
    <row r="148" spans="19:19" x14ac:dyDescent="0.2">
      <c r="S148" s="51"/>
    </row>
    <row r="149" spans="19:19" x14ac:dyDescent="0.2">
      <c r="S149" s="51"/>
    </row>
    <row r="150" spans="19:19" x14ac:dyDescent="0.2">
      <c r="S150" s="51"/>
    </row>
    <row r="151" spans="19:19" x14ac:dyDescent="0.2">
      <c r="S151" s="51"/>
    </row>
    <row r="152" spans="19:19" x14ac:dyDescent="0.2">
      <c r="S152" s="51"/>
    </row>
    <row r="153" spans="19:19" x14ac:dyDescent="0.2">
      <c r="S153" s="51"/>
    </row>
    <row r="154" spans="19:19" x14ac:dyDescent="0.2">
      <c r="S154" s="51"/>
    </row>
    <row r="155" spans="19:19" x14ac:dyDescent="0.2">
      <c r="S155" s="51"/>
    </row>
    <row r="156" spans="19:19" x14ac:dyDescent="0.2">
      <c r="S156" s="51"/>
    </row>
    <row r="157" spans="19:19" x14ac:dyDescent="0.2">
      <c r="S157" s="51"/>
    </row>
    <row r="158" spans="19:19" x14ac:dyDescent="0.2">
      <c r="S158" s="51"/>
    </row>
    <row r="159" spans="19:19" x14ac:dyDescent="0.2">
      <c r="S159" s="51"/>
    </row>
    <row r="160" spans="19:19" x14ac:dyDescent="0.2">
      <c r="S160" s="51"/>
    </row>
    <row r="161" spans="19:19" x14ac:dyDescent="0.2">
      <c r="S161" s="51"/>
    </row>
    <row r="162" spans="19:19" x14ac:dyDescent="0.2">
      <c r="S162" s="51"/>
    </row>
    <row r="163" spans="19:19" x14ac:dyDescent="0.2">
      <c r="S163" s="51"/>
    </row>
    <row r="164" spans="19:19" x14ac:dyDescent="0.2">
      <c r="S164" s="51"/>
    </row>
    <row r="165" spans="19:19" x14ac:dyDescent="0.2">
      <c r="S165" s="51"/>
    </row>
    <row r="166" spans="19:19" x14ac:dyDescent="0.2">
      <c r="S166" s="51"/>
    </row>
    <row r="167" spans="19:19" x14ac:dyDescent="0.2">
      <c r="S167" s="51"/>
    </row>
    <row r="168" spans="19:19" x14ac:dyDescent="0.2">
      <c r="S168" s="51"/>
    </row>
    <row r="169" spans="19:19" x14ac:dyDescent="0.2">
      <c r="S169" s="51"/>
    </row>
    <row r="170" spans="19:19" x14ac:dyDescent="0.2">
      <c r="S170" s="51"/>
    </row>
    <row r="171" spans="19:19" x14ac:dyDescent="0.2">
      <c r="S171" s="51"/>
    </row>
    <row r="172" spans="19:19" x14ac:dyDescent="0.2">
      <c r="S172" s="51"/>
    </row>
    <row r="173" spans="19:19" x14ac:dyDescent="0.2">
      <c r="S173" s="51"/>
    </row>
    <row r="174" spans="19:19" x14ac:dyDescent="0.2">
      <c r="S174" s="51"/>
    </row>
    <row r="175" spans="19:19" x14ac:dyDescent="0.2">
      <c r="S175" s="51"/>
    </row>
    <row r="176" spans="19:19" x14ac:dyDescent="0.2">
      <c r="S176" s="51"/>
    </row>
    <row r="177" spans="19:19" x14ac:dyDescent="0.2">
      <c r="S177" s="51"/>
    </row>
    <row r="178" spans="19:19" x14ac:dyDescent="0.2">
      <c r="S178" s="51"/>
    </row>
    <row r="179" spans="19:19" x14ac:dyDescent="0.2">
      <c r="S179" s="51"/>
    </row>
    <row r="180" spans="19:19" x14ac:dyDescent="0.2">
      <c r="S180" s="51"/>
    </row>
    <row r="181" spans="19:19" x14ac:dyDescent="0.2">
      <c r="S181" s="51"/>
    </row>
    <row r="182" spans="19:19" x14ac:dyDescent="0.2">
      <c r="S182" s="51"/>
    </row>
    <row r="183" spans="19:19" x14ac:dyDescent="0.2">
      <c r="S183" s="51"/>
    </row>
    <row r="184" spans="19:19" x14ac:dyDescent="0.2">
      <c r="S184" s="51"/>
    </row>
    <row r="185" spans="19:19" x14ac:dyDescent="0.2">
      <c r="S185" s="51"/>
    </row>
    <row r="186" spans="19:19" x14ac:dyDescent="0.2">
      <c r="S186" s="51"/>
    </row>
    <row r="187" spans="19:19" x14ac:dyDescent="0.2">
      <c r="S187" s="51"/>
    </row>
    <row r="188" spans="19:19" x14ac:dyDescent="0.2">
      <c r="S188" s="51"/>
    </row>
    <row r="189" spans="19:19" x14ac:dyDescent="0.2">
      <c r="S189" s="51"/>
    </row>
    <row r="190" spans="19:19" x14ac:dyDescent="0.2">
      <c r="S190" s="51"/>
    </row>
    <row r="191" spans="19:19" x14ac:dyDescent="0.2">
      <c r="S191" s="51"/>
    </row>
    <row r="192" spans="19:19" x14ac:dyDescent="0.2">
      <c r="S192" s="51"/>
    </row>
    <row r="193" spans="19:19" x14ac:dyDescent="0.2">
      <c r="S193" s="51"/>
    </row>
    <row r="194" spans="19:19" x14ac:dyDescent="0.2">
      <c r="S194" s="51"/>
    </row>
    <row r="195" spans="19:19" x14ac:dyDescent="0.2">
      <c r="S195" s="51"/>
    </row>
    <row r="196" spans="19:19" x14ac:dyDescent="0.2">
      <c r="S196" s="51"/>
    </row>
    <row r="197" spans="19:19" x14ac:dyDescent="0.2">
      <c r="S197" s="51"/>
    </row>
    <row r="198" spans="19:19" x14ac:dyDescent="0.2">
      <c r="S198" s="51"/>
    </row>
    <row r="199" spans="19:19" x14ac:dyDescent="0.2">
      <c r="S199" s="51"/>
    </row>
    <row r="200" spans="19:19" x14ac:dyDescent="0.2">
      <c r="S200" s="51"/>
    </row>
    <row r="201" spans="19:19" x14ac:dyDescent="0.2">
      <c r="S201" s="51"/>
    </row>
    <row r="202" spans="19:19" x14ac:dyDescent="0.2">
      <c r="S202" s="51"/>
    </row>
    <row r="203" spans="19:19" x14ac:dyDescent="0.2">
      <c r="S203" s="51"/>
    </row>
    <row r="204" spans="19:19" x14ac:dyDescent="0.2">
      <c r="S204" s="51"/>
    </row>
    <row r="205" spans="19:19" x14ac:dyDescent="0.2">
      <c r="S205" s="51"/>
    </row>
    <row r="206" spans="19:19" x14ac:dyDescent="0.2">
      <c r="S206" s="51"/>
    </row>
    <row r="207" spans="19:19" x14ac:dyDescent="0.2">
      <c r="S207" s="51"/>
    </row>
    <row r="208" spans="19:19" x14ac:dyDescent="0.2">
      <c r="S208" s="51"/>
    </row>
    <row r="209" spans="19:19" x14ac:dyDescent="0.2">
      <c r="S209" s="51"/>
    </row>
    <row r="210" spans="19:19" x14ac:dyDescent="0.2">
      <c r="S210" s="51"/>
    </row>
    <row r="211" spans="19:19" x14ac:dyDescent="0.2">
      <c r="S211" s="51"/>
    </row>
    <row r="212" spans="19:19" x14ac:dyDescent="0.2">
      <c r="S212" s="51"/>
    </row>
    <row r="213" spans="19:19" x14ac:dyDescent="0.2">
      <c r="S213" s="51"/>
    </row>
    <row r="214" spans="19:19" x14ac:dyDescent="0.2">
      <c r="S214" s="51"/>
    </row>
    <row r="215" spans="19:19" x14ac:dyDescent="0.2">
      <c r="S215" s="51"/>
    </row>
    <row r="216" spans="19:19" x14ac:dyDescent="0.2">
      <c r="S216" s="51"/>
    </row>
    <row r="217" spans="19:19" x14ac:dyDescent="0.2">
      <c r="S217" s="51"/>
    </row>
    <row r="218" spans="19:19" x14ac:dyDescent="0.2">
      <c r="S218" s="51"/>
    </row>
    <row r="219" spans="19:19" x14ac:dyDescent="0.2">
      <c r="S219" s="51"/>
    </row>
    <row r="220" spans="19:19" x14ac:dyDescent="0.2">
      <c r="S220" s="51"/>
    </row>
    <row r="221" spans="19:19" x14ac:dyDescent="0.2">
      <c r="S221" s="51"/>
    </row>
    <row r="222" spans="19:19" x14ac:dyDescent="0.2">
      <c r="S222" s="51"/>
    </row>
    <row r="223" spans="19:19" x14ac:dyDescent="0.2">
      <c r="S223" s="51"/>
    </row>
    <row r="224" spans="19:19" x14ac:dyDescent="0.2">
      <c r="S224" s="51"/>
    </row>
    <row r="225" spans="19:19" x14ac:dyDescent="0.2">
      <c r="S225" s="51"/>
    </row>
    <row r="226" spans="19:19" x14ac:dyDescent="0.2">
      <c r="S226" s="51"/>
    </row>
    <row r="227" spans="19:19" x14ac:dyDescent="0.2">
      <c r="S227" s="51"/>
    </row>
    <row r="228" spans="19:19" x14ac:dyDescent="0.2">
      <c r="S228" s="51"/>
    </row>
    <row r="229" spans="19:19" x14ac:dyDescent="0.2">
      <c r="S229" s="51"/>
    </row>
    <row r="230" spans="19:19" x14ac:dyDescent="0.2">
      <c r="S230" s="51"/>
    </row>
    <row r="231" spans="19:19" x14ac:dyDescent="0.2">
      <c r="S231" s="51"/>
    </row>
    <row r="232" spans="19:19" x14ac:dyDescent="0.2">
      <c r="S232" s="51"/>
    </row>
    <row r="233" spans="19:19" x14ac:dyDescent="0.2">
      <c r="S233" s="51"/>
    </row>
    <row r="234" spans="19:19" x14ac:dyDescent="0.2">
      <c r="S234" s="51"/>
    </row>
    <row r="235" spans="19:19" x14ac:dyDescent="0.2">
      <c r="S235" s="51"/>
    </row>
    <row r="236" spans="19:19" x14ac:dyDescent="0.2">
      <c r="S236" s="51"/>
    </row>
    <row r="237" spans="19:19" x14ac:dyDescent="0.2">
      <c r="S237" s="51"/>
    </row>
    <row r="238" spans="19:19" x14ac:dyDescent="0.2">
      <c r="S238" s="51"/>
    </row>
    <row r="239" spans="19:19" x14ac:dyDescent="0.2">
      <c r="S239" s="51"/>
    </row>
    <row r="240" spans="19:19" x14ac:dyDescent="0.2">
      <c r="S240" s="51"/>
    </row>
    <row r="241" spans="19:19" x14ac:dyDescent="0.2">
      <c r="S241" s="51"/>
    </row>
    <row r="242" spans="19:19" x14ac:dyDescent="0.2">
      <c r="S242" s="51"/>
    </row>
    <row r="243" spans="19:19" x14ac:dyDescent="0.2">
      <c r="S243" s="51"/>
    </row>
    <row r="244" spans="19:19" x14ac:dyDescent="0.2">
      <c r="S244" s="51"/>
    </row>
    <row r="245" spans="19:19" x14ac:dyDescent="0.2">
      <c r="S245" s="51"/>
    </row>
    <row r="246" spans="19:19" x14ac:dyDescent="0.2">
      <c r="S246" s="51"/>
    </row>
    <row r="247" spans="19:19" x14ac:dyDescent="0.2">
      <c r="S247" s="51"/>
    </row>
    <row r="248" spans="19:19" x14ac:dyDescent="0.2">
      <c r="S248" s="51"/>
    </row>
    <row r="249" spans="19:19" x14ac:dyDescent="0.2">
      <c r="S249" s="51"/>
    </row>
    <row r="250" spans="19:19" x14ac:dyDescent="0.2">
      <c r="S250" s="51"/>
    </row>
    <row r="251" spans="19:19" x14ac:dyDescent="0.2">
      <c r="S251" s="51"/>
    </row>
    <row r="252" spans="19:19" x14ac:dyDescent="0.2">
      <c r="S252" s="51"/>
    </row>
    <row r="253" spans="19:19" x14ac:dyDescent="0.2">
      <c r="S253" s="51"/>
    </row>
    <row r="254" spans="19:19" x14ac:dyDescent="0.2">
      <c r="S254" s="51"/>
    </row>
    <row r="255" spans="19:19" x14ac:dyDescent="0.2">
      <c r="S255" s="51"/>
    </row>
    <row r="256" spans="19:19" x14ac:dyDescent="0.2">
      <c r="S256" s="51"/>
    </row>
    <row r="257" spans="19:19" x14ac:dyDescent="0.2">
      <c r="S257" s="51"/>
    </row>
    <row r="258" spans="19:19" x14ac:dyDescent="0.2">
      <c r="S258" s="51"/>
    </row>
    <row r="259" spans="19:19" x14ac:dyDescent="0.2">
      <c r="S259" s="51"/>
    </row>
    <row r="260" spans="19:19" x14ac:dyDescent="0.2">
      <c r="S260" s="51"/>
    </row>
    <row r="261" spans="19:19" x14ac:dyDescent="0.2">
      <c r="S261" s="51"/>
    </row>
    <row r="262" spans="19:19" x14ac:dyDescent="0.2">
      <c r="S262" s="51"/>
    </row>
    <row r="263" spans="19:19" x14ac:dyDescent="0.2">
      <c r="S263" s="51"/>
    </row>
    <row r="264" spans="19:19" x14ac:dyDescent="0.2">
      <c r="S264" s="51"/>
    </row>
    <row r="265" spans="19:19" x14ac:dyDescent="0.2">
      <c r="S265" s="51"/>
    </row>
    <row r="266" spans="19:19" x14ac:dyDescent="0.2">
      <c r="S266" s="51"/>
    </row>
    <row r="267" spans="19:19" x14ac:dyDescent="0.2">
      <c r="S267" s="51"/>
    </row>
    <row r="268" spans="19:19" x14ac:dyDescent="0.2">
      <c r="S268" s="51"/>
    </row>
    <row r="269" spans="19:19" x14ac:dyDescent="0.2">
      <c r="S269" s="51"/>
    </row>
    <row r="270" spans="19:19" x14ac:dyDescent="0.2">
      <c r="S270" s="51"/>
    </row>
    <row r="271" spans="19:19" x14ac:dyDescent="0.2">
      <c r="S271" s="51"/>
    </row>
    <row r="272" spans="19:19" x14ac:dyDescent="0.2">
      <c r="S272" s="51"/>
    </row>
    <row r="273" spans="19:19" x14ac:dyDescent="0.2">
      <c r="S273" s="51"/>
    </row>
    <row r="274" spans="19:19" x14ac:dyDescent="0.2">
      <c r="S274" s="51"/>
    </row>
    <row r="275" spans="19:19" x14ac:dyDescent="0.2">
      <c r="S275" s="51"/>
    </row>
    <row r="276" spans="19:19" x14ac:dyDescent="0.2">
      <c r="S276" s="51"/>
    </row>
    <row r="277" spans="19:19" x14ac:dyDescent="0.2">
      <c r="S277" s="51"/>
    </row>
    <row r="278" spans="19:19" x14ac:dyDescent="0.2">
      <c r="S278" s="51"/>
    </row>
    <row r="279" spans="19:19" x14ac:dyDescent="0.2">
      <c r="S279" s="51"/>
    </row>
    <row r="280" spans="19:19" x14ac:dyDescent="0.2">
      <c r="S280" s="51"/>
    </row>
    <row r="281" spans="19:19" x14ac:dyDescent="0.2">
      <c r="S281" s="51"/>
    </row>
    <row r="282" spans="19:19" x14ac:dyDescent="0.2">
      <c r="S282" s="51"/>
    </row>
    <row r="283" spans="19:19" x14ac:dyDescent="0.2">
      <c r="S283" s="51"/>
    </row>
    <row r="284" spans="19:19" x14ac:dyDescent="0.2">
      <c r="S284" s="51"/>
    </row>
    <row r="285" spans="19:19" x14ac:dyDescent="0.2">
      <c r="S285" s="51"/>
    </row>
    <row r="286" spans="19:19" x14ac:dyDescent="0.2">
      <c r="S286" s="51"/>
    </row>
    <row r="287" spans="19:19" x14ac:dyDescent="0.2">
      <c r="S287" s="51"/>
    </row>
    <row r="288" spans="19:19" x14ac:dyDescent="0.2">
      <c r="S288" s="51"/>
    </row>
    <row r="289" spans="19:19" x14ac:dyDescent="0.2">
      <c r="S289" s="51"/>
    </row>
    <row r="290" spans="19:19" x14ac:dyDescent="0.2">
      <c r="S290" s="51"/>
    </row>
    <row r="291" spans="19:19" x14ac:dyDescent="0.2">
      <c r="S291" s="51"/>
    </row>
    <row r="292" spans="19:19" x14ac:dyDescent="0.2">
      <c r="S292" s="51"/>
    </row>
    <row r="293" spans="19:19" x14ac:dyDescent="0.2">
      <c r="S293" s="51"/>
    </row>
    <row r="294" spans="19:19" x14ac:dyDescent="0.2">
      <c r="S294" s="51"/>
    </row>
    <row r="295" spans="19:19" x14ac:dyDescent="0.2">
      <c r="S295" s="51"/>
    </row>
    <row r="296" spans="19:19" x14ac:dyDescent="0.2">
      <c r="S296" s="51"/>
    </row>
    <row r="297" spans="19:19" x14ac:dyDescent="0.2">
      <c r="S297" s="51"/>
    </row>
    <row r="298" spans="19:19" x14ac:dyDescent="0.2">
      <c r="S298" s="51"/>
    </row>
    <row r="299" spans="19:19" x14ac:dyDescent="0.2">
      <c r="S299" s="51"/>
    </row>
    <row r="300" spans="19:19" x14ac:dyDescent="0.2">
      <c r="S300" s="51"/>
    </row>
    <row r="301" spans="19:19" x14ac:dyDescent="0.2">
      <c r="S301" s="51"/>
    </row>
    <row r="302" spans="19:19" x14ac:dyDescent="0.2">
      <c r="S302" s="51"/>
    </row>
    <row r="303" spans="19:19" x14ac:dyDescent="0.2">
      <c r="S303" s="51"/>
    </row>
    <row r="304" spans="19:19" x14ac:dyDescent="0.2">
      <c r="S304" s="51"/>
    </row>
    <row r="305" spans="19:19" x14ac:dyDescent="0.2">
      <c r="S305" s="51"/>
    </row>
    <row r="306" spans="19:19" x14ac:dyDescent="0.2">
      <c r="S306" s="51"/>
    </row>
    <row r="307" spans="19:19" x14ac:dyDescent="0.2">
      <c r="S307" s="51"/>
    </row>
    <row r="308" spans="19:19" x14ac:dyDescent="0.2">
      <c r="S308" s="51"/>
    </row>
    <row r="309" spans="19:19" x14ac:dyDescent="0.2">
      <c r="S309" s="51"/>
    </row>
    <row r="310" spans="19:19" x14ac:dyDescent="0.2">
      <c r="S310" s="51"/>
    </row>
    <row r="311" spans="19:19" x14ac:dyDescent="0.2">
      <c r="S311" s="51"/>
    </row>
    <row r="312" spans="19:19" x14ac:dyDescent="0.2">
      <c r="S312" s="51"/>
    </row>
    <row r="313" spans="19:19" x14ac:dyDescent="0.2">
      <c r="S313" s="51"/>
    </row>
    <row r="314" spans="19:19" x14ac:dyDescent="0.2">
      <c r="S314" s="51"/>
    </row>
    <row r="315" spans="19:19" x14ac:dyDescent="0.2">
      <c r="S315" s="51"/>
    </row>
    <row r="316" spans="19:19" x14ac:dyDescent="0.2">
      <c r="S316" s="51"/>
    </row>
    <row r="317" spans="19:19" x14ac:dyDescent="0.2">
      <c r="S317" s="51"/>
    </row>
    <row r="318" spans="19:19" x14ac:dyDescent="0.2">
      <c r="S318" s="51"/>
    </row>
    <row r="319" spans="19:19" x14ac:dyDescent="0.2">
      <c r="S319" s="51"/>
    </row>
    <row r="320" spans="19:19" x14ac:dyDescent="0.2">
      <c r="S320" s="51"/>
    </row>
    <row r="321" spans="19:19" x14ac:dyDescent="0.2">
      <c r="S321" s="51"/>
    </row>
    <row r="322" spans="19:19" x14ac:dyDescent="0.2">
      <c r="S322" s="51"/>
    </row>
    <row r="323" spans="19:19" x14ac:dyDescent="0.2">
      <c r="S323" s="51"/>
    </row>
    <row r="324" spans="19:19" x14ac:dyDescent="0.2">
      <c r="S324" s="51"/>
    </row>
    <row r="325" spans="19:19" x14ac:dyDescent="0.2">
      <c r="S325" s="51"/>
    </row>
    <row r="326" spans="19:19" x14ac:dyDescent="0.2">
      <c r="S326" s="51"/>
    </row>
    <row r="327" spans="19:19" x14ac:dyDescent="0.2">
      <c r="S327" s="51"/>
    </row>
    <row r="328" spans="19:19" x14ac:dyDescent="0.2">
      <c r="S328" s="51"/>
    </row>
    <row r="329" spans="19:19" x14ac:dyDescent="0.2">
      <c r="S329" s="51"/>
    </row>
    <row r="330" spans="19:19" x14ac:dyDescent="0.2">
      <c r="S330" s="51"/>
    </row>
    <row r="331" spans="19:19" x14ac:dyDescent="0.2">
      <c r="S331" s="51"/>
    </row>
    <row r="332" spans="19:19" x14ac:dyDescent="0.2">
      <c r="S332" s="51"/>
    </row>
    <row r="333" spans="19:19" x14ac:dyDescent="0.2">
      <c r="S333" s="51"/>
    </row>
    <row r="334" spans="19:19" x14ac:dyDescent="0.2">
      <c r="S334" s="51"/>
    </row>
    <row r="335" spans="19:19" x14ac:dyDescent="0.2">
      <c r="S335" s="51"/>
    </row>
    <row r="336" spans="19:19" x14ac:dyDescent="0.2">
      <c r="S336" s="51"/>
    </row>
    <row r="337" spans="19:19" x14ac:dyDescent="0.2">
      <c r="S337" s="51"/>
    </row>
    <row r="338" spans="19:19" x14ac:dyDescent="0.2">
      <c r="S338" s="51"/>
    </row>
    <row r="339" spans="19:19" x14ac:dyDescent="0.2">
      <c r="S339" s="51"/>
    </row>
    <row r="340" spans="19:19" x14ac:dyDescent="0.2">
      <c r="S340" s="51"/>
    </row>
    <row r="341" spans="19:19" x14ac:dyDescent="0.2">
      <c r="S341" s="51"/>
    </row>
    <row r="342" spans="19:19" x14ac:dyDescent="0.2">
      <c r="S342" s="51"/>
    </row>
    <row r="343" spans="19:19" x14ac:dyDescent="0.2">
      <c r="S343" s="51"/>
    </row>
    <row r="344" spans="19:19" x14ac:dyDescent="0.2">
      <c r="S344" s="51"/>
    </row>
    <row r="345" spans="19:19" x14ac:dyDescent="0.2">
      <c r="S345" s="51"/>
    </row>
    <row r="346" spans="19:19" x14ac:dyDescent="0.2">
      <c r="S346" s="51"/>
    </row>
    <row r="347" spans="19:19" x14ac:dyDescent="0.2">
      <c r="S347" s="51"/>
    </row>
    <row r="348" spans="19:19" x14ac:dyDescent="0.2">
      <c r="S348" s="51"/>
    </row>
    <row r="349" spans="19:19" x14ac:dyDescent="0.2">
      <c r="S349" s="51"/>
    </row>
    <row r="350" spans="19:19" x14ac:dyDescent="0.2">
      <c r="S350" s="51"/>
    </row>
    <row r="351" spans="19:19" x14ac:dyDescent="0.2">
      <c r="S351" s="51"/>
    </row>
    <row r="352" spans="19:19" x14ac:dyDescent="0.2">
      <c r="S352" s="51"/>
    </row>
    <row r="353" spans="19:19" x14ac:dyDescent="0.2">
      <c r="S353" s="51"/>
    </row>
    <row r="354" spans="19:19" x14ac:dyDescent="0.2">
      <c r="S354" s="51"/>
    </row>
    <row r="355" spans="19:19" x14ac:dyDescent="0.2">
      <c r="S355" s="51"/>
    </row>
    <row r="356" spans="19:19" x14ac:dyDescent="0.2">
      <c r="S356" s="51"/>
    </row>
    <row r="357" spans="19:19" x14ac:dyDescent="0.2">
      <c r="S357" s="51"/>
    </row>
    <row r="358" spans="19:19" x14ac:dyDescent="0.2">
      <c r="S358" s="51"/>
    </row>
    <row r="359" spans="19:19" x14ac:dyDescent="0.2">
      <c r="S359" s="51"/>
    </row>
    <row r="360" spans="19:19" x14ac:dyDescent="0.2">
      <c r="S360" s="51"/>
    </row>
    <row r="361" spans="19:19" x14ac:dyDescent="0.2">
      <c r="S361" s="51"/>
    </row>
    <row r="362" spans="19:19" x14ac:dyDescent="0.2">
      <c r="S362" s="51"/>
    </row>
    <row r="363" spans="19:19" x14ac:dyDescent="0.2">
      <c r="S363" s="51"/>
    </row>
    <row r="364" spans="19:19" x14ac:dyDescent="0.2">
      <c r="S364" s="51"/>
    </row>
    <row r="365" spans="19:19" x14ac:dyDescent="0.2">
      <c r="S365" s="51"/>
    </row>
    <row r="366" spans="19:19" x14ac:dyDescent="0.2">
      <c r="S366" s="51"/>
    </row>
    <row r="367" spans="19:19" x14ac:dyDescent="0.2">
      <c r="S367" s="51"/>
    </row>
    <row r="368" spans="19:19" x14ac:dyDescent="0.2">
      <c r="S368" s="51"/>
    </row>
    <row r="369" spans="19:19" x14ac:dyDescent="0.2">
      <c r="S369" s="51"/>
    </row>
    <row r="370" spans="19:19" x14ac:dyDescent="0.2">
      <c r="S370" s="51"/>
    </row>
    <row r="371" spans="19:19" x14ac:dyDescent="0.2">
      <c r="S371" s="51"/>
    </row>
    <row r="372" spans="19:19" x14ac:dyDescent="0.2">
      <c r="S372" s="51"/>
    </row>
    <row r="373" spans="19:19" x14ac:dyDescent="0.2">
      <c r="S373" s="51"/>
    </row>
    <row r="374" spans="19:19" x14ac:dyDescent="0.2">
      <c r="S374" s="51"/>
    </row>
    <row r="375" spans="19:19" x14ac:dyDescent="0.2">
      <c r="S375" s="51"/>
    </row>
    <row r="376" spans="19:19" x14ac:dyDescent="0.2">
      <c r="S376" s="51"/>
    </row>
    <row r="377" spans="19:19" x14ac:dyDescent="0.2">
      <c r="S377" s="51"/>
    </row>
    <row r="378" spans="19:19" x14ac:dyDescent="0.2">
      <c r="S378" s="51"/>
    </row>
    <row r="379" spans="19:19" x14ac:dyDescent="0.2">
      <c r="S379" s="51"/>
    </row>
    <row r="380" spans="19:19" x14ac:dyDescent="0.2">
      <c r="S380" s="51"/>
    </row>
    <row r="381" spans="19:19" x14ac:dyDescent="0.2">
      <c r="S381" s="51"/>
    </row>
    <row r="382" spans="19:19" x14ac:dyDescent="0.2">
      <c r="S382" s="51"/>
    </row>
    <row r="383" spans="19:19" x14ac:dyDescent="0.2">
      <c r="S383" s="51"/>
    </row>
    <row r="384" spans="19:19" x14ac:dyDescent="0.2">
      <c r="S384" s="51"/>
    </row>
    <row r="385" spans="19:19" x14ac:dyDescent="0.2">
      <c r="S385" s="51"/>
    </row>
    <row r="386" spans="19:19" x14ac:dyDescent="0.2">
      <c r="S386" s="51"/>
    </row>
    <row r="387" spans="19:19" x14ac:dyDescent="0.2">
      <c r="S387" s="51"/>
    </row>
    <row r="388" spans="19:19" x14ac:dyDescent="0.2">
      <c r="S388" s="51"/>
    </row>
    <row r="389" spans="19:19" x14ac:dyDescent="0.2">
      <c r="S389" s="51"/>
    </row>
    <row r="390" spans="19:19" x14ac:dyDescent="0.2">
      <c r="S390" s="51"/>
    </row>
    <row r="391" spans="19:19" x14ac:dyDescent="0.2">
      <c r="S391" s="51"/>
    </row>
    <row r="392" spans="19:19" x14ac:dyDescent="0.2">
      <c r="S392" s="51"/>
    </row>
    <row r="393" spans="19:19" x14ac:dyDescent="0.2">
      <c r="S393" s="51"/>
    </row>
    <row r="394" spans="19:19" x14ac:dyDescent="0.2">
      <c r="S394" s="51"/>
    </row>
    <row r="395" spans="19:19" x14ac:dyDescent="0.2">
      <c r="S395" s="51"/>
    </row>
    <row r="396" spans="19:19" x14ac:dyDescent="0.2">
      <c r="S396" s="51"/>
    </row>
    <row r="397" spans="19:19" x14ac:dyDescent="0.2">
      <c r="S397" s="51"/>
    </row>
    <row r="398" spans="19:19" x14ac:dyDescent="0.2">
      <c r="S398" s="51"/>
    </row>
    <row r="399" spans="19:19" x14ac:dyDescent="0.2">
      <c r="S399" s="51"/>
    </row>
    <row r="400" spans="19:19" x14ac:dyDescent="0.2">
      <c r="S400" s="51"/>
    </row>
    <row r="401" spans="19:19" x14ac:dyDescent="0.2">
      <c r="S401" s="51"/>
    </row>
    <row r="402" spans="19:19" x14ac:dyDescent="0.2">
      <c r="S402" s="51"/>
    </row>
    <row r="403" spans="19:19" x14ac:dyDescent="0.2">
      <c r="S403" s="51"/>
    </row>
    <row r="404" spans="19:19" x14ac:dyDescent="0.2">
      <c r="S404" s="51"/>
    </row>
    <row r="405" spans="19:19" x14ac:dyDescent="0.2">
      <c r="S405" s="51"/>
    </row>
    <row r="406" spans="19:19" x14ac:dyDescent="0.2">
      <c r="S406" s="51"/>
    </row>
    <row r="407" spans="19:19" x14ac:dyDescent="0.2">
      <c r="S407" s="51"/>
    </row>
    <row r="408" spans="19:19" x14ac:dyDescent="0.2">
      <c r="S408" s="51"/>
    </row>
    <row r="409" spans="19:19" x14ac:dyDescent="0.2">
      <c r="S409" s="51"/>
    </row>
    <row r="410" spans="19:19" x14ac:dyDescent="0.2">
      <c r="S410" s="51"/>
    </row>
    <row r="411" spans="19:19" x14ac:dyDescent="0.2">
      <c r="S411" s="51"/>
    </row>
    <row r="412" spans="19:19" x14ac:dyDescent="0.2">
      <c r="S412" s="51"/>
    </row>
    <row r="413" spans="19:19" x14ac:dyDescent="0.2">
      <c r="S413" s="51"/>
    </row>
    <row r="414" spans="19:19" x14ac:dyDescent="0.2">
      <c r="S414" s="51"/>
    </row>
    <row r="415" spans="19:19" x14ac:dyDescent="0.2">
      <c r="S415" s="51"/>
    </row>
    <row r="416" spans="19:19" x14ac:dyDescent="0.2">
      <c r="S416" s="51"/>
    </row>
    <row r="417" spans="19:19" x14ac:dyDescent="0.2">
      <c r="S417" s="51"/>
    </row>
    <row r="418" spans="19:19" x14ac:dyDescent="0.2">
      <c r="S418" s="51"/>
    </row>
    <row r="419" spans="19:19" x14ac:dyDescent="0.2">
      <c r="S419" s="51"/>
    </row>
    <row r="420" spans="19:19" x14ac:dyDescent="0.2">
      <c r="S420" s="51"/>
    </row>
    <row r="421" spans="19:19" x14ac:dyDescent="0.2">
      <c r="S421" s="51"/>
    </row>
    <row r="422" spans="19:19" x14ac:dyDescent="0.2">
      <c r="S422" s="51"/>
    </row>
    <row r="423" spans="19:19" x14ac:dyDescent="0.2">
      <c r="S423" s="51"/>
    </row>
    <row r="424" spans="19:19" x14ac:dyDescent="0.2">
      <c r="S424" s="51"/>
    </row>
    <row r="425" spans="19:19" x14ac:dyDescent="0.2">
      <c r="S425" s="51"/>
    </row>
    <row r="426" spans="19:19" x14ac:dyDescent="0.2">
      <c r="S426" s="51"/>
    </row>
    <row r="427" spans="19:19" x14ac:dyDescent="0.2">
      <c r="S427" s="51"/>
    </row>
    <row r="428" spans="19:19" x14ac:dyDescent="0.2">
      <c r="S428" s="51"/>
    </row>
    <row r="429" spans="19:19" x14ac:dyDescent="0.2">
      <c r="S429" s="51"/>
    </row>
    <row r="430" spans="19:19" x14ac:dyDescent="0.2">
      <c r="S430" s="51"/>
    </row>
    <row r="431" spans="19:19" x14ac:dyDescent="0.2">
      <c r="S431" s="51"/>
    </row>
    <row r="432" spans="19:19" x14ac:dyDescent="0.2">
      <c r="S432" s="51"/>
    </row>
    <row r="433" spans="19:19" x14ac:dyDescent="0.2">
      <c r="S433" s="51"/>
    </row>
    <row r="434" spans="19:19" x14ac:dyDescent="0.2">
      <c r="S434" s="51"/>
    </row>
    <row r="435" spans="19:19" x14ac:dyDescent="0.2">
      <c r="S435" s="51"/>
    </row>
    <row r="436" spans="19:19" x14ac:dyDescent="0.2">
      <c r="S436" s="51"/>
    </row>
    <row r="437" spans="19:19" x14ac:dyDescent="0.2">
      <c r="S437" s="51"/>
    </row>
    <row r="438" spans="19:19" x14ac:dyDescent="0.2">
      <c r="S438" s="51"/>
    </row>
    <row r="439" spans="19:19" x14ac:dyDescent="0.2">
      <c r="S439" s="51"/>
    </row>
    <row r="440" spans="19:19" x14ac:dyDescent="0.2">
      <c r="S440" s="51"/>
    </row>
    <row r="441" spans="19:19" x14ac:dyDescent="0.2">
      <c r="S441" s="51"/>
    </row>
    <row r="442" spans="19:19" x14ac:dyDescent="0.2">
      <c r="S442" s="51"/>
    </row>
    <row r="443" spans="19:19" x14ac:dyDescent="0.2">
      <c r="S443" s="51"/>
    </row>
    <row r="444" spans="19:19" x14ac:dyDescent="0.2">
      <c r="S444" s="51"/>
    </row>
    <row r="445" spans="19:19" x14ac:dyDescent="0.2">
      <c r="S445" s="51"/>
    </row>
    <row r="446" spans="19:19" x14ac:dyDescent="0.2">
      <c r="S446" s="51"/>
    </row>
    <row r="447" spans="19:19" x14ac:dyDescent="0.2">
      <c r="S447" s="51"/>
    </row>
    <row r="448" spans="19:19" x14ac:dyDescent="0.2">
      <c r="S448" s="51"/>
    </row>
    <row r="449" spans="19:19" x14ac:dyDescent="0.2">
      <c r="S449" s="51"/>
    </row>
    <row r="450" spans="19:19" x14ac:dyDescent="0.2">
      <c r="S450" s="51"/>
    </row>
    <row r="451" spans="19:19" x14ac:dyDescent="0.2">
      <c r="S451" s="51"/>
    </row>
    <row r="452" spans="19:19" x14ac:dyDescent="0.2">
      <c r="S452" s="51"/>
    </row>
    <row r="453" spans="19:19" x14ac:dyDescent="0.2">
      <c r="S453" s="51"/>
    </row>
    <row r="454" spans="19:19" x14ac:dyDescent="0.2">
      <c r="S454" s="51"/>
    </row>
    <row r="455" spans="19:19" x14ac:dyDescent="0.2">
      <c r="S455" s="51"/>
    </row>
    <row r="456" spans="19:19" x14ac:dyDescent="0.2">
      <c r="S456" s="51"/>
    </row>
    <row r="457" spans="19:19" x14ac:dyDescent="0.2">
      <c r="S457" s="51"/>
    </row>
    <row r="458" spans="19:19" x14ac:dyDescent="0.2">
      <c r="S458" s="51"/>
    </row>
    <row r="459" spans="19:19" x14ac:dyDescent="0.2">
      <c r="S459" s="51"/>
    </row>
    <row r="460" spans="19:19" x14ac:dyDescent="0.2">
      <c r="S460" s="51"/>
    </row>
    <row r="461" spans="19:19" x14ac:dyDescent="0.2">
      <c r="S461" s="51"/>
    </row>
    <row r="462" spans="19:19" x14ac:dyDescent="0.2">
      <c r="S462" s="51"/>
    </row>
    <row r="463" spans="19:19" x14ac:dyDescent="0.2">
      <c r="S463" s="51"/>
    </row>
    <row r="464" spans="19:19" x14ac:dyDescent="0.2">
      <c r="S464" s="51"/>
    </row>
    <row r="465" spans="19:19" x14ac:dyDescent="0.2">
      <c r="S465" s="51"/>
    </row>
    <row r="466" spans="19:19" x14ac:dyDescent="0.2">
      <c r="S466" s="51"/>
    </row>
    <row r="467" spans="19:19" x14ac:dyDescent="0.2">
      <c r="S467" s="51"/>
    </row>
    <row r="468" spans="19:19" x14ac:dyDescent="0.2">
      <c r="S468" s="51"/>
    </row>
    <row r="469" spans="19:19" x14ac:dyDescent="0.2">
      <c r="S469" s="51"/>
    </row>
    <row r="470" spans="19:19" x14ac:dyDescent="0.2">
      <c r="S470" s="51"/>
    </row>
    <row r="471" spans="19:19" x14ac:dyDescent="0.2">
      <c r="S471" s="51"/>
    </row>
    <row r="472" spans="19:19" x14ac:dyDescent="0.2">
      <c r="S472" s="51"/>
    </row>
    <row r="473" spans="19:19" x14ac:dyDescent="0.2">
      <c r="S473" s="51"/>
    </row>
    <row r="474" spans="19:19" x14ac:dyDescent="0.2">
      <c r="S474" s="51"/>
    </row>
    <row r="475" spans="19:19" x14ac:dyDescent="0.2">
      <c r="S475" s="51"/>
    </row>
    <row r="476" spans="19:19" x14ac:dyDescent="0.2">
      <c r="S476" s="51"/>
    </row>
    <row r="477" spans="19:19" x14ac:dyDescent="0.2">
      <c r="S477" s="51"/>
    </row>
    <row r="478" spans="19:19" x14ac:dyDescent="0.2">
      <c r="S478" s="51"/>
    </row>
    <row r="479" spans="19:19" x14ac:dyDescent="0.2">
      <c r="S479" s="51"/>
    </row>
    <row r="480" spans="19:19" x14ac:dyDescent="0.2">
      <c r="S480" s="51"/>
    </row>
    <row r="481" spans="19:19" x14ac:dyDescent="0.2">
      <c r="S481" s="51"/>
    </row>
    <row r="482" spans="19:19" x14ac:dyDescent="0.2">
      <c r="S482" s="51"/>
    </row>
    <row r="483" spans="19:19" x14ac:dyDescent="0.2">
      <c r="S483" s="51"/>
    </row>
    <row r="484" spans="19:19" x14ac:dyDescent="0.2">
      <c r="S484" s="51"/>
    </row>
    <row r="485" spans="19:19" x14ac:dyDescent="0.2">
      <c r="S485" s="51"/>
    </row>
    <row r="486" spans="19:19" x14ac:dyDescent="0.2">
      <c r="S486" s="51"/>
    </row>
    <row r="487" spans="19:19" x14ac:dyDescent="0.2">
      <c r="S487" s="51"/>
    </row>
    <row r="488" spans="19:19" x14ac:dyDescent="0.2">
      <c r="S488" s="51"/>
    </row>
    <row r="489" spans="19:19" x14ac:dyDescent="0.2">
      <c r="S489" s="51"/>
    </row>
    <row r="490" spans="19:19" x14ac:dyDescent="0.2">
      <c r="S490" s="51"/>
    </row>
    <row r="491" spans="19:19" x14ac:dyDescent="0.2">
      <c r="S491" s="51"/>
    </row>
    <row r="492" spans="19:19" x14ac:dyDescent="0.2">
      <c r="S492" s="51"/>
    </row>
    <row r="493" spans="19:19" x14ac:dyDescent="0.2">
      <c r="S493" s="51"/>
    </row>
    <row r="494" spans="19:19" x14ac:dyDescent="0.2">
      <c r="S494" s="51"/>
    </row>
    <row r="495" spans="19:19" x14ac:dyDescent="0.2">
      <c r="S495" s="51"/>
    </row>
    <row r="496" spans="19:19" x14ac:dyDescent="0.2">
      <c r="S496" s="51"/>
    </row>
    <row r="497" spans="19:19" x14ac:dyDescent="0.2">
      <c r="S497" s="51"/>
    </row>
    <row r="498" spans="19:19" x14ac:dyDescent="0.2">
      <c r="S498" s="51"/>
    </row>
    <row r="499" spans="19:19" x14ac:dyDescent="0.2">
      <c r="S499" s="51"/>
    </row>
    <row r="500" spans="19:19" x14ac:dyDescent="0.2">
      <c r="S500" s="51"/>
    </row>
    <row r="501" spans="19:19" x14ac:dyDescent="0.2">
      <c r="S501" s="51"/>
    </row>
    <row r="502" spans="19:19" x14ac:dyDescent="0.2">
      <c r="S502" s="51"/>
    </row>
    <row r="503" spans="19:19" x14ac:dyDescent="0.2">
      <c r="S503" s="51"/>
    </row>
    <row r="504" spans="19:19" x14ac:dyDescent="0.2">
      <c r="S504" s="51"/>
    </row>
    <row r="505" spans="19:19" x14ac:dyDescent="0.2">
      <c r="S505" s="51"/>
    </row>
    <row r="506" spans="19:19" x14ac:dyDescent="0.2">
      <c r="S506" s="51"/>
    </row>
    <row r="507" spans="19:19" x14ac:dyDescent="0.2">
      <c r="S507" s="51"/>
    </row>
    <row r="508" spans="19:19" x14ac:dyDescent="0.2">
      <c r="S508" s="51"/>
    </row>
    <row r="509" spans="19:19" x14ac:dyDescent="0.2">
      <c r="S509" s="51"/>
    </row>
    <row r="510" spans="19:19" x14ac:dyDescent="0.2">
      <c r="S510" s="51"/>
    </row>
    <row r="511" spans="19:19" x14ac:dyDescent="0.2">
      <c r="S511" s="51"/>
    </row>
    <row r="512" spans="19:19" x14ac:dyDescent="0.2">
      <c r="S512" s="51"/>
    </row>
    <row r="513" spans="19:19" x14ac:dyDescent="0.2">
      <c r="S513" s="51"/>
    </row>
    <row r="514" spans="19:19" x14ac:dyDescent="0.2">
      <c r="S514" s="51"/>
    </row>
    <row r="515" spans="19:19" x14ac:dyDescent="0.2">
      <c r="S515" s="51"/>
    </row>
    <row r="516" spans="19:19" x14ac:dyDescent="0.2">
      <c r="S516" s="51"/>
    </row>
    <row r="517" spans="19:19" x14ac:dyDescent="0.2">
      <c r="S517" s="51"/>
    </row>
    <row r="518" spans="19:19" x14ac:dyDescent="0.2">
      <c r="S518" s="51"/>
    </row>
    <row r="519" spans="19:19" x14ac:dyDescent="0.2">
      <c r="S519" s="51"/>
    </row>
    <row r="520" spans="19:19" x14ac:dyDescent="0.2">
      <c r="S520" s="51"/>
    </row>
    <row r="521" spans="19:19" x14ac:dyDescent="0.2">
      <c r="S521" s="51"/>
    </row>
    <row r="522" spans="19:19" x14ac:dyDescent="0.2">
      <c r="S522" s="51"/>
    </row>
    <row r="523" spans="19:19" x14ac:dyDescent="0.2">
      <c r="S523" s="51"/>
    </row>
    <row r="524" spans="19:19" x14ac:dyDescent="0.2">
      <c r="S524" s="51"/>
    </row>
    <row r="525" spans="19:19" x14ac:dyDescent="0.2">
      <c r="S525" s="51"/>
    </row>
    <row r="526" spans="19:19" x14ac:dyDescent="0.2">
      <c r="S526" s="51"/>
    </row>
    <row r="527" spans="19:19" x14ac:dyDescent="0.2">
      <c r="S527" s="51"/>
    </row>
    <row r="528" spans="19:19" x14ac:dyDescent="0.2">
      <c r="S528" s="51"/>
    </row>
    <row r="529" spans="19:19" x14ac:dyDescent="0.2">
      <c r="S529" s="51"/>
    </row>
    <row r="530" spans="19:19" x14ac:dyDescent="0.2">
      <c r="S530" s="51"/>
    </row>
    <row r="531" spans="19:19" x14ac:dyDescent="0.2">
      <c r="S531" s="51"/>
    </row>
    <row r="532" spans="19:19" x14ac:dyDescent="0.2">
      <c r="S532" s="51"/>
    </row>
    <row r="533" spans="19:19" x14ac:dyDescent="0.2">
      <c r="S533" s="51"/>
    </row>
    <row r="534" spans="19:19" x14ac:dyDescent="0.2">
      <c r="S534" s="51"/>
    </row>
    <row r="535" spans="19:19" x14ac:dyDescent="0.2">
      <c r="S535" s="51"/>
    </row>
    <row r="536" spans="19:19" x14ac:dyDescent="0.2">
      <c r="S536" s="51"/>
    </row>
    <row r="537" spans="19:19" x14ac:dyDescent="0.2">
      <c r="S537" s="51"/>
    </row>
    <row r="538" spans="19:19" x14ac:dyDescent="0.2">
      <c r="S538" s="51"/>
    </row>
    <row r="539" spans="19:19" x14ac:dyDescent="0.2">
      <c r="S539" s="51"/>
    </row>
    <row r="540" spans="19:19" x14ac:dyDescent="0.2">
      <c r="S540" s="51"/>
    </row>
    <row r="541" spans="19:19" x14ac:dyDescent="0.2">
      <c r="S541" s="51"/>
    </row>
    <row r="542" spans="19:19" x14ac:dyDescent="0.2">
      <c r="S542" s="51"/>
    </row>
    <row r="543" spans="19:19" x14ac:dyDescent="0.2">
      <c r="S543" s="51"/>
    </row>
    <row r="544" spans="19:19" x14ac:dyDescent="0.2">
      <c r="S544" s="51"/>
    </row>
    <row r="545" spans="19:19" x14ac:dyDescent="0.2">
      <c r="S545" s="51"/>
    </row>
    <row r="546" spans="19:19" x14ac:dyDescent="0.2">
      <c r="S546" s="51"/>
    </row>
    <row r="547" spans="19:19" x14ac:dyDescent="0.2">
      <c r="S547" s="51"/>
    </row>
    <row r="548" spans="19:19" x14ac:dyDescent="0.2">
      <c r="S548" s="51"/>
    </row>
    <row r="549" spans="19:19" x14ac:dyDescent="0.2">
      <c r="S549" s="51"/>
    </row>
    <row r="550" spans="19:19" x14ac:dyDescent="0.2">
      <c r="S550" s="51"/>
    </row>
    <row r="551" spans="19:19" x14ac:dyDescent="0.2">
      <c r="S551" s="51"/>
    </row>
    <row r="552" spans="19:19" x14ac:dyDescent="0.2">
      <c r="S552" s="51"/>
    </row>
    <row r="553" spans="19:19" x14ac:dyDescent="0.2">
      <c r="S553" s="51"/>
    </row>
    <row r="554" spans="19:19" x14ac:dyDescent="0.2">
      <c r="S554" s="51"/>
    </row>
    <row r="555" spans="19:19" x14ac:dyDescent="0.2">
      <c r="S555" s="51"/>
    </row>
    <row r="556" spans="19:19" x14ac:dyDescent="0.2">
      <c r="S556" s="51"/>
    </row>
    <row r="557" spans="19:19" x14ac:dyDescent="0.2">
      <c r="S557" s="51"/>
    </row>
    <row r="558" spans="19:19" x14ac:dyDescent="0.2">
      <c r="S558" s="51"/>
    </row>
    <row r="559" spans="19:19" x14ac:dyDescent="0.2">
      <c r="S559" s="51"/>
    </row>
    <row r="560" spans="19:19" x14ac:dyDescent="0.2">
      <c r="S560" s="51"/>
    </row>
    <row r="561" spans="19:19" x14ac:dyDescent="0.2">
      <c r="S561" s="51"/>
    </row>
    <row r="562" spans="19:19" x14ac:dyDescent="0.2">
      <c r="S562" s="51"/>
    </row>
    <row r="563" spans="19:19" x14ac:dyDescent="0.2">
      <c r="S563" s="51"/>
    </row>
    <row r="564" spans="19:19" x14ac:dyDescent="0.2">
      <c r="S564" s="51"/>
    </row>
    <row r="565" spans="19:19" x14ac:dyDescent="0.2">
      <c r="S565" s="51"/>
    </row>
    <row r="566" spans="19:19" x14ac:dyDescent="0.2">
      <c r="S566" s="51"/>
    </row>
    <row r="567" spans="19:19" x14ac:dyDescent="0.2">
      <c r="S567" s="51"/>
    </row>
    <row r="568" spans="19:19" x14ac:dyDescent="0.2">
      <c r="S568" s="51"/>
    </row>
    <row r="569" spans="19:19" x14ac:dyDescent="0.2">
      <c r="S569" s="51"/>
    </row>
    <row r="570" spans="19:19" x14ac:dyDescent="0.2">
      <c r="S570" s="51"/>
    </row>
    <row r="571" spans="19:19" x14ac:dyDescent="0.2">
      <c r="S571" s="51"/>
    </row>
    <row r="572" spans="19:19" x14ac:dyDescent="0.2">
      <c r="S572" s="51"/>
    </row>
    <row r="573" spans="19:19" x14ac:dyDescent="0.2">
      <c r="S573" s="51"/>
    </row>
    <row r="574" spans="19:19" x14ac:dyDescent="0.2">
      <c r="S574" s="51"/>
    </row>
    <row r="575" spans="19:19" x14ac:dyDescent="0.2">
      <c r="S575" s="51"/>
    </row>
    <row r="576" spans="19:19" x14ac:dyDescent="0.2">
      <c r="S576" s="51"/>
    </row>
    <row r="577" spans="19:19" x14ac:dyDescent="0.2">
      <c r="S577" s="51"/>
    </row>
    <row r="578" spans="19:19" x14ac:dyDescent="0.2">
      <c r="S578" s="51"/>
    </row>
    <row r="579" spans="19:19" x14ac:dyDescent="0.2">
      <c r="S579" s="51"/>
    </row>
    <row r="580" spans="19:19" x14ac:dyDescent="0.2">
      <c r="S580" s="51"/>
    </row>
    <row r="581" spans="19:19" x14ac:dyDescent="0.2">
      <c r="S581" s="51"/>
    </row>
    <row r="582" spans="19:19" x14ac:dyDescent="0.2">
      <c r="S582" s="51"/>
    </row>
    <row r="583" spans="19:19" x14ac:dyDescent="0.2">
      <c r="S583" s="51"/>
    </row>
    <row r="584" spans="19:19" x14ac:dyDescent="0.2">
      <c r="S584" s="51"/>
    </row>
    <row r="585" spans="19:19" x14ac:dyDescent="0.2">
      <c r="S585" s="51"/>
    </row>
    <row r="586" spans="19:19" x14ac:dyDescent="0.2">
      <c r="S586" s="51"/>
    </row>
    <row r="587" spans="19:19" x14ac:dyDescent="0.2">
      <c r="S587" s="51"/>
    </row>
    <row r="588" spans="19:19" x14ac:dyDescent="0.2">
      <c r="S588" s="51"/>
    </row>
    <row r="589" spans="19:19" x14ac:dyDescent="0.2">
      <c r="S589" s="51"/>
    </row>
    <row r="590" spans="19:19" x14ac:dyDescent="0.2">
      <c r="S590" s="51"/>
    </row>
    <row r="591" spans="19:19" x14ac:dyDescent="0.2">
      <c r="S591" s="51"/>
    </row>
    <row r="592" spans="19:19" x14ac:dyDescent="0.2">
      <c r="S592" s="51"/>
    </row>
    <row r="593" spans="19:19" x14ac:dyDescent="0.2">
      <c r="S593" s="51"/>
    </row>
    <row r="594" spans="19:19" x14ac:dyDescent="0.2">
      <c r="S594" s="51"/>
    </row>
    <row r="595" spans="19:19" x14ac:dyDescent="0.2">
      <c r="S595" s="51"/>
    </row>
    <row r="596" spans="19:19" x14ac:dyDescent="0.2">
      <c r="S596" s="51"/>
    </row>
    <row r="597" spans="19:19" x14ac:dyDescent="0.2">
      <c r="S597" s="51"/>
    </row>
    <row r="598" spans="19:19" x14ac:dyDescent="0.2">
      <c r="S598" s="51"/>
    </row>
    <row r="599" spans="19:19" x14ac:dyDescent="0.2">
      <c r="S599" s="51"/>
    </row>
    <row r="600" spans="19:19" x14ac:dyDescent="0.2">
      <c r="S600" s="51"/>
    </row>
    <row r="601" spans="19:19" x14ac:dyDescent="0.2">
      <c r="S601" s="51"/>
    </row>
    <row r="602" spans="19:19" x14ac:dyDescent="0.2">
      <c r="S602" s="51"/>
    </row>
    <row r="603" spans="19:19" x14ac:dyDescent="0.2">
      <c r="S603" s="51"/>
    </row>
    <row r="604" spans="19:19" x14ac:dyDescent="0.2">
      <c r="S604" s="51"/>
    </row>
    <row r="605" spans="19:19" x14ac:dyDescent="0.2">
      <c r="S605" s="51"/>
    </row>
    <row r="606" spans="19:19" x14ac:dyDescent="0.2">
      <c r="S606" s="51"/>
    </row>
    <row r="607" spans="19:19" x14ac:dyDescent="0.2">
      <c r="S607" s="51"/>
    </row>
    <row r="608" spans="19:19" x14ac:dyDescent="0.2">
      <c r="S608" s="51"/>
    </row>
    <row r="609" spans="19:19" x14ac:dyDescent="0.2">
      <c r="S609" s="51"/>
    </row>
    <row r="610" spans="19:19" x14ac:dyDescent="0.2">
      <c r="S610" s="51"/>
    </row>
    <row r="611" spans="19:19" x14ac:dyDescent="0.2">
      <c r="S611" s="51"/>
    </row>
    <row r="612" spans="19:19" x14ac:dyDescent="0.2">
      <c r="S612" s="51"/>
    </row>
    <row r="613" spans="19:19" x14ac:dyDescent="0.2">
      <c r="S613" s="51"/>
    </row>
    <row r="614" spans="19:19" x14ac:dyDescent="0.2">
      <c r="S614" s="51"/>
    </row>
    <row r="615" spans="19:19" x14ac:dyDescent="0.2">
      <c r="S615" s="51"/>
    </row>
    <row r="616" spans="19:19" x14ac:dyDescent="0.2">
      <c r="S616" s="51"/>
    </row>
    <row r="617" spans="19:19" x14ac:dyDescent="0.2">
      <c r="S617" s="51"/>
    </row>
    <row r="618" spans="19:19" x14ac:dyDescent="0.2">
      <c r="S618" s="51"/>
    </row>
    <row r="619" spans="19:19" x14ac:dyDescent="0.2">
      <c r="S619" s="51"/>
    </row>
    <row r="620" spans="19:19" x14ac:dyDescent="0.2">
      <c r="S620" s="51"/>
    </row>
    <row r="621" spans="19:19" x14ac:dyDescent="0.2">
      <c r="S621" s="51"/>
    </row>
    <row r="622" spans="19:19" x14ac:dyDescent="0.2">
      <c r="S622" s="51"/>
    </row>
    <row r="623" spans="19:19" x14ac:dyDescent="0.2">
      <c r="S623" s="51"/>
    </row>
    <row r="624" spans="19:19" x14ac:dyDescent="0.2">
      <c r="S624" s="51"/>
    </row>
    <row r="625" spans="19:19" x14ac:dyDescent="0.2">
      <c r="S625" s="51"/>
    </row>
    <row r="626" spans="19:19" x14ac:dyDescent="0.2">
      <c r="S626" s="51"/>
    </row>
    <row r="627" spans="19:19" x14ac:dyDescent="0.2">
      <c r="S627" s="51"/>
    </row>
    <row r="628" spans="19:19" x14ac:dyDescent="0.2">
      <c r="S628" s="51"/>
    </row>
    <row r="629" spans="19:19" x14ac:dyDescent="0.2">
      <c r="S629" s="51"/>
    </row>
    <row r="630" spans="19:19" x14ac:dyDescent="0.2">
      <c r="S630" s="51"/>
    </row>
    <row r="631" spans="19:19" x14ac:dyDescent="0.2">
      <c r="S631" s="51"/>
    </row>
    <row r="632" spans="19:19" x14ac:dyDescent="0.2">
      <c r="S632" s="51"/>
    </row>
    <row r="633" spans="19:19" x14ac:dyDescent="0.2">
      <c r="S633" s="51"/>
    </row>
    <row r="634" spans="19:19" x14ac:dyDescent="0.2">
      <c r="S634" s="51"/>
    </row>
    <row r="635" spans="19:19" x14ac:dyDescent="0.2">
      <c r="S635" s="51"/>
    </row>
    <row r="636" spans="19:19" x14ac:dyDescent="0.2">
      <c r="S636" s="51"/>
    </row>
    <row r="637" spans="19:19" x14ac:dyDescent="0.2">
      <c r="S637" s="51"/>
    </row>
    <row r="638" spans="19:19" x14ac:dyDescent="0.2">
      <c r="S638" s="51"/>
    </row>
    <row r="639" spans="19:19" x14ac:dyDescent="0.2">
      <c r="S639" s="51"/>
    </row>
    <row r="640" spans="19:19" x14ac:dyDescent="0.2">
      <c r="S640" s="51"/>
    </row>
    <row r="641" spans="19:19" x14ac:dyDescent="0.2">
      <c r="S641" s="51"/>
    </row>
    <row r="642" spans="19:19" x14ac:dyDescent="0.2">
      <c r="S642" s="51"/>
    </row>
    <row r="643" spans="19:19" x14ac:dyDescent="0.2">
      <c r="S643" s="51"/>
    </row>
    <row r="644" spans="19:19" x14ac:dyDescent="0.2">
      <c r="S644" s="51"/>
    </row>
    <row r="645" spans="19:19" x14ac:dyDescent="0.2">
      <c r="S645" s="51"/>
    </row>
    <row r="646" spans="19:19" x14ac:dyDescent="0.2">
      <c r="S646" s="51"/>
    </row>
    <row r="647" spans="19:19" x14ac:dyDescent="0.2">
      <c r="S647" s="51"/>
    </row>
    <row r="648" spans="19:19" x14ac:dyDescent="0.2">
      <c r="S648" s="51"/>
    </row>
    <row r="649" spans="19:19" x14ac:dyDescent="0.2">
      <c r="S649" s="51"/>
    </row>
    <row r="650" spans="19:19" x14ac:dyDescent="0.2">
      <c r="S650" s="51"/>
    </row>
    <row r="651" spans="19:19" x14ac:dyDescent="0.2">
      <c r="S651" s="51"/>
    </row>
    <row r="652" spans="19:19" x14ac:dyDescent="0.2">
      <c r="S652" s="51"/>
    </row>
    <row r="653" spans="19:19" x14ac:dyDescent="0.2">
      <c r="S653" s="51"/>
    </row>
    <row r="654" spans="19:19" x14ac:dyDescent="0.2">
      <c r="S654" s="51"/>
    </row>
    <row r="655" spans="19:19" x14ac:dyDescent="0.2">
      <c r="S655" s="51"/>
    </row>
    <row r="656" spans="19:19" x14ac:dyDescent="0.2">
      <c r="S656" s="51"/>
    </row>
    <row r="657" spans="19:19" x14ac:dyDescent="0.2">
      <c r="S657" s="51"/>
    </row>
    <row r="658" spans="19:19" x14ac:dyDescent="0.2">
      <c r="S658" s="51"/>
    </row>
    <row r="659" spans="19:19" x14ac:dyDescent="0.2">
      <c r="S659" s="51"/>
    </row>
    <row r="660" spans="19:19" x14ac:dyDescent="0.2">
      <c r="S660" s="51"/>
    </row>
    <row r="661" spans="19:19" x14ac:dyDescent="0.2">
      <c r="S661" s="51"/>
    </row>
    <row r="662" spans="19:19" x14ac:dyDescent="0.2">
      <c r="S662" s="51"/>
    </row>
    <row r="663" spans="19:19" x14ac:dyDescent="0.2">
      <c r="S663" s="51"/>
    </row>
    <row r="664" spans="19:19" x14ac:dyDescent="0.2">
      <c r="S664" s="51"/>
    </row>
    <row r="665" spans="19:19" x14ac:dyDescent="0.2">
      <c r="S665" s="51"/>
    </row>
    <row r="666" spans="19:19" x14ac:dyDescent="0.2">
      <c r="S666" s="51"/>
    </row>
    <row r="667" spans="19:19" x14ac:dyDescent="0.2">
      <c r="S667" s="51"/>
    </row>
    <row r="668" spans="19:19" x14ac:dyDescent="0.2">
      <c r="S668" s="51"/>
    </row>
    <row r="669" spans="19:19" x14ac:dyDescent="0.2">
      <c r="S669" s="51"/>
    </row>
    <row r="670" spans="19:19" x14ac:dyDescent="0.2">
      <c r="S670" s="51"/>
    </row>
    <row r="671" spans="19:19" x14ac:dyDescent="0.2">
      <c r="S671" s="51"/>
    </row>
    <row r="672" spans="19:19" x14ac:dyDescent="0.2">
      <c r="S672" s="51"/>
    </row>
    <row r="673" spans="19:19" x14ac:dyDescent="0.2">
      <c r="S673" s="51"/>
    </row>
    <row r="674" spans="19:19" x14ac:dyDescent="0.2">
      <c r="S674" s="51"/>
    </row>
    <row r="675" spans="19:19" x14ac:dyDescent="0.2">
      <c r="S675" s="51"/>
    </row>
    <row r="676" spans="19:19" x14ac:dyDescent="0.2">
      <c r="S676" s="51"/>
    </row>
    <row r="677" spans="19:19" x14ac:dyDescent="0.2">
      <c r="S677" s="51"/>
    </row>
    <row r="678" spans="19:19" x14ac:dyDescent="0.2">
      <c r="S678" s="51"/>
    </row>
    <row r="679" spans="19:19" x14ac:dyDescent="0.2">
      <c r="S679" s="51"/>
    </row>
    <row r="680" spans="19:19" x14ac:dyDescent="0.2">
      <c r="S680" s="51"/>
    </row>
    <row r="681" spans="19:19" x14ac:dyDescent="0.2">
      <c r="S681" s="51"/>
    </row>
    <row r="682" spans="19:19" x14ac:dyDescent="0.2">
      <c r="S682" s="51"/>
    </row>
    <row r="683" spans="19:19" x14ac:dyDescent="0.2">
      <c r="S683" s="51"/>
    </row>
    <row r="684" spans="19:19" x14ac:dyDescent="0.2">
      <c r="S684" s="51"/>
    </row>
    <row r="685" spans="19:19" x14ac:dyDescent="0.2">
      <c r="S685" s="51"/>
    </row>
    <row r="686" spans="19:19" x14ac:dyDescent="0.2">
      <c r="S686" s="51"/>
    </row>
    <row r="687" spans="19:19" x14ac:dyDescent="0.2">
      <c r="S687" s="51"/>
    </row>
    <row r="688" spans="19:19" x14ac:dyDescent="0.2">
      <c r="S688" s="51"/>
    </row>
    <row r="689" spans="19:19" x14ac:dyDescent="0.2">
      <c r="S689" s="51"/>
    </row>
    <row r="690" spans="19:19" x14ac:dyDescent="0.2">
      <c r="S690" s="51"/>
    </row>
    <row r="691" spans="19:19" x14ac:dyDescent="0.2">
      <c r="S691" s="51"/>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BANDHAN OF</vt:lpstr>
      <vt:lpstr>BANDHAN CF</vt:lpstr>
      <vt:lpstr>BANDHAN LDF</vt:lpstr>
      <vt:lpstr>BANDHAN MMF</vt:lpstr>
      <vt:lpstr>BANDHAN USTF</vt:lpstr>
      <vt:lpstr>BANDHAN DBF</vt:lpstr>
      <vt:lpstr>BANDHAN BOND IP</vt:lpstr>
      <vt:lpstr>BANDHAN BOND MT</vt:lpstr>
      <vt:lpstr>BANDHAN BOND ST</vt:lpstr>
      <vt:lpstr>BANDHAN BPDF</vt:lpstr>
      <vt:lpstr>BANDHAN CBF</vt:lpstr>
      <vt:lpstr>BANDHAN CRF</vt:lpstr>
      <vt:lpstr>BANDHAN FRF</vt:lpstr>
      <vt:lpstr>BANDHAN Long Dur</vt:lpstr>
      <vt:lpstr>BANDHAN GSF-IP</vt:lpstr>
      <vt:lpstr>BANDHAN GSF - CMP</vt:lpstr>
      <vt:lpstr>BANDHAN GIF26</vt:lpstr>
      <vt:lpstr>BANDHAN-GIF2027</vt:lpstr>
      <vt:lpstr>BANDHAN GIF2028</vt:lpstr>
      <vt:lpstr>BANDHAN GIF32</vt:lpstr>
      <vt:lpstr>BANDHAN SDLGIF26</vt:lpstr>
      <vt:lpstr>BANDHAN SDLGIF27</vt:lpstr>
      <vt:lpstr>BANDHAN SDLGIF32</vt:lpstr>
      <vt:lpstr>BANDHAN ASBF</vt:lpstr>
      <vt:lpstr>BANDHAN US TB 0-1yr FOF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BANDHANMF Products2</dc:creator>
  <cp:lastModifiedBy>BANDHANMF Products2</cp:lastModifiedBy>
  <dcterms:created xsi:type="dcterms:W3CDTF">2024-06-01T18:23:34Z</dcterms:created>
  <dcterms:modified xsi:type="dcterms:W3CDTF">2024-06-11T06:52:02Z</dcterms:modified>
</cp:coreProperties>
</file>