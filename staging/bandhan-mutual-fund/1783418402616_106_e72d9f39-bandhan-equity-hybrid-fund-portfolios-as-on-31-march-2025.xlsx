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27.xml" ContentType="application/vnd.openxmlformats-officedocument.drawing+xml"/>
  <Override PartName="/xl/charts/chart34.xml" ContentType="application/vnd.openxmlformats-officedocument.drawingml.chart+xml"/>
  <Override PartName="/xl/drawings/drawing28.xml" ContentType="application/vnd.openxmlformats-officedocument.drawing+xml"/>
  <Override PartName="/xl/charts/chart35.xml" ContentType="application/vnd.openxmlformats-officedocument.drawingml.chart+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1.xml" ContentType="application/vnd.openxmlformats-officedocument.drawing+xml"/>
  <Override PartName="/xl/charts/chart38.xml" ContentType="application/vnd.openxmlformats-officedocument.drawingml.chart+xml"/>
  <Override PartName="/xl/drawings/drawing32.xml" ContentType="application/vnd.openxmlformats-officedocument.drawing+xml"/>
  <Override PartName="/xl/charts/chart39.xml" ContentType="application/vnd.openxmlformats-officedocument.drawingml.chart+xml"/>
  <Override PartName="/xl/drawings/drawing33.xml" ContentType="application/vnd.openxmlformats-officedocument.drawing+xml"/>
  <Override PartName="/xl/charts/chart40.xml" ContentType="application/vnd.openxmlformats-officedocument.drawingml.chart+xml"/>
  <Override PartName="/xl/drawings/drawing34.xml" ContentType="application/vnd.openxmlformats-officedocument.drawing+xml"/>
  <Override PartName="/xl/charts/chart41.xml" ContentType="application/vnd.openxmlformats-officedocument.drawingml.chart+xml"/>
  <Override PartName="/xl/drawings/drawing35.xml" ContentType="application/vnd.openxmlformats-officedocument.drawing+xml"/>
  <Override PartName="/xl/charts/chart42.xml" ContentType="application/vnd.openxmlformats-officedocument.drawingml.chart+xml"/>
  <Override PartName="/xl/drawings/drawing36.xml" ContentType="application/vnd.openxmlformats-officedocument.drawing+xml"/>
  <Override PartName="/xl/charts/chart43.xml" ContentType="application/vnd.openxmlformats-officedocument.drawingml.chart+xml"/>
  <Override PartName="/xl/drawings/drawing37.xml" ContentType="application/vnd.openxmlformats-officedocument.drawing+xml"/>
  <Override PartName="/xl/charts/chart44.xml" ContentType="application/vnd.openxmlformats-officedocument.drawingml.chart+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xml"/>
  <Override PartName="/xl/charts/chart46.xml" ContentType="application/vnd.openxmlformats-officedocument.drawingml.chart+xml"/>
  <Override PartName="/xl/drawings/drawing40.xml" ContentType="application/vnd.openxmlformats-officedocument.drawing+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drawings/drawing44.xml" ContentType="application/vnd.openxmlformats-officedocument.drawing+xml"/>
  <Override PartName="/xl/charts/chart51.xml" ContentType="application/vnd.openxmlformats-officedocument.drawingml.chart+xml"/>
  <Override PartName="/xl/drawings/drawing45.xml" ContentType="application/vnd.openxmlformats-officedocument.drawing+xml"/>
  <Override PartName="/xl/charts/chart5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C:\Users\Product\AppData\Local\Microsoft\Windows\INetCache\Content.Outlook\IPZHTJZ4\"/>
    </mc:Choice>
  </mc:AlternateContent>
  <xr:revisionPtr revIDLastSave="0" documentId="13_ncr:1_{5B438DD2-1F94-49AB-BA53-F3596F89A098}" xr6:coauthVersionLast="36" xr6:coauthVersionMax="47" xr10:uidLastSave="{00000000-0000-0000-0000-000000000000}"/>
  <bookViews>
    <workbookView xWindow="0" yWindow="0" windowWidth="20490" windowHeight="7545" tabRatio="875"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AHF" sheetId="26" r:id="rId20"/>
    <sheet name="BANDHAN RF" sheetId="41" r:id="rId21"/>
    <sheet name="BANDHAN MAF" sheetId="45" r:id="rId22"/>
    <sheet name="BANDHAN AAF-AP" sheetId="19" r:id="rId23"/>
    <sheet name="BANDHANAAF-MP" sheetId="20" r:id="rId24"/>
    <sheet name="BANDHANAAF-CP" sheetId="21" r:id="rId25"/>
    <sheet name="BANDHAN IPAFOFs" sheetId="63" r:id="rId26"/>
    <sheet name="BANDHAN-NIFTY 50 Index" sheetId="10" r:id="rId27"/>
    <sheet name="BANDHAN BSE SENSEX ETF" sheetId="16" r:id="rId28"/>
    <sheet name="BANDHAN- Nifty 50 ETF" sheetId="17" r:id="rId29"/>
    <sheet name="BANDHAN-Nifty 100 Index" sheetId="31" r:id="rId30"/>
    <sheet name="BANDHAN-Nifty200 Mom30 Index" sheetId="34" r:id="rId31"/>
    <sheet name="BANDHAN NIF100LV30" sheetId="35" r:id="rId32"/>
    <sheet name="BANDHAN NIFTY IT INDEX" sheetId="40" r:id="rId33"/>
    <sheet name="Bandhan Nifty Alpha 50 Index" sheetId="42" r:id="rId34"/>
    <sheet name="Bandhan Nifty Smallcap 250 " sheetId="44" r:id="rId35"/>
    <sheet name="Bandhan Nifty Total Market " sheetId="47" r:id="rId36"/>
    <sheet name="Bandhan Nifty Bank Index Fund" sheetId="49" r:id="rId37"/>
    <sheet name="Bandhan BSE Healthcare Index " sheetId="52" r:id="rId38"/>
    <sheet name="Bandhan Nifty Midcap 150 Index " sheetId="53" r:id="rId39"/>
    <sheet name="Bandhan Nifty 500 Value 50 " sheetId="56" r:id="rId40"/>
    <sheet name="Bandhan Nifty 500 Momentum 50 " sheetId="57" r:id="rId41"/>
    <sheet name="Bandhan Nifty 200 Quality 30 " sheetId="58" r:id="rId42"/>
    <sheet name="Bandhan Nifty Alpha Low Vol 30" sheetId="61" r:id="rId43"/>
    <sheet name="Bandhan Nifty Next 50 Index" sheetId="62" r:id="rId44"/>
    <sheet name="BANDHAN US TB 0-1yr FOF" sheetId="60" r:id="rId45"/>
  </sheets>
  <definedNames>
    <definedName name="_xlnm._FilterDatabase" localSheetId="22" hidden="1">'BANDHAN AAF-AP'!$C$12:$D$15</definedName>
    <definedName name="_xlnm._FilterDatabase" localSheetId="16" hidden="1">'BANDHAN BAF'!$I$48:$J$53</definedName>
    <definedName name="JR_PAGE_ANCHOR_0_24" localSheetId="42">#REF!</definedName>
    <definedName name="JR_PAGE_ANCHOR_0_24" localSheetId="43">#REF!</definedName>
    <definedName name="JR_PAGE_ANCHOR_0_24" localSheetId="44">#REF!</definedName>
    <definedName name="JR_PAGE_ANCHOR_0_24">#REF!</definedName>
    <definedName name="JR_PAGE_ANCHOR_0_25" localSheetId="42">#REF!</definedName>
    <definedName name="JR_PAGE_ANCHOR_0_25" localSheetId="43">#REF!</definedName>
    <definedName name="JR_PAGE_ANCHOR_0_25" localSheetId="44">#REF!</definedName>
    <definedName name="JR_PAGE_ANCHOR_0_25">#REF!</definedName>
    <definedName name="JR_PAGE_ANCHOR_0_26" localSheetId="42">#REF!</definedName>
    <definedName name="JR_PAGE_ANCHOR_0_26" localSheetId="43">#REF!</definedName>
    <definedName name="JR_PAGE_ANCHOR_0_26">#REF!</definedName>
    <definedName name="JR_PAGE_ANCHOR_0_27" localSheetId="42">#REF!</definedName>
    <definedName name="JR_PAGE_ANCHOR_0_27" localSheetId="43">#REF!</definedName>
    <definedName name="JR_PAGE_ANCHOR_0_27">#REF!</definedName>
    <definedName name="JR_PAGE_ANCHOR_0_28" localSheetId="42">#REF!</definedName>
    <definedName name="JR_PAGE_ANCHOR_0_28" localSheetId="43">#REF!</definedName>
    <definedName name="JR_PAGE_ANCHOR_0_28">#REF!</definedName>
    <definedName name="_xlnm.Print_Area" localSheetId="15">'BANDHAN-AF'!$C$5:$E$13</definedName>
  </definedNames>
  <calcPr calcId="191029"/>
</workbook>
</file>

<file path=xl/calcChain.xml><?xml version="1.0" encoding="utf-8"?>
<calcChain xmlns="http://schemas.openxmlformats.org/spreadsheetml/2006/main">
  <c r="J10" i="20" l="1"/>
  <c r="H10" i="26"/>
  <c r="H9" i="26"/>
  <c r="E51" i="26"/>
  <c r="H10" i="18"/>
  <c r="H9" i="18"/>
  <c r="E23" i="25"/>
  <c r="E50" i="5"/>
  <c r="E28" i="27" l="1"/>
  <c r="E24" i="62" l="1"/>
  <c r="E24" i="61" l="1"/>
  <c r="D15" i="60" l="1"/>
  <c r="J10" i="60"/>
  <c r="J9" i="60"/>
  <c r="J8" i="60"/>
  <c r="K13" i="26" l="1"/>
  <c r="K14" i="26"/>
  <c r="K12" i="26"/>
  <c r="E49" i="25"/>
  <c r="E20" i="49" l="1"/>
  <c r="E24" i="58"/>
  <c r="E23" i="5" l="1"/>
  <c r="K18" i="25" l="1"/>
  <c r="E24" i="57" l="1"/>
  <c r="E24" i="56"/>
  <c r="K17" i="25"/>
  <c r="E24" i="54" l="1"/>
  <c r="E24" i="53" l="1"/>
  <c r="E24" i="52"/>
  <c r="K16" i="25" l="1"/>
  <c r="K15" i="25"/>
  <c r="K14" i="25"/>
  <c r="K12" i="25"/>
  <c r="K10" i="25"/>
  <c r="H8" i="26" l="1"/>
  <c r="E24" i="47" l="1"/>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7" i="18" l="1"/>
  <c r="K10" i="18" l="1"/>
  <c r="E24" i="26"/>
  <c r="I10" i="26"/>
  <c r="I9" i="26"/>
  <c r="I8" i="26"/>
  <c r="K10" i="26" l="1"/>
  <c r="J10" i="21"/>
  <c r="J9" i="21"/>
  <c r="D17" i="20"/>
  <c r="J9" i="20" s="1"/>
  <c r="D11" i="20"/>
  <c r="J8" i="20" s="1"/>
  <c r="J8" i="21" l="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<sst xmlns="http://schemas.openxmlformats.org/spreadsheetml/2006/main" count="2785" uniqueCount="443">
  <si>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</si>
  <si>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</si>
  <si>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</si>
  <si>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</si>
  <si>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</si>
  <si>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</si>
  <si>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</si>
  <si>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</si>
  <si>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</si>
  <si>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</si>
  <si>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</si>
  <si>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</si>
  <si>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</si>
  <si>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</si>
  <si>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</si>
  <si>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</si>
  <si>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</si>
  <si>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</si>
  <si>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</si>
  <si>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</si>
  <si>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</si>
  <si>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</si>
  <si>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</si>
  <si>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</si>
  <si>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</si>
  <si>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</si>
  <si>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</si>
  <si>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</si>
  <si>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</si>
  <si>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</si>
  <si>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</si>
  <si>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</si>
  <si>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</si>
  <si>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</si>
  <si>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</si>
  <si>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</si>
  <si>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</si>
  <si>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</si>
  <si>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</si>
  <si>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</si>
  <si>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</si>
  <si>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</si>
  <si>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</si>
  <si>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</si>
  <si>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</si>
  <si>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</si>
  <si>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</si>
  <si>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</si>
  <si>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</si>
  <si>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</si>
  <si>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</si>
  <si>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</si>
  <si>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</si>
  <si>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</si>
  <si>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</si>
  <si>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</si>
  <si>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</si>
  <si>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</si>
  <si>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</si>
  <si>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</si>
  <si>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</si>
  <si>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</si>
  <si>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</si>
  <si>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</si>
  <si>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</si>
  <si>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</si>
  <si>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</si>
  <si>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</si>
  <si>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</si>
  <si>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</si>
  <si>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</si>
  <si>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</si>
  <si>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</si>
  <si>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</si>
  <si>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</si>
  <si>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</si>
  <si>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</si>
  <si>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</si>
  <si>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</si>
  <si>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</si>
  <si>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</si>
  <si>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</si>
  <si>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</si>
  <si>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</si>
  <si>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</si>
  <si>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</si>
  <si>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</si>
  <si>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</si>
  <si>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</si>
  <si>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</si>
  <si>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</si>
  <si>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</si>
  <si>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</si>
  <si>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</si>
  <si>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</si>
  <si>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</si>
  <si>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</si>
  <si>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</si>
  <si>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</si>
  <si>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</si>
  <si>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</si>
  <si>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</si>
  <si>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</si>
  <si>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</si>
  <si>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</si>
  <si>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</si>
  <si>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</si>
  <si>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</si>
  <si>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</si>
  <si>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</si>
  <si>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</si>
  <si>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</si>
  <si>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</si>
  <si>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</si>
  <si>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</si>
  <si>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</si>
  <si>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</si>
  <si>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</si>
  <si>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</si>
  <si>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</si>
  <si>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</si>
  <si>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</si>
  <si>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</si>
  <si>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</si>
  <si>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</si>
  <si>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</si>
  <si>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</si>
  <si>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</si>
  <si>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</si>
  <si>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</si>
  <si>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</si>
  <si>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</si>
  <si>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</si>
  <si>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</si>
  <si>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</si>
  <si>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</si>
  <si>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</si>
  <si>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</si>
  <si>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</si>
  <si>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</si>
  <si>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</si>
  <si>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</si>
  <si>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</si>
  <si>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</si>
  <si>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</si>
  <si>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</si>
  <si>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</si>
  <si>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</si>
  <si>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</si>
  <si>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</si>
  <si>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</si>
  <si>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</si>
  <si>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</si>
  <si>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</si>
  <si>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</si>
  <si>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</si>
  <si>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</si>
  <si>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</si>
  <si>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</si>
  <si>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</si>
  <si>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</si>
  <si>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</si>
  <si>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</si>
  <si>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</si>
  <si>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</si>
  <si>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</si>
  <si>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</si>
  <si>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</si>
  <si>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</si>
  <si>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</si>
  <si>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</si>
  <si>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</si>
  <si>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</si>
  <si>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</si>
  <si>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</si>
  <si>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</si>
  <si>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</si>
  <si>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</si>
  <si>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</si>
  <si>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</si>
  <si>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</si>
  <si>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</si>
  <si>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</si>
  <si>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</si>
  <si>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</si>
  <si>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</si>
  <si>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</si>
  <si>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</si>
  <si>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</si>
  <si>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</si>
  <si>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</si>
  <si>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</si>
  <si>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</si>
  <si>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</si>
  <si>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</si>
  <si>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</si>
  <si>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</si>
  <si>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</si>
  <si>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</si>
  <si>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</si>
  <si>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</si>
  <si>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</si>
  <si>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</si>
  <si>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</si>
  <si>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</si>
  <si>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</si>
  <si>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</si>
  <si>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</si>
  <si>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</si>
  <si>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</si>
  <si>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</si>
  <si>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</si>
  <si>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</si>
  <si>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</si>
  <si>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</si>
  <si>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</si>
  <si>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</si>
  <si>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</si>
  <si>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</si>
  <si>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</si>
  <si>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</si>
  <si>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</si>
  <si>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</si>
  <si>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</si>
  <si>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</si>
  <si>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</si>
  <si>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</si>
  <si>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</si>
  <si>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</si>
  <si>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</si>
  <si>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</si>
  <si>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</si>
  <si>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Dixon Technologies (India) Limited</t>
  </si>
  <si>
    <t>6.54% GOI (MD 17/01/2032)</t>
  </si>
  <si>
    <t>V-Mart Retail Limited</t>
  </si>
  <si>
    <t>Siemens Limited</t>
  </si>
  <si>
    <t>Asian Paints Limited</t>
  </si>
  <si>
    <t>Glenmark Pharmaceuticals Limited</t>
  </si>
  <si>
    <t>Crompton Greaves Consumer Electricals Limited</t>
  </si>
  <si>
    <t>BSE Limited</t>
  </si>
  <si>
    <t>Suzlon Energy Limited</t>
  </si>
  <si>
    <t>BANDHAN INNOVATION FUND</t>
  </si>
  <si>
    <t>United Breweries Limited</t>
  </si>
  <si>
    <t>Avanti Feeds Limited</t>
  </si>
  <si>
    <t>Adani Ports and Special Economic Zone Limited</t>
  </si>
  <si>
    <t>AstraZeneca Pharma India Limited</t>
  </si>
  <si>
    <t>Syngene International Limited</t>
  </si>
  <si>
    <t>Bajaj Finserv Limited</t>
  </si>
  <si>
    <t>Grasim Industries Limited</t>
  </si>
  <si>
    <t>Aster DM Healthcare Limited</t>
  </si>
  <si>
    <t>Sun Pharmaceutical Industries Limited</t>
  </si>
  <si>
    <t>KEC International Limited</t>
  </si>
  <si>
    <t>LT Foods Limited</t>
  </si>
  <si>
    <t>The South Indian Bank Limited</t>
  </si>
  <si>
    <t>Alkem Laboratories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</si>
  <si>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</si>
  <si>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</si>
  <si>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</si>
  <si>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</si>
  <si>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</si>
  <si>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</si>
  <si>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</si>
  <si>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</si>
  <si>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PTC India Financial Services Limited</t>
  </si>
  <si>
    <t>Mphasis Limited</t>
  </si>
  <si>
    <t>Other Utilities</t>
  </si>
  <si>
    <t>AA</t>
  </si>
  <si>
    <t>One 97 Communications Limited</t>
  </si>
  <si>
    <t>Punjab National Bank</t>
  </si>
  <si>
    <t>Torrent Pharmaceuticals Limited</t>
  </si>
  <si>
    <t>Bajaj Housing Finance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</si>
  <si>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</si>
  <si>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</si>
  <si>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</si>
  <si>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</si>
  <si>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</si>
  <si>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</si>
  <si>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</si>
  <si>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</si>
  <si>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</si>
  <si>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</si>
  <si>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</si>
  <si>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</si>
  <si>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MRF Limited</t>
  </si>
  <si>
    <t>SBI Cards and Payment Services Limited</t>
  </si>
  <si>
    <t>Jubilant Ingrevia Limited</t>
  </si>
  <si>
    <t>Apollo Hospitals Enterprise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</si>
  <si>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</si>
  <si>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</si>
  <si>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</si>
  <si>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</si>
  <si>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</si>
  <si>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</si>
  <si>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</si>
  <si>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</si>
  <si>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</si>
  <si>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</si>
  <si>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</si>
  <si>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</si>
  <si>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</si>
  <si>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</si>
  <si>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</si>
  <si>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</si>
  <si>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</si>
  <si>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Avenue Supermarts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</si>
  <si>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</si>
  <si>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</si>
  <si>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</si>
  <si>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</si>
  <si>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</si>
  <si>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</si>
  <si>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</si>
  <si>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</si>
  <si>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</si>
  <si>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</si>
  <si>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</si>
  <si>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</si>
  <si>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</si>
  <si>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8.23% Gujarat SDL (MD 21/02/2028)</t>
  </si>
  <si>
    <t>Wockhardt Limited</t>
  </si>
  <si>
    <t>Indus Towers Limited</t>
  </si>
  <si>
    <t>Certificate of Deposit Total</t>
  </si>
  <si>
    <t>A1+</t>
  </si>
  <si>
    <t>7.7% Karnataka SDL (MD 15/11/2027)</t>
  </si>
  <si>
    <t>7.75% Gujarat SDL (MD 13/12/2027)</t>
  </si>
  <si>
    <t>Amber Enterprises India Limited</t>
  </si>
  <si>
    <t>Telecom - Equipment &amp; Accessories</t>
  </si>
  <si>
    <t>Bandhan Nifty 200 Quality 30 Index Fund</t>
  </si>
  <si>
    <t>ICICI Lombard General Insurance Company Limited</t>
  </si>
  <si>
    <t>Hyundai Motor India Ltd</t>
  </si>
  <si>
    <t>United Spirits Limited</t>
  </si>
  <si>
    <t>Piramal Pharma Limited</t>
  </si>
  <si>
    <t>Colgate Palmolive (India) Limited</t>
  </si>
  <si>
    <t>Rating</t>
  </si>
  <si>
    <t>AAA EQUIVALENT</t>
  </si>
  <si>
    <t>Bandhan Corporate Bond Fund - Direct Growth</t>
  </si>
  <si>
    <t>TRI Party Repo</t>
  </si>
  <si>
    <t>Mutual Fund Units Total</t>
  </si>
  <si>
    <t>JPMorgan ETFs BetaBuilders US Tre Bond0-1 yr UCITS</t>
  </si>
  <si>
    <t>PCBL Chemical Limited</t>
  </si>
  <si>
    <t>Yatharth Hospital And Trauma Care Services Limited</t>
  </si>
  <si>
    <t>VRL Logistics Limited</t>
  </si>
  <si>
    <t>Max Financial Services Limited</t>
  </si>
  <si>
    <t>Mazagon Dock Shipbuilders Limited</t>
  </si>
  <si>
    <t>Karur Vysya Bank Limited</t>
  </si>
  <si>
    <t>SRF Limited</t>
  </si>
  <si>
    <t>Marico Limited</t>
  </si>
  <si>
    <t xml:space="preserve">BANDHAN US TREASURY BOND 0-1 YEAR FUND OF FUND </t>
  </si>
  <si>
    <t>Pidilite Industries Limited</t>
  </si>
  <si>
    <t>Bandhan Nifty Alpha Low Volatility 30 Index Fund</t>
  </si>
  <si>
    <t>Commercial Paper</t>
  </si>
  <si>
    <t>Zero Coupon Bond</t>
  </si>
  <si>
    <t>NHPC Limited</t>
  </si>
  <si>
    <t>GlaxoSmithKline Pharmaceuticals Limited</t>
  </si>
  <si>
    <t>Bandhan Arbitrage Fund-Direct Plan- Growth</t>
  </si>
  <si>
    <t>Manappuram Finance Limited</t>
  </si>
  <si>
    <t>Lumax Industries Limited</t>
  </si>
  <si>
    <t>Can Fin Homes Limited</t>
  </si>
  <si>
    <t>Aavas Financiers Limited</t>
  </si>
  <si>
    <t>Zinka Logistics Solution Limited</t>
  </si>
  <si>
    <t>SBI Life Insurance Company Limited</t>
  </si>
  <si>
    <t>Suven Pharmaceuticals Limited</t>
  </si>
  <si>
    <t>Tata Power Company Limited</t>
  </si>
  <si>
    <t>Bajaj Holdings &amp; Investment Limited</t>
  </si>
  <si>
    <t>Bandhan Nifty Next 50 Index Fund</t>
  </si>
  <si>
    <t>Net Assets as on 31 March, 2025</t>
  </si>
  <si>
    <t>200.13 crs</t>
  </si>
  <si>
    <t xml:space="preserve">Bandhan Income Plus Arbitrage Fund of Funds (31 March, 2025 ) (previously known as Bandhan All Seasons Bond Fund) </t>
  </si>
  <si>
    <t>Bandhan CRISIL-IBX Fin Serv 3-6 Months-Direct-Gr</t>
  </si>
  <si>
    <t>8.43% Uttar Pradesh SDL (MD 06/03/2029)</t>
  </si>
  <si>
    <t>Titan Company Limited</t>
  </si>
  <si>
    <t>CRISIL AA</t>
  </si>
  <si>
    <t>CRISIL AAA</t>
  </si>
  <si>
    <t>CRISIL AA+</t>
  </si>
  <si>
    <t xml:space="preserve"> AA</t>
  </si>
  <si>
    <t xml:space="preserve"> AAA</t>
  </si>
  <si>
    <t xml:space="preserve"> AA+</t>
  </si>
  <si>
    <t xml:space="preserve"> Bandhan Aggressive Hybrid Fund (previously known as BANDHAN HYBRID EQUITY FUND)</t>
  </si>
  <si>
    <t>HDFC Life Insurance Company Limited</t>
  </si>
  <si>
    <t>297.38 crs</t>
  </si>
  <si>
    <t>135.19 crs</t>
  </si>
  <si>
    <t>7966.79 Cr</t>
  </si>
  <si>
    <t>1765.87 crs</t>
  </si>
  <si>
    <t xml:space="preserve"> 1685.24 crs</t>
  </si>
  <si>
    <t>1491.10 crs</t>
  </si>
  <si>
    <t>2389.29 crs</t>
  </si>
  <si>
    <t>6886.28 crs</t>
  </si>
  <si>
    <t>9516.16 crs</t>
  </si>
  <si>
    <t>1563.07 crs</t>
  </si>
  <si>
    <t>496.12 crs</t>
  </si>
  <si>
    <t>967.14 crs</t>
  </si>
  <si>
    <t>1387.32 crs</t>
  </si>
  <si>
    <t>1587.92 crs</t>
  </si>
  <si>
    <t>6596.51 crs</t>
  </si>
  <si>
    <t>7955.35 crs</t>
  </si>
  <si>
    <t>2216.55 crs</t>
  </si>
  <si>
    <t>272.15 crs</t>
  </si>
  <si>
    <t>114.79 crs</t>
  </si>
  <si>
    <t>818.76 crs</t>
  </si>
  <si>
    <t>171.73 crs</t>
  </si>
  <si>
    <t>1811.86  crs</t>
  </si>
  <si>
    <t>19.06 crs</t>
  </si>
  <si>
    <t>19.02 crs</t>
  </si>
  <si>
    <t>5.94 crs</t>
  </si>
  <si>
    <t>1741.01 crs</t>
  </si>
  <si>
    <t>1.17 crs</t>
  </si>
  <si>
    <t>26.65 crs</t>
  </si>
  <si>
    <t>163.73 crs</t>
  </si>
  <si>
    <t>117.90 crs</t>
  </si>
  <si>
    <t>1363.89 crs</t>
  </si>
  <si>
    <t>24.36 crs</t>
  </si>
  <si>
    <t>362.22 crs</t>
  </si>
  <si>
    <t>47.61 crs</t>
  </si>
  <si>
    <t>36.02 crs</t>
  </si>
  <si>
    <t>15.24 crs</t>
  </si>
  <si>
    <t>17.34 crs</t>
  </si>
  <si>
    <t>22.17 crs</t>
  </si>
  <si>
    <t>12.10 crs</t>
  </si>
  <si>
    <t>19.59 crs</t>
  </si>
  <si>
    <t>9.93 crs</t>
  </si>
  <si>
    <t>8.09 crs</t>
  </si>
  <si>
    <t>12.80 crs</t>
  </si>
  <si>
    <t>Angel One Limited</t>
  </si>
  <si>
    <t>Solar Industries India Limited</t>
  </si>
  <si>
    <t>JK Cement Limited</t>
  </si>
  <si>
    <t>Poonawalla Fincorp Limited</t>
  </si>
  <si>
    <t>Inox Wind Energy Limited</t>
  </si>
  <si>
    <t>PTC Industries Limited</t>
  </si>
  <si>
    <t>Samvardhana Motherson International Limited</t>
  </si>
  <si>
    <t>Adani Energy Solutions Limited</t>
  </si>
  <si>
    <t>PG Electroplast Limited</t>
  </si>
  <si>
    <t>Hitachi Energy India Limited</t>
  </si>
  <si>
    <t>Aegis Logistics Limited</t>
  </si>
  <si>
    <t>Firstsource Solutions Limited</t>
  </si>
  <si>
    <t>Krishna Institute Of Medical Sciences Limited</t>
  </si>
  <si>
    <t>Navin Fluorine International Limited</t>
  </si>
  <si>
    <t>Redington Limited</t>
  </si>
  <si>
    <t>PNB Housing Finance Limited</t>
  </si>
  <si>
    <t>Hindustan Petroleum Corporation Limited</t>
  </si>
  <si>
    <t>NMDC Limited</t>
  </si>
  <si>
    <t>Net Assets as on 31st March, 2025</t>
  </si>
  <si>
    <t>Portfolio as on - (31st March 2025)</t>
  </si>
  <si>
    <t>9429.55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</si>
</sst>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21"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
      <b/>
      <sz val="12"/>
      <color theme="1"/>
      <name val="Arial"/>
      <family val="2"/>
    </font>
    <font>
      <b/>
      <sz val="11"/>
      <color theme="1"/>
      <name val="Arial"/>
      <family val="2"/>
    </font>
    <font>
      <sz val="12"/>
      <color theme="1"/>
      <name val="Arial"/>
      <family val="2"/>
    </font>
    <font>
      <b/>
      <sz val="12"/>
      <color indexed="8"/>
      <name val="Arial"/>
      <family val="2"/>
    </font>
    <font>
      <sz val="11"/>
      <color indexed="9"/>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4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2">
    <xf numFmtId="0" fontId="0" fillId="0" borderId="0"/>
    <xf numFmtId="9" fontId="1" fillId="0" borderId="0" applyFont="0" applyFill="0" applyBorder="0" applyAlignment="0" applyProtection="0"/>
  </cellStyleXfs>
  <cellXfs count="339">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14" fillId="0" borderId="0" xfId="0" applyNumberFormat="1" applyFont="1" applyBorder="1"/>
    <xf numFmtId="10" fontId="2" fillId="0" borderId="10" xfId="1" applyNumberFormat="1" applyFont="1" applyBorder="1" applyAlignment="1">
      <alignment horizontal="right"/>
    </xf>
    <xf numFmtId="0" fontId="0" fillId="0" borderId="4" xfId="0" applyBorder="1"/>
    <xf numFmtId="0" fontId="0" fillId="0" borderId="1" xfId="0" applyBorder="1"/>
    <xf numFmtId="0" fontId="0" fillId="0" borderId="2" xfId="0" applyBorder="1"/>
    <xf numFmtId="0" fontId="0" fillId="0" borderId="5" xfId="0" applyBorder="1"/>
    <xf numFmtId="0" fontId="0" fillId="0" borderId="0" xfId="0" applyBorder="1"/>
    <xf numFmtId="0" fontId="0" fillId="0" borderId="3" xfId="0" applyBorder="1"/>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wrapText="1"/>
    </xf>
    <xf numFmtId="0" fontId="16" fillId="2" borderId="36" xfId="0" applyFont="1" applyFill="1" applyBorder="1" applyAlignment="1">
      <alignment horizontal="center" vertical="center"/>
    </xf>
    <xf numFmtId="0" fontId="18" fillId="0" borderId="27" xfId="0" applyFont="1" applyBorder="1" applyAlignment="1">
      <alignment vertical="center"/>
    </xf>
    <xf numFmtId="0" fontId="18" fillId="0" borderId="37" xfId="0" applyFont="1" applyBorder="1" applyAlignment="1">
      <alignment vertical="center"/>
    </xf>
    <xf numFmtId="164" fontId="18" fillId="0" borderId="38" xfId="0" applyNumberFormat="1" applyFont="1" applyBorder="1" applyAlignment="1">
      <alignment vertical="center"/>
    </xf>
    <xf numFmtId="0" fontId="16" fillId="2" borderId="27" xfId="0" applyFont="1" applyFill="1" applyBorder="1" applyAlignment="1">
      <alignment horizontal="left" vertical="center"/>
    </xf>
    <xf numFmtId="0" fontId="16" fillId="2" borderId="37" xfId="0" applyFont="1" applyFill="1" applyBorder="1" applyAlignment="1">
      <alignment horizontal="right" vertical="center"/>
    </xf>
    <xf numFmtId="164" fontId="16" fillId="2" borderId="38" xfId="0" applyNumberFormat="1" applyFont="1" applyFill="1" applyBorder="1" applyAlignment="1">
      <alignment horizontal="right" vertical="center"/>
    </xf>
    <xf numFmtId="0" fontId="16" fillId="2" borderId="28" xfId="0" applyFont="1" applyFill="1" applyBorder="1" applyAlignment="1">
      <alignment horizontal="left" vertical="center"/>
    </xf>
    <xf numFmtId="0" fontId="16" fillId="2" borderId="39" xfId="0" applyFont="1" applyFill="1" applyBorder="1" applyAlignment="1">
      <alignment horizontal="right" vertical="center"/>
    </xf>
    <xf numFmtId="164" fontId="16" fillId="2" borderId="40" xfId="0" applyNumberFormat="1" applyFont="1" applyFill="1" applyBorder="1" applyAlignment="1">
      <alignment horizontal="right" vertical="center"/>
    </xf>
    <xf numFmtId="0" fontId="0" fillId="2" borderId="0" xfId="0" applyFill="1" applyBorder="1"/>
    <xf numFmtId="0" fontId="0" fillId="2" borderId="3" xfId="0" applyFill="1" applyBorder="1"/>
    <xf numFmtId="0" fontId="0" fillId="0" borderId="6" xfId="0" applyBorder="1"/>
    <xf numFmtId="0" fontId="0" fillId="0" borderId="7" xfId="0" applyBorder="1"/>
    <xf numFmtId="0" fontId="0" fillId="0" borderId="8" xfId="0" applyBorder="1"/>
    <xf numFmtId="0" fontId="3" fillId="0" borderId="24" xfId="0" applyFont="1" applyBorder="1" applyAlignment="1">
      <alignment horizontal="left" vertical="center" wrapText="1"/>
    </xf>
    <xf numFmtId="2" fontId="4" fillId="2" borderId="0" xfId="1" applyNumberFormat="1" applyFont="1" applyFill="1" applyBorder="1" applyAlignment="1">
      <alignment horizontal="center" vertical="center"/>
    </xf>
    <xf numFmtId="0" fontId="14" fillId="0" borderId="0" xfId="0" applyFont="1"/>
    <xf numFmtId="14" fontId="14" fillId="0" borderId="0" xfId="0" applyNumberFormat="1" applyFont="1"/>
    <xf numFmtId="10" fontId="6" fillId="3" borderId="0" xfId="1" applyNumberFormat="1" applyFont="1" applyFill="1"/>
    <xf numFmtId="0" fontId="19" fillId="0" borderId="0" xfId="0" applyFont="1" applyBorder="1" applyAlignment="1">
      <alignment horizontal="left"/>
    </xf>
    <xf numFmtId="0" fontId="20" fillId="0" borderId="0" xfId="0" applyFont="1" applyBorder="1"/>
    <xf numFmtId="9" fontId="20" fillId="0" borderId="0" xfId="0" applyNumberFormat="1" applyFont="1" applyBorder="1"/>
    <xf numFmtId="10" fontId="20" fillId="0" borderId="0" xfId="0" applyNumberFormat="1" applyFont="1" applyBorder="1"/>
    <xf numFmtId="10" fontId="0" fillId="0" borderId="0" xfId="0" applyNumberFormat="1"/>
    <xf numFmtId="10" fontId="0" fillId="0" borderId="0" xfId="0" applyNumberFormat="1" applyAlignment="1">
      <alignment horizontal="left"/>
    </xf>
    <xf numFmtId="0" fontId="18" fillId="0" borderId="0" xfId="0" applyFont="1" applyBorder="1"/>
    <xf numFmtId="0" fontId="0" fillId="0" borderId="0" xfId="0" applyAlignment="1">
      <alignment horizontal="left"/>
    </xf>
    <xf numFmtId="10" fontId="0" fillId="0" borderId="0" xfId="0" applyNumberFormat="1"/>
    <xf numFmtId="10" fontId="0" fillId="0" borderId="0" xfId="0" applyNumberFormat="1" applyAlignment="1">
      <alignment horizontal="left"/>
    </xf>
    <xf numFmtId="0" fontId="0" fillId="0" borderId="0" xfId="0" applyNumberFormat="1"/>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0" fontId="0" fillId="0" borderId="0" xfId="0" applyNumberFormat="1" applyAlignment="1">
      <alignment horizontal="left"/>
    </xf>
    <xf numFmtId="4" fontId="4" fillId="2" borderId="0" xfId="1" applyNumberFormat="1" applyFont="1" applyFill="1" applyBorder="1" applyAlignment="1">
      <alignment horizontal="center" vertical="center"/>
    </xf>
    <xf numFmtId="2" fontId="17" fillId="2" borderId="0" xfId="0" applyNumberFormat="1" applyFont="1" applyFill="1" applyBorder="1" applyAlignment="1">
      <alignment horizontal="center"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0" fontId="13" fillId="2" borderId="0" xfId="0" applyFont="1" applyFill="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13" fillId="2" borderId="0" xfId="0" applyFont="1" applyFill="1" applyBorder="1" applyAlignment="1">
      <alignment horizontal="right" vertical="center"/>
    </xf>
    <xf numFmtId="0" fontId="0" fillId="0" borderId="0" xfId="0" applyBorder="1" applyAlignment="1">
      <alignment horizontal="right"/>
    </xf>
    <xf numFmtId="0" fontId="17" fillId="2" borderId="0" xfId="0" applyFont="1" applyFill="1" applyBorder="1" applyAlignment="1">
      <alignment vertical="center"/>
    </xf>
    <xf numFmtId="0" fontId="0" fillId="0" borderId="0" xfId="0" applyBorder="1" applyAlignment="1">
      <alignment vertical="center"/>
    </xf>
    <xf numFmtId="0" fontId="0" fillId="0" borderId="3" xfId="0"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0.99043199999999998</c:v>
                </c:pt>
                <c:pt idx="1">
                  <c:v>-7.2570000000000004E-3</c:v>
                </c:pt>
                <c:pt idx="2">
                  <c:v>1.6825E-2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CEF'!$W$8:$W$46</c:f>
              <c:strCache>
                <c:ptCount val="39"/>
                <c:pt idx="0">
                  <c:v>Banks</c:v>
                </c:pt>
                <c:pt idx="1">
                  <c:v>Finance</c:v>
                </c:pt>
                <c:pt idx="2">
                  <c:v>Pharmaceuticals &amp; Biotechnology</c:v>
                </c:pt>
                <c:pt idx="3">
                  <c:v>IT - Software</c:v>
                </c:pt>
                <c:pt idx="4">
                  <c:v>Retailing</c:v>
                </c:pt>
                <c:pt idx="5">
                  <c:v>Auto Components</c:v>
                </c:pt>
                <c:pt idx="6">
                  <c:v>Transport Services</c:v>
                </c:pt>
                <c:pt idx="7">
                  <c:v>Financial Technology (Fintech)</c:v>
                </c:pt>
                <c:pt idx="8">
                  <c:v>Telecom - Services</c:v>
                </c:pt>
                <c:pt idx="9">
                  <c:v>Beverages</c:v>
                </c:pt>
                <c:pt idx="10">
                  <c:v>Realty</c:v>
                </c:pt>
                <c:pt idx="11">
                  <c:v>Healthcare Services</c:v>
                </c:pt>
                <c:pt idx="12">
                  <c:v>Power</c:v>
                </c:pt>
                <c:pt idx="13">
                  <c:v>Industrial Products</c:v>
                </c:pt>
                <c:pt idx="14">
                  <c:v>Consumer Durables</c:v>
                </c:pt>
                <c:pt idx="15">
                  <c:v>Diversified Metals</c:v>
                </c:pt>
                <c:pt idx="16">
                  <c:v>Diversified FMCG</c:v>
                </c:pt>
                <c:pt idx="17">
                  <c:v>Capital Markets</c:v>
                </c:pt>
                <c:pt idx="18">
                  <c:v>Textiles &amp; Apparels</c:v>
                </c:pt>
                <c:pt idx="19">
                  <c:v>Diversified</c:v>
                </c:pt>
                <c:pt idx="20">
                  <c:v>Construction</c:v>
                </c:pt>
                <c:pt idx="21">
                  <c:v>Minerals &amp; Mining</c:v>
                </c:pt>
                <c:pt idx="22">
                  <c:v>Insurance</c:v>
                </c:pt>
                <c:pt idx="23">
                  <c:v>Chemicals &amp; Petrochemicals</c:v>
                </c:pt>
                <c:pt idx="24">
                  <c:v>Automobiles</c:v>
                </c:pt>
                <c:pt idx="25">
                  <c:v>Transport Infrastructure</c:v>
                </c:pt>
                <c:pt idx="26">
                  <c:v>Petroleum Products</c:v>
                </c:pt>
                <c:pt idx="27">
                  <c:v>Aerospace &amp; Defense</c:v>
                </c:pt>
                <c:pt idx="28">
                  <c:v>Electrical Equipment</c:v>
                </c:pt>
                <c:pt idx="29">
                  <c:v>Fertilizers &amp; Agrochemicals</c:v>
                </c:pt>
                <c:pt idx="30">
                  <c:v>Oil</c:v>
                </c:pt>
                <c:pt idx="31">
                  <c:v>Entertainment</c:v>
                </c:pt>
                <c:pt idx="32">
                  <c:v>Consumable Fuels</c:v>
                </c:pt>
                <c:pt idx="33">
                  <c:v>Ferrous Metals</c:v>
                </c:pt>
                <c:pt idx="34">
                  <c:v>Agricultural Food &amp; other Products</c:v>
                </c:pt>
                <c:pt idx="35">
                  <c:v>Cement &amp; Cement Products</c:v>
                </c:pt>
                <c:pt idx="36">
                  <c:v>Commercial Services &amp; Supplies</c:v>
                </c:pt>
                <c:pt idx="37">
                  <c:v>IT - Services</c:v>
                </c:pt>
                <c:pt idx="38">
                  <c:v>Non - Ferrous Metals</c:v>
                </c:pt>
              </c:strCache>
            </c:strRef>
          </c:cat>
          <c:val>
            <c:numRef>
              <c:f>'BANDHAN CEF'!$X$8:$X$46</c:f>
              <c:numCache>
                <c:formatCode>0.00%</c:formatCode>
                <c:ptCount val="39"/>
                <c:pt idx="0">
                  <c:v>0.15027700000000002</c:v>
                </c:pt>
                <c:pt idx="1">
                  <c:v>7.1384000000000003E-2</c:v>
                </c:pt>
                <c:pt idx="2">
                  <c:v>6.7045000000000007E-2</c:v>
                </c:pt>
                <c:pt idx="3">
                  <c:v>5.7323000000000006E-2</c:v>
                </c:pt>
                <c:pt idx="4">
                  <c:v>5.466E-2</c:v>
                </c:pt>
                <c:pt idx="5">
                  <c:v>4.0375000000000001E-2</c:v>
                </c:pt>
                <c:pt idx="6">
                  <c:v>3.8602999999999998E-2</c:v>
                </c:pt>
                <c:pt idx="7">
                  <c:v>3.7568999999999998E-2</c:v>
                </c:pt>
                <c:pt idx="8">
                  <c:v>3.1460000000000002E-2</c:v>
                </c:pt>
                <c:pt idx="9">
                  <c:v>3.0862000000000001E-2</c:v>
                </c:pt>
                <c:pt idx="10">
                  <c:v>2.8852000000000003E-2</c:v>
                </c:pt>
                <c:pt idx="11">
                  <c:v>2.7175000000000001E-2</c:v>
                </c:pt>
                <c:pt idx="12">
                  <c:v>2.5418E-2</c:v>
                </c:pt>
                <c:pt idx="13">
                  <c:v>2.4041E-2</c:v>
                </c:pt>
                <c:pt idx="14">
                  <c:v>2.3417000000000004E-2</c:v>
                </c:pt>
                <c:pt idx="15">
                  <c:v>2.0468E-2</c:v>
                </c:pt>
                <c:pt idx="16">
                  <c:v>1.9991999999999999E-2</c:v>
                </c:pt>
                <c:pt idx="17">
                  <c:v>1.8092E-2</c:v>
                </c:pt>
                <c:pt idx="18">
                  <c:v>1.5937E-2</c:v>
                </c:pt>
                <c:pt idx="19">
                  <c:v>1.5709999999999998E-2</c:v>
                </c:pt>
                <c:pt idx="20">
                  <c:v>1.5547999999999999E-2</c:v>
                </c:pt>
                <c:pt idx="21">
                  <c:v>1.5429E-2</c:v>
                </c:pt>
                <c:pt idx="22">
                  <c:v>1.4416999999999999E-2</c:v>
                </c:pt>
                <c:pt idx="23">
                  <c:v>1.1099000000000001E-2</c:v>
                </c:pt>
                <c:pt idx="24">
                  <c:v>1.0124999999999999E-2</c:v>
                </c:pt>
                <c:pt idx="25">
                  <c:v>8.4250000000000002E-3</c:v>
                </c:pt>
                <c:pt idx="26">
                  <c:v>8.2059999999999998E-3</c:v>
                </c:pt>
                <c:pt idx="27">
                  <c:v>8.0450000000000001E-3</c:v>
                </c:pt>
                <c:pt idx="28">
                  <c:v>7.5240000000000003E-3</c:v>
                </c:pt>
                <c:pt idx="29">
                  <c:v>7.2520000000000006E-3</c:v>
                </c:pt>
                <c:pt idx="30">
                  <c:v>6.9779999999999998E-3</c:v>
                </c:pt>
                <c:pt idx="31">
                  <c:v>6.8640000000000003E-3</c:v>
                </c:pt>
                <c:pt idx="32">
                  <c:v>6.463E-3</c:v>
                </c:pt>
                <c:pt idx="33">
                  <c:v>6.4520000000000003E-3</c:v>
                </c:pt>
                <c:pt idx="34">
                  <c:v>6.0179999999999999E-3</c:v>
                </c:pt>
                <c:pt idx="35">
                  <c:v>4.8500000000000001E-3</c:v>
                </c:pt>
                <c:pt idx="36">
                  <c:v>1.665E-3</c:v>
                </c:pt>
                <c:pt idx="37">
                  <c:v>1.596E-3</c:v>
                </c:pt>
                <c:pt idx="38">
                  <c:v>1.4300000000000001E-3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LCF'!$W$8:$W$37</c:f>
              <c:strCache>
                <c:ptCount val="30"/>
                <c:pt idx="0">
                  <c:v>Banks</c:v>
                </c:pt>
                <c:pt idx="1">
                  <c:v>IT - Software</c:v>
                </c:pt>
                <c:pt idx="2">
                  <c:v>Petroleum Products</c:v>
                </c:pt>
                <c:pt idx="3">
                  <c:v>Pharmaceuticals &amp; Biotechnology</c:v>
                </c:pt>
                <c:pt idx="4">
                  <c:v>Retailing</c:v>
                </c:pt>
                <c:pt idx="5">
                  <c:v>Finance</c:v>
                </c:pt>
                <c:pt idx="6">
                  <c:v>Power</c:v>
                </c:pt>
                <c:pt idx="7">
                  <c:v>Automobiles</c:v>
                </c:pt>
                <c:pt idx="8">
                  <c:v>Telecom - Services</c:v>
                </c:pt>
                <c:pt idx="9">
                  <c:v>Beverages</c:v>
                </c:pt>
                <c:pt idx="10">
                  <c:v>Diversified FMCG</c:v>
                </c:pt>
                <c:pt idx="11">
                  <c:v>Cement &amp; Cement Products</c:v>
                </c:pt>
                <c:pt idx="12">
                  <c:v>Financial Technology (Fintech)</c:v>
                </c:pt>
                <c:pt idx="13">
                  <c:v>Construction</c:v>
                </c:pt>
                <c:pt idx="14">
                  <c:v>Realty</c:v>
                </c:pt>
                <c:pt idx="15">
                  <c:v>Insurance</c:v>
                </c:pt>
                <c:pt idx="16">
                  <c:v>Diversified Metals</c:v>
                </c:pt>
                <c:pt idx="17">
                  <c:v>Ferrous Metals</c:v>
                </c:pt>
                <c:pt idx="18">
                  <c:v>Leisure Services</c:v>
                </c:pt>
                <c:pt idx="19">
                  <c:v>Consumer Durables</c:v>
                </c:pt>
                <c:pt idx="20">
                  <c:v>Electrical Equipment</c:v>
                </c:pt>
                <c:pt idx="21">
                  <c:v>Transport Services</c:v>
                </c:pt>
                <c:pt idx="22">
                  <c:v>Healthcare Services</c:v>
                </c:pt>
                <c:pt idx="23">
                  <c:v>Non - Ferrous Metals</c:v>
                </c:pt>
                <c:pt idx="24">
                  <c:v>Chemicals &amp; Petrochemicals</c:v>
                </c:pt>
                <c:pt idx="25">
                  <c:v>Aerospace &amp; Defense</c:v>
                </c:pt>
                <c:pt idx="26">
                  <c:v>Oil</c:v>
                </c:pt>
                <c:pt idx="27">
                  <c:v>Auto Components</c:v>
                </c:pt>
                <c:pt idx="28">
                  <c:v>IT - Services</c:v>
                </c:pt>
                <c:pt idx="29">
                  <c:v>Engineering Services</c:v>
                </c:pt>
              </c:strCache>
            </c:strRef>
          </c:cat>
          <c:val>
            <c:numRef>
              <c:f>'BANDHAN LCF'!$X$8:$X$46</c:f>
              <c:numCache>
                <c:formatCode>0.00%</c:formatCode>
                <c:ptCount val="30"/>
                <c:pt idx="0">
                  <c:v>0.24820300000000001</c:v>
                </c:pt>
                <c:pt idx="1">
                  <c:v>9.1239000000000001E-2</c:v>
                </c:pt>
                <c:pt idx="2">
                  <c:v>7.3001999999999997E-2</c:v>
                </c:pt>
                <c:pt idx="3">
                  <c:v>5.4385999999999997E-2</c:v>
                </c:pt>
                <c:pt idx="4">
                  <c:v>5.1548000000000004E-2</c:v>
                </c:pt>
                <c:pt idx="5">
                  <c:v>5.0293000000000004E-2</c:v>
                </c:pt>
                <c:pt idx="6">
                  <c:v>4.8772999999999997E-2</c:v>
                </c:pt>
                <c:pt idx="7">
                  <c:v>4.4090000000000004E-2</c:v>
                </c:pt>
                <c:pt idx="8">
                  <c:v>3.5497000000000001E-2</c:v>
                </c:pt>
                <c:pt idx="9">
                  <c:v>3.4826000000000003E-2</c:v>
                </c:pt>
                <c:pt idx="10">
                  <c:v>3.3312000000000001E-2</c:v>
                </c:pt>
                <c:pt idx="11">
                  <c:v>2.9141E-2</c:v>
                </c:pt>
                <c:pt idx="12">
                  <c:v>2.1181999999999999E-2</c:v>
                </c:pt>
                <c:pt idx="13">
                  <c:v>2.0216999999999999E-2</c:v>
                </c:pt>
                <c:pt idx="14">
                  <c:v>1.8498000000000001E-2</c:v>
                </c:pt>
                <c:pt idx="15">
                  <c:v>1.8248E-2</c:v>
                </c:pt>
                <c:pt idx="16">
                  <c:v>1.6768999999999999E-2</c:v>
                </c:pt>
                <c:pt idx="17">
                  <c:v>1.5407000000000001E-2</c:v>
                </c:pt>
                <c:pt idx="18">
                  <c:v>1.3998E-2</c:v>
                </c:pt>
                <c:pt idx="19">
                  <c:v>1.1925E-2</c:v>
                </c:pt>
                <c:pt idx="20">
                  <c:v>1.149E-2</c:v>
                </c:pt>
                <c:pt idx="21">
                  <c:v>1.0364999999999999E-2</c:v>
                </c:pt>
                <c:pt idx="22">
                  <c:v>1.0155000000000001E-2</c:v>
                </c:pt>
                <c:pt idx="23">
                  <c:v>5.646E-3</c:v>
                </c:pt>
                <c:pt idx="24">
                  <c:v>5.0660000000000002E-3</c:v>
                </c:pt>
                <c:pt idx="25">
                  <c:v>4.9069999999999999E-3</c:v>
                </c:pt>
                <c:pt idx="26">
                  <c:v>4.8510000000000003E-3</c:v>
                </c:pt>
                <c:pt idx="27">
                  <c:v>3.6180000000000001E-3</c:v>
                </c:pt>
                <c:pt idx="28">
                  <c:v>2.7100000000000002E-3</c:v>
                </c:pt>
                <c:pt idx="29">
                  <c:v>1.284E-3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Realty</c:v>
                </c:pt>
                <c:pt idx="2">
                  <c:v>Pharmaceuticals &amp; Biotechnology</c:v>
                </c:pt>
                <c:pt idx="3">
                  <c:v>IT - Software</c:v>
                </c:pt>
                <c:pt idx="4">
                  <c:v>Financial Technology (Fintech)</c:v>
                </c:pt>
                <c:pt idx="5">
                  <c:v>Power</c:v>
                </c:pt>
                <c:pt idx="6">
                  <c:v>Retailing</c:v>
                </c:pt>
                <c:pt idx="7">
                  <c:v>Finance</c:v>
                </c:pt>
                <c:pt idx="8">
                  <c:v>Petroleum Products</c:v>
                </c:pt>
                <c:pt idx="9">
                  <c:v>Beverages</c:v>
                </c:pt>
                <c:pt idx="10">
                  <c:v>Telecom - Services</c:v>
                </c:pt>
                <c:pt idx="11">
                  <c:v>Construction</c:v>
                </c:pt>
                <c:pt idx="12">
                  <c:v>Diversified Metals</c:v>
                </c:pt>
                <c:pt idx="13">
                  <c:v>Capital Markets</c:v>
                </c:pt>
                <c:pt idx="14">
                  <c:v>Diversified FMCG</c:v>
                </c:pt>
                <c:pt idx="15">
                  <c:v>Automobiles</c:v>
                </c:pt>
                <c:pt idx="16">
                  <c:v>Engineering Services</c:v>
                </c:pt>
                <c:pt idx="17">
                  <c:v>Healthcare Services</c:v>
                </c:pt>
                <c:pt idx="18">
                  <c:v>IT - Services</c:v>
                </c:pt>
              </c:strCache>
            </c:strRef>
          </c:cat>
          <c:val>
            <c:numRef>
              <c:f>'BANDHAN FEF'!$X$8:$X$26</c:f>
              <c:numCache>
                <c:formatCode>0.00%</c:formatCode>
                <c:ptCount val="19"/>
                <c:pt idx="0">
                  <c:v>0.158914</c:v>
                </c:pt>
                <c:pt idx="1">
                  <c:v>7.7487E-2</c:v>
                </c:pt>
                <c:pt idx="2">
                  <c:v>7.1889000000000008E-2</c:v>
                </c:pt>
                <c:pt idx="3">
                  <c:v>7.0236999999999994E-2</c:v>
                </c:pt>
                <c:pt idx="4">
                  <c:v>6.0478000000000004E-2</c:v>
                </c:pt>
                <c:pt idx="5">
                  <c:v>5.8358E-2</c:v>
                </c:pt>
                <c:pt idx="6">
                  <c:v>5.7721999999999996E-2</c:v>
                </c:pt>
                <c:pt idx="7">
                  <c:v>4.2959000000000004E-2</c:v>
                </c:pt>
                <c:pt idx="8">
                  <c:v>4.2888999999999997E-2</c:v>
                </c:pt>
                <c:pt idx="9">
                  <c:v>4.0613000000000003E-2</c:v>
                </c:pt>
                <c:pt idx="10">
                  <c:v>3.9086000000000003E-2</c:v>
                </c:pt>
                <c:pt idx="11">
                  <c:v>3.4433999999999999E-2</c:v>
                </c:pt>
                <c:pt idx="12">
                  <c:v>3.0247E-2</c:v>
                </c:pt>
                <c:pt idx="13">
                  <c:v>2.9513999999999999E-2</c:v>
                </c:pt>
                <c:pt idx="14">
                  <c:v>2.4313999999999999E-2</c:v>
                </c:pt>
                <c:pt idx="15">
                  <c:v>1.6267E-2</c:v>
                </c:pt>
                <c:pt idx="16">
                  <c:v>1.5810000000000001E-2</c:v>
                </c:pt>
                <c:pt idx="17">
                  <c:v>1.2690999999999999E-2</c:v>
                </c:pt>
                <c:pt idx="18">
                  <c:v>7.45E-3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SVF'!$W$8:$W$36</c:f>
              <c:strCache>
                <c:ptCount val="29"/>
                <c:pt idx="0">
                  <c:v>Banks</c:v>
                </c:pt>
                <c:pt idx="1">
                  <c:v>IT - Software</c:v>
                </c:pt>
                <c:pt idx="2">
                  <c:v>Petroleum Products</c:v>
                </c:pt>
                <c:pt idx="3">
                  <c:v>Pharmaceuticals &amp; Biotechnology</c:v>
                </c:pt>
                <c:pt idx="4">
                  <c:v>Insurance</c:v>
                </c:pt>
                <c:pt idx="5">
                  <c:v>Automobiles</c:v>
                </c:pt>
                <c:pt idx="6">
                  <c:v>Consumer Durables</c:v>
                </c:pt>
                <c:pt idx="7">
                  <c:v>Finance</c:v>
                </c:pt>
                <c:pt idx="8">
                  <c:v>Construction</c:v>
                </c:pt>
                <c:pt idx="9">
                  <c:v>Ferrous Metals</c:v>
                </c:pt>
                <c:pt idx="10">
                  <c:v>Power</c:v>
                </c:pt>
                <c:pt idx="11">
                  <c:v>Auto Components</c:v>
                </c:pt>
                <c:pt idx="12">
                  <c:v>Food Products</c:v>
                </c:pt>
                <c:pt idx="13">
                  <c:v>Electrical Equipment</c:v>
                </c:pt>
                <c:pt idx="14">
                  <c:v>Diversified FMCG</c:v>
                </c:pt>
                <c:pt idx="15">
                  <c:v>Beverages</c:v>
                </c:pt>
                <c:pt idx="16">
                  <c:v>Realty</c:v>
                </c:pt>
                <c:pt idx="17">
                  <c:v>Retailing</c:v>
                </c:pt>
                <c:pt idx="18">
                  <c:v>Diversified Metals</c:v>
                </c:pt>
                <c:pt idx="19">
                  <c:v>Oil</c:v>
                </c:pt>
                <c:pt idx="20">
                  <c:v>Personal Products</c:v>
                </c:pt>
                <c:pt idx="21">
                  <c:v>Cement &amp; Cement Products</c:v>
                </c:pt>
                <c:pt idx="22">
                  <c:v>Transport Services</c:v>
                </c:pt>
                <c:pt idx="23">
                  <c:v>Leisure Services</c:v>
                </c:pt>
                <c:pt idx="24">
                  <c:v>Fertilizers &amp; Agrochemicals</c:v>
                </c:pt>
                <c:pt idx="25">
                  <c:v>Commercial Services &amp; Supplies</c:v>
                </c:pt>
                <c:pt idx="26">
                  <c:v>Minerals &amp; Mining</c:v>
                </c:pt>
                <c:pt idx="27">
                  <c:v>Telecom - Equipment &amp; Accessories</c:v>
                </c:pt>
                <c:pt idx="28">
                  <c:v>Chemicals &amp; Petrochemicals</c:v>
                </c:pt>
              </c:strCache>
            </c:strRef>
          </c:cat>
          <c:val>
            <c:numRef>
              <c:f>'BANDHAN SVF'!$X$8:$X$36</c:f>
              <c:numCache>
                <c:formatCode>0.00%</c:formatCode>
                <c:ptCount val="29"/>
                <c:pt idx="0">
                  <c:v>0.22802699999999998</c:v>
                </c:pt>
                <c:pt idx="1">
                  <c:v>6.9293999999999994E-2</c:v>
                </c:pt>
                <c:pt idx="2">
                  <c:v>6.7612000000000005E-2</c:v>
                </c:pt>
                <c:pt idx="3">
                  <c:v>5.8884000000000006E-2</c:v>
                </c:pt>
                <c:pt idx="4">
                  <c:v>4.8934999999999999E-2</c:v>
                </c:pt>
                <c:pt idx="5">
                  <c:v>4.3421000000000001E-2</c:v>
                </c:pt>
                <c:pt idx="6">
                  <c:v>3.5938999999999999E-2</c:v>
                </c:pt>
                <c:pt idx="7">
                  <c:v>3.2938000000000002E-2</c:v>
                </c:pt>
                <c:pt idx="8">
                  <c:v>3.1176000000000002E-2</c:v>
                </c:pt>
                <c:pt idx="9">
                  <c:v>3.0793000000000001E-2</c:v>
                </c:pt>
                <c:pt idx="10">
                  <c:v>2.6301999999999999E-2</c:v>
                </c:pt>
                <c:pt idx="11">
                  <c:v>2.2110999999999999E-2</c:v>
                </c:pt>
                <c:pt idx="12">
                  <c:v>2.1316000000000002E-2</c:v>
                </c:pt>
                <c:pt idx="13">
                  <c:v>2.0313999999999999E-2</c:v>
                </c:pt>
                <c:pt idx="14">
                  <c:v>1.9553999999999998E-2</c:v>
                </c:pt>
                <c:pt idx="15">
                  <c:v>1.8457000000000001E-2</c:v>
                </c:pt>
                <c:pt idx="16">
                  <c:v>1.6198000000000001E-2</c:v>
                </c:pt>
                <c:pt idx="17">
                  <c:v>1.5434E-2</c:v>
                </c:pt>
                <c:pt idx="18">
                  <c:v>1.4742999999999999E-2</c:v>
                </c:pt>
                <c:pt idx="19">
                  <c:v>1.4371E-2</c:v>
                </c:pt>
                <c:pt idx="20">
                  <c:v>1.2293999999999999E-2</c:v>
                </c:pt>
                <c:pt idx="21">
                  <c:v>1.2184E-2</c:v>
                </c:pt>
                <c:pt idx="22">
                  <c:v>9.5350000000000001E-3</c:v>
                </c:pt>
                <c:pt idx="23">
                  <c:v>9.3720000000000001E-3</c:v>
                </c:pt>
                <c:pt idx="24">
                  <c:v>7.6500000000000005E-3</c:v>
                </c:pt>
                <c:pt idx="25">
                  <c:v>6.7980000000000002E-3</c:v>
                </c:pt>
                <c:pt idx="26">
                  <c:v>5.4790000000000004E-3</c:v>
                </c:pt>
                <c:pt idx="27">
                  <c:v>5.1919999999999996E-3</c:v>
                </c:pt>
                <c:pt idx="28">
                  <c:v>3.6809999999999998E-3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March 2025)</c:v>
                </c:pt>
              </c:strCache>
            </c:strRef>
          </c:tx>
          <c:invertIfNegative val="0"/>
          <c:cat>
            <c:strRef>
              <c:f>'BANDHAN SVF'!$W$8:$W$36</c:f>
              <c:strCache>
                <c:ptCount val="29"/>
                <c:pt idx="0">
                  <c:v>Banks</c:v>
                </c:pt>
                <c:pt idx="1">
                  <c:v>IT - Software</c:v>
                </c:pt>
                <c:pt idx="2">
                  <c:v>Petroleum Products</c:v>
                </c:pt>
                <c:pt idx="3">
                  <c:v>Pharmaceuticals &amp; Biotechnology</c:v>
                </c:pt>
                <c:pt idx="4">
                  <c:v>Insurance</c:v>
                </c:pt>
                <c:pt idx="5">
                  <c:v>Automobiles</c:v>
                </c:pt>
                <c:pt idx="6">
                  <c:v>Consumer Durables</c:v>
                </c:pt>
                <c:pt idx="7">
                  <c:v>Finance</c:v>
                </c:pt>
                <c:pt idx="8">
                  <c:v>Construction</c:v>
                </c:pt>
                <c:pt idx="9">
                  <c:v>Ferrous Metals</c:v>
                </c:pt>
                <c:pt idx="10">
                  <c:v>Power</c:v>
                </c:pt>
                <c:pt idx="11">
                  <c:v>Auto Components</c:v>
                </c:pt>
                <c:pt idx="12">
                  <c:v>Food Products</c:v>
                </c:pt>
                <c:pt idx="13">
                  <c:v>Electrical Equipment</c:v>
                </c:pt>
                <c:pt idx="14">
                  <c:v>Diversified FMCG</c:v>
                </c:pt>
                <c:pt idx="15">
                  <c:v>Beverages</c:v>
                </c:pt>
                <c:pt idx="16">
                  <c:v>Realty</c:v>
                </c:pt>
                <c:pt idx="17">
                  <c:v>Retailing</c:v>
                </c:pt>
                <c:pt idx="18">
                  <c:v>Diversified Metals</c:v>
                </c:pt>
                <c:pt idx="19">
                  <c:v>Oil</c:v>
                </c:pt>
                <c:pt idx="20">
                  <c:v>Personal Products</c:v>
                </c:pt>
                <c:pt idx="21">
                  <c:v>Cement &amp; Cement Products</c:v>
                </c:pt>
                <c:pt idx="22">
                  <c:v>Transport Services</c:v>
                </c:pt>
                <c:pt idx="23">
                  <c:v>Leisure Services</c:v>
                </c:pt>
                <c:pt idx="24">
                  <c:v>Fertilizers &amp; Agrochemicals</c:v>
                </c:pt>
                <c:pt idx="25">
                  <c:v>Commercial Services &amp; Supplies</c:v>
                </c:pt>
                <c:pt idx="26">
                  <c:v>Minerals &amp; Mining</c:v>
                </c:pt>
                <c:pt idx="27">
                  <c:v>Telecom - Equipment &amp; Accessories</c:v>
                </c:pt>
                <c:pt idx="28">
                  <c:v>Chemicals &amp; Petrochemicals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Petroleum Products</c:v>
                </c:pt>
                <c:pt idx="3">
                  <c:v>Pharmaceuticals &amp; Biotechnology</c:v>
                </c:pt>
                <c:pt idx="4">
                  <c:v>Insurance</c:v>
                </c:pt>
                <c:pt idx="5">
                  <c:v>Automobiles</c:v>
                </c:pt>
                <c:pt idx="6">
                  <c:v>Consumer Durables</c:v>
                </c:pt>
                <c:pt idx="7">
                  <c:v>Finance</c:v>
                </c:pt>
                <c:pt idx="8">
                  <c:v>Construction</c:v>
                </c:pt>
                <c:pt idx="9">
                  <c:v>Ferrous Metals</c:v>
                </c:pt>
                <c:pt idx="10">
                  <c:v>Power</c:v>
                </c:pt>
                <c:pt idx="11">
                  <c:v>Auto Components</c:v>
                </c:pt>
                <c:pt idx="12">
                  <c:v>Food Products</c:v>
                </c:pt>
                <c:pt idx="13">
                  <c:v>Electrical Equipment</c:v>
                </c:pt>
                <c:pt idx="14">
                  <c:v>Diversified FMCG</c:v>
                </c:pt>
                <c:pt idx="15">
                  <c:v>Beverages</c:v>
                </c:pt>
                <c:pt idx="16">
                  <c:v>Realty</c:v>
                </c:pt>
                <c:pt idx="17">
                  <c:v>Retailing</c:v>
                </c:pt>
                <c:pt idx="18">
                  <c:v>Diversified Metals</c:v>
                </c:pt>
                <c:pt idx="19">
                  <c:v>Oil</c:v>
                </c:pt>
                <c:pt idx="20">
                  <c:v>Personal Products</c:v>
                </c:pt>
                <c:pt idx="21">
                  <c:v>Cement &amp; Cement Products</c:v>
                </c:pt>
                <c:pt idx="22">
                  <c:v>Transport Services</c:v>
                </c:pt>
                <c:pt idx="23">
                  <c:v>Leisure Services</c:v>
                </c:pt>
                <c:pt idx="24">
                  <c:v>Fertilizers &amp; Agrochemicals</c:v>
                </c:pt>
                <c:pt idx="25">
                  <c:v>Commercial Services &amp; Supplies</c:v>
                </c:pt>
                <c:pt idx="26">
                  <c:v>Minerals &amp; Mining</c:v>
                </c:pt>
                <c:pt idx="27">
                  <c:v>Telecom - Equipment &amp; Accessories</c:v>
                </c:pt>
              </c:strCache>
            </c:strRef>
          </c:cat>
          <c:val>
            <c:numRef>
              <c:f>'BANDHAN SVF'!$X$8:$X$35</c:f>
              <c:numCache>
                <c:formatCode>0.00%</c:formatCode>
                <c:ptCount val="28"/>
                <c:pt idx="0">
                  <c:v>0.22802699999999998</c:v>
                </c:pt>
                <c:pt idx="1">
                  <c:v>6.9293999999999994E-2</c:v>
                </c:pt>
                <c:pt idx="2">
                  <c:v>6.7612000000000005E-2</c:v>
                </c:pt>
                <c:pt idx="3">
                  <c:v>5.8884000000000006E-2</c:v>
                </c:pt>
                <c:pt idx="4">
                  <c:v>4.8934999999999999E-2</c:v>
                </c:pt>
                <c:pt idx="5">
                  <c:v>4.3421000000000001E-2</c:v>
                </c:pt>
                <c:pt idx="6">
                  <c:v>3.5938999999999999E-2</c:v>
                </c:pt>
                <c:pt idx="7">
                  <c:v>3.2938000000000002E-2</c:v>
                </c:pt>
                <c:pt idx="8">
                  <c:v>3.1176000000000002E-2</c:v>
                </c:pt>
                <c:pt idx="9">
                  <c:v>3.0793000000000001E-2</c:v>
                </c:pt>
                <c:pt idx="10">
                  <c:v>2.6301999999999999E-2</c:v>
                </c:pt>
                <c:pt idx="11">
                  <c:v>2.2110999999999999E-2</c:v>
                </c:pt>
                <c:pt idx="12">
                  <c:v>2.1316000000000002E-2</c:v>
                </c:pt>
                <c:pt idx="13">
                  <c:v>2.0313999999999999E-2</c:v>
                </c:pt>
                <c:pt idx="14">
                  <c:v>1.9553999999999998E-2</c:v>
                </c:pt>
                <c:pt idx="15">
                  <c:v>1.8457000000000001E-2</c:v>
                </c:pt>
                <c:pt idx="16">
                  <c:v>1.6198000000000001E-2</c:v>
                </c:pt>
                <c:pt idx="17">
                  <c:v>1.5434E-2</c:v>
                </c:pt>
                <c:pt idx="18">
                  <c:v>1.4742999999999999E-2</c:v>
                </c:pt>
                <c:pt idx="19">
                  <c:v>1.4371E-2</c:v>
                </c:pt>
                <c:pt idx="20">
                  <c:v>1.2293999999999999E-2</c:v>
                </c:pt>
                <c:pt idx="21">
                  <c:v>1.2184E-2</c:v>
                </c:pt>
                <c:pt idx="22">
                  <c:v>9.5350000000000001E-3</c:v>
                </c:pt>
                <c:pt idx="23">
                  <c:v>9.3720000000000001E-3</c:v>
                </c:pt>
                <c:pt idx="24">
                  <c:v>7.6500000000000005E-3</c:v>
                </c:pt>
                <c:pt idx="25">
                  <c:v>6.7980000000000002E-3</c:v>
                </c:pt>
                <c:pt idx="26">
                  <c:v>5.4790000000000004E-3</c:v>
                </c:pt>
                <c:pt idx="27">
                  <c:v>5.1919999999999996E-3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Financial Technology (Fintech)</c:v>
                </c:pt>
                <c:pt idx="14">
                  <c:v>Telecom - Services</c:v>
                </c:pt>
                <c:pt idx="15">
                  <c:v>Fertilizers &amp; Agrochemicals</c:v>
                </c:pt>
                <c:pt idx="16">
                  <c:v>Power</c:v>
                </c:pt>
                <c:pt idx="17">
                  <c:v>Cement &amp; Cement Products</c:v>
                </c:pt>
                <c:pt idx="18">
                  <c:v>Automobiles</c:v>
                </c:pt>
                <c:pt idx="19">
                  <c:v>IT - Services</c:v>
                </c:pt>
                <c:pt idx="20">
                  <c:v>Capital Markets</c:v>
                </c:pt>
                <c:pt idx="21">
                  <c:v>Industrial Manufacturing</c:v>
                </c:pt>
                <c:pt idx="22">
                  <c:v>Beverages</c:v>
                </c:pt>
                <c:pt idx="23">
                  <c:v>Diversified</c:v>
                </c:pt>
                <c:pt idx="24">
                  <c:v>Aerospace &amp; Defense</c:v>
                </c:pt>
                <c:pt idx="25">
                  <c:v>Insurance</c:v>
                </c:pt>
                <c:pt idx="26">
                  <c:v>Ferrous Metals</c:v>
                </c:pt>
                <c:pt idx="27">
                  <c:v>Household Products</c:v>
                </c:pt>
                <c:pt idx="28">
                  <c:v>Commercial Services &amp; Supplies</c:v>
                </c:pt>
                <c:pt idx="29">
                  <c:v>Personal Products</c:v>
                </c:pt>
                <c:pt idx="30">
                  <c:v>Food Products</c:v>
                </c:pt>
              </c:strCache>
            </c:strRef>
          </c:cat>
          <c:val>
            <c:numRef>
              <c:f>'BANDHAN-MCAP'!$X$8:$X$38</c:f>
              <c:numCache>
                <c:formatCode>0.00%</c:formatCode>
                <c:ptCount val="31"/>
                <c:pt idx="0">
                  <c:v>8.9427999999999994E-2</c:v>
                </c:pt>
                <c:pt idx="1">
                  <c:v>8.0951000000000009E-2</c:v>
                </c:pt>
                <c:pt idx="2">
                  <c:v>7.6319999999999999E-2</c:v>
                </c:pt>
                <c:pt idx="3">
                  <c:v>7.5175999999999993E-2</c:v>
                </c:pt>
                <c:pt idx="4">
                  <c:v>6.5765999999999991E-2</c:v>
                </c:pt>
                <c:pt idx="5">
                  <c:v>6.1112E-2</c:v>
                </c:pt>
                <c:pt idx="6">
                  <c:v>4.8719999999999999E-2</c:v>
                </c:pt>
                <c:pt idx="7">
                  <c:v>4.4496000000000001E-2</c:v>
                </c:pt>
                <c:pt idx="8">
                  <c:v>4.2394000000000001E-2</c:v>
                </c:pt>
                <c:pt idx="9">
                  <c:v>4.1830000000000006E-2</c:v>
                </c:pt>
                <c:pt idx="10">
                  <c:v>3.9283999999999999E-2</c:v>
                </c:pt>
                <c:pt idx="11">
                  <c:v>3.2274999999999998E-2</c:v>
                </c:pt>
                <c:pt idx="12">
                  <c:v>2.7154000000000001E-2</c:v>
                </c:pt>
                <c:pt idx="13">
                  <c:v>2.3321000000000001E-2</c:v>
                </c:pt>
                <c:pt idx="14">
                  <c:v>2.2905999999999999E-2</c:v>
                </c:pt>
                <c:pt idx="15">
                  <c:v>2.1434000000000002E-2</c:v>
                </c:pt>
                <c:pt idx="16">
                  <c:v>1.8234E-2</c:v>
                </c:pt>
                <c:pt idx="17">
                  <c:v>1.8155000000000001E-2</c:v>
                </c:pt>
                <c:pt idx="18">
                  <c:v>1.5592999999999999E-2</c:v>
                </c:pt>
                <c:pt idx="19">
                  <c:v>1.469E-2</c:v>
                </c:pt>
                <c:pt idx="20">
                  <c:v>1.4057999999999999E-2</c:v>
                </c:pt>
                <c:pt idx="21">
                  <c:v>1.1839000000000001E-2</c:v>
                </c:pt>
                <c:pt idx="22">
                  <c:v>1.1256E-2</c:v>
                </c:pt>
                <c:pt idx="23">
                  <c:v>7.9319999999999998E-3</c:v>
                </c:pt>
                <c:pt idx="24">
                  <c:v>7.8829999999999994E-3</c:v>
                </c:pt>
                <c:pt idx="25">
                  <c:v>7.5789999999999998E-3</c:v>
                </c:pt>
                <c:pt idx="26">
                  <c:v>6.7590000000000003E-3</c:v>
                </c:pt>
                <c:pt idx="27">
                  <c:v>6.0010000000000003E-3</c:v>
                </c:pt>
                <c:pt idx="28">
                  <c:v>3.3040000000000001E-3</c:v>
                </c:pt>
                <c:pt idx="29">
                  <c:v>3.1649999999999998E-3</c:v>
                </c:pt>
                <c:pt idx="30">
                  <c:v>5.5099999999999995E-4</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March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Financial Technology (Fintech)</c:v>
                </c:pt>
                <c:pt idx="14">
                  <c:v>Telecom - Services</c:v>
                </c:pt>
                <c:pt idx="15">
                  <c:v>Fertilizers &amp; Agrochemicals</c:v>
                </c:pt>
                <c:pt idx="16">
                  <c:v>Power</c:v>
                </c:pt>
                <c:pt idx="17">
                  <c:v>Cement &amp; Cement Products</c:v>
                </c:pt>
                <c:pt idx="18">
                  <c:v>Automobiles</c:v>
                </c:pt>
                <c:pt idx="19">
                  <c:v>IT - Services</c:v>
                </c:pt>
                <c:pt idx="20">
                  <c:v>Capital Markets</c:v>
                </c:pt>
                <c:pt idx="21">
                  <c:v>Industrial Manufacturing</c:v>
                </c:pt>
                <c:pt idx="22">
                  <c:v>Beverages</c:v>
                </c:pt>
                <c:pt idx="23">
                  <c:v>Diversified</c:v>
                </c:pt>
                <c:pt idx="24">
                  <c:v>Aerospace &amp; Defense</c:v>
                </c:pt>
                <c:pt idx="25">
                  <c:v>Insurance</c:v>
                </c:pt>
                <c:pt idx="26">
                  <c:v>Ferrous Metals</c:v>
                </c:pt>
                <c:pt idx="27">
                  <c:v>Household Products</c:v>
                </c:pt>
                <c:pt idx="28">
                  <c:v>Commercial Services &amp; Supplies</c:v>
                </c:pt>
                <c:pt idx="29">
                  <c:v>Personal Products</c:v>
                </c:pt>
                <c:pt idx="30">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March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Financial Technology (Fintech)</c:v>
                </c:pt>
                <c:pt idx="14">
                  <c:v>Telecom - Services</c:v>
                </c:pt>
                <c:pt idx="15">
                  <c:v>Fertilizers &amp; Agrochemicals</c:v>
                </c:pt>
                <c:pt idx="16">
                  <c:v>Power</c:v>
                </c:pt>
                <c:pt idx="17">
                  <c:v>Cement &amp; Cement Products</c:v>
                </c:pt>
                <c:pt idx="18">
                  <c:v>Automobiles</c:v>
                </c:pt>
                <c:pt idx="19">
                  <c:v>IT - Services</c:v>
                </c:pt>
                <c:pt idx="20">
                  <c:v>Capital Markets</c:v>
                </c:pt>
                <c:pt idx="21">
                  <c:v>Industrial Manufacturing</c:v>
                </c:pt>
                <c:pt idx="22">
                  <c:v>Beverages</c:v>
                </c:pt>
                <c:pt idx="23">
                  <c:v>Diversified</c:v>
                </c:pt>
                <c:pt idx="24">
                  <c:v>Aerospace &amp; Defense</c:v>
                </c:pt>
                <c:pt idx="25">
                  <c:v>Insurance</c:v>
                </c:pt>
                <c:pt idx="26">
                  <c:v>Ferrous Metals</c:v>
                </c:pt>
                <c:pt idx="27">
                  <c:v>Household Products</c:v>
                </c:pt>
                <c:pt idx="28">
                  <c:v>Commercial Services &amp; Supplies</c:v>
                </c:pt>
                <c:pt idx="29">
                  <c:v>Personal Products</c:v>
                </c:pt>
                <c:pt idx="30">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MCF'!$W$8:$W$45</c:f>
              <c:strCache>
                <c:ptCount val="38"/>
                <c:pt idx="0">
                  <c:v>Banks</c:v>
                </c:pt>
                <c:pt idx="1">
                  <c:v>Pharmaceuticals &amp; Biotechnology</c:v>
                </c:pt>
                <c:pt idx="2">
                  <c:v>Finance</c:v>
                </c:pt>
                <c:pt idx="3">
                  <c:v>IT - Software</c:v>
                </c:pt>
                <c:pt idx="4">
                  <c:v>Petroleum Products</c:v>
                </c:pt>
                <c:pt idx="5">
                  <c:v>Insurance</c:v>
                </c:pt>
                <c:pt idx="6">
                  <c:v>Retailing</c:v>
                </c:pt>
                <c:pt idx="7">
                  <c:v>Consumer Durables</c:v>
                </c:pt>
                <c:pt idx="8">
                  <c:v>Auto Components</c:v>
                </c:pt>
                <c:pt idx="9">
                  <c:v>Fertilizers &amp; Agrochemicals</c:v>
                </c:pt>
                <c:pt idx="10">
                  <c:v>Construction</c:v>
                </c:pt>
                <c:pt idx="11">
                  <c:v>Food Products</c:v>
                </c:pt>
                <c:pt idx="12">
                  <c:v>Industrial Products</c:v>
                </c:pt>
                <c:pt idx="13">
                  <c:v>Realty</c:v>
                </c:pt>
                <c:pt idx="14">
                  <c:v>Automobiles</c:v>
                </c:pt>
                <c:pt idx="15">
                  <c:v>Industrial Manufacturing</c:v>
                </c:pt>
                <c:pt idx="16">
                  <c:v>Personal Products</c:v>
                </c:pt>
                <c:pt idx="17">
                  <c:v>Beverages</c:v>
                </c:pt>
                <c:pt idx="18">
                  <c:v>Leisure Services</c:v>
                </c:pt>
                <c:pt idx="19">
                  <c:v>Cement &amp; Cement Products</c:v>
                </c:pt>
                <c:pt idx="20">
                  <c:v>Oil</c:v>
                </c:pt>
                <c:pt idx="21">
                  <c:v>Telecom - Services</c:v>
                </c:pt>
                <c:pt idx="22">
                  <c:v>Commercial Services &amp; Supplies</c:v>
                </c:pt>
                <c:pt idx="23">
                  <c:v>Diversified Metals</c:v>
                </c:pt>
                <c:pt idx="24">
                  <c:v>Ferrous Metals</c:v>
                </c:pt>
                <c:pt idx="25">
                  <c:v>Telecom - Equipment &amp; Accessories</c:v>
                </c:pt>
                <c:pt idx="26">
                  <c:v>Electrical Equipment</c:v>
                </c:pt>
                <c:pt idx="27">
                  <c:v>Minerals &amp; Mining</c:v>
                </c:pt>
                <c:pt idx="28">
                  <c:v>Chemicals &amp; Petrochemicals</c:v>
                </c:pt>
                <c:pt idx="29">
                  <c:v>Diversified FMCG</c:v>
                </c:pt>
                <c:pt idx="30">
                  <c:v>Non - Ferrous Metals</c:v>
                </c:pt>
                <c:pt idx="31">
                  <c:v>Power</c:v>
                </c:pt>
                <c:pt idx="32">
                  <c:v>Healthcare Services</c:v>
                </c:pt>
                <c:pt idx="33">
                  <c:v>IT - Services</c:v>
                </c:pt>
                <c:pt idx="34">
                  <c:v>Agricultural Food &amp; other Products</c:v>
                </c:pt>
                <c:pt idx="35">
                  <c:v>Gas</c:v>
                </c:pt>
                <c:pt idx="36">
                  <c:v>Diversified</c:v>
                </c:pt>
                <c:pt idx="37">
                  <c:v>Capital Markets</c:v>
                </c:pt>
              </c:strCache>
            </c:strRef>
          </c:cat>
          <c:val>
            <c:numRef>
              <c:f>'BANDHAN MCF'!$X$8:$X$45</c:f>
              <c:numCache>
                <c:formatCode>0.00%</c:formatCode>
                <c:ptCount val="38"/>
                <c:pt idx="0">
                  <c:v>0.17323499999999997</c:v>
                </c:pt>
                <c:pt idx="1">
                  <c:v>8.4954999999999989E-2</c:v>
                </c:pt>
                <c:pt idx="2">
                  <c:v>6.1635999999999996E-2</c:v>
                </c:pt>
                <c:pt idx="3">
                  <c:v>4.8207E-2</c:v>
                </c:pt>
                <c:pt idx="4">
                  <c:v>4.7393000000000005E-2</c:v>
                </c:pt>
                <c:pt idx="5">
                  <c:v>4.1583000000000002E-2</c:v>
                </c:pt>
                <c:pt idx="6">
                  <c:v>3.8725000000000002E-2</c:v>
                </c:pt>
                <c:pt idx="7">
                  <c:v>3.5874000000000003E-2</c:v>
                </c:pt>
                <c:pt idx="8">
                  <c:v>3.4120999999999999E-2</c:v>
                </c:pt>
                <c:pt idx="9">
                  <c:v>2.9222000000000001E-2</c:v>
                </c:pt>
                <c:pt idx="10">
                  <c:v>2.8775999999999999E-2</c:v>
                </c:pt>
                <c:pt idx="11">
                  <c:v>2.86E-2</c:v>
                </c:pt>
                <c:pt idx="12">
                  <c:v>2.4258000000000002E-2</c:v>
                </c:pt>
                <c:pt idx="13">
                  <c:v>2.3805999999999997E-2</c:v>
                </c:pt>
                <c:pt idx="14">
                  <c:v>2.3741999999999999E-2</c:v>
                </c:pt>
                <c:pt idx="15">
                  <c:v>1.8755000000000001E-2</c:v>
                </c:pt>
                <c:pt idx="16">
                  <c:v>1.7471E-2</c:v>
                </c:pt>
                <c:pt idx="17">
                  <c:v>1.6735E-2</c:v>
                </c:pt>
                <c:pt idx="18">
                  <c:v>1.6582E-2</c:v>
                </c:pt>
                <c:pt idx="19">
                  <c:v>1.5599999999999999E-2</c:v>
                </c:pt>
                <c:pt idx="20">
                  <c:v>1.4796E-2</c:v>
                </c:pt>
                <c:pt idx="21">
                  <c:v>1.451E-2</c:v>
                </c:pt>
                <c:pt idx="22">
                  <c:v>1.2239999999999999E-2</c:v>
                </c:pt>
                <c:pt idx="23">
                  <c:v>1.1637E-2</c:v>
                </c:pt>
                <c:pt idx="24">
                  <c:v>1.1455E-2</c:v>
                </c:pt>
                <c:pt idx="25">
                  <c:v>1.0160000000000001E-2</c:v>
                </c:pt>
                <c:pt idx="26">
                  <c:v>1.0021E-2</c:v>
                </c:pt>
                <c:pt idx="27">
                  <c:v>8.6499999999999997E-3</c:v>
                </c:pt>
                <c:pt idx="28">
                  <c:v>7.4269999999999996E-3</c:v>
                </c:pt>
                <c:pt idx="29">
                  <c:v>6.8599999999999998E-3</c:v>
                </c:pt>
                <c:pt idx="30">
                  <c:v>6.6119999999999998E-3</c:v>
                </c:pt>
                <c:pt idx="31">
                  <c:v>5.9870000000000001E-3</c:v>
                </c:pt>
                <c:pt idx="32">
                  <c:v>5.5380000000000004E-3</c:v>
                </c:pt>
                <c:pt idx="33">
                  <c:v>5.4050000000000001E-3</c:v>
                </c:pt>
                <c:pt idx="34">
                  <c:v>4.7130000000000002E-3</c:v>
                </c:pt>
                <c:pt idx="35">
                  <c:v>4.3150000000000003E-3</c:v>
                </c:pt>
                <c:pt idx="36">
                  <c:v>2.418E-3</c:v>
                </c:pt>
                <c:pt idx="37">
                  <c:v>2.2079999999999999E-3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March 2025)</c:v>
                </c:pt>
              </c:strCache>
            </c:strRef>
          </c:tx>
          <c:invertIfNegative val="0"/>
          <c:cat>
            <c:strRef>
              <c:f>'BANDHAN MCF'!$W$8:$W$45</c:f>
              <c:strCache>
                <c:ptCount val="38"/>
                <c:pt idx="0">
                  <c:v>Banks</c:v>
                </c:pt>
                <c:pt idx="1">
                  <c:v>Pharmaceuticals &amp; Biotechnology</c:v>
                </c:pt>
                <c:pt idx="2">
                  <c:v>Finance</c:v>
                </c:pt>
                <c:pt idx="3">
                  <c:v>IT - Software</c:v>
                </c:pt>
                <c:pt idx="4">
                  <c:v>Petroleum Products</c:v>
                </c:pt>
                <c:pt idx="5">
                  <c:v>Insurance</c:v>
                </c:pt>
                <c:pt idx="6">
                  <c:v>Retailing</c:v>
                </c:pt>
                <c:pt idx="7">
                  <c:v>Consumer Durables</c:v>
                </c:pt>
                <c:pt idx="8">
                  <c:v>Auto Components</c:v>
                </c:pt>
                <c:pt idx="9">
                  <c:v>Fertilizers &amp; Agrochemicals</c:v>
                </c:pt>
                <c:pt idx="10">
                  <c:v>Construction</c:v>
                </c:pt>
                <c:pt idx="11">
                  <c:v>Food Products</c:v>
                </c:pt>
                <c:pt idx="12">
                  <c:v>Industrial Products</c:v>
                </c:pt>
                <c:pt idx="13">
                  <c:v>Realty</c:v>
                </c:pt>
                <c:pt idx="14">
                  <c:v>Automobiles</c:v>
                </c:pt>
                <c:pt idx="15">
                  <c:v>Industrial Manufacturing</c:v>
                </c:pt>
                <c:pt idx="16">
                  <c:v>Personal Products</c:v>
                </c:pt>
                <c:pt idx="17">
                  <c:v>Beverages</c:v>
                </c:pt>
                <c:pt idx="18">
                  <c:v>Leisure Services</c:v>
                </c:pt>
                <c:pt idx="19">
                  <c:v>Cement &amp; Cement Products</c:v>
                </c:pt>
                <c:pt idx="20">
                  <c:v>Oil</c:v>
                </c:pt>
                <c:pt idx="21">
                  <c:v>Telecom - Services</c:v>
                </c:pt>
                <c:pt idx="22">
                  <c:v>Commercial Services &amp; Supplies</c:v>
                </c:pt>
                <c:pt idx="23">
                  <c:v>Diversified Metals</c:v>
                </c:pt>
                <c:pt idx="24">
                  <c:v>Ferrous Metals</c:v>
                </c:pt>
                <c:pt idx="25">
                  <c:v>Telecom - Equipment &amp; Accessories</c:v>
                </c:pt>
                <c:pt idx="26">
                  <c:v>Electrical Equipment</c:v>
                </c:pt>
                <c:pt idx="27">
                  <c:v>Minerals &amp; Mining</c:v>
                </c:pt>
                <c:pt idx="28">
                  <c:v>Chemicals &amp; Petrochemicals</c:v>
                </c:pt>
                <c:pt idx="29">
                  <c:v>Diversified FMCG</c:v>
                </c:pt>
                <c:pt idx="30">
                  <c:v>Non - Ferrous Metals</c:v>
                </c:pt>
                <c:pt idx="31">
                  <c:v>Power</c:v>
                </c:pt>
                <c:pt idx="32">
                  <c:v>Healthcare Services</c:v>
                </c:pt>
                <c:pt idx="33">
                  <c:v>IT - Services</c:v>
                </c:pt>
                <c:pt idx="34">
                  <c:v>Agricultural Food &amp; other Products</c:v>
                </c:pt>
                <c:pt idx="35">
                  <c:v>Gas</c:v>
                </c:pt>
                <c:pt idx="36">
                  <c:v>Diversified</c:v>
                </c:pt>
                <c:pt idx="37">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FCF'!$W$8:$W$35</c:f>
              <c:strCache>
                <c:ptCount val="28"/>
                <c:pt idx="0">
                  <c:v>Banks</c:v>
                </c:pt>
                <c:pt idx="1">
                  <c:v>IT - Software</c:v>
                </c:pt>
                <c:pt idx="2">
                  <c:v>Retailing</c:v>
                </c:pt>
                <c:pt idx="3">
                  <c:v>Automobiles</c:v>
                </c:pt>
                <c:pt idx="4">
                  <c:v>Petroleum Products</c:v>
                </c:pt>
                <c:pt idx="5">
                  <c:v>Pharmaceuticals &amp; Biotechnology</c:v>
                </c:pt>
                <c:pt idx="6">
                  <c:v>Insurance</c:v>
                </c:pt>
                <c:pt idx="7">
                  <c:v>Finance</c:v>
                </c:pt>
                <c:pt idx="8">
                  <c:v>Diversified FMCG</c:v>
                </c:pt>
                <c:pt idx="9">
                  <c:v>Consumer Durables</c:v>
                </c:pt>
                <c:pt idx="10">
                  <c:v>Cement &amp; Cement Products</c:v>
                </c:pt>
                <c:pt idx="11">
                  <c:v>Telecom - Services</c:v>
                </c:pt>
                <c:pt idx="12">
                  <c:v>Electrical Equipment</c:v>
                </c:pt>
                <c:pt idx="13">
                  <c:v>Realty</c:v>
                </c:pt>
                <c:pt idx="14">
                  <c:v>Construction</c:v>
                </c:pt>
                <c:pt idx="15">
                  <c:v>Food Products</c:v>
                </c:pt>
                <c:pt idx="16">
                  <c:v>Healthcare Services</c:v>
                </c:pt>
                <c:pt idx="17">
                  <c:v>Ferrous Metals</c:v>
                </c:pt>
                <c:pt idx="18">
                  <c:v>Leisure Services</c:v>
                </c:pt>
                <c:pt idx="19">
                  <c:v>Beverages</c:v>
                </c:pt>
                <c:pt idx="20">
                  <c:v>Diversified Metals</c:v>
                </c:pt>
                <c:pt idx="21">
                  <c:v>Minerals &amp; Mining</c:v>
                </c:pt>
                <c:pt idx="22">
                  <c:v>Power</c:v>
                </c:pt>
                <c:pt idx="23">
                  <c:v>Telecom - Equipment &amp; Accessories</c:v>
                </c:pt>
                <c:pt idx="24">
                  <c:v>Industrial Products</c:v>
                </c:pt>
                <c:pt idx="25">
                  <c:v>Commercial Services &amp; Supplies</c:v>
                </c:pt>
                <c:pt idx="26">
                  <c:v>Capital Markets</c:v>
                </c:pt>
                <c:pt idx="27">
                  <c:v>Fertilizers &amp; Agrochemicals</c:v>
                </c:pt>
              </c:strCache>
            </c:strRef>
          </c:cat>
          <c:val>
            <c:numRef>
              <c:f>'BANDHAN FCF'!$X$8:$X$35</c:f>
              <c:numCache>
                <c:formatCode>0.0%</c:formatCode>
                <c:ptCount val="28"/>
                <c:pt idx="0">
                  <c:v>0.25135200000000002</c:v>
                </c:pt>
                <c:pt idx="1">
                  <c:v>8.8542999999999997E-2</c:v>
                </c:pt>
                <c:pt idx="2">
                  <c:v>7.1043999999999996E-2</c:v>
                </c:pt>
                <c:pt idx="3">
                  <c:v>6.9026999999999991E-2</c:v>
                </c:pt>
                <c:pt idx="4">
                  <c:v>6.8376000000000006E-2</c:v>
                </c:pt>
                <c:pt idx="5">
                  <c:v>4.3772000000000005E-2</c:v>
                </c:pt>
                <c:pt idx="6">
                  <c:v>3.4778000000000003E-2</c:v>
                </c:pt>
                <c:pt idx="7">
                  <c:v>3.0747999999999998E-2</c:v>
                </c:pt>
                <c:pt idx="8">
                  <c:v>2.9116999999999997E-2</c:v>
                </c:pt>
                <c:pt idx="9">
                  <c:v>2.8576000000000001E-2</c:v>
                </c:pt>
                <c:pt idx="10">
                  <c:v>2.1741999999999997E-2</c:v>
                </c:pt>
                <c:pt idx="11">
                  <c:v>1.9813000000000001E-2</c:v>
                </c:pt>
                <c:pt idx="12">
                  <c:v>1.7409999999999998E-2</c:v>
                </c:pt>
                <c:pt idx="13">
                  <c:v>1.6421999999999999E-2</c:v>
                </c:pt>
                <c:pt idx="14">
                  <c:v>1.4606000000000001E-2</c:v>
                </c:pt>
                <c:pt idx="15">
                  <c:v>1.3531E-2</c:v>
                </c:pt>
                <c:pt idx="16">
                  <c:v>1.2853E-2</c:v>
                </c:pt>
                <c:pt idx="17">
                  <c:v>1.2652E-2</c:v>
                </c:pt>
                <c:pt idx="18">
                  <c:v>1.2402E-2</c:v>
                </c:pt>
                <c:pt idx="19">
                  <c:v>1.1192000000000001E-2</c:v>
                </c:pt>
                <c:pt idx="20">
                  <c:v>1.0767000000000001E-2</c:v>
                </c:pt>
                <c:pt idx="21">
                  <c:v>9.0089999999999996E-3</c:v>
                </c:pt>
                <c:pt idx="22">
                  <c:v>8.6280000000000003E-3</c:v>
                </c:pt>
                <c:pt idx="23">
                  <c:v>8.1709999999999994E-3</c:v>
                </c:pt>
                <c:pt idx="24">
                  <c:v>7.5980000000000006E-3</c:v>
                </c:pt>
                <c:pt idx="25">
                  <c:v>4.5389999999999996E-3</c:v>
                </c:pt>
                <c:pt idx="26">
                  <c:v>2.6870000000000002E-3</c:v>
                </c:pt>
                <c:pt idx="27">
                  <c:v>1.0690000000000001E-3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Power</c:v>
                </c:pt>
                <c:pt idx="19">
                  <c:v>Leisure Services</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Aerospace &amp; Defense</c:v>
                </c:pt>
                <c:pt idx="30">
                  <c:v>Fertilizers &amp; Agrochemicals</c:v>
                </c:pt>
                <c:pt idx="31">
                  <c:v>Diversified</c:v>
                </c:pt>
                <c:pt idx="32">
                  <c:v>Non - Ferrous Metals</c:v>
                </c:pt>
                <c:pt idx="33">
                  <c:v>Household Products</c:v>
                </c:pt>
                <c:pt idx="34">
                  <c:v>Cement &amp; Cement Products</c:v>
                </c:pt>
                <c:pt idx="35">
                  <c:v>Entertainment</c:v>
                </c:pt>
                <c:pt idx="36">
                  <c:v>Telecom - Services</c:v>
                </c:pt>
                <c:pt idx="37">
                  <c:v>Personal Products</c:v>
                </c:pt>
                <c:pt idx="38">
                  <c:v>Other Utilities</c:v>
                </c:pt>
                <c:pt idx="39">
                  <c:v>Gas</c:v>
                </c:pt>
                <c:pt idx="40">
                  <c:v>Telecom - Equipment &amp; Accessories</c:v>
                </c:pt>
                <c:pt idx="41">
                  <c:v>Insurance</c:v>
                </c:pt>
                <c:pt idx="42">
                  <c:v>Minerals &amp; Mining</c:v>
                </c:pt>
                <c:pt idx="43">
                  <c:v>Automobiles</c:v>
                </c:pt>
                <c:pt idx="44">
                  <c:v>Healthcare Equipment &amp; Supplies</c:v>
                </c:pt>
                <c:pt idx="45">
                  <c:v>Diversified FMCG</c:v>
                </c:pt>
              </c:strCache>
            </c:strRef>
          </c:cat>
          <c:val>
            <c:numRef>
              <c:f>'BANDHAN SCF'!$X$8:$X$53</c:f>
              <c:numCache>
                <c:formatCode>0.00%</c:formatCode>
                <c:ptCount val="46"/>
                <c:pt idx="0">
                  <c:v>9.5857999999999985E-2</c:v>
                </c:pt>
                <c:pt idx="1">
                  <c:v>8.9344000000000007E-2</c:v>
                </c:pt>
                <c:pt idx="2">
                  <c:v>7.6880000000000004E-2</c:v>
                </c:pt>
                <c:pt idx="3">
                  <c:v>6.1445E-2</c:v>
                </c:pt>
                <c:pt idx="4">
                  <c:v>5.2694999999999999E-2</c:v>
                </c:pt>
                <c:pt idx="5">
                  <c:v>4.6264E-2</c:v>
                </c:pt>
                <c:pt idx="6">
                  <c:v>4.2334999999999998E-2</c:v>
                </c:pt>
                <c:pt idx="7">
                  <c:v>4.0230000000000002E-2</c:v>
                </c:pt>
                <c:pt idx="8">
                  <c:v>3.9617000000000006E-2</c:v>
                </c:pt>
                <c:pt idx="9">
                  <c:v>3.6760000000000001E-2</c:v>
                </c:pt>
                <c:pt idx="10">
                  <c:v>3.3551999999999998E-2</c:v>
                </c:pt>
                <c:pt idx="11">
                  <c:v>3.0448000000000003E-2</c:v>
                </c:pt>
                <c:pt idx="12">
                  <c:v>2.8665999999999997E-2</c:v>
                </c:pt>
                <c:pt idx="13">
                  <c:v>2.0305E-2</c:v>
                </c:pt>
                <c:pt idx="14">
                  <c:v>1.8263000000000001E-2</c:v>
                </c:pt>
                <c:pt idx="15">
                  <c:v>1.5818000000000002E-2</c:v>
                </c:pt>
                <c:pt idx="16">
                  <c:v>1.506E-2</c:v>
                </c:pt>
                <c:pt idx="17">
                  <c:v>1.4908999999999999E-2</c:v>
                </c:pt>
                <c:pt idx="18">
                  <c:v>1.4155000000000001E-2</c:v>
                </c:pt>
                <c:pt idx="19">
                  <c:v>1.1625999999999999E-2</c:v>
                </c:pt>
                <c:pt idx="20">
                  <c:v>1.0655E-2</c:v>
                </c:pt>
                <c:pt idx="21">
                  <c:v>1.0458E-2</c:v>
                </c:pt>
                <c:pt idx="22">
                  <c:v>9.8169999999999993E-3</c:v>
                </c:pt>
                <c:pt idx="23">
                  <c:v>8.4180000000000001E-3</c:v>
                </c:pt>
                <c:pt idx="24">
                  <c:v>7.8180000000000003E-3</c:v>
                </c:pt>
                <c:pt idx="25">
                  <c:v>6.5970000000000004E-3</c:v>
                </c:pt>
                <c:pt idx="26">
                  <c:v>6.2909999999999997E-3</c:v>
                </c:pt>
                <c:pt idx="27">
                  <c:v>5.1209999999999997E-3</c:v>
                </c:pt>
                <c:pt idx="28">
                  <c:v>4.9300000000000004E-3</c:v>
                </c:pt>
                <c:pt idx="29">
                  <c:v>3.9090000000000001E-3</c:v>
                </c:pt>
                <c:pt idx="30">
                  <c:v>3.8119999999999999E-3</c:v>
                </c:pt>
                <c:pt idx="31">
                  <c:v>3.7190000000000001E-3</c:v>
                </c:pt>
                <c:pt idx="32">
                  <c:v>3.117E-3</c:v>
                </c:pt>
                <c:pt idx="33">
                  <c:v>2.9580000000000001E-3</c:v>
                </c:pt>
                <c:pt idx="34">
                  <c:v>2.8839999999999998E-3</c:v>
                </c:pt>
                <c:pt idx="35">
                  <c:v>2.6979999999999999E-3</c:v>
                </c:pt>
                <c:pt idx="36">
                  <c:v>2.4580000000000001E-3</c:v>
                </c:pt>
                <c:pt idx="37">
                  <c:v>2.1410000000000001E-3</c:v>
                </c:pt>
                <c:pt idx="38">
                  <c:v>2.068E-3</c:v>
                </c:pt>
                <c:pt idx="39">
                  <c:v>2.0249999999999999E-3</c:v>
                </c:pt>
                <c:pt idx="40">
                  <c:v>2.006E-3</c:v>
                </c:pt>
                <c:pt idx="41">
                  <c:v>1.353E-3</c:v>
                </c:pt>
                <c:pt idx="42">
                  <c:v>9.4300000000000004E-4</c:v>
                </c:pt>
                <c:pt idx="43">
                  <c:v>8.5499999999999997E-4</c:v>
                </c:pt>
                <c:pt idx="44">
                  <c:v>7.5299999999999998E-4</c:v>
                </c:pt>
                <c:pt idx="45">
                  <c:v>5.44E-4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March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Power</c:v>
                </c:pt>
                <c:pt idx="19">
                  <c:v>Leisure Services</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Aerospace &amp; Defense</c:v>
                </c:pt>
                <c:pt idx="30">
                  <c:v>Fertilizers &amp; Agrochemicals</c:v>
                </c:pt>
                <c:pt idx="31">
                  <c:v>Diversified</c:v>
                </c:pt>
                <c:pt idx="32">
                  <c:v>Non - Ferrous Metals</c:v>
                </c:pt>
                <c:pt idx="33">
                  <c:v>Household Products</c:v>
                </c:pt>
                <c:pt idx="34">
                  <c:v>Cement &amp; Cement Products</c:v>
                </c:pt>
                <c:pt idx="35">
                  <c:v>Entertainment</c:v>
                </c:pt>
                <c:pt idx="36">
                  <c:v>Telecom - Services</c:v>
                </c:pt>
                <c:pt idx="37">
                  <c:v>Personal Products</c:v>
                </c:pt>
                <c:pt idx="38">
                  <c:v>Other Utilities</c:v>
                </c:pt>
                <c:pt idx="39">
                  <c:v>Gas</c:v>
                </c:pt>
                <c:pt idx="40">
                  <c:v>Telecom - Equipment &amp; Accessories</c:v>
                </c:pt>
                <c:pt idx="41">
                  <c:v>Insurance</c:v>
                </c:pt>
                <c:pt idx="42">
                  <c:v>Minerals &amp; Mining</c:v>
                </c:pt>
                <c:pt idx="43">
                  <c:v>Automobiles</c:v>
                </c:pt>
                <c:pt idx="44">
                  <c:v>Healthcare Equipment &amp; Supplies</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March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Power</c:v>
                </c:pt>
                <c:pt idx="19">
                  <c:v>Leisure Services</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Aerospace &amp; Defense</c:v>
                </c:pt>
                <c:pt idx="30">
                  <c:v>Fertilizers &amp; Agrochemicals</c:v>
                </c:pt>
                <c:pt idx="31">
                  <c:v>Diversified</c:v>
                </c:pt>
                <c:pt idx="32">
                  <c:v>Non - Ferrous Metals</c:v>
                </c:pt>
                <c:pt idx="33">
                  <c:v>Household Products</c:v>
                </c:pt>
                <c:pt idx="34">
                  <c:v>Cement &amp; Cement Products</c:v>
                </c:pt>
                <c:pt idx="35">
                  <c:v>Entertainment</c:v>
                </c:pt>
                <c:pt idx="36">
                  <c:v>Telecom - Services</c:v>
                </c:pt>
                <c:pt idx="37">
                  <c:v>Personal Products</c:v>
                </c:pt>
                <c:pt idx="38">
                  <c:v>Other Utilities</c:v>
                </c:pt>
                <c:pt idx="39">
                  <c:v>Gas</c:v>
                </c:pt>
                <c:pt idx="40">
                  <c:v>Telecom - Equipment &amp; Accessories</c:v>
                </c:pt>
                <c:pt idx="41">
                  <c:v>Insurance</c:v>
                </c:pt>
                <c:pt idx="42">
                  <c:v>Minerals &amp; Mining</c:v>
                </c:pt>
                <c:pt idx="43">
                  <c:v>Automobiles</c:v>
                </c:pt>
                <c:pt idx="44">
                  <c:v>Healthcare Equipment &amp; Supplies</c:v>
                </c:pt>
                <c:pt idx="45">
                  <c:v>Diversified FMCG</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March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Power</c:v>
                </c:pt>
                <c:pt idx="19">
                  <c:v>Leisure Services</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Aerospace &amp; Defense</c:v>
                </c:pt>
                <c:pt idx="30">
                  <c:v>Fertilizers &amp; Agrochemicals</c:v>
                </c:pt>
                <c:pt idx="31">
                  <c:v>Diversified</c:v>
                </c:pt>
                <c:pt idx="32">
                  <c:v>Non - Ferrous Metals</c:v>
                </c:pt>
                <c:pt idx="33">
                  <c:v>Household Products</c:v>
                </c:pt>
                <c:pt idx="34">
                  <c:v>Cement &amp; Cement Products</c:v>
                </c:pt>
                <c:pt idx="35">
                  <c:v>Entertainment</c:v>
                </c:pt>
                <c:pt idx="36">
                  <c:v>Telecom - Services</c:v>
                </c:pt>
                <c:pt idx="37">
                  <c:v>Personal Products</c:v>
                </c:pt>
                <c:pt idx="38">
                  <c:v>Other Utilities</c:v>
                </c:pt>
                <c:pt idx="39">
                  <c:v>Gas</c:v>
                </c:pt>
                <c:pt idx="40">
                  <c:v>Telecom - Equipment &amp; Accessories</c:v>
                </c:pt>
                <c:pt idx="41">
                  <c:v>Insurance</c:v>
                </c:pt>
                <c:pt idx="42">
                  <c:v>Minerals &amp; Mining</c:v>
                </c:pt>
                <c:pt idx="43">
                  <c:v>Automobiles</c:v>
                </c:pt>
                <c:pt idx="44">
                  <c:v>Healthcare Equipment &amp; Supplies</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7839346574215532E-2"/>
          <c:y val="1.6913311367993896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IF'!$W$8:$W$29</c:f>
              <c:strCache>
                <c:ptCount val="22"/>
                <c:pt idx="0">
                  <c:v>Construction</c:v>
                </c:pt>
                <c:pt idx="1">
                  <c:v>Power</c:v>
                </c:pt>
                <c:pt idx="2">
                  <c:v>Electrical Equipment</c:v>
                </c:pt>
                <c:pt idx="3">
                  <c:v>Industrial Products</c:v>
                </c:pt>
                <c:pt idx="4">
                  <c:v>Transport Services</c:v>
                </c:pt>
                <c:pt idx="5">
                  <c:v>Telecom - Services</c:v>
                </c:pt>
                <c:pt idx="6">
                  <c:v>Auto Components</c:v>
                </c:pt>
                <c:pt idx="7">
                  <c:v>Industrial Manufacturing</c:v>
                </c:pt>
                <c:pt idx="8">
                  <c:v>Cement &amp; Cement Products</c:v>
                </c:pt>
                <c:pt idx="9">
                  <c:v>Petroleum Products</c:v>
                </c:pt>
                <c:pt idx="10">
                  <c:v>Aerospace &amp; Defense</c:v>
                </c:pt>
                <c:pt idx="11">
                  <c:v>Gas</c:v>
                </c:pt>
                <c:pt idx="12">
                  <c:v>Transport Infrastructure</c:v>
                </c:pt>
                <c:pt idx="13">
                  <c:v>Finance</c:v>
                </c:pt>
                <c:pt idx="14">
                  <c:v>Healthcare Services</c:v>
                </c:pt>
                <c:pt idx="15">
                  <c:v>Chemicals &amp; Petrochemicals</c:v>
                </c:pt>
                <c:pt idx="16">
                  <c:v>Ferrous Metals</c:v>
                </c:pt>
                <c:pt idx="17">
                  <c:v>Diversified</c:v>
                </c:pt>
                <c:pt idx="18">
                  <c:v>Diversified Metals</c:v>
                </c:pt>
                <c:pt idx="19">
                  <c:v>Consumer Durables</c:v>
                </c:pt>
                <c:pt idx="20">
                  <c:v>Minerals &amp; Mining</c:v>
                </c:pt>
                <c:pt idx="21">
                  <c:v>Leisure Services</c:v>
                </c:pt>
              </c:strCache>
            </c:strRef>
          </c:cat>
          <c:val>
            <c:numRef>
              <c:f>'BANDHAN IF'!$X$8:$X$29</c:f>
              <c:numCache>
                <c:formatCode>0.00%</c:formatCode>
                <c:ptCount val="22"/>
                <c:pt idx="0">
                  <c:v>0.20949799999999999</c:v>
                </c:pt>
                <c:pt idx="1">
                  <c:v>9.8701999999999998E-2</c:v>
                </c:pt>
                <c:pt idx="2">
                  <c:v>9.5818999999999988E-2</c:v>
                </c:pt>
                <c:pt idx="3">
                  <c:v>8.8707000000000008E-2</c:v>
                </c:pt>
                <c:pt idx="4">
                  <c:v>5.4109999999999998E-2</c:v>
                </c:pt>
                <c:pt idx="5">
                  <c:v>4.6267000000000003E-2</c:v>
                </c:pt>
                <c:pt idx="6">
                  <c:v>4.5346999999999998E-2</c:v>
                </c:pt>
                <c:pt idx="7">
                  <c:v>4.2314999999999998E-2</c:v>
                </c:pt>
                <c:pt idx="8">
                  <c:v>3.7150000000000002E-2</c:v>
                </c:pt>
                <c:pt idx="9">
                  <c:v>3.6929999999999998E-2</c:v>
                </c:pt>
                <c:pt idx="10">
                  <c:v>3.5897999999999999E-2</c:v>
                </c:pt>
                <c:pt idx="11">
                  <c:v>3.2869000000000002E-2</c:v>
                </c:pt>
                <c:pt idx="12">
                  <c:v>3.2702999999999996E-2</c:v>
                </c:pt>
                <c:pt idx="13">
                  <c:v>2.7165999999999999E-2</c:v>
                </c:pt>
                <c:pt idx="14">
                  <c:v>1.9293999999999999E-2</c:v>
                </c:pt>
                <c:pt idx="15">
                  <c:v>1.7988000000000001E-2</c:v>
                </c:pt>
                <c:pt idx="16">
                  <c:v>1.7978999999999998E-2</c:v>
                </c:pt>
                <c:pt idx="17">
                  <c:v>9.639E-3</c:v>
                </c:pt>
                <c:pt idx="18">
                  <c:v>9.0550000000000005E-3</c:v>
                </c:pt>
                <c:pt idx="19">
                  <c:v>6.9709999999999998E-3</c:v>
                </c:pt>
                <c:pt idx="20">
                  <c:v>5.4460000000000003E-3</c:v>
                </c:pt>
                <c:pt idx="21">
                  <c:v>2.2139999999999998E-3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Retailing</c:v>
                </c:pt>
                <c:pt idx="4">
                  <c:v>Agricultural, Commercial &amp; Construction Vehicles</c:v>
                </c:pt>
                <c:pt idx="5">
                  <c:v>Finance</c:v>
                </c:pt>
                <c:pt idx="6">
                  <c:v>Industrial Products</c:v>
                </c:pt>
                <c:pt idx="7">
                  <c:v>Consumer Durables</c:v>
                </c:pt>
                <c:pt idx="8">
                  <c:v>Leisure Services</c:v>
                </c:pt>
              </c:strCache>
            </c:strRef>
          </c:cat>
          <c:val>
            <c:numRef>
              <c:f>'BANDHAN TLF'!$X$8:$X$16</c:f>
              <c:numCache>
                <c:formatCode>0.00%</c:formatCode>
                <c:ptCount val="9"/>
                <c:pt idx="0">
                  <c:v>0.44112799999999996</c:v>
                </c:pt>
                <c:pt idx="1">
                  <c:v>0.26001299999999999</c:v>
                </c:pt>
                <c:pt idx="2">
                  <c:v>0.11454700000000001</c:v>
                </c:pt>
                <c:pt idx="3">
                  <c:v>2.8459000000000002E-2</c:v>
                </c:pt>
                <c:pt idx="4">
                  <c:v>1.9653E-2</c:v>
                </c:pt>
                <c:pt idx="5">
                  <c:v>1.8002000000000001E-2</c:v>
                </c:pt>
                <c:pt idx="6">
                  <c:v>1.5285E-2</c:v>
                </c:pt>
                <c:pt idx="7">
                  <c:v>1.3351999999999999E-2</c:v>
                </c:pt>
                <c:pt idx="8">
                  <c:v>1.2921999999999999E-2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Insurance</c:v>
                </c:pt>
                <c:pt idx="3">
                  <c:v>Financial Technology (Fintech)</c:v>
                </c:pt>
                <c:pt idx="4">
                  <c:v>Capital Markets</c:v>
                </c:pt>
              </c:strCache>
            </c:strRef>
          </c:cat>
          <c:val>
            <c:numRef>
              <c:f>'BANDHAN FSF'!$X$8:$X$12</c:f>
              <c:numCache>
                <c:formatCode>0.00%</c:formatCode>
                <c:ptCount val="5"/>
                <c:pt idx="0">
                  <c:v>0.52392099999999997</c:v>
                </c:pt>
                <c:pt idx="1">
                  <c:v>0.25142300000000001</c:v>
                </c:pt>
                <c:pt idx="2">
                  <c:v>7.1125000000000008E-2</c:v>
                </c:pt>
                <c:pt idx="3">
                  <c:v>3.5365999999999995E-2</c:v>
                </c:pt>
                <c:pt idx="4">
                  <c:v>1.8088000000000003E-2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March 2025)</c:v>
                </c:pt>
              </c:strCache>
            </c:strRef>
          </c:tx>
          <c:invertIfNegative val="0"/>
          <c:cat>
            <c:strRef>
              <c:f>'BANDHAN FSF'!$W$8:$W$12</c:f>
              <c:strCache>
                <c:ptCount val="5"/>
                <c:pt idx="0">
                  <c:v>Banks</c:v>
                </c:pt>
                <c:pt idx="1">
                  <c:v>Finance</c:v>
                </c:pt>
                <c:pt idx="2">
                  <c:v>Insurance</c:v>
                </c:pt>
                <c:pt idx="3">
                  <c:v>Financial Technology (Fintech)</c:v>
                </c:pt>
                <c:pt idx="4">
                  <c:v>Capital Markets</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INNOV'!$W$8:$W$41</c:f>
              <c:strCache>
                <c:ptCount val="34"/>
                <c:pt idx="0">
                  <c:v>Pharmaceuticals &amp; Biotechnology</c:v>
                </c:pt>
                <c:pt idx="1">
                  <c:v>Finance</c:v>
                </c:pt>
                <c:pt idx="2">
                  <c:v>Retailing</c:v>
                </c:pt>
                <c:pt idx="3">
                  <c:v>Consumer Durables</c:v>
                </c:pt>
                <c:pt idx="4">
                  <c:v>IT - Software</c:v>
                </c:pt>
                <c:pt idx="5">
                  <c:v>IT - Services</c:v>
                </c:pt>
                <c:pt idx="6">
                  <c:v>Healthcare Services</c:v>
                </c:pt>
                <c:pt idx="7">
                  <c:v>Telecom - Services</c:v>
                </c:pt>
                <c:pt idx="8">
                  <c:v>Beverages</c:v>
                </c:pt>
                <c:pt idx="9">
                  <c:v>Transport Services</c:v>
                </c:pt>
                <c:pt idx="10">
                  <c:v>Financial Technology (Fintech)</c:v>
                </c:pt>
                <c:pt idx="11">
                  <c:v>Banks</c:v>
                </c:pt>
                <c:pt idx="12">
                  <c:v>Automobiles</c:v>
                </c:pt>
                <c:pt idx="13">
                  <c:v>Chemicals &amp; Petrochemicals</c:v>
                </c:pt>
                <c:pt idx="14">
                  <c:v>Industrial Manufacturing</c:v>
                </c:pt>
                <c:pt idx="15">
                  <c:v>Cement &amp; Cement Products</c:v>
                </c:pt>
                <c:pt idx="16">
                  <c:v>Leisure Services</c:v>
                </c:pt>
                <c:pt idx="17">
                  <c:v>Electrical Equipment</c:v>
                </c:pt>
                <c:pt idx="18">
                  <c:v>Insurance</c:v>
                </c:pt>
                <c:pt idx="19">
                  <c:v>Power</c:v>
                </c:pt>
                <c:pt idx="20">
                  <c:v>Auto Components</c:v>
                </c:pt>
                <c:pt idx="21">
                  <c:v>Industrial Products</c:v>
                </c:pt>
                <c:pt idx="22">
                  <c:v>Capital Markets</c:v>
                </c:pt>
                <c:pt idx="23">
                  <c:v>Diversified Metals</c:v>
                </c:pt>
                <c:pt idx="24">
                  <c:v>Entertainment</c:v>
                </c:pt>
                <c:pt idx="25">
                  <c:v>Realty</c:v>
                </c:pt>
                <c:pt idx="26">
                  <c:v>Construction</c:v>
                </c:pt>
                <c:pt idx="27">
                  <c:v>Commercial Services &amp; Supplies</c:v>
                </c:pt>
                <c:pt idx="28">
                  <c:v>Diversified</c:v>
                </c:pt>
                <c:pt idx="29">
                  <c:v>Paper, Forest &amp; Jute Products</c:v>
                </c:pt>
                <c:pt idx="30">
                  <c:v>IT - Hardware</c:v>
                </c:pt>
                <c:pt idx="31">
                  <c:v>Fertilizers &amp; Agrochemicals</c:v>
                </c:pt>
                <c:pt idx="32">
                  <c:v>Aerospace &amp; Defense</c:v>
                </c:pt>
                <c:pt idx="33">
                  <c:v>Telecom - Equipment &amp; Accessories</c:v>
                </c:pt>
              </c:strCache>
            </c:strRef>
          </c:cat>
          <c:val>
            <c:numRef>
              <c:f>'BANDHAN INNOV'!$X$8:$X$41</c:f>
              <c:numCache>
                <c:formatCode>0.00%</c:formatCode>
                <c:ptCount val="34"/>
                <c:pt idx="0">
                  <c:v>0.11512399999999998</c:v>
                </c:pt>
                <c:pt idx="1">
                  <c:v>7.795500000000001E-2</c:v>
                </c:pt>
                <c:pt idx="2">
                  <c:v>7.7694999999999986E-2</c:v>
                </c:pt>
                <c:pt idx="3">
                  <c:v>6.4191999999999999E-2</c:v>
                </c:pt>
                <c:pt idx="4">
                  <c:v>5.5698999999999999E-2</c:v>
                </c:pt>
                <c:pt idx="5">
                  <c:v>4.6917999999999994E-2</c:v>
                </c:pt>
                <c:pt idx="6">
                  <c:v>4.3935000000000002E-2</c:v>
                </c:pt>
                <c:pt idx="7">
                  <c:v>4.0957E-2</c:v>
                </c:pt>
                <c:pt idx="8">
                  <c:v>3.9701E-2</c:v>
                </c:pt>
                <c:pt idx="9">
                  <c:v>3.6691000000000001E-2</c:v>
                </c:pt>
                <c:pt idx="10">
                  <c:v>3.5478000000000003E-2</c:v>
                </c:pt>
                <c:pt idx="11">
                  <c:v>3.2467000000000003E-2</c:v>
                </c:pt>
                <c:pt idx="12">
                  <c:v>2.8183E-2</c:v>
                </c:pt>
                <c:pt idx="13">
                  <c:v>2.2162999999999999E-2</c:v>
                </c:pt>
                <c:pt idx="14">
                  <c:v>2.0511000000000001E-2</c:v>
                </c:pt>
                <c:pt idx="15">
                  <c:v>2.0242999999999997E-2</c:v>
                </c:pt>
                <c:pt idx="16">
                  <c:v>1.9984999999999999E-2</c:v>
                </c:pt>
                <c:pt idx="17">
                  <c:v>1.9411999999999999E-2</c:v>
                </c:pt>
                <c:pt idx="18">
                  <c:v>1.9122E-2</c:v>
                </c:pt>
                <c:pt idx="19">
                  <c:v>1.9019000000000001E-2</c:v>
                </c:pt>
                <c:pt idx="20">
                  <c:v>1.8682000000000001E-2</c:v>
                </c:pt>
                <c:pt idx="21">
                  <c:v>1.4773999999999999E-2</c:v>
                </c:pt>
                <c:pt idx="22">
                  <c:v>1.3354E-2</c:v>
                </c:pt>
                <c:pt idx="23">
                  <c:v>1.0258E-2</c:v>
                </c:pt>
                <c:pt idx="24">
                  <c:v>9.4850000000000004E-3</c:v>
                </c:pt>
                <c:pt idx="25">
                  <c:v>9.3340000000000003E-3</c:v>
                </c:pt>
                <c:pt idx="26">
                  <c:v>9.1590000000000005E-3</c:v>
                </c:pt>
                <c:pt idx="27">
                  <c:v>8.6510000000000007E-3</c:v>
                </c:pt>
                <c:pt idx="28">
                  <c:v>7.8689999999999993E-3</c:v>
                </c:pt>
                <c:pt idx="29">
                  <c:v>7.4409999999999997E-3</c:v>
                </c:pt>
                <c:pt idx="30">
                  <c:v>6.3049999999999998E-3</c:v>
                </c:pt>
                <c:pt idx="31">
                  <c:v>5.1630000000000001E-3</c:v>
                </c:pt>
                <c:pt idx="32">
                  <c:v>4.9329999999999999E-3</c:v>
                </c:pt>
                <c:pt idx="33">
                  <c:v>4.1520000000000003E-3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CYCLE'!$W$8:$W$41</c:f>
              <c:strCache>
                <c:ptCount val="34"/>
                <c:pt idx="0">
                  <c:v>Banks</c:v>
                </c:pt>
                <c:pt idx="1">
                  <c:v>Finance</c:v>
                </c:pt>
                <c:pt idx="2">
                  <c:v>Pharmaceuticals &amp; Biotechnology</c:v>
                </c:pt>
                <c:pt idx="3">
                  <c:v>Power</c:v>
                </c:pt>
                <c:pt idx="4">
                  <c:v>Construction</c:v>
                </c:pt>
                <c:pt idx="5">
                  <c:v>IT - Software</c:v>
                </c:pt>
                <c:pt idx="6">
                  <c:v>Fertilizers &amp; Agrochemicals</c:v>
                </c:pt>
                <c:pt idx="7">
                  <c:v>Auto Components</c:v>
                </c:pt>
                <c:pt idx="8">
                  <c:v>Retailing</c:v>
                </c:pt>
                <c:pt idx="9">
                  <c:v>Transport Infrastructure</c:v>
                </c:pt>
                <c:pt idx="10">
                  <c:v>Automobiles</c:v>
                </c:pt>
                <c:pt idx="11">
                  <c:v>Petroleum Products</c:v>
                </c:pt>
                <c:pt idx="12">
                  <c:v>Realty</c:v>
                </c:pt>
                <c:pt idx="13">
                  <c:v>Telecom - Services</c:v>
                </c:pt>
                <c:pt idx="14">
                  <c:v>Industrial Products</c:v>
                </c:pt>
                <c:pt idx="15">
                  <c:v>Healthcare Services</c:v>
                </c:pt>
                <c:pt idx="16">
                  <c:v>Cement &amp; Cement Products</c:v>
                </c:pt>
                <c:pt idx="17">
                  <c:v>Financial Technology (Fintech)</c:v>
                </c:pt>
                <c:pt idx="18">
                  <c:v>Chemicals &amp; Petrochemicals</c:v>
                </c:pt>
                <c:pt idx="19">
                  <c:v>Ferrous Metals</c:v>
                </c:pt>
                <c:pt idx="20">
                  <c:v>Capital Markets</c:v>
                </c:pt>
                <c:pt idx="21">
                  <c:v>Transport Services</c:v>
                </c:pt>
                <c:pt idx="22">
                  <c:v>Gas</c:v>
                </c:pt>
                <c:pt idx="23">
                  <c:v>Insurance</c:v>
                </c:pt>
                <c:pt idx="24">
                  <c:v>Aerospace &amp; Defense</c:v>
                </c:pt>
                <c:pt idx="25">
                  <c:v>Personal Products</c:v>
                </c:pt>
                <c:pt idx="26">
                  <c:v>Industrial Manufacturing</c:v>
                </c:pt>
                <c:pt idx="27">
                  <c:v>IT - Services</c:v>
                </c:pt>
                <c:pt idx="28">
                  <c:v>Consumer Durables</c:v>
                </c:pt>
                <c:pt idx="29">
                  <c:v>Textiles &amp; Apparels</c:v>
                </c:pt>
                <c:pt idx="30">
                  <c:v>Beverages</c:v>
                </c:pt>
                <c:pt idx="31">
                  <c:v>Commercial Services &amp; Supplies</c:v>
                </c:pt>
                <c:pt idx="32">
                  <c:v>Electrical Equipment</c:v>
                </c:pt>
                <c:pt idx="33">
                  <c:v>Food Products</c:v>
                </c:pt>
              </c:strCache>
            </c:strRef>
          </c:cat>
          <c:val>
            <c:numRef>
              <c:f>'BANDHAN BUSINESS CYCLE'!$X$9:$X$41</c:f>
              <c:numCache>
                <c:formatCode>0.00%</c:formatCode>
                <c:ptCount val="33"/>
                <c:pt idx="0">
                  <c:v>9.9807000000000021E-2</c:v>
                </c:pt>
                <c:pt idx="1">
                  <c:v>6.4795999999999992E-2</c:v>
                </c:pt>
                <c:pt idx="2">
                  <c:v>6.1005000000000004E-2</c:v>
                </c:pt>
                <c:pt idx="3">
                  <c:v>5.851E-2</c:v>
                </c:pt>
                <c:pt idx="4">
                  <c:v>5.5073999999999998E-2</c:v>
                </c:pt>
                <c:pt idx="5">
                  <c:v>4.5955000000000003E-2</c:v>
                </c:pt>
                <c:pt idx="6">
                  <c:v>3.4505000000000001E-2</c:v>
                </c:pt>
                <c:pt idx="7">
                  <c:v>2.9944999999999999E-2</c:v>
                </c:pt>
                <c:pt idx="8">
                  <c:v>2.6082000000000001E-2</c:v>
                </c:pt>
                <c:pt idx="9">
                  <c:v>2.5381000000000001E-2</c:v>
                </c:pt>
                <c:pt idx="10">
                  <c:v>2.2397E-2</c:v>
                </c:pt>
                <c:pt idx="11">
                  <c:v>2.1476000000000002E-2</c:v>
                </c:pt>
                <c:pt idx="12">
                  <c:v>2.0124E-2</c:v>
                </c:pt>
                <c:pt idx="13">
                  <c:v>1.9393000000000001E-2</c:v>
                </c:pt>
                <c:pt idx="14">
                  <c:v>1.9210000000000001E-2</c:v>
                </c:pt>
                <c:pt idx="15">
                  <c:v>1.8754E-2</c:v>
                </c:pt>
                <c:pt idx="16">
                  <c:v>1.6489E-2</c:v>
                </c:pt>
                <c:pt idx="17">
                  <c:v>1.5741999999999999E-2</c:v>
                </c:pt>
                <c:pt idx="18">
                  <c:v>1.5269E-2</c:v>
                </c:pt>
                <c:pt idx="19">
                  <c:v>1.5192000000000001E-2</c:v>
                </c:pt>
                <c:pt idx="20">
                  <c:v>1.4912E-2</c:v>
                </c:pt>
                <c:pt idx="21">
                  <c:v>1.2565E-2</c:v>
                </c:pt>
                <c:pt idx="22">
                  <c:v>1.0675E-2</c:v>
                </c:pt>
                <c:pt idx="23">
                  <c:v>9.1940000000000008E-3</c:v>
                </c:pt>
                <c:pt idx="24">
                  <c:v>8.9680000000000003E-3</c:v>
                </c:pt>
                <c:pt idx="25">
                  <c:v>6.7559999999999999E-3</c:v>
                </c:pt>
                <c:pt idx="26">
                  <c:v>5.6680000000000003E-3</c:v>
                </c:pt>
                <c:pt idx="27">
                  <c:v>5.4970000000000001E-3</c:v>
                </c:pt>
                <c:pt idx="28">
                  <c:v>5.0369999999999998E-3</c:v>
                </c:pt>
                <c:pt idx="29">
                  <c:v>4.7600000000000003E-3</c:v>
                </c:pt>
                <c:pt idx="30">
                  <c:v>4.666E-3</c:v>
                </c:pt>
                <c:pt idx="31">
                  <c:v>4.5929999999999999E-3</c:v>
                </c:pt>
                <c:pt idx="32">
                  <c:v>4.3439999999999998E-3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'BANDHAN-ELSS'!$W$8:$W$36</c:f>
              <c:strCache>
                <c:ptCount val="29"/>
                <c:pt idx="0">
                  <c:v>Banks</c:v>
                </c:pt>
                <c:pt idx="1">
                  <c:v>IT - Software</c:v>
                </c:pt>
                <c:pt idx="2">
                  <c:v>Pharmaceuticals &amp; Biotechnology</c:v>
                </c:pt>
                <c:pt idx="3">
                  <c:v>Petroleum Products</c:v>
                </c:pt>
                <c:pt idx="4">
                  <c:v>Finance</c:v>
                </c:pt>
                <c:pt idx="5">
                  <c:v>Automobiles</c:v>
                </c:pt>
                <c:pt idx="6">
                  <c:v>Consumer Durables</c:v>
                </c:pt>
                <c:pt idx="7">
                  <c:v>Insurance</c:v>
                </c:pt>
                <c:pt idx="8">
                  <c:v>Construction</c:v>
                </c:pt>
                <c:pt idx="9">
                  <c:v>Auto Components</c:v>
                </c:pt>
                <c:pt idx="10">
                  <c:v>Ferrous Metals</c:v>
                </c:pt>
                <c:pt idx="11">
                  <c:v>Telecom - Services</c:v>
                </c:pt>
                <c:pt idx="12">
                  <c:v>Beverages</c:v>
                </c:pt>
                <c:pt idx="13">
                  <c:v>Food Products</c:v>
                </c:pt>
                <c:pt idx="14">
                  <c:v>Power</c:v>
                </c:pt>
                <c:pt idx="15">
                  <c:v>Cement &amp; Cement Products</c:v>
                </c:pt>
                <c:pt idx="16">
                  <c:v>Electrical Equipment</c:v>
                </c:pt>
                <c:pt idx="17">
                  <c:v>Retailing</c:v>
                </c:pt>
                <c:pt idx="18">
                  <c:v>Diversified FMCG</c:v>
                </c:pt>
                <c:pt idx="19">
                  <c:v>Diversified Metals</c:v>
                </c:pt>
                <c:pt idx="20">
                  <c:v>Realty</c:v>
                </c:pt>
                <c:pt idx="21">
                  <c:v>Fertilizers &amp; Agrochemicals</c:v>
                </c:pt>
                <c:pt idx="22">
                  <c:v>Leisure Services</c:v>
                </c:pt>
                <c:pt idx="23">
                  <c:v>Oil</c:v>
                </c:pt>
                <c:pt idx="24">
                  <c:v>Transport Services</c:v>
                </c:pt>
                <c:pt idx="25">
                  <c:v>Telecom - Equipment &amp; Accessories</c:v>
                </c:pt>
                <c:pt idx="26">
                  <c:v>Industrial Products</c:v>
                </c:pt>
                <c:pt idx="27">
                  <c:v>Chemicals &amp; Petrochemicals</c:v>
                </c:pt>
                <c:pt idx="28">
                  <c:v>Industrial Products</c:v>
                </c:pt>
              </c:strCache>
            </c:strRef>
          </c:cat>
          <c:val>
            <c:numRef>
              <c:f>'BANDHAN-ELSS'!$X$8:$X$36</c:f>
              <c:numCache>
                <c:formatCode>0.00%</c:formatCode>
                <c:ptCount val="29"/>
                <c:pt idx="0">
                  <c:v>0.22812499999999999</c:v>
                </c:pt>
                <c:pt idx="1">
                  <c:v>7.0411000000000001E-2</c:v>
                </c:pt>
                <c:pt idx="2">
                  <c:v>6.867899999999999E-2</c:v>
                </c:pt>
                <c:pt idx="3">
                  <c:v>6.1856000000000001E-2</c:v>
                </c:pt>
                <c:pt idx="4">
                  <c:v>4.9957000000000001E-2</c:v>
                </c:pt>
                <c:pt idx="5">
                  <c:v>3.9509999999999997E-2</c:v>
                </c:pt>
                <c:pt idx="6">
                  <c:v>3.934E-2</c:v>
                </c:pt>
                <c:pt idx="7">
                  <c:v>3.8579000000000002E-2</c:v>
                </c:pt>
                <c:pt idx="8">
                  <c:v>3.0653999999999997E-2</c:v>
                </c:pt>
                <c:pt idx="9">
                  <c:v>2.6588999999999998E-2</c:v>
                </c:pt>
                <c:pt idx="10">
                  <c:v>2.6339999999999999E-2</c:v>
                </c:pt>
                <c:pt idx="11">
                  <c:v>2.6277999999999999E-2</c:v>
                </c:pt>
                <c:pt idx="12">
                  <c:v>2.5478000000000001E-2</c:v>
                </c:pt>
                <c:pt idx="13">
                  <c:v>2.4382000000000001E-2</c:v>
                </c:pt>
                <c:pt idx="14">
                  <c:v>2.3227999999999999E-2</c:v>
                </c:pt>
                <c:pt idx="15">
                  <c:v>1.9692000000000001E-2</c:v>
                </c:pt>
                <c:pt idx="16">
                  <c:v>1.8391000000000001E-2</c:v>
                </c:pt>
                <c:pt idx="17">
                  <c:v>1.7021999999999999E-2</c:v>
                </c:pt>
                <c:pt idx="18">
                  <c:v>1.5528999999999999E-2</c:v>
                </c:pt>
                <c:pt idx="19">
                  <c:v>1.3346999999999999E-2</c:v>
                </c:pt>
                <c:pt idx="20">
                  <c:v>1.2586E-2</c:v>
                </c:pt>
                <c:pt idx="21">
                  <c:v>1.1908E-2</c:v>
                </c:pt>
                <c:pt idx="22">
                  <c:v>1.1537E-2</c:v>
                </c:pt>
                <c:pt idx="23">
                  <c:v>9.3380000000000008E-3</c:v>
                </c:pt>
                <c:pt idx="24">
                  <c:v>9.11E-3</c:v>
                </c:pt>
                <c:pt idx="25">
                  <c:v>8.2190000000000006E-3</c:v>
                </c:pt>
                <c:pt idx="26">
                  <c:v>2.872E-3</c:v>
                </c:pt>
                <c:pt idx="27">
                  <c:v>2.7060000000000001E-3</c:v>
                </c:pt>
                <c:pt idx="28">
                  <c:v>2.7239999999999999E-3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0.64411200000000002</c:v>
                </c:pt>
                <c:pt idx="1">
                  <c:v>0.35588799999999998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Pharmaceuticals &amp; Biotechnology</c:v>
                </c:pt>
                <c:pt idx="2">
                  <c:v>IT - Software</c:v>
                </c:pt>
                <c:pt idx="3">
                  <c:v>Telecom - Services</c:v>
                </c:pt>
                <c:pt idx="4">
                  <c:v>Finance</c:v>
                </c:pt>
                <c:pt idx="5">
                  <c:v>Construction</c:v>
                </c:pt>
                <c:pt idx="6">
                  <c:v>Beverages</c:v>
                </c:pt>
                <c:pt idx="7">
                  <c:v>Healthcare Services</c:v>
                </c:pt>
                <c:pt idx="8">
                  <c:v>Petroleum Products</c:v>
                </c:pt>
                <c:pt idx="9">
                  <c:v>Retailing</c:v>
                </c:pt>
                <c:pt idx="10">
                  <c:v>Cement &amp; Cement Products</c:v>
                </c:pt>
                <c:pt idx="11">
                  <c:v>Automobiles</c:v>
                </c:pt>
                <c:pt idx="12">
                  <c:v>Transport Services</c:v>
                </c:pt>
                <c:pt idx="13">
                  <c:v>Fertilizers &amp; Agrochemicals</c:v>
                </c:pt>
                <c:pt idx="14">
                  <c:v>Financial Technology (Fintech)</c:v>
                </c:pt>
                <c:pt idx="15">
                  <c:v>Diversified Metals</c:v>
                </c:pt>
              </c:strCache>
            </c:strRef>
          </c:cat>
          <c:val>
            <c:numRef>
              <c:f>'BANDHAN BAF'!$X$8:$X$23</c:f>
              <c:numCache>
                <c:formatCode>0.00%</c:formatCode>
                <c:ptCount val="16"/>
                <c:pt idx="0">
                  <c:v>0.10734800000000001</c:v>
                </c:pt>
                <c:pt idx="1">
                  <c:v>4.1221000000000001E-2</c:v>
                </c:pt>
                <c:pt idx="2">
                  <c:v>3.7720999999999991E-2</c:v>
                </c:pt>
                <c:pt idx="3">
                  <c:v>2.8152E-2</c:v>
                </c:pt>
                <c:pt idx="4">
                  <c:v>2.7117999999999996E-2</c:v>
                </c:pt>
                <c:pt idx="5">
                  <c:v>2.4807000000000003E-2</c:v>
                </c:pt>
                <c:pt idx="6">
                  <c:v>2.3934E-2</c:v>
                </c:pt>
                <c:pt idx="7">
                  <c:v>2.1460999999999997E-2</c:v>
                </c:pt>
                <c:pt idx="8">
                  <c:v>2.1005000000000003E-2</c:v>
                </c:pt>
                <c:pt idx="9">
                  <c:v>1.9980000000000001E-2</c:v>
                </c:pt>
                <c:pt idx="10">
                  <c:v>1.6323999999999998E-2</c:v>
                </c:pt>
                <c:pt idx="11">
                  <c:v>1.5549999999999994E-2</c:v>
                </c:pt>
                <c:pt idx="12">
                  <c:v>1.5328000000000001E-2</c:v>
                </c:pt>
                <c:pt idx="13">
                  <c:v>1.4801000000000002E-2</c:v>
                </c:pt>
                <c:pt idx="14">
                  <c:v>1.341E-2</c:v>
                </c:pt>
                <c:pt idx="15">
                  <c:v>1.2207000000000001E-2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BAF'!$W$8:$W$41</c:f>
              <c:strCache>
                <c:ptCount val="34"/>
                <c:pt idx="0">
                  <c:v>Banks</c:v>
                </c:pt>
                <c:pt idx="1">
                  <c:v>Pharmaceuticals &amp; Biotechnology</c:v>
                </c:pt>
                <c:pt idx="2">
                  <c:v>IT - Software</c:v>
                </c:pt>
                <c:pt idx="3">
                  <c:v>Telecom - Services</c:v>
                </c:pt>
                <c:pt idx="4">
                  <c:v>Finance</c:v>
                </c:pt>
                <c:pt idx="5">
                  <c:v>Construction</c:v>
                </c:pt>
                <c:pt idx="6">
                  <c:v>Beverages</c:v>
                </c:pt>
                <c:pt idx="7">
                  <c:v>Healthcare Services</c:v>
                </c:pt>
                <c:pt idx="8">
                  <c:v>Petroleum Products</c:v>
                </c:pt>
                <c:pt idx="9">
                  <c:v>Retailing</c:v>
                </c:pt>
                <c:pt idx="10">
                  <c:v>Cement &amp; Cement Products</c:v>
                </c:pt>
                <c:pt idx="11">
                  <c:v>Automobiles</c:v>
                </c:pt>
                <c:pt idx="12">
                  <c:v>Transport Services</c:v>
                </c:pt>
                <c:pt idx="13">
                  <c:v>Fertilizers &amp; Agrochemicals</c:v>
                </c:pt>
                <c:pt idx="14">
                  <c:v>Financial Technology (Fintech)</c:v>
                </c:pt>
                <c:pt idx="15">
                  <c:v>Diversified Metals</c:v>
                </c:pt>
                <c:pt idx="16">
                  <c:v>Realty</c:v>
                </c:pt>
                <c:pt idx="17">
                  <c:v>Power</c:v>
                </c:pt>
                <c:pt idx="18">
                  <c:v>Capital Markets</c:v>
                </c:pt>
                <c:pt idx="19">
                  <c:v>Insurance</c:v>
                </c:pt>
                <c:pt idx="20">
                  <c:v>Minerals &amp; Mining</c:v>
                </c:pt>
                <c:pt idx="21">
                  <c:v>Auto Components</c:v>
                </c:pt>
                <c:pt idx="22">
                  <c:v>Gas</c:v>
                </c:pt>
                <c:pt idx="23">
                  <c:v>Aerospace &amp; Defense</c:v>
                </c:pt>
                <c:pt idx="24">
                  <c:v>Leisure Services</c:v>
                </c:pt>
                <c:pt idx="25">
                  <c:v>Consumer Durables</c:v>
                </c:pt>
                <c:pt idx="26">
                  <c:v>Industrial Manufacturing</c:v>
                </c:pt>
                <c:pt idx="27">
                  <c:v>Industrial Products</c:v>
                </c:pt>
                <c:pt idx="28">
                  <c:v>Ferrous Metals</c:v>
                </c:pt>
                <c:pt idx="29">
                  <c:v>Diversified FMCG</c:v>
                </c:pt>
                <c:pt idx="30">
                  <c:v>Textiles &amp; Apparels</c:v>
                </c:pt>
                <c:pt idx="31">
                  <c:v>Chemicals &amp; Petrochemicals</c:v>
                </c:pt>
                <c:pt idx="32">
                  <c:v>Entertainment</c:v>
                </c:pt>
                <c:pt idx="33">
                  <c:v>Personal Products</c:v>
                </c:pt>
              </c:strCache>
            </c:strRef>
          </c:cat>
          <c:val>
            <c:numRef>
              <c:f>'BANDHAN BAF'!$X$8:$X$41</c:f>
              <c:numCache>
                <c:formatCode>0.00%</c:formatCode>
                <c:ptCount val="34"/>
                <c:pt idx="0">
                  <c:v>0.10734800000000001</c:v>
                </c:pt>
                <c:pt idx="1">
                  <c:v>4.1221000000000001E-2</c:v>
                </c:pt>
                <c:pt idx="2">
                  <c:v>3.7720999999999991E-2</c:v>
                </c:pt>
                <c:pt idx="3">
                  <c:v>2.8152E-2</c:v>
                </c:pt>
                <c:pt idx="4">
                  <c:v>2.7117999999999996E-2</c:v>
                </c:pt>
                <c:pt idx="5">
                  <c:v>2.4807000000000003E-2</c:v>
                </c:pt>
                <c:pt idx="6">
                  <c:v>2.3934E-2</c:v>
                </c:pt>
                <c:pt idx="7">
                  <c:v>2.1460999999999997E-2</c:v>
                </c:pt>
                <c:pt idx="8">
                  <c:v>2.1005000000000003E-2</c:v>
                </c:pt>
                <c:pt idx="9">
                  <c:v>1.9980000000000001E-2</c:v>
                </c:pt>
                <c:pt idx="10">
                  <c:v>1.6323999999999998E-2</c:v>
                </c:pt>
                <c:pt idx="11">
                  <c:v>1.5549999999999994E-2</c:v>
                </c:pt>
                <c:pt idx="12">
                  <c:v>1.5328000000000001E-2</c:v>
                </c:pt>
                <c:pt idx="13">
                  <c:v>1.4801000000000002E-2</c:v>
                </c:pt>
                <c:pt idx="14">
                  <c:v>1.341E-2</c:v>
                </c:pt>
                <c:pt idx="15">
                  <c:v>1.2207000000000001E-2</c:v>
                </c:pt>
                <c:pt idx="16">
                  <c:v>1.1391E-2</c:v>
                </c:pt>
                <c:pt idx="17">
                  <c:v>7.2769999999999996E-3</c:v>
                </c:pt>
                <c:pt idx="18">
                  <c:v>7.2490000000000002E-3</c:v>
                </c:pt>
                <c:pt idx="19">
                  <c:v>6.124000000000001E-3</c:v>
                </c:pt>
                <c:pt idx="20">
                  <c:v>5.679E-3</c:v>
                </c:pt>
                <c:pt idx="21">
                  <c:v>4.8739999999999999E-3</c:v>
                </c:pt>
                <c:pt idx="22">
                  <c:v>4.7590000000000002E-3</c:v>
                </c:pt>
                <c:pt idx="23">
                  <c:v>3.686E-3</c:v>
                </c:pt>
                <c:pt idx="24">
                  <c:v>3.5870000000000003E-3</c:v>
                </c:pt>
                <c:pt idx="25">
                  <c:v>3.0759999999999989E-3</c:v>
                </c:pt>
                <c:pt idx="26">
                  <c:v>2.9919999999999999E-3</c:v>
                </c:pt>
                <c:pt idx="27">
                  <c:v>2.5959999999999998E-3</c:v>
                </c:pt>
                <c:pt idx="28">
                  <c:v>2.5789999999999997E-3</c:v>
                </c:pt>
                <c:pt idx="29">
                  <c:v>2.4720000000000002E-3</c:v>
                </c:pt>
                <c:pt idx="30">
                  <c:v>2.1159999999999998E-3</c:v>
                </c:pt>
                <c:pt idx="31">
                  <c:v>1.5699999999999998E-3</c:v>
                </c:pt>
                <c:pt idx="32">
                  <c:v>8.6399999999999997E-4</c:v>
                </c:pt>
                <c:pt idx="33">
                  <c:v>-2.9999999999998778E-5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25446261142201843"/>
                  <c:y val="-5.02914669601415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0.11769399999999999</c:v>
                </c:pt>
                <c:pt idx="1">
                  <c:v>3.7885999999999989E-2</c:v>
                </c:pt>
                <c:pt idx="3">
                  <c:v>6.9947999999999996E-2</c:v>
                </c:pt>
                <c:pt idx="5">
                  <c:v>9.5169000000000004E-2</c:v>
                </c:pt>
                <c:pt idx="6">
                  <c:v>5.5864999999999998E-2</c:v>
                </c:pt>
                <c:pt idx="7">
                  <c:v>0.54681000000000002</c:v>
                </c:pt>
                <c:pt idx="8">
                  <c:v>6.9499999999999998E-4</c:v>
                </c:pt>
                <c:pt idx="9" formatCode="#0.00%;\(#0.00%\)">
                  <c:v>7.5931999999999999E-2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9.090975612006387E-2"/>
                  <c:y val="0.17133211586574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0.16737245886230701"/>
                  <c:y val="5.40104393608499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0.245085</c:v>
                </c:pt>
                <c:pt idx="1">
                  <c:v>0.24333300000000002</c:v>
                </c:pt>
                <c:pt idx="2">
                  <c:v>6.3187999999999994E-2</c:v>
                </c:pt>
                <c:pt idx="3">
                  <c:v>0.444913</c:v>
                </c:pt>
                <c:pt idx="5">
                  <c:v>3.4810000000000002E-3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0.85074899999999998</c:v>
                </c:pt>
                <c:pt idx="1">
                  <c:v>0.11429</c:v>
                </c:pt>
                <c:pt idx="2">
                  <c:v>3.4960999999999999E-2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832326532959887"/>
          <c:y val="0.18140857356445786"/>
          <c:w val="0.78272608624251272"/>
          <c:h val="0.53333319409344349"/>
        </c:manualLayout>
      </c:layout>
      <c:pie3DChart>
        <c:varyColors val="1"/>
        <c:ser>
          <c:idx val="0"/>
          <c:order val="0"/>
          <c:dLbls>
            <c:dLbl>
              <c:idx val="0"/>
              <c:layout>
                <c:manualLayout>
                  <c:x val="0.14246619810917505"/>
                  <c:y val="-1.2266826343321441E-3"/>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0.27134164249427845"/>
                  <c:y val="0.14567999800404183"/>
                </c:manualLayout>
              </c:layout>
              <c:tx>
                <c:rich>
                  <a:bodyPr/>
                  <a:lstStyle/>
                  <a:p>
                    <a:fld id="{24A83395-05A0-4283-B032-E48A3AA94961}" type="CATEGORYNAME">
                      <a:rPr lang="en-US"/>
                      <a:pPr/>
                      <a:t>[CATEGORY NAME]</a:t>
                    </a:fld>
                    <a:r>
                      <a:rPr lang="en-US"/>
                      <a:t> 2.94%</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36265025869870232"/>
                  <c:y val="0.17016467579078293"/>
                </c:manualLayout>
              </c:layout>
              <c:tx>
                <c:rich>
                  <a:bodyPr/>
                  <a:lstStyle/>
                  <a:p>
                    <a:pPr>
                      <a:defRPr lang="en-IN">
                        <a:solidFill>
                          <a:schemeClr val="tx1"/>
                        </a:solidFill>
                      </a:defRPr>
                    </a:pPr>
                    <a:r>
                      <a:rPr lang="en-US">
                        <a:solidFill>
                          <a:schemeClr val="tx1"/>
                        </a:solidFill>
                      </a:rPr>
                      <a:t>AA Equivalent 0.80%</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'BANDHAN-AHF'!$G$8:$G$10</c:f>
              <c:strCache>
                <c:ptCount val="3"/>
                <c:pt idx="0">
                  <c:v>AAA Equivalent</c:v>
                </c:pt>
                <c:pt idx="1">
                  <c:v>AA+ Equivalent</c:v>
                </c:pt>
                <c:pt idx="2">
                  <c:v>AA Equivalent</c:v>
                </c:pt>
              </c:strCache>
            </c:strRef>
          </c:cat>
          <c:val>
            <c:numRef>
              <c:f>'BANDHAN-AHF'!$I$8:$I$10</c:f>
              <c:numCache>
                <c:formatCode>0.00%</c:formatCode>
                <c:ptCount val="3"/>
                <c:pt idx="0">
                  <c:v>0.96553599999999995</c:v>
                </c:pt>
                <c:pt idx="1">
                  <c:v>2.7112000000000001E-2</c:v>
                </c:pt>
                <c:pt idx="2">
                  <c:v>7.352E-3</c:v>
                </c:pt>
              </c:numCache>
            </c:numRef>
          </c:val>
          <c:extLst>
            <c:ext xmlns:c15="http://schemas.microsoft.com/office/drawing/2012/chart" uri="{02D57815-91ED-43cb-92C2-25804820EDAC}">
              <c15:datalabelsRange>
                <c15:f>('BANDHAN-AHF'!$G$10,'BANDHAN-AHF'!$I$10)</c15:f>
                <c15:dlblRangeCache>
                  <c:ptCount val="2"/>
                  <c:pt idx="0">
                    <c:v>AA Equivalent</c:v>
                  </c:pt>
                  <c:pt idx="1">
                    <c:v>0.74%</c:v>
                  </c:pt>
                </c15:dlblRangeCache>
              </c15:datalabelsRange>
            </c:ext>
            <c:ext xmlns:c16="http://schemas.microsoft.com/office/drawing/2014/chart" uri="{C3380CC4-5D6E-409C-BE32-E72D297353CC}">
              <c16:uniqueId val="{00000003-C3CC-4BC3-8596-62760DD930D0}"/>
            </c:ext>
          </c:extLst>
        </c:ser>
        <c:ser>
          <c:idx val="1"/>
          <c:order val="1"/>
          <c:cat>
            <c:strRef>
              <c:f>'BANDHAN-AHF'!$G$8:$G$10</c:f>
              <c:strCache>
                <c:ptCount val="3"/>
                <c:pt idx="0">
                  <c:v>AAA Equivalent</c:v>
                </c:pt>
                <c:pt idx="1">
                  <c:v>AA+ Equivalent</c:v>
                </c:pt>
                <c:pt idx="2">
                  <c:v>AA Equivalent</c:v>
                </c:pt>
              </c:strCache>
            </c:strRef>
          </c:cat>
          <c:val>
            <c:numRef>
              <c:f>'BANDHAN-MCAP'!$C$4</c:f>
              <c:numCache>
                <c:formatCode>General</c:formatCode>
                <c:ptCount val="1"/>
                <c:pt idx="0">
                  <c:v>0</c:v>
                </c:pt>
              </c:numCache>
            </c:numRef>
          </c:val>
          <c:extLst>
            <c:ext xmlns:c16="http://schemas.microsoft.com/office/drawing/2014/chart" uri="{C3380CC4-5D6E-409C-BE32-E72D297353CC}">
              <c16:uniqueId val="{00000000-9F85-46EC-A9F3-E41E9EB19A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Pt>
            <c:idx val="6"/>
            <c:bubble3D val="0"/>
            <c:spPr>
              <a:solidFill>
                <a:schemeClr val="dk1">
                  <a:tint val="80000"/>
                </a:schemeClr>
              </a:solidFill>
              <a:ln w="25400">
                <a:noFill/>
              </a:ln>
              <a:effectLst/>
              <a:sp3d/>
            </c:spPr>
            <c:extLst>
              <c:ext xmlns:c16="http://schemas.microsoft.com/office/drawing/2014/chart" uri="{C3380CC4-5D6E-409C-BE32-E72D297353CC}">
                <c16:uniqueId val="{0000000D-5753-4EA8-9C5D-0888A9FF77DE}"/>
              </c:ext>
            </c:extLst>
          </c:dPt>
          <c:dLbls>
            <c:dLbl>
              <c:idx val="0"/>
              <c:layout>
                <c:manualLayout>
                  <c:x val="3.7340989185931366E-2"/>
                  <c:y val="0.711632545931758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693716799815273"/>
                  <c:y val="-0.156862745098039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3"/>
              <c:layout>
                <c:manualLayout>
                  <c:x val="-0.13910846863076851"/>
                  <c:y val="-4.33886058360352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EE-4550-A924-FBB22E870FAE}"/>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'BANDHAN-AHF'!$J$9:$J$15</c:f>
              <c:strCache>
                <c:ptCount val="7"/>
                <c:pt idx="0">
                  <c:v>Corporate Bond</c:v>
                </c:pt>
                <c:pt idx="1">
                  <c:v>Net Equity</c:v>
                </c:pt>
                <c:pt idx="3">
                  <c:v>Net Current Asset</c:v>
                </c:pt>
                <c:pt idx="4">
                  <c:v>Government Bond</c:v>
                </c:pt>
                <c:pt idx="5">
                  <c:v>State Government Bond</c:v>
                </c:pt>
                <c:pt idx="6">
                  <c:v>Equity Options</c:v>
                </c:pt>
              </c:strCache>
            </c:strRef>
          </c:cat>
          <c:val>
            <c:numRef>
              <c:f>'BANDHAN-AHF'!$K$9:$K$15</c:f>
              <c:numCache>
                <c:formatCode>0.00%</c:formatCode>
                <c:ptCount val="7"/>
                <c:pt idx="0">
                  <c:v>8.8190000000000004E-2</c:v>
                </c:pt>
                <c:pt idx="1">
                  <c:v>0.76903199999999994</c:v>
                </c:pt>
                <c:pt idx="3">
                  <c:v>2.9298000000000001E-2</c:v>
                </c:pt>
                <c:pt idx="4">
                  <c:v>9.5788999999999999E-2</c:v>
                </c:pt>
                <c:pt idx="5">
                  <c:v>1.7559000000000002E-2</c:v>
                </c:pt>
                <c:pt idx="6">
                  <c:v>1.3200000000000001E-4</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Telecom - Services</c:v>
                </c:pt>
                <c:pt idx="2">
                  <c:v>Automobiles</c:v>
                </c:pt>
                <c:pt idx="3">
                  <c:v>Finance</c:v>
                </c:pt>
                <c:pt idx="4">
                  <c:v>Retailing</c:v>
                </c:pt>
                <c:pt idx="5">
                  <c:v>IT - Software</c:v>
                </c:pt>
                <c:pt idx="6">
                  <c:v>Petroleum Products</c:v>
                </c:pt>
                <c:pt idx="7">
                  <c:v>Ferrous Metals</c:v>
                </c:pt>
                <c:pt idx="8">
                  <c:v>Pharmaceuticals &amp; Biotechnology</c:v>
                </c:pt>
                <c:pt idx="9">
                  <c:v>Diversified FMCG</c:v>
                </c:pt>
                <c:pt idx="10">
                  <c:v>Electrical Equipment</c:v>
                </c:pt>
                <c:pt idx="11">
                  <c:v>Transport Services</c:v>
                </c:pt>
                <c:pt idx="12">
                  <c:v>Insurance</c:v>
                </c:pt>
                <c:pt idx="13">
                  <c:v>Beverages</c:v>
                </c:pt>
                <c:pt idx="14">
                  <c:v>Construction</c:v>
                </c:pt>
                <c:pt idx="15">
                  <c:v>Auto Components</c:v>
                </c:pt>
                <c:pt idx="16">
                  <c:v>Power</c:v>
                </c:pt>
                <c:pt idx="17">
                  <c:v>Chemicals &amp; Petrochemicals</c:v>
                </c:pt>
                <c:pt idx="18">
                  <c:v>Non - Ferrous Metals</c:v>
                </c:pt>
                <c:pt idx="19">
                  <c:v>Consumable Fuels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8.9794000000000013E-2</c:v>
                </c:pt>
                <c:pt idx="1">
                  <c:v>5.5196000000000002E-2</c:v>
                </c:pt>
                <c:pt idx="2">
                  <c:v>3.7055999999999999E-2</c:v>
                </c:pt>
                <c:pt idx="3">
                  <c:v>3.4907000000000001E-2</c:v>
                </c:pt>
                <c:pt idx="4">
                  <c:v>3.3632000000000002E-2</c:v>
                </c:pt>
                <c:pt idx="5">
                  <c:v>3.1330999999999998E-2</c:v>
                </c:pt>
                <c:pt idx="6">
                  <c:v>3.0180999999999999E-2</c:v>
                </c:pt>
                <c:pt idx="7">
                  <c:v>2.0981E-2</c:v>
                </c:pt>
                <c:pt idx="8">
                  <c:v>2.0150999999999999E-2</c:v>
                </c:pt>
                <c:pt idx="9">
                  <c:v>1.7930999999999999E-2</c:v>
                </c:pt>
                <c:pt idx="10">
                  <c:v>1.6875999999999999E-2</c:v>
                </c:pt>
                <c:pt idx="11">
                  <c:v>1.5932999999999999E-2</c:v>
                </c:pt>
                <c:pt idx="12">
                  <c:v>1.4952E-2</c:v>
                </c:pt>
                <c:pt idx="13">
                  <c:v>1.3919000000000001E-2</c:v>
                </c:pt>
                <c:pt idx="14">
                  <c:v>1.3441999999999999E-2</c:v>
                </c:pt>
                <c:pt idx="15">
                  <c:v>1.2805E-2</c:v>
                </c:pt>
                <c:pt idx="16">
                  <c:v>1.2367E-2</c:v>
                </c:pt>
                <c:pt idx="17">
                  <c:v>1.2356000000000001E-2</c:v>
                </c:pt>
                <c:pt idx="18">
                  <c:v>1.12E-2</c:v>
                </c:pt>
                <c:pt idx="19">
                  <c:v>9.9989999999999992E-3</c:v>
                </c:pt>
                <c:pt idx="20">
                  <c:v>8.0740000000000013E-3</c:v>
                </c:pt>
                <c:pt idx="21">
                  <c:v>7.2659999999999982E-3</c:v>
                </c:pt>
                <c:pt idx="22">
                  <c:v>5.3550000000000004E-3</c:v>
                </c:pt>
                <c:pt idx="23">
                  <c:v>4.8219999999999999E-3</c:v>
                </c:pt>
                <c:pt idx="24">
                  <c:v>3.552E-3</c:v>
                </c:pt>
                <c:pt idx="25">
                  <c:v>2.895E-3</c:v>
                </c:pt>
                <c:pt idx="26">
                  <c:v>1.485E-3</c:v>
                </c:pt>
                <c:pt idx="27">
                  <c:v>9.2299999999999999E-4</c:v>
                </c:pt>
                <c:pt idx="28">
                  <c:v>5.5800000000000001E-4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Retailing</c:v>
                </c:pt>
                <c:pt idx="2">
                  <c:v>IT - Software</c:v>
                </c:pt>
                <c:pt idx="3">
                  <c:v>Pharmaceuticals &amp; Biotechnology</c:v>
                </c:pt>
                <c:pt idx="4">
                  <c:v>Petroleum Products</c:v>
                </c:pt>
                <c:pt idx="5">
                  <c:v>Finance</c:v>
                </c:pt>
                <c:pt idx="6">
                  <c:v>Automobiles</c:v>
                </c:pt>
                <c:pt idx="7">
                  <c:v>Insurance</c:v>
                </c:pt>
                <c:pt idx="8">
                  <c:v>Consumer Durables</c:v>
                </c:pt>
                <c:pt idx="9">
                  <c:v>Construction</c:v>
                </c:pt>
                <c:pt idx="10">
                  <c:v>Diversified FMCG</c:v>
                </c:pt>
                <c:pt idx="11">
                  <c:v>Fertilizers &amp; Agrochemicals</c:v>
                </c:pt>
                <c:pt idx="12">
                  <c:v>Realty</c:v>
                </c:pt>
                <c:pt idx="13">
                  <c:v>Food Products</c:v>
                </c:pt>
                <c:pt idx="14">
                  <c:v>Personal Products</c:v>
                </c:pt>
                <c:pt idx="15">
                  <c:v>Cement &amp; Cement Products</c:v>
                </c:pt>
                <c:pt idx="16">
                  <c:v>Ferrous Metals</c:v>
                </c:pt>
                <c:pt idx="17">
                  <c:v>Oil</c:v>
                </c:pt>
                <c:pt idx="18">
                  <c:v>Healthcare Services</c:v>
                </c:pt>
                <c:pt idx="19">
                  <c:v>Commercial Services &amp; Supplies</c:v>
                </c:pt>
                <c:pt idx="20">
                  <c:v>Leisure Services</c:v>
                </c:pt>
                <c:pt idx="21">
                  <c:v>Telecom - Services</c:v>
                </c:pt>
                <c:pt idx="22">
                  <c:v>Electrical Equipment</c:v>
                </c:pt>
                <c:pt idx="23">
                  <c:v>Industrial Products</c:v>
                </c:pt>
                <c:pt idx="24">
                  <c:v>Minerals &amp; Mining</c:v>
                </c:pt>
                <c:pt idx="25">
                  <c:v>Transport Services</c:v>
                </c:pt>
                <c:pt idx="26">
                  <c:v>Beverages</c:v>
                </c:pt>
                <c:pt idx="27">
                  <c:v>Power</c:v>
                </c:pt>
                <c:pt idx="28">
                  <c:v>Agricultural, Commercial &amp; Construction Vehicles</c:v>
                </c:pt>
                <c:pt idx="29">
                  <c:v>Auto Components</c:v>
                </c:pt>
                <c:pt idx="30">
                  <c:v>Telecom - Equipment &amp; Accessories</c:v>
                </c:pt>
                <c:pt idx="31">
                  <c:v>Diversified Metals</c:v>
                </c:pt>
                <c:pt idx="32">
                  <c:v>Industrial Manufacturing</c:v>
                </c:pt>
                <c:pt idx="33">
                  <c:v>Gas</c:v>
                </c:pt>
                <c:pt idx="34">
                  <c:v>Textiles &amp; Apparels</c:v>
                </c:pt>
                <c:pt idx="35">
                  <c:v>Capital Markets</c:v>
                </c:pt>
                <c:pt idx="36">
                  <c:v>Non - Ferrous Metals</c:v>
                </c:pt>
              </c:strCache>
            </c:strRef>
          </c:cat>
          <c:val>
            <c:numRef>
              <c:f>'BANDHAN MAF'!$Q$7:$Q$43</c:f>
              <c:numCache>
                <c:formatCode>0.00%</c:formatCode>
                <c:ptCount val="37"/>
                <c:pt idx="0">
                  <c:v>9.9471000000000018E-2</c:v>
                </c:pt>
                <c:pt idx="1">
                  <c:v>3.3577999999999997E-2</c:v>
                </c:pt>
                <c:pt idx="2">
                  <c:v>3.0347000000000013E-2</c:v>
                </c:pt>
                <c:pt idx="3">
                  <c:v>2.7924999999999995E-2</c:v>
                </c:pt>
                <c:pt idx="4">
                  <c:v>2.6317000000000004E-2</c:v>
                </c:pt>
                <c:pt idx="5">
                  <c:v>2.6258999999999998E-2</c:v>
                </c:pt>
                <c:pt idx="6">
                  <c:v>2.4191999999999998E-2</c:v>
                </c:pt>
                <c:pt idx="7">
                  <c:v>2.3408000000000002E-2</c:v>
                </c:pt>
                <c:pt idx="8">
                  <c:v>2.2491000000000001E-2</c:v>
                </c:pt>
                <c:pt idx="9">
                  <c:v>1.2291E-2</c:v>
                </c:pt>
                <c:pt idx="10">
                  <c:v>1.0869E-2</c:v>
                </c:pt>
                <c:pt idx="11">
                  <c:v>1.0357999999999999E-2</c:v>
                </c:pt>
                <c:pt idx="12">
                  <c:v>1.0303E-2</c:v>
                </c:pt>
                <c:pt idx="13">
                  <c:v>1.0245000000000001E-2</c:v>
                </c:pt>
                <c:pt idx="14">
                  <c:v>9.6340000000000002E-3</c:v>
                </c:pt>
                <c:pt idx="15">
                  <c:v>9.1900000000000003E-3</c:v>
                </c:pt>
                <c:pt idx="16">
                  <c:v>9.0219999999999988E-3</c:v>
                </c:pt>
                <c:pt idx="17">
                  <c:v>8.8869999999999991E-3</c:v>
                </c:pt>
                <c:pt idx="18">
                  <c:v>8.712000000000001E-3</c:v>
                </c:pt>
                <c:pt idx="19">
                  <c:v>8.2769999999999996E-3</c:v>
                </c:pt>
                <c:pt idx="20">
                  <c:v>7.7059999999999993E-3</c:v>
                </c:pt>
                <c:pt idx="21">
                  <c:v>6.5890000000000002E-3</c:v>
                </c:pt>
                <c:pt idx="22">
                  <c:v>6.2440000000000004E-3</c:v>
                </c:pt>
                <c:pt idx="23">
                  <c:v>6.195E-3</c:v>
                </c:pt>
                <c:pt idx="24">
                  <c:v>5.3229999999999996E-3</c:v>
                </c:pt>
                <c:pt idx="25">
                  <c:v>5.2230000000000002E-3</c:v>
                </c:pt>
                <c:pt idx="26">
                  <c:v>4.9649999999999998E-3</c:v>
                </c:pt>
                <c:pt idx="27">
                  <c:v>4.8879999999999982E-3</c:v>
                </c:pt>
                <c:pt idx="28">
                  <c:v>4.509E-3</c:v>
                </c:pt>
                <c:pt idx="29">
                  <c:v>4.3530000000000001E-3</c:v>
                </c:pt>
                <c:pt idx="30">
                  <c:v>4.2709999999999996E-3</c:v>
                </c:pt>
                <c:pt idx="31">
                  <c:v>3.836E-3</c:v>
                </c:pt>
                <c:pt idx="32">
                  <c:v>3.718E-3</c:v>
                </c:pt>
                <c:pt idx="33">
                  <c:v>3.3809999999999999E-3</c:v>
                </c:pt>
                <c:pt idx="34">
                  <c:v>2.9420000000000002E-3</c:v>
                </c:pt>
                <c:pt idx="35">
                  <c:v>1.2769999999999999E-3</c:v>
                </c:pt>
                <c:pt idx="36">
                  <c:v>-1.0000000000000026E-5</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March 2025)</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Retailing</c:v>
                </c:pt>
                <c:pt idx="2">
                  <c:v>IT - Software</c:v>
                </c:pt>
                <c:pt idx="3">
                  <c:v>Pharmaceuticals &amp; Biotechnology</c:v>
                </c:pt>
                <c:pt idx="4">
                  <c:v>Petroleum Products</c:v>
                </c:pt>
                <c:pt idx="5">
                  <c:v>Finance</c:v>
                </c:pt>
                <c:pt idx="6">
                  <c:v>Automobiles</c:v>
                </c:pt>
                <c:pt idx="7">
                  <c:v>Insurance</c:v>
                </c:pt>
                <c:pt idx="8">
                  <c:v>Consumer Durables</c:v>
                </c:pt>
                <c:pt idx="9">
                  <c:v>Construction</c:v>
                </c:pt>
                <c:pt idx="10">
                  <c:v>Diversified FMCG</c:v>
                </c:pt>
                <c:pt idx="11">
                  <c:v>Fertilizers &amp; Agrochemicals</c:v>
                </c:pt>
                <c:pt idx="12">
                  <c:v>Realty</c:v>
                </c:pt>
                <c:pt idx="13">
                  <c:v>Food Products</c:v>
                </c:pt>
                <c:pt idx="14">
                  <c:v>Personal Products</c:v>
                </c:pt>
                <c:pt idx="15">
                  <c:v>Cement &amp; Cement Products</c:v>
                </c:pt>
                <c:pt idx="16">
                  <c:v>Ferrous Metals</c:v>
                </c:pt>
                <c:pt idx="17">
                  <c:v>Oil</c:v>
                </c:pt>
                <c:pt idx="18">
                  <c:v>Healthcare Services</c:v>
                </c:pt>
                <c:pt idx="19">
                  <c:v>Commercial Services &amp; Supplies</c:v>
                </c:pt>
                <c:pt idx="20">
                  <c:v>Leisure Services</c:v>
                </c:pt>
                <c:pt idx="21">
                  <c:v>Telecom - Services</c:v>
                </c:pt>
                <c:pt idx="22">
                  <c:v>Electrical Equipment</c:v>
                </c:pt>
                <c:pt idx="23">
                  <c:v>Industrial Products</c:v>
                </c:pt>
                <c:pt idx="24">
                  <c:v>Minerals &amp; Mining</c:v>
                </c:pt>
                <c:pt idx="25">
                  <c:v>Transport Services</c:v>
                </c:pt>
                <c:pt idx="26">
                  <c:v>Beverages</c:v>
                </c:pt>
                <c:pt idx="27">
                  <c:v>Power</c:v>
                </c:pt>
                <c:pt idx="28">
                  <c:v>Agricultural, Commercial &amp; Construction Vehicles</c:v>
                </c:pt>
                <c:pt idx="29">
                  <c:v>Auto Components</c:v>
                </c:pt>
                <c:pt idx="30">
                  <c:v>Telecom - Equipment &amp; Accessories</c:v>
                </c:pt>
                <c:pt idx="31">
                  <c:v>Diversified Metals</c:v>
                </c:pt>
                <c:pt idx="32">
                  <c:v>Industrial Manufacturing</c:v>
                </c:pt>
                <c:pt idx="33">
                  <c:v>Gas</c:v>
                </c:pt>
                <c:pt idx="34">
                  <c:v>Textiles &amp; Apparels</c:v>
                </c:pt>
                <c:pt idx="35">
                  <c:v>Capital Markets</c:v>
                </c:pt>
                <c:pt idx="36">
                  <c:v>Non - Ferrous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0.32303199999999999</c:v>
                </c:pt>
                <c:pt idx="1">
                  <c:v>0.64221499999999998</c:v>
                </c:pt>
                <c:pt idx="2">
                  <c:v>3.4752999999999999E-2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0.52238600000000002</c:v>
                </c:pt>
                <c:pt idx="1">
                  <c:v>0.49800899999999998</c:v>
                </c:pt>
                <c:pt idx="2">
                  <c:v>-2.0395E-2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0.75768199999999997</c:v>
                </c:pt>
                <c:pt idx="1">
                  <c:v>0.240004</c:v>
                </c:pt>
                <c:pt idx="2">
                  <c:v>2.3140000000000001E-3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B4C0-4BFE-9FBA-C6BEB68644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IPAFOFs'!$G$8</c:f>
              <c:strCache>
                <c:ptCount val="1"/>
                <c:pt idx="0">
                  <c:v>AAA EQUIVALENT</c:v>
                </c:pt>
              </c:strCache>
            </c:strRef>
          </c:cat>
          <c:val>
            <c:numRef>
              <c:f>'BANDHAN IPAFOFs'!$H$8</c:f>
              <c:numCache>
                <c:formatCode>0%</c:formatCode>
                <c:ptCount val="1"/>
                <c:pt idx="0">
                  <c:v>1</c:v>
                </c:pt>
              </c:numCache>
            </c:numRef>
          </c:val>
          <c:extLst>
            <c:ext xmlns:c16="http://schemas.microsoft.com/office/drawing/2014/chart" uri="{C3380CC4-5D6E-409C-BE32-E72D297353CC}">
              <c16:uniqueId val="{00000001-B4C0-4BFE-9FBA-C6BEB68644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IPAFOFs'!$K$8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3E89-45F6-A226-BC712B1165A7}"/>
                </c:ext>
              </c:extLst>
            </c:dLbl>
            <c:dLbl>
              <c:idx val="1"/>
              <c:layout>
                <c:manualLayout>
                  <c:x val="0.24963681734643983"/>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3E89-45F6-A226-BC712B1165A7}"/>
                </c:ext>
              </c:extLst>
            </c:dLbl>
            <c:dLbl>
              <c:idx val="2"/>
              <c:layout>
                <c:manualLayout>
                  <c:x val="-0.36124787131801245"/>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3E89-45F6-A226-BC712B1165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IPAFOFs'!$J$9:$J$11</c:f>
              <c:strCache>
                <c:ptCount val="3"/>
                <c:pt idx="0">
                  <c:v>Net Current Asset</c:v>
                </c:pt>
                <c:pt idx="1">
                  <c:v>TRI Party Repo</c:v>
                </c:pt>
                <c:pt idx="2">
                  <c:v>Mutual Fund Units</c:v>
                </c:pt>
              </c:strCache>
            </c:strRef>
          </c:cat>
          <c:val>
            <c:numRef>
              <c:f>'BANDHAN IPAFOFs'!$K$9:$K$11</c:f>
              <c:numCache>
                <c:formatCode>0.00%</c:formatCode>
                <c:ptCount val="3"/>
                <c:pt idx="0">
                  <c:v>-4.08E-4</c:v>
                </c:pt>
                <c:pt idx="1">
                  <c:v>8.4700000000000001E-3</c:v>
                </c:pt>
                <c:pt idx="2">
                  <c:v>0.99193799999999999</c:v>
                </c:pt>
              </c:numCache>
            </c:numRef>
          </c:val>
          <c:extLst>
            <c:ext xmlns:c16="http://schemas.microsoft.com/office/drawing/2014/chart" uri="{C3380CC4-5D6E-409C-BE32-E72D297353CC}">
              <c16:uniqueId val="{00000003-3E89-45F6-A226-BC712B1165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Cement &amp; Cement Products</c:v>
                </c:pt>
                <c:pt idx="12">
                  <c:v>Consumer Durables</c:v>
                </c:pt>
                <c:pt idx="13">
                  <c:v>Ferrous Metals</c:v>
                </c:pt>
                <c:pt idx="14">
                  <c:v>Insurance</c:v>
                </c:pt>
                <c:pt idx="15">
                  <c:v>Aerospace &amp; Defense</c:v>
                </c:pt>
                <c:pt idx="16">
                  <c:v>Non - Ferrous Metals</c:v>
                </c:pt>
                <c:pt idx="17">
                  <c:v>Oil</c:v>
                </c:pt>
                <c:pt idx="18">
                  <c:v>Consumable Fuels</c:v>
                </c:pt>
                <c:pt idx="19">
                  <c:v>Transport Infrastructure</c:v>
                </c:pt>
                <c:pt idx="20">
                  <c:v>Food Products</c:v>
                </c:pt>
                <c:pt idx="21">
                  <c:v>Healthcare Services</c:v>
                </c:pt>
                <c:pt idx="22">
                  <c:v>Agricultural Food &amp; other Products</c:v>
                </c:pt>
                <c:pt idx="23">
                  <c:v>Metals &amp; Minerals Trading</c:v>
                </c:pt>
              </c:strCache>
            </c:strRef>
          </c:cat>
          <c:val>
            <c:numRef>
              <c:f>'BANDHAN-NIFTY 50 Index'!$X$8:$X$31</c:f>
              <c:numCache>
                <c:formatCode>0.00%</c:formatCode>
                <c:ptCount val="24"/>
                <c:pt idx="0">
                  <c:v>0.31164199999999997</c:v>
                </c:pt>
                <c:pt idx="1">
                  <c:v>0.119088</c:v>
                </c:pt>
                <c:pt idx="2">
                  <c:v>8.1197000000000005E-2</c:v>
                </c:pt>
                <c:pt idx="3">
                  <c:v>6.9304000000000004E-2</c:v>
                </c:pt>
                <c:pt idx="4">
                  <c:v>5.4690000000000003E-2</c:v>
                </c:pt>
                <c:pt idx="5">
                  <c:v>4.7882999999999995E-2</c:v>
                </c:pt>
                <c:pt idx="6">
                  <c:v>4.3706000000000002E-2</c:v>
                </c:pt>
                <c:pt idx="7">
                  <c:v>3.8531000000000003E-2</c:v>
                </c:pt>
                <c:pt idx="8">
                  <c:v>3.1763E-2</c:v>
                </c:pt>
                <c:pt idx="9">
                  <c:v>2.8305E-2</c:v>
                </c:pt>
                <c:pt idx="10">
                  <c:v>2.4292999999999999E-2</c:v>
                </c:pt>
                <c:pt idx="11">
                  <c:v>2.2005E-2</c:v>
                </c:pt>
                <c:pt idx="12">
                  <c:v>2.1825999999999998E-2</c:v>
                </c:pt>
                <c:pt idx="13">
                  <c:v>2.1468000000000001E-2</c:v>
                </c:pt>
                <c:pt idx="14">
                  <c:v>1.3419E-2</c:v>
                </c:pt>
                <c:pt idx="15">
                  <c:v>1.0142999999999999E-2</c:v>
                </c:pt>
                <c:pt idx="16">
                  <c:v>9.2860000000000009E-3</c:v>
                </c:pt>
                <c:pt idx="17">
                  <c:v>8.9940000000000003E-3</c:v>
                </c:pt>
                <c:pt idx="18">
                  <c:v>8.5009999999999999E-3</c:v>
                </c:pt>
                <c:pt idx="19">
                  <c:v>8.2050000000000005E-3</c:v>
                </c:pt>
                <c:pt idx="20">
                  <c:v>7.5849999999999997E-3</c:v>
                </c:pt>
                <c:pt idx="21">
                  <c:v>6.2820000000000003E-3</c:v>
                </c:pt>
                <c:pt idx="22">
                  <c:v>6.1320000000000003E-3</c:v>
                </c:pt>
                <c:pt idx="23">
                  <c:v>5.6690000000000004E-3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ETF'!$W$8:$W$24</c:f>
              <c:strCache>
                <c:ptCount val="17"/>
                <c:pt idx="0">
                  <c:v>Banks</c:v>
                </c:pt>
                <c:pt idx="1">
                  <c:v>IT - Software</c:v>
                </c:pt>
                <c:pt idx="2">
                  <c:v>Petroleum Products</c:v>
                </c:pt>
                <c:pt idx="3">
                  <c:v>Diversified FMCG</c:v>
                </c:pt>
                <c:pt idx="4">
                  <c:v>Automobiles</c:v>
                </c:pt>
                <c:pt idx="5">
                  <c:v>Telecom - Services</c:v>
                </c:pt>
                <c:pt idx="6">
                  <c:v>Construction</c:v>
                </c:pt>
                <c:pt idx="7">
                  <c:v>Finance</c:v>
                </c:pt>
                <c:pt idx="8">
                  <c:v>Power</c:v>
                </c:pt>
                <c:pt idx="9">
                  <c:v>Consumer Durables</c:v>
                </c:pt>
                <c:pt idx="10">
                  <c:v>Pharmaceuticals &amp; Biotechnology</c:v>
                </c:pt>
                <c:pt idx="11">
                  <c:v>Retailing</c:v>
                </c:pt>
                <c:pt idx="12">
                  <c:v>Cement &amp; Cement Products</c:v>
                </c:pt>
                <c:pt idx="13">
                  <c:v>Ferrous Metals</c:v>
                </c:pt>
                <c:pt idx="14">
                  <c:v>Transport Infrastructure</c:v>
                </c:pt>
                <c:pt idx="15">
                  <c:v>Food Products</c:v>
                </c:pt>
                <c:pt idx="16">
                  <c:v>Leisure Services</c:v>
                </c:pt>
              </c:strCache>
            </c:strRef>
          </c:cat>
          <c:val>
            <c:numRef>
              <c:f>'BANDHAN BSE SENSEX ETF'!$X$8:$X$24</c:f>
              <c:numCache>
                <c:formatCode>0.00%</c:formatCode>
                <c:ptCount val="17"/>
                <c:pt idx="0">
                  <c:v>0.36761700000000003</c:v>
                </c:pt>
                <c:pt idx="1">
                  <c:v>0.13306900000000002</c:v>
                </c:pt>
                <c:pt idx="2">
                  <c:v>9.5866999999999994E-2</c:v>
                </c:pt>
                <c:pt idx="3">
                  <c:v>6.4953999999999998E-2</c:v>
                </c:pt>
                <c:pt idx="4">
                  <c:v>5.8939999999999999E-2</c:v>
                </c:pt>
                <c:pt idx="5">
                  <c:v>5.1319999999999998E-2</c:v>
                </c:pt>
                <c:pt idx="6">
                  <c:v>4.4741999999999997E-2</c:v>
                </c:pt>
                <c:pt idx="7">
                  <c:v>3.7401000000000004E-2</c:v>
                </c:pt>
                <c:pt idx="8">
                  <c:v>3.3079999999999998E-2</c:v>
                </c:pt>
                <c:pt idx="9">
                  <c:v>2.5921E-2</c:v>
                </c:pt>
                <c:pt idx="10">
                  <c:v>2.0611000000000001E-2</c:v>
                </c:pt>
                <c:pt idx="11">
                  <c:v>1.5409000000000001E-2</c:v>
                </c:pt>
                <c:pt idx="12">
                  <c:v>1.4744999999999999E-2</c:v>
                </c:pt>
                <c:pt idx="13">
                  <c:v>1.4366E-2</c:v>
                </c:pt>
                <c:pt idx="14">
                  <c:v>9.5949999999999994E-3</c:v>
                </c:pt>
                <c:pt idx="15">
                  <c:v>8.8470000000000007E-3</c:v>
                </c:pt>
                <c:pt idx="16">
                  <c:v>1.673E-3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Cement &amp; Cement Products</c:v>
                </c:pt>
                <c:pt idx="12">
                  <c:v>Consumer Durables</c:v>
                </c:pt>
                <c:pt idx="13">
                  <c:v>Ferrous Metals</c:v>
                </c:pt>
                <c:pt idx="14">
                  <c:v>Insurance</c:v>
                </c:pt>
                <c:pt idx="15">
                  <c:v>Aerospace &amp; Defense</c:v>
                </c:pt>
                <c:pt idx="16">
                  <c:v>Non - Ferrous Metals</c:v>
                </c:pt>
                <c:pt idx="17">
                  <c:v>Oil</c:v>
                </c:pt>
                <c:pt idx="18">
                  <c:v>Consumable Fuels</c:v>
                </c:pt>
                <c:pt idx="19">
                  <c:v>Transport Infrastructure</c:v>
                </c:pt>
                <c:pt idx="20">
                  <c:v>Food Products</c:v>
                </c:pt>
                <c:pt idx="21">
                  <c:v>Healthcare Services</c:v>
                </c:pt>
                <c:pt idx="22">
                  <c:v>Agricultural Food &amp; other Products</c:v>
                </c:pt>
                <c:pt idx="23">
                  <c:v>Metals &amp; Minerals Trading</c:v>
                </c:pt>
              </c:strCache>
            </c:strRef>
          </c:cat>
          <c:val>
            <c:numRef>
              <c:f>'BANDHAN- Nifty 50 ETF'!$X$8:$X$31</c:f>
              <c:numCache>
                <c:formatCode>0.00%</c:formatCode>
                <c:ptCount val="24"/>
                <c:pt idx="0">
                  <c:v>0.31073099999999998</c:v>
                </c:pt>
                <c:pt idx="1">
                  <c:v>0.11873800000000001</c:v>
                </c:pt>
                <c:pt idx="2">
                  <c:v>8.0958000000000002E-2</c:v>
                </c:pt>
                <c:pt idx="3">
                  <c:v>6.9099999999999995E-2</c:v>
                </c:pt>
                <c:pt idx="4">
                  <c:v>5.4532999999999998E-2</c:v>
                </c:pt>
                <c:pt idx="5">
                  <c:v>4.7740000000000005E-2</c:v>
                </c:pt>
                <c:pt idx="6">
                  <c:v>4.3581000000000002E-2</c:v>
                </c:pt>
                <c:pt idx="7">
                  <c:v>3.8418000000000001E-2</c:v>
                </c:pt>
                <c:pt idx="8">
                  <c:v>3.1674000000000001E-2</c:v>
                </c:pt>
                <c:pt idx="9">
                  <c:v>2.8222000000000001E-2</c:v>
                </c:pt>
                <c:pt idx="10">
                  <c:v>2.4220999999999999E-2</c:v>
                </c:pt>
                <c:pt idx="11">
                  <c:v>2.1961000000000001E-2</c:v>
                </c:pt>
                <c:pt idx="12">
                  <c:v>2.1762E-2</c:v>
                </c:pt>
                <c:pt idx="13">
                  <c:v>2.1406000000000001E-2</c:v>
                </c:pt>
                <c:pt idx="14">
                  <c:v>1.3378999999999999E-2</c:v>
                </c:pt>
                <c:pt idx="15">
                  <c:v>1.0113E-2</c:v>
                </c:pt>
                <c:pt idx="16">
                  <c:v>9.2589999999999999E-3</c:v>
                </c:pt>
                <c:pt idx="17">
                  <c:v>8.9680000000000003E-3</c:v>
                </c:pt>
                <c:pt idx="18">
                  <c:v>8.4759999999999992E-3</c:v>
                </c:pt>
                <c:pt idx="19">
                  <c:v>8.1799999999999998E-3</c:v>
                </c:pt>
                <c:pt idx="20">
                  <c:v>7.5669999999999999E-3</c:v>
                </c:pt>
                <c:pt idx="21">
                  <c:v>6.2560000000000003E-3</c:v>
                </c:pt>
                <c:pt idx="22">
                  <c:v>6.1120000000000002E-3</c:v>
                </c:pt>
                <c:pt idx="23">
                  <c:v>5.6559999999999996E-3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(31st March 2025)</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Cement &amp; Cement Products</c:v>
                </c:pt>
                <c:pt idx="12">
                  <c:v>Consumer Durables</c:v>
                </c:pt>
                <c:pt idx="13">
                  <c:v>Ferrous Metals</c:v>
                </c:pt>
                <c:pt idx="14">
                  <c:v>Insurance</c:v>
                </c:pt>
                <c:pt idx="15">
                  <c:v>Aerospace &amp; Defense</c:v>
                </c:pt>
                <c:pt idx="16">
                  <c:v>Non - Ferrous Metals</c:v>
                </c:pt>
                <c:pt idx="17">
                  <c:v>Oil</c:v>
                </c:pt>
                <c:pt idx="18">
                  <c:v>Consumable Fuels</c:v>
                </c:pt>
                <c:pt idx="19">
                  <c:v>Transport Infrastructure</c:v>
                </c:pt>
                <c:pt idx="20">
                  <c:v>Food Products</c:v>
                </c:pt>
                <c:pt idx="21">
                  <c:v>Healthcare Services</c:v>
                </c:pt>
                <c:pt idx="22">
                  <c:v>Agricultural Food &amp; other Products</c:v>
                </c:pt>
                <c:pt idx="23">
                  <c:v>Metals &amp; Minerals Trading</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Telecom - Services</c:v>
                </c:pt>
                <c:pt idx="9">
                  <c:v>Construction</c:v>
                </c:pt>
                <c:pt idx="10">
                  <c:v>Retailing</c:v>
                </c:pt>
                <c:pt idx="11">
                  <c:v>Cement &amp; Cement Products</c:v>
                </c:pt>
                <c:pt idx="12">
                  <c:v>Consumer Durables</c:v>
                </c:pt>
                <c:pt idx="13">
                  <c:v>Ferrous Metals</c:v>
                </c:pt>
                <c:pt idx="14">
                  <c:v>Insurance</c:v>
                </c:pt>
                <c:pt idx="15">
                  <c:v>Aerospace &amp; Defense</c:v>
                </c:pt>
                <c:pt idx="16">
                  <c:v>Food Products</c:v>
                </c:pt>
                <c:pt idx="17">
                  <c:v>Electrical Equipment</c:v>
                </c:pt>
                <c:pt idx="18">
                  <c:v>Beverages</c:v>
                </c:pt>
                <c:pt idx="19">
                  <c:v>Transport Services</c:v>
                </c:pt>
                <c:pt idx="20">
                  <c:v>Non - Ferrous Metals</c:v>
                </c:pt>
                <c:pt idx="21">
                  <c:v>Oil</c:v>
                </c:pt>
                <c:pt idx="22">
                  <c:v>Consumable Fuels</c:v>
                </c:pt>
                <c:pt idx="23">
                  <c:v>Transport Infrastructure</c:v>
                </c:pt>
                <c:pt idx="24">
                  <c:v>Personal Products</c:v>
                </c:pt>
                <c:pt idx="25">
                  <c:v>Diversified Metals</c:v>
                </c:pt>
                <c:pt idx="26">
                  <c:v>Realty</c:v>
                </c:pt>
                <c:pt idx="27">
                  <c:v>Leisure Services</c:v>
                </c:pt>
                <c:pt idx="28">
                  <c:v>Healthcare Services</c:v>
                </c:pt>
                <c:pt idx="29">
                  <c:v>Agricultural Food &amp; other Products</c:v>
                </c:pt>
                <c:pt idx="30">
                  <c:v>Auto Components</c:v>
                </c:pt>
                <c:pt idx="31">
                  <c:v>Metals &amp; Minerals Trading</c:v>
                </c:pt>
                <c:pt idx="32">
                  <c:v>Gas</c:v>
                </c:pt>
                <c:pt idx="33">
                  <c:v>Chemicals &amp; Petrochemicals</c:v>
                </c:pt>
              </c:strCache>
            </c:strRef>
          </c:cat>
          <c:val>
            <c:numRef>
              <c:f>'BANDHAN-Nifty 100 Index'!$X$8:$X$41</c:f>
              <c:numCache>
                <c:formatCode>0.00%</c:formatCode>
                <c:ptCount val="34"/>
                <c:pt idx="0">
                  <c:v>0.266407</c:v>
                </c:pt>
                <c:pt idx="1">
                  <c:v>0.101893</c:v>
                </c:pt>
                <c:pt idx="2">
                  <c:v>7.5189999999999993E-2</c:v>
                </c:pt>
                <c:pt idx="3">
                  <c:v>6.3454999999999998E-2</c:v>
                </c:pt>
                <c:pt idx="4">
                  <c:v>6.0350999999999995E-2</c:v>
                </c:pt>
                <c:pt idx="5">
                  <c:v>4.5310000000000003E-2</c:v>
                </c:pt>
                <c:pt idx="6">
                  <c:v>3.8442000000000004E-2</c:v>
                </c:pt>
                <c:pt idx="7">
                  <c:v>3.6379000000000002E-2</c:v>
                </c:pt>
                <c:pt idx="8">
                  <c:v>3.6211E-2</c:v>
                </c:pt>
                <c:pt idx="9">
                  <c:v>3.1923E-2</c:v>
                </c:pt>
                <c:pt idx="10">
                  <c:v>2.9833999999999999E-2</c:v>
                </c:pt>
                <c:pt idx="11">
                  <c:v>2.4189000000000002E-2</c:v>
                </c:pt>
                <c:pt idx="12">
                  <c:v>2.1085E-2</c:v>
                </c:pt>
                <c:pt idx="13">
                  <c:v>2.0484000000000002E-2</c:v>
                </c:pt>
                <c:pt idx="14">
                  <c:v>1.7558999999999998E-2</c:v>
                </c:pt>
                <c:pt idx="15">
                  <c:v>1.4585000000000001E-2</c:v>
                </c:pt>
                <c:pt idx="16">
                  <c:v>1.0818000000000001E-2</c:v>
                </c:pt>
                <c:pt idx="17">
                  <c:v>9.0810000000000005E-3</c:v>
                </c:pt>
                <c:pt idx="18">
                  <c:v>8.8589999999999988E-3</c:v>
                </c:pt>
                <c:pt idx="19">
                  <c:v>7.8139999999999998E-3</c:v>
                </c:pt>
                <c:pt idx="20">
                  <c:v>7.6940000000000003E-3</c:v>
                </c:pt>
                <c:pt idx="21">
                  <c:v>7.4520000000000003E-3</c:v>
                </c:pt>
                <c:pt idx="22">
                  <c:v>7.0429999999999998E-3</c:v>
                </c:pt>
                <c:pt idx="23">
                  <c:v>6.7980000000000002E-3</c:v>
                </c:pt>
                <c:pt idx="24">
                  <c:v>6.6489999999999995E-3</c:v>
                </c:pt>
                <c:pt idx="25">
                  <c:v>6.123E-3</c:v>
                </c:pt>
                <c:pt idx="26">
                  <c:v>6.0000000000000001E-3</c:v>
                </c:pt>
                <c:pt idx="27">
                  <c:v>5.385E-3</c:v>
                </c:pt>
                <c:pt idx="28">
                  <c:v>5.2050000000000004E-3</c:v>
                </c:pt>
                <c:pt idx="29">
                  <c:v>5.0800000000000003E-3</c:v>
                </c:pt>
                <c:pt idx="30">
                  <c:v>4.9290000000000002E-3</c:v>
                </c:pt>
                <c:pt idx="31">
                  <c:v>4.6969999999999998E-3</c:v>
                </c:pt>
                <c:pt idx="32">
                  <c:v>3.8449999999999999E-3</c:v>
                </c:pt>
                <c:pt idx="33">
                  <c:v>3.4139999999999999E-3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Pharmaceuticals &amp; Biotechnology</c:v>
                </c:pt>
                <c:pt idx="2">
                  <c:v>Retailing</c:v>
                </c:pt>
                <c:pt idx="3">
                  <c:v>Consumer Durables</c:v>
                </c:pt>
                <c:pt idx="4">
                  <c:v>Telecom - Services</c:v>
                </c:pt>
                <c:pt idx="5">
                  <c:v>Automobiles</c:v>
                </c:pt>
                <c:pt idx="6">
                  <c:v>Financial Technology (Fintech)</c:v>
                </c:pt>
                <c:pt idx="7">
                  <c:v>Aerospace &amp; Defense</c:v>
                </c:pt>
                <c:pt idx="8">
                  <c:v>Leisure Services</c:v>
                </c:pt>
                <c:pt idx="9">
                  <c:v>Capital Markets</c:v>
                </c:pt>
                <c:pt idx="10">
                  <c:v>Diversified Metals</c:v>
                </c:pt>
                <c:pt idx="11">
                  <c:v>Auto Components</c:v>
                </c:pt>
                <c:pt idx="12">
                  <c:v>Electrical Equipment</c:v>
                </c:pt>
                <c:pt idx="13">
                  <c:v>Beverages</c:v>
                </c:pt>
                <c:pt idx="14">
                  <c:v>Banks</c:v>
                </c:pt>
                <c:pt idx="15">
                  <c:v>Oil</c:v>
                </c:pt>
              </c:strCache>
            </c:strRef>
          </c:cat>
          <c:val>
            <c:numRef>
              <c:f>'BANDHAN-Nifty200 Mom30 Index'!$X$8:$X$23</c:f>
              <c:numCache>
                <c:formatCode>0.00%</c:formatCode>
                <c:ptCount val="16"/>
                <c:pt idx="0">
                  <c:v>0.23809600000000003</c:v>
                </c:pt>
                <c:pt idx="1">
                  <c:v>0.146504</c:v>
                </c:pt>
                <c:pt idx="2">
                  <c:v>0.121377</c:v>
                </c:pt>
                <c:pt idx="3">
                  <c:v>7.5867000000000004E-2</c:v>
                </c:pt>
                <c:pt idx="4">
                  <c:v>6.2518000000000004E-2</c:v>
                </c:pt>
                <c:pt idx="5">
                  <c:v>5.1680999999999998E-2</c:v>
                </c:pt>
                <c:pt idx="6">
                  <c:v>4.4965000000000005E-2</c:v>
                </c:pt>
                <c:pt idx="7">
                  <c:v>4.4927000000000002E-2</c:v>
                </c:pt>
                <c:pt idx="8">
                  <c:v>4.3831000000000002E-2</c:v>
                </c:pt>
                <c:pt idx="9">
                  <c:v>3.7407000000000003E-2</c:v>
                </c:pt>
                <c:pt idx="10">
                  <c:v>3.0303E-2</c:v>
                </c:pt>
                <c:pt idx="11">
                  <c:v>2.6168E-2</c:v>
                </c:pt>
                <c:pt idx="12">
                  <c:v>2.2498000000000001E-2</c:v>
                </c:pt>
                <c:pt idx="13">
                  <c:v>2.2265E-2</c:v>
                </c:pt>
                <c:pt idx="14">
                  <c:v>2.1819999999999999E-2</c:v>
                </c:pt>
                <c:pt idx="15">
                  <c:v>9.7509999999999993E-3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Diversified FMCG</c:v>
                </c:pt>
                <c:pt idx="5">
                  <c:v>Food Products</c:v>
                </c:pt>
                <c:pt idx="6">
                  <c:v>Consumer Durables</c:v>
                </c:pt>
                <c:pt idx="7">
                  <c:v>Petroleum Products</c:v>
                </c:pt>
                <c:pt idx="8">
                  <c:v>Healthcare Services</c:v>
                </c:pt>
                <c:pt idx="9">
                  <c:v>Telecom - Services</c:v>
                </c:pt>
                <c:pt idx="10">
                  <c:v>Finance</c:v>
                </c:pt>
                <c:pt idx="11">
                  <c:v>Insurance</c:v>
                </c:pt>
                <c:pt idx="12">
                  <c:v>Cement &amp; Cement Products</c:v>
                </c:pt>
                <c:pt idx="13">
                  <c:v>Auto Components</c:v>
                </c:pt>
                <c:pt idx="14">
                  <c:v>Chemicals &amp; Petrochemicals</c:v>
                </c:pt>
                <c:pt idx="15">
                  <c:v>Personal Products</c:v>
                </c:pt>
                <c:pt idx="16">
                  <c:v>Construction</c:v>
                </c:pt>
              </c:strCache>
            </c:strRef>
          </c:cat>
          <c:val>
            <c:numRef>
              <c:f>'BANDHAN NIF100LV30'!$X$8:$X$24</c:f>
              <c:numCache>
                <c:formatCode>0.00%</c:formatCode>
                <c:ptCount val="17"/>
                <c:pt idx="0">
                  <c:v>0.13564599999999999</c:v>
                </c:pt>
                <c:pt idx="1">
                  <c:v>0.12587200000000001</c:v>
                </c:pt>
                <c:pt idx="2">
                  <c:v>0.107268</c:v>
                </c:pt>
                <c:pt idx="3">
                  <c:v>9.1490999999999989E-2</c:v>
                </c:pt>
                <c:pt idx="4">
                  <c:v>7.7752999999999989E-2</c:v>
                </c:pt>
                <c:pt idx="5">
                  <c:v>7.6711000000000001E-2</c:v>
                </c:pt>
                <c:pt idx="6">
                  <c:v>6.8367999999999998E-2</c:v>
                </c:pt>
                <c:pt idx="7">
                  <c:v>3.5215999999999997E-2</c:v>
                </c:pt>
                <c:pt idx="8">
                  <c:v>3.4258999999999998E-2</c:v>
                </c:pt>
                <c:pt idx="9">
                  <c:v>3.2976999999999999E-2</c:v>
                </c:pt>
                <c:pt idx="10">
                  <c:v>3.2492E-2</c:v>
                </c:pt>
                <c:pt idx="11">
                  <c:v>3.2162999999999997E-2</c:v>
                </c:pt>
                <c:pt idx="12">
                  <c:v>3.1357999999999997E-2</c:v>
                </c:pt>
                <c:pt idx="13">
                  <c:v>3.1127999999999999E-2</c:v>
                </c:pt>
                <c:pt idx="14">
                  <c:v>3.0408999999999999E-2</c:v>
                </c:pt>
                <c:pt idx="15">
                  <c:v>2.9966E-2</c:v>
                </c:pt>
                <c:pt idx="16">
                  <c:v>2.6948E-2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c:f>
              <c:strCache>
                <c:ptCount val="1"/>
                <c:pt idx="0">
                  <c:v>IT - Software</c:v>
                </c:pt>
              </c:strCache>
            </c:strRef>
          </c:cat>
          <c:val>
            <c:numRef>
              <c:f>'BANDHAN NIFTY IT INDEX'!$X$8</c:f>
              <c:numCache>
                <c:formatCode>0.00%</c:formatCode>
                <c:ptCount val="1"/>
                <c:pt idx="0">
                  <c:v>1.001317</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Consumer Durables</c:v>
                </c:pt>
                <c:pt idx="1">
                  <c:v>Capital Markets</c:v>
                </c:pt>
                <c:pt idx="2">
                  <c:v>Industrial Manufacturing</c:v>
                </c:pt>
                <c:pt idx="3">
                  <c:v>Pharmaceuticals &amp; Biotechnology</c:v>
                </c:pt>
                <c:pt idx="4">
                  <c:v>Electrical Equipment</c:v>
                </c:pt>
                <c:pt idx="5">
                  <c:v>Finance</c:v>
                </c:pt>
                <c:pt idx="6">
                  <c:v>Retailing</c:v>
                </c:pt>
                <c:pt idx="7">
                  <c:v>Financial Technology (Fintech)</c:v>
                </c:pt>
                <c:pt idx="8">
                  <c:v>Telecom - Services</c:v>
                </c:pt>
                <c:pt idx="9">
                  <c:v>Gas</c:v>
                </c:pt>
                <c:pt idx="10">
                  <c:v>Commercial Services &amp; Supplies</c:v>
                </c:pt>
                <c:pt idx="11">
                  <c:v>Power</c:v>
                </c:pt>
                <c:pt idx="12">
                  <c:v>Healthcare Services</c:v>
                </c:pt>
                <c:pt idx="13">
                  <c:v>Diversified Metals</c:v>
                </c:pt>
                <c:pt idx="14">
                  <c:v>Transport Services</c:v>
                </c:pt>
                <c:pt idx="15">
                  <c:v>Aerospace &amp; Defense</c:v>
                </c:pt>
                <c:pt idx="16">
                  <c:v>Construction</c:v>
                </c:pt>
                <c:pt idx="17">
                  <c:v>Automobiles</c:v>
                </c:pt>
                <c:pt idx="18">
                  <c:v>Fertilizers &amp; Agrochemicals</c:v>
                </c:pt>
                <c:pt idx="19">
                  <c:v>Leisure Services</c:v>
                </c:pt>
                <c:pt idx="20">
                  <c:v>Non - Ferrous Metals</c:v>
                </c:pt>
                <c:pt idx="21">
                  <c:v>Realty</c:v>
                </c:pt>
                <c:pt idx="22">
                  <c:v>Chemicals &amp; Petrochemicals</c:v>
                </c:pt>
                <c:pt idx="23">
                  <c:v>IT - Software</c:v>
                </c:pt>
              </c:strCache>
            </c:strRef>
          </c:cat>
          <c:val>
            <c:numRef>
              <c:f>'Bandhan Nifty Alpha 50 Index'!$X$8:$X$31</c:f>
              <c:numCache>
                <c:formatCode>0.00%</c:formatCode>
                <c:ptCount val="24"/>
                <c:pt idx="0">
                  <c:v>0.20439399999999999</c:v>
                </c:pt>
                <c:pt idx="1">
                  <c:v>0.11307300000000001</c:v>
                </c:pt>
                <c:pt idx="2">
                  <c:v>8.8078999999999991E-2</c:v>
                </c:pt>
                <c:pt idx="3">
                  <c:v>7.3530000000000012E-2</c:v>
                </c:pt>
                <c:pt idx="4">
                  <c:v>6.7846000000000004E-2</c:v>
                </c:pt>
                <c:pt idx="5">
                  <c:v>4.8339E-2</c:v>
                </c:pt>
                <c:pt idx="6">
                  <c:v>4.7094999999999998E-2</c:v>
                </c:pt>
                <c:pt idx="7">
                  <c:v>4.7078999999999996E-2</c:v>
                </c:pt>
                <c:pt idx="8">
                  <c:v>3.5267E-2</c:v>
                </c:pt>
                <c:pt idx="9">
                  <c:v>3.2400999999999999E-2</c:v>
                </c:pt>
                <c:pt idx="10">
                  <c:v>3.2166E-2</c:v>
                </c:pt>
                <c:pt idx="11">
                  <c:v>3.1047999999999999E-2</c:v>
                </c:pt>
                <c:pt idx="12">
                  <c:v>2.4673E-2</c:v>
                </c:pt>
                <c:pt idx="13">
                  <c:v>2.3821999999999999E-2</c:v>
                </c:pt>
                <c:pt idx="14">
                  <c:v>2.0740000000000001E-2</c:v>
                </c:pt>
                <c:pt idx="15">
                  <c:v>1.9937E-2</c:v>
                </c:pt>
                <c:pt idx="16">
                  <c:v>1.8644999999999998E-2</c:v>
                </c:pt>
                <c:pt idx="17">
                  <c:v>1.7378999999999999E-2</c:v>
                </c:pt>
                <c:pt idx="18">
                  <c:v>1.7144E-2</c:v>
                </c:pt>
                <c:pt idx="19">
                  <c:v>1.6586E-2</c:v>
                </c:pt>
                <c:pt idx="20">
                  <c:v>9.6159999999999995E-3</c:v>
                </c:pt>
                <c:pt idx="21">
                  <c:v>6.3610000000000003E-3</c:v>
                </c:pt>
                <c:pt idx="22">
                  <c:v>5.8520000000000004E-3</c:v>
                </c:pt>
                <c:pt idx="23">
                  <c:v>7.2599999999999997E-4</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Finance</c:v>
                </c:pt>
                <c:pt idx="1">
                  <c:v>Pharmaceuticals &amp; Biotechnology</c:v>
                </c:pt>
                <c:pt idx="2">
                  <c:v>Capital Markets</c:v>
                </c:pt>
                <c:pt idx="3">
                  <c:v>Industrial Products</c:v>
                </c:pt>
                <c:pt idx="4">
                  <c:v>Chemicals &amp; Petrochemicals</c:v>
                </c:pt>
                <c:pt idx="5">
                  <c:v>Consumer Durables</c:v>
                </c:pt>
                <c:pt idx="6">
                  <c:v>Construction</c:v>
                </c:pt>
                <c:pt idx="7">
                  <c:v>Healthcare Services</c:v>
                </c:pt>
                <c:pt idx="8">
                  <c:v>Auto Components</c:v>
                </c:pt>
                <c:pt idx="9">
                  <c:v>Banks</c:v>
                </c:pt>
                <c:pt idx="10">
                  <c:v>IT - Software</c:v>
                </c:pt>
                <c:pt idx="11">
                  <c:v>Leisure Services</c:v>
                </c:pt>
                <c:pt idx="12">
                  <c:v>Industrial Manufacturing</c:v>
                </c:pt>
                <c:pt idx="13">
                  <c:v>Commercial Services &amp; Supplies</c:v>
                </c:pt>
                <c:pt idx="14">
                  <c:v>Power</c:v>
                </c:pt>
                <c:pt idx="15">
                  <c:v>Realty</c:v>
                </c:pt>
                <c:pt idx="16">
                  <c:v>Electrical Equipment</c:v>
                </c:pt>
                <c:pt idx="17">
                  <c:v>Transport Services</c:v>
                </c:pt>
                <c:pt idx="18">
                  <c:v>Fertilizers &amp; Agrochemicals</c:v>
                </c:pt>
                <c:pt idx="19">
                  <c:v>IT - Services</c:v>
                </c:pt>
                <c:pt idx="20">
                  <c:v>Gas</c:v>
                </c:pt>
                <c:pt idx="21">
                  <c:v>Entertainment</c:v>
                </c:pt>
                <c:pt idx="22">
                  <c:v>Agricultural Food &amp; other Products</c:v>
                </c:pt>
                <c:pt idx="23">
                  <c:v>Retailing</c:v>
                </c:pt>
                <c:pt idx="24">
                  <c:v>Beverages</c:v>
                </c:pt>
                <c:pt idx="25">
                  <c:v>Food Products</c:v>
                </c:pt>
                <c:pt idx="26">
                  <c:v>Aerospace &amp; Defense</c:v>
                </c:pt>
                <c:pt idx="27">
                  <c:v>Textiles &amp; Apparels</c:v>
                </c:pt>
                <c:pt idx="28">
                  <c:v>Cement &amp; Cement Products</c:v>
                </c:pt>
                <c:pt idx="29">
                  <c:v>Telecom - Services</c:v>
                </c:pt>
                <c:pt idx="30">
                  <c:v>Petroleum Products</c:v>
                </c:pt>
                <c:pt idx="31">
                  <c:v>Agricultural, Commercial &amp; Construction Vehicles</c:v>
                </c:pt>
                <c:pt idx="32">
                  <c:v>Paper, Forest &amp; Jute Products</c:v>
                </c:pt>
                <c:pt idx="33">
                  <c:v>Personal Products</c:v>
                </c:pt>
                <c:pt idx="34">
                  <c:v>Household Products</c:v>
                </c:pt>
                <c:pt idx="35">
                  <c:v>Cigarettes &amp; Tobacco Products</c:v>
                </c:pt>
                <c:pt idx="36">
                  <c:v>Insurance</c:v>
                </c:pt>
                <c:pt idx="37">
                  <c:v>Ferrous Metals</c:v>
                </c:pt>
                <c:pt idx="38">
                  <c:v>Healthcare Equipment &amp; Supplies</c:v>
                </c:pt>
                <c:pt idx="39">
                  <c:v>Telecom - Equipment &amp; Accessories</c:v>
                </c:pt>
                <c:pt idx="40">
                  <c:v>Minerals &amp; Mining</c:v>
                </c:pt>
                <c:pt idx="41">
                  <c:v>Non - Ferrous Metals</c:v>
                </c:pt>
                <c:pt idx="42">
                  <c:v>Diversified</c:v>
                </c:pt>
                <c:pt idx="43">
                  <c:v>Automobiles</c:v>
                </c:pt>
                <c:pt idx="44">
                  <c:v>Transport Infrastructure</c:v>
                </c:pt>
              </c:strCache>
            </c:strRef>
          </c:cat>
          <c:val>
            <c:numRef>
              <c:f>'Bandhan Nifty Smallcap 250 '!$X$8:$X$52</c:f>
              <c:numCache>
                <c:formatCode>0.00%</c:formatCode>
                <c:ptCount val="45"/>
                <c:pt idx="0">
                  <c:v>9.7148000000000012E-2</c:v>
                </c:pt>
                <c:pt idx="1">
                  <c:v>8.9021000000000003E-2</c:v>
                </c:pt>
                <c:pt idx="2">
                  <c:v>7.6752000000000001E-2</c:v>
                </c:pt>
                <c:pt idx="3">
                  <c:v>7.6390999999999987E-2</c:v>
                </c:pt>
                <c:pt idx="4">
                  <c:v>5.631499999999999E-2</c:v>
                </c:pt>
                <c:pt idx="5">
                  <c:v>5.4278999999999994E-2</c:v>
                </c:pt>
                <c:pt idx="6">
                  <c:v>4.1173999999999988E-2</c:v>
                </c:pt>
                <c:pt idx="7">
                  <c:v>4.0334000000000002E-2</c:v>
                </c:pt>
                <c:pt idx="8">
                  <c:v>3.4356999999999999E-2</c:v>
                </c:pt>
                <c:pt idx="9">
                  <c:v>3.1616999999999999E-2</c:v>
                </c:pt>
                <c:pt idx="10">
                  <c:v>2.9786999999999998E-2</c:v>
                </c:pt>
                <c:pt idx="11">
                  <c:v>2.8524000000000001E-2</c:v>
                </c:pt>
                <c:pt idx="12">
                  <c:v>2.5245E-2</c:v>
                </c:pt>
                <c:pt idx="13">
                  <c:v>2.2510000000000002E-2</c:v>
                </c:pt>
                <c:pt idx="14">
                  <c:v>2.2113999999999998E-2</c:v>
                </c:pt>
                <c:pt idx="15">
                  <c:v>2.0355000000000002E-2</c:v>
                </c:pt>
                <c:pt idx="16">
                  <c:v>1.7030999999999998E-2</c:v>
                </c:pt>
                <c:pt idx="17">
                  <c:v>1.6912E-2</c:v>
                </c:pt>
                <c:pt idx="18">
                  <c:v>1.6694999999999998E-2</c:v>
                </c:pt>
                <c:pt idx="19">
                  <c:v>1.6616999999999996E-2</c:v>
                </c:pt>
                <c:pt idx="20">
                  <c:v>1.6305E-2</c:v>
                </c:pt>
                <c:pt idx="21">
                  <c:v>1.3111999999999999E-2</c:v>
                </c:pt>
                <c:pt idx="22">
                  <c:v>1.2318000000000001E-2</c:v>
                </c:pt>
                <c:pt idx="23">
                  <c:v>1.1505000000000001E-2</c:v>
                </c:pt>
                <c:pt idx="24">
                  <c:v>1.1168000000000001E-2</c:v>
                </c:pt>
                <c:pt idx="25">
                  <c:v>1.0872000000000001E-2</c:v>
                </c:pt>
                <c:pt idx="26">
                  <c:v>9.8090000000000017E-3</c:v>
                </c:pt>
                <c:pt idx="27">
                  <c:v>9.3629999999999998E-3</c:v>
                </c:pt>
                <c:pt idx="28">
                  <c:v>8.7410000000000005E-3</c:v>
                </c:pt>
                <c:pt idx="29">
                  <c:v>8.3899999999999999E-3</c:v>
                </c:pt>
                <c:pt idx="30">
                  <c:v>7.5169999999999994E-3</c:v>
                </c:pt>
                <c:pt idx="31">
                  <c:v>6.6600000000000001E-3</c:v>
                </c:pt>
                <c:pt idx="32">
                  <c:v>6.0270000000000002E-3</c:v>
                </c:pt>
                <c:pt idx="33">
                  <c:v>5.7149999999999996E-3</c:v>
                </c:pt>
                <c:pt idx="34">
                  <c:v>5.6779999999999999E-3</c:v>
                </c:pt>
                <c:pt idx="35">
                  <c:v>5.4029999999999998E-3</c:v>
                </c:pt>
                <c:pt idx="36">
                  <c:v>5.2700000000000004E-3</c:v>
                </c:pt>
                <c:pt idx="37">
                  <c:v>5.0379999999999999E-3</c:v>
                </c:pt>
                <c:pt idx="38">
                  <c:v>5.0369999999999998E-3</c:v>
                </c:pt>
                <c:pt idx="39">
                  <c:v>4.9800000000000001E-3</c:v>
                </c:pt>
                <c:pt idx="40">
                  <c:v>4.4270000000000004E-3</c:v>
                </c:pt>
                <c:pt idx="41">
                  <c:v>4.261E-3</c:v>
                </c:pt>
                <c:pt idx="42">
                  <c:v>3.1329999999999999E-3</c:v>
                </c:pt>
                <c:pt idx="43">
                  <c:v>2.8080000000000002E-3</c:v>
                </c:pt>
                <c:pt idx="44">
                  <c:v>2.2030000000000001E-3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'!$W$8:$W$59</c:f>
              <c:strCache>
                <c:ptCount val="52"/>
                <c:pt idx="0">
                  <c:v>Banks</c:v>
                </c:pt>
                <c:pt idx="1">
                  <c:v>IT - Software</c:v>
                </c:pt>
                <c:pt idx="2">
                  <c:v>Finance</c:v>
                </c:pt>
                <c:pt idx="3">
                  <c:v>Petroleum Products</c:v>
                </c:pt>
                <c:pt idx="4">
                  <c:v>Pharmaceuticals &amp; Biotechnology</c:v>
                </c:pt>
                <c:pt idx="5">
                  <c:v>Automobiles</c:v>
                </c:pt>
                <c:pt idx="6">
                  <c:v>Power</c:v>
                </c:pt>
                <c:pt idx="7">
                  <c:v>Diversified FMCG</c:v>
                </c:pt>
                <c:pt idx="8">
                  <c:v>Telecom - Services</c:v>
                </c:pt>
                <c:pt idx="9">
                  <c:v>Consumer Durables</c:v>
                </c:pt>
                <c:pt idx="10">
                  <c:v>Construction</c:v>
                </c:pt>
                <c:pt idx="11">
                  <c:v>Retailing</c:v>
                </c:pt>
                <c:pt idx="12">
                  <c:v>Cement &amp; Cement Products</c:v>
                </c:pt>
                <c:pt idx="13">
                  <c:v>Industrial Products</c:v>
                </c:pt>
                <c:pt idx="14">
                  <c:v>Auto Components</c:v>
                </c:pt>
                <c:pt idx="15">
                  <c:v>Electrical Equipment</c:v>
                </c:pt>
                <c:pt idx="16">
                  <c:v>Ferrous Metals</c:v>
                </c:pt>
                <c:pt idx="17">
                  <c:v>Chemicals &amp; Petrochemicals</c:v>
                </c:pt>
                <c:pt idx="18">
                  <c:v>Insurance</c:v>
                </c:pt>
                <c:pt idx="19">
                  <c:v>Capital Markets</c:v>
                </c:pt>
                <c:pt idx="20">
                  <c:v>Healthcare Services</c:v>
                </c:pt>
                <c:pt idx="21">
                  <c:v>Realty</c:v>
                </c:pt>
                <c:pt idx="22">
                  <c:v>Aerospace &amp; Defense</c:v>
                </c:pt>
                <c:pt idx="23">
                  <c:v>Leisure Services</c:v>
                </c:pt>
                <c:pt idx="24">
                  <c:v>Food Products</c:v>
                </c:pt>
                <c:pt idx="25">
                  <c:v>Agricultural Food &amp; other Products</c:v>
                </c:pt>
                <c:pt idx="26">
                  <c:v>Transport Services</c:v>
                </c:pt>
                <c:pt idx="27">
                  <c:v>Beverages</c:v>
                </c:pt>
                <c:pt idx="28">
                  <c:v>Non - Ferrous Metals</c:v>
                </c:pt>
                <c:pt idx="29">
                  <c:v>Personal Products</c:v>
                </c:pt>
                <c:pt idx="30">
                  <c:v>Gas</c:v>
                </c:pt>
                <c:pt idx="31">
                  <c:v>Transport Infrastructure</c:v>
                </c:pt>
                <c:pt idx="32">
                  <c:v>Fertilizers &amp; Agrochemicals</c:v>
                </c:pt>
                <c:pt idx="33">
                  <c:v>Oil</c:v>
                </c:pt>
                <c:pt idx="34">
                  <c:v>Industrial Manufacturing</c:v>
                </c:pt>
                <c:pt idx="35">
                  <c:v>Consumable Fuels</c:v>
                </c:pt>
                <c:pt idx="36">
                  <c:v>Financial Technology (Fintech)</c:v>
                </c:pt>
                <c:pt idx="37">
                  <c:v>Diversified Metals</c:v>
                </c:pt>
                <c:pt idx="38">
                  <c:v>Textiles &amp; Apparels</c:v>
                </c:pt>
                <c:pt idx="39">
                  <c:v>Metals &amp; Minerals Trading</c:v>
                </c:pt>
                <c:pt idx="40">
                  <c:v>IT - Services</c:v>
                </c:pt>
                <c:pt idx="41">
                  <c:v>Commercial Services &amp; Supplies</c:v>
                </c:pt>
                <c:pt idx="42">
                  <c:v>Agricultural, Commercial &amp; Construction Vehicles</c:v>
                </c:pt>
                <c:pt idx="43">
                  <c:v>Minerals &amp; Mining</c:v>
                </c:pt>
                <c:pt idx="44">
                  <c:v>Entertainment</c:v>
                </c:pt>
                <c:pt idx="45">
                  <c:v>Diversified</c:v>
                </c:pt>
                <c:pt idx="46">
                  <c:v>Paper, Forest &amp; Jute Products</c:v>
                </c:pt>
                <c:pt idx="47">
                  <c:v>Telecom - Equipment &amp; Accessories</c:v>
                </c:pt>
                <c:pt idx="48">
                  <c:v>Other Utilities</c:v>
                </c:pt>
                <c:pt idx="49">
                  <c:v>Cigarettes &amp; Tobacco Products</c:v>
                </c:pt>
                <c:pt idx="50">
                  <c:v>Household Products</c:v>
                </c:pt>
                <c:pt idx="51">
                  <c:v>Healthcare Equipment &amp; Supplies</c:v>
                </c:pt>
              </c:strCache>
            </c:strRef>
          </c:cat>
          <c:val>
            <c:numRef>
              <c:f>'Bandhan Nifty Total Market '!$X$8:$X$59</c:f>
              <c:numCache>
                <c:formatCode>0.00%</c:formatCode>
                <c:ptCount val="52"/>
                <c:pt idx="0">
                  <c:v>0.20288699999999998</c:v>
                </c:pt>
                <c:pt idx="1">
                  <c:v>8.5255000000000011E-2</c:v>
                </c:pt>
                <c:pt idx="2">
                  <c:v>6.2753000000000017E-2</c:v>
                </c:pt>
                <c:pt idx="3">
                  <c:v>5.5367E-2</c:v>
                </c:pt>
                <c:pt idx="4">
                  <c:v>4.9715000000000016E-2</c:v>
                </c:pt>
                <c:pt idx="5">
                  <c:v>4.5063000000000006E-2</c:v>
                </c:pt>
                <c:pt idx="6">
                  <c:v>3.4315999999999999E-2</c:v>
                </c:pt>
                <c:pt idx="7">
                  <c:v>3.1673E-2</c:v>
                </c:pt>
                <c:pt idx="8">
                  <c:v>3.1058999999999996E-2</c:v>
                </c:pt>
                <c:pt idx="9">
                  <c:v>3.0190999999999999E-2</c:v>
                </c:pt>
                <c:pt idx="10">
                  <c:v>2.9700000000000001E-2</c:v>
                </c:pt>
                <c:pt idx="11">
                  <c:v>2.5779000000000003E-2</c:v>
                </c:pt>
                <c:pt idx="12">
                  <c:v>2.1385000000000001E-2</c:v>
                </c:pt>
                <c:pt idx="13">
                  <c:v>1.9599999999999999E-2</c:v>
                </c:pt>
                <c:pt idx="14">
                  <c:v>1.9221999999999996E-2</c:v>
                </c:pt>
                <c:pt idx="15">
                  <c:v>1.8128999999999996E-2</c:v>
                </c:pt>
                <c:pt idx="16">
                  <c:v>1.6982000000000004E-2</c:v>
                </c:pt>
                <c:pt idx="17">
                  <c:v>1.5907000000000001E-2</c:v>
                </c:pt>
                <c:pt idx="18">
                  <c:v>1.5722000000000003E-2</c:v>
                </c:pt>
                <c:pt idx="19">
                  <c:v>1.5660000000000004E-2</c:v>
                </c:pt>
                <c:pt idx="20">
                  <c:v>1.5283E-2</c:v>
                </c:pt>
                <c:pt idx="21">
                  <c:v>1.2597000000000001E-2</c:v>
                </c:pt>
                <c:pt idx="22">
                  <c:v>1.2536E-2</c:v>
                </c:pt>
                <c:pt idx="23">
                  <c:v>9.8049999999999977E-3</c:v>
                </c:pt>
                <c:pt idx="24">
                  <c:v>9.4239999999999984E-3</c:v>
                </c:pt>
                <c:pt idx="25">
                  <c:v>8.541E-3</c:v>
                </c:pt>
                <c:pt idx="26">
                  <c:v>8.4069999999999995E-3</c:v>
                </c:pt>
                <c:pt idx="27">
                  <c:v>8.4030000000000007E-3</c:v>
                </c:pt>
                <c:pt idx="28">
                  <c:v>7.5500000000000003E-3</c:v>
                </c:pt>
                <c:pt idx="29">
                  <c:v>7.5119999999999996E-3</c:v>
                </c:pt>
                <c:pt idx="30">
                  <c:v>7.4649999999999994E-3</c:v>
                </c:pt>
                <c:pt idx="31">
                  <c:v>6.9059999999999998E-3</c:v>
                </c:pt>
                <c:pt idx="32">
                  <c:v>6.7230000000000007E-3</c:v>
                </c:pt>
                <c:pt idx="33">
                  <c:v>6.3569999999999998E-3</c:v>
                </c:pt>
                <c:pt idx="34">
                  <c:v>5.8070000000000005E-3</c:v>
                </c:pt>
                <c:pt idx="35">
                  <c:v>4.9230000000000003E-3</c:v>
                </c:pt>
                <c:pt idx="36">
                  <c:v>4.4559999999999999E-3</c:v>
                </c:pt>
                <c:pt idx="37">
                  <c:v>4.28E-3</c:v>
                </c:pt>
                <c:pt idx="38">
                  <c:v>4.0769999999999999E-3</c:v>
                </c:pt>
                <c:pt idx="39">
                  <c:v>3.3660000000000001E-3</c:v>
                </c:pt>
                <c:pt idx="40">
                  <c:v>3.2030000000000006E-3</c:v>
                </c:pt>
                <c:pt idx="41">
                  <c:v>2.9630000000000004E-3</c:v>
                </c:pt>
                <c:pt idx="42">
                  <c:v>2.7900000000000004E-3</c:v>
                </c:pt>
                <c:pt idx="43">
                  <c:v>2.7650000000000005E-3</c:v>
                </c:pt>
                <c:pt idx="44">
                  <c:v>1.9680000000000001E-3</c:v>
                </c:pt>
                <c:pt idx="45">
                  <c:v>1.1559999999999999E-3</c:v>
                </c:pt>
                <c:pt idx="46">
                  <c:v>6.9099999999999999E-4</c:v>
                </c:pt>
                <c:pt idx="47">
                  <c:v>6.2799999999999998E-4</c:v>
                </c:pt>
                <c:pt idx="48">
                  <c:v>6.2199999999999994E-4</c:v>
                </c:pt>
                <c:pt idx="49">
                  <c:v>5.9499999999999993E-4</c:v>
                </c:pt>
                <c:pt idx="50">
                  <c:v>5.2399999999999994E-4</c:v>
                </c:pt>
                <c:pt idx="51">
                  <c:v>4.6799999999999999E-4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1.000564</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0.75346000000000024</c:v>
                </c:pt>
                <c:pt idx="1">
                  <c:v>0.23810800000000004</c:v>
                </c:pt>
                <c:pt idx="2">
                  <c:v>7.3309999999999998E-3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Pharmaceuticals &amp; Biotechnology</c:v>
                </c:pt>
                <c:pt idx="1">
                  <c:v>Banks</c:v>
                </c:pt>
                <c:pt idx="2">
                  <c:v>Auto Components</c:v>
                </c:pt>
                <c:pt idx="3">
                  <c:v>IT - Software</c:v>
                </c:pt>
                <c:pt idx="4">
                  <c:v>Finance</c:v>
                </c:pt>
                <c:pt idx="5">
                  <c:v>Electrical Equipment</c:v>
                </c:pt>
                <c:pt idx="6">
                  <c:v>Industrial Products</c:v>
                </c:pt>
                <c:pt idx="7">
                  <c:v>Capital Markets</c:v>
                </c:pt>
                <c:pt idx="8">
                  <c:v>Consumer Durables</c:v>
                </c:pt>
                <c:pt idx="9">
                  <c:v>Healthcare Services</c:v>
                </c:pt>
                <c:pt idx="10">
                  <c:v>Chemicals &amp; Petrochemicals</c:v>
                </c:pt>
                <c:pt idx="11">
                  <c:v>Realty</c:v>
                </c:pt>
                <c:pt idx="12">
                  <c:v>Telecom - Services</c:v>
                </c:pt>
                <c:pt idx="13">
                  <c:v>Fertilizers &amp; Agrochemicals</c:v>
                </c:pt>
                <c:pt idx="14">
                  <c:v>Financial Technology (Fintech)</c:v>
                </c:pt>
                <c:pt idx="15">
                  <c:v>Power</c:v>
                </c:pt>
                <c:pt idx="16">
                  <c:v>Agricultural Food &amp; other Products</c:v>
                </c:pt>
                <c:pt idx="17">
                  <c:v>Gas</c:v>
                </c:pt>
                <c:pt idx="18">
                  <c:v>Insurance</c:v>
                </c:pt>
                <c:pt idx="19">
                  <c:v>Cement &amp; Cement Products</c:v>
                </c:pt>
                <c:pt idx="20">
                  <c:v>Leisure Services</c:v>
                </c:pt>
                <c:pt idx="21">
                  <c:v>Retailing</c:v>
                </c:pt>
                <c:pt idx="22">
                  <c:v>Personal Products</c:v>
                </c:pt>
                <c:pt idx="23">
                  <c:v>Agricultural, Commercial &amp; Construction Vehicles</c:v>
                </c:pt>
                <c:pt idx="24">
                  <c:v>Minerals &amp; Mining</c:v>
                </c:pt>
                <c:pt idx="25">
                  <c:v>Petroleum Products</c:v>
                </c:pt>
                <c:pt idx="26">
                  <c:v>Transport Infrastructure</c:v>
                </c:pt>
                <c:pt idx="27">
                  <c:v>Textiles &amp; Apparels</c:v>
                </c:pt>
                <c:pt idx="28">
                  <c:v>Ferrous Metals</c:v>
                </c:pt>
                <c:pt idx="29">
                  <c:v>Industrial Manufacturing</c:v>
                </c:pt>
                <c:pt idx="30">
                  <c:v>Non - Ferrous Metals</c:v>
                </c:pt>
                <c:pt idx="31">
                  <c:v>Construction</c:v>
                </c:pt>
                <c:pt idx="32">
                  <c:v>IT - Services</c:v>
                </c:pt>
                <c:pt idx="33">
                  <c:v>Oil</c:v>
                </c:pt>
                <c:pt idx="34">
                  <c:v>Transport Services</c:v>
                </c:pt>
                <c:pt idx="35">
                  <c:v>Diversified</c:v>
                </c:pt>
                <c:pt idx="36">
                  <c:v>Beverages</c:v>
                </c:pt>
                <c:pt idx="37">
                  <c:v>Aerospace &amp; Defense</c:v>
                </c:pt>
                <c:pt idx="38">
                  <c:v>Entertainment</c:v>
                </c:pt>
              </c:strCache>
            </c:strRef>
          </c:cat>
          <c:val>
            <c:numRef>
              <c:f>'Bandhan Nifty Midcap 150 Index '!$X$8:$X$46</c:f>
              <c:numCache>
                <c:formatCode>0.00%</c:formatCode>
                <c:ptCount val="39"/>
                <c:pt idx="0">
                  <c:v>7.8056999999999988E-2</c:v>
                </c:pt>
                <c:pt idx="1">
                  <c:v>6.9528999999999994E-2</c:v>
                </c:pt>
                <c:pt idx="2">
                  <c:v>6.3365000000000005E-2</c:v>
                </c:pt>
                <c:pt idx="3">
                  <c:v>6.3189999999999996E-2</c:v>
                </c:pt>
                <c:pt idx="4">
                  <c:v>5.7671E-2</c:v>
                </c:pt>
                <c:pt idx="5">
                  <c:v>5.2828E-2</c:v>
                </c:pt>
                <c:pt idx="6">
                  <c:v>5.1995E-2</c:v>
                </c:pt>
                <c:pt idx="7">
                  <c:v>4.7437E-2</c:v>
                </c:pt>
                <c:pt idx="8">
                  <c:v>4.5655000000000001E-2</c:v>
                </c:pt>
                <c:pt idx="9">
                  <c:v>4.4936999999999998E-2</c:v>
                </c:pt>
                <c:pt idx="10">
                  <c:v>3.5922000000000003E-2</c:v>
                </c:pt>
                <c:pt idx="11">
                  <c:v>3.2371999999999998E-2</c:v>
                </c:pt>
                <c:pt idx="12">
                  <c:v>2.8988E-2</c:v>
                </c:pt>
                <c:pt idx="13">
                  <c:v>2.6459E-2</c:v>
                </c:pt>
                <c:pt idx="14">
                  <c:v>2.5155999999999998E-2</c:v>
                </c:pt>
                <c:pt idx="15">
                  <c:v>2.4213999999999999E-2</c:v>
                </c:pt>
                <c:pt idx="16">
                  <c:v>1.9978000000000003E-2</c:v>
                </c:pt>
                <c:pt idx="17">
                  <c:v>1.9061000000000002E-2</c:v>
                </c:pt>
                <c:pt idx="18">
                  <c:v>1.7260000000000001E-2</c:v>
                </c:pt>
                <c:pt idx="19">
                  <c:v>1.5295E-2</c:v>
                </c:pt>
                <c:pt idx="20">
                  <c:v>1.4984999999999998E-2</c:v>
                </c:pt>
                <c:pt idx="21">
                  <c:v>1.4031E-2</c:v>
                </c:pt>
                <c:pt idx="22">
                  <c:v>1.362E-2</c:v>
                </c:pt>
                <c:pt idx="23">
                  <c:v>1.2684000000000001E-2</c:v>
                </c:pt>
                <c:pt idx="24">
                  <c:v>1.2518E-2</c:v>
                </c:pt>
                <c:pt idx="25">
                  <c:v>1.1744000000000001E-2</c:v>
                </c:pt>
                <c:pt idx="26">
                  <c:v>1.1373999999999999E-2</c:v>
                </c:pt>
                <c:pt idx="27">
                  <c:v>1.1359999999999999E-2</c:v>
                </c:pt>
                <c:pt idx="28">
                  <c:v>1.1264E-2</c:v>
                </c:pt>
                <c:pt idx="29">
                  <c:v>1.1207999999999999E-2</c:v>
                </c:pt>
                <c:pt idx="30">
                  <c:v>1.0367000000000001E-2</c:v>
                </c:pt>
                <c:pt idx="31">
                  <c:v>9.1800000000000007E-3</c:v>
                </c:pt>
                <c:pt idx="32">
                  <c:v>7.2459999999999998E-3</c:v>
                </c:pt>
                <c:pt idx="33">
                  <c:v>6.6930000000000002E-3</c:v>
                </c:pt>
                <c:pt idx="34">
                  <c:v>6.0489999999999997E-3</c:v>
                </c:pt>
                <c:pt idx="35">
                  <c:v>4.836E-3</c:v>
                </c:pt>
                <c:pt idx="36">
                  <c:v>4.581E-3</c:v>
                </c:pt>
                <c:pt idx="37">
                  <c:v>3.7450000000000001E-3</c:v>
                </c:pt>
                <c:pt idx="38">
                  <c:v>2.0370000000000002E-3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'!$W$8:$W$26</c:f>
              <c:strCache>
                <c:ptCount val="19"/>
                <c:pt idx="0">
                  <c:v>Banks</c:v>
                </c:pt>
                <c:pt idx="1">
                  <c:v>Petroleum Products</c:v>
                </c:pt>
                <c:pt idx="2">
                  <c:v>Power</c:v>
                </c:pt>
                <c:pt idx="3">
                  <c:v>Ferrous Metals</c:v>
                </c:pt>
                <c:pt idx="4">
                  <c:v>Non - Ferrous Metals</c:v>
                </c:pt>
                <c:pt idx="5">
                  <c:v>Finance</c:v>
                </c:pt>
                <c:pt idx="6">
                  <c:v>Oil</c:v>
                </c:pt>
                <c:pt idx="7">
                  <c:v>Cement &amp; Cement Products</c:v>
                </c:pt>
                <c:pt idx="8">
                  <c:v>Consumable Fuels</c:v>
                </c:pt>
                <c:pt idx="9">
                  <c:v>Diversified Metals</c:v>
                </c:pt>
                <c:pt idx="10">
                  <c:v>Automobiles</c:v>
                </c:pt>
                <c:pt idx="11">
                  <c:v>Fertilizers &amp; Agrochemicals</c:v>
                </c:pt>
                <c:pt idx="12">
                  <c:v>Minerals &amp; Mining</c:v>
                </c:pt>
                <c:pt idx="13">
                  <c:v>Gas</c:v>
                </c:pt>
                <c:pt idx="14">
                  <c:v>Chemicals &amp; Petrochemicals</c:v>
                </c:pt>
                <c:pt idx="15">
                  <c:v>Transport Services</c:v>
                </c:pt>
                <c:pt idx="16">
                  <c:v>Food Products</c:v>
                </c:pt>
                <c:pt idx="17">
                  <c:v>Entertainment</c:v>
                </c:pt>
                <c:pt idx="18">
                  <c:v>Construction</c:v>
                </c:pt>
              </c:strCache>
            </c:strRef>
          </c:cat>
          <c:val>
            <c:numRef>
              <c:f>'Bandhan Nifty 500 Value 50 '!$X$8:$X$26</c:f>
              <c:numCache>
                <c:formatCode>0.00%</c:formatCode>
                <c:ptCount val="19"/>
                <c:pt idx="0">
                  <c:v>0.16996</c:v>
                </c:pt>
                <c:pt idx="1">
                  <c:v>0.115463</c:v>
                </c:pt>
                <c:pt idx="2">
                  <c:v>0.11247099999999999</c:v>
                </c:pt>
                <c:pt idx="3">
                  <c:v>7.8977999999999993E-2</c:v>
                </c:pt>
                <c:pt idx="4">
                  <c:v>6.5728999999999996E-2</c:v>
                </c:pt>
                <c:pt idx="5">
                  <c:v>6.5479000000000009E-2</c:v>
                </c:pt>
                <c:pt idx="6">
                  <c:v>5.7702999999999997E-2</c:v>
                </c:pt>
                <c:pt idx="7">
                  <c:v>5.4170999999999997E-2</c:v>
                </c:pt>
                <c:pt idx="8">
                  <c:v>5.3046999999999997E-2</c:v>
                </c:pt>
                <c:pt idx="9">
                  <c:v>5.1832000000000003E-2</c:v>
                </c:pt>
                <c:pt idx="10">
                  <c:v>4.6885999999999997E-2</c:v>
                </c:pt>
                <c:pt idx="11">
                  <c:v>3.4352999999999995E-2</c:v>
                </c:pt>
                <c:pt idx="12">
                  <c:v>2.3488999999999999E-2</c:v>
                </c:pt>
                <c:pt idx="13">
                  <c:v>2.1478000000000001E-2</c:v>
                </c:pt>
                <c:pt idx="14">
                  <c:v>1.4968E-2</c:v>
                </c:pt>
                <c:pt idx="15">
                  <c:v>1.2008E-2</c:v>
                </c:pt>
                <c:pt idx="16">
                  <c:v>9.7099999999999999E-3</c:v>
                </c:pt>
                <c:pt idx="17">
                  <c:v>6.0569999999999999E-3</c:v>
                </c:pt>
                <c:pt idx="18">
                  <c:v>5.7530000000000003E-3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Pharmaceuticals &amp; Biotechnology</c:v>
                </c:pt>
                <c:pt idx="2">
                  <c:v>Retailing</c:v>
                </c:pt>
                <c:pt idx="3">
                  <c:v>Capital Markets</c:v>
                </c:pt>
                <c:pt idx="4">
                  <c:v>Consumer Durables</c:v>
                </c:pt>
                <c:pt idx="5">
                  <c:v>Automobiles</c:v>
                </c:pt>
                <c:pt idx="6">
                  <c:v>Leisure Services</c:v>
                </c:pt>
                <c:pt idx="7">
                  <c:v>Beverages</c:v>
                </c:pt>
                <c:pt idx="8">
                  <c:v>Financial Technology (Fintech)</c:v>
                </c:pt>
                <c:pt idx="9">
                  <c:v>Electrical Equipment</c:v>
                </c:pt>
                <c:pt idx="10">
                  <c:v>Healthcare Services</c:v>
                </c:pt>
                <c:pt idx="11">
                  <c:v>Chemicals &amp; Petrochemicals</c:v>
                </c:pt>
                <c:pt idx="12">
                  <c:v>Industrial Manufacturing</c:v>
                </c:pt>
                <c:pt idx="13">
                  <c:v>Fertilizers &amp; Agrochemicals</c:v>
                </c:pt>
                <c:pt idx="14">
                  <c:v>Oil</c:v>
                </c:pt>
                <c:pt idx="15">
                  <c:v>Minerals &amp; Mining</c:v>
                </c:pt>
                <c:pt idx="16">
                  <c:v>Finance</c:v>
                </c:pt>
                <c:pt idx="17">
                  <c:v>Non - Ferrous Metals</c:v>
                </c:pt>
                <c:pt idx="18">
                  <c:v>Commercial Services &amp; Supplies</c:v>
                </c:pt>
                <c:pt idx="19">
                  <c:v>Construction</c:v>
                </c:pt>
                <c:pt idx="20">
                  <c:v>Cigarettes &amp; Tobacco Products</c:v>
                </c:pt>
                <c:pt idx="21">
                  <c:v>Realty</c:v>
                </c:pt>
                <c:pt idx="22">
                  <c:v>Healthcare Equipment &amp; Supplies</c:v>
                </c:pt>
                <c:pt idx="23">
                  <c:v>Cement &amp; Cement Products</c:v>
                </c:pt>
                <c:pt idx="24">
                  <c:v>IT - Services</c:v>
                </c:pt>
              </c:strCache>
            </c:strRef>
          </c:cat>
          <c:val>
            <c:numRef>
              <c:f>'Bandhan Nifty 500 Momentum 50 '!$X$8:$X$32</c:f>
              <c:numCache>
                <c:formatCode>0.00%</c:formatCode>
                <c:ptCount val="25"/>
                <c:pt idx="0">
                  <c:v>0.158364</c:v>
                </c:pt>
                <c:pt idx="1">
                  <c:v>0.147897</c:v>
                </c:pt>
                <c:pt idx="2">
                  <c:v>0.12912400000000002</c:v>
                </c:pt>
                <c:pt idx="3">
                  <c:v>9.5821999999999991E-2</c:v>
                </c:pt>
                <c:pt idx="4">
                  <c:v>9.1827000000000006E-2</c:v>
                </c:pt>
                <c:pt idx="5">
                  <c:v>5.2683000000000001E-2</c:v>
                </c:pt>
                <c:pt idx="6">
                  <c:v>5.1475E-2</c:v>
                </c:pt>
                <c:pt idx="7">
                  <c:v>3.9396E-2</c:v>
                </c:pt>
                <c:pt idx="8">
                  <c:v>3.7900999999999997E-2</c:v>
                </c:pt>
                <c:pt idx="9">
                  <c:v>3.3953999999999998E-2</c:v>
                </c:pt>
                <c:pt idx="10">
                  <c:v>2.4733000000000002E-2</c:v>
                </c:pt>
                <c:pt idx="11">
                  <c:v>1.9313999999999998E-2</c:v>
                </c:pt>
                <c:pt idx="12">
                  <c:v>1.8605E-2</c:v>
                </c:pt>
                <c:pt idx="13">
                  <c:v>1.4446000000000001E-2</c:v>
                </c:pt>
                <c:pt idx="14">
                  <c:v>1.1521999999999999E-2</c:v>
                </c:pt>
                <c:pt idx="15">
                  <c:v>1.1202E-2</c:v>
                </c:pt>
                <c:pt idx="16">
                  <c:v>1.0995E-2</c:v>
                </c:pt>
                <c:pt idx="17">
                  <c:v>9.8930000000000008E-3</c:v>
                </c:pt>
                <c:pt idx="18">
                  <c:v>9.3500000000000007E-3</c:v>
                </c:pt>
                <c:pt idx="19">
                  <c:v>6.2960000000000004E-3</c:v>
                </c:pt>
                <c:pt idx="20">
                  <c:v>6.254E-3</c:v>
                </c:pt>
                <c:pt idx="21">
                  <c:v>5.8009999999999997E-3</c:v>
                </c:pt>
                <c:pt idx="22">
                  <c:v>5.5459999999999997E-3</c:v>
                </c:pt>
                <c:pt idx="23">
                  <c:v>2.245E-3</c:v>
                </c:pt>
                <c:pt idx="24">
                  <c:v>1.848E-3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Food Products</c:v>
                </c:pt>
                <c:pt idx="2">
                  <c:v>Diversified FMCG</c:v>
                </c:pt>
                <c:pt idx="3">
                  <c:v>Aerospace &amp; Defense</c:v>
                </c:pt>
                <c:pt idx="4">
                  <c:v>Consumer Durables</c:v>
                </c:pt>
                <c:pt idx="5">
                  <c:v>Automobiles</c:v>
                </c:pt>
                <c:pt idx="6">
                  <c:v>Personal Products</c:v>
                </c:pt>
                <c:pt idx="7">
                  <c:v>Consumable Fuels</c:v>
                </c:pt>
                <c:pt idx="8">
                  <c:v>Industrial Products</c:v>
                </c:pt>
                <c:pt idx="9">
                  <c:v>Petroleum Products</c:v>
                </c:pt>
                <c:pt idx="10">
                  <c:v>Agricultural Food &amp; other Products</c:v>
                </c:pt>
                <c:pt idx="11">
                  <c:v>Capital Markets</c:v>
                </c:pt>
                <c:pt idx="12">
                  <c:v>Chemicals &amp; Petrochemicals</c:v>
                </c:pt>
                <c:pt idx="13">
                  <c:v>Textiles &amp; Apparels</c:v>
                </c:pt>
                <c:pt idx="14">
                  <c:v>Leisure Services</c:v>
                </c:pt>
                <c:pt idx="15">
                  <c:v>Gas</c:v>
                </c:pt>
              </c:strCache>
            </c:strRef>
          </c:cat>
          <c:val>
            <c:numRef>
              <c:f>'Bandhan Nifty 200 Quality 30 '!$X$8:$X$23</c:f>
              <c:numCache>
                <c:formatCode>0.00%</c:formatCode>
                <c:ptCount val="16"/>
                <c:pt idx="0">
                  <c:v>0.21639800000000001</c:v>
                </c:pt>
                <c:pt idx="1">
                  <c:v>9.2608999999999997E-2</c:v>
                </c:pt>
                <c:pt idx="2">
                  <c:v>8.8678000000000007E-2</c:v>
                </c:pt>
                <c:pt idx="3">
                  <c:v>7.2058000000000011E-2</c:v>
                </c:pt>
                <c:pt idx="4">
                  <c:v>6.1526999999999998E-2</c:v>
                </c:pt>
                <c:pt idx="5">
                  <c:v>5.7457999999999995E-2</c:v>
                </c:pt>
                <c:pt idx="6">
                  <c:v>5.5412999999999997E-2</c:v>
                </c:pt>
                <c:pt idx="7">
                  <c:v>4.8832E-2</c:v>
                </c:pt>
                <c:pt idx="8">
                  <c:v>3.8847000000000007E-2</c:v>
                </c:pt>
                <c:pt idx="9">
                  <c:v>2.7140000000000001E-2</c:v>
                </c:pt>
                <c:pt idx="10">
                  <c:v>2.6598E-2</c:v>
                </c:pt>
                <c:pt idx="11">
                  <c:v>2.4691999999999999E-2</c:v>
                </c:pt>
                <c:pt idx="12">
                  <c:v>2.3723999999999999E-2</c:v>
                </c:pt>
                <c:pt idx="13">
                  <c:v>2.2352E-2</c:v>
                </c:pt>
                <c:pt idx="14">
                  <c:v>2.171E-2</c:v>
                </c:pt>
                <c:pt idx="15">
                  <c:v>1.3027E-2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Low Vol 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7-4278-8837-43FF5128439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7-4278-8837-43FF5128439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7-4278-8837-43FF5128439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7-4278-8837-43FF5128439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77-4278-8837-43FF5128439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77-4278-8837-43FF5128439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77-4278-8837-43FF5128439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7-4278-8837-43FF5128439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77-4278-8837-43FF5128439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77-4278-8837-43FF5128439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77-4278-8837-43FF5128439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77-4278-8837-43FF5128439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77-4278-8837-43FF5128439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77-4278-8837-43FF5128439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77-4278-8837-43FF5128439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77-4278-8837-43FF5128439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77-4278-8837-43FF5128439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77-4278-8837-43FF5128439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Low Vol 30'!$W$8:$W$25</c:f>
              <c:strCache>
                <c:ptCount val="18"/>
                <c:pt idx="0">
                  <c:v>Pharmaceuticals &amp; Biotechnology</c:v>
                </c:pt>
                <c:pt idx="1">
                  <c:v>IT - Software</c:v>
                </c:pt>
                <c:pt idx="2">
                  <c:v>Banks</c:v>
                </c:pt>
                <c:pt idx="3">
                  <c:v>Cement &amp; Cement Products</c:v>
                </c:pt>
                <c:pt idx="4">
                  <c:v>Automobiles</c:v>
                </c:pt>
                <c:pt idx="5">
                  <c:v>Auto Components</c:v>
                </c:pt>
                <c:pt idx="6">
                  <c:v>Telecom - Services</c:v>
                </c:pt>
                <c:pt idx="7">
                  <c:v>Chemicals &amp; Petrochemicals</c:v>
                </c:pt>
                <c:pt idx="8">
                  <c:v>Beverages</c:v>
                </c:pt>
                <c:pt idx="9">
                  <c:v>Food Products</c:v>
                </c:pt>
                <c:pt idx="10">
                  <c:v>Diversified FMCG</c:v>
                </c:pt>
                <c:pt idx="11">
                  <c:v>Healthcare Services</c:v>
                </c:pt>
                <c:pt idx="12">
                  <c:v>Insurance</c:v>
                </c:pt>
                <c:pt idx="13">
                  <c:v>Consumer Durables</c:v>
                </c:pt>
                <c:pt idx="14">
                  <c:v>Personal Products</c:v>
                </c:pt>
                <c:pt idx="15">
                  <c:v>Electrical Equipment</c:v>
                </c:pt>
                <c:pt idx="16">
                  <c:v>Retailing</c:v>
                </c:pt>
                <c:pt idx="17">
                  <c:v>Industrial Products</c:v>
                </c:pt>
              </c:strCache>
            </c:strRef>
          </c:cat>
          <c:val>
            <c:numRef>
              <c:f>'Bandhan Nifty Alpha Low Vol 30'!$X$8:$X$25</c:f>
              <c:numCache>
                <c:formatCode>0.00%</c:formatCode>
                <c:ptCount val="18"/>
                <c:pt idx="0">
                  <c:v>0.22098499999999999</c:v>
                </c:pt>
                <c:pt idx="1">
                  <c:v>0.122849</c:v>
                </c:pt>
                <c:pt idx="2">
                  <c:v>6.8570999999999993E-2</c:v>
                </c:pt>
                <c:pt idx="3">
                  <c:v>6.8199999999999997E-2</c:v>
                </c:pt>
                <c:pt idx="4">
                  <c:v>5.6772000000000003E-2</c:v>
                </c:pt>
                <c:pt idx="5">
                  <c:v>5.2075999999999997E-2</c:v>
                </c:pt>
                <c:pt idx="6">
                  <c:v>4.9572999999999999E-2</c:v>
                </c:pt>
                <c:pt idx="7">
                  <c:v>3.8540999999999999E-2</c:v>
                </c:pt>
                <c:pt idx="8">
                  <c:v>3.6454E-2</c:v>
                </c:pt>
                <c:pt idx="9">
                  <c:v>3.5282000000000001E-2</c:v>
                </c:pt>
                <c:pt idx="10">
                  <c:v>3.517E-2</c:v>
                </c:pt>
                <c:pt idx="11">
                  <c:v>3.4276000000000001E-2</c:v>
                </c:pt>
                <c:pt idx="12">
                  <c:v>3.3494999999999997E-2</c:v>
                </c:pt>
                <c:pt idx="13">
                  <c:v>3.1229E-2</c:v>
                </c:pt>
                <c:pt idx="14">
                  <c:v>2.9784999999999999E-2</c:v>
                </c:pt>
                <c:pt idx="15">
                  <c:v>2.9090999999999999E-2</c:v>
                </c:pt>
                <c:pt idx="16">
                  <c:v>2.8413999999999998E-2</c:v>
                </c:pt>
                <c:pt idx="17">
                  <c:v>2.7659E-2</c:v>
                </c:pt>
              </c:numCache>
            </c:numRef>
          </c:val>
          <c:extLst>
            <c:ext xmlns:c16="http://schemas.microsoft.com/office/drawing/2014/chart" uri="{C3380CC4-5D6E-409C-BE32-E72D297353CC}">
              <c16:uniqueId val="{00000012-3C77-4278-8837-43FF5128439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Next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6C-4E54-8358-237E10A952B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6C-4E54-8358-237E10A952B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6C-4E54-8358-237E10A952B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6C-4E54-8358-237E10A952B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6C-4E54-8358-237E10A952B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6C-4E54-8358-237E10A952B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6C-4E54-8358-237E10A952B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6C-4E54-8358-237E10A952B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6C-4E54-8358-237E10A952B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6C-4E54-8358-237E10A952B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6C-4E54-8358-237E10A952B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6C-4E54-8358-237E10A952B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C6C-4E54-8358-237E10A952B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6C-4E54-8358-237E10A952B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C6C-4E54-8358-237E10A952B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C6C-4E54-8358-237E10A952B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C6C-4E54-8358-237E10A952B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C6C-4E54-8358-237E10A952B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Next 50 Index'!$W$8:$W$31</c:f>
              <c:strCache>
                <c:ptCount val="24"/>
                <c:pt idx="0">
                  <c:v>Finance</c:v>
                </c:pt>
                <c:pt idx="1">
                  <c:v>Power</c:v>
                </c:pt>
                <c:pt idx="2">
                  <c:v>Pharmaceuticals &amp; Biotechnology</c:v>
                </c:pt>
                <c:pt idx="3">
                  <c:v>Retailing</c:v>
                </c:pt>
                <c:pt idx="4">
                  <c:v>Electrical Equipment</c:v>
                </c:pt>
                <c:pt idx="5">
                  <c:v>Beverages</c:v>
                </c:pt>
                <c:pt idx="6">
                  <c:v>Banks</c:v>
                </c:pt>
                <c:pt idx="7">
                  <c:v>Petroleum Products</c:v>
                </c:pt>
                <c:pt idx="8">
                  <c:v>Transport Services</c:v>
                </c:pt>
                <c:pt idx="9">
                  <c:v>Personal Products</c:v>
                </c:pt>
                <c:pt idx="10">
                  <c:v>Insurance</c:v>
                </c:pt>
                <c:pt idx="11">
                  <c:v>Aerospace &amp; Defense</c:v>
                </c:pt>
                <c:pt idx="12">
                  <c:v>Diversified Metals</c:v>
                </c:pt>
                <c:pt idx="13">
                  <c:v>Automobiles</c:v>
                </c:pt>
                <c:pt idx="14">
                  <c:v>Realty</c:v>
                </c:pt>
                <c:pt idx="15">
                  <c:v>Cement &amp; Cement Products</c:v>
                </c:pt>
                <c:pt idx="16">
                  <c:v>Leisure Services</c:v>
                </c:pt>
                <c:pt idx="17">
                  <c:v>Auto Components</c:v>
                </c:pt>
                <c:pt idx="18">
                  <c:v>Food Products</c:v>
                </c:pt>
                <c:pt idx="19">
                  <c:v>Gas</c:v>
                </c:pt>
                <c:pt idx="20">
                  <c:v>Chemicals &amp; Petrochemicals</c:v>
                </c:pt>
                <c:pt idx="21">
                  <c:v>IT - Software</c:v>
                </c:pt>
                <c:pt idx="22">
                  <c:v>Consumer Durables</c:v>
                </c:pt>
                <c:pt idx="23">
                  <c:v>Ferrous Metals</c:v>
                </c:pt>
              </c:strCache>
            </c:strRef>
          </c:cat>
          <c:val>
            <c:numRef>
              <c:f>'Bandhan Nifty Next 50 Index'!$X$8:$X$31</c:f>
              <c:numCache>
                <c:formatCode>0.00%</c:formatCode>
                <c:ptCount val="24"/>
                <c:pt idx="0">
                  <c:v>0.12034800000000001</c:v>
                </c:pt>
                <c:pt idx="1">
                  <c:v>8.7226999999999999E-2</c:v>
                </c:pt>
                <c:pt idx="2">
                  <c:v>5.8530000000000006E-2</c:v>
                </c:pt>
                <c:pt idx="3">
                  <c:v>5.6487999999999997E-2</c:v>
                </c:pt>
                <c:pt idx="4">
                  <c:v>5.2851999999999996E-2</c:v>
                </c:pt>
                <c:pt idx="5">
                  <c:v>5.1548999999999998E-2</c:v>
                </c:pt>
                <c:pt idx="6">
                  <c:v>4.7789999999999999E-2</c:v>
                </c:pt>
                <c:pt idx="7">
                  <c:v>4.6077E-2</c:v>
                </c:pt>
                <c:pt idx="8">
                  <c:v>4.5488000000000001E-2</c:v>
                </c:pt>
                <c:pt idx="9">
                  <c:v>3.8691000000000003E-2</c:v>
                </c:pt>
                <c:pt idx="10">
                  <c:v>3.7471999999999998E-2</c:v>
                </c:pt>
                <c:pt idx="11">
                  <c:v>3.5972999999999998E-2</c:v>
                </c:pt>
                <c:pt idx="12">
                  <c:v>3.5631000000000003E-2</c:v>
                </c:pt>
                <c:pt idx="13">
                  <c:v>3.5135E-2</c:v>
                </c:pt>
                <c:pt idx="14">
                  <c:v>3.4917999999999998E-2</c:v>
                </c:pt>
                <c:pt idx="15">
                  <c:v>3.4842999999999999E-2</c:v>
                </c:pt>
                <c:pt idx="16">
                  <c:v>3.1336000000000003E-2</c:v>
                </c:pt>
                <c:pt idx="17">
                  <c:v>2.8576000000000001E-2</c:v>
                </c:pt>
                <c:pt idx="18">
                  <c:v>2.6387000000000001E-2</c:v>
                </c:pt>
                <c:pt idx="19">
                  <c:v>2.2373000000000001E-2</c:v>
                </c:pt>
                <c:pt idx="20">
                  <c:v>1.9882E-2</c:v>
                </c:pt>
                <c:pt idx="21">
                  <c:v>1.8811000000000001E-2</c:v>
                </c:pt>
                <c:pt idx="22">
                  <c:v>1.7478E-2</c:v>
                </c:pt>
                <c:pt idx="23">
                  <c:v>1.5705E-2</c:v>
                </c:pt>
              </c:numCache>
            </c:numRef>
          </c:val>
          <c:extLst>
            <c:ext xmlns:c16="http://schemas.microsoft.com/office/drawing/2014/chart" uri="{C3380CC4-5D6E-409C-BE32-E72D297353CC}">
              <c16:uniqueId val="{00000012-8C6C-4E54-8358-237E10A952B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F81-4F21-8062-3EB142498B6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F81-4F21-8062-3EB142498B6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F81-4F21-8062-3EB142498B6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F81-4F21-8062-3EB142498B6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0.99453400000000003</c:v>
                </c:pt>
                <c:pt idx="1">
                  <c:v>-3.8010000000000001E-3</c:v>
                </c:pt>
                <c:pt idx="2">
                  <c:v>9.2669999999999992E-3</c:v>
                </c:pt>
              </c:numCache>
            </c:numRef>
          </c:val>
          <c:extLst>
            <c:ext xmlns:c16="http://schemas.microsoft.com/office/drawing/2014/chart" uri="{C3380CC4-5D6E-409C-BE32-E72D297353CC}">
              <c16:uniqueId val="{00000004-FF81-4F21-8062-3EB142498B6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78957</xdr:colOff>
      <xdr:row>7</xdr:row>
      <xdr:rowOff>42441</xdr:rowOff>
    </xdr:from>
    <xdr:to>
      <xdr:col>13</xdr:col>
      <xdr:colOff>767932</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35711</xdr:colOff>
      <xdr:row>7</xdr:row>
      <xdr:rowOff>47628</xdr:rowOff>
    </xdr:from>
    <xdr:to>
      <xdr:col>13</xdr:col>
      <xdr:colOff>717262</xdr:colOff>
      <xdr:row>18</xdr:row>
      <xdr:rowOff>107159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540397</xdr:colOff>
      <xdr:row>7</xdr:row>
      <xdr:rowOff>6997</xdr:rowOff>
    </xdr:from>
    <xdr:to>
      <xdr:col>13</xdr:col>
      <xdr:colOff>723900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5DB0891-FCBC-45B7-9858-655CF627C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B893A6-20AF-4F80-86B2-A7FDAA116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BFD3804-135E-416E-8448-CD4B34EFE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18C1043-8CD0-4099-8389-B5488191A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D92B242-E9A4-4274-AB6B-8D0E689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96" t="s">
        <v>150</v>
      </c>
      <c r="D3" s="296"/>
      <c r="E3" s="296"/>
      <c r="F3" s="296"/>
      <c r="G3" s="296"/>
      <c r="H3" s="296"/>
      <c r="I3" s="296"/>
      <c r="J3" s="296"/>
      <c r="K3" s="296"/>
      <c r="L3" s="296"/>
      <c r="M3" s="297"/>
    </row>
    <row r="4" spans="2:24" ht="15.75" x14ac:dyDescent="0.25">
      <c r="B4" s="93"/>
      <c r="C4" s="67" t="s">
        <v>441</v>
      </c>
      <c r="D4" s="29"/>
      <c r="E4" s="29"/>
      <c r="F4" s="5"/>
      <c r="G4" s="5"/>
      <c r="H4" s="5"/>
      <c r="I4" s="5"/>
      <c r="J4" s="5"/>
      <c r="K4" s="5"/>
      <c r="L4" s="5"/>
      <c r="M4" s="20"/>
    </row>
    <row r="5" spans="2:24" ht="20.25" customHeight="1" x14ac:dyDescent="0.25">
      <c r="B5" s="93"/>
      <c r="C5" s="211" t="s">
        <v>440</v>
      </c>
      <c r="D5" s="94" t="s">
        <v>379</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0" t="s">
        <v>43</v>
      </c>
      <c r="D7" s="95" t="s">
        <v>45</v>
      </c>
      <c r="E7" s="5"/>
      <c r="F7" s="298" t="s">
        <v>50</v>
      </c>
      <c r="G7" s="298"/>
      <c r="H7" s="298"/>
      <c r="I7" s="298"/>
      <c r="J7" s="298"/>
      <c r="K7" s="298"/>
      <c r="L7" s="298"/>
      <c r="M7" s="299"/>
    </row>
    <row r="8" spans="2:24" ht="30" x14ac:dyDescent="0.2">
      <c r="B8" s="93"/>
      <c r="C8" s="59" t="s">
        <v>90</v>
      </c>
      <c r="D8" s="174">
        <v>0.99043199999999998</v>
      </c>
      <c r="E8" s="5"/>
      <c r="F8" s="5"/>
      <c r="G8" s="31"/>
      <c r="H8" s="5"/>
      <c r="I8" s="5" t="s">
        <v>91</v>
      </c>
      <c r="J8" s="47">
        <f>D9</f>
        <v>0.99043199999999998</v>
      </c>
      <c r="K8" s="5"/>
      <c r="L8" s="5"/>
      <c r="M8" s="20"/>
      <c r="S8" s="49"/>
      <c r="W8" s="3" t="s">
        <v>3</v>
      </c>
      <c r="X8" s="3">
        <v>0.25058799999999998</v>
      </c>
    </row>
    <row r="9" spans="2:24" ht="15.75" x14ac:dyDescent="0.25">
      <c r="B9" s="93"/>
      <c r="C9" s="60" t="s">
        <v>91</v>
      </c>
      <c r="D9" s="175">
        <v>0.99043199999999998</v>
      </c>
      <c r="E9" s="5"/>
      <c r="F9" s="5"/>
      <c r="G9" s="5"/>
      <c r="H9" s="5"/>
      <c r="I9" s="5" t="s">
        <v>20</v>
      </c>
      <c r="J9" s="47">
        <f>D13</f>
        <v>-7.2570000000000004E-3</v>
      </c>
      <c r="K9" s="5"/>
      <c r="L9" s="5"/>
      <c r="M9" s="20"/>
      <c r="S9" s="49"/>
      <c r="W9" s="3" t="s">
        <v>9</v>
      </c>
      <c r="X9" s="3">
        <v>6.1296999999999997E-2</v>
      </c>
    </row>
    <row r="10" spans="2:24" x14ac:dyDescent="0.2">
      <c r="B10" s="93"/>
      <c r="C10" s="161" t="s">
        <v>100</v>
      </c>
      <c r="D10" s="176">
        <v>1.6825E-2</v>
      </c>
      <c r="E10" s="5"/>
      <c r="F10" s="5"/>
      <c r="G10" s="5"/>
      <c r="I10" s="3" t="s">
        <v>101</v>
      </c>
      <c r="J10" s="47">
        <f>D11</f>
        <v>1.6825E-2</v>
      </c>
      <c r="K10" s="5"/>
      <c r="L10" s="5"/>
      <c r="M10" s="20"/>
      <c r="S10" s="49"/>
      <c r="W10" s="3" t="s">
        <v>10</v>
      </c>
      <c r="X10" s="3">
        <v>3.0130999999999998E-2</v>
      </c>
    </row>
    <row r="11" spans="2:24" ht="15.75" x14ac:dyDescent="0.2">
      <c r="B11" s="93"/>
      <c r="C11" s="162" t="s">
        <v>101</v>
      </c>
      <c r="D11" s="177">
        <v>1.6825E-2</v>
      </c>
      <c r="E11" s="5"/>
      <c r="F11" s="5"/>
      <c r="G11" s="5"/>
      <c r="J11" s="5"/>
      <c r="K11" s="5"/>
      <c r="L11" s="5"/>
      <c r="M11" s="20"/>
      <c r="S11" s="49"/>
      <c r="W11" s="3" t="s">
        <v>7</v>
      </c>
      <c r="X11" s="3">
        <v>2.7299E-2</v>
      </c>
    </row>
    <row r="12" spans="2:24" x14ac:dyDescent="0.2">
      <c r="B12" s="93"/>
      <c r="C12" s="161"/>
      <c r="D12" s="83"/>
      <c r="E12" s="5"/>
      <c r="F12" s="5"/>
      <c r="G12" s="5"/>
      <c r="J12" s="5"/>
      <c r="K12" s="5"/>
      <c r="L12" s="5"/>
      <c r="M12" s="20"/>
      <c r="S12" s="49"/>
      <c r="W12" s="3" t="s">
        <v>26</v>
      </c>
      <c r="X12" s="3">
        <v>2.5925E-2</v>
      </c>
    </row>
    <row r="13" spans="2:24" ht="15.75" x14ac:dyDescent="0.2">
      <c r="B13" s="93"/>
      <c r="C13" s="162" t="s">
        <v>20</v>
      </c>
      <c r="D13" s="177">
        <v>-7.2570000000000004E-3</v>
      </c>
      <c r="E13" s="5"/>
      <c r="F13" s="5"/>
      <c r="G13" s="5"/>
      <c r="J13" s="5"/>
      <c r="K13" s="5"/>
      <c r="L13" s="5"/>
      <c r="M13" s="20"/>
      <c r="S13" s="49"/>
      <c r="W13" s="3" t="s">
        <v>8</v>
      </c>
      <c r="X13" s="3">
        <v>2.3822000000000003E-2</v>
      </c>
    </row>
    <row r="14" spans="2:24" x14ac:dyDescent="0.2">
      <c r="B14" s="93"/>
      <c r="C14" s="161"/>
      <c r="D14" s="83"/>
      <c r="E14" s="5"/>
      <c r="F14" s="5"/>
      <c r="G14" s="5"/>
      <c r="H14" s="5"/>
      <c r="I14" s="5"/>
      <c r="J14" s="5"/>
      <c r="K14" s="5"/>
      <c r="L14" s="5"/>
      <c r="M14" s="20"/>
      <c r="S14" s="49"/>
      <c r="W14" s="3" t="s">
        <v>25</v>
      </c>
      <c r="X14" s="3">
        <v>2.3753E-2</v>
      </c>
    </row>
    <row r="15" spans="2:24" ht="15.75" x14ac:dyDescent="0.2">
      <c r="B15" s="93"/>
      <c r="C15" s="163"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300"/>
      <c r="D22" s="300"/>
      <c r="E22" s="300"/>
      <c r="F22" s="300"/>
      <c r="G22" s="300"/>
      <c r="H22" s="300"/>
      <c r="I22" s="300"/>
      <c r="J22" s="300"/>
      <c r="K22" s="300"/>
      <c r="L22" s="300"/>
      <c r="M22" s="301"/>
      <c r="S22" s="49"/>
    </row>
    <row r="23" spans="2:24" ht="15.75" thickBot="1" x14ac:dyDescent="0.25">
      <c r="S23" s="49"/>
    </row>
    <row r="24" spans="2:24" ht="15" customHeight="1" x14ac:dyDescent="0.2">
      <c r="B24" s="302" t="s">
        <v>180</v>
      </c>
      <c r="C24" s="303"/>
      <c r="D24" s="303"/>
      <c r="E24" s="303"/>
      <c r="F24" s="303"/>
      <c r="G24" s="303"/>
      <c r="H24" s="303"/>
      <c r="I24" s="303"/>
      <c r="J24" s="303"/>
      <c r="K24" s="303"/>
      <c r="L24" s="303"/>
      <c r="M24" s="303"/>
      <c r="N24" s="304"/>
      <c r="S24" s="49"/>
    </row>
    <row r="25" spans="2:24" ht="15.75" customHeight="1" x14ac:dyDescent="0.2">
      <c r="B25" s="305"/>
      <c r="C25" s="306"/>
      <c r="D25" s="306"/>
      <c r="E25" s="306"/>
      <c r="F25" s="306"/>
      <c r="G25" s="306"/>
      <c r="H25" s="306"/>
      <c r="I25" s="306"/>
      <c r="J25" s="306"/>
      <c r="K25" s="306"/>
      <c r="L25" s="306"/>
      <c r="M25" s="306"/>
      <c r="N25" s="307"/>
      <c r="S25" s="49"/>
    </row>
    <row r="26" spans="2:24" ht="15.75" customHeight="1" x14ac:dyDescent="0.2">
      <c r="B26" s="305"/>
      <c r="C26" s="306"/>
      <c r="D26" s="306"/>
      <c r="E26" s="306"/>
      <c r="F26" s="306"/>
      <c r="G26" s="306"/>
      <c r="H26" s="306"/>
      <c r="I26" s="306"/>
      <c r="J26" s="306"/>
      <c r="K26" s="306"/>
      <c r="L26" s="306"/>
      <c r="M26" s="306"/>
      <c r="N26" s="307"/>
      <c r="S26" s="49"/>
    </row>
    <row r="27" spans="2:24" ht="15.75" customHeight="1" x14ac:dyDescent="0.2">
      <c r="B27" s="305"/>
      <c r="C27" s="306"/>
      <c r="D27" s="306"/>
      <c r="E27" s="306"/>
      <c r="F27" s="306"/>
      <c r="G27" s="306"/>
      <c r="H27" s="306"/>
      <c r="I27" s="306"/>
      <c r="J27" s="306"/>
      <c r="K27" s="306"/>
      <c r="L27" s="306"/>
      <c r="M27" s="306"/>
      <c r="N27" s="307"/>
      <c r="S27" s="49"/>
    </row>
    <row r="28" spans="2:24" ht="15.75" customHeight="1" x14ac:dyDescent="0.2">
      <c r="B28" s="305"/>
      <c r="C28" s="306"/>
      <c r="D28" s="306"/>
      <c r="E28" s="306"/>
      <c r="F28" s="306"/>
      <c r="G28" s="306"/>
      <c r="H28" s="306"/>
      <c r="I28" s="306"/>
      <c r="J28" s="306"/>
      <c r="K28" s="306"/>
      <c r="L28" s="306"/>
      <c r="M28" s="306"/>
      <c r="N28" s="307"/>
      <c r="S28" s="49"/>
    </row>
    <row r="29" spans="2:24" ht="15.75" customHeight="1" x14ac:dyDescent="0.2">
      <c r="B29" s="305"/>
      <c r="C29" s="306"/>
      <c r="D29" s="306"/>
      <c r="E29" s="306"/>
      <c r="F29" s="306"/>
      <c r="G29" s="306"/>
      <c r="H29" s="306"/>
      <c r="I29" s="306"/>
      <c r="J29" s="306"/>
      <c r="K29" s="306"/>
      <c r="L29" s="306"/>
      <c r="M29" s="306"/>
      <c r="N29" s="307"/>
      <c r="S29" s="49"/>
    </row>
    <row r="30" spans="2:24" ht="28.5" customHeight="1" thickBot="1" x14ac:dyDescent="0.25">
      <c r="B30" s="308"/>
      <c r="C30" s="309"/>
      <c r="D30" s="309"/>
      <c r="E30" s="309"/>
      <c r="F30" s="309"/>
      <c r="G30" s="309"/>
      <c r="H30" s="309"/>
      <c r="I30" s="309"/>
      <c r="J30" s="309"/>
      <c r="K30" s="309"/>
      <c r="L30" s="309"/>
      <c r="M30" s="309"/>
      <c r="N30" s="310"/>
      <c r="S30" s="49"/>
    </row>
    <row r="31" spans="2:24" ht="15.75" thickBot="1" x14ac:dyDescent="0.25">
      <c r="S31" s="49"/>
    </row>
    <row r="32" spans="2:24" x14ac:dyDescent="0.2">
      <c r="B32" s="302" t="s">
        <v>92</v>
      </c>
      <c r="C32" s="303"/>
      <c r="D32" s="303"/>
      <c r="E32" s="303"/>
      <c r="F32" s="303"/>
      <c r="G32" s="303"/>
      <c r="H32" s="303"/>
      <c r="I32" s="303"/>
      <c r="J32" s="303"/>
      <c r="K32" s="303"/>
      <c r="L32" s="303"/>
      <c r="M32" s="303"/>
      <c r="N32" s="304"/>
      <c r="S32" s="49"/>
    </row>
    <row r="33" spans="2:19" x14ac:dyDescent="0.2">
      <c r="B33" s="305"/>
      <c r="C33" s="306"/>
      <c r="D33" s="306"/>
      <c r="E33" s="306"/>
      <c r="F33" s="306"/>
      <c r="G33" s="306"/>
      <c r="H33" s="306"/>
      <c r="I33" s="306"/>
      <c r="J33" s="306"/>
      <c r="K33" s="306"/>
      <c r="L33" s="306"/>
      <c r="M33" s="306"/>
      <c r="N33" s="307"/>
      <c r="S33" s="49"/>
    </row>
    <row r="34" spans="2:19" x14ac:dyDescent="0.2">
      <c r="B34" s="305"/>
      <c r="C34" s="306"/>
      <c r="D34" s="306"/>
      <c r="E34" s="306"/>
      <c r="F34" s="306"/>
      <c r="G34" s="306"/>
      <c r="H34" s="306"/>
      <c r="I34" s="306"/>
      <c r="J34" s="306"/>
      <c r="K34" s="306"/>
      <c r="L34" s="306"/>
      <c r="M34" s="306"/>
      <c r="N34" s="307"/>
      <c r="S34" s="49"/>
    </row>
    <row r="35" spans="2:19" x14ac:dyDescent="0.2">
      <c r="B35" s="305"/>
      <c r="C35" s="306"/>
      <c r="D35" s="306"/>
      <c r="E35" s="306"/>
      <c r="F35" s="306"/>
      <c r="G35" s="306"/>
      <c r="H35" s="306"/>
      <c r="I35" s="306"/>
      <c r="J35" s="306"/>
      <c r="K35" s="306"/>
      <c r="L35" s="306"/>
      <c r="M35" s="306"/>
      <c r="N35" s="307"/>
      <c r="S35" s="49"/>
    </row>
    <row r="36" spans="2:19" x14ac:dyDescent="0.2">
      <c r="B36" s="305"/>
      <c r="C36" s="306"/>
      <c r="D36" s="306"/>
      <c r="E36" s="306"/>
      <c r="F36" s="306"/>
      <c r="G36" s="306"/>
      <c r="H36" s="306"/>
      <c r="I36" s="306"/>
      <c r="J36" s="306"/>
      <c r="K36" s="306"/>
      <c r="L36" s="306"/>
      <c r="M36" s="306"/>
      <c r="N36" s="307"/>
      <c r="S36" s="49"/>
    </row>
    <row r="37" spans="2:19" x14ac:dyDescent="0.2">
      <c r="B37" s="305"/>
      <c r="C37" s="306"/>
      <c r="D37" s="306"/>
      <c r="E37" s="306"/>
      <c r="F37" s="306"/>
      <c r="G37" s="306"/>
      <c r="H37" s="306"/>
      <c r="I37" s="306"/>
      <c r="J37" s="306"/>
      <c r="K37" s="306"/>
      <c r="L37" s="306"/>
      <c r="M37" s="306"/>
      <c r="N37" s="307"/>
      <c r="S37" s="49"/>
    </row>
    <row r="38" spans="2:19" ht="15.75" thickBot="1" x14ac:dyDescent="0.25">
      <c r="B38" s="308"/>
      <c r="C38" s="309"/>
      <c r="D38" s="309"/>
      <c r="E38" s="309"/>
      <c r="F38" s="309"/>
      <c r="G38" s="309"/>
      <c r="H38" s="309"/>
      <c r="I38" s="309"/>
      <c r="J38" s="309"/>
      <c r="K38" s="309"/>
      <c r="L38" s="309"/>
      <c r="M38" s="309"/>
      <c r="N38" s="310"/>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11" t="s">
        <v>170</v>
      </c>
      <c r="D3" s="312"/>
      <c r="E3" s="312"/>
      <c r="F3" s="312"/>
      <c r="G3" s="312"/>
      <c r="H3" s="312"/>
      <c r="I3" s="312"/>
      <c r="J3" s="312"/>
      <c r="K3" s="312"/>
      <c r="L3" s="312"/>
      <c r="M3" s="312"/>
      <c r="N3" s="312"/>
      <c r="O3" s="312"/>
      <c r="P3" s="312"/>
      <c r="Q3" s="312"/>
      <c r="R3" s="312"/>
      <c r="S3" s="312"/>
      <c r="T3" s="25"/>
    </row>
    <row r="4" spans="1:24" ht="15.75" customHeight="1" x14ac:dyDescent="0.25">
      <c r="B4" s="64"/>
      <c r="C4" s="67" t="s">
        <v>441</v>
      </c>
      <c r="D4" s="143"/>
      <c r="E4" s="156"/>
      <c r="F4" s="156"/>
      <c r="G4" s="156"/>
      <c r="H4" s="156"/>
      <c r="I4" s="156"/>
      <c r="J4" s="156"/>
      <c r="K4" s="29"/>
      <c r="L4" s="29"/>
      <c r="M4" s="29"/>
      <c r="N4" s="29"/>
      <c r="O4" s="29"/>
      <c r="P4" s="29"/>
      <c r="Q4" s="29"/>
      <c r="R4" s="29"/>
      <c r="S4" s="29"/>
      <c r="T4" s="25"/>
    </row>
    <row r="5" spans="1:24" ht="18" customHeight="1" x14ac:dyDescent="0.25">
      <c r="B5" s="64"/>
      <c r="C5" s="211" t="s">
        <v>440</v>
      </c>
      <c r="D5" s="313" t="s">
        <v>381</v>
      </c>
      <c r="E5" s="313"/>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44" t="s">
        <v>0</v>
      </c>
      <c r="D7" s="145" t="s">
        <v>1</v>
      </c>
      <c r="E7" s="144" t="s">
        <v>2</v>
      </c>
      <c r="F7" s="29"/>
      <c r="G7" s="29"/>
      <c r="H7" s="29"/>
      <c r="I7" s="29"/>
      <c r="J7" s="29"/>
      <c r="K7" s="29"/>
      <c r="L7" s="29"/>
      <c r="M7" s="29"/>
      <c r="N7" s="29"/>
      <c r="O7" s="29"/>
      <c r="P7" s="29"/>
      <c r="Q7" s="29"/>
      <c r="R7" s="29"/>
      <c r="S7" s="29"/>
      <c r="T7" s="25"/>
      <c r="W7" s="39" t="s">
        <v>22</v>
      </c>
      <c r="X7" s="39" t="s">
        <v>2</v>
      </c>
    </row>
    <row r="8" spans="1:24" ht="15" customHeight="1" x14ac:dyDescent="0.25">
      <c r="B8" s="64"/>
      <c r="C8" s="192" t="s">
        <v>29</v>
      </c>
      <c r="D8" s="187" t="s">
        <v>3</v>
      </c>
      <c r="E8" s="188">
        <v>4.7176000000000003E-2</v>
      </c>
      <c r="F8" s="128"/>
      <c r="G8" s="29"/>
      <c r="H8" s="29"/>
      <c r="I8" s="29"/>
      <c r="J8" s="29"/>
      <c r="K8" s="29"/>
      <c r="L8" s="29"/>
      <c r="M8" s="29"/>
      <c r="N8" s="29"/>
      <c r="O8" s="29"/>
      <c r="P8" s="29"/>
      <c r="Q8" s="29"/>
      <c r="R8" s="29"/>
      <c r="S8" s="29"/>
      <c r="T8" s="25"/>
      <c r="W8" s="293" t="s">
        <v>3</v>
      </c>
      <c r="X8" s="292">
        <v>0.15027700000000002</v>
      </c>
    </row>
    <row r="9" spans="1:24" ht="15.75" customHeight="1" x14ac:dyDescent="0.25">
      <c r="B9" s="64"/>
      <c r="C9" s="192" t="s">
        <v>32</v>
      </c>
      <c r="D9" s="187" t="s">
        <v>3</v>
      </c>
      <c r="E9" s="188">
        <v>4.4283999999999997E-2</v>
      </c>
      <c r="F9" s="128"/>
      <c r="G9" s="29"/>
      <c r="H9" s="29"/>
      <c r="I9" s="29"/>
      <c r="J9" s="29"/>
      <c r="K9" s="29"/>
      <c r="L9" s="29"/>
      <c r="M9" s="29"/>
      <c r="N9" s="29"/>
      <c r="O9" s="29"/>
      <c r="P9" s="29"/>
      <c r="Q9" s="29"/>
      <c r="R9" s="29"/>
      <c r="S9" s="29"/>
      <c r="T9" s="25"/>
      <c r="W9" s="293" t="s">
        <v>4</v>
      </c>
      <c r="X9" s="292">
        <v>7.1384000000000003E-2</v>
      </c>
    </row>
    <row r="10" spans="1:24" ht="15" customHeight="1" x14ac:dyDescent="0.25">
      <c r="B10" s="64"/>
      <c r="C10" s="192" t="s">
        <v>247</v>
      </c>
      <c r="D10" s="187" t="s">
        <v>4</v>
      </c>
      <c r="E10" s="188">
        <v>3.1914999999999999E-2</v>
      </c>
      <c r="F10" s="128"/>
      <c r="G10" s="29"/>
      <c r="H10" s="29"/>
      <c r="I10" s="29"/>
      <c r="J10" s="29"/>
      <c r="K10" s="29"/>
      <c r="L10" s="29"/>
      <c r="M10" s="29"/>
      <c r="N10" s="29"/>
      <c r="O10" s="29"/>
      <c r="P10" s="29"/>
      <c r="Q10" s="29"/>
      <c r="R10" s="29"/>
      <c r="S10" s="29"/>
      <c r="T10" s="25"/>
      <c r="W10" s="293" t="s">
        <v>110</v>
      </c>
      <c r="X10" s="292">
        <v>6.7045000000000007E-2</v>
      </c>
    </row>
    <row r="11" spans="1:24" ht="15" customHeight="1" x14ac:dyDescent="0.25">
      <c r="B11" s="64"/>
      <c r="C11" s="192" t="s">
        <v>267</v>
      </c>
      <c r="D11" s="187" t="s">
        <v>182</v>
      </c>
      <c r="E11" s="188">
        <v>2.4250000000000001E-2</v>
      </c>
      <c r="F11" s="128"/>
      <c r="G11" s="29"/>
      <c r="H11" s="29"/>
      <c r="I11" s="29"/>
      <c r="J11" s="29"/>
      <c r="K11" s="29"/>
      <c r="L11" s="29"/>
      <c r="M11" s="29"/>
      <c r="N11" s="29"/>
      <c r="O11" s="29"/>
      <c r="P11" s="29"/>
      <c r="Q11" s="29"/>
      <c r="R11" s="29"/>
      <c r="S11" s="29"/>
      <c r="T11" s="25"/>
      <c r="W11" s="293" t="s">
        <v>106</v>
      </c>
      <c r="X11" s="292">
        <v>5.7323000000000006E-2</v>
      </c>
    </row>
    <row r="12" spans="1:24" ht="15" customHeight="1" x14ac:dyDescent="0.25">
      <c r="B12" s="64"/>
      <c r="C12" s="192" t="s">
        <v>304</v>
      </c>
      <c r="D12" s="187" t="s">
        <v>26</v>
      </c>
      <c r="E12" s="188">
        <v>2.4211E-2</v>
      </c>
      <c r="F12" s="128"/>
      <c r="G12" s="29"/>
      <c r="H12" s="29"/>
      <c r="I12" s="29"/>
      <c r="J12" s="29"/>
      <c r="K12" s="29"/>
      <c r="L12" s="29"/>
      <c r="M12" s="29"/>
      <c r="N12" s="29"/>
      <c r="O12" s="29"/>
      <c r="P12" s="29"/>
      <c r="Q12" s="29"/>
      <c r="R12" s="29"/>
      <c r="S12" s="29"/>
      <c r="T12" s="25"/>
      <c r="W12" s="293" t="s">
        <v>26</v>
      </c>
      <c r="X12" s="292">
        <v>5.466E-2</v>
      </c>
    </row>
    <row r="13" spans="1:24" ht="15" customHeight="1" x14ac:dyDescent="0.25">
      <c r="B13" s="64"/>
      <c r="C13" s="192" t="s">
        <v>144</v>
      </c>
      <c r="D13" s="187" t="s">
        <v>123</v>
      </c>
      <c r="E13" s="188">
        <v>2.3113999999999999E-2</v>
      </c>
      <c r="F13" s="128"/>
      <c r="G13" s="29"/>
      <c r="H13" s="29"/>
      <c r="I13" s="29"/>
      <c r="J13" s="29"/>
      <c r="K13" s="29"/>
      <c r="L13" s="29"/>
      <c r="M13" s="29"/>
      <c r="N13" s="29"/>
      <c r="O13" s="29"/>
      <c r="P13" s="29"/>
      <c r="Q13" s="29"/>
      <c r="R13" s="29"/>
      <c r="S13" s="29"/>
      <c r="T13" s="25"/>
      <c r="W13" s="293" t="s">
        <v>109</v>
      </c>
      <c r="X13" s="292">
        <v>4.0375000000000001E-2</v>
      </c>
    </row>
    <row r="14" spans="1:24" ht="15" customHeight="1" x14ac:dyDescent="0.25">
      <c r="B14" s="64"/>
      <c r="C14" s="192" t="s">
        <v>70</v>
      </c>
      <c r="D14" s="187" t="s">
        <v>12</v>
      </c>
      <c r="E14" s="188">
        <v>2.0532999999999999E-2</v>
      </c>
      <c r="F14" s="128"/>
      <c r="G14" s="29"/>
      <c r="H14" s="29"/>
      <c r="I14" s="29"/>
      <c r="J14" s="29"/>
      <c r="K14" s="29"/>
      <c r="L14" s="29"/>
      <c r="M14" s="29"/>
      <c r="N14" s="29"/>
      <c r="O14" s="29"/>
      <c r="P14" s="29"/>
      <c r="Q14" s="29"/>
      <c r="R14" s="29"/>
      <c r="S14" s="29"/>
      <c r="T14" s="25"/>
      <c r="W14" s="293" t="s">
        <v>123</v>
      </c>
      <c r="X14" s="292">
        <v>3.8602999999999998E-2</v>
      </c>
    </row>
    <row r="15" spans="1:24" ht="15.75" x14ac:dyDescent="0.25">
      <c r="B15" s="64"/>
      <c r="C15" s="192" t="s">
        <v>277</v>
      </c>
      <c r="D15" s="187" t="s">
        <v>132</v>
      </c>
      <c r="E15" s="188">
        <v>2.0468E-2</v>
      </c>
      <c r="F15" s="128"/>
      <c r="G15" s="29"/>
      <c r="H15" s="29"/>
      <c r="I15" s="29"/>
      <c r="J15" s="29"/>
      <c r="K15" s="29"/>
      <c r="L15" s="29"/>
      <c r="M15" s="29"/>
      <c r="N15" s="29"/>
      <c r="O15" s="29"/>
      <c r="P15" s="29"/>
      <c r="Q15" s="29"/>
      <c r="R15" s="29"/>
      <c r="S15" s="29"/>
      <c r="T15" s="25"/>
      <c r="W15" s="293" t="s">
        <v>182</v>
      </c>
      <c r="X15" s="292">
        <v>3.7568999999999998E-2</v>
      </c>
    </row>
    <row r="16" spans="1:24" ht="15" customHeight="1" x14ac:dyDescent="0.25">
      <c r="B16" s="64"/>
      <c r="C16" s="192" t="s">
        <v>30</v>
      </c>
      <c r="D16" s="187" t="s">
        <v>116</v>
      </c>
      <c r="E16" s="188">
        <v>1.9991999999999999E-2</v>
      </c>
      <c r="F16" s="128"/>
      <c r="G16" s="29"/>
      <c r="H16" s="29"/>
      <c r="I16" s="29"/>
      <c r="J16" s="29"/>
      <c r="K16" s="29"/>
      <c r="L16" s="29"/>
      <c r="M16" s="29"/>
      <c r="N16" s="29"/>
      <c r="O16" s="29"/>
      <c r="P16" s="29"/>
      <c r="Q16" s="29"/>
      <c r="R16" s="29"/>
      <c r="S16" s="29"/>
      <c r="T16" s="25"/>
      <c r="W16" s="293" t="s">
        <v>12</v>
      </c>
      <c r="X16" s="292">
        <v>3.1460000000000002E-2</v>
      </c>
    </row>
    <row r="17" spans="2:24" ht="15.75" x14ac:dyDescent="0.25">
      <c r="B17" s="64"/>
      <c r="C17" s="192" t="s">
        <v>192</v>
      </c>
      <c r="D17" s="187" t="s">
        <v>105</v>
      </c>
      <c r="E17" s="188">
        <v>1.8426000000000001E-2</v>
      </c>
      <c r="F17" s="128"/>
      <c r="G17" s="29"/>
      <c r="H17" s="29"/>
      <c r="I17" s="29"/>
      <c r="J17" s="29"/>
      <c r="K17" s="29"/>
      <c r="L17" s="29"/>
      <c r="M17" s="29"/>
      <c r="N17" s="29"/>
      <c r="O17" s="29"/>
      <c r="P17" s="29"/>
      <c r="Q17" s="29"/>
      <c r="R17" s="29"/>
      <c r="S17" s="29"/>
      <c r="T17" s="25"/>
      <c r="W17" s="293" t="s">
        <v>105</v>
      </c>
      <c r="X17" s="292">
        <v>3.0862000000000001E-2</v>
      </c>
    </row>
    <row r="18" spans="2:24" ht="15.75" x14ac:dyDescent="0.25">
      <c r="B18" s="64"/>
      <c r="C18" s="192" t="s">
        <v>33</v>
      </c>
      <c r="D18" s="187" t="s">
        <v>106</v>
      </c>
      <c r="E18" s="188">
        <v>1.7062000000000001E-2</v>
      </c>
      <c r="F18" s="128"/>
      <c r="G18" s="29"/>
      <c r="H18" s="29"/>
      <c r="I18" s="29"/>
      <c r="J18" s="29"/>
      <c r="K18" s="29"/>
      <c r="L18" s="29"/>
      <c r="M18" s="29"/>
      <c r="N18" s="29"/>
      <c r="O18" s="29"/>
      <c r="P18" s="29"/>
      <c r="Q18" s="29"/>
      <c r="R18" s="29"/>
      <c r="S18" s="29"/>
      <c r="T18" s="25"/>
      <c r="W18" s="293" t="s">
        <v>112</v>
      </c>
      <c r="X18" s="292">
        <v>2.8852000000000003E-2</v>
      </c>
    </row>
    <row r="19" spans="2:24" ht="15.75" x14ac:dyDescent="0.25">
      <c r="B19" s="64"/>
      <c r="C19" s="192" t="s">
        <v>286</v>
      </c>
      <c r="D19" s="187" t="s">
        <v>76</v>
      </c>
      <c r="E19" s="188">
        <v>1.6920000000000001E-2</v>
      </c>
      <c r="F19" s="128"/>
      <c r="G19" s="29"/>
      <c r="H19" s="29"/>
      <c r="I19" s="29"/>
      <c r="J19" s="29"/>
      <c r="K19" s="29"/>
      <c r="L19" s="29"/>
      <c r="M19" s="29"/>
      <c r="N19" s="29"/>
      <c r="O19" s="29"/>
      <c r="P19" s="29"/>
      <c r="Q19" s="29"/>
      <c r="R19" s="29"/>
      <c r="S19" s="29"/>
      <c r="T19" s="25"/>
      <c r="W19" s="293" t="s">
        <v>76</v>
      </c>
      <c r="X19" s="292">
        <v>2.7175000000000001E-2</v>
      </c>
    </row>
    <row r="20" spans="2:24" ht="15" customHeight="1" x14ac:dyDescent="0.25">
      <c r="B20" s="64"/>
      <c r="C20" s="192" t="s">
        <v>28</v>
      </c>
      <c r="D20" s="187" t="s">
        <v>106</v>
      </c>
      <c r="E20" s="188">
        <v>1.6666E-2</v>
      </c>
      <c r="F20" s="128"/>
      <c r="G20" s="29"/>
      <c r="H20" s="29"/>
      <c r="I20" s="29"/>
      <c r="J20" s="29"/>
      <c r="K20" s="29"/>
      <c r="L20" s="29"/>
      <c r="M20" s="29"/>
      <c r="N20" s="29"/>
      <c r="O20" s="29"/>
      <c r="P20" s="29"/>
      <c r="Q20" s="29"/>
      <c r="R20" s="29"/>
      <c r="S20" s="29"/>
      <c r="T20" s="25"/>
      <c r="W20" s="293" t="s">
        <v>10</v>
      </c>
      <c r="X20" s="292">
        <v>2.5418E-2</v>
      </c>
    </row>
    <row r="21" spans="2:24" ht="17.25" customHeight="1" x14ac:dyDescent="0.25">
      <c r="B21" s="64"/>
      <c r="C21" s="192" t="s">
        <v>134</v>
      </c>
      <c r="D21" s="187" t="s">
        <v>3</v>
      </c>
      <c r="E21" s="188">
        <v>1.6272999999999999E-2</v>
      </c>
      <c r="F21" s="128"/>
      <c r="G21" s="29"/>
      <c r="H21" s="29"/>
      <c r="I21" s="29"/>
      <c r="J21" s="29"/>
      <c r="K21" s="29"/>
      <c r="L21" s="29"/>
      <c r="M21" s="29"/>
      <c r="N21" s="29"/>
      <c r="O21" s="29"/>
      <c r="P21" s="29"/>
      <c r="Q21" s="29"/>
      <c r="R21" s="29"/>
      <c r="S21" s="29"/>
      <c r="T21" s="25"/>
      <c r="W21" s="293" t="s">
        <v>24</v>
      </c>
      <c r="X21" s="292">
        <v>2.4041E-2</v>
      </c>
    </row>
    <row r="22" spans="2:24" ht="15" customHeight="1" x14ac:dyDescent="0.25">
      <c r="B22" s="64"/>
      <c r="C22" s="192" t="s">
        <v>36</v>
      </c>
      <c r="D22" s="187" t="s">
        <v>3</v>
      </c>
      <c r="E22" s="188">
        <v>1.6046000000000001E-2</v>
      </c>
      <c r="F22" s="128"/>
      <c r="G22" s="29"/>
      <c r="H22" s="29"/>
      <c r="I22" s="29"/>
      <c r="J22" s="29"/>
      <c r="K22" s="29"/>
      <c r="L22" s="29"/>
      <c r="M22" s="29"/>
      <c r="N22" s="29"/>
      <c r="O22" s="29"/>
      <c r="P22" s="29"/>
      <c r="Q22" s="29"/>
      <c r="R22" s="29"/>
      <c r="S22" s="29"/>
      <c r="T22" s="25"/>
      <c r="W22" s="293" t="s">
        <v>16</v>
      </c>
      <c r="X22" s="292">
        <v>2.3417000000000004E-2</v>
      </c>
    </row>
    <row r="23" spans="2:24" ht="15" customHeight="1" x14ac:dyDescent="0.25">
      <c r="B23" s="64"/>
      <c r="C23" s="82"/>
      <c r="D23" s="82"/>
      <c r="E23" s="83"/>
      <c r="F23" s="128"/>
      <c r="G23" s="29"/>
      <c r="H23" s="29"/>
      <c r="I23" s="29"/>
      <c r="J23" s="29"/>
      <c r="K23" s="29"/>
      <c r="L23" s="29"/>
      <c r="M23" s="29"/>
      <c r="N23" s="29"/>
      <c r="O23" s="29"/>
      <c r="P23" s="29"/>
      <c r="Q23" s="29"/>
      <c r="R23" s="29"/>
      <c r="S23" s="29"/>
      <c r="T23" s="25"/>
      <c r="W23" s="293" t="s">
        <v>132</v>
      </c>
      <c r="X23" s="292">
        <v>2.0468E-2</v>
      </c>
    </row>
    <row r="24" spans="2:24" ht="15" customHeight="1" x14ac:dyDescent="0.25">
      <c r="B24" s="64"/>
      <c r="C24" s="157" t="s">
        <v>55</v>
      </c>
      <c r="D24" s="158"/>
      <c r="E24" s="159">
        <f>SUM(E8:E22)</f>
        <v>0.35733600000000004</v>
      </c>
      <c r="F24" s="29"/>
      <c r="G24" s="29"/>
      <c r="H24" s="29"/>
      <c r="I24" s="29"/>
      <c r="J24" s="29"/>
      <c r="K24" s="29"/>
      <c r="L24" s="29"/>
      <c r="M24" s="29"/>
      <c r="N24" s="29"/>
      <c r="O24" s="29"/>
      <c r="P24" s="29"/>
      <c r="Q24" s="29"/>
      <c r="R24" s="29"/>
      <c r="S24" s="29"/>
      <c r="T24" s="25"/>
      <c r="W24" s="293" t="s">
        <v>116</v>
      </c>
      <c r="X24" s="292">
        <v>1.9991999999999999E-2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93" t="s">
        <v>84</v>
      </c>
      <c r="X25" s="292">
        <v>1.8092E-2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93" t="s">
        <v>121</v>
      </c>
      <c r="X26" s="292">
        <v>1.5937E-2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93" t="s">
        <v>122</v>
      </c>
      <c r="X27" s="292">
        <v>1.5709999999999998E-2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93" t="s">
        <v>23</v>
      </c>
      <c r="X28" s="292">
        <v>1.5547999999999999E-2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93" t="s">
        <v>145</v>
      </c>
      <c r="X29" s="292">
        <v>1.5429E-2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93" t="s">
        <v>85</v>
      </c>
      <c r="X30" s="292">
        <v>1.4416999999999999E-2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93" t="s">
        <v>115</v>
      </c>
      <c r="X31" s="292">
        <v>1.1099000000000001E-2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93" t="s">
        <v>111</v>
      </c>
      <c r="X32" s="292">
        <v>1.0124999999999999E-2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93" t="s">
        <v>129</v>
      </c>
      <c r="X33" s="292">
        <v>8.4250000000000002E-3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93" t="s">
        <v>6</v>
      </c>
      <c r="X34" s="292">
        <v>8.2059999999999998E-3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93" t="s">
        <v>86</v>
      </c>
      <c r="X35" s="292">
        <v>8.0450000000000001E-3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93" t="s">
        <v>118</v>
      </c>
      <c r="X36" s="292">
        <v>7.5240000000000003E-3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93" t="s">
        <v>117</v>
      </c>
      <c r="X37" s="292">
        <v>7.2520000000000006E-3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93" t="s">
        <v>13</v>
      </c>
      <c r="X38" s="292">
        <v>6.9779999999999998E-3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93" t="s">
        <v>94</v>
      </c>
      <c r="X39" s="292">
        <v>6.8640000000000003E-3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93" t="s">
        <v>130</v>
      </c>
      <c r="X40" s="292">
        <v>6.463E-3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93" t="s">
        <v>11</v>
      </c>
      <c r="X41" s="292">
        <v>6.4520000000000003E-3</v>
      </c>
    </row>
    <row r="42" spans="2:24" ht="15" customHeight="1" x14ac:dyDescent="0.25">
      <c r="B42" s="302" t="s">
        <v>180</v>
      </c>
      <c r="C42" s="303"/>
      <c r="D42" s="303"/>
      <c r="E42" s="303"/>
      <c r="F42" s="303"/>
      <c r="G42" s="303"/>
      <c r="H42" s="303"/>
      <c r="I42" s="303"/>
      <c r="J42" s="303"/>
      <c r="K42" s="303"/>
      <c r="L42" s="303"/>
      <c r="M42" s="303"/>
      <c r="N42" s="303"/>
      <c r="O42" s="303"/>
      <c r="P42" s="303"/>
      <c r="Q42" s="303"/>
      <c r="R42" s="304"/>
      <c r="T42" s="29"/>
      <c r="W42" s="293" t="s">
        <v>114</v>
      </c>
      <c r="X42" s="292">
        <v>6.0179999999999999E-3</v>
      </c>
    </row>
    <row r="43" spans="2:24" ht="15" customHeight="1" x14ac:dyDescent="0.25">
      <c r="B43" s="305"/>
      <c r="C43" s="306"/>
      <c r="D43" s="306"/>
      <c r="E43" s="306"/>
      <c r="F43" s="306"/>
      <c r="G43" s="306"/>
      <c r="H43" s="306"/>
      <c r="I43" s="306"/>
      <c r="J43" s="306"/>
      <c r="K43" s="306"/>
      <c r="L43" s="306"/>
      <c r="M43" s="306"/>
      <c r="N43" s="306"/>
      <c r="O43" s="306"/>
      <c r="P43" s="306"/>
      <c r="Q43" s="306"/>
      <c r="R43" s="307"/>
      <c r="T43" s="29"/>
      <c r="W43" s="293" t="s">
        <v>82</v>
      </c>
      <c r="X43" s="292">
        <v>4.8500000000000001E-3</v>
      </c>
    </row>
    <row r="44" spans="2:24" ht="15" customHeight="1" x14ac:dyDescent="0.25">
      <c r="B44" s="305"/>
      <c r="C44" s="306"/>
      <c r="D44" s="306"/>
      <c r="E44" s="306"/>
      <c r="F44" s="306"/>
      <c r="G44" s="306"/>
      <c r="H44" s="306"/>
      <c r="I44" s="306"/>
      <c r="J44" s="306"/>
      <c r="K44" s="306"/>
      <c r="L44" s="306"/>
      <c r="M44" s="306"/>
      <c r="N44" s="306"/>
      <c r="O44" s="306"/>
      <c r="P44" s="306"/>
      <c r="Q44" s="306"/>
      <c r="R44" s="307"/>
      <c r="T44" s="29"/>
      <c r="W44" s="293" t="s">
        <v>125</v>
      </c>
      <c r="X44" s="292">
        <v>1.665E-3</v>
      </c>
    </row>
    <row r="45" spans="2:24" ht="15" customHeight="1" x14ac:dyDescent="0.25">
      <c r="B45" s="305"/>
      <c r="C45" s="306"/>
      <c r="D45" s="306"/>
      <c r="E45" s="306"/>
      <c r="F45" s="306"/>
      <c r="G45" s="306"/>
      <c r="H45" s="306"/>
      <c r="I45" s="306"/>
      <c r="J45" s="306"/>
      <c r="K45" s="306"/>
      <c r="L45" s="306"/>
      <c r="M45" s="306"/>
      <c r="N45" s="306"/>
      <c r="O45" s="306"/>
      <c r="P45" s="306"/>
      <c r="Q45" s="306"/>
      <c r="R45" s="307"/>
      <c r="T45" s="29"/>
      <c r="W45" s="293" t="s">
        <v>113</v>
      </c>
      <c r="X45" s="292">
        <v>1.596E-3</v>
      </c>
    </row>
    <row r="46" spans="2:24" ht="15" customHeight="1" x14ac:dyDescent="0.25">
      <c r="B46" s="305"/>
      <c r="C46" s="306"/>
      <c r="D46" s="306"/>
      <c r="E46" s="306"/>
      <c r="F46" s="306"/>
      <c r="G46" s="306"/>
      <c r="H46" s="306"/>
      <c r="I46" s="306"/>
      <c r="J46" s="306"/>
      <c r="K46" s="306"/>
      <c r="L46" s="306"/>
      <c r="M46" s="306"/>
      <c r="N46" s="306"/>
      <c r="O46" s="306"/>
      <c r="P46" s="306"/>
      <c r="Q46" s="306"/>
      <c r="R46" s="307"/>
      <c r="T46" s="29"/>
      <c r="W46" s="293" t="s">
        <v>15</v>
      </c>
      <c r="X46" s="292">
        <v>1.4300000000000001E-3</v>
      </c>
    </row>
    <row r="47" spans="2:24" ht="15" customHeight="1" x14ac:dyDescent="0.25">
      <c r="B47" s="305"/>
      <c r="C47" s="306"/>
      <c r="D47" s="306"/>
      <c r="E47" s="306"/>
      <c r="F47" s="306"/>
      <c r="G47" s="306"/>
      <c r="H47" s="306"/>
      <c r="I47" s="306"/>
      <c r="J47" s="306"/>
      <c r="K47" s="306"/>
      <c r="L47" s="306"/>
      <c r="M47" s="306"/>
      <c r="N47" s="306"/>
      <c r="O47" s="306"/>
      <c r="P47" s="306"/>
      <c r="Q47" s="306"/>
      <c r="R47" s="307"/>
      <c r="T47" s="29"/>
      <c r="W47" s="221"/>
      <c r="X47" s="224"/>
    </row>
    <row r="48" spans="2:24" ht="15" customHeight="1" thickBot="1" x14ac:dyDescent="0.3">
      <c r="B48" s="308"/>
      <c r="C48" s="309"/>
      <c r="D48" s="309"/>
      <c r="E48" s="309"/>
      <c r="F48" s="309"/>
      <c r="G48" s="309"/>
      <c r="H48" s="309"/>
      <c r="I48" s="309"/>
      <c r="J48" s="309"/>
      <c r="K48" s="309"/>
      <c r="L48" s="309"/>
      <c r="M48" s="309"/>
      <c r="N48" s="309"/>
      <c r="O48" s="309"/>
      <c r="P48" s="309"/>
      <c r="Q48" s="309"/>
      <c r="R48" s="310"/>
      <c r="T48" s="29"/>
      <c r="X48" s="224"/>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11" t="s">
        <v>169</v>
      </c>
      <c r="D3" s="312"/>
      <c r="E3" s="312"/>
      <c r="F3" s="312"/>
      <c r="G3" s="312"/>
      <c r="H3" s="312"/>
      <c r="I3" s="312"/>
      <c r="J3" s="312"/>
      <c r="K3" s="312"/>
      <c r="L3" s="312"/>
      <c r="M3" s="312"/>
      <c r="N3" s="312"/>
      <c r="O3" s="312"/>
      <c r="P3" s="312"/>
      <c r="Q3" s="312"/>
      <c r="R3" s="312"/>
      <c r="S3" s="312"/>
      <c r="T3" s="25"/>
    </row>
    <row r="4" spans="1:24" ht="15.75" customHeight="1" x14ac:dyDescent="0.25">
      <c r="B4" s="64"/>
      <c r="C4" s="67" t="s">
        <v>441</v>
      </c>
      <c r="D4" s="143"/>
      <c r="E4" s="29"/>
      <c r="F4" s="29"/>
      <c r="G4" s="29"/>
      <c r="H4" s="29"/>
      <c r="I4" s="29"/>
      <c r="J4" s="29"/>
      <c r="K4" s="29"/>
      <c r="L4" s="29"/>
      <c r="M4" s="29"/>
      <c r="N4" s="29"/>
      <c r="O4" s="29"/>
      <c r="P4" s="29"/>
      <c r="Q4" s="29"/>
      <c r="R4" s="29"/>
      <c r="S4" s="29"/>
      <c r="T4" s="25"/>
    </row>
    <row r="5" spans="1:24" ht="18" customHeight="1" x14ac:dyDescent="0.25">
      <c r="B5" s="64"/>
      <c r="C5" s="211" t="s">
        <v>440</v>
      </c>
      <c r="D5" s="313" t="s">
        <v>382</v>
      </c>
      <c r="E5" s="313"/>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191" t="s">
        <v>32</v>
      </c>
      <c r="D8" s="185" t="s">
        <v>3</v>
      </c>
      <c r="E8" s="186">
        <v>9.8149E-2</v>
      </c>
      <c r="F8" s="29"/>
      <c r="G8" s="29"/>
      <c r="H8" s="29"/>
      <c r="I8" s="29"/>
      <c r="J8" s="29"/>
      <c r="K8" s="29"/>
      <c r="L8" s="29"/>
      <c r="M8" s="29"/>
      <c r="N8" s="29"/>
      <c r="O8" s="29"/>
      <c r="P8" s="29"/>
      <c r="Q8" s="29"/>
      <c r="R8" s="29"/>
      <c r="S8" s="29"/>
      <c r="T8" s="25"/>
      <c r="W8" s="166" t="s">
        <v>3</v>
      </c>
      <c r="X8" s="167">
        <v>0.24820300000000001</v>
      </c>
    </row>
    <row r="9" spans="1:24" ht="15.75" customHeight="1" x14ac:dyDescent="0.25">
      <c r="B9" s="64"/>
      <c r="C9" s="192" t="s">
        <v>29</v>
      </c>
      <c r="D9" s="187" t="s">
        <v>3</v>
      </c>
      <c r="E9" s="188">
        <v>9.4883999999999996E-2</v>
      </c>
      <c r="F9" s="29"/>
      <c r="G9" s="29"/>
      <c r="H9" s="29"/>
      <c r="I9" s="29"/>
      <c r="J9" s="29"/>
      <c r="K9" s="29"/>
      <c r="L9" s="29"/>
      <c r="M9" s="29"/>
      <c r="N9" s="29"/>
      <c r="O9" s="29"/>
      <c r="P9" s="29"/>
      <c r="Q9" s="29"/>
      <c r="R9" s="29"/>
      <c r="S9" s="29"/>
      <c r="T9" s="25"/>
      <c r="W9" s="166" t="s">
        <v>106</v>
      </c>
      <c r="X9" s="167">
        <v>9.1239000000000001E-2</v>
      </c>
    </row>
    <row r="10" spans="1:24" ht="15" customHeight="1" x14ac:dyDescent="0.25">
      <c r="B10" s="64"/>
      <c r="C10" s="192" t="s">
        <v>31</v>
      </c>
      <c r="D10" s="187" t="s">
        <v>6</v>
      </c>
      <c r="E10" s="188">
        <v>7.3001999999999997E-2</v>
      </c>
      <c r="F10" s="29"/>
      <c r="G10" s="29"/>
      <c r="H10" s="29"/>
      <c r="I10" s="29"/>
      <c r="J10" s="29"/>
      <c r="K10" s="29"/>
      <c r="L10" s="29"/>
      <c r="M10" s="29"/>
      <c r="N10" s="29"/>
      <c r="O10" s="29"/>
      <c r="P10" s="29"/>
      <c r="Q10" s="29"/>
      <c r="R10" s="29"/>
      <c r="S10" s="29"/>
      <c r="T10" s="25"/>
      <c r="W10" s="166" t="s">
        <v>6</v>
      </c>
      <c r="X10" s="167">
        <v>7.3001999999999997E-2</v>
      </c>
    </row>
    <row r="11" spans="1:24" ht="15" customHeight="1" x14ac:dyDescent="0.25">
      <c r="B11" s="64"/>
      <c r="C11" s="192" t="s">
        <v>33</v>
      </c>
      <c r="D11" s="187" t="s">
        <v>106</v>
      </c>
      <c r="E11" s="188">
        <v>5.4163000000000003E-2</v>
      </c>
      <c r="F11" s="29"/>
      <c r="G11" s="29"/>
      <c r="H11" s="29"/>
      <c r="I11" s="29"/>
      <c r="J11" s="29"/>
      <c r="K11" s="29"/>
      <c r="L11" s="29"/>
      <c r="M11" s="29"/>
      <c r="N11" s="29"/>
      <c r="O11" s="29"/>
      <c r="P11" s="29"/>
      <c r="Q11" s="29"/>
      <c r="R11" s="29"/>
      <c r="S11" s="29"/>
      <c r="T11" s="25"/>
      <c r="W11" s="166" t="s">
        <v>110</v>
      </c>
      <c r="X11" s="167">
        <v>5.4385999999999997E-2</v>
      </c>
    </row>
    <row r="12" spans="1:24" ht="15" customHeight="1" x14ac:dyDescent="0.25">
      <c r="B12" s="64"/>
      <c r="C12" s="192" t="s">
        <v>70</v>
      </c>
      <c r="D12" s="187" t="s">
        <v>12</v>
      </c>
      <c r="E12" s="188">
        <v>3.5497000000000001E-2</v>
      </c>
      <c r="F12" s="29"/>
      <c r="G12" s="29"/>
      <c r="H12" s="29"/>
      <c r="I12" s="29"/>
      <c r="J12" s="29"/>
      <c r="K12" s="29"/>
      <c r="L12" s="29"/>
      <c r="M12" s="29"/>
      <c r="N12" s="29"/>
      <c r="O12" s="29"/>
      <c r="P12" s="29"/>
      <c r="Q12" s="29"/>
      <c r="R12" s="29"/>
      <c r="S12" s="29"/>
      <c r="T12" s="25"/>
      <c r="W12" s="166" t="s">
        <v>26</v>
      </c>
      <c r="X12" s="167">
        <v>5.1548000000000004E-2</v>
      </c>
    </row>
    <row r="13" spans="1:24" ht="15" customHeight="1" x14ac:dyDescent="0.25">
      <c r="B13" s="64"/>
      <c r="C13" s="192" t="s">
        <v>192</v>
      </c>
      <c r="D13" s="187" t="s">
        <v>105</v>
      </c>
      <c r="E13" s="188">
        <v>3.4826000000000003E-2</v>
      </c>
      <c r="F13" s="29"/>
      <c r="G13" s="29"/>
      <c r="H13" s="29"/>
      <c r="I13" s="29"/>
      <c r="J13" s="29"/>
      <c r="K13" s="29"/>
      <c r="L13" s="29"/>
      <c r="M13" s="29"/>
      <c r="N13" s="29"/>
      <c r="O13" s="29"/>
      <c r="P13" s="29"/>
      <c r="Q13" s="29"/>
      <c r="R13" s="29"/>
      <c r="S13" s="29"/>
      <c r="T13" s="25"/>
      <c r="W13" s="166" t="s">
        <v>4</v>
      </c>
      <c r="X13" s="167">
        <v>5.0293000000000004E-2</v>
      </c>
    </row>
    <row r="14" spans="1:24" ht="15" customHeight="1" x14ac:dyDescent="0.25">
      <c r="B14" s="64"/>
      <c r="C14" s="192" t="s">
        <v>30</v>
      </c>
      <c r="D14" s="187" t="s">
        <v>116</v>
      </c>
      <c r="E14" s="188">
        <v>3.3312000000000001E-2</v>
      </c>
      <c r="F14" s="29"/>
      <c r="G14" s="29"/>
      <c r="H14" s="29"/>
      <c r="I14" s="29"/>
      <c r="J14" s="29"/>
      <c r="K14" s="29"/>
      <c r="L14" s="29"/>
      <c r="M14" s="29"/>
      <c r="N14" s="29"/>
      <c r="O14" s="29"/>
      <c r="P14" s="29"/>
      <c r="Q14" s="29"/>
      <c r="R14" s="29"/>
      <c r="S14" s="29"/>
      <c r="T14" s="25"/>
      <c r="W14" s="166" t="s">
        <v>10</v>
      </c>
      <c r="X14" s="167">
        <v>4.8772999999999997E-2</v>
      </c>
    </row>
    <row r="15" spans="1:24" ht="15" customHeight="1" x14ac:dyDescent="0.25">
      <c r="B15" s="64"/>
      <c r="C15" s="192" t="s">
        <v>119</v>
      </c>
      <c r="D15" s="187" t="s">
        <v>111</v>
      </c>
      <c r="E15" s="188">
        <v>3.2745000000000003E-2</v>
      </c>
      <c r="F15" s="29"/>
      <c r="G15" s="29"/>
      <c r="H15" s="29"/>
      <c r="I15" s="29"/>
      <c r="J15" s="29"/>
      <c r="K15" s="29"/>
      <c r="L15" s="29"/>
      <c r="M15" s="29"/>
      <c r="N15" s="29"/>
      <c r="O15" s="29"/>
      <c r="P15" s="29"/>
      <c r="Q15" s="29"/>
      <c r="R15" s="29"/>
      <c r="S15" s="29"/>
      <c r="T15" s="25"/>
      <c r="W15" s="166" t="s">
        <v>111</v>
      </c>
      <c r="X15" s="167">
        <v>4.4090000000000004E-2</v>
      </c>
    </row>
    <row r="16" spans="1:24" ht="15" customHeight="1" x14ac:dyDescent="0.25">
      <c r="B16" s="64"/>
      <c r="C16" s="192" t="s">
        <v>36</v>
      </c>
      <c r="D16" s="187" t="s">
        <v>3</v>
      </c>
      <c r="E16" s="188">
        <v>3.2175000000000002E-2</v>
      </c>
      <c r="F16" s="29"/>
      <c r="G16" s="29"/>
      <c r="H16" s="29"/>
      <c r="I16" s="29"/>
      <c r="J16" s="29"/>
      <c r="K16" s="29"/>
      <c r="L16" s="29"/>
      <c r="M16" s="29"/>
      <c r="N16" s="29"/>
      <c r="O16" s="29"/>
      <c r="P16" s="29"/>
      <c r="Q16" s="29"/>
      <c r="R16" s="29"/>
      <c r="S16" s="29"/>
      <c r="T16" s="25"/>
      <c r="W16" s="166" t="s">
        <v>12</v>
      </c>
      <c r="X16" s="167">
        <v>3.5497000000000001E-2</v>
      </c>
    </row>
    <row r="17" spans="2:24" ht="15" customHeight="1" x14ac:dyDescent="0.25">
      <c r="B17" s="64"/>
      <c r="C17" s="192" t="s">
        <v>62</v>
      </c>
      <c r="D17" s="187" t="s">
        <v>10</v>
      </c>
      <c r="E17" s="188">
        <v>3.1337999999999998E-2</v>
      </c>
      <c r="F17" s="29"/>
      <c r="G17" s="29"/>
      <c r="H17" s="29"/>
      <c r="I17" s="29"/>
      <c r="J17" s="29"/>
      <c r="K17" s="29"/>
      <c r="L17" s="29"/>
      <c r="M17" s="29"/>
      <c r="N17" s="29"/>
      <c r="O17" s="29"/>
      <c r="P17" s="29"/>
      <c r="Q17" s="29"/>
      <c r="R17" s="29"/>
      <c r="S17" s="29"/>
      <c r="T17" s="25"/>
      <c r="W17" s="166" t="s">
        <v>105</v>
      </c>
      <c r="X17" s="167">
        <v>3.4826000000000003E-2</v>
      </c>
    </row>
    <row r="18" spans="2:24" ht="15" customHeight="1" x14ac:dyDescent="0.25">
      <c r="B18" s="64"/>
      <c r="C18" s="192" t="s">
        <v>247</v>
      </c>
      <c r="D18" s="187" t="s">
        <v>4</v>
      </c>
      <c r="E18" s="188">
        <v>2.6657E-2</v>
      </c>
      <c r="F18" s="29"/>
      <c r="G18" s="29"/>
      <c r="H18" s="29"/>
      <c r="I18" s="29"/>
      <c r="J18" s="29"/>
      <c r="K18" s="29"/>
      <c r="L18" s="29"/>
      <c r="M18" s="29"/>
      <c r="N18" s="29"/>
      <c r="O18" s="29"/>
      <c r="P18" s="29"/>
      <c r="Q18" s="29"/>
      <c r="R18" s="29"/>
      <c r="S18" s="29"/>
      <c r="T18" s="25"/>
      <c r="W18" s="166" t="s">
        <v>116</v>
      </c>
      <c r="X18" s="167">
        <v>3.3312000000000001E-2</v>
      </c>
    </row>
    <row r="19" spans="2:24" ht="15" customHeight="1" x14ac:dyDescent="0.25">
      <c r="B19" s="64"/>
      <c r="C19" s="192" t="s">
        <v>28</v>
      </c>
      <c r="D19" s="187" t="s">
        <v>106</v>
      </c>
      <c r="E19" s="188">
        <v>2.5770999999999999E-2</v>
      </c>
      <c r="F19" s="29"/>
      <c r="G19" s="29"/>
      <c r="H19" s="29"/>
      <c r="I19" s="29"/>
      <c r="J19" s="29"/>
      <c r="K19" s="29"/>
      <c r="L19" s="29"/>
      <c r="M19" s="29"/>
      <c r="N19" s="29"/>
      <c r="O19" s="29"/>
      <c r="P19" s="29"/>
      <c r="Q19" s="29"/>
      <c r="R19" s="29"/>
      <c r="S19" s="29"/>
      <c r="T19" s="25"/>
      <c r="W19" s="166" t="s">
        <v>82</v>
      </c>
      <c r="X19" s="167">
        <v>2.9141E-2</v>
      </c>
    </row>
    <row r="20" spans="2:24" ht="15" customHeight="1" x14ac:dyDescent="0.25">
      <c r="B20" s="64"/>
      <c r="C20" s="192" t="s">
        <v>78</v>
      </c>
      <c r="D20" s="187" t="s">
        <v>3</v>
      </c>
      <c r="E20" s="188">
        <v>2.2995000000000002E-2</v>
      </c>
      <c r="F20" s="29"/>
      <c r="G20" s="29"/>
      <c r="H20" s="29"/>
      <c r="I20" s="29"/>
      <c r="J20" s="29"/>
      <c r="K20" s="29"/>
      <c r="L20" s="29"/>
      <c r="M20" s="29"/>
      <c r="N20" s="29"/>
      <c r="O20" s="29"/>
      <c r="P20" s="29"/>
      <c r="Q20" s="29"/>
      <c r="R20" s="29"/>
      <c r="S20" s="29"/>
      <c r="T20" s="25"/>
      <c r="W20" s="166" t="s">
        <v>182</v>
      </c>
      <c r="X20" s="167">
        <v>2.1181999999999999E-2</v>
      </c>
    </row>
    <row r="21" spans="2:24" ht="15" customHeight="1" x14ac:dyDescent="0.25">
      <c r="B21" s="64"/>
      <c r="C21" s="192" t="s">
        <v>250</v>
      </c>
      <c r="D21" s="187" t="s">
        <v>110</v>
      </c>
      <c r="E21" s="188">
        <v>2.2896E-2</v>
      </c>
      <c r="F21" s="29"/>
      <c r="G21" s="29"/>
      <c r="H21" s="29"/>
      <c r="I21" s="29"/>
      <c r="J21" s="29"/>
      <c r="K21" s="29"/>
      <c r="L21" s="29"/>
      <c r="M21" s="29"/>
      <c r="N21" s="29"/>
      <c r="O21" s="29"/>
      <c r="P21" s="29"/>
      <c r="Q21" s="29"/>
      <c r="R21" s="29"/>
      <c r="S21" s="29"/>
      <c r="T21" s="25"/>
      <c r="W21" s="166" t="s">
        <v>23</v>
      </c>
      <c r="X21" s="167">
        <v>2.0216999999999999E-2</v>
      </c>
    </row>
    <row r="22" spans="2:24" ht="15" customHeight="1" x14ac:dyDescent="0.25">
      <c r="B22" s="64"/>
      <c r="C22" s="192" t="s">
        <v>104</v>
      </c>
      <c r="D22" s="187" t="s">
        <v>4</v>
      </c>
      <c r="E22" s="188">
        <v>2.1595E-2</v>
      </c>
      <c r="F22" s="29"/>
      <c r="G22" s="29"/>
      <c r="H22" s="29"/>
      <c r="I22" s="29"/>
      <c r="J22" s="29"/>
      <c r="K22" s="29"/>
      <c r="L22" s="29"/>
      <c r="M22" s="29"/>
      <c r="N22" s="29"/>
      <c r="O22" s="29"/>
      <c r="P22" s="29"/>
      <c r="Q22" s="29"/>
      <c r="R22" s="29"/>
      <c r="S22" s="29"/>
      <c r="T22" s="25"/>
      <c r="W22" s="166" t="s">
        <v>112</v>
      </c>
      <c r="X22" s="167">
        <v>1.8498000000000001E-2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66" t="s">
        <v>85</v>
      </c>
      <c r="X23" s="167">
        <v>1.8248E-2</v>
      </c>
    </row>
    <row r="24" spans="2:24" ht="15" customHeight="1" x14ac:dyDescent="0.25">
      <c r="B24" s="64"/>
      <c r="C24" s="73" t="s">
        <v>55</v>
      </c>
      <c r="D24" s="74"/>
      <c r="E24" s="75">
        <f>SUM(E8:E23)</f>
        <v>0.64000500000000016</v>
      </c>
      <c r="F24" s="29"/>
      <c r="G24" s="29"/>
      <c r="H24" s="29"/>
      <c r="I24" s="29"/>
      <c r="J24" s="29"/>
      <c r="K24" s="29"/>
      <c r="L24" s="29"/>
      <c r="M24" s="29"/>
      <c r="N24" s="29"/>
      <c r="O24" s="29"/>
      <c r="P24" s="29"/>
      <c r="Q24" s="29"/>
      <c r="R24" s="29"/>
      <c r="S24" s="29"/>
      <c r="T24" s="25"/>
      <c r="W24" s="166" t="s">
        <v>132</v>
      </c>
      <c r="X24" s="167">
        <v>1.6768999999999999E-2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66" t="s">
        <v>11</v>
      </c>
      <c r="X25" s="167">
        <v>1.5407000000000001E-2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66" t="s">
        <v>83</v>
      </c>
      <c r="X26" s="167">
        <v>1.3998E-2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66" t="s">
        <v>16</v>
      </c>
      <c r="X27" s="167">
        <v>1.1925E-2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66" t="s">
        <v>118</v>
      </c>
      <c r="X28" s="167">
        <v>1.149E-2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66" t="s">
        <v>123</v>
      </c>
      <c r="X29" s="167">
        <v>1.0364999999999999E-2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66" t="s">
        <v>76</v>
      </c>
      <c r="X30" s="167">
        <v>1.0155000000000001E-2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66" t="s">
        <v>15</v>
      </c>
      <c r="X31" s="167">
        <v>5.646E-3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66" t="s">
        <v>115</v>
      </c>
      <c r="X32" s="167">
        <v>5.0660000000000002E-3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66" t="s">
        <v>86</v>
      </c>
      <c r="X33" s="167">
        <v>4.9069999999999999E-3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66" t="s">
        <v>13</v>
      </c>
      <c r="X34" s="167">
        <v>4.8510000000000003E-3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66" t="s">
        <v>109</v>
      </c>
      <c r="X35" s="167">
        <v>3.6180000000000001E-3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66" t="s">
        <v>113</v>
      </c>
      <c r="X36" s="167">
        <v>2.7100000000000002E-3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166" t="s">
        <v>229</v>
      </c>
      <c r="X37" s="167">
        <v>1.284E-3</v>
      </c>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302" t="s">
        <v>180</v>
      </c>
      <c r="C49" s="303"/>
      <c r="D49" s="303"/>
      <c r="E49" s="303"/>
      <c r="F49" s="303"/>
      <c r="G49" s="303"/>
      <c r="H49" s="303"/>
      <c r="I49" s="303"/>
      <c r="J49" s="303"/>
      <c r="K49" s="303"/>
      <c r="L49" s="303"/>
      <c r="M49" s="303"/>
      <c r="N49" s="303"/>
      <c r="O49" s="303"/>
      <c r="P49" s="303"/>
      <c r="Q49" s="303"/>
      <c r="R49" s="304"/>
    </row>
    <row r="50" spans="2:18" ht="15" customHeight="1" x14ac:dyDescent="0.25">
      <c r="B50" s="305"/>
      <c r="C50" s="306"/>
      <c r="D50" s="306"/>
      <c r="E50" s="306"/>
      <c r="F50" s="306"/>
      <c r="G50" s="306"/>
      <c r="H50" s="306"/>
      <c r="I50" s="306"/>
      <c r="J50" s="306"/>
      <c r="K50" s="306"/>
      <c r="L50" s="306"/>
      <c r="M50" s="306"/>
      <c r="N50" s="306"/>
      <c r="O50" s="306"/>
      <c r="P50" s="306"/>
      <c r="Q50" s="306"/>
      <c r="R50" s="307"/>
    </row>
    <row r="51" spans="2:18" ht="15" customHeight="1" x14ac:dyDescent="0.25">
      <c r="B51" s="305"/>
      <c r="C51" s="306"/>
      <c r="D51" s="306"/>
      <c r="E51" s="306"/>
      <c r="F51" s="306"/>
      <c r="G51" s="306"/>
      <c r="H51" s="306"/>
      <c r="I51" s="306"/>
      <c r="J51" s="306"/>
      <c r="K51" s="306"/>
      <c r="L51" s="306"/>
      <c r="M51" s="306"/>
      <c r="N51" s="306"/>
      <c r="O51" s="306"/>
      <c r="P51" s="306"/>
      <c r="Q51" s="306"/>
      <c r="R51" s="307"/>
    </row>
    <row r="52" spans="2:18" ht="15" customHeight="1" x14ac:dyDescent="0.25">
      <c r="B52" s="305"/>
      <c r="C52" s="306"/>
      <c r="D52" s="306"/>
      <c r="E52" s="306"/>
      <c r="F52" s="306"/>
      <c r="G52" s="306"/>
      <c r="H52" s="306"/>
      <c r="I52" s="306"/>
      <c r="J52" s="306"/>
      <c r="K52" s="306"/>
      <c r="L52" s="306"/>
      <c r="M52" s="306"/>
      <c r="N52" s="306"/>
      <c r="O52" s="306"/>
      <c r="P52" s="306"/>
      <c r="Q52" s="306"/>
      <c r="R52" s="307"/>
    </row>
    <row r="53" spans="2:18" ht="15" customHeight="1" x14ac:dyDescent="0.25">
      <c r="B53" s="305"/>
      <c r="C53" s="306"/>
      <c r="D53" s="306"/>
      <c r="E53" s="306"/>
      <c r="F53" s="306"/>
      <c r="G53" s="306"/>
      <c r="H53" s="306"/>
      <c r="I53" s="306"/>
      <c r="J53" s="306"/>
      <c r="K53" s="306"/>
      <c r="L53" s="306"/>
      <c r="M53" s="306"/>
      <c r="N53" s="306"/>
      <c r="O53" s="306"/>
      <c r="P53" s="306"/>
      <c r="Q53" s="306"/>
      <c r="R53" s="307"/>
    </row>
    <row r="54" spans="2:18" ht="15" customHeight="1" x14ac:dyDescent="0.25">
      <c r="B54" s="305"/>
      <c r="C54" s="306"/>
      <c r="D54" s="306"/>
      <c r="E54" s="306"/>
      <c r="F54" s="306"/>
      <c r="G54" s="306"/>
      <c r="H54" s="306"/>
      <c r="I54" s="306"/>
      <c r="J54" s="306"/>
      <c r="K54" s="306"/>
      <c r="L54" s="306"/>
      <c r="M54" s="306"/>
      <c r="N54" s="306"/>
      <c r="O54" s="306"/>
      <c r="P54" s="306"/>
      <c r="Q54" s="306"/>
      <c r="R54" s="307"/>
    </row>
    <row r="55" spans="2:18" ht="15" customHeight="1" thickBot="1" x14ac:dyDescent="0.3">
      <c r="B55" s="308"/>
      <c r="C55" s="309"/>
      <c r="D55" s="309"/>
      <c r="E55" s="309"/>
      <c r="F55" s="309"/>
      <c r="G55" s="309"/>
      <c r="H55" s="309"/>
      <c r="I55" s="309"/>
      <c r="J55" s="309"/>
      <c r="K55" s="309"/>
      <c r="L55" s="309"/>
      <c r="M55" s="309"/>
      <c r="N55" s="309"/>
      <c r="O55" s="309"/>
      <c r="P55" s="309"/>
      <c r="Q55" s="309"/>
      <c r="R55" s="310"/>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168</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383</v>
      </c>
      <c r="E5" s="313"/>
      <c r="F5" s="29"/>
      <c r="G5" s="14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25">
      <c r="B8" s="79"/>
      <c r="C8" s="184" t="s">
        <v>29</v>
      </c>
      <c r="D8" s="185" t="s">
        <v>3</v>
      </c>
      <c r="E8" s="186">
        <v>7.3916999999999997E-2</v>
      </c>
      <c r="F8" s="29"/>
      <c r="G8" s="29"/>
      <c r="H8" s="29"/>
      <c r="I8" s="29"/>
      <c r="J8" s="29"/>
      <c r="K8" s="29"/>
      <c r="L8" s="29"/>
      <c r="M8" s="29"/>
      <c r="N8" s="29"/>
      <c r="O8" s="29"/>
      <c r="P8" s="29"/>
      <c r="Q8" s="29"/>
      <c r="R8" s="29"/>
      <c r="S8" s="29"/>
      <c r="T8" s="22"/>
      <c r="W8" s="166" t="s">
        <v>3</v>
      </c>
      <c r="X8" s="167">
        <v>0.158914</v>
      </c>
    </row>
    <row r="9" spans="1:24" ht="15.75" customHeight="1" x14ac:dyDescent="0.25">
      <c r="B9" s="79"/>
      <c r="C9" s="180" t="s">
        <v>32</v>
      </c>
      <c r="D9" s="187" t="s">
        <v>3</v>
      </c>
      <c r="E9" s="188">
        <v>6.4173999999999995E-2</v>
      </c>
      <c r="F9" s="29"/>
      <c r="G9" s="29"/>
      <c r="H9" s="29"/>
      <c r="I9" s="29"/>
      <c r="J9" s="29"/>
      <c r="K9" s="29"/>
      <c r="L9" s="29"/>
      <c r="M9" s="29"/>
      <c r="N9" s="29"/>
      <c r="O9" s="29"/>
      <c r="P9" s="29"/>
      <c r="Q9" s="29"/>
      <c r="R9" s="29"/>
      <c r="S9" s="29"/>
      <c r="T9" s="22"/>
      <c r="W9" s="166" t="s">
        <v>112</v>
      </c>
      <c r="X9" s="167">
        <v>7.7487E-2</v>
      </c>
    </row>
    <row r="10" spans="1:24" ht="15" customHeight="1" x14ac:dyDescent="0.25">
      <c r="B10" s="79"/>
      <c r="C10" s="180" t="s">
        <v>210</v>
      </c>
      <c r="D10" s="187" t="s">
        <v>112</v>
      </c>
      <c r="E10" s="188">
        <v>4.947E-2</v>
      </c>
      <c r="F10" s="29"/>
      <c r="G10" s="29"/>
      <c r="H10" s="29"/>
      <c r="I10" s="29"/>
      <c r="J10" s="29"/>
      <c r="K10" s="29"/>
      <c r="L10" s="29"/>
      <c r="M10" s="29"/>
      <c r="N10" s="29"/>
      <c r="O10" s="29"/>
      <c r="P10" s="29"/>
      <c r="Q10" s="29"/>
      <c r="R10" s="29"/>
      <c r="S10" s="29"/>
      <c r="T10" s="22"/>
      <c r="W10" s="166" t="s">
        <v>110</v>
      </c>
      <c r="X10" s="167">
        <v>7.1889000000000008E-2</v>
      </c>
    </row>
    <row r="11" spans="1:24" ht="15" customHeight="1" x14ac:dyDescent="0.25">
      <c r="B11" s="79"/>
      <c r="C11" s="180" t="s">
        <v>31</v>
      </c>
      <c r="D11" s="187" t="s">
        <v>6</v>
      </c>
      <c r="E11" s="188">
        <v>4.2888999999999997E-2</v>
      </c>
      <c r="F11" s="29"/>
      <c r="G11" s="29"/>
      <c r="H11" s="29"/>
      <c r="I11" s="29"/>
      <c r="J11" s="29"/>
      <c r="K11" s="29"/>
      <c r="L11" s="29"/>
      <c r="M11" s="29"/>
      <c r="N11" s="29"/>
      <c r="O11" s="29"/>
      <c r="P11" s="29"/>
      <c r="Q11" s="29"/>
      <c r="R11" s="29"/>
      <c r="S11" s="29"/>
      <c r="T11" s="22"/>
      <c r="W11" s="166" t="s">
        <v>106</v>
      </c>
      <c r="X11" s="167">
        <v>7.0236999999999994E-2</v>
      </c>
    </row>
    <row r="12" spans="1:24" ht="15" customHeight="1" x14ac:dyDescent="0.25">
      <c r="B12" s="79"/>
      <c r="C12" s="180" t="s">
        <v>28</v>
      </c>
      <c r="D12" s="187" t="s">
        <v>106</v>
      </c>
      <c r="E12" s="188">
        <v>4.1036999999999997E-2</v>
      </c>
      <c r="F12" s="29"/>
      <c r="G12" s="29"/>
      <c r="H12" s="29"/>
      <c r="I12" s="29"/>
      <c r="J12" s="29"/>
      <c r="K12" s="29"/>
      <c r="L12" s="29"/>
      <c r="M12" s="29"/>
      <c r="N12" s="29"/>
      <c r="O12" s="29"/>
      <c r="P12" s="29"/>
      <c r="Q12" s="29"/>
      <c r="R12" s="29"/>
      <c r="S12" s="29"/>
      <c r="T12" s="22"/>
      <c r="W12" s="166" t="s">
        <v>182</v>
      </c>
      <c r="X12" s="167">
        <v>6.0478000000000004E-2</v>
      </c>
    </row>
    <row r="13" spans="1:24" ht="15" customHeight="1" x14ac:dyDescent="0.25">
      <c r="B13" s="79"/>
      <c r="C13" s="180" t="s">
        <v>192</v>
      </c>
      <c r="D13" s="187" t="s">
        <v>105</v>
      </c>
      <c r="E13" s="188">
        <v>4.0613000000000003E-2</v>
      </c>
      <c r="F13" s="29"/>
      <c r="G13" s="29"/>
      <c r="H13" s="29"/>
      <c r="I13" s="29"/>
      <c r="J13" s="29"/>
      <c r="K13" s="29"/>
      <c r="L13" s="29"/>
      <c r="M13" s="29"/>
      <c r="N13" s="29"/>
      <c r="O13" s="29"/>
      <c r="P13" s="29"/>
      <c r="Q13" s="29"/>
      <c r="R13" s="29"/>
      <c r="S13" s="29"/>
      <c r="T13" s="22"/>
      <c r="W13" s="166" t="s">
        <v>10</v>
      </c>
      <c r="X13" s="167">
        <v>5.8358E-2</v>
      </c>
    </row>
    <row r="14" spans="1:24" ht="15" customHeight="1" x14ac:dyDescent="0.25">
      <c r="B14" s="79"/>
      <c r="C14" s="180" t="s">
        <v>70</v>
      </c>
      <c r="D14" s="187" t="s">
        <v>12</v>
      </c>
      <c r="E14" s="188">
        <v>3.9086000000000003E-2</v>
      </c>
      <c r="F14" s="29"/>
      <c r="G14" s="29"/>
      <c r="H14" s="29"/>
      <c r="I14" s="29"/>
      <c r="J14" s="29"/>
      <c r="K14" s="29"/>
      <c r="L14" s="29"/>
      <c r="M14" s="29"/>
      <c r="N14" s="29"/>
      <c r="O14" s="29"/>
      <c r="P14" s="29"/>
      <c r="Q14" s="29"/>
      <c r="R14" s="29"/>
      <c r="S14" s="29"/>
      <c r="T14" s="22"/>
      <c r="W14" s="166" t="s">
        <v>26</v>
      </c>
      <c r="X14" s="167">
        <v>5.7721999999999996E-2</v>
      </c>
    </row>
    <row r="15" spans="1:24" ht="15" customHeight="1" x14ac:dyDescent="0.25">
      <c r="B15" s="79"/>
      <c r="C15" s="180" t="s">
        <v>267</v>
      </c>
      <c r="D15" s="187" t="s">
        <v>182</v>
      </c>
      <c r="E15" s="188">
        <v>3.7208999999999999E-2</v>
      </c>
      <c r="F15" s="29"/>
      <c r="G15" s="29"/>
      <c r="H15" s="29"/>
      <c r="I15" s="29"/>
      <c r="J15" s="29"/>
      <c r="K15" s="29"/>
      <c r="L15" s="29"/>
      <c r="M15" s="29"/>
      <c r="N15" s="29"/>
      <c r="O15" s="29"/>
      <c r="P15" s="29"/>
      <c r="Q15" s="29"/>
      <c r="R15" s="29"/>
      <c r="S15" s="29"/>
      <c r="T15" s="22"/>
      <c r="W15" s="166" t="s">
        <v>4</v>
      </c>
      <c r="X15" s="167">
        <v>4.2959000000000004E-2</v>
      </c>
    </row>
    <row r="16" spans="1:24" ht="15" customHeight="1" x14ac:dyDescent="0.25">
      <c r="B16" s="79"/>
      <c r="C16" s="180" t="s">
        <v>206</v>
      </c>
      <c r="D16" s="187" t="s">
        <v>110</v>
      </c>
      <c r="E16" s="188">
        <v>3.5869999999999999E-2</v>
      </c>
      <c r="F16" s="29"/>
      <c r="G16" s="29"/>
      <c r="H16" s="29"/>
      <c r="I16" s="29"/>
      <c r="J16" s="29"/>
      <c r="K16" s="29"/>
      <c r="L16" s="29"/>
      <c r="M16" s="29"/>
      <c r="N16" s="29"/>
      <c r="O16" s="29"/>
      <c r="P16" s="29"/>
      <c r="Q16" s="29"/>
      <c r="R16" s="29"/>
      <c r="S16" s="29"/>
      <c r="T16" s="22"/>
      <c r="W16" s="166" t="s">
        <v>6</v>
      </c>
      <c r="X16" s="167">
        <v>4.2888999999999997E-2</v>
      </c>
    </row>
    <row r="17" spans="2:24" ht="15" customHeight="1" x14ac:dyDescent="0.25">
      <c r="B17" s="79"/>
      <c r="C17" s="180" t="s">
        <v>104</v>
      </c>
      <c r="D17" s="187" t="s">
        <v>4</v>
      </c>
      <c r="E17" s="188">
        <v>3.5339000000000002E-2</v>
      </c>
      <c r="F17" s="29"/>
      <c r="G17" s="29"/>
      <c r="H17" s="29"/>
      <c r="I17" s="29"/>
      <c r="J17" s="29"/>
      <c r="K17" s="29"/>
      <c r="L17" s="29"/>
      <c r="M17" s="29"/>
      <c r="N17" s="29"/>
      <c r="O17" s="29"/>
      <c r="P17" s="29"/>
      <c r="Q17" s="29"/>
      <c r="R17" s="29"/>
      <c r="S17" s="29"/>
      <c r="T17" s="22"/>
      <c r="W17" s="166" t="s">
        <v>105</v>
      </c>
      <c r="X17" s="167">
        <v>4.0613000000000003E-2</v>
      </c>
    </row>
    <row r="18" spans="2:24" ht="15" customHeight="1" x14ac:dyDescent="0.25">
      <c r="B18" s="79"/>
      <c r="C18" s="180" t="s">
        <v>34</v>
      </c>
      <c r="D18" s="187" t="s">
        <v>23</v>
      </c>
      <c r="E18" s="188">
        <v>3.4433999999999999E-2</v>
      </c>
      <c r="F18" s="29"/>
      <c r="G18" s="29"/>
      <c r="H18" s="29"/>
      <c r="I18" s="29"/>
      <c r="J18" s="29"/>
      <c r="K18" s="29"/>
      <c r="L18" s="29"/>
      <c r="M18" s="29"/>
      <c r="N18" s="29"/>
      <c r="O18" s="29"/>
      <c r="P18" s="29"/>
      <c r="Q18" s="29"/>
      <c r="R18" s="29"/>
      <c r="S18" s="29"/>
      <c r="T18" s="22"/>
      <c r="W18" s="166" t="s">
        <v>12</v>
      </c>
      <c r="X18" s="167">
        <v>3.9086000000000003E-2</v>
      </c>
    </row>
    <row r="19" spans="2:24" ht="15" customHeight="1" x14ac:dyDescent="0.25">
      <c r="B19" s="79"/>
      <c r="C19" s="180" t="s">
        <v>62</v>
      </c>
      <c r="D19" s="187" t="s">
        <v>10</v>
      </c>
      <c r="E19" s="188">
        <v>3.2784000000000001E-2</v>
      </c>
      <c r="F19" s="29"/>
      <c r="G19" s="29"/>
      <c r="H19" s="29"/>
      <c r="I19" s="29"/>
      <c r="J19" s="29"/>
      <c r="K19" s="29"/>
      <c r="L19" s="29"/>
      <c r="M19" s="29"/>
      <c r="N19" s="29"/>
      <c r="O19" s="29"/>
      <c r="P19" s="29"/>
      <c r="Q19" s="29"/>
      <c r="R19" s="29"/>
      <c r="S19" s="29"/>
      <c r="T19" s="22"/>
      <c r="W19" s="166" t="s">
        <v>23</v>
      </c>
      <c r="X19" s="167">
        <v>3.4433999999999999E-2</v>
      </c>
    </row>
    <row r="20" spans="2:24" ht="15" customHeight="1" x14ac:dyDescent="0.25">
      <c r="B20" s="79"/>
      <c r="C20" s="180" t="s">
        <v>277</v>
      </c>
      <c r="D20" s="187" t="s">
        <v>132</v>
      </c>
      <c r="E20" s="188">
        <v>3.0247E-2</v>
      </c>
      <c r="F20" s="29"/>
      <c r="G20" s="29"/>
      <c r="H20" s="29"/>
      <c r="I20" s="29"/>
      <c r="J20" s="29"/>
      <c r="K20" s="29"/>
      <c r="L20" s="29"/>
      <c r="M20" s="29"/>
      <c r="N20" s="29"/>
      <c r="O20" s="29"/>
      <c r="P20" s="29"/>
      <c r="Q20" s="29"/>
      <c r="R20" s="29"/>
      <c r="S20" s="29"/>
      <c r="T20" s="22"/>
      <c r="W20" s="166" t="s">
        <v>132</v>
      </c>
      <c r="X20" s="167">
        <v>3.0247E-2</v>
      </c>
    </row>
    <row r="21" spans="2:24" ht="15" customHeight="1" x14ac:dyDescent="0.25">
      <c r="B21" s="79"/>
      <c r="C21" s="180" t="s">
        <v>422</v>
      </c>
      <c r="D21" s="187" t="s">
        <v>84</v>
      </c>
      <c r="E21" s="188">
        <v>2.9513999999999999E-2</v>
      </c>
      <c r="F21" s="29"/>
      <c r="G21" s="29"/>
      <c r="H21" s="29"/>
      <c r="I21" s="29"/>
      <c r="J21" s="29"/>
      <c r="K21" s="29"/>
      <c r="L21" s="29"/>
      <c r="M21" s="29"/>
      <c r="N21" s="29"/>
      <c r="O21" s="29"/>
      <c r="P21" s="29"/>
      <c r="Q21" s="29"/>
      <c r="R21" s="29"/>
      <c r="S21" s="29"/>
      <c r="T21" s="22"/>
      <c r="W21" s="166" t="s">
        <v>84</v>
      </c>
      <c r="X21" s="167">
        <v>2.9513999999999999E-2</v>
      </c>
    </row>
    <row r="22" spans="2:24" ht="15" customHeight="1" x14ac:dyDescent="0.25">
      <c r="B22" s="79"/>
      <c r="C22" s="180" t="s">
        <v>33</v>
      </c>
      <c r="D22" s="187" t="s">
        <v>106</v>
      </c>
      <c r="E22" s="188">
        <v>2.92E-2</v>
      </c>
      <c r="F22" s="29"/>
      <c r="G22" s="29"/>
      <c r="H22" s="29"/>
      <c r="I22" s="29"/>
      <c r="J22" s="29"/>
      <c r="K22" s="29"/>
      <c r="L22" s="29"/>
      <c r="M22" s="29"/>
      <c r="N22" s="29"/>
      <c r="O22" s="29"/>
      <c r="P22" s="29"/>
      <c r="Q22" s="29"/>
      <c r="R22" s="29"/>
      <c r="S22" s="29"/>
      <c r="T22" s="22"/>
      <c r="W22" s="166" t="s">
        <v>116</v>
      </c>
      <c r="X22" s="167">
        <v>2.4313999999999999E-2</v>
      </c>
    </row>
    <row r="23" spans="2:24" ht="15" customHeight="1" x14ac:dyDescent="0.25">
      <c r="B23" s="79"/>
      <c r="C23" s="71"/>
      <c r="D23" s="150"/>
      <c r="E23" s="72"/>
      <c r="F23" s="29"/>
      <c r="G23" s="29"/>
      <c r="H23" s="29"/>
      <c r="I23" s="29"/>
      <c r="J23" s="29"/>
      <c r="K23" s="29"/>
      <c r="L23" s="29"/>
      <c r="M23" s="29"/>
      <c r="N23" s="29"/>
      <c r="O23" s="29"/>
      <c r="P23" s="29"/>
      <c r="Q23" s="29"/>
      <c r="R23" s="29"/>
      <c r="S23" s="29"/>
      <c r="T23" s="22"/>
      <c r="W23" s="166" t="s">
        <v>111</v>
      </c>
      <c r="X23" s="167">
        <v>1.6267E-2</v>
      </c>
    </row>
    <row r="24" spans="2:24" ht="15" customHeight="1" x14ac:dyDescent="0.25">
      <c r="B24" s="79"/>
      <c r="C24" s="73" t="s">
        <v>55</v>
      </c>
      <c r="D24" s="74"/>
      <c r="E24" s="75">
        <f>SUM(E8:E22)</f>
        <v>0.61578300000000008</v>
      </c>
      <c r="F24" s="29"/>
      <c r="G24" s="29"/>
      <c r="H24" s="29"/>
      <c r="I24" s="29"/>
      <c r="J24" s="29"/>
      <c r="K24" s="29"/>
      <c r="L24" s="29"/>
      <c r="M24" s="29"/>
      <c r="N24" s="29"/>
      <c r="O24" s="29"/>
      <c r="P24" s="29"/>
      <c r="Q24" s="29"/>
      <c r="R24" s="29"/>
      <c r="S24" s="29"/>
      <c r="T24" s="22"/>
      <c r="W24" s="166" t="s">
        <v>229</v>
      </c>
      <c r="X24" s="167">
        <v>1.5810000000000001E-2</v>
      </c>
    </row>
    <row r="25" spans="2:24" ht="15" customHeight="1" x14ac:dyDescent="0.25">
      <c r="B25" s="79"/>
      <c r="F25" s="29"/>
      <c r="G25" s="29"/>
      <c r="H25" s="29"/>
      <c r="I25" s="29"/>
      <c r="J25" s="29"/>
      <c r="K25" s="29"/>
      <c r="L25" s="29"/>
      <c r="M25" s="29"/>
      <c r="N25" s="29"/>
      <c r="O25" s="29"/>
      <c r="P25" s="29"/>
      <c r="Q25" s="29"/>
      <c r="R25" s="29"/>
      <c r="S25" s="29"/>
      <c r="T25" s="22"/>
      <c r="W25" s="166" t="s">
        <v>76</v>
      </c>
      <c r="X25" s="167">
        <v>1.2690999999999999E-2</v>
      </c>
    </row>
    <row r="26" spans="2:24" ht="15" customHeight="1" x14ac:dyDescent="0.25">
      <c r="B26" s="79"/>
      <c r="F26" s="29"/>
      <c r="G26" s="29"/>
      <c r="H26" s="29"/>
      <c r="I26" s="29"/>
      <c r="J26" s="29"/>
      <c r="K26" s="29"/>
      <c r="L26" s="29"/>
      <c r="M26" s="29"/>
      <c r="N26" s="29"/>
      <c r="O26" s="29"/>
      <c r="P26" s="29"/>
      <c r="Q26" s="29"/>
      <c r="R26" s="29"/>
      <c r="S26" s="29"/>
      <c r="T26" s="22"/>
      <c r="W26" s="166" t="s">
        <v>113</v>
      </c>
      <c r="X26" s="167">
        <v>7.45E-3</v>
      </c>
    </row>
    <row r="27" spans="2:24" ht="15" customHeight="1" x14ac:dyDescent="0.25">
      <c r="B27" s="79"/>
      <c r="F27" s="29"/>
      <c r="G27" s="29"/>
      <c r="H27" s="29"/>
      <c r="I27" s="29"/>
      <c r="J27" s="29"/>
      <c r="K27" s="29"/>
      <c r="L27" s="29"/>
      <c r="M27" s="29"/>
      <c r="N27" s="29"/>
      <c r="O27" s="29"/>
      <c r="P27" s="29"/>
      <c r="Q27" s="29"/>
      <c r="R27" s="29"/>
      <c r="S27" s="29"/>
      <c r="T27" s="22"/>
      <c r="W27" s="166"/>
      <c r="X27" s="167"/>
    </row>
    <row r="28" spans="2:24" ht="15" customHeight="1" x14ac:dyDescent="0.25">
      <c r="B28" s="79"/>
      <c r="F28" s="29"/>
      <c r="G28" s="29"/>
      <c r="H28" s="29"/>
      <c r="I28" s="29"/>
      <c r="J28" s="29"/>
      <c r="K28" s="29"/>
      <c r="L28" s="29"/>
      <c r="M28" s="29"/>
      <c r="N28" s="29"/>
      <c r="O28" s="29"/>
      <c r="P28" s="29"/>
      <c r="Q28" s="29"/>
      <c r="R28" s="29"/>
      <c r="S28" s="29"/>
      <c r="T28" s="22"/>
      <c r="W28" s="166"/>
      <c r="X28" s="167"/>
    </row>
    <row r="29" spans="2:24" ht="15" customHeight="1" x14ac:dyDescent="0.25">
      <c r="B29" s="79"/>
      <c r="F29" s="29"/>
      <c r="G29" s="29"/>
      <c r="H29" s="29"/>
      <c r="I29" s="29"/>
      <c r="J29" s="29"/>
      <c r="K29" s="29"/>
      <c r="L29" s="29"/>
      <c r="M29" s="29"/>
      <c r="N29" s="29"/>
      <c r="O29" s="29"/>
      <c r="P29" s="29"/>
      <c r="Q29" s="29"/>
      <c r="R29" s="29"/>
      <c r="S29" s="29"/>
      <c r="T29" s="22"/>
      <c r="W29" s="166"/>
      <c r="X29" s="167"/>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302" t="s">
        <v>180</v>
      </c>
      <c r="C38" s="303"/>
      <c r="D38" s="303"/>
      <c r="E38" s="303"/>
      <c r="F38" s="303"/>
      <c r="G38" s="303"/>
      <c r="H38" s="303"/>
      <c r="I38" s="303"/>
      <c r="J38" s="303"/>
      <c r="K38" s="303"/>
      <c r="L38" s="303"/>
      <c r="M38" s="303"/>
      <c r="N38" s="303"/>
      <c r="O38" s="303"/>
      <c r="P38" s="303"/>
      <c r="Q38" s="303"/>
      <c r="R38" s="304"/>
    </row>
    <row r="39" spans="2:20" ht="15" customHeight="1" x14ac:dyDescent="0.25">
      <c r="B39" s="305"/>
      <c r="C39" s="306"/>
      <c r="D39" s="306"/>
      <c r="E39" s="306"/>
      <c r="F39" s="306"/>
      <c r="G39" s="306"/>
      <c r="H39" s="306"/>
      <c r="I39" s="306"/>
      <c r="J39" s="306"/>
      <c r="K39" s="306"/>
      <c r="L39" s="306"/>
      <c r="M39" s="306"/>
      <c r="N39" s="306"/>
      <c r="O39" s="306"/>
      <c r="P39" s="306"/>
      <c r="Q39" s="306"/>
      <c r="R39" s="307"/>
    </row>
    <row r="40" spans="2:20" ht="15" customHeight="1" x14ac:dyDescent="0.25">
      <c r="B40" s="305"/>
      <c r="C40" s="306"/>
      <c r="D40" s="306"/>
      <c r="E40" s="306"/>
      <c r="F40" s="306"/>
      <c r="G40" s="306"/>
      <c r="H40" s="306"/>
      <c r="I40" s="306"/>
      <c r="J40" s="306"/>
      <c r="K40" s="306"/>
      <c r="L40" s="306"/>
      <c r="M40" s="306"/>
      <c r="N40" s="306"/>
      <c r="O40" s="306"/>
      <c r="P40" s="306"/>
      <c r="Q40" s="306"/>
      <c r="R40" s="307"/>
    </row>
    <row r="41" spans="2:20" ht="15" customHeight="1" x14ac:dyDescent="0.25">
      <c r="B41" s="305"/>
      <c r="C41" s="306"/>
      <c r="D41" s="306"/>
      <c r="E41" s="306"/>
      <c r="F41" s="306"/>
      <c r="G41" s="306"/>
      <c r="H41" s="306"/>
      <c r="I41" s="306"/>
      <c r="J41" s="306"/>
      <c r="K41" s="306"/>
      <c r="L41" s="306"/>
      <c r="M41" s="306"/>
      <c r="N41" s="306"/>
      <c r="O41" s="306"/>
      <c r="P41" s="306"/>
      <c r="Q41" s="306"/>
      <c r="R41" s="307"/>
    </row>
    <row r="42" spans="2:20" ht="15" customHeight="1" x14ac:dyDescent="0.25">
      <c r="B42" s="305"/>
      <c r="C42" s="306"/>
      <c r="D42" s="306"/>
      <c r="E42" s="306"/>
      <c r="F42" s="306"/>
      <c r="G42" s="306"/>
      <c r="H42" s="306"/>
      <c r="I42" s="306"/>
      <c r="J42" s="306"/>
      <c r="K42" s="306"/>
      <c r="L42" s="306"/>
      <c r="M42" s="306"/>
      <c r="N42" s="306"/>
      <c r="O42" s="306"/>
      <c r="P42" s="306"/>
      <c r="Q42" s="306"/>
      <c r="R42" s="307"/>
    </row>
    <row r="43" spans="2:20" ht="15" customHeight="1" x14ac:dyDescent="0.25">
      <c r="B43" s="305"/>
      <c r="C43" s="306"/>
      <c r="D43" s="306"/>
      <c r="E43" s="306"/>
      <c r="F43" s="306"/>
      <c r="G43" s="306"/>
      <c r="H43" s="306"/>
      <c r="I43" s="306"/>
      <c r="J43" s="306"/>
      <c r="K43" s="306"/>
      <c r="L43" s="306"/>
      <c r="M43" s="306"/>
      <c r="N43" s="306"/>
      <c r="O43" s="306"/>
      <c r="P43" s="306"/>
      <c r="Q43" s="306"/>
      <c r="R43" s="307"/>
    </row>
    <row r="44" spans="2:20" ht="15" customHeight="1" thickBot="1" x14ac:dyDescent="0.3">
      <c r="B44" s="308"/>
      <c r="C44" s="309"/>
      <c r="D44" s="309"/>
      <c r="E44" s="309"/>
      <c r="F44" s="309"/>
      <c r="G44" s="309"/>
      <c r="H44" s="309"/>
      <c r="I44" s="309"/>
      <c r="J44" s="309"/>
      <c r="K44" s="309"/>
      <c r="L44" s="309"/>
      <c r="M44" s="309"/>
      <c r="N44" s="309"/>
      <c r="O44" s="309"/>
      <c r="P44" s="309"/>
      <c r="Q44" s="309"/>
      <c r="R44" s="310"/>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311" t="s">
        <v>167</v>
      </c>
      <c r="D3" s="312"/>
      <c r="E3" s="312"/>
      <c r="F3" s="312"/>
      <c r="G3" s="312"/>
      <c r="H3" s="312"/>
      <c r="I3" s="312"/>
      <c r="J3" s="312"/>
      <c r="K3" s="312"/>
      <c r="L3" s="312"/>
      <c r="M3" s="312"/>
      <c r="N3" s="312"/>
      <c r="O3" s="312"/>
      <c r="P3" s="312"/>
      <c r="Q3" s="312"/>
      <c r="R3" s="312"/>
      <c r="S3" s="312"/>
      <c r="T3" s="22"/>
    </row>
    <row r="4" spans="1:37" ht="15.75" customHeight="1" x14ac:dyDescent="0.25">
      <c r="B4" s="79"/>
      <c r="C4" s="67" t="s">
        <v>441</v>
      </c>
      <c r="D4" s="29"/>
      <c r="E4" s="29"/>
      <c r="F4" s="29"/>
      <c r="G4" s="29"/>
      <c r="H4" s="29"/>
      <c r="I4" s="29"/>
      <c r="J4" s="29"/>
      <c r="K4" s="29"/>
      <c r="L4" s="29"/>
      <c r="M4" s="29"/>
      <c r="N4" s="29"/>
      <c r="O4" s="29"/>
      <c r="P4" s="29"/>
      <c r="Q4" s="29"/>
      <c r="R4" s="29"/>
      <c r="S4" s="29"/>
      <c r="T4" s="22"/>
    </row>
    <row r="5" spans="1:37" ht="18" customHeight="1" x14ac:dyDescent="0.25">
      <c r="B5" s="79"/>
      <c r="C5" s="211" t="s">
        <v>440</v>
      </c>
      <c r="D5" s="314" t="s">
        <v>442</v>
      </c>
      <c r="E5" s="315"/>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84" t="s">
        <v>29</v>
      </c>
      <c r="D8" s="185" t="s">
        <v>3</v>
      </c>
      <c r="E8" s="186">
        <v>7.9491000000000006E-2</v>
      </c>
      <c r="F8" s="29"/>
      <c r="G8" s="29"/>
      <c r="H8" s="29"/>
      <c r="I8" s="29"/>
      <c r="J8" s="29"/>
      <c r="K8" s="29"/>
      <c r="L8" s="29"/>
      <c r="M8" s="29"/>
      <c r="N8" s="29"/>
      <c r="O8" s="29"/>
      <c r="P8" s="29"/>
      <c r="Q8" s="29"/>
      <c r="R8" s="29"/>
      <c r="S8" s="29"/>
      <c r="T8" s="22"/>
      <c r="W8" s="173" t="s">
        <v>3</v>
      </c>
      <c r="X8" s="224">
        <v>0.22802699999999998</v>
      </c>
    </row>
    <row r="9" spans="1:37" ht="15.75" customHeight="1" x14ac:dyDescent="0.25">
      <c r="B9" s="79"/>
      <c r="C9" s="180" t="s">
        <v>31</v>
      </c>
      <c r="D9" s="187" t="s">
        <v>6</v>
      </c>
      <c r="E9" s="188">
        <v>6.7612000000000005E-2</v>
      </c>
      <c r="F9" s="29"/>
      <c r="G9" s="29"/>
      <c r="H9" s="29"/>
      <c r="I9" s="29"/>
      <c r="J9" s="29"/>
      <c r="K9" s="29"/>
      <c r="L9" s="29"/>
      <c r="M9" s="29"/>
      <c r="N9" s="29"/>
      <c r="O9" s="29"/>
      <c r="P9" s="29"/>
      <c r="Q9" s="29"/>
      <c r="R9" s="29"/>
      <c r="S9" s="29"/>
      <c r="T9" s="22"/>
      <c r="W9" s="173" t="s">
        <v>106</v>
      </c>
      <c r="X9" s="224">
        <v>6.9293999999999994E-2</v>
      </c>
    </row>
    <row r="10" spans="1:37" ht="15" customHeight="1" x14ac:dyDescent="0.25">
      <c r="B10" s="79"/>
      <c r="C10" s="180" t="s">
        <v>36</v>
      </c>
      <c r="D10" s="187" t="s">
        <v>3</v>
      </c>
      <c r="E10" s="188">
        <v>5.4926999999999997E-2</v>
      </c>
      <c r="F10" s="29"/>
      <c r="G10" s="29"/>
      <c r="H10" s="29"/>
      <c r="I10" s="29"/>
      <c r="J10" s="29"/>
      <c r="K10" s="29"/>
      <c r="L10" s="29"/>
      <c r="M10" s="29"/>
      <c r="N10" s="29"/>
      <c r="O10" s="29"/>
      <c r="P10" s="29"/>
      <c r="Q10" s="29"/>
      <c r="R10" s="29"/>
      <c r="S10" s="29"/>
      <c r="T10" s="22"/>
      <c r="W10" s="173" t="s">
        <v>6</v>
      </c>
      <c r="X10" s="224">
        <v>6.7612000000000005E-2</v>
      </c>
    </row>
    <row r="11" spans="1:37" ht="15" customHeight="1" x14ac:dyDescent="0.25">
      <c r="B11" s="79"/>
      <c r="C11" s="180" t="s">
        <v>32</v>
      </c>
      <c r="D11" s="187" t="s">
        <v>3</v>
      </c>
      <c r="E11" s="188">
        <v>3.5748000000000002E-2</v>
      </c>
      <c r="F11" s="29"/>
      <c r="G11" s="29"/>
      <c r="H11" s="29"/>
      <c r="I11" s="29"/>
      <c r="J11" s="29"/>
      <c r="K11" s="29"/>
      <c r="L11" s="29"/>
      <c r="M11" s="29"/>
      <c r="N11" s="29"/>
      <c r="O11" s="29"/>
      <c r="P11" s="29"/>
      <c r="Q11" s="29"/>
      <c r="R11" s="29"/>
      <c r="S11" s="29"/>
      <c r="T11" s="22"/>
      <c r="W11" s="173" t="s">
        <v>110</v>
      </c>
      <c r="X11" s="224">
        <v>5.8884000000000006E-2</v>
      </c>
    </row>
    <row r="12" spans="1:37" ht="15" customHeight="1" x14ac:dyDescent="0.25">
      <c r="B12" s="79"/>
      <c r="C12" s="180" t="s">
        <v>33</v>
      </c>
      <c r="D12" s="187" t="s">
        <v>106</v>
      </c>
      <c r="E12" s="188">
        <v>3.0402999999999999E-2</v>
      </c>
      <c r="F12" s="29"/>
      <c r="G12" s="29"/>
      <c r="H12" s="29"/>
      <c r="I12" s="29"/>
      <c r="J12" s="29"/>
      <c r="K12" s="29"/>
      <c r="L12" s="29"/>
      <c r="M12" s="29"/>
      <c r="N12" s="29"/>
      <c r="O12" s="29"/>
      <c r="P12" s="29"/>
      <c r="Q12" s="29"/>
      <c r="R12" s="29"/>
      <c r="S12" s="29"/>
      <c r="T12" s="22"/>
      <c r="W12" s="173" t="s">
        <v>85</v>
      </c>
      <c r="X12" s="224">
        <v>4.8934999999999999E-2</v>
      </c>
    </row>
    <row r="13" spans="1:37" ht="15.75" customHeight="1" x14ac:dyDescent="0.25">
      <c r="B13" s="79"/>
      <c r="C13" s="180" t="s">
        <v>28</v>
      </c>
      <c r="D13" s="187" t="s">
        <v>106</v>
      </c>
      <c r="E13" s="188">
        <v>2.4985E-2</v>
      </c>
      <c r="F13" s="29"/>
      <c r="G13" s="29"/>
      <c r="H13" s="29"/>
      <c r="I13" s="29"/>
      <c r="J13" s="29"/>
      <c r="K13" s="29"/>
      <c r="L13" s="29"/>
      <c r="M13" s="29"/>
      <c r="N13" s="29"/>
      <c r="O13" s="29"/>
      <c r="P13" s="29"/>
      <c r="Q13" s="29"/>
      <c r="R13" s="29"/>
      <c r="S13" s="29"/>
      <c r="T13" s="22"/>
      <c r="W13" s="173" t="s">
        <v>111</v>
      </c>
      <c r="X13" s="224">
        <v>4.3421000000000001E-2</v>
      </c>
    </row>
    <row r="14" spans="1:37" ht="15" customHeight="1" x14ac:dyDescent="0.25">
      <c r="B14" s="79"/>
      <c r="C14" s="180" t="s">
        <v>74</v>
      </c>
      <c r="D14" s="187" t="s">
        <v>11</v>
      </c>
      <c r="E14" s="188">
        <v>2.4187E-2</v>
      </c>
      <c r="F14" s="29"/>
      <c r="G14" s="29"/>
      <c r="H14" s="29"/>
      <c r="I14" s="29"/>
      <c r="J14" s="29"/>
      <c r="K14" s="29"/>
      <c r="L14" s="29"/>
      <c r="M14" s="29"/>
      <c r="N14" s="29"/>
      <c r="O14" s="29"/>
      <c r="P14" s="29"/>
      <c r="Q14" s="29"/>
      <c r="R14" s="29"/>
      <c r="S14" s="29"/>
      <c r="T14" s="22"/>
      <c r="W14" s="173" t="s">
        <v>16</v>
      </c>
      <c r="X14" s="224">
        <v>3.5938999999999999E-2</v>
      </c>
    </row>
    <row r="15" spans="1:37" ht="15" customHeight="1" x14ac:dyDescent="0.25">
      <c r="B15" s="79"/>
      <c r="C15" s="180" t="s">
        <v>35</v>
      </c>
      <c r="D15" s="187" t="s">
        <v>3</v>
      </c>
      <c r="E15" s="188">
        <v>2.4177000000000001E-2</v>
      </c>
      <c r="F15" s="29"/>
      <c r="G15" s="29"/>
      <c r="H15" s="29"/>
      <c r="I15" s="29"/>
      <c r="J15" s="29"/>
      <c r="K15" s="29"/>
      <c r="L15" s="29"/>
      <c r="M15" s="29"/>
      <c r="N15" s="29"/>
      <c r="O15" s="29"/>
      <c r="P15" s="29"/>
      <c r="Q15" s="29"/>
      <c r="R15" s="29"/>
      <c r="S15" s="29"/>
      <c r="T15" s="22"/>
      <c r="W15" s="173" t="s">
        <v>4</v>
      </c>
      <c r="X15" s="224">
        <v>3.2938000000000002E-2</v>
      </c>
    </row>
    <row r="16" spans="1:37" ht="15" customHeight="1" x14ac:dyDescent="0.25">
      <c r="B16" s="79"/>
      <c r="C16" s="180" t="s">
        <v>243</v>
      </c>
      <c r="D16" s="187" t="s">
        <v>107</v>
      </c>
      <c r="E16" s="188">
        <v>2.1316000000000002E-2</v>
      </c>
      <c r="F16" s="29"/>
      <c r="G16" s="29"/>
      <c r="H16" s="29"/>
      <c r="I16" s="29"/>
      <c r="J16" s="29"/>
      <c r="K16" s="29"/>
      <c r="L16" s="29"/>
      <c r="M16" s="29"/>
      <c r="N16" s="29"/>
      <c r="O16" s="29"/>
      <c r="P16" s="29"/>
      <c r="Q16" s="29"/>
      <c r="R16" s="29"/>
      <c r="S16" s="29"/>
      <c r="T16" s="22"/>
      <c r="W16" s="173" t="s">
        <v>23</v>
      </c>
      <c r="X16" s="224">
        <v>3.1176000000000002E-2</v>
      </c>
    </row>
    <row r="17" spans="2:24" ht="15" customHeight="1" x14ac:dyDescent="0.25">
      <c r="B17" s="79"/>
      <c r="C17" s="180" t="s">
        <v>97</v>
      </c>
      <c r="D17" s="187" t="s">
        <v>118</v>
      </c>
      <c r="E17" s="188">
        <v>2.0313999999999999E-2</v>
      </c>
      <c r="F17" s="29"/>
      <c r="G17" s="29"/>
      <c r="H17" s="29"/>
      <c r="I17" s="29"/>
      <c r="J17" s="29"/>
      <c r="K17" s="29"/>
      <c r="L17" s="29"/>
      <c r="M17" s="29"/>
      <c r="N17" s="29"/>
      <c r="O17" s="29"/>
      <c r="P17" s="29"/>
      <c r="Q17" s="29"/>
      <c r="R17" s="29"/>
      <c r="S17" s="29"/>
      <c r="T17" s="22"/>
      <c r="W17" s="173" t="s">
        <v>11</v>
      </c>
      <c r="X17" s="224">
        <v>3.0793000000000001E-2</v>
      </c>
    </row>
    <row r="18" spans="2:24" ht="15" customHeight="1" x14ac:dyDescent="0.25">
      <c r="B18" s="79"/>
      <c r="C18" s="180" t="s">
        <v>30</v>
      </c>
      <c r="D18" s="187" t="s">
        <v>116</v>
      </c>
      <c r="E18" s="188">
        <v>1.9553999999999998E-2</v>
      </c>
      <c r="F18" s="29"/>
      <c r="G18" s="29"/>
      <c r="H18" s="29"/>
      <c r="I18" s="29"/>
      <c r="J18" s="29"/>
      <c r="K18" s="29"/>
      <c r="L18" s="29"/>
      <c r="M18" s="29"/>
      <c r="N18" s="29"/>
      <c r="O18" s="29"/>
      <c r="P18" s="29"/>
      <c r="Q18" s="29"/>
      <c r="R18" s="29"/>
      <c r="S18" s="29"/>
      <c r="T18" s="22"/>
      <c r="W18" s="173" t="s">
        <v>10</v>
      </c>
      <c r="X18" s="224">
        <v>2.6301999999999999E-2</v>
      </c>
    </row>
    <row r="19" spans="2:24" ht="15" customHeight="1" x14ac:dyDescent="0.25">
      <c r="B19" s="79"/>
      <c r="C19" s="180" t="s">
        <v>378</v>
      </c>
      <c r="D19" s="187" t="s">
        <v>85</v>
      </c>
      <c r="E19" s="188">
        <v>1.8907E-2</v>
      </c>
      <c r="F19" s="29"/>
      <c r="G19" s="29"/>
      <c r="H19" s="29"/>
      <c r="I19" s="29"/>
      <c r="J19" s="29"/>
      <c r="K19" s="29"/>
      <c r="L19" s="29"/>
      <c r="M19" s="29"/>
      <c r="N19" s="29"/>
      <c r="O19" s="29"/>
      <c r="P19" s="29"/>
      <c r="Q19" s="29"/>
      <c r="R19" s="29"/>
      <c r="S19" s="29"/>
      <c r="T19" s="22"/>
      <c r="W19" s="173" t="s">
        <v>109</v>
      </c>
      <c r="X19" s="224">
        <v>2.2110999999999999E-2</v>
      </c>
    </row>
    <row r="20" spans="2:24" ht="15" customHeight="1" x14ac:dyDescent="0.25">
      <c r="B20" s="79"/>
      <c r="C20" s="180" t="s">
        <v>143</v>
      </c>
      <c r="D20" s="187" t="s">
        <v>111</v>
      </c>
      <c r="E20" s="188">
        <v>1.8754E-2</v>
      </c>
      <c r="F20" s="29"/>
      <c r="G20" s="29"/>
      <c r="H20" s="29"/>
      <c r="I20" s="29"/>
      <c r="J20" s="29"/>
      <c r="K20" s="29"/>
      <c r="L20" s="29"/>
      <c r="M20" s="29"/>
      <c r="N20" s="29"/>
      <c r="O20" s="29"/>
      <c r="P20" s="29"/>
      <c r="Q20" s="29"/>
      <c r="R20" s="29"/>
      <c r="S20" s="29"/>
      <c r="T20" s="22"/>
      <c r="W20" s="173" t="s">
        <v>107</v>
      </c>
      <c r="X20" s="224">
        <v>2.1316000000000002E-2</v>
      </c>
    </row>
    <row r="21" spans="2:24" ht="15" customHeight="1" x14ac:dyDescent="0.25">
      <c r="B21" s="79"/>
      <c r="C21" s="180" t="s">
        <v>328</v>
      </c>
      <c r="D21" s="187" t="s">
        <v>85</v>
      </c>
      <c r="E21" s="188">
        <v>1.8537999999999999E-2</v>
      </c>
      <c r="F21" s="29"/>
      <c r="G21" s="29"/>
      <c r="H21" s="29"/>
      <c r="I21" s="29"/>
      <c r="J21" s="29"/>
      <c r="K21" s="29"/>
      <c r="L21" s="29"/>
      <c r="M21" s="29"/>
      <c r="N21" s="29"/>
      <c r="O21" s="29"/>
      <c r="P21" s="29"/>
      <c r="Q21" s="29"/>
      <c r="R21" s="29"/>
      <c r="S21" s="29"/>
      <c r="T21" s="22"/>
      <c r="W21" s="173" t="s">
        <v>118</v>
      </c>
      <c r="X21" s="224">
        <v>2.0313999999999999E-2</v>
      </c>
    </row>
    <row r="22" spans="2:24" ht="15" customHeight="1" x14ac:dyDescent="0.25">
      <c r="B22" s="79"/>
      <c r="C22" s="180" t="s">
        <v>95</v>
      </c>
      <c r="D22" s="187" t="s">
        <v>111</v>
      </c>
      <c r="E22" s="188">
        <v>1.8329000000000002E-2</v>
      </c>
      <c r="F22" s="29"/>
      <c r="G22" s="29"/>
      <c r="H22" s="29"/>
      <c r="I22" s="29"/>
      <c r="J22" s="29"/>
      <c r="K22" s="29"/>
      <c r="L22" s="29"/>
      <c r="M22" s="29"/>
      <c r="N22" s="29"/>
      <c r="O22" s="29"/>
      <c r="P22" s="29"/>
      <c r="Q22" s="29"/>
      <c r="R22" s="29"/>
      <c r="S22" s="29"/>
      <c r="T22" s="22"/>
      <c r="W22" s="173" t="s">
        <v>116</v>
      </c>
      <c r="X22" s="224">
        <v>1.9553999999999998E-2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105</v>
      </c>
      <c r="X23" s="224">
        <v>1.8457000000000001E-2</v>
      </c>
    </row>
    <row r="24" spans="2:24" ht="15" customHeight="1" x14ac:dyDescent="0.25">
      <c r="B24" s="79"/>
      <c r="C24" s="73" t="s">
        <v>55</v>
      </c>
      <c r="D24" s="74"/>
      <c r="E24" s="84">
        <f>SUM(E8:E22)</f>
        <v>0.477242</v>
      </c>
      <c r="F24" s="29"/>
      <c r="G24" s="29"/>
      <c r="H24" s="29"/>
      <c r="I24" s="29"/>
      <c r="J24" s="29"/>
      <c r="K24" s="29"/>
      <c r="L24" s="29"/>
      <c r="M24" s="29"/>
      <c r="N24" s="29"/>
      <c r="O24" s="29"/>
      <c r="P24" s="29"/>
      <c r="Q24" s="29"/>
      <c r="R24" s="29"/>
      <c r="S24" s="29"/>
      <c r="T24" s="22"/>
      <c r="W24" s="173" t="s">
        <v>112</v>
      </c>
      <c r="X24" s="224">
        <v>1.6198000000000001E-2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73" t="s">
        <v>26</v>
      </c>
      <c r="X25" s="224">
        <v>1.5434E-2</v>
      </c>
    </row>
    <row r="26" spans="2:24" ht="15" customHeight="1" x14ac:dyDescent="0.25">
      <c r="B26" s="79"/>
      <c r="C26" s="85"/>
      <c r="D26" s="88"/>
      <c r="E26" s="154"/>
      <c r="F26" s="29"/>
      <c r="G26" s="29"/>
      <c r="H26" s="29"/>
      <c r="I26" s="29"/>
      <c r="J26" s="29"/>
      <c r="K26" s="29"/>
      <c r="L26" s="29"/>
      <c r="M26" s="29"/>
      <c r="N26" s="29"/>
      <c r="O26" s="29"/>
      <c r="P26" s="29"/>
      <c r="Q26" s="29"/>
      <c r="R26" s="29"/>
      <c r="S26" s="29"/>
      <c r="T26" s="22"/>
      <c r="W26" s="173" t="s">
        <v>132</v>
      </c>
      <c r="X26" s="224">
        <v>1.4742999999999999E-2</v>
      </c>
    </row>
    <row r="27" spans="2:24" ht="15" customHeight="1" x14ac:dyDescent="0.25">
      <c r="B27" s="79"/>
      <c r="F27" s="29"/>
      <c r="G27" s="29"/>
      <c r="H27" s="29"/>
      <c r="I27" s="29"/>
      <c r="J27" s="29"/>
      <c r="K27" s="29"/>
      <c r="L27" s="29"/>
      <c r="M27" s="29"/>
      <c r="N27" s="29"/>
      <c r="O27" s="29"/>
      <c r="P27" s="29"/>
      <c r="Q27" s="29"/>
      <c r="R27" s="29"/>
      <c r="S27" s="29"/>
      <c r="T27" s="22"/>
      <c r="W27" s="173" t="s">
        <v>13</v>
      </c>
      <c r="X27" s="224">
        <v>1.4371E-2</v>
      </c>
    </row>
    <row r="28" spans="2:24" ht="15" customHeight="1" x14ac:dyDescent="0.25">
      <c r="B28" s="79"/>
      <c r="F28" s="29"/>
      <c r="G28" s="29"/>
      <c r="H28" s="29"/>
      <c r="I28" s="29"/>
      <c r="J28" s="29"/>
      <c r="K28" s="29"/>
      <c r="L28" s="29"/>
      <c r="M28" s="29"/>
      <c r="N28" s="29"/>
      <c r="O28" s="29"/>
      <c r="P28" s="29"/>
      <c r="Q28" s="29"/>
      <c r="R28" s="29"/>
      <c r="S28" s="29"/>
      <c r="T28" s="22"/>
      <c r="W28" s="173" t="s">
        <v>120</v>
      </c>
      <c r="X28" s="224">
        <v>1.2293999999999999E-2</v>
      </c>
    </row>
    <row r="29" spans="2:24" ht="15" customHeight="1" x14ac:dyDescent="0.25">
      <c r="B29" s="79"/>
      <c r="F29" s="29"/>
      <c r="G29" s="29"/>
      <c r="H29" s="29"/>
      <c r="I29" s="29"/>
      <c r="J29" s="29"/>
      <c r="K29" s="29"/>
      <c r="L29" s="29"/>
      <c r="M29" s="29"/>
      <c r="N29" s="29"/>
      <c r="O29" s="29"/>
      <c r="P29" s="29"/>
      <c r="Q29" s="29"/>
      <c r="R29" s="29"/>
      <c r="S29" s="29"/>
      <c r="T29" s="22"/>
      <c r="W29" s="173" t="s">
        <v>82</v>
      </c>
      <c r="X29" s="224">
        <v>1.2184E-2</v>
      </c>
    </row>
    <row r="30" spans="2:24" ht="15" customHeight="1" x14ac:dyDescent="0.25">
      <c r="B30" s="79"/>
      <c r="F30" s="29"/>
      <c r="G30" s="29"/>
      <c r="H30" s="29"/>
      <c r="I30" s="29"/>
      <c r="J30" s="29"/>
      <c r="K30" s="29"/>
      <c r="L30" s="29"/>
      <c r="M30" s="29"/>
      <c r="N30" s="29"/>
      <c r="O30" s="29"/>
      <c r="P30" s="29"/>
      <c r="Q30" s="29"/>
      <c r="R30" s="29"/>
      <c r="S30" s="29"/>
      <c r="T30" s="22"/>
      <c r="W30" s="173" t="s">
        <v>123</v>
      </c>
      <c r="X30" s="224">
        <v>9.5350000000000001E-3</v>
      </c>
    </row>
    <row r="31" spans="2:24" ht="15" customHeight="1" x14ac:dyDescent="0.25">
      <c r="B31" s="79"/>
      <c r="F31" s="29"/>
      <c r="G31" s="29"/>
      <c r="H31" s="29"/>
      <c r="I31" s="29"/>
      <c r="J31" s="29"/>
      <c r="K31" s="29"/>
      <c r="L31" s="29"/>
      <c r="M31" s="29"/>
      <c r="N31" s="29"/>
      <c r="O31" s="29"/>
      <c r="P31" s="29"/>
      <c r="Q31" s="29"/>
      <c r="R31" s="29"/>
      <c r="S31" s="29"/>
      <c r="T31" s="22"/>
      <c r="W31" s="173" t="s">
        <v>83</v>
      </c>
      <c r="X31" s="224">
        <v>9.3720000000000001E-3</v>
      </c>
    </row>
    <row r="32" spans="2:24" ht="15" customHeight="1" x14ac:dyDescent="0.25">
      <c r="B32" s="79"/>
      <c r="F32" s="29"/>
      <c r="G32" s="29"/>
      <c r="H32" s="29"/>
      <c r="I32" s="29"/>
      <c r="J32" s="29"/>
      <c r="K32" s="29"/>
      <c r="L32" s="29"/>
      <c r="M32" s="29"/>
      <c r="N32" s="29"/>
      <c r="O32" s="29"/>
      <c r="P32" s="29"/>
      <c r="Q32" s="29"/>
      <c r="R32" s="29"/>
      <c r="S32" s="29"/>
      <c r="T32" s="22"/>
      <c r="W32" s="173" t="s">
        <v>117</v>
      </c>
      <c r="X32" s="224">
        <v>7.6500000000000005E-3</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73" t="s">
        <v>125</v>
      </c>
      <c r="X33" s="224">
        <v>6.7980000000000002E-3</v>
      </c>
    </row>
    <row r="34" spans="2:24" ht="15" customHeight="1" thickBot="1" x14ac:dyDescent="0.3">
      <c r="W34" s="173" t="s">
        <v>145</v>
      </c>
      <c r="X34" s="224">
        <v>5.4790000000000004E-3</v>
      </c>
    </row>
    <row r="35" spans="2:24" ht="15" customHeight="1" x14ac:dyDescent="0.25">
      <c r="B35" s="302" t="s">
        <v>180</v>
      </c>
      <c r="C35" s="303"/>
      <c r="D35" s="303"/>
      <c r="E35" s="303"/>
      <c r="F35" s="303"/>
      <c r="G35" s="303"/>
      <c r="H35" s="303"/>
      <c r="I35" s="303"/>
      <c r="J35" s="303"/>
      <c r="K35" s="303"/>
      <c r="L35" s="303"/>
      <c r="M35" s="303"/>
      <c r="N35" s="303"/>
      <c r="O35" s="303"/>
      <c r="P35" s="303"/>
      <c r="Q35" s="303"/>
      <c r="R35" s="304"/>
      <c r="W35" s="173" t="s">
        <v>326</v>
      </c>
      <c r="X35" s="224">
        <v>5.1919999999999996E-3</v>
      </c>
    </row>
    <row r="36" spans="2:24" ht="15" customHeight="1" x14ac:dyDescent="0.25">
      <c r="B36" s="305"/>
      <c r="C36" s="306"/>
      <c r="D36" s="306"/>
      <c r="E36" s="306"/>
      <c r="F36" s="306"/>
      <c r="G36" s="306"/>
      <c r="H36" s="306"/>
      <c r="I36" s="306"/>
      <c r="J36" s="306"/>
      <c r="K36" s="306"/>
      <c r="L36" s="306"/>
      <c r="M36" s="306"/>
      <c r="N36" s="306"/>
      <c r="O36" s="306"/>
      <c r="P36" s="306"/>
      <c r="Q36" s="306"/>
      <c r="R36" s="307"/>
      <c r="W36" s="173" t="s">
        <v>115</v>
      </c>
      <c r="X36" s="224">
        <v>3.6809999999999998E-3</v>
      </c>
    </row>
    <row r="37" spans="2:24" ht="15" customHeight="1" x14ac:dyDescent="0.25">
      <c r="B37" s="305"/>
      <c r="C37" s="306"/>
      <c r="D37" s="306"/>
      <c r="E37" s="306"/>
      <c r="F37" s="306"/>
      <c r="G37" s="306"/>
      <c r="H37" s="306"/>
      <c r="I37" s="306"/>
      <c r="J37" s="306"/>
      <c r="K37" s="306"/>
      <c r="L37" s="306"/>
      <c r="M37" s="306"/>
      <c r="N37" s="306"/>
      <c r="O37" s="306"/>
      <c r="P37" s="306"/>
      <c r="Q37" s="306"/>
      <c r="R37" s="307"/>
      <c r="W37" s="173"/>
      <c r="X37" s="224"/>
    </row>
    <row r="38" spans="2:24" ht="15" customHeight="1" x14ac:dyDescent="0.25">
      <c r="B38" s="305"/>
      <c r="C38" s="306"/>
      <c r="D38" s="306"/>
      <c r="E38" s="306"/>
      <c r="F38" s="306"/>
      <c r="G38" s="306"/>
      <c r="H38" s="306"/>
      <c r="I38" s="306"/>
      <c r="J38" s="306"/>
      <c r="K38" s="306"/>
      <c r="L38" s="306"/>
      <c r="M38" s="306"/>
      <c r="N38" s="306"/>
      <c r="O38" s="306"/>
      <c r="P38" s="306"/>
      <c r="Q38" s="306"/>
      <c r="R38" s="307"/>
      <c r="W38" s="173"/>
      <c r="X38" s="224"/>
    </row>
    <row r="39" spans="2:24" ht="15" customHeight="1" x14ac:dyDescent="0.25">
      <c r="B39" s="305"/>
      <c r="C39" s="306"/>
      <c r="D39" s="306"/>
      <c r="E39" s="306"/>
      <c r="F39" s="306"/>
      <c r="G39" s="306"/>
      <c r="H39" s="306"/>
      <c r="I39" s="306"/>
      <c r="J39" s="306"/>
      <c r="K39" s="306"/>
      <c r="L39" s="306"/>
      <c r="M39" s="306"/>
      <c r="N39" s="306"/>
      <c r="O39" s="306"/>
      <c r="P39" s="306"/>
      <c r="Q39" s="306"/>
      <c r="R39" s="307"/>
      <c r="W39" s="173"/>
      <c r="X39" s="224"/>
    </row>
    <row r="40" spans="2:24" ht="15" customHeight="1" x14ac:dyDescent="0.25">
      <c r="B40" s="305"/>
      <c r="C40" s="306"/>
      <c r="D40" s="306"/>
      <c r="E40" s="306"/>
      <c r="F40" s="306"/>
      <c r="G40" s="306"/>
      <c r="H40" s="306"/>
      <c r="I40" s="306"/>
      <c r="J40" s="306"/>
      <c r="K40" s="306"/>
      <c r="L40" s="306"/>
      <c r="M40" s="306"/>
      <c r="N40" s="306"/>
      <c r="O40" s="306"/>
      <c r="P40" s="306"/>
      <c r="Q40" s="306"/>
      <c r="R40" s="307"/>
    </row>
    <row r="41" spans="2:24" ht="15" customHeight="1" thickBot="1" x14ac:dyDescent="0.3">
      <c r="B41" s="308"/>
      <c r="C41" s="309"/>
      <c r="D41" s="309"/>
      <c r="E41" s="309"/>
      <c r="F41" s="309"/>
      <c r="G41" s="309"/>
      <c r="H41" s="309"/>
      <c r="I41" s="309"/>
      <c r="J41" s="309"/>
      <c r="K41" s="309"/>
      <c r="L41" s="309"/>
      <c r="M41" s="309"/>
      <c r="N41" s="309"/>
      <c r="O41" s="309"/>
      <c r="P41" s="309"/>
      <c r="Q41" s="309"/>
      <c r="R41" s="310"/>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5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1" t="s">
        <v>166</v>
      </c>
      <c r="D3" s="312"/>
      <c r="E3" s="312"/>
      <c r="F3" s="312"/>
      <c r="G3" s="312"/>
      <c r="H3" s="312"/>
      <c r="I3" s="312"/>
      <c r="J3" s="312"/>
      <c r="K3" s="312"/>
      <c r="L3" s="312"/>
      <c r="M3" s="312"/>
      <c r="N3" s="312"/>
      <c r="O3" s="312"/>
      <c r="P3" s="312"/>
      <c r="Q3" s="312"/>
      <c r="R3" s="312"/>
      <c r="S3" s="312"/>
      <c r="T3" s="22"/>
      <c r="V3" s="40"/>
      <c r="W3" s="40"/>
      <c r="X3" s="40"/>
      <c r="Y3" s="40"/>
      <c r="Z3" s="40"/>
      <c r="AA3" s="40"/>
    </row>
    <row r="4" spans="1:27" ht="15.75" customHeight="1" x14ac:dyDescent="0.25">
      <c r="B4" s="79"/>
      <c r="C4" s="67" t="s">
        <v>441</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440</v>
      </c>
      <c r="D5" s="313" t="s">
        <v>384</v>
      </c>
      <c r="E5" s="313"/>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95" t="s">
        <v>137</v>
      </c>
      <c r="D8" s="196" t="s">
        <v>26</v>
      </c>
      <c r="E8" s="193">
        <v>3.261E-2</v>
      </c>
      <c r="F8" s="29"/>
      <c r="G8" s="29"/>
      <c r="H8" s="29"/>
      <c r="I8" s="29"/>
      <c r="J8" s="29"/>
      <c r="K8" s="29"/>
      <c r="L8" s="29"/>
      <c r="M8" s="29"/>
      <c r="N8" s="29"/>
      <c r="O8" s="29"/>
      <c r="P8" s="29"/>
      <c r="Q8" s="29"/>
      <c r="R8" s="29"/>
      <c r="S8" s="29"/>
      <c r="T8" s="22"/>
      <c r="V8" s="151"/>
      <c r="W8" s="173" t="s">
        <v>110</v>
      </c>
      <c r="X8" s="224">
        <v>8.9427999999999994E-2</v>
      </c>
      <c r="Y8" s="151"/>
      <c r="Z8" s="40"/>
      <c r="AA8" s="40"/>
    </row>
    <row r="9" spans="1:27" ht="15.75" customHeight="1" x14ac:dyDescent="0.25">
      <c r="B9" s="79"/>
      <c r="C9" s="197" t="s">
        <v>184</v>
      </c>
      <c r="D9" s="198" t="s">
        <v>106</v>
      </c>
      <c r="E9" s="194">
        <v>3.2060999999999999E-2</v>
      </c>
      <c r="F9" s="29"/>
      <c r="G9" s="29"/>
      <c r="H9" s="29"/>
      <c r="I9" s="29"/>
      <c r="J9" s="29"/>
      <c r="K9" s="29"/>
      <c r="L9" s="29"/>
      <c r="M9" s="29"/>
      <c r="N9" s="29"/>
      <c r="O9" s="29"/>
      <c r="P9" s="29"/>
      <c r="Q9" s="29"/>
      <c r="R9" s="29"/>
      <c r="S9" s="29"/>
      <c r="T9" s="22"/>
      <c r="V9" s="151"/>
      <c r="W9" s="173" t="s">
        <v>24</v>
      </c>
      <c r="X9" s="224">
        <v>8.0951000000000009E-2</v>
      </c>
      <c r="Y9" s="151"/>
      <c r="Z9" s="40"/>
      <c r="AA9" s="40"/>
    </row>
    <row r="10" spans="1:27" ht="15" customHeight="1" x14ac:dyDescent="0.25">
      <c r="B10" s="79"/>
      <c r="C10" s="197" t="s">
        <v>93</v>
      </c>
      <c r="D10" s="198" t="s">
        <v>83</v>
      </c>
      <c r="E10" s="194">
        <v>2.9842E-2</v>
      </c>
      <c r="F10" s="29"/>
      <c r="G10" s="29"/>
      <c r="H10" s="29"/>
      <c r="I10" s="29"/>
      <c r="J10" s="29"/>
      <c r="K10" s="29"/>
      <c r="L10" s="29"/>
      <c r="M10" s="29"/>
      <c r="N10" s="29"/>
      <c r="O10" s="29"/>
      <c r="P10" s="29"/>
      <c r="Q10" s="29"/>
      <c r="R10" s="29"/>
      <c r="S10" s="29"/>
      <c r="T10" s="22"/>
      <c r="V10" s="151"/>
      <c r="W10" s="173" t="s">
        <v>16</v>
      </c>
      <c r="X10" s="224">
        <v>7.6319999999999999E-2</v>
      </c>
      <c r="Y10" s="151"/>
      <c r="Z10" s="40"/>
      <c r="AA10" s="40"/>
    </row>
    <row r="11" spans="1:27" ht="15" customHeight="1" x14ac:dyDescent="0.25">
      <c r="B11" s="79"/>
      <c r="C11" s="197" t="s">
        <v>232</v>
      </c>
      <c r="D11" s="198" t="s">
        <v>16</v>
      </c>
      <c r="E11" s="194">
        <v>2.4905E-2</v>
      </c>
      <c r="F11" s="29"/>
      <c r="G11" s="29"/>
      <c r="H11" s="29"/>
      <c r="I11" s="29"/>
      <c r="J11" s="29"/>
      <c r="K11" s="29"/>
      <c r="L11" s="29"/>
      <c r="M11" s="29"/>
      <c r="N11" s="29"/>
      <c r="O11" s="29"/>
      <c r="P11" s="29"/>
      <c r="Q11" s="29"/>
      <c r="R11" s="29"/>
      <c r="S11" s="29"/>
      <c r="T11" s="22"/>
      <c r="V11" s="151"/>
      <c r="W11" s="173" t="s">
        <v>118</v>
      </c>
      <c r="X11" s="224">
        <v>7.5175999999999993E-2</v>
      </c>
      <c r="Y11" s="151"/>
      <c r="Z11" s="40"/>
      <c r="AA11" s="40"/>
    </row>
    <row r="12" spans="1:27" ht="15" customHeight="1" x14ac:dyDescent="0.25">
      <c r="B12" s="79"/>
      <c r="C12" s="197" t="s">
        <v>219</v>
      </c>
      <c r="D12" s="198" t="s">
        <v>182</v>
      </c>
      <c r="E12" s="194">
        <v>2.3321000000000001E-2</v>
      </c>
      <c r="F12" s="29"/>
      <c r="G12" s="29"/>
      <c r="H12" s="29"/>
      <c r="I12" s="29"/>
      <c r="J12" s="29"/>
      <c r="K12" s="29"/>
      <c r="L12" s="29"/>
      <c r="M12" s="29"/>
      <c r="N12" s="29"/>
      <c r="O12" s="29"/>
      <c r="P12" s="29"/>
      <c r="Q12" s="29"/>
      <c r="R12" s="29"/>
      <c r="S12" s="29"/>
      <c r="T12" s="22"/>
      <c r="V12" s="151"/>
      <c r="W12" s="173" t="s">
        <v>106</v>
      </c>
      <c r="X12" s="224">
        <v>6.5765999999999991E-2</v>
      </c>
      <c r="Y12" s="151"/>
      <c r="Z12" s="40"/>
      <c r="AA12" s="40"/>
    </row>
    <row r="13" spans="1:27" ht="15" customHeight="1" x14ac:dyDescent="0.25">
      <c r="B13" s="79"/>
      <c r="C13" s="197" t="s">
        <v>97</v>
      </c>
      <c r="D13" s="198" t="s">
        <v>118</v>
      </c>
      <c r="E13" s="194">
        <v>2.2450000000000001E-2</v>
      </c>
      <c r="F13" s="29"/>
      <c r="G13" s="29"/>
      <c r="H13" s="29"/>
      <c r="I13" s="29"/>
      <c r="J13" s="29"/>
      <c r="K13" s="29"/>
      <c r="L13" s="29"/>
      <c r="M13" s="29"/>
      <c r="N13" s="29"/>
      <c r="O13" s="29"/>
      <c r="P13" s="29"/>
      <c r="Q13" s="29"/>
      <c r="R13" s="29"/>
      <c r="S13" s="29"/>
      <c r="T13" s="22"/>
      <c r="V13" s="151"/>
      <c r="W13" s="173" t="s">
        <v>109</v>
      </c>
      <c r="X13" s="224">
        <v>6.1112E-2</v>
      </c>
      <c r="Y13" s="151"/>
      <c r="Z13" s="40"/>
      <c r="AA13" s="40"/>
    </row>
    <row r="14" spans="1:27" ht="15" customHeight="1" x14ac:dyDescent="0.25">
      <c r="B14" s="79"/>
      <c r="C14" s="197" t="s">
        <v>210</v>
      </c>
      <c r="D14" s="198" t="s">
        <v>112</v>
      </c>
      <c r="E14" s="194">
        <v>2.2339000000000001E-2</v>
      </c>
      <c r="F14" s="29"/>
      <c r="G14" s="29"/>
      <c r="H14" s="29"/>
      <c r="I14" s="29"/>
      <c r="J14" s="29"/>
      <c r="K14" s="29"/>
      <c r="L14" s="29"/>
      <c r="M14" s="29"/>
      <c r="N14" s="29"/>
      <c r="O14" s="29"/>
      <c r="P14" s="29"/>
      <c r="Q14" s="29"/>
      <c r="R14" s="29"/>
      <c r="S14" s="29"/>
      <c r="T14" s="22"/>
      <c r="V14" s="151"/>
      <c r="W14" s="173" t="s">
        <v>26</v>
      </c>
      <c r="X14" s="224">
        <v>4.8719999999999999E-2</v>
      </c>
      <c r="Y14" s="151"/>
      <c r="Z14" s="40"/>
      <c r="AA14" s="40"/>
    </row>
    <row r="15" spans="1:27" ht="15.75" customHeight="1" x14ac:dyDescent="0.25">
      <c r="B15" s="79"/>
      <c r="C15" s="197" t="s">
        <v>298</v>
      </c>
      <c r="D15" s="198" t="s">
        <v>117</v>
      </c>
      <c r="E15" s="194">
        <v>2.1434000000000002E-2</v>
      </c>
      <c r="F15" s="29"/>
      <c r="G15" s="29"/>
      <c r="H15" s="29"/>
      <c r="I15" s="29"/>
      <c r="J15" s="29"/>
      <c r="K15" s="29"/>
      <c r="L15" s="29"/>
      <c r="M15" s="29"/>
      <c r="N15" s="29"/>
      <c r="O15" s="29"/>
      <c r="P15" s="29"/>
      <c r="Q15" s="29"/>
      <c r="R15" s="29"/>
      <c r="S15" s="29"/>
      <c r="T15" s="22"/>
      <c r="V15" s="151"/>
      <c r="W15" s="173" t="s">
        <v>83</v>
      </c>
      <c r="X15" s="224">
        <v>4.4496000000000001E-2</v>
      </c>
      <c r="Y15" s="151"/>
      <c r="Z15" s="40"/>
      <c r="AA15" s="40"/>
    </row>
    <row r="16" spans="1:27" ht="15" customHeight="1" x14ac:dyDescent="0.25">
      <c r="B16" s="79"/>
      <c r="C16" s="197" t="s">
        <v>291</v>
      </c>
      <c r="D16" s="198" t="s">
        <v>76</v>
      </c>
      <c r="E16" s="194">
        <v>2.1017000000000001E-2</v>
      </c>
      <c r="F16" s="29"/>
      <c r="G16" s="29"/>
      <c r="H16" s="29"/>
      <c r="I16" s="29"/>
      <c r="J16" s="29"/>
      <c r="K16" s="29"/>
      <c r="L16" s="29"/>
      <c r="M16" s="29"/>
      <c r="N16" s="29"/>
      <c r="O16" s="29"/>
      <c r="P16" s="29"/>
      <c r="Q16" s="29"/>
      <c r="R16" s="29"/>
      <c r="S16" s="29"/>
      <c r="T16" s="22"/>
      <c r="V16" s="151"/>
      <c r="W16" s="173" t="s">
        <v>3</v>
      </c>
      <c r="X16" s="224">
        <v>4.2394000000000001E-2</v>
      </c>
      <c r="Y16" s="151"/>
      <c r="Z16" s="40"/>
      <c r="AA16" s="40"/>
    </row>
    <row r="17" spans="2:27" ht="15.75" customHeight="1" x14ac:dyDescent="0.25">
      <c r="B17" s="79"/>
      <c r="C17" s="197" t="s">
        <v>135</v>
      </c>
      <c r="D17" s="198" t="s">
        <v>109</v>
      </c>
      <c r="E17" s="194">
        <v>2.0306999999999999E-2</v>
      </c>
      <c r="F17" s="29"/>
      <c r="G17" s="29"/>
      <c r="H17" s="29"/>
      <c r="I17" s="29"/>
      <c r="J17" s="29"/>
      <c r="K17" s="29"/>
      <c r="L17" s="29"/>
      <c r="M17" s="29"/>
      <c r="N17" s="29"/>
      <c r="O17" s="29"/>
      <c r="P17" s="29"/>
      <c r="Q17" s="29"/>
      <c r="R17" s="29"/>
      <c r="S17" s="29"/>
      <c r="T17" s="22"/>
      <c r="V17" s="151"/>
      <c r="W17" s="173" t="s">
        <v>76</v>
      </c>
      <c r="X17" s="224">
        <v>4.1830000000000006E-2</v>
      </c>
      <c r="Y17" s="151"/>
      <c r="Z17" s="40"/>
      <c r="AA17" s="40"/>
    </row>
    <row r="18" spans="2:27" ht="15.75" x14ac:dyDescent="0.25">
      <c r="B18" s="79"/>
      <c r="C18" s="197" t="s">
        <v>261</v>
      </c>
      <c r="D18" s="198" t="s">
        <v>3</v>
      </c>
      <c r="E18" s="194">
        <v>2.0185999999999999E-2</v>
      </c>
      <c r="F18" s="29"/>
      <c r="G18" s="29"/>
      <c r="H18" s="29"/>
      <c r="I18" s="29"/>
      <c r="J18" s="29"/>
      <c r="K18" s="29"/>
      <c r="L18" s="29"/>
      <c r="M18" s="29"/>
      <c r="N18" s="29"/>
      <c r="O18" s="29"/>
      <c r="P18" s="29"/>
      <c r="Q18" s="29"/>
      <c r="R18" s="29"/>
      <c r="S18" s="29"/>
      <c r="T18" s="22"/>
      <c r="V18" s="151"/>
      <c r="W18" s="173" t="s">
        <v>112</v>
      </c>
      <c r="X18" s="224">
        <v>3.9283999999999999E-2</v>
      </c>
      <c r="Y18" s="151"/>
      <c r="Z18" s="40"/>
      <c r="AA18" s="40"/>
    </row>
    <row r="19" spans="2:27" ht="15.75" customHeight="1" x14ac:dyDescent="0.25">
      <c r="B19" s="79"/>
      <c r="C19" s="197" t="s">
        <v>138</v>
      </c>
      <c r="D19" s="198" t="s">
        <v>24</v>
      </c>
      <c r="E19" s="194">
        <v>1.9775999999999998E-2</v>
      </c>
      <c r="F19" s="29"/>
      <c r="G19" s="29"/>
      <c r="H19" s="29"/>
      <c r="I19" s="29"/>
      <c r="J19" s="29"/>
      <c r="K19" s="29"/>
      <c r="L19" s="29"/>
      <c r="M19" s="29"/>
      <c r="N19" s="29"/>
      <c r="O19" s="29"/>
      <c r="P19" s="29"/>
      <c r="Q19" s="29"/>
      <c r="R19" s="29"/>
      <c r="S19" s="29"/>
      <c r="T19" s="22"/>
      <c r="V19" s="151"/>
      <c r="W19" s="173" t="s">
        <v>115</v>
      </c>
      <c r="X19" s="224">
        <v>3.2274999999999998E-2</v>
      </c>
      <c r="Y19" s="151"/>
      <c r="Z19" s="40"/>
      <c r="AA19" s="40"/>
    </row>
    <row r="20" spans="2:27" ht="15" customHeight="1" x14ac:dyDescent="0.25">
      <c r="B20" s="79"/>
      <c r="C20" s="197" t="s">
        <v>71</v>
      </c>
      <c r="D20" s="198" t="s">
        <v>10</v>
      </c>
      <c r="E20" s="194">
        <v>1.8234E-2</v>
      </c>
      <c r="F20" s="29"/>
      <c r="G20" s="29"/>
      <c r="H20" s="29"/>
      <c r="I20" s="29"/>
      <c r="J20" s="29"/>
      <c r="K20" s="29"/>
      <c r="L20" s="29"/>
      <c r="M20" s="29"/>
      <c r="N20" s="29"/>
      <c r="O20" s="29"/>
      <c r="P20" s="29"/>
      <c r="Q20" s="29"/>
      <c r="R20" s="29"/>
      <c r="S20" s="29"/>
      <c r="T20" s="22"/>
      <c r="V20" s="151"/>
      <c r="W20" s="173" t="s">
        <v>4</v>
      </c>
      <c r="X20" s="224">
        <v>2.7154000000000001E-2</v>
      </c>
      <c r="Y20" s="151"/>
      <c r="Z20" s="40"/>
      <c r="AA20" s="40"/>
    </row>
    <row r="21" spans="2:27" ht="15" customHeight="1" x14ac:dyDescent="0.25">
      <c r="B21" s="79"/>
      <c r="C21" s="197" t="s">
        <v>423</v>
      </c>
      <c r="D21" s="198" t="s">
        <v>115</v>
      </c>
      <c r="E21" s="194">
        <v>1.8221000000000001E-2</v>
      </c>
      <c r="F21" s="29"/>
      <c r="G21" s="29"/>
      <c r="H21" s="29"/>
      <c r="I21" s="29"/>
      <c r="J21" s="29"/>
      <c r="K21" s="29"/>
      <c r="L21" s="29"/>
      <c r="M21" s="29"/>
      <c r="N21" s="29"/>
      <c r="O21" s="29"/>
      <c r="P21" s="29"/>
      <c r="Q21" s="29"/>
      <c r="R21" s="29"/>
      <c r="S21" s="29"/>
      <c r="T21" s="22"/>
      <c r="V21" s="151"/>
      <c r="W21" s="173" t="s">
        <v>182</v>
      </c>
      <c r="X21" s="224">
        <v>2.3321000000000001E-2</v>
      </c>
      <c r="Y21" s="151"/>
      <c r="Z21" s="40"/>
      <c r="AA21" s="40"/>
    </row>
    <row r="22" spans="2:27" ht="15" customHeight="1" x14ac:dyDescent="0.25">
      <c r="B22" s="79"/>
      <c r="C22" s="197" t="s">
        <v>424</v>
      </c>
      <c r="D22" s="198" t="s">
        <v>82</v>
      </c>
      <c r="E22" s="194">
        <v>1.8155000000000001E-2</v>
      </c>
      <c r="F22" s="29"/>
      <c r="G22" s="29"/>
      <c r="H22" s="29"/>
      <c r="I22" s="29"/>
      <c r="J22" s="29"/>
      <c r="K22" s="29"/>
      <c r="L22" s="29"/>
      <c r="M22" s="29"/>
      <c r="N22" s="29"/>
      <c r="O22" s="29"/>
      <c r="P22" s="29"/>
      <c r="Q22" s="29"/>
      <c r="R22" s="29"/>
      <c r="S22" s="29"/>
      <c r="T22" s="22"/>
      <c r="V22" s="151"/>
      <c r="W22" s="173" t="s">
        <v>12</v>
      </c>
      <c r="X22" s="224">
        <v>2.2905999999999999E-2</v>
      </c>
      <c r="Y22" s="151"/>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1"/>
      <c r="W23" s="173" t="s">
        <v>117</v>
      </c>
      <c r="X23" s="224">
        <v>2.1434000000000002E-2</v>
      </c>
      <c r="Y23" s="151"/>
      <c r="Z23" s="40"/>
      <c r="AA23" s="40"/>
    </row>
    <row r="24" spans="2:27" ht="15" customHeight="1" x14ac:dyDescent="0.25">
      <c r="B24" s="79"/>
      <c r="C24" s="73" t="s">
        <v>55</v>
      </c>
      <c r="D24" s="74"/>
      <c r="E24" s="75">
        <f>SUM(E8:E23)</f>
        <v>0.344858</v>
      </c>
      <c r="F24" s="29"/>
      <c r="G24" s="29"/>
      <c r="H24" s="29"/>
      <c r="I24" s="29"/>
      <c r="J24" s="29"/>
      <c r="K24" s="29"/>
      <c r="L24" s="29"/>
      <c r="M24" s="29"/>
      <c r="N24" s="29"/>
      <c r="O24" s="29"/>
      <c r="P24" s="29"/>
      <c r="Q24" s="29"/>
      <c r="R24" s="29"/>
      <c r="S24" s="29"/>
      <c r="T24" s="22"/>
      <c r="V24" s="151"/>
      <c r="W24" s="173" t="s">
        <v>10</v>
      </c>
      <c r="X24" s="224">
        <v>1.8234E-2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173" t="s">
        <v>82</v>
      </c>
      <c r="X25" s="224">
        <v>1.8155000000000001E-2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173" t="s">
        <v>111</v>
      </c>
      <c r="X26" s="224">
        <v>1.5592999999999999E-2</v>
      </c>
      <c r="Y26" s="151"/>
      <c r="Z26" s="40"/>
      <c r="AA26" s="40"/>
    </row>
    <row r="27" spans="2:27" ht="15" customHeight="1" x14ac:dyDescent="0.25">
      <c r="B27" s="79"/>
      <c r="F27" s="29"/>
      <c r="G27" s="29"/>
      <c r="H27" s="29"/>
      <c r="I27" s="29"/>
      <c r="J27" s="29"/>
      <c r="K27" s="29"/>
      <c r="L27" s="29"/>
      <c r="M27" s="29"/>
      <c r="N27" s="29"/>
      <c r="O27" s="29"/>
      <c r="P27" s="29"/>
      <c r="Q27" s="29"/>
      <c r="R27" s="29"/>
      <c r="S27" s="29"/>
      <c r="T27" s="22"/>
      <c r="V27" s="151"/>
      <c r="W27" s="173" t="s">
        <v>113</v>
      </c>
      <c r="X27" s="224">
        <v>1.469E-2</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173" t="s">
        <v>84</v>
      </c>
      <c r="X28" s="224">
        <v>1.4057999999999999E-2</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173" t="s">
        <v>136</v>
      </c>
      <c r="X29" s="224">
        <v>1.1839000000000001E-2</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173" t="s">
        <v>105</v>
      </c>
      <c r="X30" s="224">
        <v>1.1256E-2</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173" t="s">
        <v>122</v>
      </c>
      <c r="X31" s="224">
        <v>7.9319999999999998E-3</v>
      </c>
      <c r="Y31" s="151"/>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73" t="s">
        <v>86</v>
      </c>
      <c r="X32" s="224">
        <v>7.8829999999999994E-3</v>
      </c>
    </row>
    <row r="33" spans="2:24" ht="15" customHeight="1" thickBot="1" x14ac:dyDescent="0.3">
      <c r="W33" s="173" t="s">
        <v>85</v>
      </c>
      <c r="X33" s="224">
        <v>7.5789999999999998E-3</v>
      </c>
    </row>
    <row r="34" spans="2:24" ht="15" customHeight="1" x14ac:dyDescent="0.25">
      <c r="B34" s="302" t="s">
        <v>180</v>
      </c>
      <c r="C34" s="303"/>
      <c r="D34" s="303"/>
      <c r="E34" s="303"/>
      <c r="F34" s="303"/>
      <c r="G34" s="303"/>
      <c r="H34" s="303"/>
      <c r="I34" s="303"/>
      <c r="J34" s="303"/>
      <c r="K34" s="303"/>
      <c r="L34" s="303"/>
      <c r="M34" s="303"/>
      <c r="N34" s="303"/>
      <c r="O34" s="303"/>
      <c r="P34" s="303"/>
      <c r="Q34" s="303"/>
      <c r="R34" s="304"/>
      <c r="W34" s="173" t="s">
        <v>11</v>
      </c>
      <c r="X34" s="224">
        <v>6.7590000000000003E-3</v>
      </c>
    </row>
    <row r="35" spans="2:24" ht="15" customHeight="1" x14ac:dyDescent="0.25">
      <c r="B35" s="305"/>
      <c r="C35" s="306"/>
      <c r="D35" s="306"/>
      <c r="E35" s="306"/>
      <c r="F35" s="306"/>
      <c r="G35" s="306"/>
      <c r="H35" s="306"/>
      <c r="I35" s="306"/>
      <c r="J35" s="306"/>
      <c r="K35" s="306"/>
      <c r="L35" s="306"/>
      <c r="M35" s="306"/>
      <c r="N35" s="306"/>
      <c r="O35" s="306"/>
      <c r="P35" s="306"/>
      <c r="Q35" s="306"/>
      <c r="R35" s="307"/>
      <c r="W35" s="173" t="s">
        <v>183</v>
      </c>
      <c r="X35" s="224">
        <v>6.0010000000000003E-3</v>
      </c>
    </row>
    <row r="36" spans="2:24" ht="15" customHeight="1" x14ac:dyDescent="0.25">
      <c r="B36" s="305"/>
      <c r="C36" s="306"/>
      <c r="D36" s="306"/>
      <c r="E36" s="306"/>
      <c r="F36" s="306"/>
      <c r="G36" s="306"/>
      <c r="H36" s="306"/>
      <c r="I36" s="306"/>
      <c r="J36" s="306"/>
      <c r="K36" s="306"/>
      <c r="L36" s="306"/>
      <c r="M36" s="306"/>
      <c r="N36" s="306"/>
      <c r="O36" s="306"/>
      <c r="P36" s="306"/>
      <c r="Q36" s="306"/>
      <c r="R36" s="307"/>
      <c r="W36" s="173" t="s">
        <v>125</v>
      </c>
      <c r="X36" s="224">
        <v>3.3040000000000001E-3</v>
      </c>
    </row>
    <row r="37" spans="2:24" ht="15" customHeight="1" x14ac:dyDescent="0.25">
      <c r="B37" s="305"/>
      <c r="C37" s="306"/>
      <c r="D37" s="306"/>
      <c r="E37" s="306"/>
      <c r="F37" s="306"/>
      <c r="G37" s="306"/>
      <c r="H37" s="306"/>
      <c r="I37" s="306"/>
      <c r="J37" s="306"/>
      <c r="K37" s="306"/>
      <c r="L37" s="306"/>
      <c r="M37" s="306"/>
      <c r="N37" s="306"/>
      <c r="O37" s="306"/>
      <c r="P37" s="306"/>
      <c r="Q37" s="306"/>
      <c r="R37" s="307"/>
      <c r="W37" s="173" t="s">
        <v>120</v>
      </c>
      <c r="X37" s="224">
        <v>3.1649999999999998E-3</v>
      </c>
    </row>
    <row r="38" spans="2:24" ht="15" customHeight="1" x14ac:dyDescent="0.25">
      <c r="B38" s="305"/>
      <c r="C38" s="306"/>
      <c r="D38" s="306"/>
      <c r="E38" s="306"/>
      <c r="F38" s="306"/>
      <c r="G38" s="306"/>
      <c r="H38" s="306"/>
      <c r="I38" s="306"/>
      <c r="J38" s="306"/>
      <c r="K38" s="306"/>
      <c r="L38" s="306"/>
      <c r="M38" s="306"/>
      <c r="N38" s="306"/>
      <c r="O38" s="306"/>
      <c r="P38" s="306"/>
      <c r="Q38" s="306"/>
      <c r="R38" s="307"/>
      <c r="W38" s="173" t="s">
        <v>107</v>
      </c>
      <c r="X38" s="224">
        <v>5.5099999999999995E-4</v>
      </c>
    </row>
    <row r="39" spans="2:24" ht="15" customHeight="1" x14ac:dyDescent="0.25">
      <c r="B39" s="305"/>
      <c r="C39" s="306"/>
      <c r="D39" s="306"/>
      <c r="E39" s="306"/>
      <c r="F39" s="306"/>
      <c r="G39" s="306"/>
      <c r="H39" s="306"/>
      <c r="I39" s="306"/>
      <c r="J39" s="306"/>
      <c r="K39" s="306"/>
      <c r="L39" s="306"/>
      <c r="M39" s="306"/>
      <c r="N39" s="306"/>
      <c r="O39" s="306"/>
      <c r="P39" s="306"/>
      <c r="Q39" s="306"/>
      <c r="R39" s="307"/>
      <c r="W39" s="173"/>
      <c r="X39" s="224"/>
    </row>
    <row r="40" spans="2:24" ht="21.75" customHeight="1" thickBot="1" x14ac:dyDescent="0.3">
      <c r="B40" s="308"/>
      <c r="C40" s="309"/>
      <c r="D40" s="309"/>
      <c r="E40" s="309"/>
      <c r="F40" s="309"/>
      <c r="G40" s="309"/>
      <c r="H40" s="309"/>
      <c r="I40" s="309"/>
      <c r="J40" s="309"/>
      <c r="K40" s="309"/>
      <c r="L40" s="309"/>
      <c r="M40" s="309"/>
      <c r="N40" s="309"/>
      <c r="O40" s="309"/>
      <c r="P40" s="309"/>
      <c r="Q40" s="309"/>
      <c r="R40" s="310"/>
      <c r="X40" s="172"/>
    </row>
    <row r="41" spans="2:24" ht="15" customHeight="1" x14ac:dyDescent="0.25">
      <c r="X41" s="172"/>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1" t="s">
        <v>165</v>
      </c>
      <c r="D3" s="312"/>
      <c r="E3" s="312"/>
      <c r="F3" s="312"/>
      <c r="G3" s="312"/>
      <c r="H3" s="312"/>
      <c r="I3" s="312"/>
      <c r="J3" s="312"/>
      <c r="K3" s="312"/>
      <c r="L3" s="312"/>
      <c r="M3" s="312"/>
      <c r="N3" s="312"/>
      <c r="O3" s="312"/>
      <c r="P3" s="312"/>
      <c r="Q3" s="312"/>
      <c r="R3" s="312"/>
      <c r="S3" s="312"/>
      <c r="T3" s="22"/>
      <c r="V3" s="40"/>
      <c r="W3" s="40"/>
      <c r="X3" s="40"/>
      <c r="Y3" s="40"/>
      <c r="Z3" s="40"/>
      <c r="AA3" s="40"/>
    </row>
    <row r="4" spans="1:27" ht="15.75" customHeight="1" x14ac:dyDescent="0.25">
      <c r="B4" s="79"/>
      <c r="C4" s="67" t="s">
        <v>441</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440</v>
      </c>
      <c r="D5" s="313" t="s">
        <v>385</v>
      </c>
      <c r="E5" s="313"/>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95" t="s">
        <v>29</v>
      </c>
      <c r="D8" s="196" t="s">
        <v>3</v>
      </c>
      <c r="E8" s="193">
        <v>6.0831000000000003E-2</v>
      </c>
      <c r="F8" s="29"/>
      <c r="G8" s="29"/>
      <c r="H8" s="29"/>
      <c r="I8" s="29"/>
      <c r="J8" s="29"/>
      <c r="K8" s="29"/>
      <c r="L8" s="29"/>
      <c r="M8" s="29"/>
      <c r="N8" s="29"/>
      <c r="O8" s="29"/>
      <c r="P8" s="29"/>
      <c r="Q8" s="29"/>
      <c r="R8" s="29"/>
      <c r="S8" s="29"/>
      <c r="T8" s="22"/>
      <c r="V8" s="151"/>
      <c r="W8" s="173" t="s">
        <v>3</v>
      </c>
      <c r="X8" s="224">
        <v>0.17323499999999997</v>
      </c>
      <c r="Y8" s="151"/>
      <c r="Z8" s="40"/>
      <c r="AA8" s="40"/>
    </row>
    <row r="9" spans="1:27" ht="15.75" customHeight="1" x14ac:dyDescent="0.25">
      <c r="B9" s="79"/>
      <c r="C9" s="197" t="s">
        <v>31</v>
      </c>
      <c r="D9" s="198" t="s">
        <v>6</v>
      </c>
      <c r="E9" s="194">
        <v>4.1360000000000001E-2</v>
      </c>
      <c r="F9" s="29"/>
      <c r="G9" s="29"/>
      <c r="H9" s="29"/>
      <c r="I9" s="29"/>
      <c r="J9" s="29"/>
      <c r="K9" s="29"/>
      <c r="L9" s="29"/>
      <c r="M9" s="29"/>
      <c r="N9" s="29"/>
      <c r="O9" s="29"/>
      <c r="P9" s="29"/>
      <c r="Q9" s="29"/>
      <c r="R9" s="29"/>
      <c r="S9" s="29"/>
      <c r="T9" s="22"/>
      <c r="V9" s="151"/>
      <c r="W9" s="173" t="s">
        <v>110</v>
      </c>
      <c r="X9" s="224">
        <v>8.4954999999999989E-2</v>
      </c>
      <c r="Y9" s="151"/>
      <c r="Z9" s="40"/>
      <c r="AA9" s="40"/>
    </row>
    <row r="10" spans="1:27" ht="15" customHeight="1" x14ac:dyDescent="0.25">
      <c r="B10" s="79"/>
      <c r="C10" s="197" t="s">
        <v>36</v>
      </c>
      <c r="D10" s="198" t="s">
        <v>3</v>
      </c>
      <c r="E10" s="194">
        <v>2.998E-2</v>
      </c>
      <c r="F10" s="29"/>
      <c r="G10" s="29"/>
      <c r="H10" s="29"/>
      <c r="I10" s="29"/>
      <c r="J10" s="29"/>
      <c r="K10" s="29"/>
      <c r="L10" s="29"/>
      <c r="M10" s="29"/>
      <c r="N10" s="29"/>
      <c r="O10" s="29"/>
      <c r="P10" s="29"/>
      <c r="Q10" s="29"/>
      <c r="R10" s="29"/>
      <c r="S10" s="29"/>
      <c r="T10" s="22"/>
      <c r="V10" s="151"/>
      <c r="W10" s="173" t="s">
        <v>4</v>
      </c>
      <c r="X10" s="224">
        <v>6.1635999999999996E-2</v>
      </c>
      <c r="Y10" s="151"/>
      <c r="Z10" s="40"/>
      <c r="AA10" s="40"/>
    </row>
    <row r="11" spans="1:27" ht="15" customHeight="1" x14ac:dyDescent="0.25">
      <c r="B11" s="79"/>
      <c r="C11" s="197" t="s">
        <v>32</v>
      </c>
      <c r="D11" s="198" t="s">
        <v>3</v>
      </c>
      <c r="E11" s="194">
        <v>2.8216999999999999E-2</v>
      </c>
      <c r="F11" s="29"/>
      <c r="G11" s="29"/>
      <c r="H11" s="29"/>
      <c r="I11" s="29"/>
      <c r="J11" s="29"/>
      <c r="K11" s="29"/>
      <c r="L11" s="29"/>
      <c r="M11" s="29"/>
      <c r="N11" s="29"/>
      <c r="O11" s="29"/>
      <c r="P11" s="29"/>
      <c r="Q11" s="29"/>
      <c r="R11" s="29"/>
      <c r="S11" s="29"/>
      <c r="T11" s="22"/>
      <c r="V11" s="151"/>
      <c r="W11" s="173" t="s">
        <v>106</v>
      </c>
      <c r="X11" s="224">
        <v>4.8207E-2</v>
      </c>
      <c r="Y11" s="151"/>
      <c r="Z11" s="40"/>
      <c r="AA11" s="40"/>
    </row>
    <row r="12" spans="1:27" ht="15" customHeight="1" x14ac:dyDescent="0.25">
      <c r="B12" s="79"/>
      <c r="C12" s="197" t="s">
        <v>35</v>
      </c>
      <c r="D12" s="198" t="s">
        <v>3</v>
      </c>
      <c r="E12" s="194">
        <v>2.2717999999999999E-2</v>
      </c>
      <c r="F12" s="29"/>
      <c r="G12" s="29"/>
      <c r="H12" s="29"/>
      <c r="I12" s="29"/>
      <c r="J12" s="29"/>
      <c r="K12" s="29"/>
      <c r="L12" s="29"/>
      <c r="M12" s="29"/>
      <c r="N12" s="29"/>
      <c r="O12" s="29"/>
      <c r="P12" s="29"/>
      <c r="Q12" s="29"/>
      <c r="R12" s="29"/>
      <c r="S12" s="29"/>
      <c r="T12" s="22"/>
      <c r="V12" s="151"/>
      <c r="W12" s="173" t="s">
        <v>6</v>
      </c>
      <c r="X12" s="224">
        <v>4.7393000000000005E-2</v>
      </c>
      <c r="Y12" s="151"/>
      <c r="Z12" s="40"/>
      <c r="AA12" s="40"/>
    </row>
    <row r="13" spans="1:27" ht="15" customHeight="1" x14ac:dyDescent="0.25">
      <c r="B13" s="79"/>
      <c r="C13" s="197" t="s">
        <v>28</v>
      </c>
      <c r="D13" s="198" t="s">
        <v>106</v>
      </c>
      <c r="E13" s="194">
        <v>2.1364999999999999E-2</v>
      </c>
      <c r="F13" s="29"/>
      <c r="G13" s="29"/>
      <c r="H13" s="29"/>
      <c r="I13" s="29"/>
      <c r="J13" s="29"/>
      <c r="K13" s="29"/>
      <c r="L13" s="29"/>
      <c r="M13" s="29"/>
      <c r="N13" s="29"/>
      <c r="O13" s="29"/>
      <c r="P13" s="29"/>
      <c r="Q13" s="29"/>
      <c r="R13" s="29"/>
      <c r="S13" s="29"/>
      <c r="T13" s="22"/>
      <c r="V13" s="151"/>
      <c r="W13" s="173" t="s">
        <v>85</v>
      </c>
      <c r="X13" s="224">
        <v>4.1583000000000002E-2</v>
      </c>
      <c r="Y13" s="151"/>
      <c r="Z13" s="40"/>
      <c r="AA13" s="40"/>
    </row>
    <row r="14" spans="1:27" ht="15" customHeight="1" x14ac:dyDescent="0.25">
      <c r="B14" s="79"/>
      <c r="C14" s="197" t="s">
        <v>33</v>
      </c>
      <c r="D14" s="198" t="s">
        <v>106</v>
      </c>
      <c r="E14" s="194">
        <v>1.8112E-2</v>
      </c>
      <c r="F14" s="29"/>
      <c r="G14" s="29"/>
      <c r="H14" s="29"/>
      <c r="I14" s="29"/>
      <c r="J14" s="29"/>
      <c r="K14" s="29"/>
      <c r="L14" s="29"/>
      <c r="M14" s="29"/>
      <c r="N14" s="29"/>
      <c r="O14" s="29"/>
      <c r="P14" s="29"/>
      <c r="Q14" s="29"/>
      <c r="R14" s="29"/>
      <c r="S14" s="29"/>
      <c r="T14" s="22"/>
      <c r="V14" s="151"/>
      <c r="W14" s="173" t="s">
        <v>26</v>
      </c>
      <c r="X14" s="224">
        <v>3.8725000000000002E-2</v>
      </c>
      <c r="Y14" s="151"/>
      <c r="Z14" s="40"/>
      <c r="AA14" s="40"/>
    </row>
    <row r="15" spans="1:27" ht="15.75" customHeight="1" x14ac:dyDescent="0.25">
      <c r="B15" s="79"/>
      <c r="C15" s="197" t="s">
        <v>234</v>
      </c>
      <c r="D15" s="198" t="s">
        <v>26</v>
      </c>
      <c r="E15" s="194">
        <v>1.7177000000000001E-2</v>
      </c>
      <c r="F15" s="29"/>
      <c r="G15" s="29"/>
      <c r="H15" s="29"/>
      <c r="I15" s="29"/>
      <c r="J15" s="29"/>
      <c r="K15" s="29"/>
      <c r="L15" s="29"/>
      <c r="M15" s="29"/>
      <c r="N15" s="29"/>
      <c r="O15" s="29"/>
      <c r="P15" s="29"/>
      <c r="Q15" s="29"/>
      <c r="R15" s="29"/>
      <c r="S15" s="29"/>
      <c r="T15" s="22"/>
      <c r="V15" s="151"/>
      <c r="W15" s="173" t="s">
        <v>16</v>
      </c>
      <c r="X15" s="224">
        <v>3.5874000000000003E-2</v>
      </c>
      <c r="Y15" s="151"/>
      <c r="Z15" s="40"/>
      <c r="AA15" s="40"/>
    </row>
    <row r="16" spans="1:27" ht="15" customHeight="1" x14ac:dyDescent="0.25">
      <c r="B16" s="79"/>
      <c r="C16" s="197" t="s">
        <v>304</v>
      </c>
      <c r="D16" s="198" t="s">
        <v>26</v>
      </c>
      <c r="E16" s="194">
        <v>1.7090000000000001E-2</v>
      </c>
      <c r="F16" s="29"/>
      <c r="G16" s="29"/>
      <c r="H16" s="29"/>
      <c r="I16" s="29"/>
      <c r="J16" s="29"/>
      <c r="K16" s="29"/>
      <c r="L16" s="29"/>
      <c r="M16" s="29"/>
      <c r="N16" s="29"/>
      <c r="O16" s="29"/>
      <c r="P16" s="29"/>
      <c r="Q16" s="29"/>
      <c r="R16" s="29"/>
      <c r="S16" s="29"/>
      <c r="T16" s="22"/>
      <c r="V16" s="151"/>
      <c r="W16" s="173" t="s">
        <v>109</v>
      </c>
      <c r="X16" s="224">
        <v>3.4120999999999999E-2</v>
      </c>
      <c r="Y16" s="151"/>
      <c r="Z16" s="40"/>
      <c r="AA16" s="40"/>
    </row>
    <row r="17" spans="2:27" ht="15.75" customHeight="1" x14ac:dyDescent="0.25">
      <c r="B17" s="79"/>
      <c r="C17" s="197" t="s">
        <v>243</v>
      </c>
      <c r="D17" s="198" t="s">
        <v>107</v>
      </c>
      <c r="E17" s="194">
        <v>1.6825E-2</v>
      </c>
      <c r="F17" s="29"/>
      <c r="G17" s="29"/>
      <c r="H17" s="29"/>
      <c r="I17" s="29"/>
      <c r="J17" s="29"/>
      <c r="K17" s="29"/>
      <c r="L17" s="29"/>
      <c r="M17" s="29"/>
      <c r="N17" s="29"/>
      <c r="O17" s="29"/>
      <c r="P17" s="29"/>
      <c r="Q17" s="29"/>
      <c r="R17" s="29"/>
      <c r="S17" s="29"/>
      <c r="T17" s="22"/>
      <c r="V17" s="151"/>
      <c r="W17" s="173" t="s">
        <v>117</v>
      </c>
      <c r="X17" s="224">
        <v>2.9222000000000001E-2</v>
      </c>
      <c r="Y17" s="151"/>
      <c r="Z17" s="40"/>
      <c r="AA17" s="40"/>
    </row>
    <row r="18" spans="2:27" ht="15.75" x14ac:dyDescent="0.25">
      <c r="B18" s="79"/>
      <c r="C18" s="197" t="s">
        <v>242</v>
      </c>
      <c r="D18" s="198" t="s">
        <v>105</v>
      </c>
      <c r="E18" s="194">
        <v>1.6735E-2</v>
      </c>
      <c r="F18" s="29"/>
      <c r="G18" s="29"/>
      <c r="H18" s="29"/>
      <c r="I18" s="29"/>
      <c r="J18" s="29"/>
      <c r="K18" s="29"/>
      <c r="L18" s="29"/>
      <c r="M18" s="29"/>
      <c r="N18" s="29"/>
      <c r="O18" s="29"/>
      <c r="P18" s="29"/>
      <c r="Q18" s="29"/>
      <c r="R18" s="29"/>
      <c r="S18" s="29"/>
      <c r="T18" s="22"/>
      <c r="V18" s="151"/>
      <c r="W18" s="173" t="s">
        <v>23</v>
      </c>
      <c r="X18" s="224">
        <v>2.8775999999999999E-2</v>
      </c>
      <c r="Y18" s="151"/>
      <c r="Z18" s="40"/>
      <c r="AA18" s="40"/>
    </row>
    <row r="19" spans="2:27" ht="15.75" customHeight="1" x14ac:dyDescent="0.25">
      <c r="B19" s="79"/>
      <c r="C19" s="197" t="s">
        <v>353</v>
      </c>
      <c r="D19" s="198" t="s">
        <v>110</v>
      </c>
      <c r="E19" s="194">
        <v>1.6230000000000001E-2</v>
      </c>
      <c r="F19" s="29"/>
      <c r="G19" s="29"/>
      <c r="H19" s="29"/>
      <c r="I19" s="29"/>
      <c r="J19" s="29"/>
      <c r="K19" s="29"/>
      <c r="L19" s="29"/>
      <c r="M19" s="29"/>
      <c r="N19" s="29"/>
      <c r="O19" s="29"/>
      <c r="P19" s="29"/>
      <c r="Q19" s="29"/>
      <c r="R19" s="29"/>
      <c r="S19" s="29"/>
      <c r="T19" s="22"/>
      <c r="V19" s="151"/>
      <c r="W19" s="173" t="s">
        <v>107</v>
      </c>
      <c r="X19" s="224">
        <v>2.86E-2</v>
      </c>
      <c r="Y19" s="151"/>
      <c r="Z19" s="40"/>
      <c r="AA19" s="40"/>
    </row>
    <row r="20" spans="2:27" ht="15" customHeight="1" x14ac:dyDescent="0.25">
      <c r="B20" s="79"/>
      <c r="C20" s="197" t="s">
        <v>425</v>
      </c>
      <c r="D20" s="198" t="s">
        <v>4</v>
      </c>
      <c r="E20" s="194">
        <v>1.5401E-2</v>
      </c>
      <c r="F20" s="29"/>
      <c r="G20" s="29"/>
      <c r="H20" s="29"/>
      <c r="I20" s="29"/>
      <c r="J20" s="29"/>
      <c r="K20" s="29"/>
      <c r="L20" s="29"/>
      <c r="M20" s="29"/>
      <c r="N20" s="29"/>
      <c r="O20" s="29"/>
      <c r="P20" s="29"/>
      <c r="Q20" s="29"/>
      <c r="R20" s="29"/>
      <c r="S20" s="29"/>
      <c r="T20" s="22"/>
      <c r="V20" s="151"/>
      <c r="W20" s="173" t="s">
        <v>24</v>
      </c>
      <c r="X20" s="224">
        <v>2.4258000000000002E-2</v>
      </c>
      <c r="Y20" s="151"/>
      <c r="Z20" s="40"/>
      <c r="AA20" s="40"/>
    </row>
    <row r="21" spans="2:27" ht="15" customHeight="1" x14ac:dyDescent="0.25">
      <c r="B21" s="79"/>
      <c r="C21" s="197" t="s">
        <v>34</v>
      </c>
      <c r="D21" s="198" t="s">
        <v>23</v>
      </c>
      <c r="E21" s="194">
        <v>1.5347E-2</v>
      </c>
      <c r="F21" s="29"/>
      <c r="G21" s="29"/>
      <c r="H21" s="29"/>
      <c r="I21" s="29"/>
      <c r="J21" s="29"/>
      <c r="K21" s="29"/>
      <c r="L21" s="29"/>
      <c r="M21" s="29"/>
      <c r="N21" s="29"/>
      <c r="O21" s="29"/>
      <c r="P21" s="29"/>
      <c r="Q21" s="29"/>
      <c r="R21" s="29"/>
      <c r="S21" s="29"/>
      <c r="T21" s="22"/>
      <c r="V21" s="151"/>
      <c r="W21" s="173" t="s">
        <v>112</v>
      </c>
      <c r="X21" s="224">
        <v>2.3805999999999997E-2</v>
      </c>
      <c r="Y21" s="151"/>
      <c r="Z21" s="40"/>
      <c r="AA21" s="40"/>
    </row>
    <row r="22" spans="2:27" ht="15" customHeight="1" x14ac:dyDescent="0.25">
      <c r="B22" s="79"/>
      <c r="C22" s="197" t="s">
        <v>80</v>
      </c>
      <c r="D22" s="198" t="s">
        <v>4</v>
      </c>
      <c r="E22" s="194">
        <v>1.4976E-2</v>
      </c>
      <c r="F22" s="29"/>
      <c r="G22" s="29"/>
      <c r="H22" s="29"/>
      <c r="I22" s="29"/>
      <c r="J22" s="29"/>
      <c r="K22" s="29"/>
      <c r="L22" s="29"/>
      <c r="M22" s="29"/>
      <c r="N22" s="29"/>
      <c r="O22" s="29"/>
      <c r="P22" s="29"/>
      <c r="Q22" s="29"/>
      <c r="R22" s="29"/>
      <c r="S22" s="29"/>
      <c r="T22" s="22"/>
      <c r="V22" s="151"/>
      <c r="W22" s="173" t="s">
        <v>111</v>
      </c>
      <c r="X22" s="224">
        <v>2.3741999999999999E-2</v>
      </c>
      <c r="Y22" s="151"/>
      <c r="Z22" s="40"/>
      <c r="AA22" s="40"/>
    </row>
    <row r="23" spans="2:27" ht="15" customHeight="1" x14ac:dyDescent="0.25">
      <c r="B23" s="79"/>
      <c r="C23" s="71"/>
      <c r="D23" s="71"/>
      <c r="E23" s="146"/>
      <c r="F23" s="29"/>
      <c r="G23" s="29"/>
      <c r="H23" s="29"/>
      <c r="I23" s="29"/>
      <c r="J23" s="29"/>
      <c r="K23" s="29"/>
      <c r="L23" s="29"/>
      <c r="M23" s="29"/>
      <c r="N23" s="29"/>
      <c r="O23" s="29"/>
      <c r="P23" s="29"/>
      <c r="Q23" s="29"/>
      <c r="R23" s="29"/>
      <c r="S23" s="29"/>
      <c r="T23" s="22"/>
      <c r="V23" s="151"/>
      <c r="W23" s="173" t="s">
        <v>136</v>
      </c>
      <c r="X23" s="224">
        <v>1.8755000000000001E-2</v>
      </c>
      <c r="Y23" s="151"/>
      <c r="Z23" s="40"/>
      <c r="AA23" s="40"/>
    </row>
    <row r="24" spans="2:27" ht="15" customHeight="1" x14ac:dyDescent="0.25">
      <c r="B24" s="79"/>
      <c r="C24" s="73" t="s">
        <v>55</v>
      </c>
      <c r="D24" s="74"/>
      <c r="E24" s="75">
        <f>SUM(E8:E22)</f>
        <v>0.35236399999999996</v>
      </c>
      <c r="F24" s="29"/>
      <c r="G24" s="29"/>
      <c r="H24" s="29"/>
      <c r="I24" s="29"/>
      <c r="J24" s="29"/>
      <c r="K24" s="29"/>
      <c r="L24" s="29"/>
      <c r="M24" s="29"/>
      <c r="N24" s="29"/>
      <c r="O24" s="29"/>
      <c r="P24" s="29"/>
      <c r="Q24" s="29"/>
      <c r="R24" s="29"/>
      <c r="S24" s="29"/>
      <c r="T24" s="22"/>
      <c r="V24" s="151"/>
      <c r="W24" s="173" t="s">
        <v>120</v>
      </c>
      <c r="X24" s="224">
        <v>1.7471E-2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173" t="s">
        <v>105</v>
      </c>
      <c r="X25" s="224">
        <v>1.6735E-2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173" t="s">
        <v>83</v>
      </c>
      <c r="X26" s="224">
        <v>1.6582E-2</v>
      </c>
      <c r="Y26" s="151"/>
      <c r="Z26" s="40"/>
      <c r="AA26" s="40"/>
    </row>
    <row r="27" spans="2:27" ht="15" customHeight="1" x14ac:dyDescent="0.25">
      <c r="B27" s="79"/>
      <c r="D27" s="153"/>
      <c r="F27" s="29"/>
      <c r="G27" s="29"/>
      <c r="H27" s="29"/>
      <c r="I27" s="29"/>
      <c r="J27" s="29"/>
      <c r="K27" s="29"/>
      <c r="L27" s="29"/>
      <c r="M27" s="29"/>
      <c r="N27" s="29"/>
      <c r="O27" s="29"/>
      <c r="P27" s="29"/>
      <c r="Q27" s="29"/>
      <c r="R27" s="29"/>
      <c r="S27" s="29"/>
      <c r="T27" s="22"/>
      <c r="V27" s="151"/>
      <c r="W27" s="173" t="s">
        <v>82</v>
      </c>
      <c r="X27" s="224">
        <v>1.5599999999999999E-2</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173" t="s">
        <v>13</v>
      </c>
      <c r="X28" s="224">
        <v>1.4796E-2</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173" t="s">
        <v>12</v>
      </c>
      <c r="X29" s="224">
        <v>1.451E-2</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173" t="s">
        <v>125</v>
      </c>
      <c r="X30" s="224">
        <v>1.2239999999999999E-2</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173" t="s">
        <v>132</v>
      </c>
      <c r="X31" s="224">
        <v>1.1637E-2</v>
      </c>
      <c r="Y31" s="151"/>
      <c r="Z31" s="40"/>
      <c r="AA31" s="40"/>
    </row>
    <row r="32" spans="2:27" ht="15" customHeight="1" x14ac:dyDescent="0.25">
      <c r="B32" s="79"/>
      <c r="F32" s="29"/>
      <c r="G32" s="29"/>
      <c r="H32" s="29"/>
      <c r="I32" s="29"/>
      <c r="J32" s="29"/>
      <c r="K32" s="29"/>
      <c r="L32" s="29"/>
      <c r="M32" s="29"/>
      <c r="N32" s="29"/>
      <c r="O32" s="29"/>
      <c r="P32" s="29"/>
      <c r="Q32" s="29"/>
      <c r="R32" s="29"/>
      <c r="S32" s="29"/>
      <c r="T32" s="22"/>
      <c r="V32" s="151"/>
      <c r="W32" s="173" t="s">
        <v>11</v>
      </c>
      <c r="X32" s="224">
        <v>1.1455E-2</v>
      </c>
      <c r="Y32" s="151"/>
      <c r="Z32" s="40"/>
      <c r="AA32" s="40"/>
    </row>
    <row r="33" spans="2:27" ht="15" customHeight="1" x14ac:dyDescent="0.25">
      <c r="B33" s="79"/>
      <c r="F33" s="29"/>
      <c r="G33" s="29"/>
      <c r="H33" s="29"/>
      <c r="I33" s="29"/>
      <c r="J33" s="29"/>
      <c r="K33" s="29"/>
      <c r="L33" s="29"/>
      <c r="M33" s="29"/>
      <c r="N33" s="29"/>
      <c r="O33" s="29"/>
      <c r="P33" s="29"/>
      <c r="Q33" s="29"/>
      <c r="R33" s="29"/>
      <c r="S33" s="29"/>
      <c r="T33" s="22"/>
      <c r="V33" s="151"/>
      <c r="W33" s="173" t="s">
        <v>326</v>
      </c>
      <c r="X33" s="224">
        <v>1.0160000000000001E-2</v>
      </c>
      <c r="Y33" s="151"/>
      <c r="Z33" s="40"/>
      <c r="AA33" s="40"/>
    </row>
    <row r="34" spans="2:27" ht="15" customHeight="1" x14ac:dyDescent="0.25">
      <c r="B34" s="79"/>
      <c r="F34" s="29"/>
      <c r="G34" s="29"/>
      <c r="H34" s="29"/>
      <c r="I34" s="29"/>
      <c r="J34" s="29"/>
      <c r="K34" s="29"/>
      <c r="L34" s="29"/>
      <c r="M34" s="29"/>
      <c r="N34" s="29"/>
      <c r="O34" s="29"/>
      <c r="P34" s="29"/>
      <c r="Q34" s="29"/>
      <c r="R34" s="29"/>
      <c r="S34" s="29"/>
      <c r="T34" s="22"/>
      <c r="V34" s="151"/>
      <c r="W34" s="173" t="s">
        <v>118</v>
      </c>
      <c r="X34" s="224">
        <v>1.0021E-2</v>
      </c>
      <c r="Y34" s="151"/>
      <c r="Z34" s="40"/>
      <c r="AA34" s="40"/>
    </row>
    <row r="35" spans="2:27" ht="15" customHeight="1" x14ac:dyDescent="0.25">
      <c r="B35" s="79"/>
      <c r="F35" s="29"/>
      <c r="G35" s="29"/>
      <c r="H35" s="29"/>
      <c r="I35" s="29"/>
      <c r="J35" s="29"/>
      <c r="K35" s="29"/>
      <c r="L35" s="29"/>
      <c r="M35" s="29"/>
      <c r="N35" s="29"/>
      <c r="O35" s="29"/>
      <c r="P35" s="29"/>
      <c r="Q35" s="29"/>
      <c r="R35" s="29"/>
      <c r="S35" s="29"/>
      <c r="T35" s="22"/>
      <c r="V35" s="151"/>
      <c r="W35" s="173" t="s">
        <v>145</v>
      </c>
      <c r="X35" s="224">
        <v>8.6499999999999997E-3</v>
      </c>
      <c r="Y35" s="151"/>
      <c r="Z35" s="40"/>
      <c r="AA35" s="40"/>
    </row>
    <row r="36" spans="2:27" ht="15" customHeight="1" x14ac:dyDescent="0.25">
      <c r="B36" s="79"/>
      <c r="F36" s="29"/>
      <c r="G36" s="29"/>
      <c r="H36" s="29"/>
      <c r="I36" s="29"/>
      <c r="J36" s="29"/>
      <c r="K36" s="29"/>
      <c r="L36" s="29"/>
      <c r="M36" s="29"/>
      <c r="N36" s="29"/>
      <c r="O36" s="29"/>
      <c r="P36" s="29"/>
      <c r="Q36" s="29"/>
      <c r="R36" s="29"/>
      <c r="S36" s="29"/>
      <c r="T36" s="22"/>
      <c r="V36" s="151"/>
      <c r="W36" s="173" t="s">
        <v>115</v>
      </c>
      <c r="X36" s="224">
        <v>7.4269999999999996E-3</v>
      </c>
      <c r="Y36" s="151"/>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73" t="s">
        <v>116</v>
      </c>
      <c r="X37" s="224">
        <v>6.8599999999999998E-3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73" t="s">
        <v>15</v>
      </c>
      <c r="X38" s="224">
        <v>6.6119999999999998E-3</v>
      </c>
    </row>
    <row r="39" spans="2:27" ht="15" customHeight="1" thickBot="1" x14ac:dyDescent="0.3">
      <c r="W39" s="173" t="s">
        <v>10</v>
      </c>
      <c r="X39" s="224">
        <v>5.9870000000000001E-3</v>
      </c>
    </row>
    <row r="40" spans="2:27" ht="15" customHeight="1" x14ac:dyDescent="0.25">
      <c r="B40" s="302" t="s">
        <v>180</v>
      </c>
      <c r="C40" s="303"/>
      <c r="D40" s="303"/>
      <c r="E40" s="303"/>
      <c r="F40" s="303"/>
      <c r="G40" s="303"/>
      <c r="H40" s="303"/>
      <c r="I40" s="303"/>
      <c r="J40" s="303"/>
      <c r="K40" s="303"/>
      <c r="L40" s="303"/>
      <c r="M40" s="303"/>
      <c r="N40" s="303"/>
      <c r="O40" s="303"/>
      <c r="P40" s="303"/>
      <c r="Q40" s="303"/>
      <c r="R40" s="304"/>
      <c r="W40" s="19" t="s">
        <v>76</v>
      </c>
      <c r="X40" s="224">
        <v>5.5380000000000004E-3</v>
      </c>
    </row>
    <row r="41" spans="2:27" ht="15" customHeight="1" x14ac:dyDescent="0.25">
      <c r="B41" s="305"/>
      <c r="C41" s="306"/>
      <c r="D41" s="306"/>
      <c r="E41" s="306"/>
      <c r="F41" s="306"/>
      <c r="G41" s="306"/>
      <c r="H41" s="306"/>
      <c r="I41" s="306"/>
      <c r="J41" s="306"/>
      <c r="K41" s="306"/>
      <c r="L41" s="306"/>
      <c r="M41" s="306"/>
      <c r="N41" s="306"/>
      <c r="O41" s="306"/>
      <c r="P41" s="306"/>
      <c r="Q41" s="306"/>
      <c r="R41" s="307"/>
      <c r="W41" s="19" t="s">
        <v>113</v>
      </c>
      <c r="X41" s="224">
        <v>5.4050000000000001E-3</v>
      </c>
    </row>
    <row r="42" spans="2:27" ht="15" customHeight="1" x14ac:dyDescent="0.25">
      <c r="B42" s="305"/>
      <c r="C42" s="306"/>
      <c r="D42" s="306"/>
      <c r="E42" s="306"/>
      <c r="F42" s="306"/>
      <c r="G42" s="306"/>
      <c r="H42" s="306"/>
      <c r="I42" s="306"/>
      <c r="J42" s="306"/>
      <c r="K42" s="306"/>
      <c r="L42" s="306"/>
      <c r="M42" s="306"/>
      <c r="N42" s="306"/>
      <c r="O42" s="306"/>
      <c r="P42" s="306"/>
      <c r="Q42" s="306"/>
      <c r="R42" s="307"/>
      <c r="W42" s="19" t="s">
        <v>114</v>
      </c>
      <c r="X42" s="224">
        <v>4.7130000000000002E-3</v>
      </c>
    </row>
    <row r="43" spans="2:27" ht="15" customHeight="1" x14ac:dyDescent="0.25">
      <c r="B43" s="305"/>
      <c r="C43" s="306"/>
      <c r="D43" s="306"/>
      <c r="E43" s="306"/>
      <c r="F43" s="306"/>
      <c r="G43" s="306"/>
      <c r="H43" s="306"/>
      <c r="I43" s="306"/>
      <c r="J43" s="306"/>
      <c r="K43" s="306"/>
      <c r="L43" s="306"/>
      <c r="M43" s="306"/>
      <c r="N43" s="306"/>
      <c r="O43" s="306"/>
      <c r="P43" s="306"/>
      <c r="Q43" s="306"/>
      <c r="R43" s="307"/>
      <c r="W43" s="19" t="s">
        <v>25</v>
      </c>
      <c r="X43" s="224">
        <v>4.3150000000000003E-3</v>
      </c>
    </row>
    <row r="44" spans="2:27" ht="15" customHeight="1" x14ac:dyDescent="0.25">
      <c r="B44" s="305"/>
      <c r="C44" s="306"/>
      <c r="D44" s="306"/>
      <c r="E44" s="306"/>
      <c r="F44" s="306"/>
      <c r="G44" s="306"/>
      <c r="H44" s="306"/>
      <c r="I44" s="306"/>
      <c r="J44" s="306"/>
      <c r="K44" s="306"/>
      <c r="L44" s="306"/>
      <c r="M44" s="306"/>
      <c r="N44" s="306"/>
      <c r="O44" s="306"/>
      <c r="P44" s="306"/>
      <c r="Q44" s="306"/>
      <c r="R44" s="307"/>
      <c r="W44" s="19" t="s">
        <v>122</v>
      </c>
      <c r="X44" s="224">
        <v>2.418E-3</v>
      </c>
    </row>
    <row r="45" spans="2:27" ht="15" customHeight="1" x14ac:dyDescent="0.25">
      <c r="B45" s="305"/>
      <c r="C45" s="306"/>
      <c r="D45" s="306"/>
      <c r="E45" s="306"/>
      <c r="F45" s="306"/>
      <c r="G45" s="306"/>
      <c r="H45" s="306"/>
      <c r="I45" s="306"/>
      <c r="J45" s="306"/>
      <c r="K45" s="306"/>
      <c r="L45" s="306"/>
      <c r="M45" s="306"/>
      <c r="N45" s="306"/>
      <c r="O45" s="306"/>
      <c r="P45" s="306"/>
      <c r="Q45" s="306"/>
      <c r="R45" s="307"/>
      <c r="W45" s="19" t="s">
        <v>84</v>
      </c>
      <c r="X45" s="224">
        <v>2.2079999999999999E-3</v>
      </c>
    </row>
    <row r="46" spans="2:27" ht="21.75" customHeight="1" thickBot="1" x14ac:dyDescent="0.3">
      <c r="B46" s="308"/>
      <c r="C46" s="309"/>
      <c r="D46" s="309"/>
      <c r="E46" s="309"/>
      <c r="F46" s="309"/>
      <c r="G46" s="309"/>
      <c r="H46" s="309"/>
      <c r="I46" s="309"/>
      <c r="J46" s="309"/>
      <c r="K46" s="309"/>
      <c r="L46" s="309"/>
      <c r="M46" s="309"/>
      <c r="N46" s="309"/>
      <c r="O46" s="309"/>
      <c r="P46" s="309"/>
      <c r="Q46" s="309"/>
      <c r="R46" s="310"/>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1" t="s">
        <v>164</v>
      </c>
      <c r="D3" s="311"/>
      <c r="E3" s="311"/>
      <c r="F3" s="311"/>
      <c r="G3" s="311"/>
      <c r="H3" s="311"/>
      <c r="I3" s="311"/>
      <c r="J3" s="311"/>
      <c r="K3" s="311"/>
      <c r="L3" s="311"/>
      <c r="M3" s="311"/>
      <c r="N3" s="311"/>
      <c r="O3" s="311"/>
      <c r="P3" s="311"/>
      <c r="Q3" s="311"/>
      <c r="R3" s="311"/>
      <c r="S3" s="311"/>
      <c r="T3" s="22"/>
      <c r="V3" s="40"/>
      <c r="W3" s="40"/>
      <c r="X3" s="40"/>
      <c r="Y3" s="40"/>
      <c r="Z3" s="40"/>
      <c r="AA3" s="40"/>
    </row>
    <row r="4" spans="1:27" ht="15.75" customHeight="1" x14ac:dyDescent="0.25">
      <c r="B4" s="79"/>
      <c r="C4" s="67" t="s">
        <v>441</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440</v>
      </c>
      <c r="D5" s="313" t="s">
        <v>386</v>
      </c>
      <c r="E5" s="313"/>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84" t="s">
        <v>29</v>
      </c>
      <c r="D8" s="185" t="s">
        <v>3</v>
      </c>
      <c r="E8" s="193">
        <v>8.4955000000000003E-2</v>
      </c>
      <c r="F8" s="29"/>
      <c r="G8" s="29"/>
      <c r="H8" s="29"/>
      <c r="I8" s="29"/>
      <c r="J8" s="29"/>
      <c r="K8" s="29"/>
      <c r="L8" s="29"/>
      <c r="M8" s="29"/>
      <c r="N8" s="29"/>
      <c r="O8" s="29"/>
      <c r="P8" s="29"/>
      <c r="Q8" s="29"/>
      <c r="R8" s="29"/>
      <c r="S8" s="29"/>
      <c r="T8" s="22"/>
      <c r="V8" s="151"/>
      <c r="W8" s="61" t="s">
        <v>3</v>
      </c>
      <c r="X8" s="201">
        <v>0.25135200000000002</v>
      </c>
      <c r="Y8" s="151"/>
      <c r="Z8" s="40"/>
      <c r="AA8" s="40"/>
    </row>
    <row r="9" spans="1:27" ht="15.75" customHeight="1" x14ac:dyDescent="0.25">
      <c r="B9" s="79"/>
      <c r="C9" s="180" t="s">
        <v>32</v>
      </c>
      <c r="D9" s="187" t="s">
        <v>3</v>
      </c>
      <c r="E9" s="194">
        <v>8.1346000000000002E-2</v>
      </c>
      <c r="F9" s="29"/>
      <c r="G9" s="29"/>
      <c r="H9" s="29"/>
      <c r="I9" s="29"/>
      <c r="J9" s="29"/>
      <c r="K9" s="29"/>
      <c r="L9" s="29"/>
      <c r="M9" s="29"/>
      <c r="N9" s="29"/>
      <c r="O9" s="29"/>
      <c r="P9" s="29"/>
      <c r="Q9" s="29"/>
      <c r="R9" s="29"/>
      <c r="S9" s="29"/>
      <c r="T9" s="22"/>
      <c r="V9" s="151"/>
      <c r="W9" s="61" t="s">
        <v>106</v>
      </c>
      <c r="X9" s="201">
        <v>8.8542999999999997E-2</v>
      </c>
      <c r="Y9" s="151"/>
      <c r="Z9" s="40"/>
      <c r="AA9" s="40"/>
    </row>
    <row r="10" spans="1:27" ht="15" customHeight="1" x14ac:dyDescent="0.25">
      <c r="B10" s="79"/>
      <c r="C10" s="180" t="s">
        <v>31</v>
      </c>
      <c r="D10" s="187" t="s">
        <v>6</v>
      </c>
      <c r="E10" s="194">
        <v>6.8376000000000006E-2</v>
      </c>
      <c r="F10" s="29"/>
      <c r="G10" s="29"/>
      <c r="H10" s="29"/>
      <c r="I10" s="29"/>
      <c r="J10" s="29"/>
      <c r="K10" s="29"/>
      <c r="L10" s="29"/>
      <c r="M10" s="29"/>
      <c r="N10" s="29"/>
      <c r="O10" s="29"/>
      <c r="P10" s="29"/>
      <c r="Q10" s="29"/>
      <c r="R10" s="29"/>
      <c r="S10" s="29"/>
      <c r="T10" s="22"/>
      <c r="V10" s="151"/>
      <c r="W10" s="61" t="s">
        <v>26</v>
      </c>
      <c r="X10" s="201">
        <v>7.1043999999999996E-2</v>
      </c>
      <c r="Y10" s="151"/>
      <c r="Z10" s="40"/>
      <c r="AA10" s="40"/>
    </row>
    <row r="11" spans="1:27" ht="15" customHeight="1" x14ac:dyDescent="0.25">
      <c r="B11" s="79"/>
      <c r="C11" s="180" t="s">
        <v>33</v>
      </c>
      <c r="D11" s="187" t="s">
        <v>106</v>
      </c>
      <c r="E11" s="194">
        <v>4.8297E-2</v>
      </c>
      <c r="F11" s="29"/>
      <c r="G11" s="29"/>
      <c r="H11" s="29"/>
      <c r="I11" s="29"/>
      <c r="J11" s="29"/>
      <c r="K11" s="29"/>
      <c r="L11" s="29"/>
      <c r="M11" s="29"/>
      <c r="N11" s="29"/>
      <c r="O11" s="29"/>
      <c r="P11" s="29"/>
      <c r="Q11" s="29"/>
      <c r="R11" s="29"/>
      <c r="S11" s="29"/>
      <c r="T11" s="22"/>
      <c r="V11" s="151"/>
      <c r="W11" s="61" t="s">
        <v>111</v>
      </c>
      <c r="X11" s="201">
        <v>6.9026999999999991E-2</v>
      </c>
      <c r="Y11" s="151"/>
      <c r="Z11" s="40"/>
      <c r="AA11" s="40"/>
    </row>
    <row r="12" spans="1:27" ht="15" customHeight="1" x14ac:dyDescent="0.25">
      <c r="B12" s="79"/>
      <c r="C12" s="180" t="s">
        <v>36</v>
      </c>
      <c r="D12" s="187" t="s">
        <v>3</v>
      </c>
      <c r="E12" s="194">
        <v>4.1702999999999997E-2</v>
      </c>
      <c r="F12" s="29"/>
      <c r="G12" s="29"/>
      <c r="H12" s="29"/>
      <c r="I12" s="29"/>
      <c r="J12" s="29"/>
      <c r="K12" s="29"/>
      <c r="L12" s="29"/>
      <c r="M12" s="29"/>
      <c r="N12" s="29"/>
      <c r="O12" s="29"/>
      <c r="P12" s="29"/>
      <c r="Q12" s="29"/>
      <c r="R12" s="29"/>
      <c r="S12" s="29"/>
      <c r="T12" s="22"/>
      <c r="V12" s="151"/>
      <c r="W12" s="61" t="s">
        <v>6</v>
      </c>
      <c r="X12" s="201">
        <v>6.8376000000000006E-2</v>
      </c>
      <c r="Y12" s="151"/>
      <c r="Z12" s="40"/>
      <c r="AA12" s="40"/>
    </row>
    <row r="13" spans="1:27" ht="15" customHeight="1" x14ac:dyDescent="0.25">
      <c r="B13" s="79"/>
      <c r="C13" s="180" t="s">
        <v>28</v>
      </c>
      <c r="D13" s="187" t="s">
        <v>106</v>
      </c>
      <c r="E13" s="194">
        <v>3.3071999999999997E-2</v>
      </c>
      <c r="F13" s="29"/>
      <c r="G13" s="29"/>
      <c r="H13" s="29"/>
      <c r="I13" s="29"/>
      <c r="J13" s="29"/>
      <c r="K13" s="29"/>
      <c r="L13" s="29"/>
      <c r="M13" s="29"/>
      <c r="N13" s="29"/>
      <c r="O13" s="29"/>
      <c r="P13" s="29"/>
      <c r="Q13" s="29"/>
      <c r="R13" s="29"/>
      <c r="S13" s="29"/>
      <c r="T13" s="22"/>
      <c r="V13" s="151"/>
      <c r="W13" s="61" t="s">
        <v>110</v>
      </c>
      <c r="X13" s="201">
        <v>4.3772000000000005E-2</v>
      </c>
      <c r="Y13" s="151"/>
      <c r="Z13" s="40"/>
      <c r="AA13" s="40"/>
    </row>
    <row r="14" spans="1:27" ht="15" customHeight="1" x14ac:dyDescent="0.25">
      <c r="B14" s="79"/>
      <c r="C14" s="180" t="s">
        <v>95</v>
      </c>
      <c r="D14" s="187" t="s">
        <v>111</v>
      </c>
      <c r="E14" s="194">
        <v>2.9163999999999999E-2</v>
      </c>
      <c r="F14" s="29"/>
      <c r="G14" s="29"/>
      <c r="H14" s="29"/>
      <c r="I14" s="29"/>
      <c r="J14" s="29"/>
      <c r="K14" s="29"/>
      <c r="L14" s="29"/>
      <c r="M14" s="29"/>
      <c r="N14" s="29"/>
      <c r="O14" s="29"/>
      <c r="P14" s="29"/>
      <c r="Q14" s="29"/>
      <c r="R14" s="29"/>
      <c r="S14" s="29"/>
      <c r="T14" s="22"/>
      <c r="V14" s="151"/>
      <c r="W14" s="61" t="s">
        <v>85</v>
      </c>
      <c r="X14" s="201">
        <v>3.4778000000000003E-2</v>
      </c>
      <c r="Y14" s="151"/>
      <c r="Z14" s="40"/>
      <c r="AA14" s="40"/>
    </row>
    <row r="15" spans="1:27" ht="15.75" customHeight="1" x14ac:dyDescent="0.25">
      <c r="B15" s="79"/>
      <c r="C15" s="180" t="s">
        <v>70</v>
      </c>
      <c r="D15" s="187" t="s">
        <v>12</v>
      </c>
      <c r="E15" s="194">
        <v>1.9813000000000001E-2</v>
      </c>
      <c r="F15" s="29"/>
      <c r="G15" s="29"/>
      <c r="H15" s="29"/>
      <c r="I15" s="29"/>
      <c r="J15" s="29"/>
      <c r="K15" s="29"/>
      <c r="L15" s="29"/>
      <c r="M15" s="29"/>
      <c r="N15" s="29"/>
      <c r="O15" s="29"/>
      <c r="P15" s="29"/>
      <c r="Q15" s="29"/>
      <c r="R15" s="29"/>
      <c r="S15" s="29"/>
      <c r="T15" s="22"/>
      <c r="V15" s="151"/>
      <c r="W15" s="61" t="s">
        <v>4</v>
      </c>
      <c r="X15" s="201">
        <v>3.0747999999999998E-2</v>
      </c>
      <c r="Y15" s="151"/>
      <c r="Z15" s="40"/>
      <c r="AA15" s="40"/>
    </row>
    <row r="16" spans="1:27" ht="15" customHeight="1" x14ac:dyDescent="0.25">
      <c r="B16" s="79"/>
      <c r="C16" s="180" t="s">
        <v>304</v>
      </c>
      <c r="D16" s="187" t="s">
        <v>26</v>
      </c>
      <c r="E16" s="194">
        <v>1.9567000000000001E-2</v>
      </c>
      <c r="F16" s="29"/>
      <c r="G16" s="29"/>
      <c r="H16" s="29"/>
      <c r="I16" s="29"/>
      <c r="J16" s="29"/>
      <c r="K16" s="29"/>
      <c r="L16" s="29"/>
      <c r="M16" s="29"/>
      <c r="N16" s="29"/>
      <c r="O16" s="29"/>
      <c r="P16" s="29"/>
      <c r="Q16" s="29"/>
      <c r="R16" s="29"/>
      <c r="S16" s="29"/>
      <c r="T16" s="22"/>
      <c r="V16" s="151"/>
      <c r="W16" s="61" t="s">
        <v>116</v>
      </c>
      <c r="X16" s="201">
        <v>2.9116999999999997E-2</v>
      </c>
      <c r="Y16" s="151"/>
      <c r="Z16" s="40"/>
      <c r="AA16" s="40"/>
    </row>
    <row r="17" spans="2:27" ht="15.75" customHeight="1" x14ac:dyDescent="0.25">
      <c r="B17" s="79"/>
      <c r="C17" s="180" t="s">
        <v>37</v>
      </c>
      <c r="D17" s="187" t="s">
        <v>116</v>
      </c>
      <c r="E17" s="194">
        <v>1.9352999999999999E-2</v>
      </c>
      <c r="F17" s="29"/>
      <c r="G17" s="29"/>
      <c r="H17" s="29"/>
      <c r="I17" s="29"/>
      <c r="J17" s="29"/>
      <c r="K17" s="29"/>
      <c r="L17" s="29"/>
      <c r="M17" s="29"/>
      <c r="N17" s="29"/>
      <c r="O17" s="29"/>
      <c r="P17" s="29"/>
      <c r="Q17" s="29"/>
      <c r="R17" s="29"/>
      <c r="S17" s="29"/>
      <c r="T17" s="22"/>
      <c r="V17" s="151"/>
      <c r="W17" s="61" t="s">
        <v>16</v>
      </c>
      <c r="X17" s="201">
        <v>2.8576000000000001E-2</v>
      </c>
      <c r="Y17" s="151"/>
      <c r="Z17" s="40"/>
      <c r="AA17" s="40"/>
    </row>
    <row r="18" spans="2:27" ht="15.75" x14ac:dyDescent="0.25">
      <c r="B18" s="79"/>
      <c r="C18" s="180" t="s">
        <v>35</v>
      </c>
      <c r="D18" s="187" t="s">
        <v>3</v>
      </c>
      <c r="E18" s="194">
        <v>1.8759999999999999E-2</v>
      </c>
      <c r="F18" s="29"/>
      <c r="G18" s="29"/>
      <c r="H18" s="29"/>
      <c r="I18" s="29"/>
      <c r="J18" s="29"/>
      <c r="K18" s="29"/>
      <c r="L18" s="29"/>
      <c r="M18" s="29"/>
      <c r="N18" s="29"/>
      <c r="O18" s="29"/>
      <c r="P18" s="29"/>
      <c r="Q18" s="29"/>
      <c r="R18" s="29"/>
      <c r="S18" s="29"/>
      <c r="T18" s="22"/>
      <c r="V18" s="151"/>
      <c r="W18" s="61" t="s">
        <v>82</v>
      </c>
      <c r="X18" s="201">
        <v>2.1741999999999997E-2</v>
      </c>
      <c r="Y18" s="151"/>
      <c r="Z18" s="40"/>
      <c r="AA18" s="40"/>
    </row>
    <row r="19" spans="2:27" ht="15.75" customHeight="1" x14ac:dyDescent="0.25">
      <c r="B19" s="79"/>
      <c r="C19" s="180" t="s">
        <v>370</v>
      </c>
      <c r="D19" s="187" t="s">
        <v>16</v>
      </c>
      <c r="E19" s="194">
        <v>1.7794000000000001E-2</v>
      </c>
      <c r="F19" s="29"/>
      <c r="G19" s="29"/>
      <c r="H19" s="29"/>
      <c r="I19" s="29"/>
      <c r="J19" s="29"/>
      <c r="K19" s="29"/>
      <c r="L19" s="29"/>
      <c r="M19" s="29"/>
      <c r="N19" s="29"/>
      <c r="O19" s="29"/>
      <c r="P19" s="29"/>
      <c r="Q19" s="29"/>
      <c r="R19" s="29"/>
      <c r="S19" s="29"/>
      <c r="T19" s="22"/>
      <c r="V19" s="151"/>
      <c r="W19" s="61" t="s">
        <v>12</v>
      </c>
      <c r="X19" s="201">
        <v>1.9813000000000001E-2</v>
      </c>
      <c r="Y19" s="151"/>
      <c r="Z19" s="40"/>
      <c r="AA19" s="40"/>
    </row>
    <row r="20" spans="2:27" ht="15" customHeight="1" x14ac:dyDescent="0.25">
      <c r="B20" s="79"/>
      <c r="C20" s="180" t="s">
        <v>217</v>
      </c>
      <c r="D20" s="187" t="s">
        <v>26</v>
      </c>
      <c r="E20" s="194">
        <v>1.7573999999999999E-2</v>
      </c>
      <c r="F20" s="29"/>
      <c r="G20" s="29"/>
      <c r="H20" s="29"/>
      <c r="I20" s="29"/>
      <c r="J20" s="29"/>
      <c r="K20" s="29"/>
      <c r="L20" s="29"/>
      <c r="M20" s="29"/>
      <c r="N20" s="29"/>
      <c r="O20" s="29"/>
      <c r="P20" s="29"/>
      <c r="Q20" s="29"/>
      <c r="R20" s="29"/>
      <c r="S20" s="29"/>
      <c r="T20" s="22"/>
      <c r="V20" s="151"/>
      <c r="W20" s="61" t="s">
        <v>118</v>
      </c>
      <c r="X20" s="201">
        <v>1.7409999999999998E-2</v>
      </c>
      <c r="Y20" s="151"/>
      <c r="Z20" s="40"/>
      <c r="AA20" s="40"/>
    </row>
    <row r="21" spans="2:27" ht="15" customHeight="1" x14ac:dyDescent="0.25">
      <c r="B21" s="79"/>
      <c r="C21" s="180" t="s">
        <v>250</v>
      </c>
      <c r="D21" s="187" t="s">
        <v>110</v>
      </c>
      <c r="E21" s="194">
        <v>1.7507999999999999E-2</v>
      </c>
      <c r="F21" s="29"/>
      <c r="G21" s="29"/>
      <c r="H21" s="29"/>
      <c r="I21" s="29"/>
      <c r="J21" s="29"/>
      <c r="K21" s="29"/>
      <c r="L21" s="29"/>
      <c r="M21" s="29"/>
      <c r="N21" s="29"/>
      <c r="O21" s="29"/>
      <c r="P21" s="29"/>
      <c r="Q21" s="29"/>
      <c r="R21" s="29"/>
      <c r="S21" s="29"/>
      <c r="T21" s="22"/>
      <c r="V21" s="151"/>
      <c r="W21" s="61" t="s">
        <v>112</v>
      </c>
      <c r="X21" s="201">
        <v>1.6421999999999999E-2</v>
      </c>
      <c r="Y21" s="151"/>
      <c r="Z21" s="40"/>
      <c r="AA21" s="40"/>
    </row>
    <row r="22" spans="2:27" ht="15" customHeight="1" x14ac:dyDescent="0.25">
      <c r="B22" s="79"/>
      <c r="C22" s="180" t="s">
        <v>97</v>
      </c>
      <c r="D22" s="187" t="s">
        <v>118</v>
      </c>
      <c r="E22" s="194">
        <v>1.7409999999999998E-2</v>
      </c>
      <c r="F22" s="29"/>
      <c r="G22" s="29"/>
      <c r="H22" s="29"/>
      <c r="I22" s="29"/>
      <c r="J22" s="29"/>
      <c r="K22" s="29"/>
      <c r="L22" s="29"/>
      <c r="M22" s="29"/>
      <c r="N22" s="29"/>
      <c r="O22" s="29"/>
      <c r="P22" s="29"/>
      <c r="Q22" s="29"/>
      <c r="R22" s="29"/>
      <c r="S22" s="29"/>
      <c r="T22" s="22"/>
      <c r="V22" s="151"/>
      <c r="W22" s="61" t="s">
        <v>23</v>
      </c>
      <c r="X22" s="201">
        <v>1.4606000000000001E-2</v>
      </c>
      <c r="Y22" s="151"/>
      <c r="Z22" s="40"/>
      <c r="AA22" s="40"/>
    </row>
    <row r="23" spans="2:27" ht="15" customHeight="1" x14ac:dyDescent="0.25">
      <c r="B23" s="79"/>
      <c r="C23" s="71"/>
      <c r="D23" s="71"/>
      <c r="E23" s="146"/>
      <c r="F23" s="29"/>
      <c r="G23" s="29"/>
      <c r="H23" s="29"/>
      <c r="I23" s="29"/>
      <c r="J23" s="29"/>
      <c r="K23" s="29"/>
      <c r="L23" s="29"/>
      <c r="M23" s="29"/>
      <c r="N23" s="29"/>
      <c r="O23" s="29"/>
      <c r="P23" s="29"/>
      <c r="Q23" s="29"/>
      <c r="R23" s="29"/>
      <c r="S23" s="29"/>
      <c r="T23" s="22"/>
      <c r="V23" s="151"/>
      <c r="W23" s="61" t="s">
        <v>107</v>
      </c>
      <c r="X23" s="201">
        <v>1.3531E-2</v>
      </c>
      <c r="Y23" s="151"/>
      <c r="Z23" s="40"/>
      <c r="AA23" s="40"/>
    </row>
    <row r="24" spans="2:27" ht="15" customHeight="1" x14ac:dyDescent="0.25">
      <c r="B24" s="79"/>
      <c r="C24" s="73" t="s">
        <v>55</v>
      </c>
      <c r="D24" s="74"/>
      <c r="E24" s="75">
        <f>SUM(E8:E22)</f>
        <v>0.53469200000000006</v>
      </c>
      <c r="F24" s="29"/>
      <c r="G24" s="29"/>
      <c r="H24" s="29"/>
      <c r="I24" s="29"/>
      <c r="J24" s="29"/>
      <c r="K24" s="29"/>
      <c r="L24" s="29"/>
      <c r="M24" s="29"/>
      <c r="N24" s="29"/>
      <c r="O24" s="29"/>
      <c r="P24" s="29"/>
      <c r="Q24" s="29"/>
      <c r="R24" s="29"/>
      <c r="S24" s="29"/>
      <c r="T24" s="22"/>
      <c r="V24" s="151"/>
      <c r="W24" s="61" t="s">
        <v>76</v>
      </c>
      <c r="X24" s="201">
        <v>1.2853E-2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61" t="s">
        <v>11</v>
      </c>
      <c r="X25" s="201">
        <v>1.2652E-2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61" t="s">
        <v>83</v>
      </c>
      <c r="X26" s="201">
        <v>1.2402E-2</v>
      </c>
      <c r="Y26" s="151"/>
      <c r="Z26" s="40"/>
      <c r="AA26" s="40"/>
    </row>
    <row r="27" spans="2:27" ht="15" customHeight="1" x14ac:dyDescent="0.25">
      <c r="B27" s="79"/>
      <c r="D27" s="153"/>
      <c r="F27" s="29"/>
      <c r="G27" s="29"/>
      <c r="H27" s="29"/>
      <c r="I27" s="29"/>
      <c r="J27" s="29"/>
      <c r="K27" s="29"/>
      <c r="L27" s="29"/>
      <c r="M27" s="29"/>
      <c r="N27" s="29"/>
      <c r="O27" s="29"/>
      <c r="P27" s="29"/>
      <c r="Q27" s="29"/>
      <c r="R27" s="29"/>
      <c r="S27" s="29"/>
      <c r="T27" s="22"/>
      <c r="V27" s="151"/>
      <c r="W27" s="61" t="s">
        <v>105</v>
      </c>
      <c r="X27" s="201">
        <v>1.1192000000000001E-2</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61" t="s">
        <v>132</v>
      </c>
      <c r="X28" s="201">
        <v>1.0767000000000001E-2</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61" t="s">
        <v>145</v>
      </c>
      <c r="X29" s="201">
        <v>9.0089999999999996E-3</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56" t="s">
        <v>10</v>
      </c>
      <c r="X30" s="201">
        <v>8.6280000000000003E-3</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56" t="s">
        <v>326</v>
      </c>
      <c r="X31" s="201">
        <v>8.1709999999999994E-3</v>
      </c>
      <c r="Y31" s="151"/>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24</v>
      </c>
      <c r="X32" s="201">
        <v>7.5980000000000006E-3</v>
      </c>
    </row>
    <row r="33" spans="2:24" ht="15" customHeight="1" thickBot="1" x14ac:dyDescent="0.3">
      <c r="W33" s="19" t="s">
        <v>125</v>
      </c>
      <c r="X33" s="201">
        <v>4.5389999999999996E-3</v>
      </c>
    </row>
    <row r="34" spans="2:24" ht="15" customHeight="1" x14ac:dyDescent="0.25">
      <c r="B34" s="302" t="s">
        <v>180</v>
      </c>
      <c r="C34" s="303"/>
      <c r="D34" s="303"/>
      <c r="E34" s="303"/>
      <c r="F34" s="303"/>
      <c r="G34" s="303"/>
      <c r="H34" s="303"/>
      <c r="I34" s="303"/>
      <c r="J34" s="303"/>
      <c r="K34" s="303"/>
      <c r="L34" s="303"/>
      <c r="M34" s="303"/>
      <c r="N34" s="303"/>
      <c r="O34" s="303"/>
      <c r="P34" s="303"/>
      <c r="Q34" s="303"/>
      <c r="R34" s="304"/>
      <c r="W34" s="19" t="s">
        <v>84</v>
      </c>
      <c r="X34" s="201">
        <v>2.6870000000000002E-3</v>
      </c>
    </row>
    <row r="35" spans="2:24" ht="15" customHeight="1" x14ac:dyDescent="0.25">
      <c r="B35" s="305"/>
      <c r="C35" s="306"/>
      <c r="D35" s="306"/>
      <c r="E35" s="306"/>
      <c r="F35" s="306"/>
      <c r="G35" s="306"/>
      <c r="H35" s="306"/>
      <c r="I35" s="306"/>
      <c r="J35" s="306"/>
      <c r="K35" s="306"/>
      <c r="L35" s="306"/>
      <c r="M35" s="306"/>
      <c r="N35" s="306"/>
      <c r="O35" s="306"/>
      <c r="P35" s="306"/>
      <c r="Q35" s="306"/>
      <c r="R35" s="307"/>
      <c r="W35" s="19" t="s">
        <v>117</v>
      </c>
      <c r="X35" s="201">
        <v>1.0690000000000001E-3</v>
      </c>
    </row>
    <row r="36" spans="2:24" ht="15" customHeight="1" x14ac:dyDescent="0.25">
      <c r="B36" s="305"/>
      <c r="C36" s="306"/>
      <c r="D36" s="306"/>
      <c r="E36" s="306"/>
      <c r="F36" s="306"/>
      <c r="G36" s="306"/>
      <c r="H36" s="306"/>
      <c r="I36" s="306"/>
      <c r="J36" s="306"/>
      <c r="K36" s="306"/>
      <c r="L36" s="306"/>
      <c r="M36" s="306"/>
      <c r="N36" s="306"/>
      <c r="O36" s="306"/>
      <c r="P36" s="306"/>
      <c r="Q36" s="306"/>
      <c r="R36" s="307"/>
      <c r="X36" s="201"/>
    </row>
    <row r="37" spans="2:24" ht="15" customHeight="1" x14ac:dyDescent="0.25">
      <c r="B37" s="305"/>
      <c r="C37" s="306"/>
      <c r="D37" s="306"/>
      <c r="E37" s="306"/>
      <c r="F37" s="306"/>
      <c r="G37" s="306"/>
      <c r="H37" s="306"/>
      <c r="I37" s="306"/>
      <c r="J37" s="306"/>
      <c r="K37" s="306"/>
      <c r="L37" s="306"/>
      <c r="M37" s="306"/>
      <c r="N37" s="306"/>
      <c r="O37" s="306"/>
      <c r="P37" s="306"/>
      <c r="Q37" s="306"/>
      <c r="R37" s="307"/>
      <c r="X37" s="201"/>
    </row>
    <row r="38" spans="2:24" ht="15" customHeight="1" x14ac:dyDescent="0.25">
      <c r="B38" s="305"/>
      <c r="C38" s="306"/>
      <c r="D38" s="306"/>
      <c r="E38" s="306"/>
      <c r="F38" s="306"/>
      <c r="G38" s="306"/>
      <c r="H38" s="306"/>
      <c r="I38" s="306"/>
      <c r="J38" s="306"/>
      <c r="K38" s="306"/>
      <c r="L38" s="306"/>
      <c r="M38" s="306"/>
      <c r="N38" s="306"/>
      <c r="O38" s="306"/>
      <c r="P38" s="306"/>
      <c r="Q38" s="306"/>
      <c r="R38" s="307"/>
      <c r="X38" s="201"/>
    </row>
    <row r="39" spans="2:24" ht="15" customHeight="1" x14ac:dyDescent="0.25">
      <c r="B39" s="305"/>
      <c r="C39" s="306"/>
      <c r="D39" s="306"/>
      <c r="E39" s="306"/>
      <c r="F39" s="306"/>
      <c r="G39" s="306"/>
      <c r="H39" s="306"/>
      <c r="I39" s="306"/>
      <c r="J39" s="306"/>
      <c r="K39" s="306"/>
      <c r="L39" s="306"/>
      <c r="M39" s="306"/>
      <c r="N39" s="306"/>
      <c r="O39" s="306"/>
      <c r="P39" s="306"/>
      <c r="Q39" s="306"/>
      <c r="R39" s="307"/>
      <c r="X39" s="201"/>
    </row>
    <row r="40" spans="2:24" ht="21.75" customHeight="1" thickBot="1" x14ac:dyDescent="0.3">
      <c r="B40" s="308"/>
      <c r="C40" s="309"/>
      <c r="D40" s="309"/>
      <c r="E40" s="309"/>
      <c r="F40" s="309"/>
      <c r="G40" s="309"/>
      <c r="H40" s="309"/>
      <c r="I40" s="309"/>
      <c r="J40" s="309"/>
      <c r="K40" s="309"/>
      <c r="L40" s="309"/>
      <c r="M40" s="309"/>
      <c r="N40" s="309"/>
      <c r="O40" s="309"/>
      <c r="P40" s="309"/>
      <c r="Q40" s="309"/>
      <c r="R40" s="310"/>
      <c r="X40" s="201"/>
    </row>
    <row r="41" spans="2:24" ht="15" customHeight="1" x14ac:dyDescent="0.25">
      <c r="X41" s="201"/>
    </row>
    <row r="42" spans="2:24" ht="15" customHeight="1" x14ac:dyDescent="0.25">
      <c r="X42" s="201"/>
    </row>
    <row r="43" spans="2:24" ht="15" customHeight="1" x14ac:dyDescent="0.25">
      <c r="X43" s="201"/>
    </row>
    <row r="44" spans="2:24" ht="15" customHeight="1" x14ac:dyDescent="0.25">
      <c r="X44" s="201"/>
    </row>
    <row r="45" spans="2:24" ht="15" customHeight="1" x14ac:dyDescent="0.25">
      <c r="X45" s="20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204</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387</v>
      </c>
      <c r="E5" s="313"/>
      <c r="F5" s="29"/>
      <c r="G5" s="14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25">
      <c r="B8" s="79"/>
      <c r="C8" s="184" t="s">
        <v>272</v>
      </c>
      <c r="D8" s="185" t="s">
        <v>112</v>
      </c>
      <c r="E8" s="186">
        <v>2.7824000000000002E-2</v>
      </c>
      <c r="F8" s="29"/>
      <c r="G8" s="29"/>
      <c r="H8" s="29"/>
      <c r="I8" s="29"/>
      <c r="J8" s="29"/>
      <c r="K8" s="29"/>
      <c r="L8" s="29"/>
      <c r="M8" s="29"/>
      <c r="N8" s="29"/>
      <c r="O8" s="29"/>
      <c r="P8" s="29"/>
      <c r="Q8" s="29"/>
      <c r="R8" s="29"/>
      <c r="S8" s="29"/>
      <c r="T8" s="22"/>
      <c r="W8" s="166" t="s">
        <v>4</v>
      </c>
      <c r="X8" s="167">
        <v>9.5857999999999985E-2</v>
      </c>
    </row>
    <row r="9" spans="1:24" ht="15.75" customHeight="1" x14ac:dyDescent="0.25">
      <c r="B9" s="79"/>
      <c r="C9" s="180" t="s">
        <v>252</v>
      </c>
      <c r="D9" s="187" t="s">
        <v>114</v>
      </c>
      <c r="E9" s="188">
        <v>2.6419000000000002E-2</v>
      </c>
      <c r="F9" s="29"/>
      <c r="G9" s="29"/>
      <c r="H9" s="29"/>
      <c r="I9" s="29"/>
      <c r="J9" s="29"/>
      <c r="K9" s="29"/>
      <c r="L9" s="29"/>
      <c r="M9" s="29"/>
      <c r="N9" s="29"/>
      <c r="O9" s="29"/>
      <c r="P9" s="29"/>
      <c r="Q9" s="29"/>
      <c r="R9" s="29"/>
      <c r="S9" s="29"/>
      <c r="T9" s="22"/>
      <c r="W9" s="166" t="s">
        <v>110</v>
      </c>
      <c r="X9" s="167">
        <v>8.9344000000000007E-2</v>
      </c>
    </row>
    <row r="10" spans="1:24" ht="15" customHeight="1" x14ac:dyDescent="0.25">
      <c r="B10" s="79"/>
      <c r="C10" s="180" t="s">
        <v>339</v>
      </c>
      <c r="D10" s="187" t="s">
        <v>115</v>
      </c>
      <c r="E10" s="188">
        <v>2.3120999999999999E-2</v>
      </c>
      <c r="F10" s="29"/>
      <c r="G10" s="29"/>
      <c r="H10" s="29"/>
      <c r="I10" s="29"/>
      <c r="J10" s="29"/>
      <c r="K10" s="29"/>
      <c r="L10" s="29"/>
      <c r="M10" s="29"/>
      <c r="N10" s="29"/>
      <c r="O10" s="29"/>
      <c r="P10" s="29"/>
      <c r="Q10" s="29"/>
      <c r="R10" s="29"/>
      <c r="S10" s="29"/>
      <c r="T10" s="22"/>
      <c r="W10" s="166" t="s">
        <v>112</v>
      </c>
      <c r="X10" s="167">
        <v>7.6880000000000004E-2</v>
      </c>
    </row>
    <row r="11" spans="1:24" ht="15" customHeight="1" x14ac:dyDescent="0.25">
      <c r="B11" s="79"/>
      <c r="C11" s="180" t="s">
        <v>253</v>
      </c>
      <c r="D11" s="187" t="s">
        <v>3</v>
      </c>
      <c r="E11" s="188">
        <v>2.2120999999999998E-2</v>
      </c>
      <c r="F11" s="29"/>
      <c r="G11" s="29"/>
      <c r="H11" s="29"/>
      <c r="I11" s="29"/>
      <c r="J11" s="29"/>
      <c r="K11" s="29"/>
      <c r="L11" s="29"/>
      <c r="M11" s="29"/>
      <c r="N11" s="29"/>
      <c r="O11" s="29"/>
      <c r="P11" s="29"/>
      <c r="Q11" s="29"/>
      <c r="R11" s="29"/>
      <c r="S11" s="29"/>
      <c r="T11" s="22"/>
      <c r="W11" s="166" t="s">
        <v>3</v>
      </c>
      <c r="X11" s="167">
        <v>6.1445E-2</v>
      </c>
    </row>
    <row r="12" spans="1:24" ht="15" customHeight="1" x14ac:dyDescent="0.25">
      <c r="B12" s="79"/>
      <c r="C12" s="180" t="s">
        <v>185</v>
      </c>
      <c r="D12" s="187" t="s">
        <v>4</v>
      </c>
      <c r="E12" s="188">
        <v>2.1689E-2</v>
      </c>
      <c r="F12" s="29"/>
      <c r="G12" s="29"/>
      <c r="H12" s="29"/>
      <c r="I12" s="29"/>
      <c r="J12" s="29"/>
      <c r="K12" s="29"/>
      <c r="L12" s="29"/>
      <c r="M12" s="29"/>
      <c r="N12" s="29"/>
      <c r="O12" s="29"/>
      <c r="P12" s="29"/>
      <c r="Q12" s="29"/>
      <c r="R12" s="29"/>
      <c r="S12" s="29"/>
      <c r="T12" s="22"/>
      <c r="W12" s="166" t="s">
        <v>115</v>
      </c>
      <c r="X12" s="167">
        <v>5.2694999999999999E-2</v>
      </c>
    </row>
    <row r="13" spans="1:24" ht="15" customHeight="1" x14ac:dyDescent="0.25">
      <c r="B13" s="79"/>
      <c r="C13" s="180" t="s">
        <v>194</v>
      </c>
      <c r="D13" s="187" t="s">
        <v>121</v>
      </c>
      <c r="E13" s="188">
        <v>1.6485E-2</v>
      </c>
      <c r="F13" s="29"/>
      <c r="G13" s="29"/>
      <c r="H13" s="29"/>
      <c r="I13" s="29"/>
      <c r="J13" s="29"/>
      <c r="K13" s="29"/>
      <c r="L13" s="29"/>
      <c r="M13" s="29"/>
      <c r="N13" s="29"/>
      <c r="O13" s="29"/>
      <c r="P13" s="29"/>
      <c r="Q13" s="29"/>
      <c r="R13" s="29"/>
      <c r="S13" s="29"/>
      <c r="T13" s="22"/>
      <c r="W13" s="166" t="s">
        <v>24</v>
      </c>
      <c r="X13" s="167">
        <v>4.6264E-2</v>
      </c>
    </row>
    <row r="14" spans="1:24" ht="15" customHeight="1" x14ac:dyDescent="0.25">
      <c r="B14" s="79"/>
      <c r="C14" s="180" t="s">
        <v>77</v>
      </c>
      <c r="D14" s="187" t="s">
        <v>24</v>
      </c>
      <c r="E14" s="188">
        <v>1.5875E-2</v>
      </c>
      <c r="F14" s="29"/>
      <c r="G14" s="29"/>
      <c r="H14" s="29"/>
      <c r="I14" s="29"/>
      <c r="J14" s="29"/>
      <c r="K14" s="29"/>
      <c r="L14" s="29"/>
      <c r="M14" s="29"/>
      <c r="N14" s="29"/>
      <c r="O14" s="29"/>
      <c r="P14" s="29"/>
      <c r="Q14" s="29"/>
      <c r="R14" s="29"/>
      <c r="S14" s="29"/>
      <c r="T14" s="22"/>
      <c r="W14" s="166" t="s">
        <v>16</v>
      </c>
      <c r="X14" s="167">
        <v>4.2334999999999998E-2</v>
      </c>
    </row>
    <row r="15" spans="1:24" ht="15" customHeight="1" x14ac:dyDescent="0.25">
      <c r="B15" s="79"/>
      <c r="C15" s="180" t="s">
        <v>340</v>
      </c>
      <c r="D15" s="187" t="s">
        <v>76</v>
      </c>
      <c r="E15" s="188">
        <v>1.4506E-2</v>
      </c>
      <c r="F15" s="29"/>
      <c r="G15" s="29"/>
      <c r="H15" s="29"/>
      <c r="I15" s="29"/>
      <c r="J15" s="29"/>
      <c r="K15" s="29"/>
      <c r="L15" s="29"/>
      <c r="M15" s="29"/>
      <c r="N15" s="29"/>
      <c r="O15" s="29"/>
      <c r="P15" s="29"/>
      <c r="Q15" s="29"/>
      <c r="R15" s="29"/>
      <c r="S15" s="29"/>
      <c r="T15" s="22"/>
      <c r="W15" s="166" t="s">
        <v>121</v>
      </c>
      <c r="X15" s="167">
        <v>4.0230000000000002E-2</v>
      </c>
    </row>
    <row r="16" spans="1:24" ht="15" customHeight="1" x14ac:dyDescent="0.25">
      <c r="B16" s="79"/>
      <c r="C16" s="180" t="s">
        <v>262</v>
      </c>
      <c r="D16" s="187" t="s">
        <v>3</v>
      </c>
      <c r="E16" s="188">
        <v>1.2636E-2</v>
      </c>
      <c r="F16" s="29"/>
      <c r="G16" s="29"/>
      <c r="H16" s="29"/>
      <c r="I16" s="29"/>
      <c r="J16" s="29"/>
      <c r="K16" s="29"/>
      <c r="L16" s="29"/>
      <c r="M16" s="29"/>
      <c r="N16" s="29"/>
      <c r="O16" s="29"/>
      <c r="P16" s="29"/>
      <c r="Q16" s="29"/>
      <c r="R16" s="29"/>
      <c r="S16" s="29"/>
      <c r="T16" s="22"/>
      <c r="W16" s="166" t="s">
        <v>84</v>
      </c>
      <c r="X16" s="167">
        <v>3.9617000000000006E-2</v>
      </c>
    </row>
    <row r="17" spans="2:24" ht="15" customHeight="1" x14ac:dyDescent="0.25">
      <c r="B17" s="79"/>
      <c r="C17" s="180" t="s">
        <v>193</v>
      </c>
      <c r="D17" s="187" t="s">
        <v>118</v>
      </c>
      <c r="E17" s="188">
        <v>1.227E-2</v>
      </c>
      <c r="F17" s="29"/>
      <c r="G17" s="29"/>
      <c r="H17" s="29"/>
      <c r="I17" s="29"/>
      <c r="J17" s="29"/>
      <c r="K17" s="29"/>
      <c r="L17" s="29"/>
      <c r="M17" s="29"/>
      <c r="N17" s="29"/>
      <c r="O17" s="29"/>
      <c r="P17" s="29"/>
      <c r="Q17" s="29"/>
      <c r="R17" s="29"/>
      <c r="S17" s="29"/>
      <c r="T17" s="22"/>
      <c r="W17" s="166" t="s">
        <v>118</v>
      </c>
      <c r="X17" s="167">
        <v>3.6760000000000001E-2</v>
      </c>
    </row>
    <row r="18" spans="2:24" ht="15" customHeight="1" x14ac:dyDescent="0.25">
      <c r="B18" s="79"/>
      <c r="C18" s="180" t="s">
        <v>69</v>
      </c>
      <c r="D18" s="187" t="s">
        <v>4</v>
      </c>
      <c r="E18" s="188">
        <v>1.2038E-2</v>
      </c>
      <c r="F18" s="29"/>
      <c r="G18" s="29"/>
      <c r="H18" s="29"/>
      <c r="I18" s="29"/>
      <c r="J18" s="29"/>
      <c r="K18" s="29"/>
      <c r="L18" s="29"/>
      <c r="M18" s="29"/>
      <c r="N18" s="29"/>
      <c r="O18" s="29"/>
      <c r="P18" s="29"/>
      <c r="Q18" s="29"/>
      <c r="R18" s="29"/>
      <c r="S18" s="29"/>
      <c r="T18" s="22"/>
      <c r="W18" s="166" t="s">
        <v>76</v>
      </c>
      <c r="X18" s="167">
        <v>3.3551999999999998E-2</v>
      </c>
    </row>
    <row r="19" spans="2:24" ht="15" customHeight="1" x14ac:dyDescent="0.25">
      <c r="B19" s="79"/>
      <c r="C19" s="180" t="s">
        <v>355</v>
      </c>
      <c r="D19" s="187" t="s">
        <v>4</v>
      </c>
      <c r="E19" s="188">
        <v>1.1690000000000001E-2</v>
      </c>
      <c r="F19" s="29"/>
      <c r="G19" s="29"/>
      <c r="H19" s="29"/>
      <c r="I19" s="29"/>
      <c r="J19" s="29"/>
      <c r="K19" s="29"/>
      <c r="L19" s="29"/>
      <c r="M19" s="29"/>
      <c r="N19" s="29"/>
      <c r="O19" s="29"/>
      <c r="P19" s="29"/>
      <c r="Q19" s="29"/>
      <c r="R19" s="29"/>
      <c r="S19" s="29"/>
      <c r="T19" s="22"/>
      <c r="W19" s="166" t="s">
        <v>114</v>
      </c>
      <c r="X19" s="167">
        <v>3.0448000000000003E-2</v>
      </c>
    </row>
    <row r="20" spans="2:24" ht="15" customHeight="1" x14ac:dyDescent="0.25">
      <c r="B20" s="79"/>
      <c r="C20" s="180" t="s">
        <v>426</v>
      </c>
      <c r="D20" s="187" t="s">
        <v>118</v>
      </c>
      <c r="E20" s="188">
        <v>1.1657000000000001E-2</v>
      </c>
      <c r="F20" s="29"/>
      <c r="G20" s="29"/>
      <c r="H20" s="29"/>
      <c r="I20" s="29"/>
      <c r="J20" s="29"/>
      <c r="K20" s="29"/>
      <c r="L20" s="29"/>
      <c r="M20" s="29"/>
      <c r="N20" s="29"/>
      <c r="O20" s="29"/>
      <c r="P20" s="29"/>
      <c r="Q20" s="29"/>
      <c r="R20" s="29"/>
      <c r="S20" s="29"/>
      <c r="T20" s="22"/>
      <c r="W20" s="166" t="s">
        <v>109</v>
      </c>
      <c r="X20" s="167">
        <v>2.8665999999999997E-2</v>
      </c>
    </row>
    <row r="21" spans="2:24" ht="15" customHeight="1" x14ac:dyDescent="0.25">
      <c r="B21" s="79"/>
      <c r="C21" s="180" t="s">
        <v>237</v>
      </c>
      <c r="D21" s="187" t="s">
        <v>110</v>
      </c>
      <c r="E21" s="188">
        <v>1.0904E-2</v>
      </c>
      <c r="F21" s="29"/>
      <c r="G21" s="29"/>
      <c r="H21" s="29"/>
      <c r="I21" s="29"/>
      <c r="J21" s="29"/>
      <c r="K21" s="29"/>
      <c r="L21" s="29"/>
      <c r="M21" s="29"/>
      <c r="N21" s="29"/>
      <c r="O21" s="29"/>
      <c r="P21" s="29"/>
      <c r="Q21" s="29"/>
      <c r="R21" s="29"/>
      <c r="S21" s="29"/>
      <c r="T21" s="22"/>
      <c r="W21" s="166" t="s">
        <v>125</v>
      </c>
      <c r="X21" s="167">
        <v>2.0305E-2</v>
      </c>
    </row>
    <row r="22" spans="2:24" ht="15" customHeight="1" x14ac:dyDescent="0.25">
      <c r="B22" s="79"/>
      <c r="C22" s="180" t="s">
        <v>199</v>
      </c>
      <c r="D22" s="187" t="s">
        <v>4</v>
      </c>
      <c r="E22" s="188">
        <v>1.09E-2</v>
      </c>
      <c r="F22" s="29"/>
      <c r="G22" s="29"/>
      <c r="H22" s="29"/>
      <c r="I22" s="29"/>
      <c r="J22" s="29"/>
      <c r="K22" s="29"/>
      <c r="L22" s="29"/>
      <c r="M22" s="29"/>
      <c r="N22" s="29"/>
      <c r="O22" s="29"/>
      <c r="P22" s="29"/>
      <c r="Q22" s="29"/>
      <c r="R22" s="29"/>
      <c r="S22" s="29"/>
      <c r="T22" s="22"/>
      <c r="W22" s="166" t="s">
        <v>26</v>
      </c>
      <c r="X22" s="167">
        <v>1.8263000000000001E-2</v>
      </c>
    </row>
    <row r="23" spans="2:24" ht="15" customHeight="1" x14ac:dyDescent="0.25">
      <c r="B23" s="79"/>
      <c r="C23" s="71"/>
      <c r="D23" s="150"/>
      <c r="E23" s="72"/>
      <c r="F23" s="29"/>
      <c r="G23" s="29"/>
      <c r="H23" s="29"/>
      <c r="I23" s="29"/>
      <c r="J23" s="29"/>
      <c r="K23" s="29"/>
      <c r="L23" s="29"/>
      <c r="M23" s="29"/>
      <c r="N23" s="29"/>
      <c r="O23" s="29"/>
      <c r="P23" s="29"/>
      <c r="Q23" s="29"/>
      <c r="R23" s="29"/>
      <c r="S23" s="29"/>
      <c r="T23" s="22"/>
      <c r="W23" s="166" t="s">
        <v>123</v>
      </c>
      <c r="X23" s="167">
        <v>1.5818000000000002E-2</v>
      </c>
    </row>
    <row r="24" spans="2:24" ht="15" customHeight="1" x14ac:dyDescent="0.25">
      <c r="B24" s="79"/>
      <c r="C24" s="73" t="s">
        <v>55</v>
      </c>
      <c r="D24" s="74"/>
      <c r="E24" s="75">
        <f>SUM(E8:E22)</f>
        <v>0.250135</v>
      </c>
      <c r="F24" s="29"/>
      <c r="G24" s="29"/>
      <c r="H24" s="29"/>
      <c r="I24" s="29"/>
      <c r="J24" s="29"/>
      <c r="K24" s="29"/>
      <c r="L24" s="29"/>
      <c r="M24" s="29"/>
      <c r="N24" s="29"/>
      <c r="O24" s="29"/>
      <c r="P24" s="29"/>
      <c r="Q24" s="29"/>
      <c r="R24" s="29"/>
      <c r="S24" s="29"/>
      <c r="T24" s="22"/>
      <c r="W24" s="166" t="s">
        <v>136</v>
      </c>
      <c r="X24" s="167">
        <v>1.506E-2</v>
      </c>
    </row>
    <row r="25" spans="2:24" ht="15" customHeight="1" x14ac:dyDescent="0.25">
      <c r="B25" s="79"/>
      <c r="F25" s="29"/>
      <c r="G25" s="29"/>
      <c r="H25" s="29"/>
      <c r="I25" s="29"/>
      <c r="J25" s="29"/>
      <c r="K25" s="29"/>
      <c r="L25" s="29"/>
      <c r="M25" s="29"/>
      <c r="N25" s="29"/>
      <c r="O25" s="29"/>
      <c r="P25" s="29"/>
      <c r="Q25" s="29"/>
      <c r="R25" s="29"/>
      <c r="S25" s="29"/>
      <c r="T25" s="22"/>
      <c r="W25" s="166" t="s">
        <v>23</v>
      </c>
      <c r="X25" s="167">
        <v>1.4908999999999999E-2</v>
      </c>
    </row>
    <row r="26" spans="2:24" ht="15" customHeight="1" x14ac:dyDescent="0.25">
      <c r="B26" s="79"/>
      <c r="F26" s="29"/>
      <c r="G26" s="29"/>
      <c r="H26" s="29"/>
      <c r="I26" s="29"/>
      <c r="J26" s="29"/>
      <c r="K26" s="29"/>
      <c r="L26" s="29"/>
      <c r="M26" s="29"/>
      <c r="N26" s="29"/>
      <c r="O26" s="29"/>
      <c r="P26" s="29"/>
      <c r="Q26" s="29"/>
      <c r="R26" s="29"/>
      <c r="S26" s="29"/>
      <c r="T26" s="22"/>
      <c r="W26" s="166" t="s">
        <v>10</v>
      </c>
      <c r="X26" s="167">
        <v>1.4155000000000001E-2</v>
      </c>
    </row>
    <row r="27" spans="2:24" ht="15" customHeight="1" x14ac:dyDescent="0.25">
      <c r="B27" s="79"/>
      <c r="F27" s="29"/>
      <c r="G27" s="29"/>
      <c r="H27" s="29"/>
      <c r="I27" s="29"/>
      <c r="J27" s="29"/>
      <c r="K27" s="29"/>
      <c r="L27" s="29"/>
      <c r="M27" s="29"/>
      <c r="N27" s="29"/>
      <c r="O27" s="29"/>
      <c r="P27" s="29"/>
      <c r="Q27" s="29"/>
      <c r="R27" s="29"/>
      <c r="S27" s="29"/>
      <c r="T27" s="22"/>
      <c r="W27" s="166" t="s">
        <v>83</v>
      </c>
      <c r="X27" s="167">
        <v>1.1625999999999999E-2</v>
      </c>
    </row>
    <row r="28" spans="2:24" ht="15" customHeight="1" x14ac:dyDescent="0.25">
      <c r="B28" s="79"/>
      <c r="F28" s="29"/>
      <c r="G28" s="29"/>
      <c r="H28" s="29"/>
      <c r="I28" s="29"/>
      <c r="J28" s="29"/>
      <c r="K28" s="29"/>
      <c r="L28" s="29"/>
      <c r="M28" s="29"/>
      <c r="N28" s="29"/>
      <c r="O28" s="29"/>
      <c r="P28" s="29"/>
      <c r="Q28" s="29"/>
      <c r="R28" s="29"/>
      <c r="S28" s="29"/>
      <c r="T28" s="22"/>
      <c r="W28" s="166" t="s">
        <v>113</v>
      </c>
      <c r="X28" s="167">
        <v>1.0655E-2</v>
      </c>
    </row>
    <row r="29" spans="2:24" ht="15" customHeight="1" x14ac:dyDescent="0.25">
      <c r="B29" s="79"/>
      <c r="F29" s="29"/>
      <c r="G29" s="29"/>
      <c r="H29" s="29"/>
      <c r="I29" s="29"/>
      <c r="J29" s="29"/>
      <c r="K29" s="29"/>
      <c r="L29" s="29"/>
      <c r="M29" s="29"/>
      <c r="N29" s="29"/>
      <c r="O29" s="29"/>
      <c r="P29" s="29"/>
      <c r="Q29" s="29"/>
      <c r="R29" s="29"/>
      <c r="S29" s="29"/>
      <c r="T29" s="22"/>
      <c r="W29" s="166" t="s">
        <v>230</v>
      </c>
      <c r="X29" s="167">
        <v>1.0458E-2</v>
      </c>
    </row>
    <row r="30" spans="2:24" ht="15" customHeight="1" x14ac:dyDescent="0.25">
      <c r="B30" s="79"/>
      <c r="F30" s="29"/>
      <c r="G30" s="29"/>
      <c r="H30" s="29"/>
      <c r="I30" s="29"/>
      <c r="J30" s="29"/>
      <c r="K30" s="29"/>
      <c r="L30" s="29"/>
      <c r="M30" s="29"/>
      <c r="N30" s="29"/>
      <c r="O30" s="29"/>
      <c r="P30" s="29"/>
      <c r="Q30" s="29"/>
      <c r="R30" s="29"/>
      <c r="S30" s="29"/>
      <c r="T30" s="22"/>
      <c r="W30" s="166" t="s">
        <v>105</v>
      </c>
      <c r="X30" s="167">
        <v>9.8169999999999993E-3</v>
      </c>
    </row>
    <row r="31" spans="2:24" ht="15" customHeight="1" x14ac:dyDescent="0.25">
      <c r="B31" s="79"/>
      <c r="F31" s="29"/>
      <c r="G31" s="29"/>
      <c r="H31" s="29"/>
      <c r="I31" s="29"/>
      <c r="J31" s="29"/>
      <c r="K31" s="29"/>
      <c r="L31" s="29"/>
      <c r="M31" s="29"/>
      <c r="N31" s="29"/>
      <c r="O31" s="29"/>
      <c r="P31" s="29"/>
      <c r="Q31" s="29"/>
      <c r="R31" s="29"/>
      <c r="S31" s="29"/>
      <c r="T31" s="22"/>
      <c r="W31" s="166" t="s">
        <v>106</v>
      </c>
      <c r="X31" s="167">
        <v>8.4180000000000001E-3</v>
      </c>
    </row>
    <row r="32" spans="2:24" ht="15" customHeight="1" x14ac:dyDescent="0.25">
      <c r="B32" s="79"/>
      <c r="F32" s="29"/>
      <c r="G32" s="29"/>
      <c r="H32" s="29"/>
      <c r="I32" s="29"/>
      <c r="J32" s="29"/>
      <c r="K32" s="29"/>
      <c r="L32" s="29"/>
      <c r="M32" s="29"/>
      <c r="N32" s="29"/>
      <c r="O32" s="29"/>
      <c r="P32" s="29"/>
      <c r="Q32" s="29"/>
      <c r="R32" s="29"/>
      <c r="S32" s="29"/>
      <c r="T32" s="22"/>
      <c r="W32" s="166" t="s">
        <v>132</v>
      </c>
      <c r="X32" s="167">
        <v>7.8180000000000003E-3</v>
      </c>
    </row>
    <row r="33" spans="2:24" ht="15.75" customHeight="1" x14ac:dyDescent="0.25">
      <c r="B33" s="79"/>
      <c r="F33" s="29"/>
      <c r="G33" s="29"/>
      <c r="H33" s="29"/>
      <c r="I33" s="29"/>
      <c r="J33" s="29"/>
      <c r="K33" s="29"/>
      <c r="L33" s="29"/>
      <c r="M33" s="29"/>
      <c r="N33" s="29"/>
      <c r="O33" s="29"/>
      <c r="P33" s="29"/>
      <c r="Q33" s="29"/>
      <c r="R33" s="29"/>
      <c r="S33" s="29"/>
      <c r="T33" s="22"/>
      <c r="W33" s="166" t="s">
        <v>11</v>
      </c>
      <c r="X33" s="167">
        <v>6.5970000000000004E-3</v>
      </c>
    </row>
    <row r="34" spans="2:24" ht="15.75" customHeight="1" x14ac:dyDescent="0.25">
      <c r="B34" s="79"/>
      <c r="F34" s="29"/>
      <c r="G34" s="29"/>
      <c r="H34" s="29"/>
      <c r="I34" s="29"/>
      <c r="J34" s="29"/>
      <c r="K34" s="29"/>
      <c r="L34" s="29"/>
      <c r="M34" s="29"/>
      <c r="N34" s="29"/>
      <c r="O34" s="29"/>
      <c r="P34" s="29"/>
      <c r="Q34" s="29"/>
      <c r="R34" s="29"/>
      <c r="S34" s="29"/>
      <c r="T34" s="22"/>
      <c r="W34" s="166" t="s">
        <v>6</v>
      </c>
      <c r="X34" s="167">
        <v>6.2909999999999997E-3</v>
      </c>
    </row>
    <row r="35" spans="2:24" ht="15.75" customHeight="1" x14ac:dyDescent="0.25">
      <c r="B35" s="79"/>
      <c r="F35" s="29"/>
      <c r="G35" s="29"/>
      <c r="H35" s="29"/>
      <c r="I35" s="29"/>
      <c r="J35" s="29"/>
      <c r="K35" s="29"/>
      <c r="L35" s="29"/>
      <c r="M35" s="29"/>
      <c r="N35" s="29"/>
      <c r="O35" s="29"/>
      <c r="P35" s="29"/>
      <c r="Q35" s="29"/>
      <c r="R35" s="29"/>
      <c r="S35" s="29"/>
      <c r="T35" s="22"/>
      <c r="W35" s="166" t="s">
        <v>107</v>
      </c>
      <c r="X35" s="167">
        <v>5.1209999999999997E-3</v>
      </c>
    </row>
    <row r="36" spans="2:24" ht="15.75" customHeight="1" x14ac:dyDescent="0.25">
      <c r="B36" s="79"/>
      <c r="F36" s="29"/>
      <c r="G36" s="29"/>
      <c r="H36" s="29"/>
      <c r="I36" s="29"/>
      <c r="J36" s="29"/>
      <c r="K36" s="29"/>
      <c r="L36" s="29"/>
      <c r="M36" s="29"/>
      <c r="N36" s="29"/>
      <c r="O36" s="29"/>
      <c r="P36" s="29"/>
      <c r="Q36" s="29"/>
      <c r="R36" s="29"/>
      <c r="S36" s="29"/>
      <c r="T36" s="22"/>
      <c r="W36" s="166" t="s">
        <v>124</v>
      </c>
      <c r="X36" s="167">
        <v>4.9300000000000004E-3</v>
      </c>
    </row>
    <row r="37" spans="2:24" ht="15.75" customHeight="1" x14ac:dyDescent="0.25">
      <c r="B37" s="79"/>
      <c r="F37" s="29"/>
      <c r="G37" s="29"/>
      <c r="H37" s="29"/>
      <c r="I37" s="29"/>
      <c r="J37" s="29"/>
      <c r="K37" s="29"/>
      <c r="L37" s="29"/>
      <c r="M37" s="29"/>
      <c r="N37" s="29"/>
      <c r="O37" s="29"/>
      <c r="P37" s="29"/>
      <c r="Q37" s="29"/>
      <c r="R37" s="29"/>
      <c r="S37" s="29"/>
      <c r="T37" s="22"/>
      <c r="W37" s="166" t="s">
        <v>86</v>
      </c>
      <c r="X37" s="167">
        <v>3.9090000000000001E-3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66" t="s">
        <v>117</v>
      </c>
      <c r="X38" s="167">
        <v>3.8119999999999999E-3</v>
      </c>
    </row>
    <row r="39" spans="2:24" ht="15" customHeight="1" thickBot="1" x14ac:dyDescent="0.3">
      <c r="W39" s="166" t="s">
        <v>122</v>
      </c>
      <c r="X39" s="167">
        <v>3.7190000000000001E-3</v>
      </c>
    </row>
    <row r="40" spans="2:24" ht="15" customHeight="1" x14ac:dyDescent="0.25">
      <c r="B40" s="302" t="s">
        <v>180</v>
      </c>
      <c r="C40" s="303"/>
      <c r="D40" s="303"/>
      <c r="E40" s="303"/>
      <c r="F40" s="303"/>
      <c r="G40" s="303"/>
      <c r="H40" s="303"/>
      <c r="I40" s="303"/>
      <c r="J40" s="303"/>
      <c r="K40" s="303"/>
      <c r="L40" s="303"/>
      <c r="M40" s="303"/>
      <c r="N40" s="303"/>
      <c r="O40" s="303"/>
      <c r="P40" s="303"/>
      <c r="Q40" s="303"/>
      <c r="R40" s="304"/>
      <c r="W40" s="166" t="s">
        <v>15</v>
      </c>
      <c r="X40" s="167">
        <v>3.117E-3</v>
      </c>
    </row>
    <row r="41" spans="2:24" ht="15" customHeight="1" x14ac:dyDescent="0.25">
      <c r="B41" s="305"/>
      <c r="C41" s="306"/>
      <c r="D41" s="306"/>
      <c r="E41" s="306"/>
      <c r="F41" s="306"/>
      <c r="G41" s="306"/>
      <c r="H41" s="306"/>
      <c r="I41" s="306"/>
      <c r="J41" s="306"/>
      <c r="K41" s="306"/>
      <c r="L41" s="306"/>
      <c r="M41" s="306"/>
      <c r="N41" s="306"/>
      <c r="O41" s="306"/>
      <c r="P41" s="306"/>
      <c r="Q41" s="306"/>
      <c r="R41" s="307"/>
      <c r="W41" s="166" t="s">
        <v>183</v>
      </c>
      <c r="X41" s="167">
        <v>2.9580000000000001E-3</v>
      </c>
    </row>
    <row r="42" spans="2:24" ht="15" customHeight="1" x14ac:dyDescent="0.25">
      <c r="B42" s="305"/>
      <c r="C42" s="306"/>
      <c r="D42" s="306"/>
      <c r="E42" s="306"/>
      <c r="F42" s="306"/>
      <c r="G42" s="306"/>
      <c r="H42" s="306"/>
      <c r="I42" s="306"/>
      <c r="J42" s="306"/>
      <c r="K42" s="306"/>
      <c r="L42" s="306"/>
      <c r="M42" s="306"/>
      <c r="N42" s="306"/>
      <c r="O42" s="306"/>
      <c r="P42" s="306"/>
      <c r="Q42" s="306"/>
      <c r="R42" s="307"/>
      <c r="W42" s="166" t="s">
        <v>82</v>
      </c>
      <c r="X42" s="167">
        <v>2.8839999999999998E-3</v>
      </c>
    </row>
    <row r="43" spans="2:24" ht="15" customHeight="1" x14ac:dyDescent="0.25">
      <c r="B43" s="305"/>
      <c r="C43" s="306"/>
      <c r="D43" s="306"/>
      <c r="E43" s="306"/>
      <c r="F43" s="306"/>
      <c r="G43" s="306"/>
      <c r="H43" s="306"/>
      <c r="I43" s="306"/>
      <c r="J43" s="306"/>
      <c r="K43" s="306"/>
      <c r="L43" s="306"/>
      <c r="M43" s="306"/>
      <c r="N43" s="306"/>
      <c r="O43" s="306"/>
      <c r="P43" s="306"/>
      <c r="Q43" s="306"/>
      <c r="R43" s="307"/>
      <c r="W43" s="166" t="s">
        <v>94</v>
      </c>
      <c r="X43" s="167">
        <v>2.6979999999999999E-3</v>
      </c>
    </row>
    <row r="44" spans="2:24" ht="15" customHeight="1" x14ac:dyDescent="0.25">
      <c r="B44" s="305"/>
      <c r="C44" s="306"/>
      <c r="D44" s="306"/>
      <c r="E44" s="306"/>
      <c r="F44" s="306"/>
      <c r="G44" s="306"/>
      <c r="H44" s="306"/>
      <c r="I44" s="306"/>
      <c r="J44" s="306"/>
      <c r="K44" s="306"/>
      <c r="L44" s="306"/>
      <c r="M44" s="306"/>
      <c r="N44" s="306"/>
      <c r="O44" s="306"/>
      <c r="P44" s="306"/>
      <c r="Q44" s="306"/>
      <c r="R44" s="307"/>
      <c r="W44" s="166" t="s">
        <v>12</v>
      </c>
      <c r="X44" s="167">
        <v>2.4580000000000001E-3</v>
      </c>
    </row>
    <row r="45" spans="2:24" ht="15" customHeight="1" x14ac:dyDescent="0.25">
      <c r="B45" s="305"/>
      <c r="C45" s="306"/>
      <c r="D45" s="306"/>
      <c r="E45" s="306"/>
      <c r="F45" s="306"/>
      <c r="G45" s="306"/>
      <c r="H45" s="306"/>
      <c r="I45" s="306"/>
      <c r="J45" s="306"/>
      <c r="K45" s="306"/>
      <c r="L45" s="306"/>
      <c r="M45" s="306"/>
      <c r="N45" s="306"/>
      <c r="O45" s="306"/>
      <c r="P45" s="306"/>
      <c r="Q45" s="306"/>
      <c r="R45" s="307"/>
      <c r="W45" s="166" t="s">
        <v>120</v>
      </c>
      <c r="X45" s="167">
        <v>2.1410000000000001E-3</v>
      </c>
    </row>
    <row r="46" spans="2:24" ht="15" customHeight="1" thickBot="1" x14ac:dyDescent="0.3">
      <c r="B46" s="308"/>
      <c r="C46" s="309"/>
      <c r="D46" s="309"/>
      <c r="E46" s="309"/>
      <c r="F46" s="309"/>
      <c r="G46" s="309"/>
      <c r="H46" s="309"/>
      <c r="I46" s="309"/>
      <c r="J46" s="309"/>
      <c r="K46" s="309"/>
      <c r="L46" s="309"/>
      <c r="M46" s="309"/>
      <c r="N46" s="309"/>
      <c r="O46" s="309"/>
      <c r="P46" s="309"/>
      <c r="Q46" s="309"/>
      <c r="R46" s="310"/>
      <c r="W46" s="166" t="s">
        <v>265</v>
      </c>
      <c r="X46" s="167">
        <v>2.068E-3</v>
      </c>
    </row>
    <row r="47" spans="2:24" ht="15" customHeight="1" x14ac:dyDescent="0.25">
      <c r="W47" s="166" t="s">
        <v>25</v>
      </c>
      <c r="X47" s="167">
        <v>2.0249999999999999E-3</v>
      </c>
    </row>
    <row r="48" spans="2:24" ht="15" customHeight="1" x14ac:dyDescent="0.25">
      <c r="W48" s="166" t="s">
        <v>326</v>
      </c>
      <c r="X48" s="167">
        <v>2.006E-3</v>
      </c>
    </row>
    <row r="49" spans="23:24" ht="15" customHeight="1" x14ac:dyDescent="0.25">
      <c r="W49" s="166" t="s">
        <v>85</v>
      </c>
      <c r="X49" s="167">
        <v>1.353E-3</v>
      </c>
    </row>
    <row r="50" spans="23:24" ht="15" customHeight="1" x14ac:dyDescent="0.25">
      <c r="W50" s="166" t="s">
        <v>145</v>
      </c>
      <c r="X50" s="167">
        <v>9.4300000000000004E-4</v>
      </c>
    </row>
    <row r="51" spans="23:24" ht="15" customHeight="1" x14ac:dyDescent="0.25">
      <c r="W51" s="166" t="s">
        <v>111</v>
      </c>
      <c r="X51" s="167">
        <v>8.5499999999999997E-4</v>
      </c>
    </row>
    <row r="52" spans="23:24" ht="15" customHeight="1" x14ac:dyDescent="0.25">
      <c r="W52" s="166" t="s">
        <v>212</v>
      </c>
      <c r="X52" s="167">
        <v>7.5299999999999998E-4</v>
      </c>
    </row>
    <row r="53" spans="23:24" ht="15" customHeight="1" x14ac:dyDescent="0.25">
      <c r="W53" s="166" t="s">
        <v>116</v>
      </c>
      <c r="X53" s="167">
        <v>5.44E-4</v>
      </c>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163</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388</v>
      </c>
      <c r="E5" s="313"/>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178</v>
      </c>
      <c r="D8" s="187" t="s">
        <v>24</v>
      </c>
      <c r="E8" s="194">
        <v>4.8583000000000001E-2</v>
      </c>
      <c r="F8" s="29"/>
      <c r="G8" s="29"/>
      <c r="H8" s="29"/>
      <c r="I8" s="29"/>
      <c r="J8" s="29"/>
      <c r="K8" s="29"/>
      <c r="L8" s="29"/>
      <c r="M8" s="29"/>
      <c r="N8" s="29"/>
      <c r="O8" s="29"/>
      <c r="P8" s="29"/>
      <c r="Q8" s="29"/>
      <c r="R8" s="29"/>
      <c r="S8" s="29"/>
      <c r="T8" s="22"/>
      <c r="W8" s="61" t="s">
        <v>23</v>
      </c>
      <c r="X8" s="62">
        <v>0.20949799999999999</v>
      </c>
    </row>
    <row r="9" spans="1:24" ht="15.75" customHeight="1" x14ac:dyDescent="0.25">
      <c r="B9" s="79"/>
      <c r="C9" s="180" t="s">
        <v>34</v>
      </c>
      <c r="D9" s="187" t="s">
        <v>23</v>
      </c>
      <c r="E9" s="194">
        <v>4.0925000000000003E-2</v>
      </c>
      <c r="F9" s="29"/>
      <c r="G9" s="29"/>
      <c r="H9" s="29"/>
      <c r="I9" s="29"/>
      <c r="J9" s="29"/>
      <c r="K9" s="29"/>
      <c r="L9" s="29"/>
      <c r="M9" s="29"/>
      <c r="N9" s="29"/>
      <c r="O9" s="29"/>
      <c r="P9" s="29"/>
      <c r="Q9" s="29"/>
      <c r="R9" s="29"/>
      <c r="S9" s="29"/>
      <c r="T9" s="22"/>
      <c r="W9" s="61" t="s">
        <v>10</v>
      </c>
      <c r="X9" s="62">
        <v>9.8701999999999998E-2</v>
      </c>
    </row>
    <row r="10" spans="1:24" ht="15" customHeight="1" x14ac:dyDescent="0.25">
      <c r="B10" s="79"/>
      <c r="C10" s="180" t="s">
        <v>64</v>
      </c>
      <c r="D10" s="187" t="s">
        <v>82</v>
      </c>
      <c r="E10" s="194">
        <v>3.7150000000000002E-2</v>
      </c>
      <c r="F10" s="29"/>
      <c r="G10" s="29"/>
      <c r="H10" s="29"/>
      <c r="I10" s="29"/>
      <c r="J10" s="29"/>
      <c r="K10" s="29"/>
      <c r="L10" s="29"/>
      <c r="M10" s="29"/>
      <c r="N10" s="29"/>
      <c r="O10" s="29"/>
      <c r="P10" s="29"/>
      <c r="Q10" s="29"/>
      <c r="R10" s="29"/>
      <c r="S10" s="29"/>
      <c r="T10" s="22"/>
      <c r="W10" s="61" t="s">
        <v>118</v>
      </c>
      <c r="X10" s="62">
        <v>9.5818999999999988E-2</v>
      </c>
    </row>
    <row r="11" spans="1:24" ht="15" customHeight="1" x14ac:dyDescent="0.25">
      <c r="B11" s="79"/>
      <c r="C11" s="180" t="s">
        <v>31</v>
      </c>
      <c r="D11" s="187" t="s">
        <v>6</v>
      </c>
      <c r="E11" s="194">
        <v>3.6929999999999998E-2</v>
      </c>
      <c r="F11" s="29"/>
      <c r="G11" s="29"/>
      <c r="H11" s="29"/>
      <c r="I11" s="29"/>
      <c r="J11" s="29"/>
      <c r="K11" s="29"/>
      <c r="L11" s="29"/>
      <c r="M11" s="29"/>
      <c r="N11" s="29"/>
      <c r="O11" s="29"/>
      <c r="P11" s="29"/>
      <c r="Q11" s="29"/>
      <c r="R11" s="29"/>
      <c r="S11" s="29"/>
      <c r="T11" s="22"/>
      <c r="W11" s="61" t="s">
        <v>24</v>
      </c>
      <c r="X11" s="62">
        <v>8.8707000000000008E-2</v>
      </c>
    </row>
    <row r="12" spans="1:24" ht="15" customHeight="1" x14ac:dyDescent="0.25">
      <c r="B12" s="79"/>
      <c r="C12" s="180" t="s">
        <v>208</v>
      </c>
      <c r="D12" s="187" t="s">
        <v>23</v>
      </c>
      <c r="E12" s="194">
        <v>3.6663000000000001E-2</v>
      </c>
      <c r="F12" s="29"/>
      <c r="G12" s="29"/>
      <c r="H12" s="29"/>
      <c r="I12" s="29"/>
      <c r="J12" s="29"/>
      <c r="K12" s="29"/>
      <c r="L12" s="29"/>
      <c r="M12" s="29"/>
      <c r="N12" s="29"/>
      <c r="O12" s="29"/>
      <c r="P12" s="29"/>
      <c r="Q12" s="29"/>
      <c r="R12" s="29"/>
      <c r="S12" s="29"/>
      <c r="T12" s="22"/>
      <c r="W12" s="61" t="s">
        <v>123</v>
      </c>
      <c r="X12" s="62">
        <v>5.4109999999999998E-2</v>
      </c>
    </row>
    <row r="13" spans="1:24" ht="15" customHeight="1" x14ac:dyDescent="0.25">
      <c r="B13" s="79"/>
      <c r="C13" s="180" t="s">
        <v>70</v>
      </c>
      <c r="D13" s="187" t="s">
        <v>12</v>
      </c>
      <c r="E13" s="194">
        <v>3.6597999999999999E-2</v>
      </c>
      <c r="F13" s="29"/>
      <c r="G13" s="29"/>
      <c r="H13" s="29"/>
      <c r="I13" s="29"/>
      <c r="J13" s="29"/>
      <c r="K13" s="29"/>
      <c r="L13" s="29"/>
      <c r="M13" s="29"/>
      <c r="N13" s="29"/>
      <c r="O13" s="29"/>
      <c r="P13" s="29"/>
      <c r="Q13" s="29"/>
      <c r="R13" s="29"/>
      <c r="S13" s="29"/>
      <c r="T13" s="22"/>
      <c r="W13" s="61" t="s">
        <v>12</v>
      </c>
      <c r="X13" s="62">
        <v>4.6267000000000003E-2</v>
      </c>
    </row>
    <row r="14" spans="1:24" ht="15" customHeight="1" x14ac:dyDescent="0.25">
      <c r="B14" s="79"/>
      <c r="C14" s="180" t="s">
        <v>244</v>
      </c>
      <c r="D14" s="187" t="s">
        <v>129</v>
      </c>
      <c r="E14" s="194">
        <v>2.7633999999999999E-2</v>
      </c>
      <c r="F14" s="29"/>
      <c r="G14" s="29"/>
      <c r="H14" s="29"/>
      <c r="I14" s="29"/>
      <c r="J14" s="29"/>
      <c r="K14" s="29"/>
      <c r="L14" s="29"/>
      <c r="M14" s="29"/>
      <c r="N14" s="29"/>
      <c r="O14" s="29"/>
      <c r="P14" s="29"/>
      <c r="Q14" s="29"/>
      <c r="R14" s="29"/>
      <c r="S14" s="29"/>
      <c r="T14" s="22"/>
      <c r="W14" s="61" t="s">
        <v>109</v>
      </c>
      <c r="X14" s="62">
        <v>4.5346999999999998E-2</v>
      </c>
    </row>
    <row r="15" spans="1:24" ht="15" customHeight="1" x14ac:dyDescent="0.25">
      <c r="B15" s="79"/>
      <c r="C15" s="180" t="s">
        <v>128</v>
      </c>
      <c r="D15" s="187" t="s">
        <v>86</v>
      </c>
      <c r="E15" s="194">
        <v>2.7598999999999999E-2</v>
      </c>
      <c r="F15" s="29"/>
      <c r="G15" s="29"/>
      <c r="H15" s="29"/>
      <c r="I15" s="29"/>
      <c r="J15" s="29"/>
      <c r="K15" s="29"/>
      <c r="L15" s="29"/>
      <c r="M15" s="29"/>
      <c r="N15" s="29"/>
      <c r="O15" s="29"/>
      <c r="P15" s="29"/>
      <c r="Q15" s="29"/>
      <c r="R15" s="29"/>
      <c r="S15" s="29"/>
      <c r="T15" s="22"/>
      <c r="W15" s="61" t="s">
        <v>136</v>
      </c>
      <c r="X15" s="62">
        <v>4.2314999999999998E-2</v>
      </c>
    </row>
    <row r="16" spans="1:24" ht="15" customHeight="1" x14ac:dyDescent="0.25">
      <c r="B16" s="79"/>
      <c r="C16" s="180" t="s">
        <v>251</v>
      </c>
      <c r="D16" s="187" t="s">
        <v>23</v>
      </c>
      <c r="E16" s="194">
        <v>2.5686E-2</v>
      </c>
      <c r="F16" s="29"/>
      <c r="G16" s="29"/>
      <c r="H16" s="29"/>
      <c r="I16" s="29"/>
      <c r="J16" s="29"/>
      <c r="K16" s="29"/>
      <c r="L16" s="29"/>
      <c r="M16" s="29"/>
      <c r="N16" s="29"/>
      <c r="O16" s="29"/>
      <c r="P16" s="29"/>
      <c r="Q16" s="29"/>
      <c r="R16" s="29"/>
      <c r="S16" s="29"/>
      <c r="T16" s="22"/>
      <c r="W16" s="61" t="s">
        <v>82</v>
      </c>
      <c r="X16" s="62">
        <v>3.7150000000000002E-2</v>
      </c>
    </row>
    <row r="17" spans="2:24" ht="15" customHeight="1" x14ac:dyDescent="0.25">
      <c r="B17" s="79"/>
      <c r="C17" s="180" t="s">
        <v>263</v>
      </c>
      <c r="D17" s="187" t="s">
        <v>4</v>
      </c>
      <c r="E17" s="194">
        <v>2.4806999999999999E-2</v>
      </c>
      <c r="F17" s="29"/>
      <c r="G17" s="29"/>
      <c r="H17" s="29"/>
      <c r="I17" s="29"/>
      <c r="J17" s="29"/>
      <c r="K17" s="29"/>
      <c r="L17" s="29"/>
      <c r="M17" s="29"/>
      <c r="N17" s="29"/>
      <c r="O17" s="29"/>
      <c r="P17" s="29"/>
      <c r="Q17" s="29"/>
      <c r="R17" s="29"/>
      <c r="S17" s="29"/>
      <c r="T17" s="22"/>
      <c r="W17" s="61" t="s">
        <v>6</v>
      </c>
      <c r="X17" s="62">
        <v>3.6929999999999998E-2</v>
      </c>
    </row>
    <row r="18" spans="2:24" ht="15" customHeight="1" x14ac:dyDescent="0.25">
      <c r="B18" s="79"/>
      <c r="C18" s="180" t="s">
        <v>146</v>
      </c>
      <c r="D18" s="187" t="s">
        <v>23</v>
      </c>
      <c r="E18" s="194">
        <v>2.4539999999999999E-2</v>
      </c>
      <c r="F18" s="29"/>
      <c r="G18" s="29"/>
      <c r="H18" s="29"/>
      <c r="I18" s="29"/>
      <c r="J18" s="29"/>
      <c r="K18" s="29"/>
      <c r="L18" s="29"/>
      <c r="M18" s="29"/>
      <c r="N18" s="29"/>
      <c r="O18" s="29"/>
      <c r="P18" s="29"/>
      <c r="Q18" s="29"/>
      <c r="R18" s="29"/>
      <c r="S18" s="29"/>
      <c r="T18" s="22"/>
      <c r="W18" s="61" t="s">
        <v>86</v>
      </c>
      <c r="X18" s="62">
        <v>3.5897999999999999E-2</v>
      </c>
    </row>
    <row r="19" spans="2:24" ht="15" customHeight="1" x14ac:dyDescent="0.25">
      <c r="B19" s="79"/>
      <c r="C19" s="180" t="s">
        <v>273</v>
      </c>
      <c r="D19" s="187" t="s">
        <v>23</v>
      </c>
      <c r="E19" s="194">
        <v>2.1769E-2</v>
      </c>
      <c r="F19" s="29"/>
      <c r="G19" s="29"/>
      <c r="H19" s="29"/>
      <c r="I19" s="29"/>
      <c r="J19" s="29"/>
      <c r="K19" s="29"/>
      <c r="L19" s="29"/>
      <c r="M19" s="29"/>
      <c r="N19" s="29"/>
      <c r="O19" s="29"/>
      <c r="P19" s="29"/>
      <c r="Q19" s="29"/>
      <c r="R19" s="29"/>
      <c r="S19" s="29"/>
      <c r="T19" s="22"/>
      <c r="W19" s="61" t="s">
        <v>25</v>
      </c>
      <c r="X19" s="62">
        <v>3.2869000000000002E-2</v>
      </c>
    </row>
    <row r="20" spans="2:24" ht="15" customHeight="1" x14ac:dyDescent="0.25">
      <c r="B20" s="79"/>
      <c r="C20" s="180" t="s">
        <v>62</v>
      </c>
      <c r="D20" s="187" t="s">
        <v>10</v>
      </c>
      <c r="E20" s="194">
        <v>2.1170000000000001E-2</v>
      </c>
      <c r="F20" s="29"/>
      <c r="G20" s="29"/>
      <c r="H20" s="29"/>
      <c r="I20" s="29"/>
      <c r="J20" s="29"/>
      <c r="K20" s="29"/>
      <c r="L20" s="29"/>
      <c r="M20" s="29"/>
      <c r="N20" s="29"/>
      <c r="O20" s="29"/>
      <c r="P20" s="29"/>
      <c r="Q20" s="29"/>
      <c r="R20" s="29"/>
      <c r="S20" s="29"/>
      <c r="T20" s="22"/>
      <c r="W20" s="61" t="s">
        <v>129</v>
      </c>
      <c r="X20" s="62">
        <v>3.2702999999999996E-2</v>
      </c>
    </row>
    <row r="21" spans="2:24" ht="15" customHeight="1" x14ac:dyDescent="0.25">
      <c r="B21" s="79"/>
      <c r="C21" s="180" t="s">
        <v>427</v>
      </c>
      <c r="D21" s="187" t="s">
        <v>24</v>
      </c>
      <c r="E21" s="194">
        <v>1.9734000000000002E-2</v>
      </c>
      <c r="F21" s="29"/>
      <c r="G21" s="29"/>
      <c r="H21" s="29"/>
      <c r="I21" s="29"/>
      <c r="J21" s="29"/>
      <c r="K21" s="29"/>
      <c r="L21" s="29"/>
      <c r="M21" s="29"/>
      <c r="N21" s="29"/>
      <c r="O21" s="29"/>
      <c r="P21" s="29"/>
      <c r="Q21" s="29"/>
      <c r="R21" s="29"/>
      <c r="S21" s="29"/>
      <c r="T21" s="22"/>
      <c r="W21" s="61" t="s">
        <v>4</v>
      </c>
      <c r="X21" s="62">
        <v>2.7165999999999999E-2</v>
      </c>
    </row>
    <row r="22" spans="2:24" ht="15" customHeight="1" x14ac:dyDescent="0.25">
      <c r="B22" s="79"/>
      <c r="C22" s="180" t="s">
        <v>71</v>
      </c>
      <c r="D22" s="187" t="s">
        <v>10</v>
      </c>
      <c r="E22" s="194">
        <v>1.8862E-2</v>
      </c>
      <c r="F22" s="29"/>
      <c r="G22" s="29"/>
      <c r="H22" s="29"/>
      <c r="I22" s="29"/>
      <c r="J22" s="29"/>
      <c r="K22" s="29"/>
      <c r="L22" s="29"/>
      <c r="M22" s="29"/>
      <c r="N22" s="29"/>
      <c r="O22" s="29"/>
      <c r="P22" s="29"/>
      <c r="Q22" s="29"/>
      <c r="R22" s="29"/>
      <c r="S22" s="29"/>
      <c r="T22" s="22"/>
      <c r="W22" s="56" t="s">
        <v>76</v>
      </c>
      <c r="X22" s="57">
        <v>1.9293999999999999E-2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56" t="s">
        <v>115</v>
      </c>
      <c r="X23" s="57">
        <v>1.7988000000000001E-2</v>
      </c>
    </row>
    <row r="24" spans="2:24" ht="15" customHeight="1" x14ac:dyDescent="0.25">
      <c r="B24" s="79"/>
      <c r="C24" s="73" t="s">
        <v>55</v>
      </c>
      <c r="D24" s="74"/>
      <c r="E24" s="75">
        <f>SUM(E8:E22)</f>
        <v>0.44864999999999994</v>
      </c>
      <c r="F24" s="29"/>
      <c r="G24" s="29"/>
      <c r="H24" s="29"/>
      <c r="I24" s="29"/>
      <c r="J24" s="29"/>
      <c r="K24" s="29"/>
      <c r="L24" s="29"/>
      <c r="M24" s="29"/>
      <c r="N24" s="29"/>
      <c r="O24" s="29"/>
      <c r="P24" s="29"/>
      <c r="Q24" s="29"/>
      <c r="R24" s="29"/>
      <c r="S24" s="29"/>
      <c r="T24" s="22"/>
      <c r="W24" s="56" t="s">
        <v>11</v>
      </c>
      <c r="X24" s="57">
        <v>1.7978999999999998E-2</v>
      </c>
    </row>
    <row r="25" spans="2:24" ht="15" customHeight="1" x14ac:dyDescent="0.25">
      <c r="B25" s="79"/>
      <c r="F25" s="29"/>
      <c r="G25" s="29"/>
      <c r="H25" s="29"/>
      <c r="I25" s="29"/>
      <c r="J25" s="29"/>
      <c r="K25" s="29"/>
      <c r="L25" s="29"/>
      <c r="M25" s="29"/>
      <c r="N25" s="29"/>
      <c r="O25" s="29"/>
      <c r="P25" s="29"/>
      <c r="Q25" s="29"/>
      <c r="R25" s="29"/>
      <c r="S25" s="29"/>
      <c r="T25" s="22"/>
      <c r="W25" s="56" t="s">
        <v>122</v>
      </c>
      <c r="X25" s="57">
        <v>9.639E-3</v>
      </c>
    </row>
    <row r="26" spans="2:24" ht="15" customHeight="1" x14ac:dyDescent="0.25">
      <c r="B26" s="79"/>
      <c r="F26" s="29"/>
      <c r="G26" s="29"/>
      <c r="H26" s="29"/>
      <c r="I26" s="29"/>
      <c r="J26" s="29"/>
      <c r="K26" s="29"/>
      <c r="L26" s="29"/>
      <c r="M26" s="29"/>
      <c r="N26" s="29"/>
      <c r="O26" s="29"/>
      <c r="P26" s="29"/>
      <c r="Q26" s="29"/>
      <c r="R26" s="29"/>
      <c r="S26" s="29"/>
      <c r="T26" s="22"/>
      <c r="W26" s="56" t="s">
        <v>132</v>
      </c>
      <c r="X26" s="57">
        <v>9.0550000000000005E-3</v>
      </c>
    </row>
    <row r="27" spans="2:24" ht="15" customHeight="1" x14ac:dyDescent="0.25">
      <c r="B27" s="79"/>
      <c r="F27" s="29"/>
      <c r="G27" s="29"/>
      <c r="H27" s="29"/>
      <c r="I27" s="29"/>
      <c r="J27" s="29"/>
      <c r="K27" s="29"/>
      <c r="L27" s="29"/>
      <c r="M27" s="29"/>
      <c r="N27" s="29"/>
      <c r="O27" s="29"/>
      <c r="P27" s="29"/>
      <c r="Q27" s="29"/>
      <c r="R27" s="29"/>
      <c r="S27" s="29"/>
      <c r="T27" s="22"/>
      <c r="W27" s="147" t="s">
        <v>16</v>
      </c>
      <c r="X27" s="148">
        <v>6.9709999999999998E-3</v>
      </c>
    </row>
    <row r="28" spans="2:24" ht="15" customHeight="1" x14ac:dyDescent="0.25">
      <c r="B28" s="79"/>
      <c r="F28" s="29"/>
      <c r="G28" s="29"/>
      <c r="H28" s="29"/>
      <c r="I28" s="29"/>
      <c r="J28" s="29"/>
      <c r="K28" s="29"/>
      <c r="L28" s="29"/>
      <c r="M28" s="29"/>
      <c r="N28" s="29"/>
      <c r="O28" s="29"/>
      <c r="P28" s="29"/>
      <c r="Q28" s="29"/>
      <c r="R28" s="29"/>
      <c r="S28" s="29"/>
      <c r="T28" s="22"/>
      <c r="W28" s="147" t="s">
        <v>145</v>
      </c>
      <c r="X28" s="148">
        <v>5.4460000000000003E-3</v>
      </c>
    </row>
    <row r="29" spans="2:24" ht="15" customHeight="1" x14ac:dyDescent="0.25">
      <c r="B29" s="79"/>
      <c r="F29" s="29"/>
      <c r="G29" s="29"/>
      <c r="H29" s="29"/>
      <c r="I29" s="29"/>
      <c r="J29" s="29"/>
      <c r="K29" s="29"/>
      <c r="L29" s="29"/>
      <c r="M29" s="29"/>
      <c r="N29" s="29"/>
      <c r="O29" s="29"/>
      <c r="P29" s="29"/>
      <c r="Q29" s="29"/>
      <c r="R29" s="29"/>
      <c r="S29" s="29"/>
      <c r="T29" s="22"/>
      <c r="W29" s="39" t="s">
        <v>83</v>
      </c>
      <c r="X29" s="148">
        <v>2.2139999999999998E-3</v>
      </c>
    </row>
    <row r="30" spans="2:24" ht="15" customHeight="1" x14ac:dyDescent="0.25">
      <c r="B30" s="79"/>
      <c r="F30" s="29"/>
      <c r="G30" s="29"/>
      <c r="H30" s="29"/>
      <c r="I30" s="29"/>
      <c r="J30" s="29"/>
      <c r="K30" s="29"/>
      <c r="L30" s="29"/>
      <c r="M30" s="29"/>
      <c r="N30" s="29"/>
      <c r="O30" s="29"/>
      <c r="P30" s="29"/>
      <c r="Q30" s="29"/>
      <c r="R30" s="29"/>
      <c r="S30" s="29"/>
      <c r="T30" s="22"/>
      <c r="X30" s="276"/>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302" t="s">
        <v>180</v>
      </c>
      <c r="C36" s="303"/>
      <c r="D36" s="303"/>
      <c r="E36" s="303"/>
      <c r="F36" s="303"/>
      <c r="G36" s="303"/>
      <c r="H36" s="303"/>
      <c r="I36" s="303"/>
      <c r="J36" s="303"/>
      <c r="K36" s="303"/>
      <c r="L36" s="303"/>
      <c r="M36" s="303"/>
      <c r="N36" s="303"/>
      <c r="O36" s="303"/>
      <c r="P36" s="303"/>
      <c r="Q36" s="303"/>
      <c r="R36" s="304"/>
    </row>
    <row r="37" spans="2:20" ht="15" customHeight="1" x14ac:dyDescent="0.25">
      <c r="B37" s="305"/>
      <c r="C37" s="306"/>
      <c r="D37" s="306"/>
      <c r="E37" s="306"/>
      <c r="F37" s="306"/>
      <c r="G37" s="306"/>
      <c r="H37" s="306"/>
      <c r="I37" s="306"/>
      <c r="J37" s="306"/>
      <c r="K37" s="306"/>
      <c r="L37" s="306"/>
      <c r="M37" s="306"/>
      <c r="N37" s="306"/>
      <c r="O37" s="306"/>
      <c r="P37" s="306"/>
      <c r="Q37" s="306"/>
      <c r="R37" s="307"/>
    </row>
    <row r="38" spans="2:20" ht="15" customHeight="1" x14ac:dyDescent="0.25">
      <c r="B38" s="305"/>
      <c r="C38" s="306"/>
      <c r="D38" s="306"/>
      <c r="E38" s="306"/>
      <c r="F38" s="306"/>
      <c r="G38" s="306"/>
      <c r="H38" s="306"/>
      <c r="I38" s="306"/>
      <c r="J38" s="306"/>
      <c r="K38" s="306"/>
      <c r="L38" s="306"/>
      <c r="M38" s="306"/>
      <c r="N38" s="306"/>
      <c r="O38" s="306"/>
      <c r="P38" s="306"/>
      <c r="Q38" s="306"/>
      <c r="R38" s="307"/>
    </row>
    <row r="39" spans="2:20" ht="15" customHeight="1" x14ac:dyDescent="0.25">
      <c r="B39" s="305"/>
      <c r="C39" s="306"/>
      <c r="D39" s="306"/>
      <c r="E39" s="306"/>
      <c r="F39" s="306"/>
      <c r="G39" s="306"/>
      <c r="H39" s="306"/>
      <c r="I39" s="306"/>
      <c r="J39" s="306"/>
      <c r="K39" s="306"/>
      <c r="L39" s="306"/>
      <c r="M39" s="306"/>
      <c r="N39" s="306"/>
      <c r="O39" s="306"/>
      <c r="P39" s="306"/>
      <c r="Q39" s="306"/>
      <c r="R39" s="307"/>
    </row>
    <row r="40" spans="2:20" ht="15" customHeight="1" x14ac:dyDescent="0.25">
      <c r="B40" s="305"/>
      <c r="C40" s="306"/>
      <c r="D40" s="306"/>
      <c r="E40" s="306"/>
      <c r="F40" s="306"/>
      <c r="G40" s="306"/>
      <c r="H40" s="306"/>
      <c r="I40" s="306"/>
      <c r="J40" s="306"/>
      <c r="K40" s="306"/>
      <c r="L40" s="306"/>
      <c r="M40" s="306"/>
      <c r="N40" s="306"/>
      <c r="O40" s="306"/>
      <c r="P40" s="306"/>
      <c r="Q40" s="306"/>
      <c r="R40" s="307"/>
    </row>
    <row r="41" spans="2:20" ht="15" customHeight="1" x14ac:dyDescent="0.25">
      <c r="B41" s="305"/>
      <c r="C41" s="306"/>
      <c r="D41" s="306"/>
      <c r="E41" s="306"/>
      <c r="F41" s="306"/>
      <c r="G41" s="306"/>
      <c r="H41" s="306"/>
      <c r="I41" s="306"/>
      <c r="J41" s="306"/>
      <c r="K41" s="306"/>
      <c r="L41" s="306"/>
      <c r="M41" s="306"/>
      <c r="N41" s="306"/>
      <c r="O41" s="306"/>
      <c r="P41" s="306"/>
      <c r="Q41" s="306"/>
      <c r="R41" s="307"/>
    </row>
    <row r="42" spans="2:20" ht="15" customHeight="1" thickBot="1" x14ac:dyDescent="0.3">
      <c r="B42" s="308"/>
      <c r="C42" s="309"/>
      <c r="D42" s="309"/>
      <c r="E42" s="309"/>
      <c r="F42" s="309"/>
      <c r="G42" s="309"/>
      <c r="H42" s="309"/>
      <c r="I42" s="309"/>
      <c r="J42" s="309"/>
      <c r="K42" s="309"/>
      <c r="L42" s="309"/>
      <c r="M42" s="309"/>
      <c r="N42" s="309"/>
      <c r="O42" s="309"/>
      <c r="P42" s="309"/>
      <c r="Q42" s="309"/>
      <c r="R42" s="310"/>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1" t="s">
        <v>162</v>
      </c>
      <c r="D3" s="312"/>
      <c r="E3" s="312"/>
      <c r="F3" s="312"/>
      <c r="G3" s="312"/>
      <c r="H3" s="312"/>
      <c r="I3" s="312"/>
      <c r="J3" s="312"/>
      <c r="K3" s="312"/>
      <c r="L3" s="312"/>
      <c r="M3" s="312"/>
      <c r="N3" s="312"/>
      <c r="O3" s="312"/>
      <c r="P3" s="312"/>
      <c r="Q3" s="312"/>
      <c r="R3" s="312"/>
      <c r="S3" s="312"/>
      <c r="T3" s="65"/>
      <c r="U3" s="66"/>
    </row>
    <row r="4" spans="1:24" ht="15.75" customHeight="1" x14ac:dyDescent="0.25">
      <c r="B4" s="64"/>
      <c r="C4" s="67" t="s">
        <v>441</v>
      </c>
      <c r="D4" s="29"/>
      <c r="E4" s="29"/>
      <c r="F4" s="29"/>
      <c r="G4" s="29"/>
      <c r="H4" s="29"/>
      <c r="I4" s="29"/>
      <c r="J4" s="29"/>
      <c r="K4" s="29"/>
      <c r="L4" s="29"/>
      <c r="M4" s="29"/>
      <c r="N4" s="29"/>
      <c r="O4" s="29"/>
      <c r="P4" s="29"/>
      <c r="Q4" s="29"/>
      <c r="R4" s="29"/>
      <c r="S4" s="29"/>
      <c r="T4" s="29"/>
      <c r="U4" s="25"/>
    </row>
    <row r="5" spans="1:24" ht="18" customHeight="1" x14ac:dyDescent="0.25">
      <c r="B5" s="64"/>
      <c r="C5" s="211" t="s">
        <v>440</v>
      </c>
      <c r="D5" s="315" t="s">
        <v>389</v>
      </c>
      <c r="E5" s="31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84" t="s">
        <v>119</v>
      </c>
      <c r="D8" s="185" t="s">
        <v>111</v>
      </c>
      <c r="E8" s="186">
        <v>0.118213</v>
      </c>
      <c r="F8" s="29"/>
      <c r="G8" s="29"/>
      <c r="H8" s="29"/>
      <c r="I8" s="29"/>
      <c r="J8" s="29"/>
      <c r="K8" s="29"/>
      <c r="L8" s="29"/>
      <c r="M8" s="29"/>
      <c r="N8" s="29"/>
      <c r="O8" s="29"/>
      <c r="P8" s="29"/>
      <c r="Q8" s="29"/>
      <c r="R8" s="29"/>
      <c r="S8" s="29"/>
      <c r="T8" s="29"/>
      <c r="U8" s="25"/>
      <c r="W8" s="173" t="s">
        <v>111</v>
      </c>
      <c r="X8" s="224">
        <v>0.44112799999999996</v>
      </c>
    </row>
    <row r="9" spans="1:24" ht="15.75" customHeight="1" x14ac:dyDescent="0.25">
      <c r="B9" s="64"/>
      <c r="C9" s="180" t="s">
        <v>95</v>
      </c>
      <c r="D9" s="187" t="s">
        <v>111</v>
      </c>
      <c r="E9" s="188">
        <v>0.106834</v>
      </c>
      <c r="F9" s="29"/>
      <c r="G9" s="29"/>
      <c r="H9" s="29"/>
      <c r="I9" s="29"/>
      <c r="J9" s="29"/>
      <c r="K9" s="29"/>
      <c r="L9" s="29"/>
      <c r="M9" s="29"/>
      <c r="N9" s="29"/>
      <c r="O9" s="29"/>
      <c r="P9" s="29"/>
      <c r="Q9" s="29"/>
      <c r="R9" s="29"/>
      <c r="S9" s="29"/>
      <c r="T9" s="29"/>
      <c r="U9" s="25"/>
      <c r="W9" s="173" t="s">
        <v>109</v>
      </c>
      <c r="X9" s="224">
        <v>0.26001299999999999</v>
      </c>
    </row>
    <row r="10" spans="1:24" ht="15.75" x14ac:dyDescent="0.25">
      <c r="B10" s="64"/>
      <c r="C10" s="180" t="s">
        <v>143</v>
      </c>
      <c r="D10" s="187" t="s">
        <v>111</v>
      </c>
      <c r="E10" s="188">
        <v>6.3785999999999995E-2</v>
      </c>
      <c r="F10" s="29"/>
      <c r="G10" s="29"/>
      <c r="H10" s="29"/>
      <c r="I10" s="29"/>
      <c r="J10" s="29"/>
      <c r="K10" s="29"/>
      <c r="L10" s="29"/>
      <c r="M10" s="29"/>
      <c r="N10" s="29"/>
      <c r="O10" s="29"/>
      <c r="P10" s="29"/>
      <c r="Q10" s="29"/>
      <c r="R10" s="29"/>
      <c r="S10" s="29"/>
      <c r="T10" s="29"/>
      <c r="U10" s="25"/>
      <c r="W10" s="173" t="s">
        <v>123</v>
      </c>
      <c r="X10" s="224">
        <v>0.11454700000000001</v>
      </c>
    </row>
    <row r="11" spans="1:24" ht="15.75" customHeight="1" x14ac:dyDescent="0.25">
      <c r="B11" s="64"/>
      <c r="C11" s="180" t="s">
        <v>79</v>
      </c>
      <c r="D11" s="187" t="s">
        <v>111</v>
      </c>
      <c r="E11" s="188">
        <v>5.4378000000000003E-2</v>
      </c>
      <c r="F11" s="29"/>
      <c r="G11" s="29"/>
      <c r="H11" s="29"/>
      <c r="I11" s="29"/>
      <c r="J11" s="29"/>
      <c r="K11" s="29"/>
      <c r="L11" s="29"/>
      <c r="M11" s="29"/>
      <c r="N11" s="29"/>
      <c r="O11" s="29"/>
      <c r="P11" s="29"/>
      <c r="Q11" s="29"/>
      <c r="R11" s="29"/>
      <c r="S11" s="29"/>
      <c r="T11" s="29"/>
      <c r="U11" s="25"/>
      <c r="W11" s="173" t="s">
        <v>26</v>
      </c>
      <c r="X11" s="224">
        <v>2.8459000000000002E-2</v>
      </c>
    </row>
    <row r="12" spans="1:24" ht="15" customHeight="1" x14ac:dyDescent="0.25">
      <c r="B12" s="64"/>
      <c r="C12" s="180" t="s">
        <v>144</v>
      </c>
      <c r="D12" s="187" t="s">
        <v>123</v>
      </c>
      <c r="E12" s="188">
        <v>5.1554000000000003E-2</v>
      </c>
      <c r="F12" s="29"/>
      <c r="G12" s="29"/>
      <c r="H12" s="29"/>
      <c r="I12" s="29"/>
      <c r="J12" s="29"/>
      <c r="K12" s="29"/>
      <c r="L12" s="29"/>
      <c r="M12" s="29"/>
      <c r="N12" s="29"/>
      <c r="O12" s="29"/>
      <c r="P12" s="29"/>
      <c r="Q12" s="29"/>
      <c r="R12" s="29"/>
      <c r="S12" s="29"/>
      <c r="T12" s="29"/>
      <c r="U12" s="25"/>
      <c r="W12" s="173" t="s">
        <v>126</v>
      </c>
      <c r="X12" s="224">
        <v>1.9653E-2</v>
      </c>
    </row>
    <row r="13" spans="1:24" ht="15" customHeight="1" x14ac:dyDescent="0.25">
      <c r="B13" s="64"/>
      <c r="C13" s="180" t="s">
        <v>108</v>
      </c>
      <c r="D13" s="187" t="s">
        <v>109</v>
      </c>
      <c r="E13" s="188">
        <v>5.1444999999999998E-2</v>
      </c>
      <c r="F13" s="29"/>
      <c r="G13" s="29"/>
      <c r="H13" s="29"/>
      <c r="I13" s="29"/>
      <c r="J13" s="29"/>
      <c r="K13" s="29"/>
      <c r="L13" s="29"/>
      <c r="M13" s="29"/>
      <c r="N13" s="29"/>
      <c r="O13" s="29"/>
      <c r="P13" s="29"/>
      <c r="Q13" s="29"/>
      <c r="R13" s="29"/>
      <c r="S13" s="29"/>
      <c r="T13" s="29"/>
      <c r="U13" s="25"/>
      <c r="W13" s="61" t="s">
        <v>4</v>
      </c>
      <c r="X13" s="62">
        <v>1.8002000000000001E-2</v>
      </c>
    </row>
    <row r="14" spans="1:24" ht="15" customHeight="1" x14ac:dyDescent="0.25">
      <c r="B14" s="64"/>
      <c r="C14" s="180" t="s">
        <v>218</v>
      </c>
      <c r="D14" s="187" t="s">
        <v>111</v>
      </c>
      <c r="E14" s="188">
        <v>4.3117000000000003E-2</v>
      </c>
      <c r="F14" s="29"/>
      <c r="G14" s="29"/>
      <c r="H14" s="29"/>
      <c r="I14" s="29"/>
      <c r="J14" s="29"/>
      <c r="K14" s="29"/>
      <c r="L14" s="29"/>
      <c r="M14" s="29"/>
      <c r="N14" s="29"/>
      <c r="O14" s="29"/>
      <c r="P14" s="29"/>
      <c r="Q14" s="29"/>
      <c r="R14" s="29"/>
      <c r="S14" s="29"/>
      <c r="T14" s="29"/>
      <c r="U14" s="25"/>
      <c r="W14" s="61" t="s">
        <v>24</v>
      </c>
      <c r="X14" s="62">
        <v>1.5285E-2</v>
      </c>
    </row>
    <row r="15" spans="1:24" ht="15" customHeight="1" x14ac:dyDescent="0.25">
      <c r="B15" s="64"/>
      <c r="C15" s="180" t="s">
        <v>428</v>
      </c>
      <c r="D15" s="187" t="s">
        <v>109</v>
      </c>
      <c r="E15" s="188">
        <v>3.3655999999999998E-2</v>
      </c>
      <c r="F15" s="29"/>
      <c r="G15" s="29"/>
      <c r="H15" s="29"/>
      <c r="I15" s="29"/>
      <c r="J15" s="29"/>
      <c r="K15" s="29"/>
      <c r="L15" s="29"/>
      <c r="M15" s="29"/>
      <c r="N15" s="29"/>
      <c r="O15" s="29"/>
      <c r="P15" s="29"/>
      <c r="Q15" s="29"/>
      <c r="R15" s="29"/>
      <c r="S15" s="29"/>
      <c r="T15" s="29"/>
      <c r="U15" s="25"/>
      <c r="W15" s="61" t="s">
        <v>16</v>
      </c>
      <c r="X15" s="62">
        <v>1.3351999999999999E-2</v>
      </c>
    </row>
    <row r="16" spans="1:24" ht="15" customHeight="1" x14ac:dyDescent="0.25">
      <c r="B16" s="64"/>
      <c r="C16" s="180" t="s">
        <v>329</v>
      </c>
      <c r="D16" s="187" t="s">
        <v>111</v>
      </c>
      <c r="E16" s="188">
        <v>3.0977999999999999E-2</v>
      </c>
      <c r="F16" s="29"/>
      <c r="G16" s="29"/>
      <c r="H16" s="29"/>
      <c r="I16" s="29"/>
      <c r="J16" s="29"/>
      <c r="K16" s="29"/>
      <c r="L16" s="29"/>
      <c r="M16" s="29"/>
      <c r="N16" s="29"/>
      <c r="O16" s="29"/>
      <c r="P16" s="29"/>
      <c r="Q16" s="29"/>
      <c r="R16" s="29"/>
      <c r="S16" s="29"/>
      <c r="T16" s="29"/>
      <c r="U16" s="25"/>
      <c r="W16" s="61" t="s">
        <v>83</v>
      </c>
      <c r="X16" s="62">
        <v>1.2921999999999999E-2</v>
      </c>
    </row>
    <row r="17" spans="2:24" ht="15" customHeight="1" x14ac:dyDescent="0.25">
      <c r="B17" s="64"/>
      <c r="C17" s="180" t="s">
        <v>217</v>
      </c>
      <c r="D17" s="187" t="s">
        <v>26</v>
      </c>
      <c r="E17" s="188">
        <v>2.8459000000000002E-2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0" t="s">
        <v>142</v>
      </c>
      <c r="D18" s="187" t="s">
        <v>111</v>
      </c>
      <c r="E18" s="188">
        <v>2.3821999999999999E-2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0" t="s">
        <v>283</v>
      </c>
      <c r="D19" s="187" t="s">
        <v>109</v>
      </c>
      <c r="E19" s="188">
        <v>2.2712E-2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0" t="s">
        <v>341</v>
      </c>
      <c r="D20" s="187" t="s">
        <v>123</v>
      </c>
      <c r="E20" s="188">
        <v>2.0983999999999999E-2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0" t="s">
        <v>356</v>
      </c>
      <c r="D21" s="187" t="s">
        <v>109</v>
      </c>
      <c r="E21" s="188">
        <v>2.0424999999999999E-2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0" t="s">
        <v>305</v>
      </c>
      <c r="D22" s="187" t="s">
        <v>109</v>
      </c>
      <c r="E22" s="188">
        <v>2.0407000000000002E-2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0.69076999999999988</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ht="15" customHeight="1" x14ac:dyDescent="0.25">
      <c r="B40" s="305"/>
      <c r="C40" s="306"/>
      <c r="D40" s="306"/>
      <c r="E40" s="306"/>
      <c r="F40" s="306"/>
      <c r="G40" s="306"/>
      <c r="H40" s="306"/>
      <c r="I40" s="306"/>
      <c r="J40" s="306"/>
      <c r="K40" s="306"/>
      <c r="L40" s="306"/>
      <c r="M40" s="306"/>
      <c r="N40" s="306"/>
      <c r="O40" s="306"/>
      <c r="P40" s="306"/>
      <c r="Q40" s="306"/>
      <c r="R40" s="307"/>
      <c r="W40" s="61"/>
      <c r="X40" s="62"/>
    </row>
    <row r="41" spans="2:24" ht="15" customHeight="1" x14ac:dyDescent="0.25">
      <c r="B41" s="305"/>
      <c r="C41" s="306"/>
      <c r="D41" s="306"/>
      <c r="E41" s="306"/>
      <c r="F41" s="306"/>
      <c r="G41" s="306"/>
      <c r="H41" s="306"/>
      <c r="I41" s="306"/>
      <c r="J41" s="306"/>
      <c r="K41" s="306"/>
      <c r="L41" s="306"/>
      <c r="M41" s="306"/>
      <c r="N41" s="306"/>
      <c r="O41" s="306"/>
      <c r="P41" s="306"/>
      <c r="Q41" s="306"/>
      <c r="R41" s="307"/>
      <c r="W41" s="61"/>
      <c r="X41" s="62"/>
    </row>
    <row r="42" spans="2:24" ht="15" customHeight="1" x14ac:dyDescent="0.25">
      <c r="B42" s="305"/>
      <c r="C42" s="306"/>
      <c r="D42" s="306"/>
      <c r="E42" s="306"/>
      <c r="F42" s="306"/>
      <c r="G42" s="306"/>
      <c r="H42" s="306"/>
      <c r="I42" s="306"/>
      <c r="J42" s="306"/>
      <c r="K42" s="306"/>
      <c r="L42" s="306"/>
      <c r="M42" s="306"/>
      <c r="N42" s="306"/>
      <c r="O42" s="306"/>
      <c r="P42" s="306"/>
      <c r="Q42" s="306"/>
      <c r="R42" s="307"/>
      <c r="W42" s="61"/>
      <c r="X42" s="62"/>
    </row>
    <row r="43" spans="2:24" ht="15" customHeight="1" x14ac:dyDescent="0.25">
      <c r="B43" s="305"/>
      <c r="C43" s="306"/>
      <c r="D43" s="306"/>
      <c r="E43" s="306"/>
      <c r="F43" s="306"/>
      <c r="G43" s="306"/>
      <c r="H43" s="306"/>
      <c r="I43" s="306"/>
      <c r="J43" s="306"/>
      <c r="K43" s="306"/>
      <c r="L43" s="306"/>
      <c r="M43" s="306"/>
      <c r="N43" s="306"/>
      <c r="O43" s="306"/>
      <c r="P43" s="306"/>
      <c r="Q43" s="306"/>
      <c r="R43" s="307"/>
    </row>
    <row r="44" spans="2:24" ht="15" customHeight="1" x14ac:dyDescent="0.25">
      <c r="B44" s="305"/>
      <c r="C44" s="306"/>
      <c r="D44" s="306"/>
      <c r="E44" s="306"/>
      <c r="F44" s="306"/>
      <c r="G44" s="306"/>
      <c r="H44" s="306"/>
      <c r="I44" s="306"/>
      <c r="J44" s="306"/>
      <c r="K44" s="306"/>
      <c r="L44" s="306"/>
      <c r="M44" s="306"/>
      <c r="N44" s="306"/>
      <c r="O44" s="306"/>
      <c r="P44" s="306"/>
      <c r="Q44" s="306"/>
      <c r="R44" s="307"/>
    </row>
    <row r="45" spans="2:24" ht="27.75" customHeight="1" thickBot="1" x14ac:dyDescent="0.3">
      <c r="B45" s="308"/>
      <c r="C45" s="309"/>
      <c r="D45" s="309"/>
      <c r="E45" s="309"/>
      <c r="F45" s="309"/>
      <c r="G45" s="309"/>
      <c r="H45" s="309"/>
      <c r="I45" s="309"/>
      <c r="J45" s="309"/>
      <c r="K45" s="309"/>
      <c r="L45" s="309"/>
      <c r="M45" s="309"/>
      <c r="N45" s="309"/>
      <c r="O45" s="309"/>
      <c r="P45" s="309"/>
      <c r="Q45" s="309"/>
      <c r="R45" s="3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1" t="s">
        <v>181</v>
      </c>
      <c r="D3" s="312"/>
      <c r="E3" s="312"/>
      <c r="F3" s="312"/>
      <c r="G3" s="312"/>
      <c r="H3" s="312"/>
      <c r="I3" s="312"/>
      <c r="J3" s="312"/>
      <c r="K3" s="312"/>
      <c r="L3" s="312"/>
      <c r="M3" s="312"/>
      <c r="N3" s="312"/>
      <c r="O3" s="312"/>
      <c r="P3" s="312"/>
      <c r="Q3" s="312"/>
      <c r="R3" s="312"/>
      <c r="S3" s="312"/>
      <c r="T3" s="65"/>
      <c r="U3" s="66"/>
    </row>
    <row r="4" spans="1:24" ht="15.75" customHeight="1" x14ac:dyDescent="0.25">
      <c r="B4" s="64"/>
      <c r="C4" s="67" t="s">
        <v>441</v>
      </c>
      <c r="D4" s="29"/>
      <c r="E4" s="29"/>
      <c r="F4" s="29"/>
      <c r="G4" s="29"/>
      <c r="H4" s="29"/>
      <c r="I4" s="29"/>
      <c r="J4" s="29"/>
      <c r="K4" s="29"/>
      <c r="L4" s="29"/>
      <c r="M4" s="29"/>
      <c r="N4" s="29"/>
      <c r="O4" s="29"/>
      <c r="P4" s="29"/>
      <c r="Q4" s="29"/>
      <c r="R4" s="29"/>
      <c r="S4" s="29"/>
      <c r="T4" s="29"/>
      <c r="U4" s="25"/>
    </row>
    <row r="5" spans="1:24" ht="18" customHeight="1" x14ac:dyDescent="0.25">
      <c r="B5" s="64"/>
      <c r="C5" s="211" t="s">
        <v>440</v>
      </c>
      <c r="D5" s="315" t="s">
        <v>390</v>
      </c>
      <c r="E5" s="31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84" t="s">
        <v>29</v>
      </c>
      <c r="D8" s="185" t="s">
        <v>3</v>
      </c>
      <c r="E8" s="186">
        <v>0.19662099999999999</v>
      </c>
      <c r="F8" s="29"/>
      <c r="G8" s="29"/>
      <c r="H8" s="29"/>
      <c r="I8" s="29"/>
      <c r="J8" s="29"/>
      <c r="K8" s="29"/>
      <c r="L8" s="29"/>
      <c r="M8" s="29"/>
      <c r="N8" s="29"/>
      <c r="O8" s="29"/>
      <c r="P8" s="29"/>
      <c r="Q8" s="29"/>
      <c r="R8" s="29"/>
      <c r="S8" s="29"/>
      <c r="T8" s="29"/>
      <c r="U8" s="25"/>
      <c r="W8" s="173" t="s">
        <v>3</v>
      </c>
      <c r="X8" s="172">
        <v>0.52392099999999997</v>
      </c>
    </row>
    <row r="9" spans="1:24" ht="15.75" customHeight="1" x14ac:dyDescent="0.25">
      <c r="B9" s="64"/>
      <c r="C9" s="180" t="s">
        <v>32</v>
      </c>
      <c r="D9" s="187" t="s">
        <v>3</v>
      </c>
      <c r="E9" s="188">
        <v>0.15457399999999999</v>
      </c>
      <c r="F9" s="29"/>
      <c r="G9" s="29"/>
      <c r="H9" s="29"/>
      <c r="I9" s="29"/>
      <c r="J9" s="29"/>
      <c r="K9" s="29"/>
      <c r="L9" s="29"/>
      <c r="M9" s="29"/>
      <c r="N9" s="29"/>
      <c r="O9" s="29"/>
      <c r="P9" s="29"/>
      <c r="Q9" s="29"/>
      <c r="R9" s="29"/>
      <c r="S9" s="29"/>
      <c r="T9" s="29"/>
      <c r="U9" s="25"/>
      <c r="W9" s="173" t="s">
        <v>4</v>
      </c>
      <c r="X9" s="172">
        <v>0.25142300000000001</v>
      </c>
    </row>
    <row r="10" spans="1:24" ht="15.75" x14ac:dyDescent="0.25">
      <c r="B10" s="64"/>
      <c r="C10" s="180" t="s">
        <v>36</v>
      </c>
      <c r="D10" s="187" t="s">
        <v>3</v>
      </c>
      <c r="E10" s="188">
        <v>9.4236E-2</v>
      </c>
      <c r="F10" s="29"/>
      <c r="G10" s="29"/>
      <c r="H10" s="29"/>
      <c r="I10" s="29"/>
      <c r="J10" s="29"/>
      <c r="K10" s="29"/>
      <c r="L10" s="29"/>
      <c r="M10" s="29"/>
      <c r="N10" s="29"/>
      <c r="O10" s="29"/>
      <c r="P10" s="29"/>
      <c r="Q10" s="29"/>
      <c r="R10" s="29"/>
      <c r="S10" s="29"/>
      <c r="T10" s="29"/>
      <c r="U10" s="25"/>
      <c r="W10" s="173" t="s">
        <v>85</v>
      </c>
      <c r="X10" s="172">
        <v>7.1125000000000008E-2</v>
      </c>
    </row>
    <row r="11" spans="1:24" ht="15.75" customHeight="1" x14ac:dyDescent="0.25">
      <c r="B11" s="64"/>
      <c r="C11" s="180" t="s">
        <v>35</v>
      </c>
      <c r="D11" s="187" t="s">
        <v>3</v>
      </c>
      <c r="E11" s="188">
        <v>4.7513E-2</v>
      </c>
      <c r="F11" s="29"/>
      <c r="G11" s="29"/>
      <c r="H11" s="29"/>
      <c r="I11" s="29"/>
      <c r="J11" s="29"/>
      <c r="K11" s="29"/>
      <c r="L11" s="29"/>
      <c r="M11" s="29"/>
      <c r="N11" s="29"/>
      <c r="O11" s="29"/>
      <c r="P11" s="29"/>
      <c r="Q11" s="29"/>
      <c r="R11" s="29"/>
      <c r="S11" s="29"/>
      <c r="T11" s="29"/>
      <c r="U11" s="25"/>
      <c r="W11" s="173" t="s">
        <v>182</v>
      </c>
      <c r="X11" s="172">
        <v>3.5365999999999995E-2</v>
      </c>
    </row>
    <row r="12" spans="1:24" ht="15" customHeight="1" x14ac:dyDescent="0.25">
      <c r="B12" s="64"/>
      <c r="C12" s="180" t="s">
        <v>80</v>
      </c>
      <c r="D12" s="187" t="s">
        <v>4</v>
      </c>
      <c r="E12" s="188">
        <v>4.3949000000000002E-2</v>
      </c>
      <c r="F12" s="29"/>
      <c r="G12" s="29"/>
      <c r="H12" s="29"/>
      <c r="I12" s="29"/>
      <c r="J12" s="29"/>
      <c r="K12" s="29"/>
      <c r="L12" s="29"/>
      <c r="M12" s="29"/>
      <c r="N12" s="29"/>
      <c r="O12" s="29"/>
      <c r="P12" s="29"/>
      <c r="Q12" s="29"/>
      <c r="R12" s="29"/>
      <c r="S12" s="29"/>
      <c r="T12" s="29"/>
      <c r="U12" s="25"/>
      <c r="W12" s="173" t="s">
        <v>84</v>
      </c>
      <c r="X12" s="172">
        <v>1.8088000000000003E-2</v>
      </c>
    </row>
    <row r="13" spans="1:24" ht="15" customHeight="1" x14ac:dyDescent="0.25">
      <c r="B13" s="64"/>
      <c r="C13" s="180" t="s">
        <v>104</v>
      </c>
      <c r="D13" s="187" t="s">
        <v>4</v>
      </c>
      <c r="E13" s="188">
        <v>3.8089999999999999E-2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0" t="s">
        <v>201</v>
      </c>
      <c r="D14" s="187" t="s">
        <v>4</v>
      </c>
      <c r="E14" s="188">
        <v>2.7837000000000001E-2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0" t="s">
        <v>342</v>
      </c>
      <c r="D15" s="187" t="s">
        <v>85</v>
      </c>
      <c r="E15" s="188">
        <v>2.3730999999999999E-2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0" t="s">
        <v>231</v>
      </c>
      <c r="D16" s="187" t="s">
        <v>4</v>
      </c>
      <c r="E16" s="188">
        <v>2.1616E-2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0" t="s">
        <v>284</v>
      </c>
      <c r="D17" s="187" t="s">
        <v>4</v>
      </c>
      <c r="E17" s="188">
        <v>2.0140999999999999E-2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0" t="s">
        <v>219</v>
      </c>
      <c r="D18" s="187" t="s">
        <v>182</v>
      </c>
      <c r="E18" s="188">
        <v>1.9531E-2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0" t="s">
        <v>267</v>
      </c>
      <c r="D19" s="187" t="s">
        <v>182</v>
      </c>
      <c r="E19" s="188">
        <v>1.5834999999999998E-2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0" t="s">
        <v>358</v>
      </c>
      <c r="D20" s="187" t="s">
        <v>4</v>
      </c>
      <c r="E20" s="188">
        <v>1.3858000000000001E-2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0" t="s">
        <v>357</v>
      </c>
      <c r="D21" s="187" t="s">
        <v>4</v>
      </c>
      <c r="E21" s="188">
        <v>1.3485E-2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0" t="s">
        <v>255</v>
      </c>
      <c r="D22" s="187" t="s">
        <v>3</v>
      </c>
      <c r="E22" s="188">
        <v>1.2968E-2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0.74398499999999979</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ht="15" customHeight="1" x14ac:dyDescent="0.25">
      <c r="B40" s="305"/>
      <c r="C40" s="306"/>
      <c r="D40" s="306"/>
      <c r="E40" s="306"/>
      <c r="F40" s="306"/>
      <c r="G40" s="306"/>
      <c r="H40" s="306"/>
      <c r="I40" s="306"/>
      <c r="J40" s="306"/>
      <c r="K40" s="306"/>
      <c r="L40" s="306"/>
      <c r="M40" s="306"/>
      <c r="N40" s="306"/>
      <c r="O40" s="306"/>
      <c r="P40" s="306"/>
      <c r="Q40" s="306"/>
      <c r="R40" s="307"/>
      <c r="W40" s="61"/>
      <c r="X40" s="62"/>
    </row>
    <row r="41" spans="2:24" ht="15" customHeight="1" x14ac:dyDescent="0.25">
      <c r="B41" s="305"/>
      <c r="C41" s="306"/>
      <c r="D41" s="306"/>
      <c r="E41" s="306"/>
      <c r="F41" s="306"/>
      <c r="G41" s="306"/>
      <c r="H41" s="306"/>
      <c r="I41" s="306"/>
      <c r="J41" s="306"/>
      <c r="K41" s="306"/>
      <c r="L41" s="306"/>
      <c r="M41" s="306"/>
      <c r="N41" s="306"/>
      <c r="O41" s="306"/>
      <c r="P41" s="306"/>
      <c r="Q41" s="306"/>
      <c r="R41" s="307"/>
      <c r="W41" s="61"/>
      <c r="X41" s="62"/>
    </row>
    <row r="42" spans="2:24" ht="15" customHeight="1" x14ac:dyDescent="0.25">
      <c r="B42" s="305"/>
      <c r="C42" s="306"/>
      <c r="D42" s="306"/>
      <c r="E42" s="306"/>
      <c r="F42" s="306"/>
      <c r="G42" s="306"/>
      <c r="H42" s="306"/>
      <c r="I42" s="306"/>
      <c r="J42" s="306"/>
      <c r="K42" s="306"/>
      <c r="L42" s="306"/>
      <c r="M42" s="306"/>
      <c r="N42" s="306"/>
      <c r="O42" s="306"/>
      <c r="P42" s="306"/>
      <c r="Q42" s="306"/>
      <c r="R42" s="307"/>
      <c r="W42" s="61"/>
      <c r="X42" s="62"/>
    </row>
    <row r="43" spans="2:24" ht="15" customHeight="1" x14ac:dyDescent="0.25">
      <c r="B43" s="305"/>
      <c r="C43" s="306"/>
      <c r="D43" s="306"/>
      <c r="E43" s="306"/>
      <c r="F43" s="306"/>
      <c r="G43" s="306"/>
      <c r="H43" s="306"/>
      <c r="I43" s="306"/>
      <c r="J43" s="306"/>
      <c r="K43" s="306"/>
      <c r="L43" s="306"/>
      <c r="M43" s="306"/>
      <c r="N43" s="306"/>
      <c r="O43" s="306"/>
      <c r="P43" s="306"/>
      <c r="Q43" s="306"/>
      <c r="R43" s="307"/>
    </row>
    <row r="44" spans="2:24" ht="15" customHeight="1" x14ac:dyDescent="0.25">
      <c r="B44" s="305"/>
      <c r="C44" s="306"/>
      <c r="D44" s="306"/>
      <c r="E44" s="306"/>
      <c r="F44" s="306"/>
      <c r="G44" s="306"/>
      <c r="H44" s="306"/>
      <c r="I44" s="306"/>
      <c r="J44" s="306"/>
      <c r="K44" s="306"/>
      <c r="L44" s="306"/>
      <c r="M44" s="306"/>
      <c r="N44" s="306"/>
      <c r="O44" s="306"/>
      <c r="P44" s="306"/>
      <c r="Q44" s="306"/>
      <c r="R44" s="307"/>
    </row>
    <row r="45" spans="2:24" ht="27.75" customHeight="1" thickBot="1" x14ac:dyDescent="0.3">
      <c r="B45" s="308"/>
      <c r="C45" s="309"/>
      <c r="D45" s="309"/>
      <c r="E45" s="309"/>
      <c r="F45" s="309"/>
      <c r="G45" s="309"/>
      <c r="H45" s="309"/>
      <c r="I45" s="309"/>
      <c r="J45" s="309"/>
      <c r="K45" s="309"/>
      <c r="L45" s="309"/>
      <c r="M45" s="309"/>
      <c r="N45" s="309"/>
      <c r="O45" s="309"/>
      <c r="P45" s="309"/>
      <c r="Q45" s="309"/>
      <c r="R45" s="3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241</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391</v>
      </c>
      <c r="E5" s="313"/>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245</v>
      </c>
      <c r="D8" s="187" t="s">
        <v>110</v>
      </c>
      <c r="E8" s="194">
        <v>4.0363999999999997E-2</v>
      </c>
      <c r="F8" s="29">
        <v>1</v>
      </c>
      <c r="G8" s="29"/>
      <c r="H8" s="29"/>
      <c r="I8" s="29"/>
      <c r="J8" s="29"/>
      <c r="K8" s="29"/>
      <c r="L8" s="29"/>
      <c r="M8" s="29"/>
      <c r="N8" s="29"/>
      <c r="O8" s="29"/>
      <c r="P8" s="29"/>
      <c r="Q8" s="29"/>
      <c r="R8" s="29"/>
      <c r="S8" s="29"/>
      <c r="T8" s="22"/>
      <c r="W8" s="173" t="s">
        <v>110</v>
      </c>
      <c r="X8" s="224">
        <v>0.11512399999999998</v>
      </c>
    </row>
    <row r="9" spans="1:24" ht="15.75" customHeight="1" x14ac:dyDescent="0.25">
      <c r="B9" s="79"/>
      <c r="C9" s="180" t="s">
        <v>217</v>
      </c>
      <c r="D9" s="187" t="s">
        <v>26</v>
      </c>
      <c r="E9" s="194">
        <v>3.5931999999999999E-2</v>
      </c>
      <c r="F9" s="29">
        <v>2</v>
      </c>
      <c r="G9" s="29"/>
      <c r="H9" s="29"/>
      <c r="I9" s="29"/>
      <c r="J9" s="29"/>
      <c r="K9" s="29"/>
      <c r="L9" s="29"/>
      <c r="M9" s="29"/>
      <c r="N9" s="29"/>
      <c r="O9" s="29"/>
      <c r="P9" s="29"/>
      <c r="Q9" s="29"/>
      <c r="R9" s="29"/>
      <c r="S9" s="29"/>
      <c r="T9" s="22"/>
      <c r="W9" s="173" t="s">
        <v>4</v>
      </c>
      <c r="X9" s="224">
        <v>7.795500000000001E-2</v>
      </c>
    </row>
    <row r="10" spans="1:24" ht="15" customHeight="1" x14ac:dyDescent="0.25">
      <c r="B10" s="79"/>
      <c r="C10" s="180" t="s">
        <v>247</v>
      </c>
      <c r="D10" s="187" t="s">
        <v>4</v>
      </c>
      <c r="E10" s="194">
        <v>3.5656E-2</v>
      </c>
      <c r="F10" s="29">
        <v>3</v>
      </c>
      <c r="G10" s="29"/>
      <c r="H10" s="29"/>
      <c r="I10" s="29"/>
      <c r="J10" s="29"/>
      <c r="K10" s="29"/>
      <c r="L10" s="29"/>
      <c r="M10" s="29"/>
      <c r="N10" s="29"/>
      <c r="O10" s="29"/>
      <c r="P10" s="29"/>
      <c r="Q10" s="29"/>
      <c r="R10" s="29"/>
      <c r="S10" s="29"/>
      <c r="T10" s="22"/>
      <c r="W10" s="173" t="s">
        <v>26</v>
      </c>
      <c r="X10" s="224">
        <v>7.7694999999999986E-2</v>
      </c>
    </row>
    <row r="11" spans="1:24" ht="15" customHeight="1" x14ac:dyDescent="0.25">
      <c r="B11" s="79"/>
      <c r="C11" s="180" t="s">
        <v>267</v>
      </c>
      <c r="D11" s="187" t="s">
        <v>182</v>
      </c>
      <c r="E11" s="194">
        <v>3.5478000000000003E-2</v>
      </c>
      <c r="F11" s="29">
        <v>4</v>
      </c>
      <c r="G11" s="29"/>
      <c r="H11" s="29"/>
      <c r="I11" s="29"/>
      <c r="J11" s="29"/>
      <c r="K11" s="29"/>
      <c r="L11" s="29"/>
      <c r="M11" s="29"/>
      <c r="N11" s="29"/>
      <c r="O11" s="29"/>
      <c r="P11" s="29"/>
      <c r="Q11" s="29"/>
      <c r="R11" s="29"/>
      <c r="S11" s="29"/>
      <c r="T11" s="22"/>
      <c r="W11" s="173" t="s">
        <v>16</v>
      </c>
      <c r="X11" s="224">
        <v>6.4191999999999999E-2</v>
      </c>
    </row>
    <row r="12" spans="1:24" ht="15" customHeight="1" x14ac:dyDescent="0.25">
      <c r="B12" s="79"/>
      <c r="C12" s="180" t="s">
        <v>32</v>
      </c>
      <c r="D12" s="187" t="s">
        <v>3</v>
      </c>
      <c r="E12" s="194">
        <v>3.2467000000000003E-2</v>
      </c>
      <c r="F12" s="29">
        <v>5</v>
      </c>
      <c r="G12" s="29"/>
      <c r="H12" s="29"/>
      <c r="I12" s="29"/>
      <c r="J12" s="29"/>
      <c r="K12" s="29"/>
      <c r="L12" s="29"/>
      <c r="M12" s="29"/>
      <c r="N12" s="29"/>
      <c r="O12" s="29"/>
      <c r="P12" s="29"/>
      <c r="Q12" s="29"/>
      <c r="R12" s="29"/>
      <c r="S12" s="29"/>
      <c r="T12" s="22"/>
      <c r="W12" s="173" t="s">
        <v>106</v>
      </c>
      <c r="X12" s="224">
        <v>5.5698999999999999E-2</v>
      </c>
    </row>
    <row r="13" spans="1:24" ht="15" customHeight="1" x14ac:dyDescent="0.25">
      <c r="B13" s="79"/>
      <c r="C13" s="180" t="s">
        <v>192</v>
      </c>
      <c r="D13" s="187" t="s">
        <v>105</v>
      </c>
      <c r="E13" s="194">
        <v>3.2294000000000003E-2</v>
      </c>
      <c r="F13" s="29">
        <v>6</v>
      </c>
      <c r="G13" s="29"/>
      <c r="H13" s="29"/>
      <c r="I13" s="29"/>
      <c r="J13" s="29"/>
      <c r="K13" s="29"/>
      <c r="L13" s="29"/>
      <c r="M13" s="29"/>
      <c r="N13" s="29"/>
      <c r="O13" s="29"/>
      <c r="P13" s="29"/>
      <c r="Q13" s="29"/>
      <c r="R13" s="29"/>
      <c r="S13" s="29"/>
      <c r="T13" s="22"/>
      <c r="W13" s="173" t="s">
        <v>113</v>
      </c>
      <c r="X13" s="224">
        <v>4.6917999999999994E-2</v>
      </c>
    </row>
    <row r="14" spans="1:24" ht="15" customHeight="1" x14ac:dyDescent="0.25">
      <c r="B14" s="79"/>
      <c r="C14" s="180" t="s">
        <v>70</v>
      </c>
      <c r="D14" s="187" t="s">
        <v>12</v>
      </c>
      <c r="E14" s="194">
        <v>3.1297999999999999E-2</v>
      </c>
      <c r="F14" s="29">
        <v>7</v>
      </c>
      <c r="G14" s="29"/>
      <c r="H14" s="29"/>
      <c r="I14" s="29"/>
      <c r="J14" s="29"/>
      <c r="K14" s="29"/>
      <c r="L14" s="29"/>
      <c r="M14" s="29"/>
      <c r="N14" s="29"/>
      <c r="O14" s="29"/>
      <c r="P14" s="29"/>
      <c r="Q14" s="29"/>
      <c r="R14" s="29"/>
      <c r="S14" s="29"/>
      <c r="T14" s="22"/>
      <c r="W14" s="173" t="s">
        <v>76</v>
      </c>
      <c r="X14" s="224">
        <v>4.3935000000000002E-2</v>
      </c>
    </row>
    <row r="15" spans="1:24" ht="15" customHeight="1" x14ac:dyDescent="0.25">
      <c r="B15" s="79"/>
      <c r="C15" s="180" t="s">
        <v>104</v>
      </c>
      <c r="D15" s="187" t="s">
        <v>4</v>
      </c>
      <c r="E15" s="194">
        <v>3.1012999999999999E-2</v>
      </c>
      <c r="F15" s="29">
        <v>8</v>
      </c>
      <c r="G15" s="29"/>
      <c r="H15" s="29"/>
      <c r="I15" s="29"/>
      <c r="J15" s="29"/>
      <c r="K15" s="29"/>
      <c r="L15" s="29"/>
      <c r="M15" s="29"/>
      <c r="N15" s="29"/>
      <c r="O15" s="29"/>
      <c r="P15" s="29"/>
      <c r="Q15" s="29"/>
      <c r="R15" s="29"/>
      <c r="S15" s="29"/>
      <c r="T15" s="22"/>
      <c r="W15" s="173" t="s">
        <v>12</v>
      </c>
      <c r="X15" s="224">
        <v>4.0957E-2</v>
      </c>
    </row>
    <row r="16" spans="1:24" ht="15" customHeight="1" x14ac:dyDescent="0.25">
      <c r="B16" s="79"/>
      <c r="C16" s="180" t="s">
        <v>189</v>
      </c>
      <c r="D16" s="187" t="s">
        <v>106</v>
      </c>
      <c r="E16" s="194">
        <v>2.5479000000000002E-2</v>
      </c>
      <c r="F16" s="29">
        <v>9</v>
      </c>
      <c r="G16" s="29"/>
      <c r="H16" s="29"/>
      <c r="I16" s="29"/>
      <c r="J16" s="29"/>
      <c r="K16" s="29"/>
      <c r="L16" s="29"/>
      <c r="M16" s="29"/>
      <c r="N16" s="29"/>
      <c r="O16" s="29"/>
      <c r="P16" s="29"/>
      <c r="Q16" s="29"/>
      <c r="R16" s="29"/>
      <c r="S16" s="29"/>
      <c r="T16" s="22"/>
      <c r="W16" s="173" t="s">
        <v>105</v>
      </c>
      <c r="X16" s="224">
        <v>3.9701E-2</v>
      </c>
    </row>
    <row r="17" spans="2:24" ht="15" customHeight="1" x14ac:dyDescent="0.25">
      <c r="B17" s="79"/>
      <c r="C17" s="180" t="s">
        <v>325</v>
      </c>
      <c r="D17" s="187" t="s">
        <v>16</v>
      </c>
      <c r="E17" s="194">
        <v>2.2359E-2</v>
      </c>
      <c r="F17" s="29">
        <v>10</v>
      </c>
      <c r="G17" s="29"/>
      <c r="H17" s="29"/>
      <c r="I17" s="29"/>
      <c r="J17" s="29"/>
      <c r="K17" s="29"/>
      <c r="L17" s="29"/>
      <c r="M17" s="29"/>
      <c r="N17" s="29"/>
      <c r="O17" s="29"/>
      <c r="P17" s="29"/>
      <c r="Q17" s="29"/>
      <c r="R17" s="29"/>
      <c r="S17" s="29"/>
      <c r="T17" s="22"/>
      <c r="W17" s="173" t="s">
        <v>123</v>
      </c>
      <c r="X17" s="224">
        <v>3.6691000000000001E-2</v>
      </c>
    </row>
    <row r="18" spans="2:24" ht="15" customHeight="1" x14ac:dyDescent="0.25">
      <c r="B18" s="79"/>
      <c r="C18" s="180" t="s">
        <v>285</v>
      </c>
      <c r="D18" s="187" t="s">
        <v>115</v>
      </c>
      <c r="E18" s="194">
        <v>2.2162999999999999E-2</v>
      </c>
      <c r="F18" s="29">
        <v>11</v>
      </c>
      <c r="G18" s="29"/>
      <c r="H18" s="29"/>
      <c r="I18" s="29"/>
      <c r="J18" s="29"/>
      <c r="K18" s="29"/>
      <c r="L18" s="29"/>
      <c r="M18" s="29"/>
      <c r="N18" s="29"/>
      <c r="O18" s="29"/>
      <c r="P18" s="29"/>
      <c r="Q18" s="29"/>
      <c r="R18" s="29"/>
      <c r="S18" s="29"/>
      <c r="T18" s="22"/>
      <c r="W18" s="173" t="s">
        <v>182</v>
      </c>
      <c r="X18" s="224">
        <v>3.5478000000000003E-2</v>
      </c>
    </row>
    <row r="19" spans="2:24" ht="15" customHeight="1" x14ac:dyDescent="0.25">
      <c r="B19" s="79"/>
      <c r="C19" s="180" t="s">
        <v>359</v>
      </c>
      <c r="D19" s="187" t="s">
        <v>123</v>
      </c>
      <c r="E19" s="194">
        <v>2.2079000000000001E-2</v>
      </c>
      <c r="F19" s="29">
        <v>12</v>
      </c>
      <c r="G19" s="29"/>
      <c r="H19" s="29"/>
      <c r="I19" s="29"/>
      <c r="J19" s="29"/>
      <c r="K19" s="29"/>
      <c r="L19" s="29"/>
      <c r="M19" s="29"/>
      <c r="N19" s="29"/>
      <c r="O19" s="29"/>
      <c r="P19" s="29"/>
      <c r="Q19" s="29"/>
      <c r="R19" s="29"/>
      <c r="S19" s="29"/>
      <c r="T19" s="22"/>
      <c r="W19" s="173" t="s">
        <v>3</v>
      </c>
      <c r="X19" s="224">
        <v>3.2467000000000003E-2</v>
      </c>
    </row>
    <row r="20" spans="2:24" ht="15" customHeight="1" x14ac:dyDescent="0.25">
      <c r="B20" s="79"/>
      <c r="C20" s="180" t="s">
        <v>246</v>
      </c>
      <c r="D20" s="187" t="s">
        <v>76</v>
      </c>
      <c r="E20" s="194">
        <v>2.1527000000000001E-2</v>
      </c>
      <c r="F20" s="29">
        <v>13</v>
      </c>
      <c r="G20" s="29"/>
      <c r="H20" s="29"/>
      <c r="I20" s="29"/>
      <c r="J20" s="29"/>
      <c r="K20" s="29"/>
      <c r="L20" s="29"/>
      <c r="M20" s="29"/>
      <c r="N20" s="29"/>
      <c r="O20" s="29"/>
      <c r="P20" s="29"/>
      <c r="Q20" s="29"/>
      <c r="R20" s="29"/>
      <c r="S20" s="29"/>
      <c r="T20" s="22"/>
      <c r="W20" s="173" t="s">
        <v>111</v>
      </c>
      <c r="X20" s="224">
        <v>2.8183E-2</v>
      </c>
    </row>
    <row r="21" spans="2:24" ht="15" customHeight="1" x14ac:dyDescent="0.25">
      <c r="B21" s="79"/>
      <c r="C21" s="180" t="s">
        <v>119</v>
      </c>
      <c r="D21" s="187" t="s">
        <v>111</v>
      </c>
      <c r="E21" s="194">
        <v>1.9526999999999999E-2</v>
      </c>
      <c r="F21" s="29">
        <v>14</v>
      </c>
      <c r="G21" s="29"/>
      <c r="H21" s="29"/>
      <c r="I21" s="29"/>
      <c r="J21" s="29"/>
      <c r="K21" s="29"/>
      <c r="L21" s="29"/>
      <c r="M21" s="29"/>
      <c r="N21" s="29"/>
      <c r="O21" s="29"/>
      <c r="P21" s="29"/>
      <c r="Q21" s="29"/>
      <c r="R21" s="29"/>
      <c r="S21" s="29"/>
      <c r="T21" s="22"/>
      <c r="W21" s="173" t="s">
        <v>115</v>
      </c>
      <c r="X21" s="224">
        <v>2.2162999999999999E-2</v>
      </c>
    </row>
    <row r="22" spans="2:24" ht="15" customHeight="1" x14ac:dyDescent="0.25">
      <c r="B22" s="79"/>
      <c r="C22" s="180" t="s">
        <v>429</v>
      </c>
      <c r="D22" s="187" t="s">
        <v>10</v>
      </c>
      <c r="E22" s="194">
        <v>1.9019000000000001E-2</v>
      </c>
      <c r="F22" s="29">
        <v>15</v>
      </c>
      <c r="G22" s="29"/>
      <c r="H22" s="29"/>
      <c r="I22" s="29"/>
      <c r="J22" s="29"/>
      <c r="K22" s="29"/>
      <c r="L22" s="29"/>
      <c r="M22" s="29"/>
      <c r="N22" s="29"/>
      <c r="O22" s="29"/>
      <c r="P22" s="29"/>
      <c r="Q22" s="29"/>
      <c r="R22" s="29"/>
      <c r="S22" s="29"/>
      <c r="T22" s="22"/>
      <c r="W22" s="173" t="s">
        <v>136</v>
      </c>
      <c r="X22" s="224">
        <v>2.0511000000000001E-2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173" t="s">
        <v>82</v>
      </c>
      <c r="X23" s="224">
        <v>2.0242999999999997E-2</v>
      </c>
    </row>
    <row r="24" spans="2:24" ht="15" customHeight="1" x14ac:dyDescent="0.25">
      <c r="B24" s="79"/>
      <c r="C24" s="73" t="s">
        <v>55</v>
      </c>
      <c r="D24" s="74"/>
      <c r="E24" s="75">
        <f>SUM(E8:E22)</f>
        <v>0.42665500000000012</v>
      </c>
      <c r="F24" s="29"/>
      <c r="G24" s="29"/>
      <c r="H24" s="29"/>
      <c r="I24" s="29"/>
      <c r="J24" s="29"/>
      <c r="K24" s="29"/>
      <c r="L24" s="29"/>
      <c r="M24" s="29"/>
      <c r="N24" s="29"/>
      <c r="O24" s="29"/>
      <c r="P24" s="29"/>
      <c r="Q24" s="29"/>
      <c r="R24" s="29"/>
      <c r="S24" s="29"/>
      <c r="T24" s="22"/>
      <c r="W24" s="173" t="s">
        <v>83</v>
      </c>
      <c r="X24" s="224">
        <v>1.9984999999999999E-2</v>
      </c>
    </row>
    <row r="25" spans="2:24" ht="15" customHeight="1" x14ac:dyDescent="0.25">
      <c r="B25" s="79"/>
      <c r="F25" s="29"/>
      <c r="G25" s="29"/>
      <c r="H25" s="29"/>
      <c r="I25" s="29"/>
      <c r="J25" s="29"/>
      <c r="K25" s="29"/>
      <c r="L25" s="29"/>
      <c r="M25" s="29"/>
      <c r="N25" s="29"/>
      <c r="O25" s="29"/>
      <c r="P25" s="29"/>
      <c r="Q25" s="29"/>
      <c r="R25" s="29"/>
      <c r="S25" s="29"/>
      <c r="T25" s="22"/>
      <c r="W25" s="173" t="s">
        <v>118</v>
      </c>
      <c r="X25" s="224">
        <v>1.9411999999999999E-2</v>
      </c>
    </row>
    <row r="26" spans="2:24" ht="15" customHeight="1" x14ac:dyDescent="0.25">
      <c r="B26" s="79"/>
      <c r="F26" s="29"/>
      <c r="G26" s="29"/>
      <c r="H26" s="29"/>
      <c r="I26" s="29"/>
      <c r="J26" s="29"/>
      <c r="K26" s="29"/>
      <c r="L26" s="29"/>
      <c r="M26" s="29"/>
      <c r="N26" s="29"/>
      <c r="O26" s="29"/>
      <c r="P26" s="29"/>
      <c r="Q26" s="29"/>
      <c r="R26" s="29"/>
      <c r="S26" s="29"/>
      <c r="T26" s="22"/>
      <c r="W26" s="173" t="s">
        <v>85</v>
      </c>
      <c r="X26" s="224">
        <v>1.9122E-2</v>
      </c>
    </row>
    <row r="27" spans="2:24" ht="15" customHeight="1" x14ac:dyDescent="0.25">
      <c r="B27" s="79"/>
      <c r="F27" s="29"/>
      <c r="G27" s="29"/>
      <c r="H27" s="29"/>
      <c r="I27" s="29"/>
      <c r="J27" s="29"/>
      <c r="K27" s="29"/>
      <c r="L27" s="29"/>
      <c r="M27" s="29"/>
      <c r="N27" s="29"/>
      <c r="O27" s="29"/>
      <c r="P27" s="29"/>
      <c r="Q27" s="29"/>
      <c r="R27" s="29"/>
      <c r="S27" s="29"/>
      <c r="T27" s="22"/>
      <c r="W27" s="173" t="s">
        <v>10</v>
      </c>
      <c r="X27" s="224">
        <v>1.9019000000000001E-2</v>
      </c>
    </row>
    <row r="28" spans="2:24" ht="15" customHeight="1" x14ac:dyDescent="0.25">
      <c r="B28" s="79"/>
      <c r="F28" s="29"/>
      <c r="G28" s="29"/>
      <c r="H28" s="29"/>
      <c r="I28" s="29"/>
      <c r="J28" s="29"/>
      <c r="K28" s="29"/>
      <c r="L28" s="29"/>
      <c r="M28" s="29"/>
      <c r="N28" s="29"/>
      <c r="O28" s="29"/>
      <c r="P28" s="29"/>
      <c r="Q28" s="29"/>
      <c r="R28" s="29"/>
      <c r="S28" s="29"/>
      <c r="T28" s="22"/>
      <c r="W28" s="173" t="s">
        <v>109</v>
      </c>
      <c r="X28" s="224">
        <v>1.8682000000000001E-2</v>
      </c>
    </row>
    <row r="29" spans="2:24" ht="15" customHeight="1" x14ac:dyDescent="0.25">
      <c r="B29" s="79"/>
      <c r="F29" s="29"/>
      <c r="G29" s="29"/>
      <c r="H29" s="29"/>
      <c r="I29" s="29"/>
      <c r="J29" s="29"/>
      <c r="K29" s="29"/>
      <c r="L29" s="29"/>
      <c r="M29" s="29"/>
      <c r="N29" s="29"/>
      <c r="O29" s="29"/>
      <c r="P29" s="29"/>
      <c r="Q29" s="29"/>
      <c r="R29" s="29"/>
      <c r="S29" s="29"/>
      <c r="T29" s="22"/>
      <c r="W29" s="173" t="s">
        <v>24</v>
      </c>
      <c r="X29" s="224">
        <v>1.4773999999999999E-2</v>
      </c>
    </row>
    <row r="30" spans="2:24" ht="15" customHeight="1" x14ac:dyDescent="0.25">
      <c r="B30" s="79"/>
      <c r="F30" s="29"/>
      <c r="G30" s="29"/>
      <c r="H30" s="29"/>
      <c r="I30" s="29"/>
      <c r="J30" s="29"/>
      <c r="K30" s="29"/>
      <c r="L30" s="29"/>
      <c r="M30" s="29"/>
      <c r="N30" s="29"/>
      <c r="O30" s="29"/>
      <c r="P30" s="29"/>
      <c r="Q30" s="29"/>
      <c r="R30" s="29"/>
      <c r="S30" s="29"/>
      <c r="T30" s="22"/>
      <c r="W30" s="173" t="s">
        <v>84</v>
      </c>
      <c r="X30" s="224">
        <v>1.3354E-2</v>
      </c>
    </row>
    <row r="31" spans="2:24" ht="15" customHeight="1" x14ac:dyDescent="0.25">
      <c r="B31" s="79"/>
      <c r="F31" s="29"/>
      <c r="G31" s="29"/>
      <c r="H31" s="29"/>
      <c r="I31" s="29"/>
      <c r="J31" s="29"/>
      <c r="K31" s="29"/>
      <c r="L31" s="29"/>
      <c r="M31" s="29"/>
      <c r="N31" s="29"/>
      <c r="O31" s="29"/>
      <c r="P31" s="29"/>
      <c r="Q31" s="29"/>
      <c r="R31" s="29"/>
      <c r="S31" s="29"/>
      <c r="T31" s="22"/>
      <c r="W31" s="173" t="s">
        <v>132</v>
      </c>
      <c r="X31" s="224">
        <v>1.0258E-2</v>
      </c>
    </row>
    <row r="32" spans="2:24" ht="15.75" customHeight="1" x14ac:dyDescent="0.25">
      <c r="B32" s="79"/>
      <c r="F32" s="29"/>
      <c r="G32" s="29"/>
      <c r="H32" s="29"/>
      <c r="I32" s="29"/>
      <c r="J32" s="29"/>
      <c r="K32" s="29"/>
      <c r="L32" s="29"/>
      <c r="M32" s="29"/>
      <c r="N32" s="29"/>
      <c r="O32" s="29"/>
      <c r="P32" s="29"/>
      <c r="Q32" s="29"/>
      <c r="R32" s="29"/>
      <c r="S32" s="29"/>
      <c r="T32" s="22"/>
      <c r="W32" s="173" t="s">
        <v>94</v>
      </c>
      <c r="X32" s="224">
        <v>9.4850000000000004E-3</v>
      </c>
    </row>
    <row r="33" spans="2:24" ht="15" customHeight="1" x14ac:dyDescent="0.25">
      <c r="B33" s="79"/>
      <c r="F33" s="29"/>
      <c r="G33" s="29"/>
      <c r="H33" s="29"/>
      <c r="I33" s="29"/>
      <c r="J33" s="29"/>
      <c r="K33" s="29"/>
      <c r="L33" s="29"/>
      <c r="M33" s="29"/>
      <c r="N33" s="29"/>
      <c r="O33" s="29"/>
      <c r="P33" s="29"/>
      <c r="Q33" s="29"/>
      <c r="R33" s="29"/>
      <c r="S33" s="29"/>
      <c r="T33" s="22"/>
      <c r="W33" s="173" t="s">
        <v>112</v>
      </c>
      <c r="X33" s="224">
        <v>9.3340000000000003E-3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73" t="s">
        <v>23</v>
      </c>
      <c r="X34" s="224">
        <v>9.1590000000000005E-3</v>
      </c>
    </row>
    <row r="35" spans="2:24" ht="15" customHeight="1" thickBot="1" x14ac:dyDescent="0.3">
      <c r="W35" s="173" t="s">
        <v>125</v>
      </c>
      <c r="X35" s="224">
        <v>8.6510000000000007E-3</v>
      </c>
    </row>
    <row r="36" spans="2:24" ht="15" customHeight="1" x14ac:dyDescent="0.25">
      <c r="B36" s="302" t="s">
        <v>180</v>
      </c>
      <c r="C36" s="303"/>
      <c r="D36" s="303"/>
      <c r="E36" s="303"/>
      <c r="F36" s="303"/>
      <c r="G36" s="303"/>
      <c r="H36" s="303"/>
      <c r="I36" s="303"/>
      <c r="J36" s="303"/>
      <c r="K36" s="303"/>
      <c r="L36" s="303"/>
      <c r="M36" s="303"/>
      <c r="N36" s="303"/>
      <c r="O36" s="303"/>
      <c r="P36" s="303"/>
      <c r="Q36" s="303"/>
      <c r="R36" s="304"/>
      <c r="W36" s="173" t="s">
        <v>122</v>
      </c>
      <c r="X36" s="224">
        <v>7.8689999999999993E-3</v>
      </c>
    </row>
    <row r="37" spans="2:24" ht="15" customHeight="1" x14ac:dyDescent="0.25">
      <c r="B37" s="305"/>
      <c r="C37" s="306"/>
      <c r="D37" s="306"/>
      <c r="E37" s="306"/>
      <c r="F37" s="306"/>
      <c r="G37" s="306"/>
      <c r="H37" s="306"/>
      <c r="I37" s="306"/>
      <c r="J37" s="306"/>
      <c r="K37" s="306"/>
      <c r="L37" s="306"/>
      <c r="M37" s="306"/>
      <c r="N37" s="306"/>
      <c r="O37" s="306"/>
      <c r="P37" s="306"/>
      <c r="Q37" s="306"/>
      <c r="R37" s="307"/>
      <c r="W37" s="173" t="s">
        <v>124</v>
      </c>
      <c r="X37" s="224">
        <v>7.4409999999999997E-3</v>
      </c>
    </row>
    <row r="38" spans="2:24" ht="15" customHeight="1" x14ac:dyDescent="0.25">
      <c r="B38" s="305"/>
      <c r="C38" s="306"/>
      <c r="D38" s="306"/>
      <c r="E38" s="306"/>
      <c r="F38" s="306"/>
      <c r="G38" s="306"/>
      <c r="H38" s="306"/>
      <c r="I38" s="306"/>
      <c r="J38" s="306"/>
      <c r="K38" s="306"/>
      <c r="L38" s="306"/>
      <c r="M38" s="306"/>
      <c r="N38" s="306"/>
      <c r="O38" s="306"/>
      <c r="P38" s="306"/>
      <c r="Q38" s="306"/>
      <c r="R38" s="307"/>
      <c r="W38" s="173" t="s">
        <v>230</v>
      </c>
      <c r="X38" s="224">
        <v>6.3049999999999998E-3</v>
      </c>
    </row>
    <row r="39" spans="2:24" ht="15" customHeight="1" x14ac:dyDescent="0.25">
      <c r="B39" s="305"/>
      <c r="C39" s="306"/>
      <c r="D39" s="306"/>
      <c r="E39" s="306"/>
      <c r="F39" s="306"/>
      <c r="G39" s="306"/>
      <c r="H39" s="306"/>
      <c r="I39" s="306"/>
      <c r="J39" s="306"/>
      <c r="K39" s="306"/>
      <c r="L39" s="306"/>
      <c r="M39" s="306"/>
      <c r="N39" s="306"/>
      <c r="O39" s="306"/>
      <c r="P39" s="306"/>
      <c r="Q39" s="306"/>
      <c r="R39" s="307"/>
      <c r="W39" s="173" t="s">
        <v>117</v>
      </c>
      <c r="X39" s="224">
        <v>5.1630000000000001E-3</v>
      </c>
    </row>
    <row r="40" spans="2:24" ht="15" customHeight="1" x14ac:dyDescent="0.25">
      <c r="B40" s="305"/>
      <c r="C40" s="306"/>
      <c r="D40" s="306"/>
      <c r="E40" s="306"/>
      <c r="F40" s="306"/>
      <c r="G40" s="306"/>
      <c r="H40" s="306"/>
      <c r="I40" s="306"/>
      <c r="J40" s="306"/>
      <c r="K40" s="306"/>
      <c r="L40" s="306"/>
      <c r="M40" s="306"/>
      <c r="N40" s="306"/>
      <c r="O40" s="306"/>
      <c r="P40" s="306"/>
      <c r="Q40" s="306"/>
      <c r="R40" s="307"/>
      <c r="W40" s="173" t="s">
        <v>86</v>
      </c>
      <c r="X40" s="224">
        <v>4.9329999999999999E-3</v>
      </c>
    </row>
    <row r="41" spans="2:24" ht="15" customHeight="1" x14ac:dyDescent="0.25">
      <c r="B41" s="305"/>
      <c r="C41" s="306"/>
      <c r="D41" s="306"/>
      <c r="E41" s="306"/>
      <c r="F41" s="306"/>
      <c r="G41" s="306"/>
      <c r="H41" s="306"/>
      <c r="I41" s="306"/>
      <c r="J41" s="306"/>
      <c r="K41" s="306"/>
      <c r="L41" s="306"/>
      <c r="M41" s="306"/>
      <c r="N41" s="306"/>
      <c r="O41" s="306"/>
      <c r="P41" s="306"/>
      <c r="Q41" s="306"/>
      <c r="R41" s="307"/>
      <c r="W41" s="173" t="s">
        <v>326</v>
      </c>
      <c r="X41" s="224">
        <v>4.1520000000000003E-3</v>
      </c>
    </row>
    <row r="42" spans="2:24" ht="15" customHeight="1" thickBot="1" x14ac:dyDescent="0.3">
      <c r="B42" s="308"/>
      <c r="C42" s="309"/>
      <c r="D42" s="309"/>
      <c r="E42" s="309"/>
      <c r="F42" s="309"/>
      <c r="G42" s="309"/>
      <c r="H42" s="309"/>
      <c r="I42" s="309"/>
      <c r="J42" s="309"/>
      <c r="K42" s="309"/>
      <c r="L42" s="309"/>
      <c r="M42" s="309"/>
      <c r="N42" s="309"/>
      <c r="O42" s="309"/>
      <c r="P42" s="309"/>
      <c r="Q42" s="309"/>
      <c r="R42" s="310"/>
      <c r="X42" s="224"/>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297</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392</v>
      </c>
      <c r="E5" s="313"/>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29</v>
      </c>
      <c r="D8" s="187" t="s">
        <v>3</v>
      </c>
      <c r="E8" s="194">
        <v>5.2287E-2</v>
      </c>
      <c r="F8" s="29">
        <v>1</v>
      </c>
      <c r="G8" s="29"/>
      <c r="H8" s="29"/>
      <c r="I8" s="29"/>
      <c r="J8" s="29"/>
      <c r="K8" s="29"/>
      <c r="L8" s="29"/>
      <c r="M8" s="29"/>
      <c r="N8" s="29"/>
      <c r="O8" s="29"/>
      <c r="P8" s="29"/>
      <c r="Q8" s="29"/>
      <c r="R8" s="29"/>
      <c r="S8" s="29"/>
      <c r="T8" s="22"/>
      <c r="W8" s="221" t="s">
        <v>3</v>
      </c>
      <c r="X8" s="224">
        <v>0.18061300000000002</v>
      </c>
    </row>
    <row r="9" spans="1:24" ht="15.75" customHeight="1" x14ac:dyDescent="0.25">
      <c r="B9" s="79"/>
      <c r="C9" s="180" t="s">
        <v>36</v>
      </c>
      <c r="D9" s="187" t="s">
        <v>3</v>
      </c>
      <c r="E9" s="194">
        <v>3.7061999999999998E-2</v>
      </c>
      <c r="F9" s="29">
        <v>2</v>
      </c>
      <c r="G9" s="29"/>
      <c r="H9" s="29"/>
      <c r="I9" s="29"/>
      <c r="J9" s="29"/>
      <c r="K9" s="29"/>
      <c r="L9" s="29"/>
      <c r="M9" s="29"/>
      <c r="N9" s="29"/>
      <c r="O9" s="29"/>
      <c r="P9" s="29"/>
      <c r="Q9" s="29"/>
      <c r="R9" s="29"/>
      <c r="S9" s="29"/>
      <c r="T9" s="22"/>
      <c r="W9" s="221" t="s">
        <v>4</v>
      </c>
      <c r="X9" s="224">
        <v>9.9807000000000021E-2</v>
      </c>
    </row>
    <row r="10" spans="1:24" ht="15" customHeight="1" x14ac:dyDescent="0.25">
      <c r="B10" s="79"/>
      <c r="C10" s="180" t="s">
        <v>80</v>
      </c>
      <c r="D10" s="187" t="s">
        <v>4</v>
      </c>
      <c r="E10" s="194">
        <v>2.8316000000000001E-2</v>
      </c>
      <c r="F10" s="29">
        <v>3</v>
      </c>
      <c r="G10" s="29"/>
      <c r="H10" s="29"/>
      <c r="I10" s="29"/>
      <c r="J10" s="29"/>
      <c r="K10" s="29"/>
      <c r="L10" s="29"/>
      <c r="M10" s="29"/>
      <c r="N10" s="29"/>
      <c r="O10" s="29"/>
      <c r="P10" s="29"/>
      <c r="Q10" s="29"/>
      <c r="R10" s="29"/>
      <c r="S10" s="29"/>
      <c r="T10" s="22"/>
      <c r="W10" s="221" t="s">
        <v>110</v>
      </c>
      <c r="X10" s="224">
        <v>6.4795999999999992E-2</v>
      </c>
    </row>
    <row r="11" spans="1:24" ht="15" customHeight="1" x14ac:dyDescent="0.25">
      <c r="B11" s="79"/>
      <c r="C11" s="180" t="s">
        <v>28</v>
      </c>
      <c r="D11" s="187" t="s">
        <v>106</v>
      </c>
      <c r="E11" s="194">
        <v>2.6334E-2</v>
      </c>
      <c r="F11" s="29">
        <v>4</v>
      </c>
      <c r="G11" s="29"/>
      <c r="H11" s="29"/>
      <c r="I11" s="29"/>
      <c r="J11" s="29"/>
      <c r="K11" s="29"/>
      <c r="L11" s="29"/>
      <c r="M11" s="29"/>
      <c r="N11" s="29"/>
      <c r="O11" s="29"/>
      <c r="P11" s="29"/>
      <c r="Q11" s="29"/>
      <c r="R11" s="29"/>
      <c r="S11" s="29"/>
      <c r="T11" s="22"/>
      <c r="W11" s="221" t="s">
        <v>10</v>
      </c>
      <c r="X11" s="224">
        <v>6.1005000000000004E-2</v>
      </c>
    </row>
    <row r="12" spans="1:24" ht="15" customHeight="1" x14ac:dyDescent="0.25">
      <c r="B12" s="79"/>
      <c r="C12" s="180" t="s">
        <v>316</v>
      </c>
      <c r="D12" s="187" t="s">
        <v>117</v>
      </c>
      <c r="E12" s="194">
        <v>2.5579999999999999E-2</v>
      </c>
      <c r="F12" s="29">
        <v>5</v>
      </c>
      <c r="G12" s="29"/>
      <c r="H12" s="29"/>
      <c r="I12" s="29"/>
      <c r="J12" s="29"/>
      <c r="K12" s="29"/>
      <c r="L12" s="29"/>
      <c r="M12" s="29"/>
      <c r="N12" s="29"/>
      <c r="O12" s="29"/>
      <c r="P12" s="29"/>
      <c r="Q12" s="29"/>
      <c r="R12" s="29"/>
      <c r="S12" s="29"/>
      <c r="T12" s="22"/>
      <c r="W12" s="221" t="s">
        <v>23</v>
      </c>
      <c r="X12" s="224">
        <v>5.851E-2</v>
      </c>
    </row>
    <row r="13" spans="1:24" ht="15" customHeight="1" x14ac:dyDescent="0.25">
      <c r="B13" s="79"/>
      <c r="C13" s="180" t="s">
        <v>62</v>
      </c>
      <c r="D13" s="187" t="s">
        <v>10</v>
      </c>
      <c r="E13" s="194">
        <v>2.4826999999999998E-2</v>
      </c>
      <c r="F13" s="29">
        <v>6</v>
      </c>
      <c r="G13" s="29"/>
      <c r="H13" s="29"/>
      <c r="I13" s="29"/>
      <c r="J13" s="29"/>
      <c r="K13" s="29"/>
      <c r="L13" s="29"/>
      <c r="M13" s="29"/>
      <c r="N13" s="29"/>
      <c r="O13" s="29"/>
      <c r="P13" s="29"/>
      <c r="Q13" s="29"/>
      <c r="R13" s="29"/>
      <c r="S13" s="29"/>
      <c r="T13" s="22"/>
      <c r="W13" s="221" t="s">
        <v>106</v>
      </c>
      <c r="X13" s="224">
        <v>5.5073999999999998E-2</v>
      </c>
    </row>
    <row r="14" spans="1:24" ht="15" customHeight="1" x14ac:dyDescent="0.25">
      <c r="B14" s="79"/>
      <c r="C14" s="180" t="s">
        <v>319</v>
      </c>
      <c r="D14" s="187" t="s">
        <v>110</v>
      </c>
      <c r="E14" s="194">
        <v>2.273E-2</v>
      </c>
      <c r="F14" s="29">
        <v>7</v>
      </c>
      <c r="G14" s="29"/>
      <c r="H14" s="29"/>
      <c r="I14" s="29"/>
      <c r="J14" s="29"/>
      <c r="K14" s="29"/>
      <c r="L14" s="29"/>
      <c r="M14" s="29"/>
      <c r="N14" s="29"/>
      <c r="O14" s="29"/>
      <c r="P14" s="29"/>
      <c r="Q14" s="29"/>
      <c r="R14" s="29"/>
      <c r="S14" s="29"/>
      <c r="T14" s="22"/>
      <c r="W14" s="221" t="s">
        <v>117</v>
      </c>
      <c r="X14" s="224">
        <v>4.5955000000000003E-2</v>
      </c>
    </row>
    <row r="15" spans="1:24" ht="15" customHeight="1" x14ac:dyDescent="0.25">
      <c r="B15" s="79"/>
      <c r="C15" s="180" t="s">
        <v>306</v>
      </c>
      <c r="D15" s="187" t="s">
        <v>109</v>
      </c>
      <c r="E15" s="194">
        <v>2.2062999999999999E-2</v>
      </c>
      <c r="F15" s="29">
        <v>8</v>
      </c>
      <c r="G15" s="29"/>
      <c r="H15" s="29"/>
      <c r="I15" s="29"/>
      <c r="J15" s="29"/>
      <c r="K15" s="29"/>
      <c r="L15" s="29"/>
      <c r="M15" s="29"/>
      <c r="N15" s="29"/>
      <c r="O15" s="29"/>
      <c r="P15" s="29"/>
      <c r="Q15" s="29"/>
      <c r="R15" s="29"/>
      <c r="S15" s="29"/>
      <c r="T15" s="22"/>
      <c r="W15" s="221" t="s">
        <v>109</v>
      </c>
      <c r="X15" s="224">
        <v>3.4505000000000001E-2</v>
      </c>
    </row>
    <row r="16" spans="1:24" ht="15" customHeight="1" x14ac:dyDescent="0.25">
      <c r="B16" s="79"/>
      <c r="C16" s="180" t="s">
        <v>70</v>
      </c>
      <c r="D16" s="187" t="s">
        <v>12</v>
      </c>
      <c r="E16" s="194">
        <v>2.0124E-2</v>
      </c>
      <c r="F16" s="29">
        <v>9</v>
      </c>
      <c r="G16" s="29"/>
      <c r="H16" s="29"/>
      <c r="I16" s="29"/>
      <c r="J16" s="29"/>
      <c r="K16" s="29"/>
      <c r="L16" s="29"/>
      <c r="M16" s="29"/>
      <c r="N16" s="29"/>
      <c r="O16" s="29"/>
      <c r="P16" s="29"/>
      <c r="Q16" s="29"/>
      <c r="R16" s="29"/>
      <c r="S16" s="29"/>
      <c r="T16" s="22"/>
      <c r="W16" s="221" t="s">
        <v>26</v>
      </c>
      <c r="X16" s="224">
        <v>2.9944999999999999E-2</v>
      </c>
    </row>
    <row r="17" spans="2:24" ht="15" customHeight="1" x14ac:dyDescent="0.25">
      <c r="B17" s="79"/>
      <c r="C17" s="180" t="s">
        <v>34</v>
      </c>
      <c r="D17" s="187" t="s">
        <v>23</v>
      </c>
      <c r="E17" s="194">
        <v>1.9944E-2</v>
      </c>
      <c r="F17" s="29">
        <v>10</v>
      </c>
      <c r="G17" s="29"/>
      <c r="H17" s="29"/>
      <c r="I17" s="29"/>
      <c r="J17" s="29"/>
      <c r="K17" s="29"/>
      <c r="L17" s="29"/>
      <c r="M17" s="29"/>
      <c r="N17" s="29"/>
      <c r="O17" s="29"/>
      <c r="P17" s="29"/>
      <c r="Q17" s="29"/>
      <c r="R17" s="29"/>
      <c r="S17" s="29"/>
      <c r="T17" s="22"/>
      <c r="W17" s="221" t="s">
        <v>129</v>
      </c>
      <c r="X17" s="224">
        <v>2.6082000000000001E-2</v>
      </c>
    </row>
    <row r="18" spans="2:24" ht="15" customHeight="1" x14ac:dyDescent="0.25">
      <c r="B18" s="79"/>
      <c r="C18" s="180" t="s">
        <v>78</v>
      </c>
      <c r="D18" s="187" t="s">
        <v>3</v>
      </c>
      <c r="E18" s="194">
        <v>1.8821000000000001E-2</v>
      </c>
      <c r="F18" s="29">
        <v>11</v>
      </c>
      <c r="G18" s="29"/>
      <c r="H18" s="29"/>
      <c r="I18" s="29"/>
      <c r="J18" s="29"/>
      <c r="K18" s="29"/>
      <c r="L18" s="29"/>
      <c r="M18" s="29"/>
      <c r="N18" s="29"/>
      <c r="O18" s="29"/>
      <c r="P18" s="29"/>
      <c r="Q18" s="29"/>
      <c r="R18" s="29"/>
      <c r="S18" s="29"/>
      <c r="T18" s="22"/>
      <c r="W18" s="221" t="s">
        <v>111</v>
      </c>
      <c r="X18" s="224">
        <v>2.5381000000000001E-2</v>
      </c>
    </row>
    <row r="19" spans="2:24" ht="15" customHeight="1" x14ac:dyDescent="0.25">
      <c r="B19" s="79"/>
      <c r="C19" s="180" t="s">
        <v>31</v>
      </c>
      <c r="D19" s="187" t="s">
        <v>6</v>
      </c>
      <c r="E19" s="194">
        <v>1.8231000000000001E-2</v>
      </c>
      <c r="F19" s="29">
        <v>12</v>
      </c>
      <c r="G19" s="29"/>
      <c r="H19" s="29"/>
      <c r="I19" s="29"/>
      <c r="J19" s="29"/>
      <c r="K19" s="29"/>
      <c r="L19" s="29"/>
      <c r="M19" s="29"/>
      <c r="N19" s="29"/>
      <c r="O19" s="29"/>
      <c r="P19" s="29"/>
      <c r="Q19" s="29"/>
      <c r="R19" s="29"/>
      <c r="S19" s="29"/>
      <c r="T19" s="22"/>
      <c r="W19" s="221" t="s">
        <v>6</v>
      </c>
      <c r="X19" s="224">
        <v>2.2397E-2</v>
      </c>
    </row>
    <row r="20" spans="2:24" ht="15" customHeight="1" x14ac:dyDescent="0.25">
      <c r="B20" s="79"/>
      <c r="C20" s="180" t="s">
        <v>298</v>
      </c>
      <c r="D20" s="187" t="s">
        <v>117</v>
      </c>
      <c r="E20" s="194">
        <v>1.7992999999999999E-2</v>
      </c>
      <c r="F20" s="29">
        <v>13</v>
      </c>
      <c r="G20" s="29"/>
      <c r="H20" s="29"/>
      <c r="I20" s="29"/>
      <c r="J20" s="29"/>
      <c r="K20" s="29"/>
      <c r="L20" s="29"/>
      <c r="M20" s="29"/>
      <c r="N20" s="29"/>
      <c r="O20" s="29"/>
      <c r="P20" s="29"/>
      <c r="Q20" s="29"/>
      <c r="R20" s="29"/>
      <c r="S20" s="29"/>
      <c r="T20" s="22"/>
      <c r="W20" s="221" t="s">
        <v>112</v>
      </c>
      <c r="X20" s="224">
        <v>2.1476000000000002E-2</v>
      </c>
    </row>
    <row r="21" spans="2:24" ht="15" customHeight="1" x14ac:dyDescent="0.25">
      <c r="B21" s="79"/>
      <c r="C21" s="180" t="s">
        <v>69</v>
      </c>
      <c r="D21" s="187" t="s">
        <v>4</v>
      </c>
      <c r="E21" s="194">
        <v>1.6393000000000001E-2</v>
      </c>
      <c r="F21" s="29">
        <v>14</v>
      </c>
      <c r="G21" s="29"/>
      <c r="H21" s="29"/>
      <c r="I21" s="29"/>
      <c r="J21" s="29"/>
      <c r="K21" s="29"/>
      <c r="L21" s="29"/>
      <c r="M21" s="29"/>
      <c r="N21" s="29"/>
      <c r="O21" s="29"/>
      <c r="P21" s="29"/>
      <c r="Q21" s="29"/>
      <c r="R21" s="29"/>
      <c r="S21" s="29"/>
      <c r="T21" s="22"/>
      <c r="W21" s="173" t="s">
        <v>12</v>
      </c>
      <c r="X21" s="224">
        <v>2.0124E-2</v>
      </c>
    </row>
    <row r="22" spans="2:24" ht="15" customHeight="1" x14ac:dyDescent="0.25">
      <c r="B22" s="79"/>
      <c r="C22" s="180" t="s">
        <v>244</v>
      </c>
      <c r="D22" s="187" t="s">
        <v>129</v>
      </c>
      <c r="E22" s="194">
        <v>1.6011000000000001E-2</v>
      </c>
      <c r="F22" s="29">
        <v>15</v>
      </c>
      <c r="G22" s="29"/>
      <c r="H22" s="29"/>
      <c r="I22" s="29"/>
      <c r="J22" s="29"/>
      <c r="K22" s="29"/>
      <c r="L22" s="29"/>
      <c r="M22" s="29"/>
      <c r="N22" s="29"/>
      <c r="O22" s="29"/>
      <c r="P22" s="29"/>
      <c r="Q22" s="29"/>
      <c r="R22" s="29"/>
      <c r="S22" s="29"/>
      <c r="T22" s="22"/>
      <c r="W22" s="173" t="s">
        <v>24</v>
      </c>
      <c r="X22" s="224">
        <v>1.9393000000000001E-2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173" t="s">
        <v>76</v>
      </c>
      <c r="X23" s="224">
        <v>1.9210000000000001E-2</v>
      </c>
    </row>
    <row r="24" spans="2:24" ht="15" customHeight="1" x14ac:dyDescent="0.25">
      <c r="B24" s="79"/>
      <c r="C24" s="73" t="s">
        <v>55</v>
      </c>
      <c r="D24" s="74"/>
      <c r="E24" s="75">
        <f>SUM(E8:E22)</f>
        <v>0.36671599999999993</v>
      </c>
      <c r="F24" s="29"/>
      <c r="G24" s="29"/>
      <c r="H24" s="29"/>
      <c r="I24" s="29"/>
      <c r="J24" s="29"/>
      <c r="K24" s="29"/>
      <c r="L24" s="29"/>
      <c r="M24" s="29"/>
      <c r="N24" s="29"/>
      <c r="O24" s="29"/>
      <c r="P24" s="29"/>
      <c r="Q24" s="29"/>
      <c r="R24" s="29"/>
      <c r="S24" s="29"/>
      <c r="T24" s="22"/>
      <c r="W24" s="173" t="s">
        <v>82</v>
      </c>
      <c r="X24" s="224">
        <v>1.8754E-2</v>
      </c>
    </row>
    <row r="25" spans="2:24" ht="15" customHeight="1" x14ac:dyDescent="0.25">
      <c r="B25" s="79"/>
      <c r="F25" s="29"/>
      <c r="G25" s="29"/>
      <c r="H25" s="29"/>
      <c r="I25" s="29"/>
      <c r="J25" s="29"/>
      <c r="K25" s="29"/>
      <c r="L25" s="29"/>
      <c r="M25" s="29"/>
      <c r="N25" s="29"/>
      <c r="O25" s="29"/>
      <c r="P25" s="29"/>
      <c r="Q25" s="29"/>
      <c r="R25" s="29"/>
      <c r="S25" s="29"/>
      <c r="T25" s="22"/>
      <c r="W25" s="173" t="s">
        <v>182</v>
      </c>
      <c r="X25" s="224">
        <v>1.6489E-2</v>
      </c>
    </row>
    <row r="26" spans="2:24" ht="15" customHeight="1" x14ac:dyDescent="0.25">
      <c r="B26" s="79"/>
      <c r="F26" s="29"/>
      <c r="G26" s="29"/>
      <c r="H26" s="29"/>
      <c r="I26" s="29"/>
      <c r="J26" s="29"/>
      <c r="K26" s="29"/>
      <c r="L26" s="29"/>
      <c r="M26" s="29"/>
      <c r="N26" s="29"/>
      <c r="O26" s="29"/>
      <c r="P26" s="29"/>
      <c r="Q26" s="29"/>
      <c r="R26" s="29"/>
      <c r="S26" s="29"/>
      <c r="T26" s="22"/>
      <c r="W26" s="173" t="s">
        <v>115</v>
      </c>
      <c r="X26" s="224">
        <v>1.5741999999999999E-2</v>
      </c>
    </row>
    <row r="27" spans="2:24" ht="15" customHeight="1" x14ac:dyDescent="0.25">
      <c r="B27" s="79"/>
      <c r="F27" s="29"/>
      <c r="G27" s="29"/>
      <c r="H27" s="29"/>
      <c r="I27" s="29"/>
      <c r="J27" s="29"/>
      <c r="K27" s="29"/>
      <c r="L27" s="29"/>
      <c r="M27" s="29"/>
      <c r="N27" s="29"/>
      <c r="O27" s="29"/>
      <c r="P27" s="29"/>
      <c r="Q27" s="29"/>
      <c r="R27" s="29"/>
      <c r="S27" s="29"/>
      <c r="T27" s="22"/>
      <c r="W27" s="173" t="s">
        <v>11</v>
      </c>
      <c r="X27" s="224">
        <v>1.5269E-2</v>
      </c>
    </row>
    <row r="28" spans="2:24" ht="15" customHeight="1" x14ac:dyDescent="0.25">
      <c r="B28" s="79"/>
      <c r="F28" s="29"/>
      <c r="G28" s="29"/>
      <c r="H28" s="29"/>
      <c r="I28" s="29"/>
      <c r="J28" s="29"/>
      <c r="K28" s="29"/>
      <c r="L28" s="29"/>
      <c r="M28" s="29"/>
      <c r="N28" s="29"/>
      <c r="O28" s="29"/>
      <c r="P28" s="29"/>
      <c r="Q28" s="29"/>
      <c r="R28" s="29"/>
      <c r="S28" s="29"/>
      <c r="T28" s="22"/>
      <c r="W28" s="173" t="s">
        <v>84</v>
      </c>
      <c r="X28" s="224">
        <v>1.5192000000000001E-2</v>
      </c>
    </row>
    <row r="29" spans="2:24" ht="15" customHeight="1" x14ac:dyDescent="0.25">
      <c r="B29" s="79"/>
      <c r="F29" s="29"/>
      <c r="G29" s="29"/>
      <c r="H29" s="29"/>
      <c r="I29" s="29"/>
      <c r="J29" s="29"/>
      <c r="K29" s="29"/>
      <c r="L29" s="29"/>
      <c r="M29" s="29"/>
      <c r="N29" s="29"/>
      <c r="O29" s="29"/>
      <c r="P29" s="29"/>
      <c r="Q29" s="29"/>
      <c r="R29" s="29"/>
      <c r="S29" s="29"/>
      <c r="T29" s="22"/>
      <c r="W29" s="173" t="s">
        <v>123</v>
      </c>
      <c r="X29" s="224">
        <v>1.4912E-2</v>
      </c>
    </row>
    <row r="30" spans="2:24" ht="15" customHeight="1" x14ac:dyDescent="0.25">
      <c r="B30" s="79"/>
      <c r="F30" s="29"/>
      <c r="G30" s="29"/>
      <c r="H30" s="29"/>
      <c r="I30" s="29"/>
      <c r="J30" s="29"/>
      <c r="K30" s="29"/>
      <c r="L30" s="29"/>
      <c r="M30" s="29"/>
      <c r="N30" s="29"/>
      <c r="O30" s="29"/>
      <c r="P30" s="29"/>
      <c r="Q30" s="29"/>
      <c r="R30" s="29"/>
      <c r="S30" s="29"/>
      <c r="T30" s="22"/>
      <c r="W30" s="173" t="s">
        <v>25</v>
      </c>
      <c r="X30" s="224">
        <v>1.2565E-2</v>
      </c>
    </row>
    <row r="31" spans="2:24" ht="15" customHeight="1" x14ac:dyDescent="0.25">
      <c r="B31" s="79"/>
      <c r="F31" s="29"/>
      <c r="G31" s="29"/>
      <c r="H31" s="29"/>
      <c r="I31" s="29"/>
      <c r="J31" s="29"/>
      <c r="K31" s="29"/>
      <c r="L31" s="29"/>
      <c r="M31" s="29"/>
      <c r="N31" s="29"/>
      <c r="O31" s="29"/>
      <c r="P31" s="29"/>
      <c r="Q31" s="29"/>
      <c r="R31" s="29"/>
      <c r="S31" s="29"/>
      <c r="T31" s="22"/>
      <c r="W31" s="173" t="s">
        <v>85</v>
      </c>
      <c r="X31" s="224">
        <v>1.0675E-2</v>
      </c>
    </row>
    <row r="32" spans="2:24" ht="15.75" customHeight="1" x14ac:dyDescent="0.25">
      <c r="B32" s="79"/>
      <c r="F32" s="29"/>
      <c r="G32" s="29"/>
      <c r="H32" s="29"/>
      <c r="I32" s="29"/>
      <c r="J32" s="29"/>
      <c r="K32" s="29"/>
      <c r="L32" s="29"/>
      <c r="M32" s="29"/>
      <c r="N32" s="29"/>
      <c r="O32" s="29"/>
      <c r="P32" s="29"/>
      <c r="Q32" s="29"/>
      <c r="R32" s="29"/>
      <c r="S32" s="29"/>
      <c r="T32" s="22"/>
      <c r="W32" s="173" t="s">
        <v>86</v>
      </c>
      <c r="X32" s="224">
        <v>9.1940000000000008E-3</v>
      </c>
    </row>
    <row r="33" spans="2:24" ht="15" customHeight="1" x14ac:dyDescent="0.25">
      <c r="B33" s="79"/>
      <c r="F33" s="29"/>
      <c r="G33" s="29"/>
      <c r="H33" s="29"/>
      <c r="I33" s="29"/>
      <c r="J33" s="29"/>
      <c r="K33" s="29"/>
      <c r="L33" s="29"/>
      <c r="M33" s="29"/>
      <c r="N33" s="29"/>
      <c r="O33" s="29"/>
      <c r="P33" s="29"/>
      <c r="Q33" s="29"/>
      <c r="R33" s="29"/>
      <c r="S33" s="29"/>
      <c r="T33" s="22"/>
      <c r="W33" s="173" t="s">
        <v>120</v>
      </c>
      <c r="X33" s="224">
        <v>8.9680000000000003E-3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73" t="s">
        <v>136</v>
      </c>
      <c r="X34" s="224">
        <v>6.7559999999999999E-3</v>
      </c>
    </row>
    <row r="35" spans="2:24" ht="15" customHeight="1" thickBot="1" x14ac:dyDescent="0.3">
      <c r="W35" s="173" t="s">
        <v>113</v>
      </c>
      <c r="X35" s="224">
        <v>5.6680000000000003E-3</v>
      </c>
    </row>
    <row r="36" spans="2:24" ht="15" customHeight="1" x14ac:dyDescent="0.25">
      <c r="B36" s="302" t="s">
        <v>180</v>
      </c>
      <c r="C36" s="303"/>
      <c r="D36" s="303"/>
      <c r="E36" s="303"/>
      <c r="F36" s="303"/>
      <c r="G36" s="303"/>
      <c r="H36" s="303"/>
      <c r="I36" s="303"/>
      <c r="J36" s="303"/>
      <c r="K36" s="303"/>
      <c r="L36" s="303"/>
      <c r="M36" s="303"/>
      <c r="N36" s="303"/>
      <c r="O36" s="303"/>
      <c r="P36" s="303"/>
      <c r="Q36" s="303"/>
      <c r="R36" s="304"/>
      <c r="W36" s="173" t="s">
        <v>16</v>
      </c>
      <c r="X36" s="224">
        <v>5.4970000000000001E-3</v>
      </c>
    </row>
    <row r="37" spans="2:24" ht="15" customHeight="1" x14ac:dyDescent="0.25">
      <c r="B37" s="305"/>
      <c r="C37" s="306"/>
      <c r="D37" s="306"/>
      <c r="E37" s="306"/>
      <c r="F37" s="306"/>
      <c r="G37" s="306"/>
      <c r="H37" s="306"/>
      <c r="I37" s="306"/>
      <c r="J37" s="306"/>
      <c r="K37" s="306"/>
      <c r="L37" s="306"/>
      <c r="M37" s="306"/>
      <c r="N37" s="306"/>
      <c r="O37" s="306"/>
      <c r="P37" s="306"/>
      <c r="Q37" s="306"/>
      <c r="R37" s="307"/>
      <c r="W37" s="173" t="s">
        <v>121</v>
      </c>
      <c r="X37" s="224">
        <v>5.0369999999999998E-3</v>
      </c>
    </row>
    <row r="38" spans="2:24" ht="15" customHeight="1" x14ac:dyDescent="0.25">
      <c r="B38" s="305"/>
      <c r="C38" s="306"/>
      <c r="D38" s="306"/>
      <c r="E38" s="306"/>
      <c r="F38" s="306"/>
      <c r="G38" s="306"/>
      <c r="H38" s="306"/>
      <c r="I38" s="306"/>
      <c r="J38" s="306"/>
      <c r="K38" s="306"/>
      <c r="L38" s="306"/>
      <c r="M38" s="306"/>
      <c r="N38" s="306"/>
      <c r="O38" s="306"/>
      <c r="P38" s="306"/>
      <c r="Q38" s="306"/>
      <c r="R38" s="307"/>
      <c r="W38" s="173" t="s">
        <v>105</v>
      </c>
      <c r="X38" s="224">
        <v>4.7600000000000003E-3</v>
      </c>
    </row>
    <row r="39" spans="2:24" ht="15" customHeight="1" x14ac:dyDescent="0.25">
      <c r="B39" s="305"/>
      <c r="C39" s="306"/>
      <c r="D39" s="306"/>
      <c r="E39" s="306"/>
      <c r="F39" s="306"/>
      <c r="G39" s="306"/>
      <c r="H39" s="306"/>
      <c r="I39" s="306"/>
      <c r="J39" s="306"/>
      <c r="K39" s="306"/>
      <c r="L39" s="306"/>
      <c r="M39" s="306"/>
      <c r="N39" s="306"/>
      <c r="O39" s="306"/>
      <c r="P39" s="306"/>
      <c r="Q39" s="306"/>
      <c r="R39" s="307"/>
      <c r="W39" s="173" t="s">
        <v>125</v>
      </c>
      <c r="X39" s="224">
        <v>4.666E-3</v>
      </c>
    </row>
    <row r="40" spans="2:24" ht="15" customHeight="1" x14ac:dyDescent="0.25">
      <c r="B40" s="305"/>
      <c r="C40" s="306"/>
      <c r="D40" s="306"/>
      <c r="E40" s="306"/>
      <c r="F40" s="306"/>
      <c r="G40" s="306"/>
      <c r="H40" s="306"/>
      <c r="I40" s="306"/>
      <c r="J40" s="306"/>
      <c r="K40" s="306"/>
      <c r="L40" s="306"/>
      <c r="M40" s="306"/>
      <c r="N40" s="306"/>
      <c r="O40" s="306"/>
      <c r="P40" s="306"/>
      <c r="Q40" s="306"/>
      <c r="R40" s="307"/>
      <c r="W40" s="173" t="s">
        <v>118</v>
      </c>
      <c r="X40" s="224">
        <v>4.5929999999999999E-3</v>
      </c>
    </row>
    <row r="41" spans="2:24" ht="15" customHeight="1" x14ac:dyDescent="0.25">
      <c r="B41" s="305"/>
      <c r="C41" s="306"/>
      <c r="D41" s="306"/>
      <c r="E41" s="306"/>
      <c r="F41" s="306"/>
      <c r="G41" s="306"/>
      <c r="H41" s="306"/>
      <c r="I41" s="306"/>
      <c r="J41" s="306"/>
      <c r="K41" s="306"/>
      <c r="L41" s="306"/>
      <c r="M41" s="306"/>
      <c r="N41" s="306"/>
      <c r="O41" s="306"/>
      <c r="P41" s="306"/>
      <c r="Q41" s="306"/>
      <c r="R41" s="307"/>
      <c r="W41" s="173" t="s">
        <v>107</v>
      </c>
      <c r="X41" s="224">
        <v>4.3439999999999998E-3</v>
      </c>
    </row>
    <row r="42" spans="2:24" ht="15" customHeight="1" thickBot="1" x14ac:dyDescent="0.3">
      <c r="B42" s="308"/>
      <c r="C42" s="309"/>
      <c r="D42" s="309"/>
      <c r="E42" s="309"/>
      <c r="F42" s="309"/>
      <c r="G42" s="309"/>
      <c r="H42" s="309"/>
      <c r="I42" s="309"/>
      <c r="J42" s="309"/>
      <c r="K42" s="309"/>
      <c r="L42" s="309"/>
      <c r="M42" s="309"/>
      <c r="N42" s="309"/>
      <c r="O42" s="309"/>
      <c r="P42" s="309"/>
      <c r="Q42" s="309"/>
      <c r="R42" s="310"/>
      <c r="X42" s="224"/>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311" t="s">
        <v>205</v>
      </c>
      <c r="D3" s="312"/>
      <c r="E3" s="312"/>
      <c r="F3" s="312"/>
      <c r="G3" s="312"/>
      <c r="H3" s="312"/>
      <c r="I3" s="312"/>
      <c r="J3" s="312"/>
      <c r="K3" s="312"/>
      <c r="L3" s="312"/>
      <c r="M3" s="312"/>
      <c r="N3" s="312"/>
      <c r="O3" s="312"/>
      <c r="P3" s="312"/>
      <c r="Q3" s="312"/>
      <c r="R3" s="312"/>
      <c r="S3" s="312"/>
      <c r="T3" s="22"/>
    </row>
    <row r="4" spans="1:25" ht="15.75" customHeight="1" x14ac:dyDescent="0.25">
      <c r="B4" s="79"/>
      <c r="C4" s="67" t="s">
        <v>441</v>
      </c>
      <c r="D4" s="29"/>
      <c r="E4" s="29"/>
      <c r="F4" s="29"/>
      <c r="G4" s="29"/>
      <c r="H4" s="29"/>
      <c r="I4" s="29"/>
      <c r="J4" s="29"/>
      <c r="K4" s="29"/>
      <c r="L4" s="29"/>
      <c r="M4" s="29"/>
      <c r="N4" s="29"/>
      <c r="O4" s="29"/>
      <c r="P4" s="29"/>
      <c r="Q4" s="29"/>
      <c r="R4" s="29"/>
      <c r="S4" s="29"/>
      <c r="T4" s="22"/>
    </row>
    <row r="5" spans="1:25" ht="18" customHeight="1" x14ac:dyDescent="0.25">
      <c r="B5" s="79"/>
      <c r="C5" s="211" t="s">
        <v>440</v>
      </c>
      <c r="D5" s="313" t="s">
        <v>393</v>
      </c>
      <c r="E5" s="313"/>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84" t="s">
        <v>29</v>
      </c>
      <c r="D8" s="185" t="s">
        <v>3</v>
      </c>
      <c r="E8" s="186">
        <v>7.8987000000000002E-2</v>
      </c>
      <c r="F8" s="29"/>
      <c r="G8" s="29"/>
      <c r="H8" s="29"/>
      <c r="I8" s="29"/>
      <c r="J8" s="29"/>
      <c r="K8" s="29"/>
      <c r="L8" s="29"/>
      <c r="M8" s="29"/>
      <c r="N8" s="29"/>
      <c r="O8" s="29"/>
      <c r="P8" s="29"/>
      <c r="Q8" s="29"/>
      <c r="R8" s="29"/>
      <c r="S8" s="29"/>
      <c r="T8" s="22"/>
      <c r="W8" s="166" t="s">
        <v>3</v>
      </c>
      <c r="X8" s="167">
        <v>0.22812499999999999</v>
      </c>
      <c r="Y8" s="142"/>
    </row>
    <row r="9" spans="1:25" ht="15.75" customHeight="1" x14ac:dyDescent="0.25">
      <c r="B9" s="79"/>
      <c r="C9" s="180" t="s">
        <v>31</v>
      </c>
      <c r="D9" s="187" t="s">
        <v>6</v>
      </c>
      <c r="E9" s="188">
        <v>6.1856000000000001E-2</v>
      </c>
      <c r="F9" s="29"/>
      <c r="G9" s="29"/>
      <c r="H9" s="29"/>
      <c r="I9" s="29"/>
      <c r="J9" s="29"/>
      <c r="K9" s="29"/>
      <c r="L9" s="29"/>
      <c r="M9" s="29"/>
      <c r="N9" s="29"/>
      <c r="O9" s="29"/>
      <c r="P9" s="29"/>
      <c r="Q9" s="29"/>
      <c r="R9" s="29"/>
      <c r="S9" s="29"/>
      <c r="T9" s="22"/>
      <c r="W9" s="166" t="s">
        <v>106</v>
      </c>
      <c r="X9" s="167">
        <v>7.0411000000000001E-2</v>
      </c>
      <c r="Y9" s="142"/>
    </row>
    <row r="10" spans="1:25" ht="15" customHeight="1" x14ac:dyDescent="0.25">
      <c r="B10" s="79"/>
      <c r="C10" s="180" t="s">
        <v>32</v>
      </c>
      <c r="D10" s="187" t="s">
        <v>3</v>
      </c>
      <c r="E10" s="188">
        <v>5.5189000000000002E-2</v>
      </c>
      <c r="F10" s="29"/>
      <c r="G10" s="29"/>
      <c r="H10" s="29"/>
      <c r="I10" s="29"/>
      <c r="J10" s="29"/>
      <c r="K10" s="29"/>
      <c r="L10" s="29"/>
      <c r="M10" s="29"/>
      <c r="N10" s="29"/>
      <c r="O10" s="29"/>
      <c r="P10" s="29"/>
      <c r="Q10" s="29"/>
      <c r="R10" s="29"/>
      <c r="S10" s="29"/>
      <c r="T10" s="22"/>
      <c r="W10" s="166" t="s">
        <v>110</v>
      </c>
      <c r="X10" s="167">
        <v>6.867899999999999E-2</v>
      </c>
      <c r="Y10" s="142"/>
    </row>
    <row r="11" spans="1:25" ht="15" customHeight="1" x14ac:dyDescent="0.25">
      <c r="B11" s="79"/>
      <c r="C11" s="180" t="s">
        <v>36</v>
      </c>
      <c r="D11" s="187" t="s">
        <v>3</v>
      </c>
      <c r="E11" s="188">
        <v>4.8446999999999997E-2</v>
      </c>
      <c r="F11" s="29"/>
      <c r="G11" s="29"/>
      <c r="H11" s="29"/>
      <c r="I11" s="29"/>
      <c r="J11" s="29"/>
      <c r="K11" s="29"/>
      <c r="L11" s="29"/>
      <c r="M11" s="29"/>
      <c r="N11" s="29"/>
      <c r="O11" s="29"/>
      <c r="P11" s="29"/>
      <c r="Q11" s="29"/>
      <c r="R11" s="29"/>
      <c r="S11" s="29"/>
      <c r="T11" s="22"/>
      <c r="W11" s="166" t="s">
        <v>6</v>
      </c>
      <c r="X11" s="167">
        <v>6.1856000000000001E-2</v>
      </c>
      <c r="Y11" s="142"/>
    </row>
    <row r="12" spans="1:25" ht="15" customHeight="1" x14ac:dyDescent="0.25">
      <c r="B12" s="79"/>
      <c r="C12" s="180" t="s">
        <v>33</v>
      </c>
      <c r="D12" s="187" t="s">
        <v>106</v>
      </c>
      <c r="E12" s="188">
        <v>3.8267000000000002E-2</v>
      </c>
      <c r="F12" s="29"/>
      <c r="G12" s="29"/>
      <c r="H12" s="29"/>
      <c r="I12" s="29"/>
      <c r="J12" s="29"/>
      <c r="K12" s="29"/>
      <c r="L12" s="29"/>
      <c r="M12" s="29"/>
      <c r="N12" s="29"/>
      <c r="O12" s="29"/>
      <c r="P12" s="29"/>
      <c r="Q12" s="29"/>
      <c r="R12" s="29"/>
      <c r="S12" s="29"/>
      <c r="T12" s="22"/>
      <c r="W12" s="166" t="s">
        <v>4</v>
      </c>
      <c r="X12" s="167">
        <v>4.9957000000000001E-2</v>
      </c>
      <c r="Y12" s="142"/>
    </row>
    <row r="13" spans="1:25" ht="15" customHeight="1" x14ac:dyDescent="0.25">
      <c r="B13" s="79"/>
      <c r="C13" s="180" t="s">
        <v>28</v>
      </c>
      <c r="D13" s="187" t="s">
        <v>106</v>
      </c>
      <c r="E13" s="188">
        <v>3.2143999999999999E-2</v>
      </c>
      <c r="F13" s="29"/>
      <c r="G13" s="29"/>
      <c r="H13" s="29"/>
      <c r="I13" s="29"/>
      <c r="J13" s="29"/>
      <c r="K13" s="29"/>
      <c r="L13" s="29"/>
      <c r="M13" s="29"/>
      <c r="N13" s="29"/>
      <c r="O13" s="29"/>
      <c r="P13" s="29"/>
      <c r="Q13" s="29"/>
      <c r="R13" s="29"/>
      <c r="S13" s="29"/>
      <c r="T13" s="22"/>
      <c r="W13" s="166" t="s">
        <v>111</v>
      </c>
      <c r="X13" s="167">
        <v>3.9509999999999997E-2</v>
      </c>
      <c r="Y13" s="142"/>
    </row>
    <row r="14" spans="1:25" ht="15" customHeight="1" x14ac:dyDescent="0.25">
      <c r="B14" s="79"/>
      <c r="C14" s="180" t="s">
        <v>70</v>
      </c>
      <c r="D14" s="187" t="s">
        <v>12</v>
      </c>
      <c r="E14" s="188">
        <v>2.6277999999999999E-2</v>
      </c>
      <c r="F14" s="29"/>
      <c r="G14" s="29"/>
      <c r="H14" s="29"/>
      <c r="I14" s="29"/>
      <c r="J14" s="29"/>
      <c r="K14" s="29"/>
      <c r="L14" s="29"/>
      <c r="M14" s="29"/>
      <c r="N14" s="29"/>
      <c r="O14" s="29"/>
      <c r="P14" s="29"/>
      <c r="Q14" s="29"/>
      <c r="R14" s="29"/>
      <c r="S14" s="29"/>
      <c r="T14" s="22"/>
      <c r="W14" s="166" t="s">
        <v>16</v>
      </c>
      <c r="X14" s="167">
        <v>3.934E-2</v>
      </c>
      <c r="Y14" s="142"/>
    </row>
    <row r="15" spans="1:25" ht="15" customHeight="1" x14ac:dyDescent="0.25">
      <c r="B15" s="79"/>
      <c r="C15" s="180" t="s">
        <v>35</v>
      </c>
      <c r="D15" s="187" t="s">
        <v>3</v>
      </c>
      <c r="E15" s="188">
        <v>2.5509E-2</v>
      </c>
      <c r="F15" s="29"/>
      <c r="G15" s="29"/>
      <c r="H15" s="29"/>
      <c r="I15" s="29"/>
      <c r="J15" s="29"/>
      <c r="K15" s="29"/>
      <c r="L15" s="29"/>
      <c r="M15" s="29"/>
      <c r="N15" s="29"/>
      <c r="O15" s="29"/>
      <c r="P15" s="29"/>
      <c r="Q15" s="29"/>
      <c r="R15" s="29"/>
      <c r="S15" s="29"/>
      <c r="T15" s="22"/>
      <c r="W15" s="166" t="s">
        <v>85</v>
      </c>
      <c r="X15" s="167">
        <v>3.8579000000000002E-2</v>
      </c>
      <c r="Y15" s="142"/>
    </row>
    <row r="16" spans="1:25" ht="15" customHeight="1" x14ac:dyDescent="0.25">
      <c r="B16" s="79"/>
      <c r="C16" s="180" t="s">
        <v>74</v>
      </c>
      <c r="D16" s="187" t="s">
        <v>11</v>
      </c>
      <c r="E16" s="188">
        <v>2.0745E-2</v>
      </c>
      <c r="F16" s="29"/>
      <c r="G16" s="29"/>
      <c r="H16" s="29"/>
      <c r="I16" s="29"/>
      <c r="J16" s="29"/>
      <c r="K16" s="29"/>
      <c r="L16" s="29"/>
      <c r="M16" s="29"/>
      <c r="N16" s="29"/>
      <c r="O16" s="29"/>
      <c r="P16" s="29"/>
      <c r="Q16" s="29"/>
      <c r="R16" s="29"/>
      <c r="S16" s="29"/>
      <c r="T16" s="22"/>
      <c r="W16" s="166" t="s">
        <v>23</v>
      </c>
      <c r="X16" s="167">
        <v>3.0653999999999997E-2</v>
      </c>
      <c r="Y16" s="142"/>
    </row>
    <row r="17" spans="2:25" ht="15" customHeight="1" x14ac:dyDescent="0.25">
      <c r="B17" s="79"/>
      <c r="C17" s="180" t="s">
        <v>97</v>
      </c>
      <c r="D17" s="187" t="s">
        <v>118</v>
      </c>
      <c r="E17" s="188">
        <v>1.8391000000000001E-2</v>
      </c>
      <c r="F17" s="29"/>
      <c r="G17" s="29"/>
      <c r="H17" s="29"/>
      <c r="I17" s="29"/>
      <c r="J17" s="29"/>
      <c r="K17" s="29"/>
      <c r="L17" s="29"/>
      <c r="M17" s="29"/>
      <c r="N17" s="29"/>
      <c r="O17" s="29"/>
      <c r="P17" s="29"/>
      <c r="Q17" s="29"/>
      <c r="R17" s="29"/>
      <c r="S17" s="29"/>
      <c r="T17" s="22"/>
      <c r="W17" s="166" t="s">
        <v>109</v>
      </c>
      <c r="X17" s="167">
        <v>2.6588999999999998E-2</v>
      </c>
      <c r="Y17" s="142"/>
    </row>
    <row r="18" spans="2:25" ht="15" customHeight="1" x14ac:dyDescent="0.25">
      <c r="B18" s="79"/>
      <c r="C18" s="180" t="s">
        <v>95</v>
      </c>
      <c r="D18" s="187" t="s">
        <v>111</v>
      </c>
      <c r="E18" s="188">
        <v>1.7467E-2</v>
      </c>
      <c r="F18" s="29"/>
      <c r="G18" s="29"/>
      <c r="H18" s="29"/>
      <c r="I18" s="29"/>
      <c r="J18" s="29"/>
      <c r="K18" s="29"/>
      <c r="L18" s="29"/>
      <c r="M18" s="29"/>
      <c r="N18" s="29"/>
      <c r="O18" s="29"/>
      <c r="P18" s="29"/>
      <c r="Q18" s="29"/>
      <c r="R18" s="29"/>
      <c r="S18" s="29"/>
      <c r="T18" s="22"/>
      <c r="W18" s="166" t="s">
        <v>11</v>
      </c>
      <c r="X18" s="167">
        <v>2.6339999999999999E-2</v>
      </c>
      <c r="Y18" s="142"/>
    </row>
    <row r="19" spans="2:25" ht="15" customHeight="1" x14ac:dyDescent="0.25">
      <c r="B19" s="79"/>
      <c r="C19" s="180" t="s">
        <v>304</v>
      </c>
      <c r="D19" s="187" t="s">
        <v>26</v>
      </c>
      <c r="E19" s="188">
        <v>1.7021999999999999E-2</v>
      </c>
      <c r="F19" s="29"/>
      <c r="G19" s="29"/>
      <c r="H19" s="29"/>
      <c r="I19" s="29"/>
      <c r="J19" s="29"/>
      <c r="K19" s="29"/>
      <c r="L19" s="29"/>
      <c r="M19" s="29"/>
      <c r="N19" s="29"/>
      <c r="O19" s="29"/>
      <c r="P19" s="29"/>
      <c r="Q19" s="29"/>
      <c r="R19" s="29"/>
      <c r="S19" s="29"/>
      <c r="T19" s="22"/>
      <c r="W19" s="166" t="s">
        <v>12</v>
      </c>
      <c r="X19" s="167">
        <v>2.6277999999999999E-2</v>
      </c>
      <c r="Y19" s="142"/>
    </row>
    <row r="20" spans="2:25" ht="15" customHeight="1" x14ac:dyDescent="0.25">
      <c r="B20" s="79"/>
      <c r="C20" s="180" t="s">
        <v>328</v>
      </c>
      <c r="D20" s="187" t="s">
        <v>85</v>
      </c>
      <c r="E20" s="188">
        <v>1.6986999999999999E-2</v>
      </c>
      <c r="F20" s="29"/>
      <c r="G20" s="29"/>
      <c r="H20" s="29"/>
      <c r="I20" s="29"/>
      <c r="J20" s="29"/>
      <c r="K20" s="29"/>
      <c r="L20" s="29"/>
      <c r="M20" s="29"/>
      <c r="N20" s="29"/>
      <c r="O20" s="29"/>
      <c r="P20" s="29"/>
      <c r="Q20" s="29"/>
      <c r="R20" s="29"/>
      <c r="S20" s="29"/>
      <c r="T20" s="22"/>
      <c r="W20" s="166" t="s">
        <v>105</v>
      </c>
      <c r="X20" s="167">
        <v>2.5478000000000001E-2</v>
      </c>
      <c r="Y20" s="142"/>
    </row>
    <row r="21" spans="2:25" ht="15" customHeight="1" x14ac:dyDescent="0.25">
      <c r="B21" s="79"/>
      <c r="C21" s="180" t="s">
        <v>80</v>
      </c>
      <c r="D21" s="187" t="s">
        <v>4</v>
      </c>
      <c r="E21" s="188">
        <v>1.6951000000000001E-2</v>
      </c>
      <c r="F21" s="29"/>
      <c r="G21" s="29"/>
      <c r="H21" s="29"/>
      <c r="I21" s="29"/>
      <c r="J21" s="29"/>
      <c r="K21" s="29"/>
      <c r="L21" s="29"/>
      <c r="M21" s="29"/>
      <c r="N21" s="29"/>
      <c r="O21" s="29"/>
      <c r="P21" s="29"/>
      <c r="Q21" s="29"/>
      <c r="R21" s="29"/>
      <c r="S21" s="29"/>
      <c r="T21" s="22"/>
      <c r="W21" s="166" t="s">
        <v>107</v>
      </c>
      <c r="X21" s="167">
        <v>2.4382000000000001E-2</v>
      </c>
      <c r="Y21" s="142"/>
    </row>
    <row r="22" spans="2:25" ht="15" customHeight="1" x14ac:dyDescent="0.25">
      <c r="B22" s="79"/>
      <c r="C22" s="180" t="s">
        <v>143</v>
      </c>
      <c r="D22" s="187" t="s">
        <v>111</v>
      </c>
      <c r="E22" s="188">
        <v>1.6931000000000002E-2</v>
      </c>
      <c r="F22" s="29"/>
      <c r="G22" s="29"/>
      <c r="H22" s="29"/>
      <c r="I22" s="29"/>
      <c r="J22" s="29"/>
      <c r="K22" s="29"/>
      <c r="L22" s="29"/>
      <c r="M22" s="29"/>
      <c r="N22" s="29"/>
      <c r="O22" s="29"/>
      <c r="P22" s="29"/>
      <c r="Q22" s="29"/>
      <c r="R22" s="29"/>
      <c r="S22" s="29"/>
      <c r="T22" s="22"/>
      <c r="W22" s="166" t="s">
        <v>10</v>
      </c>
      <c r="X22" s="167">
        <v>2.3227999999999999E-2</v>
      </c>
      <c r="Y22" s="142"/>
    </row>
    <row r="23" spans="2:25" ht="15" customHeight="1" x14ac:dyDescent="0.25">
      <c r="B23" s="79"/>
      <c r="C23" s="71"/>
      <c r="D23" s="71"/>
      <c r="E23" s="72"/>
      <c r="F23" s="29"/>
      <c r="G23" s="29"/>
      <c r="H23" s="29"/>
      <c r="I23" s="29"/>
      <c r="J23" s="29"/>
      <c r="K23" s="29"/>
      <c r="L23" s="29"/>
      <c r="M23" s="29"/>
      <c r="N23" s="29"/>
      <c r="O23" s="29"/>
      <c r="P23" s="29"/>
      <c r="Q23" s="29"/>
      <c r="R23" s="29"/>
      <c r="S23" s="29"/>
      <c r="T23" s="22"/>
      <c r="W23" s="166" t="s">
        <v>82</v>
      </c>
      <c r="X23" s="167">
        <v>1.9692000000000001E-2</v>
      </c>
      <c r="Y23" s="142"/>
    </row>
    <row r="24" spans="2:25" ht="15" customHeight="1" x14ac:dyDescent="0.25">
      <c r="B24" s="79"/>
      <c r="C24" s="73" t="s">
        <v>55</v>
      </c>
      <c r="D24" s="74"/>
      <c r="E24" s="75">
        <f>SUM(E8:E22)</f>
        <v>0.49117100000000002</v>
      </c>
      <c r="F24" s="29"/>
      <c r="G24" s="29"/>
      <c r="H24" s="29"/>
      <c r="I24" s="29"/>
      <c r="J24" s="29"/>
      <c r="K24" s="29"/>
      <c r="L24" s="29"/>
      <c r="M24" s="29"/>
      <c r="N24" s="29"/>
      <c r="O24" s="29"/>
      <c r="P24" s="29"/>
      <c r="Q24" s="29"/>
      <c r="R24" s="29"/>
      <c r="S24" s="29"/>
      <c r="T24" s="22"/>
      <c r="W24" s="166" t="s">
        <v>118</v>
      </c>
      <c r="X24" s="167">
        <v>1.8391000000000001E-2</v>
      </c>
      <c r="Y24" s="142"/>
    </row>
    <row r="25" spans="2:25" ht="15" customHeight="1" x14ac:dyDescent="0.25">
      <c r="B25" s="79"/>
      <c r="F25" s="29"/>
      <c r="G25" s="29"/>
      <c r="H25" s="29"/>
      <c r="I25" s="29"/>
      <c r="J25" s="29"/>
      <c r="K25" s="29"/>
      <c r="L25" s="29"/>
      <c r="M25" s="29"/>
      <c r="N25" s="29"/>
      <c r="O25" s="29"/>
      <c r="P25" s="29"/>
      <c r="Q25" s="29"/>
      <c r="R25" s="29"/>
      <c r="S25" s="29"/>
      <c r="T25" s="22"/>
      <c r="W25" s="166" t="s">
        <v>26</v>
      </c>
      <c r="X25" s="167">
        <v>1.7021999999999999E-2</v>
      </c>
      <c r="Y25" s="142"/>
    </row>
    <row r="26" spans="2:25" ht="15" customHeight="1" x14ac:dyDescent="0.25">
      <c r="B26" s="79"/>
      <c r="F26" s="29"/>
      <c r="G26" s="29"/>
      <c r="H26" s="29"/>
      <c r="I26" s="29"/>
      <c r="J26" s="29"/>
      <c r="K26" s="29"/>
      <c r="L26" s="29"/>
      <c r="M26" s="29"/>
      <c r="N26" s="29"/>
      <c r="O26" s="29"/>
      <c r="P26" s="29"/>
      <c r="Q26" s="29"/>
      <c r="R26" s="29"/>
      <c r="S26" s="29"/>
      <c r="T26" s="22"/>
      <c r="W26" s="166" t="s">
        <v>116</v>
      </c>
      <c r="X26" s="167">
        <v>1.5528999999999999E-2</v>
      </c>
      <c r="Y26" s="142"/>
    </row>
    <row r="27" spans="2:25" ht="15" customHeight="1" x14ac:dyDescent="0.25">
      <c r="B27" s="79"/>
      <c r="F27" s="29"/>
      <c r="G27" s="29"/>
      <c r="H27" s="29"/>
      <c r="I27" s="29"/>
      <c r="J27" s="29"/>
      <c r="K27" s="29"/>
      <c r="L27" s="29"/>
      <c r="M27" s="29"/>
      <c r="N27" s="29"/>
      <c r="O27" s="29"/>
      <c r="P27" s="29"/>
      <c r="Q27" s="29"/>
      <c r="R27" s="29"/>
      <c r="S27" s="29"/>
      <c r="T27" s="22"/>
      <c r="W27" s="166" t="s">
        <v>132</v>
      </c>
      <c r="X27" s="167">
        <v>1.3346999999999999E-2</v>
      </c>
      <c r="Y27" s="142"/>
    </row>
    <row r="28" spans="2:25" ht="15" customHeight="1" x14ac:dyDescent="0.25">
      <c r="B28" s="79"/>
      <c r="F28" s="29"/>
      <c r="G28" s="29"/>
      <c r="H28" s="29"/>
      <c r="I28" s="29"/>
      <c r="J28" s="29"/>
      <c r="K28" s="29"/>
      <c r="L28" s="29"/>
      <c r="M28" s="29"/>
      <c r="N28" s="29"/>
      <c r="O28" s="29"/>
      <c r="P28" s="29"/>
      <c r="Q28" s="29"/>
      <c r="R28" s="29"/>
      <c r="S28" s="29"/>
      <c r="T28" s="22"/>
      <c r="W28" s="166" t="s">
        <v>112</v>
      </c>
      <c r="X28" s="167">
        <v>1.2586E-2</v>
      </c>
      <c r="Y28" s="142"/>
    </row>
    <row r="29" spans="2:25" ht="15" customHeight="1" x14ac:dyDescent="0.25">
      <c r="B29" s="79"/>
      <c r="F29" s="29"/>
      <c r="G29" s="29"/>
      <c r="H29" s="29"/>
      <c r="I29" s="29"/>
      <c r="J29" s="29"/>
      <c r="K29" s="29"/>
      <c r="L29" s="29"/>
      <c r="M29" s="29"/>
      <c r="N29" s="29"/>
      <c r="O29" s="29"/>
      <c r="P29" s="29"/>
      <c r="Q29" s="29"/>
      <c r="R29" s="29"/>
      <c r="S29" s="29"/>
      <c r="T29" s="22"/>
      <c r="W29" s="166" t="s">
        <v>117</v>
      </c>
      <c r="X29" s="167">
        <v>1.1908E-2</v>
      </c>
      <c r="Y29" s="142"/>
    </row>
    <row r="30" spans="2:25" ht="15" customHeight="1" x14ac:dyDescent="0.25">
      <c r="B30" s="79"/>
      <c r="F30" s="29"/>
      <c r="G30" s="29"/>
      <c r="H30" s="29"/>
      <c r="I30" s="29"/>
      <c r="J30" s="29"/>
      <c r="K30" s="29"/>
      <c r="L30" s="29"/>
      <c r="M30" s="29"/>
      <c r="N30" s="29"/>
      <c r="O30" s="29"/>
      <c r="P30" s="29"/>
      <c r="Q30" s="29"/>
      <c r="R30" s="29"/>
      <c r="S30" s="29"/>
      <c r="T30" s="22"/>
      <c r="W30" s="166" t="s">
        <v>83</v>
      </c>
      <c r="X30" s="167">
        <v>1.1537E-2</v>
      </c>
    </row>
    <row r="31" spans="2:25" ht="15" customHeight="1" x14ac:dyDescent="0.25">
      <c r="B31" s="79"/>
      <c r="F31" s="29"/>
      <c r="G31" s="29"/>
      <c r="H31" s="29"/>
      <c r="I31" s="29"/>
      <c r="J31" s="29"/>
      <c r="K31" s="29"/>
      <c r="L31" s="29"/>
      <c r="M31" s="29"/>
      <c r="N31" s="29"/>
      <c r="O31" s="29"/>
      <c r="P31" s="29"/>
      <c r="Q31" s="29"/>
      <c r="R31" s="29"/>
      <c r="S31" s="29"/>
      <c r="T31" s="22"/>
      <c r="W31" s="166" t="s">
        <v>13</v>
      </c>
      <c r="X31" s="167">
        <v>9.3380000000000008E-3</v>
      </c>
    </row>
    <row r="32" spans="2:25" ht="15" customHeight="1" x14ac:dyDescent="0.25">
      <c r="B32" s="79"/>
      <c r="F32" s="29"/>
      <c r="G32" s="29"/>
      <c r="H32" s="29"/>
      <c r="I32" s="29"/>
      <c r="J32" s="29"/>
      <c r="K32" s="29"/>
      <c r="L32" s="29"/>
      <c r="M32" s="29"/>
      <c r="N32" s="29"/>
      <c r="O32" s="29"/>
      <c r="P32" s="29"/>
      <c r="Q32" s="29"/>
      <c r="R32" s="29"/>
      <c r="S32" s="29"/>
      <c r="T32" s="22"/>
      <c r="W32" s="166" t="s">
        <v>123</v>
      </c>
      <c r="X32" s="167">
        <v>9.11E-3</v>
      </c>
    </row>
    <row r="33" spans="2:24" ht="15" customHeight="1" x14ac:dyDescent="0.25">
      <c r="B33" s="79"/>
      <c r="F33" s="29"/>
      <c r="G33" s="29"/>
      <c r="H33" s="29"/>
      <c r="I33" s="29"/>
      <c r="J33" s="29"/>
      <c r="K33" s="29"/>
      <c r="L33" s="29"/>
      <c r="M33" s="29"/>
      <c r="N33" s="29"/>
      <c r="O33" s="29"/>
      <c r="P33" s="29"/>
      <c r="Q33" s="29"/>
      <c r="R33" s="29"/>
      <c r="S33" s="29"/>
      <c r="T33" s="22"/>
      <c r="W33" s="166" t="s">
        <v>326</v>
      </c>
      <c r="X33" s="167">
        <v>8.2190000000000006E-3</v>
      </c>
    </row>
    <row r="34" spans="2:24" ht="15" customHeight="1" x14ac:dyDescent="0.25">
      <c r="B34" s="79"/>
      <c r="F34" s="29"/>
      <c r="G34" s="29"/>
      <c r="H34" s="29"/>
      <c r="I34" s="29"/>
      <c r="J34" s="29"/>
      <c r="K34" s="29"/>
      <c r="L34" s="29"/>
      <c r="M34" s="29"/>
      <c r="N34" s="29"/>
      <c r="O34" s="29"/>
      <c r="P34" s="29"/>
      <c r="Q34" s="29"/>
      <c r="R34" s="29"/>
      <c r="S34" s="29"/>
      <c r="T34" s="22"/>
      <c r="W34" s="166" t="s">
        <v>24</v>
      </c>
      <c r="X34" s="167">
        <v>2.872E-3</v>
      </c>
    </row>
    <row r="35" spans="2:24" ht="15" customHeight="1" x14ac:dyDescent="0.25">
      <c r="B35" s="79"/>
      <c r="F35" s="29"/>
      <c r="G35" s="29"/>
      <c r="H35" s="29"/>
      <c r="I35" s="29"/>
      <c r="J35" s="29"/>
      <c r="K35" s="29"/>
      <c r="L35" s="29"/>
      <c r="M35" s="29"/>
      <c r="N35" s="29"/>
      <c r="O35" s="29"/>
      <c r="P35" s="29"/>
      <c r="Q35" s="29"/>
      <c r="R35" s="29"/>
      <c r="S35" s="29"/>
      <c r="T35" s="22"/>
      <c r="W35" s="166" t="s">
        <v>115</v>
      </c>
      <c r="X35" s="167">
        <v>2.7060000000000001E-3</v>
      </c>
    </row>
    <row r="36" spans="2:24" ht="15" customHeight="1" x14ac:dyDescent="0.25">
      <c r="B36" s="79"/>
      <c r="F36" s="29"/>
      <c r="G36" s="29"/>
      <c r="H36" s="29"/>
      <c r="I36" s="29"/>
      <c r="J36" s="29"/>
      <c r="K36" s="29"/>
      <c r="L36" s="29"/>
      <c r="M36" s="29"/>
      <c r="N36" s="29"/>
      <c r="O36" s="29"/>
      <c r="P36" s="29"/>
      <c r="Q36" s="29"/>
      <c r="R36" s="29"/>
      <c r="S36" s="29"/>
      <c r="T36" s="22"/>
      <c r="W36" s="166" t="s">
        <v>24</v>
      </c>
      <c r="X36" s="167">
        <v>2.7239999999999999E-3</v>
      </c>
    </row>
    <row r="37" spans="2:24" ht="15" customHeight="1" x14ac:dyDescent="0.25">
      <c r="B37" s="79"/>
      <c r="F37" s="29"/>
      <c r="G37" s="29"/>
      <c r="H37" s="29"/>
      <c r="I37" s="29"/>
      <c r="J37" s="29"/>
      <c r="K37" s="29"/>
      <c r="L37" s="29"/>
      <c r="M37" s="29"/>
      <c r="N37" s="29"/>
      <c r="O37" s="29"/>
      <c r="P37" s="29"/>
      <c r="Q37" s="29"/>
      <c r="R37" s="29"/>
      <c r="S37" s="29"/>
      <c r="T37" s="22"/>
      <c r="W37" s="166"/>
      <c r="X37" s="167"/>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67"/>
    </row>
    <row r="39" spans="2:24" ht="15" customHeight="1" thickBot="1" x14ac:dyDescent="0.3"/>
    <row r="40" spans="2:24" ht="15" customHeight="1" x14ac:dyDescent="0.25">
      <c r="B40" s="302" t="s">
        <v>180</v>
      </c>
      <c r="C40" s="303"/>
      <c r="D40" s="303"/>
      <c r="E40" s="303"/>
      <c r="F40" s="303"/>
      <c r="G40" s="303"/>
      <c r="H40" s="303"/>
      <c r="I40" s="303"/>
      <c r="J40" s="303"/>
      <c r="K40" s="303"/>
      <c r="L40" s="303"/>
      <c r="M40" s="303"/>
      <c r="N40" s="303"/>
      <c r="O40" s="303"/>
      <c r="P40" s="303"/>
      <c r="Q40" s="303"/>
      <c r="R40" s="304"/>
    </row>
    <row r="41" spans="2:24" ht="15" customHeight="1" x14ac:dyDescent="0.25">
      <c r="B41" s="305"/>
      <c r="C41" s="306"/>
      <c r="D41" s="306"/>
      <c r="E41" s="306"/>
      <c r="F41" s="306"/>
      <c r="G41" s="306"/>
      <c r="H41" s="306"/>
      <c r="I41" s="306"/>
      <c r="J41" s="306"/>
      <c r="K41" s="306"/>
      <c r="L41" s="306"/>
      <c r="M41" s="306"/>
      <c r="N41" s="306"/>
      <c r="O41" s="306"/>
      <c r="P41" s="306"/>
      <c r="Q41" s="306"/>
      <c r="R41" s="307"/>
    </row>
    <row r="42" spans="2:24" ht="15" customHeight="1" x14ac:dyDescent="0.25">
      <c r="B42" s="305"/>
      <c r="C42" s="306"/>
      <c r="D42" s="306"/>
      <c r="E42" s="306"/>
      <c r="F42" s="306"/>
      <c r="G42" s="306"/>
      <c r="H42" s="306"/>
      <c r="I42" s="306"/>
      <c r="J42" s="306"/>
      <c r="K42" s="306"/>
      <c r="L42" s="306"/>
      <c r="M42" s="306"/>
      <c r="N42" s="306"/>
      <c r="O42" s="306"/>
      <c r="P42" s="306"/>
      <c r="Q42" s="306"/>
      <c r="R42" s="307"/>
    </row>
    <row r="43" spans="2:24" ht="15" customHeight="1" x14ac:dyDescent="0.25">
      <c r="B43" s="305"/>
      <c r="C43" s="306"/>
      <c r="D43" s="306"/>
      <c r="E43" s="306"/>
      <c r="F43" s="306"/>
      <c r="G43" s="306"/>
      <c r="H43" s="306"/>
      <c r="I43" s="306"/>
      <c r="J43" s="306"/>
      <c r="K43" s="306"/>
      <c r="L43" s="306"/>
      <c r="M43" s="306"/>
      <c r="N43" s="306"/>
      <c r="O43" s="306"/>
      <c r="P43" s="306"/>
      <c r="Q43" s="306"/>
      <c r="R43" s="307"/>
    </row>
    <row r="44" spans="2:24" ht="15" customHeight="1" x14ac:dyDescent="0.25">
      <c r="B44" s="305"/>
      <c r="C44" s="306"/>
      <c r="D44" s="306"/>
      <c r="E44" s="306"/>
      <c r="F44" s="306"/>
      <c r="G44" s="306"/>
      <c r="H44" s="306"/>
      <c r="I44" s="306"/>
      <c r="J44" s="306"/>
      <c r="K44" s="306"/>
      <c r="L44" s="306"/>
      <c r="M44" s="306"/>
      <c r="N44" s="306"/>
      <c r="O44" s="306"/>
      <c r="P44" s="306"/>
      <c r="Q44" s="306"/>
      <c r="R44" s="307"/>
    </row>
    <row r="45" spans="2:24" ht="15" customHeight="1" x14ac:dyDescent="0.25">
      <c r="B45" s="305"/>
      <c r="C45" s="306"/>
      <c r="D45" s="306"/>
      <c r="E45" s="306"/>
      <c r="F45" s="306"/>
      <c r="G45" s="306"/>
      <c r="H45" s="306"/>
      <c r="I45" s="306"/>
      <c r="J45" s="306"/>
      <c r="K45" s="306"/>
      <c r="L45" s="306"/>
      <c r="M45" s="306"/>
      <c r="N45" s="306"/>
      <c r="O45" s="306"/>
      <c r="P45" s="306"/>
      <c r="Q45" s="306"/>
      <c r="R45" s="307"/>
    </row>
    <row r="46" spans="2:24" ht="15" customHeight="1" thickBot="1" x14ac:dyDescent="0.3">
      <c r="B46" s="308"/>
      <c r="C46" s="309"/>
      <c r="D46" s="309"/>
      <c r="E46" s="309"/>
      <c r="F46" s="309"/>
      <c r="G46" s="309"/>
      <c r="H46" s="309"/>
      <c r="I46" s="309"/>
      <c r="J46" s="309"/>
      <c r="K46" s="309"/>
      <c r="L46" s="309"/>
      <c r="M46" s="309"/>
      <c r="N46" s="309"/>
      <c r="O46" s="309"/>
      <c r="P46" s="309"/>
      <c r="Q46" s="309"/>
      <c r="R46" s="310"/>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96" t="s">
        <v>160</v>
      </c>
      <c r="D3" s="296"/>
      <c r="E3" s="296"/>
      <c r="F3" s="296"/>
      <c r="G3" s="296"/>
      <c r="H3" s="296"/>
      <c r="I3" s="296"/>
      <c r="J3" s="296"/>
      <c r="K3" s="296"/>
      <c r="L3" s="296"/>
      <c r="M3" s="296"/>
      <c r="N3" s="296"/>
      <c r="O3" s="296"/>
      <c r="P3" s="296"/>
      <c r="Q3" s="20"/>
    </row>
    <row r="4" spans="2:27" ht="15.75" x14ac:dyDescent="0.25">
      <c r="B4" s="93"/>
      <c r="C4" s="67" t="s">
        <v>441</v>
      </c>
      <c r="D4" s="5"/>
      <c r="E4" s="5"/>
      <c r="F4" s="5"/>
      <c r="G4" s="5"/>
      <c r="H4" s="5"/>
      <c r="I4" s="5"/>
      <c r="J4" s="5"/>
      <c r="K4" s="5"/>
      <c r="L4" s="5"/>
      <c r="M4" s="5"/>
      <c r="N4" s="5"/>
      <c r="O4" s="5"/>
      <c r="P4" s="5"/>
      <c r="Q4" s="20"/>
    </row>
    <row r="5" spans="2:27" ht="20.25" x14ac:dyDescent="0.2">
      <c r="B5" s="93"/>
      <c r="C5" s="211" t="s">
        <v>440</v>
      </c>
      <c r="D5" s="313" t="s">
        <v>394</v>
      </c>
      <c r="E5" s="313"/>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0" t="s">
        <v>0</v>
      </c>
      <c r="D7" s="95" t="s">
        <v>1</v>
      </c>
      <c r="E7" s="117" t="s">
        <v>2</v>
      </c>
      <c r="F7" s="5"/>
      <c r="G7" s="5"/>
      <c r="H7" s="5"/>
      <c r="I7" s="5"/>
      <c r="J7" s="5"/>
      <c r="K7" s="5"/>
      <c r="L7" s="5"/>
      <c r="M7" s="5"/>
      <c r="N7" s="5"/>
      <c r="O7" s="5"/>
      <c r="P7" s="5"/>
      <c r="Q7" s="20"/>
      <c r="R7" s="12" t="s">
        <v>38</v>
      </c>
      <c r="S7" s="12" t="s">
        <v>161</v>
      </c>
      <c r="T7" s="164"/>
      <c r="U7" s="274"/>
    </row>
    <row r="8" spans="2:27" ht="15.75" x14ac:dyDescent="0.25">
      <c r="B8" s="93"/>
      <c r="C8" s="102"/>
      <c r="D8" s="38"/>
      <c r="E8" s="208"/>
      <c r="F8" s="5"/>
      <c r="G8" s="5"/>
      <c r="H8" s="5"/>
      <c r="I8" s="5"/>
      <c r="J8" s="5"/>
      <c r="K8" s="5"/>
      <c r="L8" s="5"/>
      <c r="M8" s="5"/>
      <c r="N8" s="5"/>
      <c r="O8" s="5"/>
      <c r="P8" s="5"/>
      <c r="Q8" s="20"/>
      <c r="R8" s="12" t="s">
        <v>39</v>
      </c>
      <c r="S8" s="13">
        <f>E9</f>
        <v>0.64411200000000002</v>
      </c>
      <c r="T8" s="164"/>
      <c r="U8" s="274"/>
      <c r="V8" s="56"/>
      <c r="W8" s="57"/>
      <c r="Z8" s="43"/>
      <c r="AA8" s="43"/>
    </row>
    <row r="9" spans="2:27" ht="15.75" x14ac:dyDescent="0.25">
      <c r="B9" s="93"/>
      <c r="C9" s="122" t="s">
        <v>39</v>
      </c>
      <c r="D9" s="119"/>
      <c r="E9" s="182">
        <v>0.64411200000000002</v>
      </c>
      <c r="F9" s="47"/>
      <c r="G9" s="5"/>
      <c r="H9" s="5"/>
      <c r="I9" s="5"/>
      <c r="J9" s="5"/>
      <c r="K9" s="5"/>
      <c r="L9" s="5"/>
      <c r="M9" s="5"/>
      <c r="N9" s="5"/>
      <c r="O9" s="5"/>
      <c r="P9" s="5"/>
      <c r="Q9" s="20"/>
      <c r="R9" s="12" t="s">
        <v>40</v>
      </c>
      <c r="S9" s="13">
        <f>100%-S8</f>
        <v>0.35588799999999998</v>
      </c>
      <c r="T9" s="164"/>
      <c r="U9" s="274"/>
      <c r="V9" s="56"/>
      <c r="W9" s="57"/>
      <c r="Z9" s="43"/>
      <c r="AA9" s="43"/>
    </row>
    <row r="10" spans="2:27" ht="15.75" x14ac:dyDescent="0.25">
      <c r="B10" s="93"/>
      <c r="C10" s="102"/>
      <c r="D10" s="38"/>
      <c r="E10" s="207"/>
      <c r="F10" s="47"/>
      <c r="G10" s="5"/>
      <c r="H10" s="5"/>
      <c r="I10" s="5"/>
      <c r="J10" s="5"/>
      <c r="K10" s="5"/>
      <c r="L10" s="5"/>
      <c r="M10" s="5"/>
      <c r="N10" s="5"/>
      <c r="O10" s="5"/>
      <c r="P10" s="5"/>
      <c r="Q10" s="20"/>
      <c r="R10" s="165"/>
      <c r="S10" s="164"/>
      <c r="T10" s="164"/>
      <c r="U10" s="274"/>
      <c r="V10" s="56"/>
      <c r="W10" s="57"/>
      <c r="Z10" s="43"/>
      <c r="AA10" s="43"/>
    </row>
    <row r="11" spans="2:27" ht="15.75" x14ac:dyDescent="0.25">
      <c r="B11" s="93"/>
      <c r="C11" s="122" t="s">
        <v>41</v>
      </c>
      <c r="D11" s="119"/>
      <c r="E11" s="182">
        <v>4.6228999999999999E-2</v>
      </c>
      <c r="F11" s="47"/>
      <c r="G11" s="5"/>
      <c r="H11" s="5"/>
      <c r="I11" s="5"/>
      <c r="J11" s="5"/>
      <c r="K11" s="5"/>
      <c r="L11" s="5"/>
      <c r="M11" s="5"/>
      <c r="N11" s="5"/>
      <c r="O11" s="5"/>
      <c r="P11" s="5"/>
      <c r="Q11" s="20"/>
      <c r="R11" s="14"/>
      <c r="S11" s="1"/>
      <c r="T11" s="1"/>
      <c r="U11" s="274"/>
      <c r="V11" s="56"/>
      <c r="W11" s="57"/>
    </row>
    <row r="12" spans="2:27" ht="15.75" x14ac:dyDescent="0.25">
      <c r="B12" s="93"/>
      <c r="C12" s="102"/>
      <c r="D12" s="38"/>
      <c r="E12" s="213"/>
      <c r="F12" s="47"/>
      <c r="G12" s="5"/>
      <c r="H12" s="5"/>
      <c r="I12" s="5"/>
      <c r="J12" s="5"/>
      <c r="K12" s="5"/>
      <c r="L12" s="5"/>
      <c r="M12" s="5"/>
      <c r="N12" s="5"/>
      <c r="O12" s="5"/>
      <c r="P12" s="5"/>
      <c r="Q12" s="20"/>
      <c r="R12" s="14"/>
      <c r="S12" s="1"/>
      <c r="T12" s="1"/>
      <c r="U12" s="274"/>
      <c r="V12" s="56"/>
      <c r="W12" s="57"/>
    </row>
    <row r="13" spans="2:27" ht="15.75" x14ac:dyDescent="0.25">
      <c r="B13" s="93"/>
      <c r="C13" s="122" t="s">
        <v>42</v>
      </c>
      <c r="D13" s="119"/>
      <c r="E13" s="182">
        <v>6.2699999999999995E-4</v>
      </c>
      <c r="F13" s="47"/>
      <c r="G13" s="5"/>
      <c r="H13" s="5"/>
      <c r="I13" s="5"/>
      <c r="J13" s="5"/>
      <c r="K13" s="5"/>
      <c r="L13" s="5"/>
      <c r="M13" s="5"/>
      <c r="N13" s="5"/>
      <c r="O13" s="5"/>
      <c r="P13" s="5"/>
      <c r="Q13" s="20"/>
      <c r="R13" s="275"/>
      <c r="S13" s="274"/>
      <c r="T13" s="274"/>
      <c r="U13" s="274"/>
      <c r="V13" s="56"/>
      <c r="W13" s="57"/>
    </row>
    <row r="14" spans="2:27" ht="15.75" x14ac:dyDescent="0.25">
      <c r="B14" s="93"/>
      <c r="C14" s="102"/>
      <c r="D14" s="38"/>
      <c r="E14" s="213"/>
      <c r="F14" s="47"/>
      <c r="G14" s="5"/>
      <c r="H14" s="5"/>
      <c r="I14" s="5"/>
      <c r="J14" s="5"/>
      <c r="K14" s="5"/>
      <c r="L14" s="5"/>
      <c r="M14" s="5"/>
      <c r="N14" s="5"/>
      <c r="O14" s="5"/>
      <c r="P14" s="5"/>
      <c r="Q14" s="20"/>
      <c r="R14" s="275"/>
      <c r="S14" s="274"/>
      <c r="T14" s="274"/>
      <c r="U14" s="274"/>
      <c r="V14" s="56"/>
      <c r="W14" s="57"/>
    </row>
    <row r="15" spans="2:27" ht="15.75" x14ac:dyDescent="0.25">
      <c r="B15" s="93"/>
      <c r="C15" s="122" t="s">
        <v>350</v>
      </c>
      <c r="D15" s="119"/>
      <c r="E15" s="182">
        <v>2.1940000000000002E-3</v>
      </c>
      <c r="F15" s="47"/>
      <c r="G15" s="5"/>
      <c r="H15" s="5"/>
      <c r="I15" s="5"/>
      <c r="J15" s="5"/>
      <c r="K15" s="5"/>
      <c r="L15" s="5"/>
      <c r="M15" s="5"/>
      <c r="N15" s="5"/>
      <c r="O15" s="5"/>
      <c r="P15" s="5"/>
      <c r="Q15" s="20"/>
      <c r="R15" s="275"/>
      <c r="S15" s="274"/>
      <c r="T15" s="274"/>
      <c r="U15" s="274"/>
      <c r="V15" s="56"/>
      <c r="W15" s="57"/>
    </row>
    <row r="16" spans="2:27" ht="15.75" x14ac:dyDescent="0.25">
      <c r="B16" s="93"/>
      <c r="C16" s="102"/>
      <c r="D16" s="38"/>
      <c r="E16" s="213"/>
      <c r="F16" s="47"/>
      <c r="G16" s="5"/>
      <c r="H16" s="5"/>
      <c r="I16" s="5"/>
      <c r="J16" s="5"/>
      <c r="K16" s="5"/>
      <c r="L16" s="5"/>
      <c r="M16" s="5"/>
      <c r="N16" s="5"/>
      <c r="O16" s="5"/>
      <c r="P16" s="5"/>
      <c r="Q16" s="20"/>
      <c r="R16" s="49"/>
      <c r="V16" s="56"/>
      <c r="W16" s="57"/>
    </row>
    <row r="17" spans="1:27" ht="15.75" x14ac:dyDescent="0.25">
      <c r="B17" s="93"/>
      <c r="C17" s="122" t="s">
        <v>300</v>
      </c>
      <c r="D17" s="119"/>
      <c r="E17" s="182">
        <v>5.3619999999999996E-3</v>
      </c>
      <c r="F17" s="47"/>
      <c r="G17" s="29"/>
      <c r="H17" s="29"/>
      <c r="I17" s="29"/>
      <c r="J17" s="29"/>
      <c r="K17" s="29"/>
      <c r="L17" s="29"/>
      <c r="M17" s="29"/>
      <c r="N17" s="29"/>
      <c r="O17" s="29"/>
      <c r="P17" s="29"/>
      <c r="Q17" s="20"/>
      <c r="R17" s="49"/>
    </row>
    <row r="18" spans="1:27" ht="15.75" x14ac:dyDescent="0.25">
      <c r="B18" s="93"/>
      <c r="C18" s="102" t="s">
        <v>215</v>
      </c>
      <c r="D18" s="38"/>
      <c r="E18" s="213">
        <v>0.12465</v>
      </c>
      <c r="F18" s="5"/>
      <c r="G18" s="29"/>
      <c r="H18" s="29"/>
      <c r="I18" s="29"/>
      <c r="J18" s="29"/>
      <c r="K18" s="29"/>
      <c r="L18" s="29"/>
      <c r="M18" s="29"/>
      <c r="N18" s="29"/>
      <c r="O18" s="29"/>
      <c r="P18" s="29"/>
      <c r="Q18" s="20"/>
      <c r="R18" s="49"/>
    </row>
    <row r="19" spans="1:27" x14ac:dyDescent="0.2">
      <c r="B19" s="93"/>
      <c r="C19" s="102" t="s">
        <v>173</v>
      </c>
      <c r="D19" s="38"/>
      <c r="E19" s="213">
        <v>7.9982999999999999E-2</v>
      </c>
      <c r="F19" s="141"/>
      <c r="G19" s="5"/>
      <c r="H19" s="5"/>
      <c r="I19" s="5"/>
      <c r="J19" s="5"/>
      <c r="K19" s="5"/>
      <c r="L19" s="5"/>
      <c r="M19" s="5"/>
      <c r="N19" s="5"/>
      <c r="O19" s="5"/>
      <c r="P19" s="5"/>
      <c r="Q19" s="20"/>
      <c r="R19" s="49"/>
    </row>
    <row r="20" spans="1:27" x14ac:dyDescent="0.2">
      <c r="B20" s="93"/>
      <c r="C20" s="102" t="s">
        <v>174</v>
      </c>
      <c r="D20" s="38"/>
      <c r="E20" s="213">
        <v>2.9034999999999998E-2</v>
      </c>
      <c r="F20" s="5"/>
      <c r="G20" s="5"/>
      <c r="H20" s="5"/>
      <c r="I20" s="5"/>
      <c r="J20" s="5"/>
      <c r="K20" s="5"/>
      <c r="L20" s="5"/>
      <c r="M20" s="5"/>
      <c r="N20" s="5"/>
      <c r="O20" s="5"/>
      <c r="P20" s="5"/>
      <c r="Q20" s="20"/>
      <c r="R20" s="49"/>
    </row>
    <row r="21" spans="1:27" x14ac:dyDescent="0.2">
      <c r="B21" s="93"/>
      <c r="C21" s="102" t="s">
        <v>368</v>
      </c>
      <c r="D21" s="38"/>
      <c r="E21" s="213">
        <v>6.3200000000000001E-3</v>
      </c>
      <c r="F21" s="5"/>
      <c r="G21" s="5"/>
      <c r="H21" s="5"/>
      <c r="I21" s="5"/>
      <c r="J21" s="5"/>
      <c r="K21" s="5"/>
      <c r="L21" s="5"/>
      <c r="M21" s="5"/>
      <c r="N21" s="5"/>
      <c r="O21" s="5"/>
      <c r="P21" s="5"/>
      <c r="Q21" s="20"/>
      <c r="R21" s="49"/>
    </row>
    <row r="22" spans="1:27" ht="15.75" x14ac:dyDescent="0.2">
      <c r="B22" s="93"/>
      <c r="C22" s="122" t="s">
        <v>214</v>
      </c>
      <c r="D22" s="119"/>
      <c r="E22" s="182">
        <v>0.23998800000000001</v>
      </c>
      <c r="F22" s="5"/>
      <c r="G22" s="5"/>
      <c r="H22" s="5"/>
      <c r="I22" s="5"/>
      <c r="J22" s="5"/>
      <c r="K22" s="5"/>
      <c r="L22" s="5"/>
      <c r="M22" s="5"/>
      <c r="N22" s="5"/>
      <c r="O22" s="5"/>
      <c r="P22" s="5"/>
      <c r="Q22" s="20"/>
      <c r="R22" s="49"/>
    </row>
    <row r="23" spans="1:27" x14ac:dyDescent="0.2">
      <c r="B23" s="93"/>
      <c r="C23" s="102"/>
      <c r="D23" s="38"/>
      <c r="E23" s="207"/>
      <c r="F23" s="5"/>
      <c r="G23" s="5"/>
      <c r="H23" s="5"/>
      <c r="I23" s="5"/>
      <c r="J23" s="5"/>
      <c r="K23" s="5"/>
      <c r="L23" s="5"/>
      <c r="M23" s="5"/>
      <c r="N23" s="5"/>
      <c r="O23" s="5"/>
      <c r="P23" s="5"/>
      <c r="Q23" s="20"/>
      <c r="R23" s="49"/>
    </row>
    <row r="24" spans="1:27" ht="15.75" x14ac:dyDescent="0.2">
      <c r="B24" s="93"/>
      <c r="C24" s="122" t="s">
        <v>351</v>
      </c>
      <c r="D24" s="119"/>
      <c r="E24" s="182">
        <v>6.0879999999999997E-3</v>
      </c>
      <c r="F24" s="5"/>
      <c r="G24" s="5"/>
      <c r="H24" s="5"/>
      <c r="I24" s="5"/>
      <c r="J24" s="5"/>
      <c r="K24" s="5"/>
      <c r="L24" s="5"/>
      <c r="M24" s="5"/>
      <c r="N24" s="5"/>
      <c r="O24" s="5"/>
      <c r="P24" s="5"/>
      <c r="Q24" s="20"/>
      <c r="R24" s="49"/>
    </row>
    <row r="25" spans="1:27" x14ac:dyDescent="0.2">
      <c r="B25" s="93"/>
      <c r="C25" s="102"/>
      <c r="D25" s="38"/>
      <c r="E25" s="207"/>
      <c r="F25" s="5"/>
      <c r="G25" s="5"/>
      <c r="H25" s="5"/>
      <c r="I25" s="5"/>
      <c r="J25" s="5"/>
      <c r="K25" s="5"/>
      <c r="L25" s="5"/>
      <c r="M25" s="5"/>
      <c r="N25" s="5"/>
      <c r="O25" s="5"/>
      <c r="P25" s="5"/>
      <c r="Q25" s="20"/>
      <c r="R25" s="49"/>
    </row>
    <row r="26" spans="1:27" ht="15.75" x14ac:dyDescent="0.2">
      <c r="B26" s="93"/>
      <c r="C26" s="122" t="s">
        <v>20</v>
      </c>
      <c r="D26" s="119"/>
      <c r="E26" s="182">
        <v>5.5400000000000005E-2</v>
      </c>
      <c r="F26" s="5"/>
      <c r="G26" s="5"/>
      <c r="H26" s="5"/>
      <c r="I26" s="5"/>
      <c r="J26" s="5"/>
      <c r="K26" s="5"/>
      <c r="L26" s="5"/>
      <c r="M26" s="5"/>
      <c r="N26" s="5"/>
      <c r="O26" s="5"/>
      <c r="P26" s="5"/>
      <c r="Q26" s="20"/>
      <c r="R26" s="49"/>
    </row>
    <row r="27" spans="1:27" x14ac:dyDescent="0.2">
      <c r="B27" s="93"/>
      <c r="C27" s="102"/>
      <c r="D27" s="38"/>
      <c r="E27" s="207"/>
      <c r="F27" s="5"/>
      <c r="G27" s="5"/>
      <c r="H27" s="5"/>
      <c r="I27" s="5"/>
      <c r="J27" s="5"/>
      <c r="K27" s="5"/>
      <c r="L27" s="5"/>
      <c r="M27" s="5"/>
      <c r="N27" s="5"/>
      <c r="O27" s="5"/>
      <c r="P27" s="5"/>
      <c r="Q27" s="20"/>
      <c r="R27" s="49"/>
    </row>
    <row r="28" spans="1:27" ht="15.75" x14ac:dyDescent="0.2">
      <c r="B28" s="93"/>
      <c r="C28" s="204" t="s">
        <v>21</v>
      </c>
      <c r="D28" s="214"/>
      <c r="E28" s="209">
        <f>SUM(E11,E13,E15,E22,E26,E9,E17,E24)</f>
        <v>1</v>
      </c>
      <c r="F28" s="141"/>
      <c r="G28" s="5"/>
      <c r="H28" s="5"/>
      <c r="I28" s="5"/>
      <c r="J28" s="5"/>
      <c r="K28" s="5"/>
      <c r="L28" s="5"/>
      <c r="M28" s="5"/>
      <c r="N28" s="5"/>
      <c r="O28" s="5"/>
      <c r="P28" s="5"/>
      <c r="Q28" s="20"/>
      <c r="R28" s="49"/>
    </row>
    <row r="29" spans="1:27" x14ac:dyDescent="0.2">
      <c r="B29" s="93"/>
      <c r="F29" s="5"/>
      <c r="G29" s="5"/>
      <c r="H29" s="5"/>
      <c r="I29" s="5"/>
      <c r="J29" s="5"/>
      <c r="K29" s="5"/>
      <c r="L29" s="5"/>
      <c r="M29" s="5"/>
      <c r="N29" s="5"/>
      <c r="O29" s="5"/>
      <c r="P29" s="5"/>
      <c r="Q29" s="20"/>
      <c r="R29" s="49"/>
    </row>
    <row r="30" spans="1:27" x14ac:dyDescent="0.2">
      <c r="B30" s="93"/>
      <c r="F30" s="5"/>
      <c r="G30" s="5"/>
      <c r="H30" s="5"/>
      <c r="I30" s="5"/>
      <c r="J30" s="5"/>
      <c r="K30" s="5"/>
      <c r="L30" s="5"/>
      <c r="M30" s="5"/>
      <c r="N30" s="5"/>
      <c r="O30" s="5"/>
      <c r="P30" s="5"/>
      <c r="Q30" s="20"/>
      <c r="R30" s="49"/>
    </row>
    <row r="31" spans="1:27" ht="15.75" thickBot="1" x14ac:dyDescent="0.25">
      <c r="A31" s="5"/>
      <c r="B31" s="96"/>
      <c r="C31" s="45"/>
      <c r="D31" s="45"/>
      <c r="E31" s="45"/>
      <c r="F31" s="45"/>
      <c r="G31" s="45"/>
      <c r="H31" s="45"/>
      <c r="I31" s="45"/>
      <c r="J31" s="45"/>
      <c r="K31" s="45"/>
      <c r="L31" s="45"/>
      <c r="M31" s="45"/>
      <c r="N31" s="45"/>
      <c r="O31" s="45"/>
      <c r="P31" s="45"/>
      <c r="Q31" s="116"/>
      <c r="R31" s="50"/>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0"/>
      <c r="S32" s="5"/>
      <c r="T32" s="5"/>
      <c r="U32" s="5"/>
      <c r="V32" s="5"/>
      <c r="W32" s="5"/>
      <c r="X32" s="5"/>
      <c r="Y32" s="5"/>
      <c r="Z32" s="5"/>
      <c r="AA32" s="5"/>
    </row>
    <row r="33" spans="1:27" ht="15" customHeight="1" x14ac:dyDescent="0.2">
      <c r="A33" s="5"/>
      <c r="B33" s="302" t="s">
        <v>180</v>
      </c>
      <c r="C33" s="303"/>
      <c r="D33" s="303"/>
      <c r="E33" s="303"/>
      <c r="F33" s="303"/>
      <c r="G33" s="303"/>
      <c r="H33" s="303"/>
      <c r="I33" s="303"/>
      <c r="J33" s="303"/>
      <c r="K33" s="303"/>
      <c r="L33" s="303"/>
      <c r="M33" s="303"/>
      <c r="N33" s="303"/>
      <c r="O33" s="303"/>
      <c r="P33" s="303"/>
      <c r="Q33" s="303"/>
      <c r="R33" s="304"/>
      <c r="S33" s="5"/>
      <c r="T33" s="5"/>
      <c r="U33" s="5"/>
      <c r="V33" s="5"/>
      <c r="W33" s="5"/>
      <c r="X33" s="5"/>
      <c r="Y33" s="5"/>
      <c r="Z33" s="5"/>
      <c r="AA33" s="5"/>
    </row>
    <row r="34" spans="1:27" x14ac:dyDescent="0.2">
      <c r="A34" s="5"/>
      <c r="B34" s="305"/>
      <c r="C34" s="306"/>
      <c r="D34" s="306"/>
      <c r="E34" s="306"/>
      <c r="F34" s="306"/>
      <c r="G34" s="306"/>
      <c r="H34" s="306"/>
      <c r="I34" s="306"/>
      <c r="J34" s="306"/>
      <c r="K34" s="306"/>
      <c r="L34" s="306"/>
      <c r="M34" s="306"/>
      <c r="N34" s="306"/>
      <c r="O34" s="306"/>
      <c r="P34" s="306"/>
      <c r="Q34" s="306"/>
      <c r="R34" s="307"/>
      <c r="S34" s="5"/>
      <c r="T34" s="5"/>
      <c r="U34" s="5"/>
      <c r="V34" s="5"/>
      <c r="W34" s="5"/>
      <c r="X34" s="5"/>
      <c r="Y34" s="5"/>
      <c r="Z34" s="5"/>
      <c r="AA34" s="5"/>
    </row>
    <row r="35" spans="1:27" x14ac:dyDescent="0.2">
      <c r="A35" s="5"/>
      <c r="B35" s="305"/>
      <c r="C35" s="306"/>
      <c r="D35" s="306"/>
      <c r="E35" s="306"/>
      <c r="F35" s="306"/>
      <c r="G35" s="306"/>
      <c r="H35" s="306"/>
      <c r="I35" s="306"/>
      <c r="J35" s="306"/>
      <c r="K35" s="306"/>
      <c r="L35" s="306"/>
      <c r="M35" s="306"/>
      <c r="N35" s="306"/>
      <c r="O35" s="306"/>
      <c r="P35" s="306"/>
      <c r="Q35" s="306"/>
      <c r="R35" s="307"/>
      <c r="S35" s="5"/>
      <c r="T35" s="5"/>
      <c r="U35" s="5"/>
      <c r="V35" s="5"/>
      <c r="W35" s="5"/>
      <c r="X35" s="5"/>
      <c r="Y35" s="5"/>
      <c r="Z35" s="5"/>
      <c r="AA35" s="5"/>
    </row>
    <row r="36" spans="1:27" x14ac:dyDescent="0.2">
      <c r="A36" s="5"/>
      <c r="B36" s="305"/>
      <c r="C36" s="306"/>
      <c r="D36" s="306"/>
      <c r="E36" s="306"/>
      <c r="F36" s="306"/>
      <c r="G36" s="306"/>
      <c r="H36" s="306"/>
      <c r="I36" s="306"/>
      <c r="J36" s="306"/>
      <c r="K36" s="306"/>
      <c r="L36" s="306"/>
      <c r="M36" s="306"/>
      <c r="N36" s="306"/>
      <c r="O36" s="306"/>
      <c r="P36" s="306"/>
      <c r="Q36" s="306"/>
      <c r="R36" s="307"/>
      <c r="S36" s="5"/>
      <c r="T36" s="5"/>
      <c r="U36" s="5"/>
      <c r="V36" s="5"/>
      <c r="W36" s="5"/>
      <c r="X36" s="5"/>
      <c r="Y36" s="5"/>
      <c r="Z36" s="5"/>
      <c r="AA36" s="5"/>
    </row>
    <row r="37" spans="1:27" x14ac:dyDescent="0.2">
      <c r="A37" s="5"/>
      <c r="B37" s="305"/>
      <c r="C37" s="306"/>
      <c r="D37" s="306"/>
      <c r="E37" s="306"/>
      <c r="F37" s="306"/>
      <c r="G37" s="306"/>
      <c r="H37" s="306"/>
      <c r="I37" s="306"/>
      <c r="J37" s="306"/>
      <c r="K37" s="306"/>
      <c r="L37" s="306"/>
      <c r="M37" s="306"/>
      <c r="N37" s="306"/>
      <c r="O37" s="306"/>
      <c r="P37" s="306"/>
      <c r="Q37" s="306"/>
      <c r="R37" s="307"/>
      <c r="S37" s="5"/>
      <c r="T37" s="5"/>
      <c r="U37" s="5"/>
      <c r="V37" s="5"/>
      <c r="W37" s="5"/>
      <c r="X37" s="5"/>
      <c r="Y37" s="5"/>
      <c r="Z37" s="5"/>
      <c r="AA37" s="5"/>
    </row>
    <row r="38" spans="1:27" x14ac:dyDescent="0.2">
      <c r="A38" s="5"/>
      <c r="B38" s="305"/>
      <c r="C38" s="306"/>
      <c r="D38" s="306"/>
      <c r="E38" s="306"/>
      <c r="F38" s="306"/>
      <c r="G38" s="306"/>
      <c r="H38" s="306"/>
      <c r="I38" s="306"/>
      <c r="J38" s="306"/>
      <c r="K38" s="306"/>
      <c r="L38" s="306"/>
      <c r="M38" s="306"/>
      <c r="N38" s="306"/>
      <c r="O38" s="306"/>
      <c r="P38" s="306"/>
      <c r="Q38" s="306"/>
      <c r="R38" s="307"/>
      <c r="S38" s="5"/>
      <c r="T38" s="5"/>
      <c r="U38" s="5"/>
      <c r="V38" s="5"/>
      <c r="W38" s="5"/>
      <c r="X38" s="5"/>
      <c r="Y38" s="5"/>
      <c r="Z38" s="5"/>
      <c r="AA38" s="5"/>
    </row>
    <row r="39" spans="1:27" ht="34.5" customHeight="1" thickBot="1" x14ac:dyDescent="0.25">
      <c r="A39" s="5"/>
      <c r="B39" s="308"/>
      <c r="C39" s="309"/>
      <c r="D39" s="309"/>
      <c r="E39" s="309"/>
      <c r="F39" s="309"/>
      <c r="G39" s="309"/>
      <c r="H39" s="309"/>
      <c r="I39" s="309"/>
      <c r="J39" s="309"/>
      <c r="K39" s="309"/>
      <c r="L39" s="309"/>
      <c r="M39" s="309"/>
      <c r="N39" s="309"/>
      <c r="O39" s="309"/>
      <c r="P39" s="309"/>
      <c r="Q39" s="309"/>
      <c r="R39" s="31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0"/>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0"/>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0"/>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0"/>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49"/>
    </row>
    <row r="103" spans="1:27" x14ac:dyDescent="0.2">
      <c r="B103" s="5"/>
      <c r="C103" s="5"/>
      <c r="D103" s="5"/>
      <c r="E103" s="5"/>
      <c r="F103" s="5"/>
      <c r="G103" s="5"/>
      <c r="H103" s="5"/>
      <c r="I103" s="5"/>
      <c r="J103" s="5"/>
      <c r="K103" s="5"/>
      <c r="L103" s="5"/>
      <c r="M103" s="5"/>
      <c r="N103" s="5"/>
      <c r="O103" s="5"/>
      <c r="P103" s="5"/>
      <c r="Q103" s="5"/>
      <c r="R103" s="49"/>
    </row>
    <row r="104" spans="1:27" x14ac:dyDescent="0.2">
      <c r="B104" s="5"/>
      <c r="C104" s="5"/>
      <c r="D104" s="5"/>
      <c r="E104" s="5"/>
      <c r="F104" s="5"/>
      <c r="G104" s="5"/>
      <c r="H104" s="5"/>
      <c r="I104" s="5"/>
      <c r="J104" s="5"/>
      <c r="K104" s="5"/>
      <c r="L104" s="5"/>
      <c r="M104" s="5"/>
      <c r="N104" s="5"/>
      <c r="O104" s="5"/>
      <c r="P104" s="5"/>
      <c r="Q104" s="5"/>
      <c r="R104" s="49"/>
    </row>
    <row r="105" spans="1:27" x14ac:dyDescent="0.2">
      <c r="B105" s="5"/>
      <c r="C105" s="5"/>
      <c r="D105" s="5"/>
      <c r="E105" s="5"/>
      <c r="F105" s="5"/>
      <c r="G105" s="5"/>
      <c r="H105" s="5"/>
      <c r="I105" s="5"/>
      <c r="J105" s="5"/>
      <c r="K105" s="5"/>
      <c r="L105" s="5"/>
      <c r="M105" s="5"/>
      <c r="N105" s="5"/>
      <c r="O105" s="5"/>
      <c r="P105" s="5"/>
      <c r="Q105" s="5"/>
      <c r="R105" s="49"/>
    </row>
    <row r="106" spans="1:27" x14ac:dyDescent="0.2">
      <c r="R106" s="49"/>
    </row>
    <row r="107" spans="1:27" x14ac:dyDescent="0.2">
      <c r="R107" s="49"/>
    </row>
    <row r="108" spans="1:27" x14ac:dyDescent="0.2">
      <c r="R108" s="49"/>
    </row>
    <row r="109" spans="1:27" x14ac:dyDescent="0.2">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row r="1490" spans="18:18" x14ac:dyDescent="0.2">
      <c r="R1490" s="49"/>
    </row>
    <row r="1491" spans="18:18" x14ac:dyDescent="0.2">
      <c r="R1491" s="49"/>
    </row>
    <row r="1492" spans="18:18" x14ac:dyDescent="0.2">
      <c r="R1492" s="49"/>
    </row>
    <row r="1493" spans="18:18" x14ac:dyDescent="0.2">
      <c r="R1493" s="49"/>
    </row>
  </sheetData>
  <sortState ref="C18:E21">
    <sortCondition descending="1" ref="E18"/>
  </sortState>
  <mergeCells count="3">
    <mergeCell ref="C3:P3"/>
    <mergeCell ref="D5:E5"/>
    <mergeCell ref="B33:R39"/>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311" t="s">
        <v>159</v>
      </c>
      <c r="D3" s="312"/>
      <c r="E3" s="312"/>
      <c r="F3" s="312"/>
      <c r="G3" s="312"/>
      <c r="H3" s="312"/>
      <c r="I3" s="312"/>
      <c r="J3" s="312"/>
      <c r="K3" s="312"/>
      <c r="L3" s="312"/>
      <c r="M3" s="312"/>
      <c r="N3" s="312"/>
      <c r="O3" s="312"/>
      <c r="P3" s="312"/>
      <c r="Q3" s="312"/>
      <c r="R3" s="312"/>
      <c r="S3" s="312"/>
      <c r="T3" s="25"/>
    </row>
    <row r="4" spans="1:25" ht="15.75" customHeight="1" x14ac:dyDescent="0.25">
      <c r="B4" s="64"/>
      <c r="C4" s="67" t="s">
        <v>441</v>
      </c>
      <c r="D4" s="29"/>
      <c r="E4" s="29"/>
      <c r="F4" s="29"/>
      <c r="G4" s="29"/>
      <c r="H4" s="29"/>
      <c r="I4" s="29"/>
      <c r="J4" s="29"/>
      <c r="K4" s="29"/>
      <c r="L4" s="29"/>
      <c r="M4" s="29"/>
      <c r="N4" s="29"/>
      <c r="O4" s="29"/>
      <c r="P4" s="29"/>
      <c r="Q4" s="29"/>
      <c r="R4" s="29"/>
      <c r="S4" s="29"/>
      <c r="T4" s="25"/>
    </row>
    <row r="5" spans="1:25" ht="18" customHeight="1" x14ac:dyDescent="0.25">
      <c r="B5" s="64"/>
      <c r="C5" s="211" t="s">
        <v>440</v>
      </c>
      <c r="D5" s="313" t="s">
        <v>395</v>
      </c>
      <c r="E5" s="313"/>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0"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79" t="s">
        <v>32</v>
      </c>
      <c r="D8" s="180" t="s">
        <v>3</v>
      </c>
      <c r="E8" s="121">
        <v>3.7595000000000003E-2</v>
      </c>
      <c r="F8" s="29"/>
      <c r="G8" s="29"/>
      <c r="H8" s="29"/>
      <c r="I8" s="29"/>
      <c r="J8" s="29"/>
      <c r="K8" s="29"/>
      <c r="L8" s="29"/>
      <c r="M8" s="29"/>
      <c r="N8" s="29"/>
      <c r="O8" s="29"/>
      <c r="P8" s="29"/>
      <c r="Q8" s="29"/>
      <c r="R8" s="29"/>
      <c r="S8" s="29"/>
      <c r="T8" s="25"/>
      <c r="W8" s="282" t="s">
        <v>3</v>
      </c>
      <c r="X8" s="281">
        <v>0.10734800000000001</v>
      </c>
      <c r="Y8" s="39"/>
    </row>
    <row r="9" spans="1:25" ht="15.75" customHeight="1" x14ac:dyDescent="0.25">
      <c r="B9" s="64"/>
      <c r="C9" s="179" t="s">
        <v>29</v>
      </c>
      <c r="D9" s="180" t="s">
        <v>3</v>
      </c>
      <c r="E9" s="121">
        <v>2.8267E-2</v>
      </c>
      <c r="F9" s="29"/>
      <c r="G9" s="29"/>
      <c r="H9" s="29"/>
      <c r="I9" s="29"/>
      <c r="J9" s="29"/>
      <c r="K9" s="29"/>
      <c r="L9" s="29"/>
      <c r="M9" s="29"/>
      <c r="N9" s="29"/>
      <c r="O9" s="29"/>
      <c r="P9" s="29"/>
      <c r="Q9" s="29"/>
      <c r="R9" s="29"/>
      <c r="S9" s="29"/>
      <c r="T9" s="25"/>
      <c r="W9" s="282" t="s">
        <v>110</v>
      </c>
      <c r="X9" s="281">
        <v>4.1221000000000001E-2</v>
      </c>
      <c r="Y9" s="39"/>
    </row>
    <row r="10" spans="1:25" ht="15" customHeight="1" x14ac:dyDescent="0.25">
      <c r="B10" s="64"/>
      <c r="C10" s="179" t="s">
        <v>70</v>
      </c>
      <c r="D10" s="180" t="s">
        <v>12</v>
      </c>
      <c r="E10" s="121">
        <v>2.5691000000000002E-2</v>
      </c>
      <c r="F10" s="29"/>
      <c r="G10" s="29"/>
      <c r="H10" s="29"/>
      <c r="I10" s="29"/>
      <c r="J10" s="29"/>
      <c r="K10" s="29"/>
      <c r="L10" s="29"/>
      <c r="M10" s="29"/>
      <c r="N10" s="29"/>
      <c r="O10" s="29"/>
      <c r="P10" s="29"/>
      <c r="Q10" s="29"/>
      <c r="R10" s="29"/>
      <c r="S10" s="29"/>
      <c r="T10" s="25"/>
      <c r="W10" s="282" t="s">
        <v>106</v>
      </c>
      <c r="X10" s="281">
        <v>3.7720999999999991E-2</v>
      </c>
      <c r="Y10" s="39"/>
    </row>
    <row r="11" spans="1:25" ht="15" customHeight="1" x14ac:dyDescent="0.25">
      <c r="B11" s="64"/>
      <c r="C11" s="179" t="s">
        <v>192</v>
      </c>
      <c r="D11" s="180" t="s">
        <v>105</v>
      </c>
      <c r="E11" s="121">
        <v>2.3952999999999999E-2</v>
      </c>
      <c r="F11" s="29"/>
      <c r="G11" s="29"/>
      <c r="H11" s="29"/>
      <c r="I11" s="29"/>
      <c r="J11" s="29"/>
      <c r="K11" s="29"/>
      <c r="L11" s="29"/>
      <c r="M11" s="29"/>
      <c r="N11" s="29"/>
      <c r="O11" s="29"/>
      <c r="P11" s="29"/>
      <c r="Q11" s="29"/>
      <c r="R11" s="29"/>
      <c r="S11" s="29"/>
      <c r="T11" s="25"/>
      <c r="W11" s="282" t="s">
        <v>12</v>
      </c>
      <c r="X11" s="281">
        <v>2.8152E-2</v>
      </c>
      <c r="Y11" s="39"/>
    </row>
    <row r="12" spans="1:25" ht="15" customHeight="1" x14ac:dyDescent="0.25">
      <c r="B12" s="64"/>
      <c r="C12" s="179" t="s">
        <v>31</v>
      </c>
      <c r="D12" s="180" t="s">
        <v>6</v>
      </c>
      <c r="E12" s="121">
        <v>2.1005000000000003E-2</v>
      </c>
      <c r="F12" s="29"/>
      <c r="G12" s="29"/>
      <c r="H12" s="29"/>
      <c r="I12" s="29"/>
      <c r="J12" s="29"/>
      <c r="K12" s="29"/>
      <c r="L12" s="29"/>
      <c r="M12" s="29"/>
      <c r="N12" s="29"/>
      <c r="O12" s="29"/>
      <c r="P12" s="29"/>
      <c r="Q12" s="29"/>
      <c r="R12" s="29"/>
      <c r="S12" s="29"/>
      <c r="T12" s="25"/>
      <c r="W12" s="282" t="s">
        <v>4</v>
      </c>
      <c r="X12" s="281">
        <v>2.7117999999999996E-2</v>
      </c>
      <c r="Y12" s="39"/>
    </row>
    <row r="13" spans="1:25" ht="15" customHeight="1" x14ac:dyDescent="0.25">
      <c r="B13" s="64"/>
      <c r="C13" s="179" t="s">
        <v>36</v>
      </c>
      <c r="D13" s="180" t="s">
        <v>3</v>
      </c>
      <c r="E13" s="121">
        <v>2.0050999999999999E-2</v>
      </c>
      <c r="F13" s="29"/>
      <c r="G13" s="29"/>
      <c r="H13" s="29"/>
      <c r="I13" s="29"/>
      <c r="J13" s="29"/>
      <c r="K13" s="29"/>
      <c r="L13" s="29"/>
      <c r="M13" s="29"/>
      <c r="N13" s="29"/>
      <c r="O13" s="29"/>
      <c r="P13" s="29"/>
      <c r="Q13" s="29"/>
      <c r="R13" s="29"/>
      <c r="S13" s="29"/>
      <c r="T13" s="25"/>
      <c r="W13" s="282" t="s">
        <v>23</v>
      </c>
      <c r="X13" s="281">
        <v>2.4807000000000003E-2</v>
      </c>
      <c r="Y13" s="39"/>
    </row>
    <row r="14" spans="1:25" ht="15.75" customHeight="1" x14ac:dyDescent="0.25">
      <c r="B14" s="64"/>
      <c r="C14" s="179" t="s">
        <v>28</v>
      </c>
      <c r="D14" s="180" t="s">
        <v>106</v>
      </c>
      <c r="E14" s="121">
        <v>1.7903000000000002E-2</v>
      </c>
      <c r="F14" s="29"/>
      <c r="G14" s="29"/>
      <c r="H14" s="29"/>
      <c r="I14" s="29"/>
      <c r="J14" s="29"/>
      <c r="K14" s="29"/>
      <c r="L14" s="29"/>
      <c r="M14" s="29"/>
      <c r="N14" s="29"/>
      <c r="O14" s="29"/>
      <c r="P14" s="29"/>
      <c r="Q14" s="29"/>
      <c r="R14" s="29"/>
      <c r="S14" s="29"/>
      <c r="T14" s="25"/>
      <c r="W14" s="282" t="s">
        <v>105</v>
      </c>
      <c r="X14" s="281">
        <v>2.3934E-2</v>
      </c>
      <c r="Y14" s="39"/>
    </row>
    <row r="15" spans="1:25" ht="15.75" x14ac:dyDescent="0.25">
      <c r="B15" s="64"/>
      <c r="C15" s="179" t="s">
        <v>78</v>
      </c>
      <c r="D15" s="180" t="s">
        <v>3</v>
      </c>
      <c r="E15" s="121">
        <v>1.7727E-2</v>
      </c>
      <c r="F15" s="29"/>
      <c r="G15" s="29"/>
      <c r="H15" s="29"/>
      <c r="I15" s="29"/>
      <c r="J15" s="29"/>
      <c r="K15" s="29"/>
      <c r="L15" s="29"/>
      <c r="M15" s="29"/>
      <c r="N15" s="29"/>
      <c r="O15" s="29"/>
      <c r="P15" s="29"/>
      <c r="Q15" s="29"/>
      <c r="R15" s="29"/>
      <c r="S15" s="29"/>
      <c r="T15" s="25"/>
      <c r="W15" s="282" t="s">
        <v>76</v>
      </c>
      <c r="X15" s="281">
        <v>2.1460999999999997E-2</v>
      </c>
      <c r="Y15" s="39"/>
    </row>
    <row r="16" spans="1:25" ht="15.75" customHeight="1" x14ac:dyDescent="0.25">
      <c r="B16" s="64"/>
      <c r="C16" s="179" t="s">
        <v>34</v>
      </c>
      <c r="D16" s="180" t="s">
        <v>23</v>
      </c>
      <c r="E16" s="121">
        <v>1.5457E-2</v>
      </c>
      <c r="F16" s="29"/>
      <c r="G16" s="29"/>
      <c r="H16" s="29"/>
      <c r="I16" s="29"/>
      <c r="J16" s="29"/>
      <c r="K16" s="29"/>
      <c r="L16" s="29"/>
      <c r="M16" s="29"/>
      <c r="N16" s="29"/>
      <c r="O16" s="29"/>
      <c r="P16" s="29"/>
      <c r="Q16" s="29"/>
      <c r="R16" s="29"/>
      <c r="S16" s="29"/>
      <c r="T16" s="25"/>
      <c r="W16" s="282" t="s">
        <v>6</v>
      </c>
      <c r="X16" s="281">
        <v>2.1005000000000003E-2</v>
      </c>
      <c r="Y16" s="39"/>
    </row>
    <row r="17" spans="2:25" ht="15" customHeight="1" x14ac:dyDescent="0.25">
      <c r="B17" s="64"/>
      <c r="C17" s="179" t="s">
        <v>316</v>
      </c>
      <c r="D17" s="180" t="s">
        <v>117</v>
      </c>
      <c r="E17" s="121">
        <v>1.4822E-2</v>
      </c>
      <c r="F17" s="29"/>
      <c r="G17" s="29"/>
      <c r="H17" s="29"/>
      <c r="I17" s="29"/>
      <c r="J17" s="29"/>
      <c r="K17" s="29"/>
      <c r="L17" s="29"/>
      <c r="M17" s="29"/>
      <c r="N17" s="29"/>
      <c r="O17" s="29"/>
      <c r="P17" s="29"/>
      <c r="Q17" s="29"/>
      <c r="R17" s="29"/>
      <c r="S17" s="29"/>
      <c r="T17" s="25"/>
      <c r="W17" s="282" t="s">
        <v>26</v>
      </c>
      <c r="X17" s="281">
        <v>1.9980000000000001E-2</v>
      </c>
      <c r="Y17" s="39"/>
    </row>
    <row r="18" spans="2:25" ht="15" customHeight="1" x14ac:dyDescent="0.25">
      <c r="B18" s="64"/>
      <c r="C18" s="179" t="s">
        <v>80</v>
      </c>
      <c r="D18" s="180" t="s">
        <v>4</v>
      </c>
      <c r="E18" s="121">
        <v>1.4406000000000002E-2</v>
      </c>
      <c r="F18" s="29"/>
      <c r="G18" s="29"/>
      <c r="H18" s="29"/>
      <c r="I18" s="29"/>
      <c r="J18" s="29"/>
      <c r="K18" s="29"/>
      <c r="L18" s="29"/>
      <c r="M18" s="29"/>
      <c r="N18" s="29"/>
      <c r="O18" s="29"/>
      <c r="P18" s="29"/>
      <c r="Q18" s="29"/>
      <c r="R18" s="29"/>
      <c r="S18" s="29"/>
      <c r="T18" s="25"/>
      <c r="W18" s="282" t="s">
        <v>82</v>
      </c>
      <c r="X18" s="281">
        <v>1.6323999999999998E-2</v>
      </c>
      <c r="Y18" s="39"/>
    </row>
    <row r="19" spans="2:25" ht="15" customHeight="1" x14ac:dyDescent="0.25">
      <c r="B19" s="64"/>
      <c r="C19" s="179" t="s">
        <v>267</v>
      </c>
      <c r="D19" s="180" t="s">
        <v>182</v>
      </c>
      <c r="E19" s="121">
        <v>1.341E-2</v>
      </c>
      <c r="F19" s="29"/>
      <c r="G19" s="29"/>
      <c r="H19" s="29"/>
      <c r="I19" s="29"/>
      <c r="J19" s="29"/>
      <c r="K19" s="29"/>
      <c r="L19" s="29"/>
      <c r="M19" s="29"/>
      <c r="N19" s="29"/>
      <c r="O19" s="29"/>
      <c r="P19" s="29"/>
      <c r="Q19" s="29"/>
      <c r="R19" s="29"/>
      <c r="S19" s="29"/>
      <c r="T19" s="25"/>
      <c r="W19" s="282" t="s">
        <v>111</v>
      </c>
      <c r="X19" s="281">
        <v>1.5549999999999994E-2</v>
      </c>
      <c r="Y19" s="39"/>
    </row>
    <row r="20" spans="2:25" ht="15" customHeight="1" x14ac:dyDescent="0.25">
      <c r="B20" s="64"/>
      <c r="C20" s="179" t="s">
        <v>277</v>
      </c>
      <c r="D20" s="180" t="s">
        <v>132</v>
      </c>
      <c r="E20" s="121">
        <v>1.2207000000000001E-2</v>
      </c>
      <c r="F20" s="29"/>
      <c r="G20" s="29"/>
      <c r="H20" s="29"/>
      <c r="I20" s="29"/>
      <c r="J20" s="29"/>
      <c r="K20" s="29"/>
      <c r="L20" s="29"/>
      <c r="M20" s="29"/>
      <c r="N20" s="29"/>
      <c r="O20" s="29"/>
      <c r="P20" s="29"/>
      <c r="Q20" s="29"/>
      <c r="R20" s="29"/>
      <c r="S20" s="29"/>
      <c r="T20" s="25"/>
      <c r="W20" s="282" t="s">
        <v>123</v>
      </c>
      <c r="X20" s="281">
        <v>1.5328000000000001E-2</v>
      </c>
      <c r="Y20" s="39"/>
    </row>
    <row r="21" spans="2:25" ht="15" customHeight="1" x14ac:dyDescent="0.25">
      <c r="B21" s="64"/>
      <c r="C21" s="179" t="s">
        <v>249</v>
      </c>
      <c r="D21" s="180" t="s">
        <v>76</v>
      </c>
      <c r="E21" s="121">
        <v>1.2126E-2</v>
      </c>
      <c r="F21" s="29"/>
      <c r="G21" s="29"/>
      <c r="H21" s="29"/>
      <c r="I21" s="29"/>
      <c r="J21" s="29"/>
      <c r="K21" s="29"/>
      <c r="L21" s="29"/>
      <c r="M21" s="29"/>
      <c r="N21" s="29"/>
      <c r="O21" s="29"/>
      <c r="P21" s="29"/>
      <c r="Q21" s="29"/>
      <c r="R21" s="29"/>
      <c r="S21" s="29"/>
      <c r="T21" s="25"/>
      <c r="W21" s="282" t="s">
        <v>117</v>
      </c>
      <c r="X21" s="281">
        <v>1.4801000000000002E-2</v>
      </c>
      <c r="Y21" s="39"/>
    </row>
    <row r="22" spans="2:25" ht="15" customHeight="1" x14ac:dyDescent="0.25">
      <c r="B22" s="64"/>
      <c r="C22" s="179" t="s">
        <v>33</v>
      </c>
      <c r="D22" s="180" t="s">
        <v>106</v>
      </c>
      <c r="E22" s="121">
        <v>1.0485999999999999E-2</v>
      </c>
      <c r="F22" s="29"/>
      <c r="G22" s="29"/>
      <c r="H22" s="29"/>
      <c r="I22" s="29"/>
      <c r="J22" s="29"/>
      <c r="K22" s="29"/>
      <c r="L22" s="29"/>
      <c r="M22" s="29"/>
      <c r="N22" s="29"/>
      <c r="O22" s="29"/>
      <c r="P22" s="29"/>
      <c r="Q22" s="29"/>
      <c r="R22" s="29"/>
      <c r="S22" s="29"/>
      <c r="T22" s="25"/>
      <c r="W22" s="282" t="s">
        <v>182</v>
      </c>
      <c r="X22" s="281">
        <v>1.341E-2</v>
      </c>
      <c r="Y22" s="39"/>
    </row>
    <row r="23" spans="2:25" ht="16.5" customHeight="1" x14ac:dyDescent="0.25">
      <c r="B23" s="64"/>
      <c r="C23" s="122" t="s">
        <v>65</v>
      </c>
      <c r="D23" s="123"/>
      <c r="E23" s="124">
        <f>SUM(E8:E22)</f>
        <v>0.28510600000000008</v>
      </c>
      <c r="F23" s="29"/>
      <c r="G23" s="29"/>
      <c r="H23" s="29"/>
      <c r="I23" s="29"/>
      <c r="J23" s="29"/>
      <c r="K23" s="29"/>
      <c r="L23" s="29"/>
      <c r="M23" s="29"/>
      <c r="N23" s="29"/>
      <c r="O23" s="29"/>
      <c r="P23" s="29"/>
      <c r="Q23" s="29"/>
      <c r="R23" s="29"/>
      <c r="S23" s="29"/>
      <c r="T23" s="25"/>
      <c r="W23" s="282" t="s">
        <v>132</v>
      </c>
      <c r="X23" s="281">
        <v>1.2207000000000001E-2</v>
      </c>
      <c r="Y23" s="39"/>
    </row>
    <row r="24" spans="2:25" ht="15" customHeight="1" x14ac:dyDescent="0.25">
      <c r="B24" s="64"/>
      <c r="C24" s="125"/>
      <c r="D24" s="82"/>
      <c r="E24" s="121"/>
      <c r="F24" s="29"/>
      <c r="G24" s="29"/>
      <c r="H24" s="29"/>
      <c r="I24" s="29"/>
      <c r="J24" s="29"/>
      <c r="K24" s="29"/>
      <c r="L24" s="29"/>
      <c r="M24" s="29"/>
      <c r="N24" s="29"/>
      <c r="O24" s="29"/>
      <c r="P24" s="29"/>
      <c r="Q24" s="29"/>
      <c r="R24" s="29"/>
      <c r="S24" s="29"/>
      <c r="T24" s="25"/>
      <c r="W24" s="282" t="s">
        <v>112</v>
      </c>
      <c r="X24" s="281">
        <v>1.1391E-2</v>
      </c>
      <c r="Y24" s="39"/>
    </row>
    <row r="25" spans="2:25" ht="15" customHeight="1" x14ac:dyDescent="0.25">
      <c r="B25" s="64"/>
      <c r="C25" s="122" t="s">
        <v>59</v>
      </c>
      <c r="D25" s="123"/>
      <c r="E25" s="181">
        <v>0.2281</v>
      </c>
      <c r="F25" s="29"/>
      <c r="G25" s="29"/>
      <c r="H25" s="29"/>
      <c r="I25" s="29"/>
      <c r="J25" s="29"/>
      <c r="K25" s="29"/>
      <c r="L25" s="29"/>
      <c r="M25" s="29"/>
      <c r="N25" s="29"/>
      <c r="O25" s="29"/>
      <c r="P25" s="29"/>
      <c r="Q25" s="29"/>
      <c r="R25" s="29"/>
      <c r="S25" s="29"/>
      <c r="T25" s="25"/>
      <c r="W25" s="282" t="s">
        <v>10</v>
      </c>
      <c r="X25" s="281">
        <v>7.2769999999999996E-3</v>
      </c>
      <c r="Y25" s="39"/>
    </row>
    <row r="26" spans="2:25" ht="15" customHeight="1" x14ac:dyDescent="0.25">
      <c r="B26" s="64"/>
      <c r="C26" s="125"/>
      <c r="D26" s="82"/>
      <c r="E26" s="121"/>
      <c r="F26" s="29"/>
      <c r="G26" s="29"/>
      <c r="H26" s="29"/>
      <c r="I26" s="29"/>
      <c r="J26" s="29"/>
      <c r="K26" s="29"/>
      <c r="L26" s="29"/>
      <c r="M26" s="29"/>
      <c r="N26" s="29"/>
      <c r="O26" s="29"/>
      <c r="P26" s="29"/>
      <c r="Q26" s="29"/>
      <c r="R26" s="29"/>
      <c r="S26" s="29"/>
      <c r="T26" s="25"/>
      <c r="W26" s="282" t="s">
        <v>84</v>
      </c>
      <c r="X26" s="281">
        <v>7.2490000000000002E-3</v>
      </c>
      <c r="Y26" s="39"/>
    </row>
    <row r="27" spans="2:25" ht="18" customHeight="1" x14ac:dyDescent="0.25">
      <c r="B27" s="64"/>
      <c r="C27" s="122" t="s">
        <v>58</v>
      </c>
      <c r="D27" s="106"/>
      <c r="E27" s="182">
        <v>0.33148300000000003</v>
      </c>
      <c r="F27" s="29"/>
      <c r="G27" s="29"/>
      <c r="H27" s="29"/>
      <c r="I27" s="29"/>
      <c r="J27" s="29"/>
      <c r="K27" s="29"/>
      <c r="L27" s="29"/>
      <c r="M27" s="29"/>
      <c r="N27" s="29"/>
      <c r="O27" s="29"/>
      <c r="P27" s="29"/>
      <c r="Q27" s="29"/>
      <c r="R27" s="29"/>
      <c r="S27" s="29"/>
      <c r="T27" s="25"/>
      <c r="W27" s="282" t="s">
        <v>85</v>
      </c>
      <c r="X27" s="281">
        <v>6.124000000000001E-3</v>
      </c>
    </row>
    <row r="28" spans="2:25" ht="18" customHeight="1" x14ac:dyDescent="0.25">
      <c r="B28" s="64"/>
      <c r="C28" s="225"/>
      <c r="D28" s="226"/>
      <c r="E28" s="121"/>
      <c r="F28" s="29"/>
      <c r="G28" s="29"/>
      <c r="H28" s="29"/>
      <c r="I28" s="29"/>
      <c r="J28" s="29"/>
      <c r="K28" s="29"/>
      <c r="L28" s="29"/>
      <c r="M28" s="29"/>
      <c r="N28" s="29"/>
      <c r="O28" s="29"/>
      <c r="P28" s="29"/>
      <c r="Q28" s="29"/>
      <c r="R28" s="29"/>
      <c r="S28" s="29"/>
      <c r="T28" s="25"/>
      <c r="W28" s="282" t="s">
        <v>145</v>
      </c>
      <c r="X28" s="281">
        <v>5.679E-3</v>
      </c>
    </row>
    <row r="29" spans="2:25" ht="15" customHeight="1" x14ac:dyDescent="0.25">
      <c r="B29" s="64"/>
      <c r="C29" s="122" t="s">
        <v>299</v>
      </c>
      <c r="D29" s="106"/>
      <c r="E29" s="182">
        <v>1.5799999999999999E-4</v>
      </c>
      <c r="F29" s="29"/>
      <c r="G29" s="29"/>
      <c r="H29" s="29"/>
      <c r="I29" s="29"/>
      <c r="J29" s="29"/>
      <c r="K29" s="29"/>
      <c r="L29" s="29"/>
      <c r="M29" s="29"/>
      <c r="N29" s="29"/>
      <c r="O29" s="29"/>
      <c r="P29" s="29"/>
      <c r="Q29" s="29"/>
      <c r="R29" s="29"/>
      <c r="S29" s="29"/>
      <c r="T29" s="25"/>
      <c r="W29" s="282" t="s">
        <v>109</v>
      </c>
      <c r="X29" s="281">
        <v>4.8739999999999999E-3</v>
      </c>
    </row>
    <row r="30" spans="2:25" ht="15" customHeight="1" x14ac:dyDescent="0.25">
      <c r="B30" s="64"/>
      <c r="C30" s="227"/>
      <c r="D30" s="226"/>
      <c r="E30" s="239"/>
      <c r="F30" s="29"/>
      <c r="G30" s="126"/>
      <c r="H30" s="29"/>
      <c r="I30" s="29"/>
      <c r="J30" s="29"/>
      <c r="K30" s="29"/>
      <c r="L30" s="29"/>
      <c r="M30" s="29"/>
      <c r="N30" s="29"/>
      <c r="O30" s="29"/>
      <c r="P30" s="29"/>
      <c r="Q30" s="29"/>
      <c r="R30" s="29"/>
      <c r="S30" s="29"/>
      <c r="T30" s="25"/>
      <c r="W30" s="282" t="s">
        <v>25</v>
      </c>
      <c r="X30" s="281">
        <v>4.7590000000000002E-3</v>
      </c>
    </row>
    <row r="31" spans="2:25" ht="15" customHeight="1" x14ac:dyDescent="0.25">
      <c r="B31" s="64"/>
      <c r="C31" s="225" t="s">
        <v>36</v>
      </c>
      <c r="D31" s="226" t="s">
        <v>322</v>
      </c>
      <c r="E31" s="121">
        <v>6.4869999999999997E-3</v>
      </c>
      <c r="F31" s="29"/>
      <c r="G31" s="126"/>
      <c r="H31" s="29"/>
      <c r="I31" s="29"/>
      <c r="J31" s="29"/>
      <c r="K31" s="29"/>
      <c r="L31" s="29"/>
      <c r="M31" s="29"/>
      <c r="N31" s="29"/>
      <c r="O31" s="29"/>
      <c r="P31" s="29"/>
      <c r="Q31" s="29"/>
      <c r="R31" s="29"/>
      <c r="S31" s="29"/>
      <c r="T31" s="25"/>
      <c r="W31" s="282" t="s">
        <v>86</v>
      </c>
      <c r="X31" s="281">
        <v>3.686E-3</v>
      </c>
    </row>
    <row r="32" spans="2:25" ht="15" customHeight="1" x14ac:dyDescent="0.25">
      <c r="B32" s="64"/>
      <c r="C32" s="127" t="s">
        <v>321</v>
      </c>
      <c r="D32" s="123"/>
      <c r="E32" s="124">
        <v>6.4869999999999997E-3</v>
      </c>
      <c r="F32" s="29"/>
      <c r="G32" s="126"/>
      <c r="H32" s="29"/>
      <c r="I32" s="29"/>
      <c r="J32" s="29"/>
      <c r="K32" s="29"/>
      <c r="L32" s="29"/>
      <c r="M32" s="29"/>
      <c r="N32" s="29"/>
      <c r="O32" s="29"/>
      <c r="P32" s="29"/>
      <c r="Q32" s="29"/>
      <c r="R32" s="29"/>
      <c r="S32" s="29"/>
      <c r="T32" s="25"/>
      <c r="W32" s="282" t="s">
        <v>83</v>
      </c>
      <c r="X32" s="281">
        <v>3.5870000000000003E-3</v>
      </c>
    </row>
    <row r="33" spans="2:24" ht="15" customHeight="1" x14ac:dyDescent="0.25">
      <c r="B33" s="64"/>
      <c r="C33" s="227"/>
      <c r="D33" s="226"/>
      <c r="E33" s="239"/>
      <c r="F33" s="29"/>
      <c r="G33" s="126"/>
      <c r="H33" s="29"/>
      <c r="I33" s="29"/>
      <c r="J33" s="29"/>
      <c r="K33" s="29"/>
      <c r="L33" s="29"/>
      <c r="M33" s="29"/>
      <c r="N33" s="29"/>
      <c r="O33" s="29"/>
      <c r="P33" s="29"/>
      <c r="Q33" s="29"/>
      <c r="R33" s="29"/>
      <c r="S33" s="29"/>
      <c r="T33" s="25"/>
      <c r="W33" s="282" t="s">
        <v>16</v>
      </c>
      <c r="X33" s="281">
        <v>3.0759999999999989E-3</v>
      </c>
    </row>
    <row r="34" spans="2:24" ht="15" customHeight="1" x14ac:dyDescent="0.25">
      <c r="B34" s="64"/>
      <c r="C34" s="225" t="s">
        <v>256</v>
      </c>
      <c r="D34" s="226" t="s">
        <v>257</v>
      </c>
      <c r="E34" s="121">
        <v>6.829E-3</v>
      </c>
      <c r="F34" s="29"/>
      <c r="G34" s="126"/>
      <c r="H34" s="29"/>
      <c r="I34" s="29"/>
      <c r="J34" s="29"/>
      <c r="K34" s="29"/>
      <c r="L34" s="29"/>
      <c r="M34" s="29"/>
      <c r="N34" s="29"/>
      <c r="O34" s="29"/>
      <c r="P34" s="29"/>
      <c r="Q34" s="29"/>
      <c r="R34" s="29"/>
      <c r="S34" s="29"/>
      <c r="T34" s="25"/>
      <c r="W34" s="282" t="s">
        <v>136</v>
      </c>
      <c r="X34" s="281">
        <v>2.9919999999999999E-3</v>
      </c>
    </row>
    <row r="35" spans="2:24" ht="15" customHeight="1" x14ac:dyDescent="0.25">
      <c r="B35" s="64"/>
      <c r="C35" s="227" t="s">
        <v>317</v>
      </c>
      <c r="D35" s="226" t="s">
        <v>257</v>
      </c>
      <c r="E35" s="121">
        <v>2.274E-3</v>
      </c>
      <c r="F35" s="29"/>
      <c r="G35" s="126"/>
      <c r="H35" s="29"/>
      <c r="I35" s="29"/>
      <c r="J35" s="29"/>
      <c r="K35" s="29"/>
      <c r="L35" s="29"/>
      <c r="M35" s="29"/>
      <c r="N35" s="29"/>
      <c r="O35" s="29"/>
      <c r="P35" s="29"/>
      <c r="Q35" s="29"/>
      <c r="R35" s="29"/>
      <c r="S35" s="29"/>
      <c r="T35" s="25"/>
      <c r="W35" s="282" t="s">
        <v>24</v>
      </c>
      <c r="X35" s="281">
        <v>2.5959999999999998E-3</v>
      </c>
    </row>
    <row r="36" spans="2:24" ht="15" customHeight="1" x14ac:dyDescent="0.25">
      <c r="B36" s="64"/>
      <c r="C36" s="227" t="s">
        <v>301</v>
      </c>
      <c r="D36" s="226" t="s">
        <v>266</v>
      </c>
      <c r="E36" s="121">
        <v>2.271E-3</v>
      </c>
      <c r="F36" s="29"/>
      <c r="G36" s="126"/>
      <c r="H36" s="29"/>
      <c r="I36" s="29"/>
      <c r="J36" s="29"/>
      <c r="K36" s="29"/>
      <c r="L36" s="29"/>
      <c r="M36" s="29"/>
      <c r="N36" s="29"/>
      <c r="O36" s="29"/>
      <c r="P36" s="29"/>
      <c r="Q36" s="29"/>
      <c r="R36" s="29"/>
      <c r="S36" s="29"/>
      <c r="T36" s="25"/>
      <c r="W36" s="282" t="s">
        <v>11</v>
      </c>
      <c r="X36" s="281">
        <v>2.5789999999999997E-3</v>
      </c>
    </row>
    <row r="37" spans="2:24" ht="15" customHeight="1" x14ac:dyDescent="0.25">
      <c r="B37" s="64"/>
      <c r="C37" s="225" t="s">
        <v>255</v>
      </c>
      <c r="D37" s="226" t="s">
        <v>266</v>
      </c>
      <c r="E37" s="121">
        <v>2.2629999999999998E-3</v>
      </c>
      <c r="F37" s="29"/>
      <c r="G37" s="126"/>
      <c r="H37" s="29"/>
      <c r="I37" s="29"/>
      <c r="J37" s="29"/>
      <c r="K37" s="29"/>
      <c r="L37" s="29"/>
      <c r="M37" s="29"/>
      <c r="N37" s="29"/>
      <c r="O37" s="29"/>
      <c r="P37" s="29"/>
      <c r="Q37" s="29"/>
      <c r="R37" s="29"/>
      <c r="S37" s="29"/>
      <c r="T37" s="25"/>
      <c r="W37" s="282" t="s">
        <v>116</v>
      </c>
      <c r="X37" s="281">
        <v>2.4720000000000002E-3</v>
      </c>
    </row>
    <row r="38" spans="2:24" ht="15" customHeight="1" x14ac:dyDescent="0.25">
      <c r="B38" s="64"/>
      <c r="C38" s="127" t="s">
        <v>5</v>
      </c>
      <c r="D38" s="123"/>
      <c r="E38" s="124">
        <v>1.3637E-2</v>
      </c>
      <c r="F38" s="29"/>
      <c r="G38" s="126"/>
      <c r="H38" s="29"/>
      <c r="I38" s="29"/>
      <c r="J38" s="29"/>
      <c r="K38" s="29"/>
      <c r="L38" s="29"/>
      <c r="M38" s="29"/>
      <c r="N38" s="29"/>
      <c r="O38" s="29"/>
      <c r="P38" s="29"/>
      <c r="Q38" s="29"/>
      <c r="R38" s="29"/>
      <c r="S38" s="29"/>
      <c r="T38" s="25"/>
      <c r="W38" s="282" t="s">
        <v>121</v>
      </c>
      <c r="X38" s="281">
        <v>2.1159999999999998E-3</v>
      </c>
    </row>
    <row r="39" spans="2:24" ht="15" customHeight="1" x14ac:dyDescent="0.25">
      <c r="B39" s="64"/>
      <c r="C39" s="134"/>
      <c r="D39" s="135"/>
      <c r="E39" s="220"/>
      <c r="F39" s="29"/>
      <c r="G39" s="126"/>
      <c r="H39" s="29"/>
      <c r="I39" s="29"/>
      <c r="J39" s="29"/>
      <c r="K39" s="29"/>
      <c r="L39" s="29"/>
      <c r="M39" s="29"/>
      <c r="N39" s="29"/>
      <c r="O39" s="29"/>
      <c r="P39" s="29"/>
      <c r="Q39" s="29"/>
      <c r="R39" s="29"/>
      <c r="S39" s="29"/>
      <c r="T39" s="25"/>
      <c r="W39" s="282" t="s">
        <v>115</v>
      </c>
      <c r="X39" s="281">
        <v>1.5699999999999998E-3</v>
      </c>
    </row>
    <row r="40" spans="2:24" ht="15" customHeight="1" x14ac:dyDescent="0.25">
      <c r="B40" s="64"/>
      <c r="C40" s="134" t="s">
        <v>216</v>
      </c>
      <c r="D40" s="135" t="s">
        <v>61</v>
      </c>
      <c r="E40" s="220">
        <v>4.9651000000000001E-2</v>
      </c>
      <c r="F40" s="29"/>
      <c r="G40" s="29"/>
      <c r="H40" s="29"/>
      <c r="I40" s="128"/>
      <c r="J40" s="29"/>
      <c r="K40" s="29"/>
      <c r="L40" s="29"/>
      <c r="M40" s="29"/>
      <c r="N40" s="29"/>
      <c r="O40" s="29"/>
      <c r="P40" s="29"/>
      <c r="Q40" s="29"/>
      <c r="R40" s="29"/>
      <c r="S40" s="29"/>
      <c r="T40" s="25"/>
      <c r="W40" s="282" t="s">
        <v>94</v>
      </c>
      <c r="X40" s="281">
        <v>8.6399999999999997E-4</v>
      </c>
    </row>
    <row r="41" spans="2:24" ht="15" customHeight="1" x14ac:dyDescent="0.25">
      <c r="B41" s="64"/>
      <c r="C41" s="134" t="s">
        <v>191</v>
      </c>
      <c r="D41" s="135" t="s">
        <v>61</v>
      </c>
      <c r="E41" s="220">
        <v>4.1145000000000001E-2</v>
      </c>
      <c r="F41" s="29"/>
      <c r="G41" s="29"/>
      <c r="H41" s="29"/>
      <c r="I41" s="128"/>
      <c r="J41" s="29"/>
      <c r="K41" s="29"/>
      <c r="L41" s="29"/>
      <c r="M41" s="29"/>
      <c r="N41" s="29"/>
      <c r="O41" s="29"/>
      <c r="P41" s="29"/>
      <c r="Q41" s="29"/>
      <c r="R41" s="29"/>
      <c r="S41" s="29"/>
      <c r="T41" s="25"/>
      <c r="W41" s="282" t="s">
        <v>120</v>
      </c>
      <c r="X41" s="281">
        <v>-2.9999999999998778E-5</v>
      </c>
    </row>
    <row r="42" spans="2:24" ht="15" customHeight="1" x14ac:dyDescent="0.25">
      <c r="B42" s="64"/>
      <c r="C42" s="134" t="s">
        <v>195</v>
      </c>
      <c r="D42" s="135" t="s">
        <v>61</v>
      </c>
      <c r="E42" s="220">
        <v>1.1738999999999999E-2</v>
      </c>
      <c r="F42" s="29"/>
      <c r="G42" s="29"/>
      <c r="H42" s="29"/>
      <c r="I42" s="128"/>
      <c r="J42" s="29"/>
      <c r="K42" s="29"/>
      <c r="L42" s="29"/>
      <c r="M42" s="29"/>
      <c r="N42" s="29"/>
      <c r="O42" s="29"/>
      <c r="P42" s="29"/>
      <c r="Q42" s="29"/>
      <c r="R42" s="29"/>
      <c r="S42" s="29"/>
      <c r="T42" s="25"/>
      <c r="W42" s="221"/>
      <c r="X42" s="224"/>
    </row>
    <row r="43" spans="2:24" ht="15" customHeight="1" x14ac:dyDescent="0.25">
      <c r="B43" s="64"/>
      <c r="C43" s="122" t="s">
        <v>278</v>
      </c>
      <c r="D43" s="106"/>
      <c r="E43" s="124">
        <v>0.102535</v>
      </c>
      <c r="F43" s="29"/>
      <c r="G43" s="29"/>
      <c r="H43" s="29"/>
      <c r="I43" s="128"/>
      <c r="J43" s="29"/>
      <c r="K43" s="29"/>
      <c r="L43" s="29"/>
      <c r="M43" s="29"/>
      <c r="N43" s="29"/>
      <c r="O43" s="29"/>
      <c r="P43" s="29"/>
      <c r="Q43" s="29"/>
      <c r="R43" s="29"/>
      <c r="S43" s="29"/>
      <c r="T43" s="25"/>
      <c r="W43" s="221"/>
      <c r="X43" s="224"/>
    </row>
    <row r="44" spans="2:24" ht="15" customHeight="1" x14ac:dyDescent="0.25">
      <c r="B44" s="64"/>
      <c r="C44" s="130"/>
      <c r="D44" s="131"/>
      <c r="E44" s="132"/>
      <c r="F44" s="29"/>
      <c r="G44" s="29"/>
      <c r="H44" s="29"/>
      <c r="I44" s="128"/>
      <c r="J44" s="29"/>
      <c r="K44" s="29"/>
      <c r="L44" s="29"/>
      <c r="M44" s="29"/>
      <c r="N44" s="29"/>
      <c r="O44" s="29"/>
      <c r="P44" s="29"/>
      <c r="Q44" s="29"/>
      <c r="R44" s="29"/>
      <c r="S44" s="29"/>
      <c r="T44" s="25"/>
      <c r="W44" s="221"/>
      <c r="X44" s="224"/>
    </row>
    <row r="45" spans="2:24" s="53" customFormat="1" ht="15" customHeight="1" x14ac:dyDescent="0.25">
      <c r="B45" s="129"/>
      <c r="C45" s="134" t="s">
        <v>280</v>
      </c>
      <c r="D45" s="135" t="s">
        <v>257</v>
      </c>
      <c r="E45" s="220">
        <v>1.3990000000000001E-2</v>
      </c>
      <c r="F45" s="51"/>
      <c r="G45" s="51"/>
      <c r="H45" s="51"/>
      <c r="I45" s="133"/>
      <c r="J45" s="51"/>
      <c r="K45" s="51"/>
      <c r="L45" s="51"/>
      <c r="M45" s="51"/>
      <c r="N45" s="51"/>
      <c r="O45" s="51"/>
      <c r="P45" s="51"/>
      <c r="Q45" s="51"/>
      <c r="R45" s="51"/>
      <c r="S45" s="51"/>
      <c r="T45" s="52"/>
      <c r="W45" s="221"/>
      <c r="X45" s="224"/>
    </row>
    <row r="46" spans="2:24" s="53" customFormat="1" ht="15" customHeight="1" x14ac:dyDescent="0.25">
      <c r="B46" s="129"/>
      <c r="C46" s="122" t="s">
        <v>279</v>
      </c>
      <c r="D46" s="106"/>
      <c r="E46" s="124">
        <v>1.3990000000000001E-2</v>
      </c>
      <c r="F46" s="51"/>
      <c r="G46" s="51"/>
      <c r="H46" s="51"/>
      <c r="I46" s="133"/>
      <c r="J46" s="51"/>
      <c r="K46" s="51"/>
      <c r="L46" s="51"/>
      <c r="M46" s="51"/>
      <c r="N46" s="51"/>
      <c r="O46" s="51"/>
      <c r="P46" s="51"/>
      <c r="Q46" s="51"/>
      <c r="R46" s="51"/>
      <c r="S46" s="51"/>
      <c r="T46" s="52"/>
      <c r="W46" s="221"/>
      <c r="X46" s="224"/>
    </row>
    <row r="47" spans="2:24" s="53" customFormat="1" ht="15" customHeight="1" x14ac:dyDescent="0.25">
      <c r="B47" s="129"/>
      <c r="C47" s="130"/>
      <c r="D47" s="131"/>
      <c r="E47" s="132"/>
      <c r="F47" s="51"/>
      <c r="G47" s="51"/>
      <c r="H47" s="51"/>
      <c r="I47" s="133"/>
      <c r="J47" s="51"/>
      <c r="K47" s="51"/>
      <c r="L47" s="51"/>
      <c r="M47" s="51"/>
      <c r="N47" s="51"/>
      <c r="O47" s="51"/>
      <c r="P47" s="51"/>
      <c r="Q47" s="51"/>
      <c r="R47" s="51"/>
      <c r="S47" s="51"/>
      <c r="T47" s="52"/>
      <c r="W47" s="221"/>
      <c r="X47" s="224"/>
    </row>
    <row r="48" spans="2:24" s="53" customFormat="1" ht="15" customHeight="1" x14ac:dyDescent="0.25">
      <c r="B48" s="129"/>
      <c r="C48" s="136" t="s">
        <v>68</v>
      </c>
      <c r="D48" s="137"/>
      <c r="E48" s="181">
        <v>1.8481999999999957E-2</v>
      </c>
      <c r="F48" s="51"/>
      <c r="G48" s="51"/>
      <c r="H48" s="51"/>
      <c r="I48" s="133"/>
      <c r="J48" s="51"/>
      <c r="K48" s="51"/>
      <c r="L48" s="51"/>
      <c r="M48" s="51"/>
      <c r="N48" s="51"/>
      <c r="O48" s="51"/>
      <c r="P48" s="51"/>
      <c r="Q48" s="51"/>
      <c r="R48" s="51"/>
      <c r="S48" s="51"/>
      <c r="T48" s="52"/>
      <c r="W48" s="221"/>
      <c r="X48" s="224"/>
    </row>
    <row r="49" spans="2:24" s="53" customFormat="1" ht="15" customHeight="1" x14ac:dyDescent="0.25">
      <c r="B49" s="129"/>
      <c r="C49" s="138"/>
      <c r="D49" s="111"/>
      <c r="E49" s="139"/>
      <c r="F49" s="51"/>
      <c r="G49" s="51"/>
      <c r="H49" s="51"/>
      <c r="I49" s="133"/>
      <c r="J49" s="51"/>
      <c r="K49" s="51"/>
      <c r="L49" s="51"/>
      <c r="M49" s="51"/>
      <c r="N49" s="51"/>
      <c r="O49" s="51"/>
      <c r="P49" s="51"/>
      <c r="Q49" s="51"/>
      <c r="R49" s="51"/>
      <c r="S49" s="51"/>
      <c r="T49" s="52"/>
      <c r="W49" s="221"/>
      <c r="X49" s="224"/>
    </row>
    <row r="50" spans="2:24" s="53" customFormat="1" ht="15" customHeight="1" x14ac:dyDescent="0.25">
      <c r="B50" s="129"/>
      <c r="C50" s="140" t="s">
        <v>21</v>
      </c>
      <c r="D50" s="74"/>
      <c r="E50" s="75">
        <f>E48+E43+E38+E27+E25+E23+E46+E32+E29</f>
        <v>0.99997800000000003</v>
      </c>
      <c r="F50" s="51"/>
      <c r="G50" s="51"/>
      <c r="H50" s="51"/>
      <c r="I50" s="133"/>
      <c r="J50" s="51"/>
      <c r="K50" s="51"/>
      <c r="L50" s="51"/>
      <c r="M50" s="51"/>
      <c r="N50" s="51"/>
      <c r="O50" s="51"/>
      <c r="P50" s="51"/>
      <c r="Q50" s="51"/>
      <c r="R50" s="51"/>
      <c r="S50" s="51"/>
      <c r="T50" s="52"/>
      <c r="X50" s="172"/>
    </row>
    <row r="51" spans="2:24" s="53" customFormat="1" ht="15" customHeight="1" x14ac:dyDescent="0.25">
      <c r="B51" s="129"/>
      <c r="F51" s="51"/>
      <c r="G51" s="51"/>
      <c r="H51" s="51"/>
      <c r="I51" s="133"/>
      <c r="J51" s="51"/>
      <c r="K51" s="51"/>
      <c r="L51" s="51"/>
      <c r="M51" s="51"/>
      <c r="N51" s="51"/>
      <c r="O51" s="51"/>
      <c r="P51" s="51"/>
      <c r="Q51" s="51"/>
      <c r="R51" s="51"/>
      <c r="S51" s="51"/>
      <c r="T51" s="52"/>
    </row>
    <row r="52" spans="2:24" ht="15" customHeight="1" x14ac:dyDescent="0.25">
      <c r="B52" s="64"/>
      <c r="F52" s="29"/>
      <c r="G52" s="29"/>
      <c r="H52" s="29"/>
      <c r="I52" s="128"/>
      <c r="J52" s="29"/>
      <c r="K52" s="29"/>
      <c r="L52" s="29"/>
      <c r="M52" s="29"/>
      <c r="N52" s="29"/>
      <c r="O52" s="29"/>
      <c r="P52" s="29"/>
      <c r="Q52" s="29"/>
      <c r="R52" s="29"/>
      <c r="S52" s="29"/>
      <c r="T52" s="25"/>
    </row>
    <row r="53" spans="2:24" ht="15" customHeight="1" x14ac:dyDescent="0.25">
      <c r="B53" s="64"/>
      <c r="F53" s="29"/>
      <c r="G53" s="29"/>
      <c r="H53" s="29"/>
      <c r="I53" s="128"/>
      <c r="J53" s="29"/>
      <c r="K53" s="29"/>
      <c r="L53" s="29"/>
      <c r="M53" s="29"/>
      <c r="N53" s="29"/>
      <c r="O53" s="29"/>
      <c r="P53" s="29"/>
      <c r="Q53" s="29"/>
      <c r="R53" s="29"/>
      <c r="S53" s="29"/>
      <c r="T53" s="25"/>
    </row>
    <row r="54" spans="2:24" ht="15" customHeight="1" thickBot="1" x14ac:dyDescent="0.3">
      <c r="B54" s="76"/>
      <c r="C54" s="30"/>
      <c r="D54" s="30"/>
      <c r="E54" s="30"/>
      <c r="F54" s="30"/>
      <c r="G54" s="30"/>
      <c r="H54" s="30"/>
      <c r="I54" s="30"/>
      <c r="J54" s="30"/>
      <c r="K54" s="30"/>
      <c r="L54" s="30"/>
      <c r="M54" s="30"/>
      <c r="N54" s="30"/>
      <c r="O54" s="30"/>
      <c r="P54" s="30"/>
      <c r="Q54" s="30"/>
      <c r="R54" s="30"/>
      <c r="S54" s="30"/>
      <c r="T54" s="26"/>
    </row>
    <row r="55" spans="2:24" ht="15" customHeight="1" thickBot="1" x14ac:dyDescent="0.3"/>
    <row r="56" spans="2:24" ht="15" customHeight="1" x14ac:dyDescent="0.25">
      <c r="B56" s="302" t="s">
        <v>180</v>
      </c>
      <c r="C56" s="303"/>
      <c r="D56" s="303"/>
      <c r="E56" s="303"/>
      <c r="F56" s="303"/>
      <c r="G56" s="303"/>
      <c r="H56" s="303"/>
      <c r="I56" s="303"/>
      <c r="J56" s="303"/>
      <c r="K56" s="303"/>
      <c r="L56" s="303"/>
      <c r="M56" s="303"/>
      <c r="N56" s="303"/>
      <c r="O56" s="303"/>
      <c r="P56" s="303"/>
      <c r="Q56" s="303"/>
      <c r="R56" s="304"/>
    </row>
    <row r="57" spans="2:24" ht="15" customHeight="1" x14ac:dyDescent="0.25">
      <c r="B57" s="305"/>
      <c r="C57" s="306"/>
      <c r="D57" s="306"/>
      <c r="E57" s="306"/>
      <c r="F57" s="306"/>
      <c r="G57" s="306"/>
      <c r="H57" s="306"/>
      <c r="I57" s="306"/>
      <c r="J57" s="306"/>
      <c r="K57" s="306"/>
      <c r="L57" s="306"/>
      <c r="M57" s="306"/>
      <c r="N57" s="306"/>
      <c r="O57" s="306"/>
      <c r="P57" s="306"/>
      <c r="Q57" s="306"/>
      <c r="R57" s="307"/>
    </row>
    <row r="58" spans="2:24" ht="15" customHeight="1" x14ac:dyDescent="0.25">
      <c r="B58" s="305"/>
      <c r="C58" s="306"/>
      <c r="D58" s="306"/>
      <c r="E58" s="306"/>
      <c r="F58" s="306"/>
      <c r="G58" s="306"/>
      <c r="H58" s="306"/>
      <c r="I58" s="306"/>
      <c r="J58" s="306"/>
      <c r="K58" s="306"/>
      <c r="L58" s="306"/>
      <c r="M58" s="306"/>
      <c r="N58" s="306"/>
      <c r="O58" s="306"/>
      <c r="P58" s="306"/>
      <c r="Q58" s="306"/>
      <c r="R58" s="307"/>
    </row>
    <row r="59" spans="2:24" ht="15" customHeight="1" x14ac:dyDescent="0.25">
      <c r="B59" s="305"/>
      <c r="C59" s="306"/>
      <c r="D59" s="306"/>
      <c r="E59" s="306"/>
      <c r="F59" s="306"/>
      <c r="G59" s="306"/>
      <c r="H59" s="306"/>
      <c r="I59" s="306"/>
      <c r="J59" s="306"/>
      <c r="K59" s="306"/>
      <c r="L59" s="306"/>
      <c r="M59" s="306"/>
      <c r="N59" s="306"/>
      <c r="O59" s="306"/>
      <c r="P59" s="306"/>
      <c r="Q59" s="306"/>
      <c r="R59" s="307"/>
    </row>
    <row r="60" spans="2:24" ht="15" customHeight="1" x14ac:dyDescent="0.25">
      <c r="B60" s="305"/>
      <c r="C60" s="306"/>
      <c r="D60" s="306"/>
      <c r="E60" s="306"/>
      <c r="F60" s="306"/>
      <c r="G60" s="306"/>
      <c r="H60" s="306"/>
      <c r="I60" s="306"/>
      <c r="J60" s="306"/>
      <c r="K60" s="306"/>
      <c r="L60" s="306"/>
      <c r="M60" s="306"/>
      <c r="N60" s="306"/>
      <c r="O60" s="306"/>
      <c r="P60" s="306"/>
      <c r="Q60" s="306"/>
      <c r="R60" s="307"/>
    </row>
    <row r="61" spans="2:24" ht="15" customHeight="1" x14ac:dyDescent="0.25">
      <c r="B61" s="305"/>
      <c r="C61" s="306"/>
      <c r="D61" s="306"/>
      <c r="E61" s="306"/>
      <c r="F61" s="306"/>
      <c r="G61" s="306"/>
      <c r="H61" s="306"/>
      <c r="I61" s="306"/>
      <c r="J61" s="306"/>
      <c r="K61" s="306"/>
      <c r="L61" s="306"/>
      <c r="M61" s="306"/>
      <c r="N61" s="306"/>
      <c r="O61" s="306"/>
      <c r="P61" s="306"/>
      <c r="Q61" s="306"/>
      <c r="R61" s="307"/>
    </row>
    <row r="62" spans="2:24" ht="24.75" customHeight="1" thickBot="1" x14ac:dyDescent="0.3">
      <c r="B62" s="308"/>
      <c r="C62" s="309"/>
      <c r="D62" s="309"/>
      <c r="E62" s="309"/>
      <c r="F62" s="309"/>
      <c r="G62" s="309"/>
      <c r="H62" s="309"/>
      <c r="I62" s="309"/>
      <c r="J62" s="309"/>
      <c r="K62" s="309"/>
      <c r="L62" s="309"/>
      <c r="M62" s="309"/>
      <c r="N62" s="309"/>
      <c r="O62" s="309"/>
      <c r="P62" s="309"/>
      <c r="Q62" s="309"/>
      <c r="R62" s="310"/>
    </row>
    <row r="63" spans="2:24" ht="15" customHeight="1" x14ac:dyDescent="0.25"/>
    <row r="64" spans="2:2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34:E37">
    <sortCondition descending="1" ref="E34"/>
  </sortState>
  <mergeCells count="3">
    <mergeCell ref="C3:S3"/>
    <mergeCell ref="D5:E5"/>
    <mergeCell ref="B56:R62"/>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0"/>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96" t="s">
        <v>158</v>
      </c>
      <c r="D3" s="296"/>
      <c r="E3" s="296"/>
      <c r="F3" s="296"/>
      <c r="G3" s="296"/>
      <c r="H3" s="296"/>
      <c r="I3" s="296"/>
      <c r="J3" s="296"/>
      <c r="K3" s="296"/>
      <c r="L3" s="296"/>
      <c r="M3" s="296"/>
      <c r="N3" s="297"/>
    </row>
    <row r="4" spans="2:19" ht="15.75" x14ac:dyDescent="0.25">
      <c r="B4" s="93"/>
      <c r="C4" s="67" t="s">
        <v>441</v>
      </c>
      <c r="D4" s="29"/>
      <c r="E4" s="29"/>
      <c r="F4" s="5"/>
      <c r="G4" s="5"/>
      <c r="H4" s="5"/>
      <c r="I4" s="5"/>
      <c r="J4" s="5"/>
      <c r="K4" s="5"/>
      <c r="L4" s="5"/>
      <c r="M4" s="5"/>
      <c r="N4" s="20"/>
    </row>
    <row r="5" spans="2:19" ht="20.25" customHeight="1" x14ac:dyDescent="0.2">
      <c r="B5" s="93"/>
      <c r="C5" s="211" t="s">
        <v>440</v>
      </c>
      <c r="D5" s="313" t="s">
        <v>396</v>
      </c>
      <c r="E5" s="313"/>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7" t="s">
        <v>44</v>
      </c>
      <c r="E7" s="218" t="s">
        <v>45</v>
      </c>
      <c r="F7" s="5"/>
      <c r="G7" s="298" t="s">
        <v>46</v>
      </c>
      <c r="H7" s="298"/>
      <c r="I7" s="298"/>
      <c r="J7" s="298"/>
      <c r="K7" s="298"/>
      <c r="L7" s="298"/>
      <c r="M7" s="298"/>
      <c r="N7" s="299"/>
    </row>
    <row r="8" spans="2:19" x14ac:dyDescent="0.2">
      <c r="B8" s="93"/>
      <c r="C8" s="200" t="s">
        <v>247</v>
      </c>
      <c r="D8" s="200" t="s">
        <v>4</v>
      </c>
      <c r="E8" s="183">
        <v>5.45E-3</v>
      </c>
      <c r="F8" s="5"/>
      <c r="G8" s="230" t="s">
        <v>47</v>
      </c>
      <c r="H8" s="231">
        <v>1</v>
      </c>
      <c r="I8" s="232">
        <f>H8/SUM($H$8:$H$10)</f>
        <v>1</v>
      </c>
      <c r="J8" s="234"/>
      <c r="K8" s="247"/>
      <c r="L8" s="234"/>
      <c r="M8" s="5"/>
      <c r="N8" s="20"/>
      <c r="S8" s="49"/>
    </row>
    <row r="9" spans="2:19" ht="15.75" customHeight="1" x14ac:dyDescent="0.2">
      <c r="B9" s="93"/>
      <c r="C9" s="200" t="s">
        <v>281</v>
      </c>
      <c r="D9" s="200" t="s">
        <v>107</v>
      </c>
      <c r="E9" s="183">
        <v>4.9909999999999998E-3</v>
      </c>
      <c r="F9" s="5"/>
      <c r="G9" s="230" t="s">
        <v>57</v>
      </c>
      <c r="H9" s="233">
        <v>0</v>
      </c>
      <c r="I9" s="232">
        <f>H9/SUM($H$8:$H$10)</f>
        <v>0</v>
      </c>
      <c r="J9" s="230" t="s">
        <v>98</v>
      </c>
      <c r="K9" s="231">
        <f>E23+E25</f>
        <v>0.11769399999999999</v>
      </c>
      <c r="L9" s="230"/>
      <c r="M9" s="5"/>
      <c r="N9" s="20"/>
      <c r="S9" s="49"/>
    </row>
    <row r="10" spans="2:19" x14ac:dyDescent="0.2">
      <c r="B10" s="93"/>
      <c r="C10" s="200" t="s">
        <v>35</v>
      </c>
      <c r="D10" s="200" t="s">
        <v>3</v>
      </c>
      <c r="E10" s="183">
        <v>4.7279999999999961E-3</v>
      </c>
      <c r="F10" s="31"/>
      <c r="G10" s="230" t="s">
        <v>48</v>
      </c>
      <c r="H10" s="233">
        <v>0</v>
      </c>
      <c r="I10" s="232">
        <f>H10/SUM($H$8:$H$10)</f>
        <v>0</v>
      </c>
      <c r="J10" s="230" t="s">
        <v>20</v>
      </c>
      <c r="K10" s="231">
        <f>E47</f>
        <v>3.7885999999999989E-2</v>
      </c>
      <c r="L10" s="230"/>
      <c r="M10" s="5"/>
      <c r="N10" s="20"/>
      <c r="S10" s="49"/>
    </row>
    <row r="11" spans="2:19" x14ac:dyDescent="0.2">
      <c r="B11" s="93"/>
      <c r="C11" s="200" t="s">
        <v>236</v>
      </c>
      <c r="D11" s="200" t="s">
        <v>16</v>
      </c>
      <c r="E11" s="183">
        <v>4.6340000000000001E-3</v>
      </c>
      <c r="F11" s="5"/>
      <c r="G11" s="230"/>
      <c r="H11" s="230"/>
      <c r="I11" s="230"/>
      <c r="J11" s="1"/>
      <c r="K11" s="1"/>
      <c r="L11" s="230"/>
      <c r="M11" s="5"/>
      <c r="N11" s="20"/>
      <c r="S11" s="49"/>
    </row>
    <row r="12" spans="2:19" ht="15.75" customHeight="1" x14ac:dyDescent="0.2">
      <c r="B12" s="93"/>
      <c r="C12" s="200" t="s">
        <v>250</v>
      </c>
      <c r="D12" s="200" t="s">
        <v>110</v>
      </c>
      <c r="E12" s="183">
        <v>4.5999999999999999E-3</v>
      </c>
      <c r="F12" s="31"/>
      <c r="G12" s="230"/>
      <c r="H12" s="231"/>
      <c r="I12" s="230"/>
      <c r="J12" s="230" t="s">
        <v>41</v>
      </c>
      <c r="K12" s="231">
        <f>E37</f>
        <v>6.9947999999999996E-2</v>
      </c>
      <c r="L12" s="230"/>
      <c r="M12" s="5"/>
      <c r="N12" s="20"/>
      <c r="S12" s="49"/>
    </row>
    <row r="13" spans="2:19" x14ac:dyDescent="0.2">
      <c r="B13" s="93"/>
      <c r="C13" s="200" t="s">
        <v>37</v>
      </c>
      <c r="D13" s="200" t="s">
        <v>116</v>
      </c>
      <c r="E13" s="183">
        <v>4.5799999999999999E-3</v>
      </c>
      <c r="F13" s="31"/>
      <c r="G13" s="230"/>
      <c r="H13" s="230"/>
      <c r="I13" s="230"/>
      <c r="J13" s="230"/>
      <c r="K13" s="246"/>
      <c r="L13" s="230"/>
      <c r="M13" s="5"/>
      <c r="N13" s="20"/>
      <c r="S13" s="49"/>
    </row>
    <row r="14" spans="2:19" x14ac:dyDescent="0.2">
      <c r="B14" s="93"/>
      <c r="C14" s="200" t="s">
        <v>87</v>
      </c>
      <c r="D14" s="200" t="s">
        <v>107</v>
      </c>
      <c r="E14" s="183">
        <v>4.5170000000000002E-3</v>
      </c>
      <c r="F14" s="31"/>
      <c r="G14" s="230"/>
      <c r="H14" s="230"/>
      <c r="I14" s="230"/>
      <c r="J14" s="230" t="s">
        <v>214</v>
      </c>
      <c r="K14" s="231">
        <f>E28</f>
        <v>9.5169000000000004E-2</v>
      </c>
      <c r="L14" s="230"/>
      <c r="M14" s="5"/>
      <c r="N14" s="20"/>
      <c r="S14" s="49"/>
    </row>
    <row r="15" spans="2:19" x14ac:dyDescent="0.2">
      <c r="B15" s="93"/>
      <c r="C15" s="200" t="s">
        <v>32</v>
      </c>
      <c r="D15" s="200" t="s">
        <v>3</v>
      </c>
      <c r="E15" s="183">
        <v>4.4160000000000033E-3</v>
      </c>
      <c r="F15" s="5"/>
      <c r="G15" s="230"/>
      <c r="H15" s="230"/>
      <c r="I15" s="230"/>
      <c r="J15" s="230" t="s">
        <v>42</v>
      </c>
      <c r="K15" s="231">
        <f>E40</f>
        <v>5.5864999999999998E-2</v>
      </c>
      <c r="L15" s="230"/>
      <c r="M15" s="5"/>
      <c r="N15" s="20"/>
      <c r="S15" s="49"/>
    </row>
    <row r="16" spans="2:19" x14ac:dyDescent="0.2">
      <c r="B16" s="93"/>
      <c r="C16" s="200" t="s">
        <v>95</v>
      </c>
      <c r="D16" s="200" t="s">
        <v>111</v>
      </c>
      <c r="E16" s="183">
        <v>4.3809999999999995E-3</v>
      </c>
      <c r="F16" s="5"/>
      <c r="G16" s="230"/>
      <c r="H16" s="230"/>
      <c r="I16" s="230"/>
      <c r="J16" s="230" t="s">
        <v>60</v>
      </c>
      <c r="K16" s="231">
        <f>E32</f>
        <v>0.54681000000000002</v>
      </c>
      <c r="L16" s="230"/>
      <c r="M16" s="5"/>
      <c r="N16" s="20"/>
      <c r="S16" s="49"/>
    </row>
    <row r="17" spans="2:19" x14ac:dyDescent="0.2">
      <c r="B17" s="93"/>
      <c r="C17" s="200" t="s">
        <v>70</v>
      </c>
      <c r="D17" s="200" t="s">
        <v>12</v>
      </c>
      <c r="E17" s="183">
        <v>4.3499999999999962E-3</v>
      </c>
      <c r="F17" s="5"/>
      <c r="G17" s="230"/>
      <c r="H17" s="230"/>
      <c r="I17" s="230"/>
      <c r="J17" s="230" t="s">
        <v>299</v>
      </c>
      <c r="K17" s="231">
        <f>E30</f>
        <v>6.9499999999999998E-4</v>
      </c>
      <c r="L17" s="230"/>
      <c r="M17" s="5"/>
      <c r="N17" s="20"/>
      <c r="S17" s="49"/>
    </row>
    <row r="18" spans="2:19" x14ac:dyDescent="0.2">
      <c r="B18" s="93"/>
      <c r="C18" s="200" t="s">
        <v>360</v>
      </c>
      <c r="D18" s="200" t="s">
        <v>85</v>
      </c>
      <c r="E18" s="183">
        <v>4.2059999999999997E-3</v>
      </c>
      <c r="F18" s="5"/>
      <c r="G18" s="230"/>
      <c r="H18" s="230"/>
      <c r="I18" s="230"/>
      <c r="J18" s="230" t="s">
        <v>300</v>
      </c>
      <c r="K18" s="246">
        <f>E45</f>
        <v>7.5931999999999999E-2</v>
      </c>
      <c r="L18" s="230"/>
      <c r="M18" s="5"/>
      <c r="N18" s="20"/>
      <c r="S18" s="49"/>
    </row>
    <row r="19" spans="2:19" x14ac:dyDescent="0.2">
      <c r="B19" s="93"/>
      <c r="C19" s="200" t="s">
        <v>31</v>
      </c>
      <c r="D19" s="200" t="s">
        <v>6</v>
      </c>
      <c r="E19" s="183">
        <v>4.1669999999999971E-3</v>
      </c>
      <c r="F19" s="5"/>
      <c r="G19" s="234"/>
      <c r="H19" s="234"/>
      <c r="I19" s="234"/>
      <c r="J19" s="234"/>
      <c r="K19" s="234"/>
      <c r="L19" s="234"/>
      <c r="M19" s="5"/>
      <c r="N19" s="20"/>
      <c r="S19" s="49"/>
    </row>
    <row r="20" spans="2:19" ht="15.75" customHeight="1" x14ac:dyDescent="0.25">
      <c r="B20" s="93"/>
      <c r="C20" s="200" t="s">
        <v>29</v>
      </c>
      <c r="D20" s="200" t="s">
        <v>3</v>
      </c>
      <c r="E20" s="183">
        <v>4.0909999999999974E-3</v>
      </c>
      <c r="F20" s="5"/>
      <c r="G20" s="316" t="s">
        <v>99</v>
      </c>
      <c r="H20" s="317"/>
      <c r="I20" s="317"/>
      <c r="J20" s="317"/>
      <c r="K20" s="317"/>
      <c r="L20" s="273">
        <v>2.6566597391774347</v>
      </c>
      <c r="M20" s="118"/>
      <c r="N20" s="105"/>
      <c r="P20" s="19"/>
      <c r="S20" s="49"/>
    </row>
    <row r="21" spans="2:19" ht="15.75" x14ac:dyDescent="0.25">
      <c r="B21" s="93"/>
      <c r="C21" s="200" t="s">
        <v>64</v>
      </c>
      <c r="D21" s="200" t="s">
        <v>82</v>
      </c>
      <c r="E21" s="183">
        <v>4.0570000000000007E-3</v>
      </c>
      <c r="F21" s="5"/>
      <c r="G21" s="5"/>
      <c r="H21" s="5"/>
      <c r="I21" s="5"/>
      <c r="J21" s="5"/>
      <c r="K21" s="5"/>
      <c r="L21" s="5"/>
      <c r="M21" s="5"/>
      <c r="N21" s="20"/>
      <c r="P21" s="19"/>
      <c r="S21" s="49"/>
    </row>
    <row r="22" spans="2:19" ht="15.75" x14ac:dyDescent="0.25">
      <c r="B22" s="93"/>
      <c r="C22" s="200" t="s">
        <v>30</v>
      </c>
      <c r="D22" s="200" t="s">
        <v>116</v>
      </c>
      <c r="E22" s="183">
        <v>4.0159999999999987E-3</v>
      </c>
      <c r="F22" s="5"/>
      <c r="G22" s="31"/>
      <c r="H22" s="31"/>
      <c r="I22" s="31"/>
      <c r="J22" s="5"/>
      <c r="K22" s="31"/>
      <c r="L22" s="5"/>
      <c r="M22" s="5"/>
      <c r="N22" s="20"/>
      <c r="P22" s="19"/>
      <c r="S22" s="49"/>
    </row>
    <row r="23" spans="2:19" ht="15.75" customHeight="1" x14ac:dyDescent="0.25">
      <c r="B23" s="93"/>
      <c r="C23" s="106" t="s">
        <v>88</v>
      </c>
      <c r="D23" s="106"/>
      <c r="E23" s="107">
        <f>SUM(E8:E22)</f>
        <v>6.7183999999999994E-2</v>
      </c>
      <c r="F23" s="5"/>
      <c r="G23" s="298" t="s">
        <v>50</v>
      </c>
      <c r="H23" s="298"/>
      <c r="I23" s="298"/>
      <c r="J23" s="298"/>
      <c r="K23" s="298"/>
      <c r="L23" s="298"/>
      <c r="M23" s="298"/>
      <c r="N23" s="299"/>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6" t="s">
        <v>89</v>
      </c>
      <c r="D25" s="106"/>
      <c r="E25" s="107">
        <v>5.0509999999999999E-2</v>
      </c>
      <c r="F25" s="5"/>
      <c r="G25" s="5"/>
      <c r="H25" s="5"/>
      <c r="I25" s="5"/>
      <c r="J25" s="5"/>
      <c r="K25" s="5"/>
      <c r="L25" s="5"/>
      <c r="M25" s="5"/>
      <c r="N25" s="20"/>
      <c r="P25" s="19"/>
      <c r="S25" s="49"/>
    </row>
    <row r="26" spans="2:19" ht="15.75" x14ac:dyDescent="0.25">
      <c r="B26" s="93"/>
      <c r="C26" s="200"/>
      <c r="D26" s="200"/>
      <c r="E26" s="183"/>
      <c r="F26" s="5"/>
      <c r="G26" s="5"/>
      <c r="H26" s="5"/>
      <c r="I26" s="5"/>
      <c r="J26" s="5"/>
      <c r="K26" s="5"/>
      <c r="L26" s="5"/>
      <c r="M26" s="5"/>
      <c r="N26" s="20"/>
      <c r="P26" s="19"/>
      <c r="S26" s="49"/>
    </row>
    <row r="27" spans="2:19" ht="15.75" x14ac:dyDescent="0.25">
      <c r="B27" s="93"/>
      <c r="C27" s="200" t="s">
        <v>215</v>
      </c>
      <c r="D27" s="200"/>
      <c r="E27" s="183">
        <v>9.5169000000000004E-2</v>
      </c>
      <c r="F27" s="5"/>
      <c r="G27" s="5"/>
      <c r="H27" s="5"/>
      <c r="I27" s="5"/>
      <c r="J27" s="5"/>
      <c r="K27" s="5"/>
      <c r="L27" s="5"/>
      <c r="M27" s="5"/>
      <c r="N27" s="20"/>
      <c r="P27" s="19"/>
      <c r="S27" s="49"/>
    </row>
    <row r="28" spans="2:19" ht="15.75" x14ac:dyDescent="0.25">
      <c r="B28" s="93"/>
      <c r="C28" s="106" t="s">
        <v>214</v>
      </c>
      <c r="D28" s="106"/>
      <c r="E28" s="178">
        <v>9.5169000000000004E-2</v>
      </c>
      <c r="F28" s="5"/>
      <c r="G28" s="5"/>
      <c r="H28" s="5"/>
      <c r="I28" s="5"/>
      <c r="J28" s="5"/>
      <c r="K28" s="5"/>
      <c r="L28" s="5"/>
      <c r="M28" s="5"/>
      <c r="N28" s="20"/>
      <c r="P28" s="19"/>
      <c r="S28" s="49"/>
    </row>
    <row r="29" spans="2:19" ht="15.75" x14ac:dyDescent="0.25">
      <c r="B29" s="93"/>
      <c r="C29" s="229"/>
      <c r="D29" s="241"/>
      <c r="E29" s="240"/>
      <c r="F29" s="5"/>
      <c r="G29" s="5"/>
      <c r="H29" s="5"/>
      <c r="I29" s="5"/>
      <c r="J29" s="5"/>
      <c r="K29" s="5"/>
      <c r="L29" s="5"/>
      <c r="M29" s="5"/>
      <c r="N29" s="20"/>
      <c r="P29" s="19"/>
      <c r="S29" s="49"/>
    </row>
    <row r="30" spans="2:19" ht="15.75" x14ac:dyDescent="0.25">
      <c r="B30" s="93"/>
      <c r="C30" s="106" t="s">
        <v>299</v>
      </c>
      <c r="D30" s="242"/>
      <c r="E30" s="178">
        <v>6.9499999999999998E-4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6" t="s">
        <v>58</v>
      </c>
      <c r="D32" s="242"/>
      <c r="E32" s="178">
        <v>0.54681000000000002</v>
      </c>
      <c r="F32" s="5"/>
      <c r="G32" s="5"/>
      <c r="H32" s="5"/>
      <c r="I32" s="5"/>
      <c r="J32" s="5"/>
      <c r="K32" s="5"/>
      <c r="L32" s="5"/>
      <c r="M32" s="5"/>
      <c r="N32" s="20"/>
      <c r="P32" s="19"/>
      <c r="S32" s="49"/>
    </row>
    <row r="33" spans="2:19" ht="15" customHeight="1" x14ac:dyDescent="0.25">
      <c r="B33" s="93"/>
      <c r="C33" s="200" t="s">
        <v>80</v>
      </c>
      <c r="D33" s="243" t="s">
        <v>63</v>
      </c>
      <c r="E33" s="183">
        <v>1.4818E-2</v>
      </c>
      <c r="F33" s="5"/>
      <c r="G33" s="5"/>
      <c r="H33" s="5"/>
      <c r="I33" s="5"/>
      <c r="J33" s="5"/>
      <c r="K33" s="5"/>
      <c r="L33" s="5"/>
      <c r="M33" s="5"/>
      <c r="N33" s="20"/>
      <c r="P33" s="19"/>
      <c r="S33" s="49"/>
    </row>
    <row r="34" spans="2:19" ht="15" customHeight="1" x14ac:dyDescent="0.25">
      <c r="B34" s="93"/>
      <c r="C34" s="200" t="s">
        <v>179</v>
      </c>
      <c r="D34" s="243" t="s">
        <v>63</v>
      </c>
      <c r="E34" s="183">
        <v>1.8336000000000002E-2</v>
      </c>
      <c r="F34" s="5"/>
      <c r="G34" s="5"/>
      <c r="H34" s="5"/>
      <c r="I34" s="5"/>
      <c r="J34" s="5"/>
      <c r="K34" s="5"/>
      <c r="L34" s="5"/>
      <c r="M34" s="5"/>
      <c r="N34" s="20"/>
      <c r="P34" s="19"/>
      <c r="S34" s="49"/>
    </row>
    <row r="35" spans="2:19" s="48" customFormat="1" ht="15.75" x14ac:dyDescent="0.25">
      <c r="B35" s="108"/>
      <c r="C35" s="200" t="s">
        <v>73</v>
      </c>
      <c r="D35" s="243" t="s">
        <v>63</v>
      </c>
      <c r="E35" s="183">
        <v>1.8412999999999999E-2</v>
      </c>
      <c r="F35" s="41"/>
      <c r="G35" s="41"/>
      <c r="H35" s="41"/>
      <c r="I35" s="41"/>
      <c r="J35" s="41"/>
      <c r="K35" s="41"/>
      <c r="L35" s="41"/>
      <c r="M35" s="41"/>
      <c r="N35" s="109"/>
      <c r="P35" s="53"/>
      <c r="S35" s="110"/>
    </row>
    <row r="36" spans="2:19" s="48" customFormat="1" ht="15.75" x14ac:dyDescent="0.25">
      <c r="B36" s="108"/>
      <c r="C36" s="200" t="s">
        <v>75</v>
      </c>
      <c r="D36" s="243" t="s">
        <v>63</v>
      </c>
      <c r="E36" s="183">
        <v>1.8381000000000002E-2</v>
      </c>
      <c r="F36" s="41"/>
      <c r="G36" s="41"/>
      <c r="H36" s="41"/>
      <c r="I36" s="41"/>
      <c r="J36" s="41"/>
      <c r="K36" s="41"/>
      <c r="L36" s="41"/>
      <c r="M36" s="41"/>
      <c r="N36" s="109"/>
      <c r="P36" s="53"/>
      <c r="S36" s="110"/>
    </row>
    <row r="37" spans="2:19" ht="15.75" x14ac:dyDescent="0.25">
      <c r="B37" s="93"/>
      <c r="C37" s="106" t="s">
        <v>49</v>
      </c>
      <c r="D37" s="242"/>
      <c r="E37" s="178">
        <v>6.9947999999999996E-2</v>
      </c>
      <c r="F37" s="5"/>
      <c r="G37" s="5"/>
      <c r="H37" s="5"/>
      <c r="I37" s="5"/>
      <c r="J37" s="5"/>
      <c r="K37" s="5"/>
      <c r="L37" s="5"/>
      <c r="M37" s="5"/>
      <c r="N37" s="20"/>
      <c r="P37" s="19"/>
      <c r="S37" s="49"/>
    </row>
    <row r="38" spans="2:19" ht="15.75" x14ac:dyDescent="0.25">
      <c r="B38" s="93"/>
      <c r="C38" s="27" t="s">
        <v>233</v>
      </c>
      <c r="D38" s="33" t="s">
        <v>61</v>
      </c>
      <c r="E38" s="183">
        <v>3.6742999999999998E-2</v>
      </c>
      <c r="F38" s="5"/>
      <c r="G38" s="5"/>
      <c r="H38" s="5"/>
      <c r="I38" s="5"/>
      <c r="J38" s="5"/>
      <c r="K38" s="5"/>
      <c r="L38" s="5"/>
      <c r="M38" s="5"/>
      <c r="N38" s="20"/>
      <c r="P38" s="19"/>
      <c r="S38" s="49"/>
    </row>
    <row r="39" spans="2:19" ht="15.75" x14ac:dyDescent="0.25">
      <c r="B39" s="93"/>
      <c r="C39" s="27" t="s">
        <v>195</v>
      </c>
      <c r="D39" s="33" t="s">
        <v>61</v>
      </c>
      <c r="E39" s="183">
        <v>1.9122E-2</v>
      </c>
      <c r="F39" s="5"/>
      <c r="G39" s="5"/>
      <c r="H39" s="5"/>
      <c r="I39" s="5"/>
      <c r="J39" s="5"/>
      <c r="K39" s="5"/>
      <c r="L39" s="5"/>
      <c r="M39" s="5"/>
      <c r="N39" s="20"/>
      <c r="P39" s="19"/>
      <c r="S39" s="49"/>
    </row>
    <row r="40" spans="2:19" ht="15.75" x14ac:dyDescent="0.25">
      <c r="B40" s="93"/>
      <c r="C40" s="106" t="s">
        <v>42</v>
      </c>
      <c r="D40" s="242"/>
      <c r="E40" s="178">
        <v>5.5864999999999998E-2</v>
      </c>
      <c r="F40" s="5"/>
      <c r="G40" s="5"/>
      <c r="H40" s="5"/>
      <c r="I40" s="5"/>
      <c r="J40" s="5"/>
      <c r="K40" s="5"/>
      <c r="L40" s="5"/>
      <c r="M40" s="5"/>
      <c r="N40" s="20"/>
      <c r="P40" s="19"/>
      <c r="S40" s="49"/>
    </row>
    <row r="41" spans="2:19" ht="15.75" x14ac:dyDescent="0.25">
      <c r="B41" s="93"/>
      <c r="C41" s="27" t="s">
        <v>324</v>
      </c>
      <c r="D41" s="33" t="s">
        <v>61</v>
      </c>
      <c r="E41" s="183">
        <v>2.4065E-2</v>
      </c>
      <c r="F41" s="5"/>
      <c r="G41" s="5"/>
      <c r="H41" s="5"/>
      <c r="I41" s="5"/>
      <c r="J41" s="5"/>
      <c r="K41" s="5"/>
      <c r="L41" s="5"/>
      <c r="M41" s="5"/>
      <c r="N41" s="20"/>
      <c r="P41" s="19"/>
      <c r="S41" s="49"/>
    </row>
    <row r="42" spans="2:19" ht="15.75" x14ac:dyDescent="0.25">
      <c r="B42" s="93"/>
      <c r="C42" s="27" t="s">
        <v>369</v>
      </c>
      <c r="D42" s="33" t="s">
        <v>61</v>
      </c>
      <c r="E42" s="183">
        <v>1.9335000000000001E-2</v>
      </c>
      <c r="F42" s="5"/>
      <c r="G42" s="5"/>
      <c r="H42" s="5"/>
      <c r="I42" s="5"/>
      <c r="J42" s="5"/>
      <c r="K42" s="5"/>
      <c r="L42" s="5"/>
      <c r="M42" s="5"/>
      <c r="N42" s="20"/>
      <c r="P42" s="19"/>
      <c r="S42" s="49"/>
    </row>
    <row r="43" spans="2:19" ht="15.75" x14ac:dyDescent="0.25">
      <c r="B43" s="93"/>
      <c r="C43" s="27" t="s">
        <v>318</v>
      </c>
      <c r="D43" s="33" t="s">
        <v>61</v>
      </c>
      <c r="E43" s="183">
        <v>1.9019999999999999E-2</v>
      </c>
      <c r="F43" s="5"/>
      <c r="G43" s="5"/>
      <c r="H43" s="5"/>
      <c r="I43" s="5"/>
      <c r="J43" s="5"/>
      <c r="K43" s="5"/>
      <c r="L43" s="5"/>
      <c r="M43" s="5"/>
      <c r="N43" s="20"/>
      <c r="P43" s="19"/>
      <c r="S43" s="49"/>
    </row>
    <row r="44" spans="2:19" ht="15.75" x14ac:dyDescent="0.25">
      <c r="B44" s="93"/>
      <c r="C44" s="27" t="s">
        <v>323</v>
      </c>
      <c r="D44" s="33" t="s">
        <v>61</v>
      </c>
      <c r="E44" s="183">
        <v>1.3512E-2</v>
      </c>
      <c r="F44" s="5"/>
      <c r="G44" s="5"/>
      <c r="H44" s="5"/>
      <c r="I44" s="5"/>
      <c r="J44" s="5"/>
      <c r="K44" s="5"/>
      <c r="L44" s="5"/>
      <c r="M44" s="5"/>
      <c r="N44" s="20"/>
      <c r="P44" s="19"/>
      <c r="S44" s="49"/>
    </row>
    <row r="45" spans="2:19" ht="15.75" x14ac:dyDescent="0.25">
      <c r="B45" s="93"/>
      <c r="C45" s="106" t="s">
        <v>300</v>
      </c>
      <c r="D45" s="242"/>
      <c r="E45" s="178">
        <v>7.5931999999999999E-2</v>
      </c>
      <c r="F45" s="5"/>
      <c r="G45" s="5"/>
      <c r="H45" s="5"/>
      <c r="I45" s="5"/>
      <c r="J45" s="5"/>
      <c r="K45" s="5"/>
      <c r="L45" s="5"/>
      <c r="M45" s="5"/>
      <c r="N45" s="20"/>
      <c r="P45" s="19"/>
      <c r="S45" s="49"/>
    </row>
    <row r="46" spans="2:19" ht="15.75" x14ac:dyDescent="0.25">
      <c r="B46" s="93"/>
      <c r="C46" s="4"/>
      <c r="D46" s="244"/>
      <c r="E46" s="32"/>
      <c r="F46" s="5"/>
      <c r="G46" s="5"/>
      <c r="H46" s="5"/>
      <c r="I46" s="5"/>
      <c r="J46" s="5"/>
      <c r="K46" s="5"/>
      <c r="L46" s="5"/>
      <c r="M46" s="5"/>
      <c r="N46" s="20"/>
      <c r="P46" s="19"/>
      <c r="S46" s="49"/>
    </row>
    <row r="47" spans="2:19" ht="15.75" x14ac:dyDescent="0.25">
      <c r="B47" s="93"/>
      <c r="C47" s="106" t="s">
        <v>20</v>
      </c>
      <c r="D47" s="242"/>
      <c r="E47" s="178">
        <v>3.7885999999999989E-2</v>
      </c>
      <c r="F47" s="5"/>
      <c r="G47" s="5"/>
      <c r="H47" s="5"/>
      <c r="I47" s="5"/>
      <c r="J47" s="5"/>
      <c r="K47" s="5"/>
      <c r="L47" s="5"/>
      <c r="M47" s="5"/>
      <c r="N47" s="20"/>
      <c r="P47" s="19"/>
      <c r="S47" s="49"/>
    </row>
    <row r="48" spans="2:19" ht="15.75" x14ac:dyDescent="0.25">
      <c r="B48" s="93"/>
      <c r="C48" s="4"/>
      <c r="D48" s="244"/>
      <c r="E48" s="32"/>
      <c r="F48" s="5"/>
      <c r="G48" s="5"/>
      <c r="H48" s="5"/>
      <c r="I48" s="5"/>
      <c r="J48" s="5"/>
      <c r="K48" s="5"/>
      <c r="L48" s="5"/>
      <c r="M48" s="5"/>
      <c r="N48" s="20"/>
      <c r="P48" s="19"/>
      <c r="S48" s="49"/>
    </row>
    <row r="49" spans="2:19" ht="15.75" x14ac:dyDescent="0.25">
      <c r="B49" s="93"/>
      <c r="C49" s="113" t="s">
        <v>21</v>
      </c>
      <c r="D49" s="245"/>
      <c r="E49" s="114">
        <f>E47+E45+E40+E37+E32+E30+E28+E25+E23</f>
        <v>0.99999899999999997</v>
      </c>
      <c r="F49" s="5"/>
      <c r="G49" s="5"/>
      <c r="H49" s="5"/>
      <c r="I49" s="5"/>
      <c r="J49" s="5"/>
      <c r="K49" s="5"/>
      <c r="L49" s="5"/>
      <c r="M49" s="5"/>
      <c r="N49" s="20"/>
      <c r="P49" s="19"/>
      <c r="S49" s="49"/>
    </row>
    <row r="50" spans="2:19" ht="15.75" x14ac:dyDescent="0.25">
      <c r="B50" s="93"/>
      <c r="F50" s="5"/>
      <c r="G50" s="5"/>
      <c r="H50" s="5"/>
      <c r="I50" s="5"/>
      <c r="J50" s="5"/>
      <c r="K50" s="5"/>
      <c r="L50" s="5"/>
      <c r="M50" s="5"/>
      <c r="N50" s="20"/>
      <c r="P50" s="19"/>
      <c r="S50" s="49"/>
    </row>
    <row r="51" spans="2:19" ht="11.25" customHeight="1" thickBot="1" x14ac:dyDescent="0.25">
      <c r="B51" s="96"/>
      <c r="C51" s="45"/>
      <c r="D51" s="45"/>
      <c r="E51" s="45"/>
      <c r="F51" s="45"/>
      <c r="G51" s="45"/>
      <c r="H51" s="45"/>
      <c r="I51" s="45"/>
      <c r="J51" s="45"/>
      <c r="K51" s="45"/>
      <c r="L51" s="45"/>
      <c r="M51" s="45"/>
      <c r="N51" s="116"/>
      <c r="S51" s="49"/>
    </row>
    <row r="52" spans="2:19" ht="15.75" thickBot="1" x14ac:dyDescent="0.25">
      <c r="S52" s="49"/>
    </row>
    <row r="53" spans="2:19" ht="15" customHeight="1" x14ac:dyDescent="0.2">
      <c r="B53" s="302" t="s">
        <v>180</v>
      </c>
      <c r="C53" s="303"/>
      <c r="D53" s="303"/>
      <c r="E53" s="303"/>
      <c r="F53" s="303"/>
      <c r="G53" s="303"/>
      <c r="H53" s="303"/>
      <c r="I53" s="303"/>
      <c r="J53" s="303"/>
      <c r="K53" s="303"/>
      <c r="L53" s="303"/>
      <c r="M53" s="303"/>
      <c r="N53" s="303"/>
      <c r="O53" s="303"/>
      <c r="P53" s="303"/>
      <c r="Q53" s="303"/>
      <c r="R53" s="304"/>
      <c r="S53" s="49"/>
    </row>
    <row r="54" spans="2:19" x14ac:dyDescent="0.2">
      <c r="B54" s="305"/>
      <c r="C54" s="306"/>
      <c r="D54" s="306"/>
      <c r="E54" s="306"/>
      <c r="F54" s="306"/>
      <c r="G54" s="306"/>
      <c r="H54" s="306"/>
      <c r="I54" s="306"/>
      <c r="J54" s="306"/>
      <c r="K54" s="306"/>
      <c r="L54" s="306"/>
      <c r="M54" s="306"/>
      <c r="N54" s="306"/>
      <c r="O54" s="306"/>
      <c r="P54" s="306"/>
      <c r="Q54" s="306"/>
      <c r="R54" s="307"/>
      <c r="S54" s="49"/>
    </row>
    <row r="55" spans="2:19" x14ac:dyDescent="0.2">
      <c r="B55" s="305"/>
      <c r="C55" s="306"/>
      <c r="D55" s="306"/>
      <c r="E55" s="306"/>
      <c r="F55" s="306"/>
      <c r="G55" s="306"/>
      <c r="H55" s="306"/>
      <c r="I55" s="306"/>
      <c r="J55" s="306"/>
      <c r="K55" s="306"/>
      <c r="L55" s="306"/>
      <c r="M55" s="306"/>
      <c r="N55" s="306"/>
      <c r="O55" s="306"/>
      <c r="P55" s="306"/>
      <c r="Q55" s="306"/>
      <c r="R55" s="307"/>
      <c r="S55" s="49"/>
    </row>
    <row r="56" spans="2:19" x14ac:dyDescent="0.2">
      <c r="B56" s="305"/>
      <c r="C56" s="306"/>
      <c r="D56" s="306"/>
      <c r="E56" s="306"/>
      <c r="F56" s="306"/>
      <c r="G56" s="306"/>
      <c r="H56" s="306"/>
      <c r="I56" s="306"/>
      <c r="J56" s="306"/>
      <c r="K56" s="306"/>
      <c r="L56" s="306"/>
      <c r="M56" s="306"/>
      <c r="N56" s="306"/>
      <c r="O56" s="306"/>
      <c r="P56" s="306"/>
      <c r="Q56" s="306"/>
      <c r="R56" s="307"/>
      <c r="S56" s="49"/>
    </row>
    <row r="57" spans="2:19" x14ac:dyDescent="0.2">
      <c r="B57" s="305"/>
      <c r="C57" s="306"/>
      <c r="D57" s="306"/>
      <c r="E57" s="306"/>
      <c r="F57" s="306"/>
      <c r="G57" s="306"/>
      <c r="H57" s="306"/>
      <c r="I57" s="306"/>
      <c r="J57" s="306"/>
      <c r="K57" s="306"/>
      <c r="L57" s="306"/>
      <c r="M57" s="306"/>
      <c r="N57" s="306"/>
      <c r="O57" s="306"/>
      <c r="P57" s="306"/>
      <c r="Q57" s="306"/>
      <c r="R57" s="307"/>
      <c r="S57" s="49"/>
    </row>
    <row r="58" spans="2:19" x14ac:dyDescent="0.2">
      <c r="B58" s="305"/>
      <c r="C58" s="306"/>
      <c r="D58" s="306"/>
      <c r="E58" s="306"/>
      <c r="F58" s="306"/>
      <c r="G58" s="306"/>
      <c r="H58" s="306"/>
      <c r="I58" s="306"/>
      <c r="J58" s="306"/>
      <c r="K58" s="306"/>
      <c r="L58" s="306"/>
      <c r="M58" s="306"/>
      <c r="N58" s="306"/>
      <c r="O58" s="306"/>
      <c r="P58" s="306"/>
      <c r="Q58" s="306"/>
      <c r="R58" s="307"/>
      <c r="S58" s="49"/>
    </row>
    <row r="59" spans="2:19" ht="15.75" thickBot="1" x14ac:dyDescent="0.25">
      <c r="B59" s="308"/>
      <c r="C59" s="309"/>
      <c r="D59" s="309"/>
      <c r="E59" s="309"/>
      <c r="F59" s="309"/>
      <c r="G59" s="309"/>
      <c r="H59" s="309"/>
      <c r="I59" s="309"/>
      <c r="J59" s="309"/>
      <c r="K59" s="309"/>
      <c r="L59" s="309"/>
      <c r="M59" s="309"/>
      <c r="N59" s="309"/>
      <c r="O59" s="309"/>
      <c r="P59" s="309"/>
      <c r="Q59" s="309"/>
      <c r="R59" s="310"/>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sheetData>
  <sortState ref="C41:E44">
    <sortCondition descending="1" ref="E41"/>
  </sortState>
  <mergeCells count="6">
    <mergeCell ref="B53:R59"/>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8"/>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7" width="12" style="3" customWidth="1"/>
    <col min="8" max="8" width="12.140625" style="3" customWidth="1"/>
    <col min="9"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96" t="s">
        <v>258</v>
      </c>
      <c r="D3" s="296"/>
      <c r="E3" s="296"/>
      <c r="F3" s="296"/>
      <c r="G3" s="296"/>
      <c r="H3" s="296"/>
      <c r="I3" s="296"/>
      <c r="J3" s="296"/>
      <c r="K3" s="296"/>
      <c r="L3" s="296"/>
      <c r="M3" s="296"/>
      <c r="N3" s="297"/>
    </row>
    <row r="4" spans="2:18" ht="15.75" x14ac:dyDescent="0.25">
      <c r="B4" s="93"/>
      <c r="C4" s="67" t="s">
        <v>441</v>
      </c>
      <c r="D4" s="29"/>
      <c r="E4" s="29"/>
      <c r="F4" s="5"/>
      <c r="G4" s="5"/>
      <c r="H4" s="5"/>
      <c r="I4" s="5"/>
      <c r="J4" s="5"/>
      <c r="K4" s="5"/>
      <c r="L4" s="5"/>
      <c r="M4" s="5"/>
      <c r="N4" s="20"/>
    </row>
    <row r="5" spans="2:18" ht="20.25" customHeight="1" x14ac:dyDescent="0.2">
      <c r="B5" s="93"/>
      <c r="C5" s="211" t="s">
        <v>440</v>
      </c>
      <c r="D5" s="313" t="s">
        <v>397</v>
      </c>
      <c r="E5" s="313"/>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0" t="s">
        <v>43</v>
      </c>
      <c r="D7" s="218" t="s">
        <v>44</v>
      </c>
      <c r="E7" s="117" t="s">
        <v>45</v>
      </c>
      <c r="F7" s="5"/>
      <c r="G7" s="298" t="s">
        <v>46</v>
      </c>
      <c r="H7" s="298"/>
      <c r="I7" s="298"/>
      <c r="J7" s="298"/>
      <c r="K7" s="298"/>
      <c r="L7" s="298"/>
      <c r="M7" s="298"/>
      <c r="N7" s="299"/>
    </row>
    <row r="8" spans="2:18" x14ac:dyDescent="0.2">
      <c r="B8" s="93"/>
      <c r="C8" s="203" t="s">
        <v>370</v>
      </c>
      <c r="D8" s="4" t="s">
        <v>16</v>
      </c>
      <c r="E8" s="205">
        <v>2.0015999999999999E-2</v>
      </c>
      <c r="F8" s="5"/>
      <c r="G8" s="230" t="s">
        <v>47</v>
      </c>
      <c r="H8" s="248">
        <f>100%-H9-H10</f>
        <v>0.85074899999999998</v>
      </c>
      <c r="I8" s="232">
        <f>H8/SUM($H$8:$H$10)</f>
        <v>0.85074899999999998</v>
      </c>
      <c r="J8" s="230"/>
      <c r="K8" s="231"/>
      <c r="L8" s="234"/>
      <c r="M8" s="234"/>
      <c r="N8" s="20"/>
      <c r="R8" s="49"/>
    </row>
    <row r="9" spans="2:18" ht="15.75" customHeight="1" x14ac:dyDescent="0.2">
      <c r="B9" s="93"/>
      <c r="C9" s="203" t="s">
        <v>133</v>
      </c>
      <c r="D9" s="4" t="s">
        <v>111</v>
      </c>
      <c r="E9" s="205">
        <v>1.4652E-2</v>
      </c>
      <c r="F9" s="5"/>
      <c r="G9" s="230" t="s">
        <v>57</v>
      </c>
      <c r="H9" s="248">
        <f>E32+E31+E33</f>
        <v>0.11429</v>
      </c>
      <c r="I9" s="232">
        <f t="shared" ref="I9:I10" si="0">H9/SUM($H$8:$H$10)</f>
        <v>0.11429</v>
      </c>
      <c r="J9" s="230" t="s">
        <v>41</v>
      </c>
      <c r="K9" s="231">
        <f>E36</f>
        <v>0.245085</v>
      </c>
      <c r="L9" s="234"/>
      <c r="M9" s="234"/>
      <c r="N9" s="20"/>
      <c r="R9" s="49"/>
    </row>
    <row r="10" spans="2:18" x14ac:dyDescent="0.2">
      <c r="B10" s="93"/>
      <c r="C10" s="203" t="s">
        <v>104</v>
      </c>
      <c r="D10" s="4" t="s">
        <v>4</v>
      </c>
      <c r="E10" s="205">
        <v>9.5519999999999997E-3</v>
      </c>
      <c r="F10" s="31"/>
      <c r="G10" s="230" t="s">
        <v>48</v>
      </c>
      <c r="H10" s="248">
        <f>E34</f>
        <v>3.4960999999999999E-2</v>
      </c>
      <c r="I10" s="232">
        <f t="shared" si="0"/>
        <v>3.4960999999999999E-2</v>
      </c>
      <c r="J10" s="230" t="s">
        <v>96</v>
      </c>
      <c r="K10" s="231">
        <f>E19+E22+E24</f>
        <v>0.24333300000000002</v>
      </c>
      <c r="L10" s="234"/>
      <c r="M10" s="234"/>
      <c r="N10" s="20"/>
      <c r="R10" s="49"/>
    </row>
    <row r="11" spans="2:18" x14ac:dyDescent="0.2">
      <c r="B11" s="93"/>
      <c r="C11" s="203" t="s">
        <v>135</v>
      </c>
      <c r="D11" s="4" t="s">
        <v>109</v>
      </c>
      <c r="E11" s="205">
        <v>9.3740000000000004E-3</v>
      </c>
      <c r="F11" s="5"/>
      <c r="G11" s="230"/>
      <c r="H11" s="230"/>
      <c r="I11" s="230"/>
      <c r="J11" s="230" t="s">
        <v>20</v>
      </c>
      <c r="K11" s="231">
        <f>E45</f>
        <v>6.3187999999999994E-2</v>
      </c>
      <c r="L11" s="234"/>
      <c r="M11" s="234"/>
      <c r="N11" s="20"/>
      <c r="R11" s="49"/>
    </row>
    <row r="12" spans="2:18" ht="15.75" customHeight="1" x14ac:dyDescent="0.2">
      <c r="B12" s="93"/>
      <c r="C12" s="203" t="s">
        <v>149</v>
      </c>
      <c r="D12" s="4" t="s">
        <v>120</v>
      </c>
      <c r="E12" s="205">
        <v>7.9559999999999995E-3</v>
      </c>
      <c r="F12" s="31"/>
      <c r="G12" s="230"/>
      <c r="H12" s="231"/>
      <c r="I12" s="230"/>
      <c r="J12" s="230" t="s">
        <v>42</v>
      </c>
      <c r="K12" s="231">
        <f>E43</f>
        <v>0.444913</v>
      </c>
      <c r="L12" s="234"/>
      <c r="M12" s="234"/>
      <c r="N12" s="20"/>
      <c r="R12" s="49"/>
    </row>
    <row r="13" spans="2:18" x14ac:dyDescent="0.2">
      <c r="B13" s="93"/>
      <c r="C13" s="203" t="s">
        <v>29</v>
      </c>
      <c r="D13" s="4" t="s">
        <v>3</v>
      </c>
      <c r="E13" s="205">
        <v>7.6740000000000003E-3</v>
      </c>
      <c r="F13" s="31"/>
      <c r="G13" s="230"/>
      <c r="H13" s="230"/>
      <c r="I13" s="230"/>
      <c r="J13" s="230"/>
      <c r="K13" s="231"/>
      <c r="L13" s="234"/>
      <c r="M13" s="234"/>
      <c r="N13" s="20"/>
      <c r="R13" s="49"/>
    </row>
    <row r="14" spans="2:18" x14ac:dyDescent="0.2">
      <c r="B14" s="93"/>
      <c r="C14" s="203" t="s">
        <v>33</v>
      </c>
      <c r="D14" s="4" t="s">
        <v>106</v>
      </c>
      <c r="E14" s="205">
        <v>7.4679999999999998E-3</v>
      </c>
      <c r="F14" s="31"/>
      <c r="G14" s="230"/>
      <c r="H14" s="230"/>
      <c r="I14" s="230"/>
      <c r="J14" s="1" t="s">
        <v>196</v>
      </c>
      <c r="K14" s="235">
        <f>E27</f>
        <v>3.4810000000000002E-3</v>
      </c>
      <c r="L14" s="234"/>
      <c r="M14" s="234"/>
      <c r="N14" s="20"/>
      <c r="R14" s="49"/>
    </row>
    <row r="15" spans="2:18" x14ac:dyDescent="0.2">
      <c r="B15" s="93"/>
      <c r="C15" s="203" t="s">
        <v>147</v>
      </c>
      <c r="D15" s="4" t="s">
        <v>106</v>
      </c>
      <c r="E15" s="205">
        <v>6.319E-3</v>
      </c>
      <c r="F15" s="5"/>
      <c r="G15" s="230"/>
      <c r="H15" s="230"/>
      <c r="I15" s="230"/>
      <c r="J15" s="1"/>
      <c r="K15" s="1"/>
      <c r="L15" s="234"/>
      <c r="M15" s="234"/>
      <c r="N15" s="20"/>
      <c r="R15" s="49"/>
    </row>
    <row r="16" spans="2:18" x14ac:dyDescent="0.2">
      <c r="B16" s="93"/>
      <c r="C16" s="203" t="s">
        <v>36</v>
      </c>
      <c r="D16" s="4" t="s">
        <v>3</v>
      </c>
      <c r="E16" s="205">
        <v>2.7539999999999999E-3</v>
      </c>
      <c r="F16" s="5"/>
      <c r="G16" s="230"/>
      <c r="H16" s="230"/>
      <c r="I16" s="230"/>
      <c r="J16" s="230"/>
      <c r="K16" s="230"/>
      <c r="L16" s="234"/>
      <c r="M16" s="234"/>
      <c r="N16" s="20"/>
      <c r="R16" s="49"/>
    </row>
    <row r="17" spans="2:18" x14ac:dyDescent="0.2">
      <c r="B17" s="93"/>
      <c r="C17" s="203" t="s">
        <v>134</v>
      </c>
      <c r="D17" s="4" t="s">
        <v>3</v>
      </c>
      <c r="E17" s="205">
        <v>1.2509999999999999E-3</v>
      </c>
      <c r="F17" s="5"/>
      <c r="G17" s="5"/>
      <c r="H17" s="5"/>
      <c r="I17" s="5"/>
      <c r="J17" s="5"/>
      <c r="K17" s="5"/>
      <c r="L17" s="5"/>
      <c r="M17" s="5"/>
      <c r="N17" s="20"/>
      <c r="R17" s="49"/>
    </row>
    <row r="18" spans="2:18" x14ac:dyDescent="0.2">
      <c r="B18" s="93"/>
      <c r="C18" s="179"/>
      <c r="D18" s="187"/>
      <c r="E18" s="194"/>
      <c r="F18" s="5"/>
      <c r="G18" s="5"/>
      <c r="H18" s="5"/>
      <c r="I18" s="5"/>
      <c r="J18" s="5"/>
      <c r="K18" s="5"/>
      <c r="L18" s="5"/>
      <c r="M18" s="5"/>
      <c r="N18" s="20"/>
      <c r="R18" s="49"/>
    </row>
    <row r="19" spans="2:18" ht="15.75" x14ac:dyDescent="0.2">
      <c r="B19" s="93"/>
      <c r="C19" s="216" t="s">
        <v>56</v>
      </c>
      <c r="D19" s="115"/>
      <c r="E19" s="217">
        <v>8.7015999999999996E-2</v>
      </c>
      <c r="F19" s="5"/>
      <c r="G19" s="5"/>
      <c r="H19" s="5"/>
      <c r="I19" s="5"/>
      <c r="J19" s="5"/>
      <c r="K19" s="5"/>
      <c r="L19" s="5"/>
      <c r="M19" s="5"/>
      <c r="N19" s="20"/>
      <c r="R19" s="49"/>
    </row>
    <row r="20" spans="2:18" ht="15.75" customHeight="1" x14ac:dyDescent="0.25">
      <c r="B20" s="93"/>
      <c r="C20" s="203"/>
      <c r="D20" s="4"/>
      <c r="E20" s="46"/>
      <c r="F20" s="5"/>
      <c r="G20" s="316" t="s">
        <v>99</v>
      </c>
      <c r="H20" s="317"/>
      <c r="I20" s="317"/>
      <c r="J20" s="317"/>
      <c r="K20" s="317"/>
      <c r="L20" s="294">
        <v>12.561475720438168</v>
      </c>
      <c r="M20" s="104"/>
      <c r="N20" s="105"/>
      <c r="R20" s="49"/>
    </row>
    <row r="21" spans="2:18" x14ac:dyDescent="0.2">
      <c r="B21" s="93"/>
      <c r="C21" s="203" t="s">
        <v>171</v>
      </c>
      <c r="D21" s="4"/>
      <c r="E21" s="205">
        <v>0.15631700000000001</v>
      </c>
      <c r="F21" s="5"/>
      <c r="G21" s="5"/>
      <c r="H21" s="5"/>
      <c r="I21" s="5"/>
      <c r="J21" s="5"/>
      <c r="K21" s="5"/>
      <c r="L21" s="5"/>
      <c r="M21" s="5"/>
      <c r="N21" s="20"/>
      <c r="R21" s="49"/>
    </row>
    <row r="22" spans="2:18" ht="15.75" x14ac:dyDescent="0.2">
      <c r="B22" s="93"/>
      <c r="C22" s="122" t="s">
        <v>81</v>
      </c>
      <c r="D22" s="106"/>
      <c r="E22" s="182">
        <v>0.15631700000000001</v>
      </c>
      <c r="F22" s="5"/>
      <c r="G22" s="31"/>
      <c r="H22" s="31"/>
      <c r="I22" s="31"/>
      <c r="J22" s="5"/>
      <c r="K22" s="31"/>
      <c r="L22" s="5"/>
      <c r="M22" s="5"/>
      <c r="N22" s="20"/>
      <c r="R22" s="49"/>
    </row>
    <row r="23" spans="2:18" ht="15.75" customHeight="1" x14ac:dyDescent="0.2">
      <c r="B23" s="93"/>
      <c r="C23" s="212"/>
      <c r="D23" s="111"/>
      <c r="E23" s="228"/>
      <c r="F23" s="5"/>
      <c r="G23" s="298" t="s">
        <v>50</v>
      </c>
      <c r="H23" s="298"/>
      <c r="I23" s="298"/>
      <c r="J23" s="298"/>
      <c r="K23" s="298"/>
      <c r="L23" s="298"/>
      <c r="M23" s="298"/>
      <c r="N23" s="299"/>
      <c r="R23" s="49"/>
    </row>
    <row r="24" spans="2:18" ht="15.75" x14ac:dyDescent="0.2">
      <c r="B24" s="93"/>
      <c r="C24" s="122" t="s">
        <v>66</v>
      </c>
      <c r="D24" s="106"/>
      <c r="E24" s="206">
        <v>0</v>
      </c>
      <c r="F24" s="5"/>
      <c r="G24" s="5"/>
      <c r="H24" s="5"/>
      <c r="I24" s="5"/>
      <c r="J24" s="5"/>
      <c r="K24" s="5"/>
      <c r="L24" s="5"/>
      <c r="M24" s="5"/>
      <c r="N24" s="20"/>
      <c r="R24" s="49"/>
    </row>
    <row r="25" spans="2:18" x14ac:dyDescent="0.2">
      <c r="B25" s="93"/>
      <c r="C25" s="102"/>
      <c r="D25" s="38"/>
      <c r="E25" s="215"/>
      <c r="F25" s="5"/>
      <c r="G25" s="5"/>
      <c r="H25" s="5"/>
      <c r="I25" s="5"/>
      <c r="J25" s="5"/>
      <c r="K25" s="5"/>
      <c r="L25" s="5"/>
      <c r="M25" s="5"/>
      <c r="N25" s="20"/>
      <c r="R25" s="49"/>
    </row>
    <row r="26" spans="2:18" x14ac:dyDescent="0.2">
      <c r="B26" s="93"/>
      <c r="C26" s="102" t="s">
        <v>196</v>
      </c>
      <c r="D26" s="38"/>
      <c r="E26" s="205">
        <v>3.4810000000000002E-3</v>
      </c>
      <c r="F26" s="5"/>
      <c r="G26" s="5"/>
      <c r="H26" s="5"/>
      <c r="I26" s="5"/>
      <c r="J26" s="5"/>
      <c r="K26" s="5"/>
      <c r="L26" s="5"/>
      <c r="M26" s="5"/>
      <c r="N26" s="20"/>
      <c r="R26" s="49"/>
    </row>
    <row r="27" spans="2:18" ht="15.75" x14ac:dyDescent="0.2">
      <c r="B27" s="93"/>
      <c r="C27" s="122" t="s">
        <v>196</v>
      </c>
      <c r="D27" s="106"/>
      <c r="E27" s="182">
        <v>3.4810000000000002E-3</v>
      </c>
      <c r="F27" s="5"/>
      <c r="G27" s="5"/>
      <c r="H27" s="5"/>
      <c r="I27" s="5"/>
      <c r="J27" s="5"/>
      <c r="K27" s="5"/>
      <c r="L27" s="5"/>
      <c r="M27" s="5"/>
      <c r="N27" s="20"/>
      <c r="R27" s="49"/>
    </row>
    <row r="28" spans="2:18" s="48" customFormat="1" x14ac:dyDescent="0.2">
      <c r="B28" s="108"/>
      <c r="C28" s="202"/>
      <c r="D28" s="190"/>
      <c r="E28" s="205"/>
      <c r="F28" s="41"/>
      <c r="G28" s="41"/>
      <c r="H28" s="41"/>
      <c r="I28" s="41"/>
      <c r="J28" s="41"/>
      <c r="K28" s="41"/>
      <c r="L28" s="41"/>
      <c r="M28" s="41"/>
      <c r="N28" s="109"/>
      <c r="R28" s="110"/>
    </row>
    <row r="29" spans="2:18" x14ac:dyDescent="0.2">
      <c r="B29" s="93"/>
      <c r="C29" s="102"/>
      <c r="D29" s="190"/>
      <c r="E29" s="219"/>
      <c r="F29" s="5"/>
      <c r="G29" s="5"/>
      <c r="H29" s="5"/>
      <c r="I29" s="5"/>
      <c r="J29" s="5"/>
      <c r="K29" s="5"/>
      <c r="L29" s="5"/>
      <c r="M29" s="5"/>
      <c r="N29" s="20"/>
      <c r="R29" s="49"/>
    </row>
    <row r="30" spans="2:18" x14ac:dyDescent="0.2">
      <c r="B30" s="93"/>
      <c r="C30" s="102" t="s">
        <v>80</v>
      </c>
      <c r="D30" s="38" t="s">
        <v>375</v>
      </c>
      <c r="E30" s="205">
        <v>8.7221000000000007E-2</v>
      </c>
      <c r="F30" s="5"/>
      <c r="G30" s="5"/>
      <c r="H30" s="5"/>
      <c r="I30" s="5"/>
      <c r="J30" s="5"/>
      <c r="K30" s="5"/>
      <c r="L30" s="5"/>
      <c r="M30" s="5"/>
      <c r="N30" s="20"/>
      <c r="R30" s="49"/>
    </row>
    <row r="31" spans="2:18" x14ac:dyDescent="0.2">
      <c r="B31" s="93"/>
      <c r="C31" s="102" t="s">
        <v>317</v>
      </c>
      <c r="D31" s="38" t="s">
        <v>376</v>
      </c>
      <c r="E31" s="205">
        <v>4.3908000000000003E-2</v>
      </c>
      <c r="F31" s="5"/>
      <c r="G31" s="5"/>
      <c r="H31" s="5"/>
      <c r="I31" s="5"/>
      <c r="J31" s="5"/>
      <c r="K31" s="5"/>
      <c r="L31" s="5"/>
      <c r="M31" s="5"/>
      <c r="N31" s="20"/>
      <c r="R31" s="49"/>
    </row>
    <row r="32" spans="2:18" x14ac:dyDescent="0.2">
      <c r="B32" s="93"/>
      <c r="C32" s="102" t="s">
        <v>259</v>
      </c>
      <c r="D32" s="38" t="s">
        <v>376</v>
      </c>
      <c r="E32" s="219">
        <v>3.5217999999999999E-2</v>
      </c>
      <c r="F32" s="5"/>
      <c r="G32" s="5"/>
      <c r="H32" s="5"/>
      <c r="I32" s="5"/>
      <c r="J32" s="5"/>
      <c r="K32" s="5"/>
      <c r="L32" s="5"/>
      <c r="M32" s="5"/>
      <c r="N32" s="20"/>
      <c r="R32" s="49"/>
    </row>
    <row r="33" spans="1:18" x14ac:dyDescent="0.2">
      <c r="B33" s="93"/>
      <c r="C33" s="102" t="s">
        <v>256</v>
      </c>
      <c r="D33" s="38" t="s">
        <v>376</v>
      </c>
      <c r="E33" s="205">
        <v>3.5164000000000001E-2</v>
      </c>
      <c r="F33" s="5"/>
      <c r="G33" s="5"/>
      <c r="H33" s="5"/>
      <c r="I33" s="5"/>
      <c r="J33" s="5"/>
      <c r="K33" s="5"/>
      <c r="L33" s="5"/>
      <c r="M33" s="5"/>
      <c r="N33" s="20"/>
      <c r="R33" s="49"/>
    </row>
    <row r="34" spans="1:18" x14ac:dyDescent="0.2">
      <c r="B34" s="93"/>
      <c r="C34" s="102" t="s">
        <v>255</v>
      </c>
      <c r="D34" s="38" t="s">
        <v>374</v>
      </c>
      <c r="E34" s="205">
        <v>3.4960999999999999E-2</v>
      </c>
      <c r="F34" s="5"/>
      <c r="G34" s="5"/>
      <c r="H34" s="5"/>
      <c r="I34" s="5"/>
      <c r="J34" s="5"/>
      <c r="K34" s="5"/>
      <c r="L34" s="5"/>
      <c r="M34" s="5"/>
      <c r="N34" s="20"/>
      <c r="R34" s="49"/>
    </row>
    <row r="35" spans="1:18" x14ac:dyDescent="0.2">
      <c r="B35" s="93"/>
      <c r="C35" s="102" t="s">
        <v>69</v>
      </c>
      <c r="D35" s="38" t="s">
        <v>375</v>
      </c>
      <c r="E35" s="205">
        <v>8.6130000000000009E-3</v>
      </c>
      <c r="F35" s="5"/>
      <c r="G35" s="5"/>
      <c r="H35" s="5"/>
      <c r="I35" s="5"/>
      <c r="J35" s="5"/>
      <c r="K35" s="5"/>
      <c r="L35" s="5"/>
      <c r="M35" s="5"/>
      <c r="N35" s="20"/>
      <c r="R35" s="49"/>
    </row>
    <row r="36" spans="1:18" ht="15.75" x14ac:dyDescent="0.2">
      <c r="B36" s="93"/>
      <c r="C36" s="122" t="s">
        <v>49</v>
      </c>
      <c r="D36" s="106"/>
      <c r="E36" s="206">
        <v>0.245085</v>
      </c>
      <c r="F36" s="5"/>
      <c r="G36" s="5"/>
      <c r="H36" s="5"/>
      <c r="I36" s="5"/>
      <c r="J36" s="5"/>
      <c r="K36" s="5"/>
      <c r="L36" s="5"/>
      <c r="M36" s="5"/>
      <c r="N36" s="20"/>
      <c r="R36" s="49"/>
    </row>
    <row r="37" spans="1:18" x14ac:dyDescent="0.2">
      <c r="B37" s="93"/>
      <c r="C37" s="102"/>
      <c r="D37" s="38"/>
      <c r="E37" s="205"/>
      <c r="F37" s="5"/>
      <c r="G37" s="5"/>
      <c r="H37" s="5"/>
      <c r="I37" s="5"/>
      <c r="J37" s="5"/>
      <c r="K37" s="5"/>
      <c r="L37" s="5"/>
      <c r="M37" s="5"/>
      <c r="N37" s="20"/>
      <c r="R37" s="49"/>
    </row>
    <row r="38" spans="1:18" x14ac:dyDescent="0.2">
      <c r="B38" s="93"/>
      <c r="C38" s="102" t="s">
        <v>216</v>
      </c>
      <c r="D38" s="38" t="s">
        <v>61</v>
      </c>
      <c r="E38" s="205">
        <v>0.27393299999999998</v>
      </c>
      <c r="F38" s="5"/>
      <c r="G38" s="5"/>
      <c r="H38" s="5"/>
      <c r="I38" s="5"/>
      <c r="J38" s="5"/>
      <c r="K38" s="5"/>
      <c r="L38" s="5"/>
      <c r="M38" s="5"/>
      <c r="N38" s="20"/>
      <c r="R38" s="49"/>
    </row>
    <row r="39" spans="1:18" x14ac:dyDescent="0.2">
      <c r="B39" s="93"/>
      <c r="C39" s="102" t="s">
        <v>191</v>
      </c>
      <c r="D39" s="38" t="s">
        <v>61</v>
      </c>
      <c r="E39" s="205">
        <v>0.13542999999999999</v>
      </c>
      <c r="F39" s="5"/>
      <c r="G39" s="5"/>
      <c r="H39" s="5"/>
      <c r="I39" s="5"/>
      <c r="J39" s="5"/>
      <c r="K39" s="5"/>
      <c r="L39" s="5"/>
      <c r="M39" s="5"/>
      <c r="N39" s="20"/>
      <c r="R39" s="49"/>
    </row>
    <row r="40" spans="1:18" x14ac:dyDescent="0.2">
      <c r="B40" s="93"/>
      <c r="C40" s="102" t="s">
        <v>102</v>
      </c>
      <c r="D40" s="38" t="s">
        <v>61</v>
      </c>
      <c r="E40" s="205">
        <v>2.3296000000000001E-2</v>
      </c>
      <c r="F40" s="5"/>
      <c r="G40" s="5"/>
      <c r="H40" s="5"/>
      <c r="I40" s="5"/>
      <c r="J40" s="5"/>
      <c r="K40" s="5"/>
      <c r="L40" s="5"/>
      <c r="M40" s="5"/>
      <c r="N40" s="20"/>
      <c r="R40" s="49"/>
    </row>
    <row r="41" spans="1:18" x14ac:dyDescent="0.2">
      <c r="B41" s="93"/>
      <c r="C41" s="102" t="s">
        <v>139</v>
      </c>
      <c r="D41" s="38" t="s">
        <v>61</v>
      </c>
      <c r="E41" s="205">
        <v>1.0657E-2</v>
      </c>
      <c r="F41" s="5"/>
      <c r="G41" s="5"/>
      <c r="H41" s="5"/>
      <c r="I41" s="5"/>
      <c r="J41" s="5"/>
      <c r="K41" s="5"/>
      <c r="L41" s="5"/>
      <c r="M41" s="5"/>
      <c r="N41" s="20"/>
      <c r="R41" s="49"/>
    </row>
    <row r="42" spans="1:18" x14ac:dyDescent="0.2">
      <c r="B42" s="93"/>
      <c r="C42" s="102" t="s">
        <v>67</v>
      </c>
      <c r="D42" s="38" t="s">
        <v>61</v>
      </c>
      <c r="E42" s="205">
        <v>1.5969999999999999E-3</v>
      </c>
      <c r="F42" s="5"/>
      <c r="G42" s="5"/>
      <c r="H42" s="5"/>
      <c r="I42" s="5"/>
      <c r="J42" s="5"/>
      <c r="K42" s="5"/>
      <c r="L42" s="5"/>
      <c r="M42" s="5"/>
      <c r="N42" s="20"/>
      <c r="R42" s="49"/>
    </row>
    <row r="43" spans="1:18" ht="15.75" x14ac:dyDescent="0.2">
      <c r="B43" s="93"/>
      <c r="C43" s="122" t="s">
        <v>42</v>
      </c>
      <c r="D43" s="106"/>
      <c r="E43" s="182">
        <v>0.444913</v>
      </c>
      <c r="F43" s="5"/>
      <c r="G43" s="5"/>
      <c r="H43" s="5"/>
      <c r="I43" s="5"/>
      <c r="J43" s="5"/>
      <c r="K43" s="5"/>
      <c r="L43" s="5"/>
      <c r="M43" s="5"/>
      <c r="N43" s="20"/>
      <c r="R43" s="49"/>
    </row>
    <row r="44" spans="1:18" x14ac:dyDescent="0.2">
      <c r="B44" s="93"/>
      <c r="C44" s="102"/>
      <c r="D44" s="38"/>
      <c r="E44" s="207"/>
      <c r="F44" s="5"/>
      <c r="G44" s="44"/>
      <c r="H44" s="5"/>
      <c r="I44" s="5"/>
      <c r="J44" s="5"/>
      <c r="K44" s="5"/>
      <c r="L44" s="5"/>
      <c r="M44" s="5"/>
      <c r="N44" s="20"/>
      <c r="R44" s="49"/>
    </row>
    <row r="45" spans="1:18" ht="15.75" x14ac:dyDescent="0.2">
      <c r="B45" s="93"/>
      <c r="C45" s="122" t="s">
        <v>20</v>
      </c>
      <c r="D45" s="106"/>
      <c r="E45" s="206">
        <v>6.3187999999999994E-2</v>
      </c>
      <c r="F45" s="5"/>
      <c r="G45" s="5"/>
      <c r="H45" s="5"/>
      <c r="I45" s="5"/>
      <c r="J45" s="5"/>
      <c r="K45" s="5"/>
      <c r="L45" s="5"/>
      <c r="M45" s="5"/>
      <c r="N45" s="20"/>
      <c r="R45" s="49"/>
    </row>
    <row r="46" spans="1:18" x14ac:dyDescent="0.2">
      <c r="A46" s="5"/>
      <c r="B46" s="93"/>
      <c r="C46" s="203"/>
      <c r="D46" s="4"/>
      <c r="E46" s="208"/>
      <c r="F46" s="5"/>
      <c r="J46" s="5"/>
      <c r="K46" s="5"/>
      <c r="L46" s="5"/>
      <c r="M46" s="5"/>
      <c r="N46" s="20"/>
      <c r="O46" s="5"/>
      <c r="R46" s="49"/>
    </row>
    <row r="47" spans="1:18" ht="15.75" x14ac:dyDescent="0.2">
      <c r="A47" s="5"/>
      <c r="B47" s="93"/>
      <c r="C47" s="204" t="s">
        <v>21</v>
      </c>
      <c r="D47" s="113"/>
      <c r="E47" s="209">
        <f>E45+E43+E36+E27+E24+E22+E19</f>
        <v>1</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54"/>
      <c r="D49" s="54"/>
      <c r="E49" s="55"/>
      <c r="F49" s="45"/>
      <c r="G49" s="45"/>
      <c r="H49" s="45"/>
      <c r="I49" s="45"/>
      <c r="J49" s="45"/>
      <c r="K49" s="45"/>
      <c r="L49" s="45"/>
      <c r="M49" s="45"/>
      <c r="N49" s="116"/>
      <c r="O49" s="5"/>
      <c r="R49" s="49"/>
    </row>
    <row r="50" spans="1:18" ht="15.75" thickBot="1" x14ac:dyDescent="0.25">
      <c r="R50" s="49"/>
    </row>
    <row r="51" spans="1:18" ht="15" customHeight="1" x14ac:dyDescent="0.2">
      <c r="B51" s="302" t="s">
        <v>180</v>
      </c>
      <c r="C51" s="303"/>
      <c r="D51" s="303"/>
      <c r="E51" s="303"/>
      <c r="F51" s="303"/>
      <c r="G51" s="303"/>
      <c r="H51" s="303"/>
      <c r="I51" s="303"/>
      <c r="J51" s="303"/>
      <c r="K51" s="303"/>
      <c r="L51" s="303"/>
      <c r="M51" s="303"/>
      <c r="N51" s="303"/>
      <c r="O51" s="303"/>
      <c r="P51" s="303"/>
      <c r="Q51" s="303"/>
      <c r="R51" s="304"/>
    </row>
    <row r="52" spans="1:18" x14ac:dyDescent="0.2">
      <c r="B52" s="305"/>
      <c r="C52" s="306"/>
      <c r="D52" s="306"/>
      <c r="E52" s="306"/>
      <c r="F52" s="306"/>
      <c r="G52" s="306"/>
      <c r="H52" s="306"/>
      <c r="I52" s="306"/>
      <c r="J52" s="306"/>
      <c r="K52" s="306"/>
      <c r="L52" s="306"/>
      <c r="M52" s="306"/>
      <c r="N52" s="306"/>
      <c r="O52" s="306"/>
      <c r="P52" s="306"/>
      <c r="Q52" s="306"/>
      <c r="R52" s="307"/>
    </row>
    <row r="53" spans="1:18" x14ac:dyDescent="0.2">
      <c r="B53" s="305"/>
      <c r="C53" s="306"/>
      <c r="D53" s="306"/>
      <c r="E53" s="306"/>
      <c r="F53" s="306"/>
      <c r="G53" s="306"/>
      <c r="H53" s="306"/>
      <c r="I53" s="306"/>
      <c r="J53" s="306"/>
      <c r="K53" s="306"/>
      <c r="L53" s="306"/>
      <c r="M53" s="306"/>
      <c r="N53" s="306"/>
      <c r="O53" s="306"/>
      <c r="P53" s="306"/>
      <c r="Q53" s="306"/>
      <c r="R53" s="307"/>
    </row>
    <row r="54" spans="1:18" x14ac:dyDescent="0.2">
      <c r="B54" s="305"/>
      <c r="C54" s="306"/>
      <c r="D54" s="306"/>
      <c r="E54" s="306"/>
      <c r="F54" s="306"/>
      <c r="G54" s="306"/>
      <c r="H54" s="306"/>
      <c r="I54" s="306"/>
      <c r="J54" s="306"/>
      <c r="K54" s="306"/>
      <c r="L54" s="306"/>
      <c r="M54" s="306"/>
      <c r="N54" s="306"/>
      <c r="O54" s="306"/>
      <c r="P54" s="306"/>
      <c r="Q54" s="306"/>
      <c r="R54" s="307"/>
    </row>
    <row r="55" spans="1:18" x14ac:dyDescent="0.2">
      <c r="B55" s="305"/>
      <c r="C55" s="306"/>
      <c r="D55" s="306"/>
      <c r="E55" s="306"/>
      <c r="F55" s="306"/>
      <c r="G55" s="306"/>
      <c r="H55" s="306"/>
      <c r="I55" s="306"/>
      <c r="J55" s="306"/>
      <c r="K55" s="306"/>
      <c r="L55" s="306"/>
      <c r="M55" s="306"/>
      <c r="N55" s="306"/>
      <c r="O55" s="306"/>
      <c r="P55" s="306"/>
      <c r="Q55" s="306"/>
      <c r="R55" s="307"/>
    </row>
    <row r="56" spans="1:18" x14ac:dyDescent="0.2">
      <c r="B56" s="305"/>
      <c r="C56" s="306"/>
      <c r="D56" s="306"/>
      <c r="E56" s="306"/>
      <c r="F56" s="306"/>
      <c r="G56" s="306"/>
      <c r="H56" s="306"/>
      <c r="I56" s="306"/>
      <c r="J56" s="306"/>
      <c r="K56" s="306"/>
      <c r="L56" s="306"/>
      <c r="M56" s="306"/>
      <c r="N56" s="306"/>
      <c r="O56" s="306"/>
      <c r="P56" s="306"/>
      <c r="Q56" s="306"/>
      <c r="R56" s="307"/>
    </row>
    <row r="57" spans="1:18" ht="15.75" thickBot="1" x14ac:dyDescent="0.25">
      <c r="B57" s="308"/>
      <c r="C57" s="309"/>
      <c r="D57" s="309"/>
      <c r="E57" s="309"/>
      <c r="F57" s="309"/>
      <c r="G57" s="309"/>
      <c r="H57" s="309"/>
      <c r="I57" s="309"/>
      <c r="J57" s="309"/>
      <c r="K57" s="309"/>
      <c r="L57" s="309"/>
      <c r="M57" s="309"/>
      <c r="N57" s="309"/>
      <c r="O57" s="309"/>
      <c r="P57" s="309"/>
      <c r="Q57" s="309"/>
      <c r="R57" s="310"/>
    </row>
    <row r="58" spans="1:18" ht="15.75" thickBot="1" x14ac:dyDescent="0.25">
      <c r="R58" s="49"/>
    </row>
    <row r="59" spans="1:18" x14ac:dyDescent="0.2">
      <c r="B59" s="318" t="s">
        <v>200</v>
      </c>
      <c r="C59" s="319"/>
      <c r="D59" s="319"/>
      <c r="E59" s="319"/>
      <c r="F59" s="319"/>
      <c r="G59" s="319"/>
      <c r="H59" s="319"/>
      <c r="I59" s="319"/>
      <c r="J59" s="319"/>
      <c r="K59" s="319"/>
      <c r="L59" s="319"/>
      <c r="M59" s="319"/>
      <c r="N59" s="320"/>
      <c r="R59" s="49"/>
    </row>
    <row r="60" spans="1:18" x14ac:dyDescent="0.2">
      <c r="B60" s="321"/>
      <c r="C60" s="322"/>
      <c r="D60" s="322"/>
      <c r="E60" s="322"/>
      <c r="F60" s="322"/>
      <c r="G60" s="322"/>
      <c r="H60" s="322"/>
      <c r="I60" s="322"/>
      <c r="J60" s="322"/>
      <c r="K60" s="322"/>
      <c r="L60" s="322"/>
      <c r="M60" s="322"/>
      <c r="N60" s="323"/>
      <c r="R60" s="49"/>
    </row>
    <row r="61" spans="1:18" x14ac:dyDescent="0.2">
      <c r="B61" s="321"/>
      <c r="C61" s="322"/>
      <c r="D61" s="322"/>
      <c r="E61" s="322"/>
      <c r="F61" s="322"/>
      <c r="G61" s="322"/>
      <c r="H61" s="322"/>
      <c r="I61" s="322"/>
      <c r="J61" s="322"/>
      <c r="K61" s="322"/>
      <c r="L61" s="322"/>
      <c r="M61" s="322"/>
      <c r="N61" s="323"/>
      <c r="R61" s="49"/>
    </row>
    <row r="62" spans="1:18" ht="15.75" thickBot="1" x14ac:dyDescent="0.25">
      <c r="B62" s="324"/>
      <c r="C62" s="325"/>
      <c r="D62" s="325"/>
      <c r="E62" s="325"/>
      <c r="F62" s="325"/>
      <c r="G62" s="325"/>
      <c r="H62" s="325"/>
      <c r="I62" s="325"/>
      <c r="J62" s="325"/>
      <c r="K62" s="325"/>
      <c r="L62" s="325"/>
      <c r="M62" s="325"/>
      <c r="N62" s="326"/>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8:E42">
    <sortCondition descending="1" ref="E38"/>
  </sortState>
  <mergeCells count="7">
    <mergeCell ref="B59:N62"/>
    <mergeCell ref="B51:R57"/>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96" t="s">
        <v>377</v>
      </c>
      <c r="D3" s="296"/>
      <c r="E3" s="296"/>
      <c r="F3" s="296"/>
      <c r="G3" s="296"/>
      <c r="H3" s="296"/>
      <c r="I3" s="296"/>
      <c r="J3" s="296"/>
      <c r="K3" s="296"/>
      <c r="L3" s="296"/>
      <c r="M3" s="296"/>
      <c r="N3" s="297"/>
    </row>
    <row r="4" spans="2:18" ht="15.75" x14ac:dyDescent="0.25">
      <c r="B4" s="93"/>
      <c r="C4" s="67" t="s">
        <v>441</v>
      </c>
      <c r="D4" s="29"/>
      <c r="E4" s="29"/>
      <c r="F4" s="5"/>
      <c r="G4" s="5"/>
      <c r="H4" s="5"/>
      <c r="I4" s="5"/>
      <c r="J4" s="5"/>
      <c r="K4" s="5"/>
      <c r="L4" s="5"/>
      <c r="M4" s="5"/>
      <c r="N4" s="20"/>
    </row>
    <row r="5" spans="2:18" ht="20.25" customHeight="1" x14ac:dyDescent="0.2">
      <c r="B5" s="93"/>
      <c r="C5" s="211" t="s">
        <v>440</v>
      </c>
      <c r="D5" s="313" t="s">
        <v>398</v>
      </c>
      <c r="E5" s="313"/>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98" t="s">
        <v>46</v>
      </c>
      <c r="H7" s="298"/>
      <c r="I7" s="298"/>
      <c r="J7" s="298"/>
      <c r="K7" s="298"/>
      <c r="L7" s="298"/>
      <c r="M7" s="298"/>
      <c r="N7" s="299"/>
    </row>
    <row r="8" spans="2:18" x14ac:dyDescent="0.2">
      <c r="B8" s="93"/>
      <c r="C8" s="38" t="s">
        <v>32</v>
      </c>
      <c r="D8" s="58" t="s">
        <v>3</v>
      </c>
      <c r="E8" s="6">
        <v>5.6251000000000002E-2</v>
      </c>
      <c r="F8" s="5"/>
      <c r="G8" s="164" t="s">
        <v>47</v>
      </c>
      <c r="H8" s="236">
        <f>100%-H9-H10</f>
        <v>0.96553599999999995</v>
      </c>
      <c r="I8" s="237">
        <f>H8/SUM($H$8:$H$10)</f>
        <v>0.96553599999999995</v>
      </c>
      <c r="J8" s="230"/>
      <c r="K8" s="231"/>
      <c r="L8" s="283"/>
      <c r="M8" s="283"/>
      <c r="N8" s="20"/>
      <c r="R8" s="49"/>
    </row>
    <row r="9" spans="2:18" ht="15.75" customHeight="1" x14ac:dyDescent="0.2">
      <c r="B9" s="93"/>
      <c r="C9" s="38" t="s">
        <v>31</v>
      </c>
      <c r="D9" s="58" t="s">
        <v>6</v>
      </c>
      <c r="E9" s="6">
        <v>3.5753E-2</v>
      </c>
      <c r="F9" s="5"/>
      <c r="G9" s="164" t="s">
        <v>57</v>
      </c>
      <c r="H9" s="236">
        <f>E31+E33+E34</f>
        <v>2.7112000000000001E-2</v>
      </c>
      <c r="I9" s="237">
        <f>H9/SUM($H$8:$H$10)</f>
        <v>2.7112000000000001E-2</v>
      </c>
      <c r="J9" s="230" t="s">
        <v>41</v>
      </c>
      <c r="K9" s="231">
        <f>E38</f>
        <v>8.8190000000000004E-2</v>
      </c>
      <c r="L9" s="283"/>
      <c r="M9" s="283"/>
      <c r="N9" s="20"/>
      <c r="R9" s="49"/>
    </row>
    <row r="10" spans="2:18" x14ac:dyDescent="0.2">
      <c r="B10" s="93"/>
      <c r="C10" s="38" t="s">
        <v>36</v>
      </c>
      <c r="D10" s="58" t="s">
        <v>3</v>
      </c>
      <c r="E10" s="6">
        <v>3.2119000000000002E-2</v>
      </c>
      <c r="F10" s="31"/>
      <c r="G10" s="164" t="s">
        <v>48</v>
      </c>
      <c r="H10" s="236">
        <f>E35</f>
        <v>7.352E-3</v>
      </c>
      <c r="I10" s="237">
        <f>H10/SUM($H$8:$H$10)</f>
        <v>7.352E-3</v>
      </c>
      <c r="J10" s="230" t="s">
        <v>140</v>
      </c>
      <c r="K10" s="231">
        <f>E24+E26</f>
        <v>0.76903199999999994</v>
      </c>
      <c r="L10" s="283"/>
      <c r="M10" s="283"/>
      <c r="N10" s="20"/>
      <c r="R10" s="49"/>
    </row>
    <row r="11" spans="2:18" x14ac:dyDescent="0.2">
      <c r="B11" s="93"/>
      <c r="C11" s="38" t="s">
        <v>70</v>
      </c>
      <c r="D11" s="58" t="s">
        <v>12</v>
      </c>
      <c r="E11" s="6">
        <v>3.1889000000000001E-2</v>
      </c>
      <c r="F11" s="5"/>
      <c r="G11" s="230"/>
      <c r="H11" s="230"/>
      <c r="I11" s="230"/>
      <c r="J11" s="230"/>
      <c r="K11" s="231"/>
      <c r="L11" s="283"/>
      <c r="M11" s="283"/>
      <c r="N11" s="20"/>
      <c r="R11" s="49"/>
    </row>
    <row r="12" spans="2:18" ht="15.75" customHeight="1" x14ac:dyDescent="0.2">
      <c r="B12" s="93"/>
      <c r="C12" s="38" t="s">
        <v>33</v>
      </c>
      <c r="D12" s="58" t="s">
        <v>106</v>
      </c>
      <c r="E12" s="6">
        <v>2.7989E-2</v>
      </c>
      <c r="F12" s="31"/>
      <c r="G12" s="230"/>
      <c r="H12" s="231"/>
      <c r="I12" s="230"/>
      <c r="J12" s="230" t="s">
        <v>20</v>
      </c>
      <c r="K12" s="231">
        <f>E49</f>
        <v>2.9298000000000001E-2</v>
      </c>
      <c r="L12" s="283"/>
      <c r="M12" s="283"/>
      <c r="N12" s="20"/>
      <c r="R12" s="49"/>
    </row>
    <row r="13" spans="2:18" x14ac:dyDescent="0.2">
      <c r="B13" s="93"/>
      <c r="C13" s="38" t="s">
        <v>247</v>
      </c>
      <c r="D13" s="58" t="s">
        <v>4</v>
      </c>
      <c r="E13" s="6">
        <v>2.7555000000000003E-2</v>
      </c>
      <c r="F13" s="31"/>
      <c r="G13" s="230"/>
      <c r="H13" s="230"/>
      <c r="I13" s="230"/>
      <c r="J13" s="230" t="s">
        <v>42</v>
      </c>
      <c r="K13" s="231">
        <f>E43</f>
        <v>9.5788999999999999E-2</v>
      </c>
      <c r="L13" s="283"/>
      <c r="M13" s="283"/>
      <c r="N13" s="20"/>
      <c r="R13" s="49"/>
    </row>
    <row r="14" spans="2:18" x14ac:dyDescent="0.2">
      <c r="B14" s="93"/>
      <c r="C14" s="38" t="s">
        <v>192</v>
      </c>
      <c r="D14" s="58" t="s">
        <v>105</v>
      </c>
      <c r="E14" s="6">
        <v>2.7216000000000001E-2</v>
      </c>
      <c r="F14" s="31"/>
      <c r="G14" s="230"/>
      <c r="H14" s="230"/>
      <c r="I14" s="230"/>
      <c r="J14" s="230" t="s">
        <v>300</v>
      </c>
      <c r="K14" s="231">
        <f>E47</f>
        <v>1.7559000000000002E-2</v>
      </c>
      <c r="L14" s="283"/>
      <c r="M14" s="283"/>
      <c r="N14" s="20"/>
      <c r="R14" s="49"/>
    </row>
    <row r="15" spans="2:18" x14ac:dyDescent="0.2">
      <c r="B15" s="93"/>
      <c r="C15" s="38" t="s">
        <v>29</v>
      </c>
      <c r="D15" s="58" t="s">
        <v>3</v>
      </c>
      <c r="E15" s="6">
        <v>2.7099000000000002E-2</v>
      </c>
      <c r="F15" s="5"/>
      <c r="G15" s="230"/>
      <c r="H15" s="230"/>
      <c r="I15" s="230"/>
      <c r="J15" s="230" t="s">
        <v>299</v>
      </c>
      <c r="K15" s="231">
        <v>1.3200000000000001E-4</v>
      </c>
      <c r="L15" s="283"/>
      <c r="M15" s="283"/>
      <c r="N15" s="20"/>
      <c r="R15" s="49"/>
    </row>
    <row r="16" spans="2:18" x14ac:dyDescent="0.2">
      <c r="B16" s="93"/>
      <c r="C16" s="38" t="s">
        <v>104</v>
      </c>
      <c r="D16" s="58" t="s">
        <v>4</v>
      </c>
      <c r="E16" s="6">
        <v>2.4982000000000001E-2</v>
      </c>
      <c r="F16" s="5"/>
      <c r="G16" s="230"/>
      <c r="H16" s="230"/>
      <c r="I16" s="230"/>
      <c r="J16" s="230"/>
      <c r="K16" s="230"/>
      <c r="L16" s="283"/>
      <c r="M16" s="283"/>
      <c r="N16" s="20"/>
      <c r="R16" s="49"/>
    </row>
    <row r="17" spans="2:18" x14ac:dyDescent="0.2">
      <c r="B17" s="93"/>
      <c r="C17" s="38" t="s">
        <v>78</v>
      </c>
      <c r="D17" s="58" t="s">
        <v>3</v>
      </c>
      <c r="E17" s="6">
        <v>2.4889000000000001E-2</v>
      </c>
      <c r="F17" s="5"/>
      <c r="G17" s="230"/>
      <c r="H17" s="230"/>
      <c r="I17" s="230"/>
      <c r="J17" s="230"/>
      <c r="K17" s="230"/>
      <c r="L17" s="283"/>
      <c r="M17" s="283"/>
      <c r="N17" s="20"/>
      <c r="R17" s="49"/>
    </row>
    <row r="18" spans="2:18" x14ac:dyDescent="0.2">
      <c r="B18" s="93"/>
      <c r="C18" s="38" t="s">
        <v>119</v>
      </c>
      <c r="D18" s="58" t="s">
        <v>111</v>
      </c>
      <c r="E18" s="6">
        <v>2.0211E-2</v>
      </c>
      <c r="F18" s="5"/>
      <c r="G18" s="5"/>
      <c r="H18" s="5"/>
      <c r="I18" s="5"/>
      <c r="J18" s="5"/>
      <c r="K18" s="5"/>
      <c r="L18" s="5"/>
      <c r="M18" s="5"/>
      <c r="N18" s="20"/>
      <c r="R18" s="49"/>
    </row>
    <row r="19" spans="2:18" ht="30" x14ac:dyDescent="0.2">
      <c r="B19" s="93"/>
      <c r="C19" s="38" t="s">
        <v>267</v>
      </c>
      <c r="D19" s="58" t="s">
        <v>182</v>
      </c>
      <c r="E19" s="6">
        <v>1.9918000000000002E-2</v>
      </c>
      <c r="F19" s="5"/>
      <c r="G19" s="5"/>
      <c r="H19" s="5"/>
      <c r="I19" s="5"/>
      <c r="J19" s="5"/>
      <c r="K19" s="5"/>
      <c r="L19" s="5"/>
      <c r="M19" s="5"/>
      <c r="N19" s="20"/>
      <c r="R19" s="49"/>
    </row>
    <row r="20" spans="2:18" ht="33.75" customHeight="1" x14ac:dyDescent="0.25">
      <c r="B20" s="93"/>
      <c r="C20" s="38" t="s">
        <v>217</v>
      </c>
      <c r="D20" s="58" t="s">
        <v>26</v>
      </c>
      <c r="E20" s="6">
        <v>1.8048999999999999E-2</v>
      </c>
      <c r="F20" s="5"/>
      <c r="G20" s="316" t="s">
        <v>99</v>
      </c>
      <c r="H20" s="317"/>
      <c r="I20" s="317"/>
      <c r="J20" s="317"/>
      <c r="K20" s="317"/>
      <c r="L20" s="273">
        <v>12.175558681337742</v>
      </c>
      <c r="M20" s="104"/>
      <c r="N20" s="170"/>
      <c r="R20" s="49"/>
    </row>
    <row r="21" spans="2:18" x14ac:dyDescent="0.2">
      <c r="B21" s="93"/>
      <c r="C21" s="38" t="s">
        <v>189</v>
      </c>
      <c r="D21" s="58" t="s">
        <v>106</v>
      </c>
      <c r="E21" s="6">
        <v>1.7958999999999999E-2</v>
      </c>
      <c r="F21" s="5"/>
      <c r="G21" s="5"/>
      <c r="H21" s="5"/>
      <c r="I21" s="5"/>
      <c r="J21" s="5"/>
      <c r="K21" s="5"/>
      <c r="L21" s="5"/>
      <c r="M21" s="5"/>
      <c r="N21" s="20"/>
      <c r="R21" s="49"/>
    </row>
    <row r="22" spans="2:18" x14ac:dyDescent="0.2">
      <c r="B22" s="93"/>
      <c r="C22" s="38" t="s">
        <v>62</v>
      </c>
      <c r="D22" s="58" t="s">
        <v>10</v>
      </c>
      <c r="E22" s="6">
        <v>1.7809999999999999E-2</v>
      </c>
      <c r="F22" s="5"/>
      <c r="G22" s="31"/>
      <c r="H22" s="31"/>
      <c r="I22" s="31"/>
      <c r="J22" s="5"/>
      <c r="K22" s="31"/>
      <c r="L22" s="5"/>
      <c r="M22" s="5"/>
      <c r="N22" s="20"/>
      <c r="R22" s="49"/>
    </row>
    <row r="23" spans="2:18" ht="15.75" customHeight="1" x14ac:dyDescent="0.2">
      <c r="B23" s="93"/>
      <c r="C23" s="38"/>
      <c r="D23" s="58"/>
      <c r="E23" s="6"/>
      <c r="F23" s="5"/>
      <c r="G23" s="298" t="s">
        <v>50</v>
      </c>
      <c r="H23" s="298"/>
      <c r="I23" s="298"/>
      <c r="J23" s="298"/>
      <c r="K23" s="298"/>
      <c r="L23" s="298"/>
      <c r="M23" s="298"/>
      <c r="N23" s="299"/>
      <c r="R23" s="49"/>
    </row>
    <row r="24" spans="2:18" ht="15.75" x14ac:dyDescent="0.2">
      <c r="B24" s="93"/>
      <c r="C24" s="106" t="s">
        <v>56</v>
      </c>
      <c r="D24" s="106"/>
      <c r="E24" s="107">
        <f>SUM(E8:E22)</f>
        <v>0.40968899999999997</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6" t="s">
        <v>66</v>
      </c>
      <c r="D26" s="106"/>
      <c r="E26" s="107">
        <v>0.35934300000000002</v>
      </c>
      <c r="F26" s="31"/>
      <c r="G26" s="5"/>
      <c r="H26" s="5"/>
      <c r="I26" s="5"/>
      <c r="J26" s="5"/>
      <c r="K26" s="5"/>
      <c r="L26" s="5"/>
      <c r="M26" s="5"/>
      <c r="N26" s="20"/>
      <c r="R26" s="49"/>
    </row>
    <row r="27" spans="2:18" x14ac:dyDescent="0.2">
      <c r="B27" s="93"/>
      <c r="C27" s="38"/>
      <c r="D27" s="58"/>
      <c r="E27" s="6"/>
      <c r="F27" s="5"/>
      <c r="G27" s="5"/>
      <c r="H27" s="5"/>
      <c r="I27" s="5"/>
      <c r="J27" s="5"/>
      <c r="K27" s="5"/>
      <c r="L27" s="5"/>
      <c r="M27" s="5"/>
      <c r="N27" s="20"/>
      <c r="R27" s="49"/>
    </row>
    <row r="28" spans="2:18" s="48" customFormat="1" ht="13.5" customHeight="1" x14ac:dyDescent="0.2">
      <c r="B28" s="108"/>
      <c r="C28" s="106" t="s">
        <v>299</v>
      </c>
      <c r="D28" s="106"/>
      <c r="E28" s="107">
        <v>1.3200000000000001E-4</v>
      </c>
      <c r="F28" s="41"/>
      <c r="G28" s="41"/>
      <c r="H28" s="41"/>
      <c r="I28" s="41"/>
      <c r="J28" s="41"/>
      <c r="K28" s="41"/>
      <c r="L28" s="41"/>
      <c r="M28" s="41"/>
      <c r="N28" s="109"/>
      <c r="R28" s="110"/>
    </row>
    <row r="29" spans="2:18" x14ac:dyDescent="0.2">
      <c r="B29" s="93"/>
      <c r="C29" s="38"/>
      <c r="D29" s="58"/>
      <c r="E29" s="6"/>
      <c r="F29" s="5"/>
      <c r="G29" s="5"/>
      <c r="H29" s="5"/>
      <c r="I29" s="5"/>
      <c r="J29" s="5"/>
      <c r="K29" s="5"/>
      <c r="L29" s="5"/>
      <c r="M29" s="5"/>
      <c r="N29" s="20"/>
      <c r="R29" s="49"/>
    </row>
    <row r="30" spans="2:18" x14ac:dyDescent="0.2">
      <c r="B30" s="93"/>
      <c r="C30" s="38" t="s">
        <v>270</v>
      </c>
      <c r="D30" s="58" t="s">
        <v>372</v>
      </c>
      <c r="E30" s="6">
        <v>3.0521E-2</v>
      </c>
      <c r="F30" s="5"/>
      <c r="G30" s="5"/>
      <c r="H30" s="5"/>
      <c r="I30" s="5"/>
      <c r="J30" s="5"/>
      <c r="K30" s="5"/>
      <c r="L30" s="5"/>
      <c r="M30" s="5"/>
      <c r="N30" s="20"/>
      <c r="R30" s="49"/>
    </row>
    <row r="31" spans="2:18" x14ac:dyDescent="0.2">
      <c r="B31" s="93"/>
      <c r="C31" s="38" t="s">
        <v>317</v>
      </c>
      <c r="D31" s="58" t="s">
        <v>373</v>
      </c>
      <c r="E31" s="6">
        <v>1.2311000000000001E-2</v>
      </c>
      <c r="F31" s="5"/>
      <c r="G31" s="5"/>
      <c r="H31" s="5"/>
      <c r="I31" s="5"/>
      <c r="J31" s="5"/>
      <c r="K31" s="5"/>
      <c r="L31" s="5"/>
      <c r="M31" s="5"/>
      <c r="N31" s="20"/>
      <c r="R31" s="49"/>
    </row>
    <row r="32" spans="2:18" x14ac:dyDescent="0.2">
      <c r="B32" s="93"/>
      <c r="C32" s="38" t="s">
        <v>69</v>
      </c>
      <c r="D32" s="58" t="s">
        <v>372</v>
      </c>
      <c r="E32" s="6">
        <v>9.7540000000000005E-3</v>
      </c>
      <c r="F32" s="5"/>
      <c r="G32" s="5"/>
      <c r="H32" s="5"/>
      <c r="I32" s="5"/>
      <c r="J32" s="5"/>
      <c r="K32" s="5"/>
      <c r="L32" s="5"/>
      <c r="M32" s="5"/>
      <c r="N32" s="20"/>
      <c r="R32" s="49"/>
    </row>
    <row r="33" spans="1:18" x14ac:dyDescent="0.2">
      <c r="B33" s="93"/>
      <c r="C33" s="38" t="s">
        <v>259</v>
      </c>
      <c r="D33" s="58" t="s">
        <v>373</v>
      </c>
      <c r="E33" s="6">
        <v>7.4060000000000003E-3</v>
      </c>
      <c r="F33" s="5"/>
      <c r="G33" s="5"/>
      <c r="H33" s="5"/>
      <c r="I33" s="5"/>
      <c r="J33" s="5"/>
      <c r="K33" s="5"/>
      <c r="L33" s="5"/>
      <c r="M33" s="5"/>
      <c r="N33" s="20"/>
      <c r="R33" s="49"/>
    </row>
    <row r="34" spans="1:18" x14ac:dyDescent="0.2">
      <c r="B34" s="93"/>
      <c r="C34" s="38" t="s">
        <v>256</v>
      </c>
      <c r="D34" s="58" t="s">
        <v>373</v>
      </c>
      <c r="E34" s="6">
        <v>7.3949999999999997E-3</v>
      </c>
      <c r="F34" s="5"/>
      <c r="G34" s="5"/>
      <c r="H34" s="5"/>
      <c r="I34" s="5"/>
      <c r="J34" s="5"/>
      <c r="K34" s="5"/>
      <c r="L34" s="5"/>
      <c r="M34" s="5"/>
      <c r="N34" s="20"/>
      <c r="R34" s="49"/>
    </row>
    <row r="35" spans="1:18" x14ac:dyDescent="0.2">
      <c r="B35" s="93"/>
      <c r="C35" s="38" t="s">
        <v>255</v>
      </c>
      <c r="D35" s="58" t="s">
        <v>371</v>
      </c>
      <c r="E35" s="6">
        <v>7.352E-3</v>
      </c>
      <c r="F35" s="5"/>
      <c r="G35" s="5"/>
      <c r="H35" s="5"/>
      <c r="I35" s="5"/>
      <c r="J35" s="5"/>
      <c r="K35" s="5"/>
      <c r="L35" s="5"/>
      <c r="M35" s="5"/>
      <c r="N35" s="20"/>
      <c r="R35" s="49"/>
    </row>
    <row r="36" spans="1:18" x14ac:dyDescent="0.2">
      <c r="B36" s="93"/>
      <c r="C36" s="38" t="s">
        <v>80</v>
      </c>
      <c r="D36" s="58" t="s">
        <v>372</v>
      </c>
      <c r="E36" s="6">
        <v>7.345E-3</v>
      </c>
      <c r="F36" s="5"/>
      <c r="G36" s="5"/>
      <c r="H36" s="5"/>
      <c r="I36" s="5"/>
      <c r="J36" s="5"/>
      <c r="K36" s="5"/>
      <c r="L36" s="5"/>
      <c r="M36" s="5"/>
      <c r="N36" s="20"/>
      <c r="R36" s="49"/>
    </row>
    <row r="37" spans="1:18" x14ac:dyDescent="0.2">
      <c r="B37" s="93"/>
      <c r="C37" s="38" t="s">
        <v>29</v>
      </c>
      <c r="D37" s="58" t="s">
        <v>372</v>
      </c>
      <c r="E37" s="6">
        <v>6.1060000000000003E-3</v>
      </c>
      <c r="F37" s="5"/>
      <c r="G37" s="5"/>
      <c r="H37" s="5"/>
      <c r="I37" s="5"/>
      <c r="J37" s="5"/>
      <c r="K37" s="5"/>
      <c r="L37" s="5"/>
      <c r="M37" s="5"/>
      <c r="N37" s="20"/>
      <c r="R37" s="49"/>
    </row>
    <row r="38" spans="1:18" ht="15.75" x14ac:dyDescent="0.2">
      <c r="B38" s="93"/>
      <c r="C38" s="106" t="s">
        <v>49</v>
      </c>
      <c r="D38" s="106"/>
      <c r="E38" s="107">
        <v>8.8190000000000004E-2</v>
      </c>
      <c r="F38" s="5"/>
      <c r="G38" s="5"/>
      <c r="H38" s="5"/>
      <c r="I38" s="5"/>
      <c r="J38" s="5"/>
      <c r="K38" s="5"/>
      <c r="L38" s="5"/>
      <c r="M38" s="5"/>
      <c r="N38" s="20"/>
      <c r="R38" s="49"/>
    </row>
    <row r="39" spans="1:18" s="48" customFormat="1" x14ac:dyDescent="0.2">
      <c r="B39" s="108"/>
      <c r="C39" s="38"/>
      <c r="D39" s="4"/>
      <c r="E39" s="189"/>
      <c r="F39" s="41"/>
      <c r="G39" s="5"/>
      <c r="H39" s="5"/>
      <c r="I39" s="5"/>
      <c r="J39" s="5"/>
      <c r="K39" s="5"/>
      <c r="L39" s="41"/>
      <c r="M39" s="41"/>
      <c r="N39" s="109"/>
      <c r="R39" s="110"/>
    </row>
    <row r="40" spans="1:18" x14ac:dyDescent="0.2">
      <c r="B40" s="93"/>
      <c r="C40" s="38" t="s">
        <v>216</v>
      </c>
      <c r="D40" s="4" t="s">
        <v>61</v>
      </c>
      <c r="E40" s="189">
        <v>9.2170000000000002E-2</v>
      </c>
      <c r="F40" s="5"/>
      <c r="G40" s="5"/>
      <c r="H40" s="5"/>
      <c r="I40" s="5"/>
      <c r="J40" s="5"/>
      <c r="K40" s="5"/>
      <c r="L40" s="5"/>
      <c r="M40" s="5"/>
      <c r="N40" s="20"/>
      <c r="R40" s="49"/>
    </row>
    <row r="41" spans="1:18" x14ac:dyDescent="0.2">
      <c r="A41" s="5"/>
      <c r="B41" s="93"/>
      <c r="C41" s="38" t="s">
        <v>67</v>
      </c>
      <c r="D41" s="4" t="s">
        <v>61</v>
      </c>
      <c r="E41" s="189">
        <v>2.4880000000000002E-3</v>
      </c>
      <c r="F41" s="5"/>
      <c r="G41" s="5"/>
      <c r="H41" s="5"/>
      <c r="I41" s="5"/>
      <c r="J41" s="5"/>
      <c r="K41" s="5"/>
      <c r="L41" s="5"/>
      <c r="M41" s="5"/>
      <c r="N41" s="20"/>
      <c r="O41" s="5"/>
      <c r="R41" s="49"/>
    </row>
    <row r="42" spans="1:18" x14ac:dyDescent="0.2">
      <c r="A42" s="5"/>
      <c r="B42" s="93"/>
      <c r="C42" s="38" t="s">
        <v>72</v>
      </c>
      <c r="D42" s="4" t="s">
        <v>61</v>
      </c>
      <c r="E42" s="189">
        <v>1.1310000000000001E-3</v>
      </c>
      <c r="F42" s="5"/>
      <c r="G42" s="5"/>
      <c r="H42" s="5"/>
      <c r="I42" s="5"/>
      <c r="J42" s="5"/>
      <c r="K42" s="5"/>
      <c r="L42" s="5"/>
      <c r="M42" s="5"/>
      <c r="N42" s="20"/>
      <c r="O42" s="5"/>
      <c r="R42" s="49"/>
    </row>
    <row r="43" spans="1:18" ht="15.75" x14ac:dyDescent="0.2">
      <c r="A43" s="5"/>
      <c r="B43" s="93"/>
      <c r="C43" s="106" t="s">
        <v>42</v>
      </c>
      <c r="D43" s="106"/>
      <c r="E43" s="107">
        <v>9.5788999999999999E-2</v>
      </c>
      <c r="F43" s="5"/>
      <c r="G43" s="5"/>
      <c r="H43" s="5"/>
      <c r="I43" s="5"/>
      <c r="J43" s="5"/>
      <c r="K43" s="5"/>
      <c r="L43" s="5"/>
      <c r="M43" s="5"/>
      <c r="N43" s="20"/>
      <c r="O43" s="5"/>
      <c r="R43" s="49"/>
    </row>
    <row r="44" spans="1:18" x14ac:dyDescent="0.2">
      <c r="A44" s="5"/>
      <c r="B44" s="93"/>
      <c r="C44" s="38" t="s">
        <v>323</v>
      </c>
      <c r="D44" s="4" t="s">
        <v>61</v>
      </c>
      <c r="E44" s="189">
        <v>6.7369999999999999E-3</v>
      </c>
      <c r="F44" s="5"/>
      <c r="G44" s="5"/>
      <c r="H44" s="5"/>
      <c r="I44" s="5"/>
      <c r="J44" s="5"/>
      <c r="K44" s="5"/>
      <c r="L44" s="5"/>
      <c r="M44" s="5"/>
      <c r="N44" s="20"/>
      <c r="O44" s="5"/>
      <c r="R44" s="49"/>
    </row>
    <row r="45" spans="1:18" x14ac:dyDescent="0.2">
      <c r="A45" s="5"/>
      <c r="B45" s="93"/>
      <c r="C45" s="38" t="s">
        <v>318</v>
      </c>
      <c r="D45" s="4" t="s">
        <v>61</v>
      </c>
      <c r="E45" s="189">
        <v>6.3220000000000004E-3</v>
      </c>
      <c r="F45" s="5"/>
      <c r="G45" s="5"/>
      <c r="H45" s="5"/>
      <c r="I45" s="5"/>
      <c r="J45" s="5"/>
      <c r="K45" s="5"/>
      <c r="L45" s="5"/>
      <c r="M45" s="5"/>
      <c r="N45" s="20"/>
      <c r="O45" s="5"/>
      <c r="R45" s="49"/>
    </row>
    <row r="46" spans="1:18" x14ac:dyDescent="0.2">
      <c r="A46" s="5"/>
      <c r="B46" s="93"/>
      <c r="C46" s="38" t="s">
        <v>324</v>
      </c>
      <c r="D46" s="4" t="s">
        <v>61</v>
      </c>
      <c r="E46" s="189">
        <v>4.4999999999999997E-3</v>
      </c>
      <c r="F46" s="5"/>
      <c r="G46" s="5"/>
      <c r="H46" s="5"/>
      <c r="I46" s="5"/>
      <c r="J46" s="5"/>
      <c r="K46" s="5"/>
      <c r="L46" s="5"/>
      <c r="M46" s="5"/>
      <c r="N46" s="20"/>
      <c r="O46" s="5"/>
      <c r="R46" s="49"/>
    </row>
    <row r="47" spans="1:18" ht="15.75" x14ac:dyDescent="0.2">
      <c r="A47" s="5"/>
      <c r="B47" s="93"/>
      <c r="C47" s="106" t="s">
        <v>300</v>
      </c>
      <c r="D47" s="106"/>
      <c r="E47" s="107">
        <v>1.7559000000000002E-2</v>
      </c>
      <c r="F47" s="5"/>
      <c r="G47" s="5"/>
      <c r="H47" s="5"/>
      <c r="I47" s="5"/>
      <c r="J47" s="5"/>
      <c r="K47" s="5"/>
      <c r="L47" s="5"/>
      <c r="M47" s="5"/>
      <c r="N47" s="20"/>
      <c r="O47" s="5"/>
      <c r="R47" s="49"/>
    </row>
    <row r="48" spans="1:18" x14ac:dyDescent="0.2">
      <c r="A48" s="5"/>
      <c r="B48" s="93"/>
      <c r="C48" s="4"/>
      <c r="D48" s="4"/>
      <c r="E48" s="32"/>
      <c r="F48" s="5"/>
      <c r="G48" s="5"/>
      <c r="H48" s="5"/>
      <c r="I48" s="5"/>
      <c r="J48" s="5"/>
      <c r="K48" s="5"/>
      <c r="L48" s="5"/>
      <c r="M48" s="5"/>
      <c r="N48" s="20"/>
      <c r="O48" s="5"/>
      <c r="R48" s="49"/>
    </row>
    <row r="49" spans="1:18" ht="15.75" x14ac:dyDescent="0.2">
      <c r="A49" s="5"/>
      <c r="B49" s="93"/>
      <c r="C49" s="106" t="s">
        <v>20</v>
      </c>
      <c r="D49" s="106"/>
      <c r="E49" s="107">
        <v>2.9298000000000001E-2</v>
      </c>
      <c r="F49" s="5"/>
      <c r="G49" s="5"/>
      <c r="H49" s="5"/>
      <c r="I49" s="5"/>
      <c r="J49" s="5"/>
      <c r="K49" s="5"/>
      <c r="L49" s="5"/>
      <c r="M49" s="5"/>
      <c r="N49" s="20"/>
      <c r="O49" s="5"/>
      <c r="R49" s="49"/>
    </row>
    <row r="50" spans="1:18" x14ac:dyDescent="0.2">
      <c r="A50" s="5"/>
      <c r="B50" s="93"/>
      <c r="C50" s="4"/>
      <c r="D50" s="4"/>
      <c r="E50" s="32"/>
      <c r="F50" s="5"/>
      <c r="G50" s="5"/>
      <c r="H50" s="5"/>
      <c r="I50" s="5"/>
      <c r="J50" s="5"/>
      <c r="K50" s="5"/>
      <c r="L50" s="5"/>
      <c r="M50" s="5"/>
      <c r="N50" s="20"/>
      <c r="O50" s="5"/>
      <c r="R50" s="49"/>
    </row>
    <row r="51" spans="1:18" ht="15.75" x14ac:dyDescent="0.2">
      <c r="A51" s="5"/>
      <c r="B51" s="93"/>
      <c r="C51" s="113" t="s">
        <v>21</v>
      </c>
      <c r="D51" s="113"/>
      <c r="E51" s="114">
        <f>E49+E47+E43+E38+E26+E24+E28</f>
        <v>1</v>
      </c>
      <c r="F51" s="5"/>
      <c r="G51" s="5"/>
      <c r="H51" s="5"/>
      <c r="I51" s="5"/>
      <c r="J51" s="5"/>
      <c r="K51" s="5"/>
      <c r="L51" s="5"/>
      <c r="M51" s="5"/>
      <c r="N51" s="20"/>
      <c r="O51" s="5"/>
      <c r="R51" s="49"/>
    </row>
    <row r="52" spans="1:18" x14ac:dyDescent="0.2">
      <c r="A52" s="5"/>
      <c r="B52" s="93"/>
      <c r="C52" s="5"/>
      <c r="D52" s="5"/>
      <c r="E52" s="5"/>
      <c r="F52" s="5"/>
      <c r="G52" s="5"/>
      <c r="H52" s="5"/>
      <c r="I52" s="5"/>
      <c r="J52" s="5"/>
      <c r="K52" s="5"/>
      <c r="L52" s="5"/>
      <c r="M52" s="5"/>
      <c r="N52" s="20"/>
      <c r="O52" s="5"/>
      <c r="R52" s="49"/>
    </row>
    <row r="53" spans="1:18" ht="15.75" thickBot="1" x14ac:dyDescent="0.25">
      <c r="A53" s="5"/>
      <c r="B53" s="96"/>
      <c r="C53" s="45"/>
      <c r="D53" s="45"/>
      <c r="E53" s="45"/>
      <c r="F53" s="45"/>
      <c r="G53" s="45"/>
      <c r="H53" s="45"/>
      <c r="I53" s="45"/>
      <c r="J53" s="45"/>
      <c r="K53" s="45"/>
      <c r="L53" s="45"/>
      <c r="M53" s="45"/>
      <c r="N53" s="116"/>
      <c r="O53" s="5"/>
      <c r="R53" s="49"/>
    </row>
    <row r="54" spans="1:18" ht="15.75" thickBot="1" x14ac:dyDescent="0.25">
      <c r="R54" s="49"/>
    </row>
    <row r="55" spans="1:18" ht="15" customHeight="1" x14ac:dyDescent="0.2">
      <c r="B55" s="302" t="s">
        <v>180</v>
      </c>
      <c r="C55" s="303"/>
      <c r="D55" s="303"/>
      <c r="E55" s="303"/>
      <c r="F55" s="303"/>
      <c r="G55" s="303"/>
      <c r="H55" s="303"/>
      <c r="I55" s="303"/>
      <c r="J55" s="303"/>
      <c r="K55" s="303"/>
      <c r="L55" s="303"/>
      <c r="M55" s="303"/>
      <c r="N55" s="303"/>
      <c r="O55" s="303"/>
      <c r="P55" s="303"/>
      <c r="Q55" s="303"/>
      <c r="R55" s="304"/>
    </row>
    <row r="56" spans="1:18" x14ac:dyDescent="0.2">
      <c r="B56" s="305"/>
      <c r="C56" s="306"/>
      <c r="D56" s="306"/>
      <c r="E56" s="306"/>
      <c r="F56" s="306"/>
      <c r="G56" s="306"/>
      <c r="H56" s="306"/>
      <c r="I56" s="306"/>
      <c r="J56" s="306"/>
      <c r="K56" s="306"/>
      <c r="L56" s="306"/>
      <c r="M56" s="306"/>
      <c r="N56" s="306"/>
      <c r="O56" s="306"/>
      <c r="P56" s="306"/>
      <c r="Q56" s="306"/>
      <c r="R56" s="307"/>
    </row>
    <row r="57" spans="1:18" x14ac:dyDescent="0.2">
      <c r="B57" s="305"/>
      <c r="C57" s="306"/>
      <c r="D57" s="306"/>
      <c r="E57" s="306"/>
      <c r="F57" s="306"/>
      <c r="G57" s="306"/>
      <c r="H57" s="306"/>
      <c r="I57" s="306"/>
      <c r="J57" s="306"/>
      <c r="K57" s="306"/>
      <c r="L57" s="306"/>
      <c r="M57" s="306"/>
      <c r="N57" s="306"/>
      <c r="O57" s="306"/>
      <c r="P57" s="306"/>
      <c r="Q57" s="306"/>
      <c r="R57" s="307"/>
    </row>
    <row r="58" spans="1:18" x14ac:dyDescent="0.2">
      <c r="B58" s="305"/>
      <c r="C58" s="306"/>
      <c r="D58" s="306"/>
      <c r="E58" s="306"/>
      <c r="F58" s="306"/>
      <c r="G58" s="306"/>
      <c r="H58" s="306"/>
      <c r="I58" s="306"/>
      <c r="J58" s="306"/>
      <c r="K58" s="306"/>
      <c r="L58" s="306"/>
      <c r="M58" s="306"/>
      <c r="N58" s="306"/>
      <c r="O58" s="306"/>
      <c r="P58" s="306"/>
      <c r="Q58" s="306"/>
      <c r="R58" s="307"/>
    </row>
    <row r="59" spans="1:18" x14ac:dyDescent="0.2">
      <c r="B59" s="305"/>
      <c r="C59" s="306"/>
      <c r="D59" s="306"/>
      <c r="E59" s="306"/>
      <c r="F59" s="306"/>
      <c r="G59" s="306"/>
      <c r="H59" s="306"/>
      <c r="I59" s="306"/>
      <c r="J59" s="306"/>
      <c r="K59" s="306"/>
      <c r="L59" s="306"/>
      <c r="M59" s="306"/>
      <c r="N59" s="306"/>
      <c r="O59" s="306"/>
      <c r="P59" s="306"/>
      <c r="Q59" s="306"/>
      <c r="R59" s="307"/>
    </row>
    <row r="60" spans="1:18" x14ac:dyDescent="0.2">
      <c r="B60" s="305"/>
      <c r="C60" s="306"/>
      <c r="D60" s="306"/>
      <c r="E60" s="306"/>
      <c r="F60" s="306"/>
      <c r="G60" s="306"/>
      <c r="H60" s="306"/>
      <c r="I60" s="306"/>
      <c r="J60" s="306"/>
      <c r="K60" s="306"/>
      <c r="L60" s="306"/>
      <c r="M60" s="306"/>
      <c r="N60" s="306"/>
      <c r="O60" s="306"/>
      <c r="P60" s="306"/>
      <c r="Q60" s="306"/>
      <c r="R60" s="307"/>
    </row>
    <row r="61" spans="1:18" ht="15.75" thickBot="1" x14ac:dyDescent="0.25">
      <c r="B61" s="308"/>
      <c r="C61" s="309"/>
      <c r="D61" s="309"/>
      <c r="E61" s="309"/>
      <c r="F61" s="309"/>
      <c r="G61" s="309"/>
      <c r="H61" s="309"/>
      <c r="I61" s="309"/>
      <c r="J61" s="309"/>
      <c r="K61" s="309"/>
      <c r="L61" s="309"/>
      <c r="M61" s="309"/>
      <c r="N61" s="309"/>
      <c r="O61" s="309"/>
      <c r="P61" s="309"/>
      <c r="Q61" s="309"/>
      <c r="R61" s="310"/>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sheetData>
  <sortState ref="C44:E46">
    <sortCondition descending="1" ref="E44"/>
  </sortState>
  <mergeCells count="6">
    <mergeCell ref="B55:R61"/>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0"/>
    </row>
    <row r="3" spans="2:19" ht="20.25" customHeight="1" x14ac:dyDescent="0.2">
      <c r="B3" s="93"/>
      <c r="C3" s="296" t="s">
        <v>197</v>
      </c>
      <c r="D3" s="296"/>
      <c r="E3" s="296"/>
      <c r="F3" s="296"/>
      <c r="G3" s="296"/>
      <c r="H3" s="296"/>
      <c r="I3" s="296"/>
      <c r="J3" s="296"/>
      <c r="K3" s="296"/>
      <c r="L3" s="296"/>
      <c r="M3" s="296"/>
      <c r="N3" s="297"/>
    </row>
    <row r="4" spans="2:19" ht="15.75" x14ac:dyDescent="0.25">
      <c r="B4" s="93"/>
      <c r="C4" s="67" t="s">
        <v>441</v>
      </c>
      <c r="D4" s="29"/>
      <c r="E4" s="29"/>
      <c r="F4" s="5"/>
      <c r="G4" s="5"/>
      <c r="H4" s="5"/>
      <c r="I4" s="5"/>
      <c r="J4" s="5"/>
      <c r="K4" s="5"/>
      <c r="L4" s="5"/>
      <c r="M4" s="5"/>
      <c r="N4" s="20"/>
    </row>
    <row r="5" spans="2:19" ht="20.25" customHeight="1" x14ac:dyDescent="0.2">
      <c r="B5" s="93"/>
      <c r="C5" s="211" t="s">
        <v>440</v>
      </c>
      <c r="D5" s="313" t="s">
        <v>399</v>
      </c>
      <c r="E5" s="313"/>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18" t="s">
        <v>45</v>
      </c>
      <c r="F7" s="5"/>
      <c r="G7" s="5"/>
      <c r="H7" s="5"/>
      <c r="I7" s="5"/>
      <c r="J7" s="5"/>
      <c r="K7" s="5"/>
      <c r="L7" s="5"/>
      <c r="M7" s="5"/>
      <c r="N7" s="20"/>
      <c r="P7" s="286" t="s">
        <v>3</v>
      </c>
      <c r="Q7" s="285">
        <v>8.9794000000000013E-2</v>
      </c>
    </row>
    <row r="8" spans="2:19" ht="15.75" x14ac:dyDescent="0.25">
      <c r="B8" s="93"/>
      <c r="C8" s="38" t="s">
        <v>70</v>
      </c>
      <c r="D8" s="4" t="s">
        <v>12</v>
      </c>
      <c r="E8" s="189">
        <v>5.5196000000000002E-2</v>
      </c>
      <c r="F8" s="5"/>
      <c r="G8" s="5"/>
      <c r="H8" s="5"/>
      <c r="I8" s="5"/>
      <c r="J8" s="5"/>
      <c r="K8" s="5"/>
      <c r="L8" s="5"/>
      <c r="M8" s="5"/>
      <c r="N8" s="20"/>
      <c r="P8" s="286" t="s">
        <v>12</v>
      </c>
      <c r="Q8" s="285">
        <v>5.5196000000000002E-2</v>
      </c>
      <c r="R8" s="49"/>
    </row>
    <row r="9" spans="2:19" ht="15.75" customHeight="1" x14ac:dyDescent="0.25">
      <c r="B9" s="93"/>
      <c r="C9" s="38" t="s">
        <v>29</v>
      </c>
      <c r="D9" s="4" t="s">
        <v>3</v>
      </c>
      <c r="E9" s="189">
        <v>3.3049000000000002E-2</v>
      </c>
      <c r="F9" s="5"/>
      <c r="G9" s="5"/>
      <c r="H9" s="5"/>
      <c r="I9" s="5"/>
      <c r="J9" s="5"/>
      <c r="K9" s="5"/>
      <c r="L9" s="5"/>
      <c r="M9" s="5"/>
      <c r="N9" s="20"/>
      <c r="P9" s="286" t="s">
        <v>111</v>
      </c>
      <c r="Q9" s="285">
        <v>3.7055999999999999E-2</v>
      </c>
      <c r="R9" s="49"/>
    </row>
    <row r="10" spans="2:19" ht="15.75" x14ac:dyDescent="0.25">
      <c r="B10" s="93"/>
      <c r="C10" s="38" t="s">
        <v>31</v>
      </c>
      <c r="D10" s="4" t="s">
        <v>6</v>
      </c>
      <c r="E10" s="189">
        <v>3.0180999999999999E-2</v>
      </c>
      <c r="F10" s="31"/>
      <c r="G10" s="5"/>
      <c r="H10" s="5"/>
      <c r="I10" s="5"/>
      <c r="J10" s="5"/>
      <c r="K10" s="5"/>
      <c r="L10" s="5"/>
      <c r="M10" s="5"/>
      <c r="N10" s="20"/>
      <c r="P10" s="286" t="s">
        <v>4</v>
      </c>
      <c r="Q10" s="285">
        <v>3.4907000000000001E-2</v>
      </c>
      <c r="R10" s="49"/>
    </row>
    <row r="11" spans="2:19" ht="15.75" x14ac:dyDescent="0.25">
      <c r="B11" s="93"/>
      <c r="C11" s="38" t="s">
        <v>32</v>
      </c>
      <c r="D11" s="4" t="s">
        <v>3</v>
      </c>
      <c r="E11" s="189">
        <v>2.6838000000000001E-2</v>
      </c>
      <c r="F11" s="5"/>
      <c r="G11" s="5"/>
      <c r="H11" s="5"/>
      <c r="I11" s="5"/>
      <c r="J11" s="5"/>
      <c r="K11" s="5"/>
      <c r="L11" s="5"/>
      <c r="M11" s="5"/>
      <c r="N11" s="20"/>
      <c r="P11" s="286" t="s">
        <v>26</v>
      </c>
      <c r="Q11" s="285">
        <v>3.3632000000000002E-2</v>
      </c>
      <c r="R11" s="49"/>
    </row>
    <row r="12" spans="2:19" ht="15.75" customHeight="1" x14ac:dyDescent="0.25">
      <c r="B12" s="93"/>
      <c r="C12" s="38" t="s">
        <v>36</v>
      </c>
      <c r="D12" s="4" t="s">
        <v>3</v>
      </c>
      <c r="E12" s="189">
        <v>2.1722000000000002E-2</v>
      </c>
      <c r="F12" s="31"/>
      <c r="G12" s="5"/>
      <c r="H12" s="5"/>
      <c r="I12" s="5"/>
      <c r="J12" s="5"/>
      <c r="K12" s="5"/>
      <c r="L12" s="5"/>
      <c r="M12" s="5"/>
      <c r="N12" s="20"/>
      <c r="P12" s="286" t="s">
        <v>106</v>
      </c>
      <c r="Q12" s="285">
        <v>3.1330999999999998E-2</v>
      </c>
      <c r="R12" s="49"/>
    </row>
    <row r="13" spans="2:19" ht="15.75" x14ac:dyDescent="0.25">
      <c r="B13" s="93"/>
      <c r="C13" s="38" t="s">
        <v>228</v>
      </c>
      <c r="D13" s="4" t="s">
        <v>26</v>
      </c>
      <c r="E13" s="189">
        <v>1.9563000000000001E-2</v>
      </c>
      <c r="F13" s="31"/>
      <c r="G13" s="5"/>
      <c r="H13" s="5"/>
      <c r="I13" s="5"/>
      <c r="J13" s="5"/>
      <c r="K13" s="5"/>
      <c r="L13" s="5"/>
      <c r="M13" s="5"/>
      <c r="N13" s="20"/>
      <c r="P13" s="286" t="s">
        <v>6</v>
      </c>
      <c r="Q13" s="285">
        <v>3.0180999999999999E-2</v>
      </c>
      <c r="R13" s="49"/>
    </row>
    <row r="14" spans="2:19" ht="15.75" x14ac:dyDescent="0.25">
      <c r="B14" s="93"/>
      <c r="C14" s="38" t="s">
        <v>30</v>
      </c>
      <c r="D14" s="4" t="s">
        <v>116</v>
      </c>
      <c r="E14" s="189">
        <v>1.7930999999999999E-2</v>
      </c>
      <c r="F14" s="31"/>
      <c r="G14" s="5"/>
      <c r="H14" s="5"/>
      <c r="I14" s="5"/>
      <c r="J14" s="5"/>
      <c r="K14" s="5"/>
      <c r="L14" s="5"/>
      <c r="M14" s="5"/>
      <c r="N14" s="20"/>
      <c r="P14" s="286" t="s">
        <v>11</v>
      </c>
      <c r="Q14" s="285">
        <v>2.0981E-2</v>
      </c>
      <c r="R14" s="49"/>
    </row>
    <row r="15" spans="2:19" ht="15.75" x14ac:dyDescent="0.25">
      <c r="B15" s="93"/>
      <c r="C15" s="38" t="s">
        <v>28</v>
      </c>
      <c r="D15" s="4" t="s">
        <v>106</v>
      </c>
      <c r="E15" s="189">
        <v>1.6926E-2</v>
      </c>
      <c r="F15" s="5"/>
      <c r="G15" s="5"/>
      <c r="H15" s="5"/>
      <c r="I15" s="5"/>
      <c r="J15" s="5"/>
      <c r="K15" s="5"/>
      <c r="L15" s="5"/>
      <c r="M15" s="5"/>
      <c r="N15" s="20"/>
      <c r="P15" s="286" t="s">
        <v>110</v>
      </c>
      <c r="Q15" s="285">
        <v>2.0150999999999999E-2</v>
      </c>
      <c r="R15" s="49"/>
    </row>
    <row r="16" spans="2:19" ht="15.75" x14ac:dyDescent="0.25">
      <c r="B16" s="93"/>
      <c r="C16" s="38" t="s">
        <v>95</v>
      </c>
      <c r="D16" s="4" t="s">
        <v>111</v>
      </c>
      <c r="E16" s="189">
        <v>1.6102999999999999E-2</v>
      </c>
      <c r="F16" s="5"/>
      <c r="G16" s="5"/>
      <c r="H16" s="5"/>
      <c r="I16" s="5"/>
      <c r="J16" s="5"/>
      <c r="K16" s="5"/>
      <c r="L16" s="5"/>
      <c r="M16" s="5"/>
      <c r="N16" s="20"/>
      <c r="P16" s="286" t="s">
        <v>116</v>
      </c>
      <c r="Q16" s="285">
        <v>1.7930999999999999E-2</v>
      </c>
      <c r="R16" s="49"/>
    </row>
    <row r="17" spans="2:18" ht="15.75" x14ac:dyDescent="0.25">
      <c r="B17" s="93"/>
      <c r="C17" s="38" t="s">
        <v>144</v>
      </c>
      <c r="D17" s="4" t="s">
        <v>123</v>
      </c>
      <c r="E17" s="189">
        <v>1.5932999999999999E-2</v>
      </c>
      <c r="F17" s="5"/>
      <c r="G17" s="5"/>
      <c r="H17" s="5"/>
      <c r="I17" s="5"/>
      <c r="J17" s="5"/>
      <c r="K17" s="5"/>
      <c r="L17" s="5"/>
      <c r="M17" s="5"/>
      <c r="N17" s="20"/>
      <c r="P17" s="286" t="s">
        <v>118</v>
      </c>
      <c r="Q17" s="285">
        <v>1.6875999999999999E-2</v>
      </c>
      <c r="R17" s="49"/>
    </row>
    <row r="18" spans="2:18" ht="15.75" x14ac:dyDescent="0.25">
      <c r="B18" s="93"/>
      <c r="C18" s="38" t="s">
        <v>74</v>
      </c>
      <c r="D18" s="4" t="s">
        <v>11</v>
      </c>
      <c r="E18" s="189">
        <v>1.5921999999999999E-2</v>
      </c>
      <c r="F18" s="5"/>
      <c r="G18" s="5"/>
      <c r="H18" s="5"/>
      <c r="I18" s="5"/>
      <c r="J18" s="5"/>
      <c r="K18" s="5"/>
      <c r="L18" s="5"/>
      <c r="M18" s="5"/>
      <c r="N18" s="20"/>
      <c r="P18" s="286" t="s">
        <v>123</v>
      </c>
      <c r="Q18" s="285">
        <v>1.5932999999999999E-2</v>
      </c>
      <c r="R18" s="49"/>
    </row>
    <row r="19" spans="2:18" ht="15.75" x14ac:dyDescent="0.25">
      <c r="B19" s="93"/>
      <c r="C19" s="38" t="s">
        <v>217</v>
      </c>
      <c r="D19" s="4" t="s">
        <v>26</v>
      </c>
      <c r="E19" s="189">
        <v>1.4069E-2</v>
      </c>
      <c r="F19" s="5"/>
      <c r="G19" s="5"/>
      <c r="H19" s="5"/>
      <c r="I19" s="5"/>
      <c r="J19" s="5"/>
      <c r="K19" s="5"/>
      <c r="L19" s="5"/>
      <c r="M19" s="5"/>
      <c r="N19" s="20"/>
      <c r="P19" s="286" t="s">
        <v>85</v>
      </c>
      <c r="Q19" s="285">
        <v>1.4952E-2</v>
      </c>
      <c r="R19" s="49"/>
    </row>
    <row r="20" spans="2:18" ht="15.75" customHeight="1" x14ac:dyDescent="0.25">
      <c r="B20" s="93"/>
      <c r="C20" s="38" t="s">
        <v>34</v>
      </c>
      <c r="D20" s="4" t="s">
        <v>23</v>
      </c>
      <c r="E20" s="189">
        <v>1.3441999999999999E-2</v>
      </c>
      <c r="F20" s="5"/>
      <c r="G20" s="5"/>
      <c r="H20" s="5"/>
      <c r="I20" s="5"/>
      <c r="J20" s="5"/>
      <c r="K20" s="5"/>
      <c r="L20" s="5"/>
      <c r="M20" s="5"/>
      <c r="N20" s="20"/>
      <c r="P20" s="286" t="s">
        <v>105</v>
      </c>
      <c r="Q20" s="285">
        <v>1.3919000000000001E-2</v>
      </c>
      <c r="R20" s="49"/>
    </row>
    <row r="21" spans="2:18" ht="15.75" x14ac:dyDescent="0.25">
      <c r="B21" s="93"/>
      <c r="C21" s="38" t="s">
        <v>75</v>
      </c>
      <c r="D21" s="4" t="s">
        <v>4</v>
      </c>
      <c r="E21" s="189">
        <v>1.3141999999999999E-2</v>
      </c>
      <c r="F21" s="5"/>
      <c r="G21" s="5"/>
      <c r="H21" s="5"/>
      <c r="I21" s="5"/>
      <c r="J21" s="5"/>
      <c r="K21" s="5"/>
      <c r="L21" s="5"/>
      <c r="M21" s="5"/>
      <c r="N21" s="20"/>
      <c r="P21" s="286" t="s">
        <v>23</v>
      </c>
      <c r="Q21" s="285">
        <v>1.3441999999999999E-2</v>
      </c>
      <c r="R21" s="49"/>
    </row>
    <row r="22" spans="2:18" ht="15.75" x14ac:dyDescent="0.25">
      <c r="B22" s="93"/>
      <c r="C22" s="38" t="s">
        <v>352</v>
      </c>
      <c r="D22" s="4" t="s">
        <v>10</v>
      </c>
      <c r="E22" s="189">
        <v>1.2367E-2</v>
      </c>
      <c r="F22" s="5"/>
      <c r="G22" s="31"/>
      <c r="H22" s="31"/>
      <c r="I22" s="31"/>
      <c r="J22" s="5"/>
      <c r="K22" s="31"/>
      <c r="L22" s="5"/>
      <c r="M22" s="5"/>
      <c r="N22" s="20"/>
      <c r="P22" s="286" t="s">
        <v>109</v>
      </c>
      <c r="Q22" s="285">
        <v>1.2805E-2</v>
      </c>
      <c r="R22" s="49"/>
    </row>
    <row r="23" spans="2:18" ht="15.75" customHeight="1" x14ac:dyDescent="0.25">
      <c r="B23" s="93"/>
      <c r="C23" s="38"/>
      <c r="D23" s="4"/>
      <c r="E23" s="6"/>
      <c r="F23" s="5"/>
      <c r="G23" s="31"/>
      <c r="H23" s="31"/>
      <c r="I23" s="31"/>
      <c r="J23" s="5"/>
      <c r="K23" s="31"/>
      <c r="L23" s="5"/>
      <c r="M23" s="5"/>
      <c r="N23" s="20"/>
      <c r="P23" s="286" t="s">
        <v>10</v>
      </c>
      <c r="Q23" s="285">
        <v>1.2367E-2</v>
      </c>
      <c r="R23" s="49"/>
    </row>
    <row r="24" spans="2:18" ht="15.75" x14ac:dyDescent="0.25">
      <c r="B24" s="93"/>
      <c r="C24" s="106" t="s">
        <v>56</v>
      </c>
      <c r="D24" s="106"/>
      <c r="E24" s="107">
        <v>0.322384</v>
      </c>
      <c r="F24" s="5"/>
      <c r="G24" s="5"/>
      <c r="H24" s="5"/>
      <c r="I24" s="5"/>
      <c r="J24" s="5"/>
      <c r="K24" s="5"/>
      <c r="L24" s="5"/>
      <c r="M24" s="5"/>
      <c r="N24" s="20"/>
      <c r="P24" s="286" t="s">
        <v>115</v>
      </c>
      <c r="Q24" s="285">
        <v>1.2356000000000001E-2</v>
      </c>
      <c r="R24" s="49"/>
    </row>
    <row r="25" spans="2:18" ht="15.75" x14ac:dyDescent="0.25">
      <c r="B25" s="93"/>
      <c r="C25" s="4"/>
      <c r="D25" s="4"/>
      <c r="E25" s="6"/>
      <c r="F25" s="5"/>
      <c r="G25" s="5"/>
      <c r="H25" s="5"/>
      <c r="I25" s="5"/>
      <c r="J25" s="5"/>
      <c r="K25" s="5"/>
      <c r="L25" s="5"/>
      <c r="M25" s="5"/>
      <c r="N25" s="20"/>
      <c r="P25" s="286" t="s">
        <v>15</v>
      </c>
      <c r="Q25" s="285">
        <v>1.12E-2</v>
      </c>
      <c r="R25" s="49"/>
    </row>
    <row r="26" spans="2:18" ht="15.75" x14ac:dyDescent="0.25">
      <c r="B26" s="93"/>
      <c r="C26" s="106" t="s">
        <v>66</v>
      </c>
      <c r="D26" s="106"/>
      <c r="E26" s="178">
        <v>0.217555</v>
      </c>
      <c r="F26" s="31"/>
      <c r="G26" s="5"/>
      <c r="H26" s="5"/>
      <c r="I26" s="5"/>
      <c r="J26" s="5"/>
      <c r="K26" s="5"/>
      <c r="L26" s="5"/>
      <c r="M26" s="5"/>
      <c r="N26" s="20"/>
      <c r="P26" s="286" t="s">
        <v>130</v>
      </c>
      <c r="Q26" s="285">
        <v>9.9989999999999992E-3</v>
      </c>
      <c r="R26" s="49"/>
    </row>
    <row r="27" spans="2:18" ht="15.75" x14ac:dyDescent="0.25">
      <c r="B27" s="93"/>
      <c r="C27" s="38"/>
      <c r="D27" s="58"/>
      <c r="E27" s="6"/>
      <c r="F27" s="5"/>
      <c r="G27" s="5"/>
      <c r="H27" s="5"/>
      <c r="I27" s="5"/>
      <c r="J27" s="5"/>
      <c r="K27" s="5"/>
      <c r="L27" s="5"/>
      <c r="M27" s="5"/>
      <c r="N27" s="20"/>
      <c r="P27" s="286" t="s">
        <v>112</v>
      </c>
      <c r="Q27" s="285">
        <v>8.0740000000000013E-3</v>
      </c>
      <c r="R27" s="49"/>
    </row>
    <row r="28" spans="2:18" s="48" customFormat="1" ht="13.5" customHeight="1" x14ac:dyDescent="0.25">
      <c r="B28" s="108"/>
      <c r="C28" s="106" t="s">
        <v>58</v>
      </c>
      <c r="D28" s="106"/>
      <c r="E28" s="178">
        <v>0.157252</v>
      </c>
      <c r="F28" s="41"/>
      <c r="G28" s="41"/>
      <c r="H28" s="41"/>
      <c r="I28" s="41"/>
      <c r="J28" s="41"/>
      <c r="K28" s="41"/>
      <c r="L28" s="41"/>
      <c r="M28" s="41"/>
      <c r="N28" s="109"/>
      <c r="P28" s="286" t="s">
        <v>16</v>
      </c>
      <c r="Q28" s="285">
        <v>7.2659999999999982E-3</v>
      </c>
      <c r="R28" s="110"/>
    </row>
    <row r="29" spans="2:18" ht="15.75" x14ac:dyDescent="0.25">
      <c r="B29" s="93"/>
      <c r="C29" s="38"/>
      <c r="D29" s="38"/>
      <c r="E29" s="38"/>
      <c r="F29" s="5"/>
      <c r="G29" s="5"/>
      <c r="H29" s="5"/>
      <c r="I29" s="5"/>
      <c r="J29" s="5"/>
      <c r="K29" s="5"/>
      <c r="L29" s="5"/>
      <c r="M29" s="5"/>
      <c r="N29" s="20"/>
      <c r="P29" s="286" t="s">
        <v>117</v>
      </c>
      <c r="Q29" s="285">
        <v>5.3550000000000004E-3</v>
      </c>
      <c r="R29" s="49"/>
    </row>
    <row r="30" spans="2:18" ht="15.75" x14ac:dyDescent="0.25">
      <c r="B30" s="93"/>
      <c r="C30" s="38" t="s">
        <v>216</v>
      </c>
      <c r="D30" s="4" t="s">
        <v>61</v>
      </c>
      <c r="E30" s="189">
        <v>0.24413599999999999</v>
      </c>
      <c r="F30" s="5"/>
      <c r="G30" s="5"/>
      <c r="H30" s="5"/>
      <c r="I30" s="5"/>
      <c r="J30" s="5"/>
      <c r="K30" s="5"/>
      <c r="L30" s="5"/>
      <c r="M30" s="5"/>
      <c r="N30" s="20"/>
      <c r="P30" s="286" t="s">
        <v>129</v>
      </c>
      <c r="Q30" s="285">
        <v>4.8219999999999999E-3</v>
      </c>
      <c r="R30" s="49"/>
    </row>
    <row r="31" spans="2:18" ht="15.75" x14ac:dyDescent="0.25">
      <c r="B31" s="93"/>
      <c r="C31" s="106" t="s">
        <v>42</v>
      </c>
      <c r="D31" s="106"/>
      <c r="E31" s="107">
        <v>0.24413599999999999</v>
      </c>
      <c r="F31" s="5"/>
      <c r="G31" s="5"/>
      <c r="H31" s="5"/>
      <c r="I31" s="5"/>
      <c r="J31" s="5"/>
      <c r="K31" s="5"/>
      <c r="L31" s="5"/>
      <c r="M31" s="5"/>
      <c r="N31" s="20"/>
      <c r="P31" s="286" t="s">
        <v>84</v>
      </c>
      <c r="Q31" s="285">
        <v>3.552E-3</v>
      </c>
      <c r="R31" s="49"/>
    </row>
    <row r="32" spans="2:18" ht="15.75" x14ac:dyDescent="0.25">
      <c r="B32" s="93"/>
      <c r="C32" s="111"/>
      <c r="D32" s="111"/>
      <c r="E32" s="112"/>
      <c r="F32" s="5"/>
      <c r="G32" s="5"/>
      <c r="H32" s="5"/>
      <c r="I32" s="5"/>
      <c r="J32" s="5"/>
      <c r="K32" s="5"/>
      <c r="L32" s="5"/>
      <c r="M32" s="5"/>
      <c r="N32" s="20"/>
      <c r="P32" s="286" t="s">
        <v>83</v>
      </c>
      <c r="Q32" s="285">
        <v>2.895E-3</v>
      </c>
      <c r="R32" s="49"/>
    </row>
    <row r="33" spans="1:18" ht="15.75" x14ac:dyDescent="0.25">
      <c r="B33" s="93"/>
      <c r="C33" s="106" t="s">
        <v>20</v>
      </c>
      <c r="D33" s="106"/>
      <c r="E33" s="107">
        <v>5.8673000000000003E-2</v>
      </c>
      <c r="F33" s="5"/>
      <c r="G33" s="5"/>
      <c r="H33" s="5"/>
      <c r="I33" s="5"/>
      <c r="J33" s="5"/>
      <c r="K33" s="5"/>
      <c r="L33" s="5"/>
      <c r="M33" s="5"/>
      <c r="N33" s="20"/>
      <c r="P33" s="286" t="s">
        <v>94</v>
      </c>
      <c r="Q33" s="285">
        <v>1.485E-3</v>
      </c>
      <c r="R33" s="49"/>
    </row>
    <row r="34" spans="1:18" ht="15.75" x14ac:dyDescent="0.25">
      <c r="B34" s="93"/>
      <c r="C34" s="4"/>
      <c r="D34" s="4"/>
      <c r="E34" s="32"/>
      <c r="F34" s="5"/>
      <c r="G34" s="5"/>
      <c r="H34" s="5"/>
      <c r="I34" s="5"/>
      <c r="J34" s="5"/>
      <c r="K34" s="5"/>
      <c r="L34" s="5"/>
      <c r="M34" s="5"/>
      <c r="N34" s="20"/>
      <c r="P34" s="286" t="s">
        <v>25</v>
      </c>
      <c r="Q34" s="285">
        <v>9.2299999999999999E-4</v>
      </c>
      <c r="R34" s="49"/>
    </row>
    <row r="35" spans="1:18" ht="15.75" x14ac:dyDescent="0.25">
      <c r="B35" s="93"/>
      <c r="C35" s="113" t="s">
        <v>21</v>
      </c>
      <c r="D35" s="113"/>
      <c r="E35" s="114">
        <f>E33+E31+E28+E26+E24</f>
        <v>1</v>
      </c>
      <c r="F35" s="5"/>
      <c r="G35" s="5"/>
      <c r="H35" s="5"/>
      <c r="I35" s="5"/>
      <c r="J35" s="5"/>
      <c r="K35" s="5"/>
      <c r="L35" s="5"/>
      <c r="M35" s="5"/>
      <c r="N35" s="20"/>
      <c r="P35" s="286" t="s">
        <v>76</v>
      </c>
      <c r="Q35" s="285">
        <v>5.5800000000000001E-4</v>
      </c>
      <c r="R35" s="49"/>
    </row>
    <row r="36" spans="1:18" ht="15.75" x14ac:dyDescent="0.25">
      <c r="B36" s="93"/>
      <c r="F36" s="5"/>
      <c r="G36" s="5"/>
      <c r="H36" s="5"/>
      <c r="I36" s="5"/>
      <c r="J36" s="5"/>
      <c r="K36" s="5"/>
      <c r="L36" s="5"/>
      <c r="M36" s="5"/>
      <c r="N36" s="20"/>
      <c r="P36" s="284"/>
      <c r="Q36" s="287"/>
      <c r="R36" s="49"/>
    </row>
    <row r="37" spans="1:18" ht="15.75" thickBot="1" x14ac:dyDescent="0.25">
      <c r="A37" s="5"/>
      <c r="B37" s="96"/>
      <c r="C37" s="45"/>
      <c r="D37" s="45"/>
      <c r="E37" s="45"/>
      <c r="F37" s="45"/>
      <c r="G37" s="45"/>
      <c r="H37" s="45"/>
      <c r="I37" s="45"/>
      <c r="J37" s="45"/>
      <c r="K37" s="45"/>
      <c r="L37" s="45"/>
      <c r="M37" s="45"/>
      <c r="N37" s="116"/>
      <c r="O37" s="5"/>
      <c r="R37" s="49"/>
    </row>
    <row r="38" spans="1:18" ht="15.75" thickBot="1" x14ac:dyDescent="0.25">
      <c r="R38" s="49"/>
    </row>
    <row r="39" spans="1:18" ht="15" customHeight="1" x14ac:dyDescent="0.2">
      <c r="B39" s="302" t="s">
        <v>180</v>
      </c>
      <c r="C39" s="303"/>
      <c r="D39" s="303"/>
      <c r="E39" s="303"/>
      <c r="F39" s="303"/>
      <c r="G39" s="303"/>
      <c r="H39" s="303"/>
      <c r="I39" s="303"/>
      <c r="J39" s="303"/>
      <c r="K39" s="303"/>
      <c r="L39" s="303"/>
      <c r="M39" s="303"/>
      <c r="N39" s="303"/>
      <c r="O39" s="303"/>
      <c r="P39" s="303"/>
      <c r="Q39" s="303"/>
      <c r="R39" s="304"/>
    </row>
    <row r="40" spans="1:18" x14ac:dyDescent="0.2">
      <c r="B40" s="305"/>
      <c r="C40" s="306"/>
      <c r="D40" s="306"/>
      <c r="E40" s="306"/>
      <c r="F40" s="306"/>
      <c r="G40" s="306"/>
      <c r="H40" s="306"/>
      <c r="I40" s="306"/>
      <c r="J40" s="306"/>
      <c r="K40" s="306"/>
      <c r="L40" s="306"/>
      <c r="M40" s="306"/>
      <c r="N40" s="306"/>
      <c r="O40" s="306"/>
      <c r="P40" s="306"/>
      <c r="Q40" s="306"/>
      <c r="R40" s="307"/>
    </row>
    <row r="41" spans="1:18" x14ac:dyDescent="0.2">
      <c r="B41" s="305"/>
      <c r="C41" s="306"/>
      <c r="D41" s="306"/>
      <c r="E41" s="306"/>
      <c r="F41" s="306"/>
      <c r="G41" s="306"/>
      <c r="H41" s="306"/>
      <c r="I41" s="306"/>
      <c r="J41" s="306"/>
      <c r="K41" s="306"/>
      <c r="L41" s="306"/>
      <c r="M41" s="306"/>
      <c r="N41" s="306"/>
      <c r="O41" s="306"/>
      <c r="P41" s="306"/>
      <c r="Q41" s="306"/>
      <c r="R41" s="307"/>
    </row>
    <row r="42" spans="1:18" x14ac:dyDescent="0.2">
      <c r="B42" s="305"/>
      <c r="C42" s="306"/>
      <c r="D42" s="306"/>
      <c r="E42" s="306"/>
      <c r="F42" s="306"/>
      <c r="G42" s="306"/>
      <c r="H42" s="306"/>
      <c r="I42" s="306"/>
      <c r="J42" s="306"/>
      <c r="K42" s="306"/>
      <c r="L42" s="306"/>
      <c r="M42" s="306"/>
      <c r="N42" s="306"/>
      <c r="O42" s="306"/>
      <c r="P42" s="306"/>
      <c r="Q42" s="306"/>
      <c r="R42" s="307"/>
    </row>
    <row r="43" spans="1:18" x14ac:dyDescent="0.2">
      <c r="B43" s="305"/>
      <c r="C43" s="306"/>
      <c r="D43" s="306"/>
      <c r="E43" s="306"/>
      <c r="F43" s="306"/>
      <c r="G43" s="306"/>
      <c r="H43" s="306"/>
      <c r="I43" s="306"/>
      <c r="J43" s="306"/>
      <c r="K43" s="306"/>
      <c r="L43" s="306"/>
      <c r="M43" s="306"/>
      <c r="N43" s="306"/>
      <c r="O43" s="306"/>
      <c r="P43" s="306"/>
      <c r="Q43" s="306"/>
      <c r="R43" s="307"/>
    </row>
    <row r="44" spans="1:18" x14ac:dyDescent="0.2">
      <c r="B44" s="305"/>
      <c r="C44" s="306"/>
      <c r="D44" s="306"/>
      <c r="E44" s="306"/>
      <c r="F44" s="306"/>
      <c r="G44" s="306"/>
      <c r="H44" s="306"/>
      <c r="I44" s="306"/>
      <c r="J44" s="306"/>
      <c r="K44" s="306"/>
      <c r="L44" s="306"/>
      <c r="M44" s="306"/>
      <c r="N44" s="306"/>
      <c r="O44" s="306"/>
      <c r="P44" s="306"/>
      <c r="Q44" s="306"/>
      <c r="R44" s="307"/>
    </row>
    <row r="45" spans="1:18" ht="15.75" thickBot="1" x14ac:dyDescent="0.25">
      <c r="B45" s="308"/>
      <c r="C45" s="309"/>
      <c r="D45" s="309"/>
      <c r="E45" s="309"/>
      <c r="F45" s="309"/>
      <c r="G45" s="309"/>
      <c r="H45" s="309"/>
      <c r="I45" s="309"/>
      <c r="J45" s="309"/>
      <c r="K45" s="309"/>
      <c r="L45" s="309"/>
      <c r="M45" s="309"/>
      <c r="N45" s="309"/>
      <c r="O45" s="309"/>
      <c r="P45" s="309"/>
      <c r="Q45" s="309"/>
      <c r="R45" s="310"/>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0"/>
    </row>
    <row r="3" spans="2:19" ht="20.25" customHeight="1" x14ac:dyDescent="0.2">
      <c r="B3" s="93"/>
      <c r="C3" s="296" t="s">
        <v>227</v>
      </c>
      <c r="D3" s="296" t="s">
        <v>227</v>
      </c>
      <c r="E3" s="296" t="s">
        <v>227</v>
      </c>
      <c r="F3" s="296" t="s">
        <v>227</v>
      </c>
      <c r="G3" s="296" t="s">
        <v>227</v>
      </c>
      <c r="H3" s="296" t="s">
        <v>227</v>
      </c>
      <c r="I3" s="296" t="s">
        <v>227</v>
      </c>
      <c r="J3" s="296" t="s">
        <v>227</v>
      </c>
      <c r="K3" s="296" t="s">
        <v>227</v>
      </c>
      <c r="L3" s="296" t="s">
        <v>227</v>
      </c>
      <c r="M3" s="296" t="s">
        <v>227</v>
      </c>
      <c r="N3" s="297" t="s">
        <v>227</v>
      </c>
    </row>
    <row r="4" spans="2:19" ht="15.75" x14ac:dyDescent="0.25">
      <c r="B4" s="93"/>
      <c r="C4" s="67" t="s">
        <v>441</v>
      </c>
      <c r="D4" s="29"/>
      <c r="E4" s="29"/>
      <c r="F4" s="5"/>
      <c r="G4" s="5"/>
      <c r="H4" s="5"/>
      <c r="I4" s="5"/>
      <c r="J4" s="5"/>
      <c r="K4" s="5"/>
      <c r="L4" s="5"/>
      <c r="M4" s="5"/>
      <c r="N4" s="20"/>
    </row>
    <row r="5" spans="2:19" ht="20.25" customHeight="1" x14ac:dyDescent="0.2">
      <c r="B5" s="93"/>
      <c r="C5" s="211" t="s">
        <v>440</v>
      </c>
      <c r="D5" s="313" t="s">
        <v>400</v>
      </c>
      <c r="E5" s="313"/>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89" t="s">
        <v>3</v>
      </c>
      <c r="Q7" s="288">
        <v>9.9471000000000018E-2</v>
      </c>
    </row>
    <row r="8" spans="2:19" ht="15.75" x14ac:dyDescent="0.25">
      <c r="B8" s="93"/>
      <c r="C8" s="38" t="s">
        <v>29</v>
      </c>
      <c r="D8" s="38" t="s">
        <v>3</v>
      </c>
      <c r="E8" s="6">
        <v>2.8639999999999999E-2</v>
      </c>
      <c r="F8" s="5"/>
      <c r="G8" s="5"/>
      <c r="H8" s="5"/>
      <c r="I8" s="5"/>
      <c r="J8" s="5"/>
      <c r="K8" s="5"/>
      <c r="L8" s="5"/>
      <c r="M8" s="5"/>
      <c r="N8" s="20"/>
      <c r="P8" s="289" t="s">
        <v>26</v>
      </c>
      <c r="Q8" s="288">
        <v>3.3577999999999997E-2</v>
      </c>
      <c r="R8" s="49"/>
    </row>
    <row r="9" spans="2:19" ht="15.75" customHeight="1" x14ac:dyDescent="0.25">
      <c r="B9" s="93"/>
      <c r="C9" s="38" t="s">
        <v>31</v>
      </c>
      <c r="D9" s="38" t="s">
        <v>6</v>
      </c>
      <c r="E9" s="6">
        <v>2.6317000000000004E-2</v>
      </c>
      <c r="F9" s="5"/>
      <c r="G9" s="5"/>
      <c r="H9" s="5"/>
      <c r="I9" s="5"/>
      <c r="J9" s="5"/>
      <c r="K9" s="5"/>
      <c r="L9" s="5"/>
      <c r="M9" s="5"/>
      <c r="N9" s="20"/>
      <c r="P9" s="289" t="s">
        <v>106</v>
      </c>
      <c r="Q9" s="288">
        <v>3.0347000000000013E-2</v>
      </c>
      <c r="R9" s="49"/>
    </row>
    <row r="10" spans="2:19" ht="15.75" x14ac:dyDescent="0.25">
      <c r="B10" s="93"/>
      <c r="C10" s="38" t="s">
        <v>32</v>
      </c>
      <c r="D10" s="38" t="s">
        <v>3</v>
      </c>
      <c r="E10" s="6">
        <v>2.3119000000000001E-2</v>
      </c>
      <c r="F10" s="31"/>
      <c r="G10" s="5"/>
      <c r="H10" s="5"/>
      <c r="I10" s="5"/>
      <c r="J10" s="5"/>
      <c r="K10" s="5"/>
      <c r="L10" s="5"/>
      <c r="M10" s="5"/>
      <c r="N10" s="20"/>
      <c r="P10" s="289" t="s">
        <v>110</v>
      </c>
      <c r="Q10" s="288">
        <v>2.7924999999999995E-2</v>
      </c>
      <c r="R10" s="49"/>
    </row>
    <row r="11" spans="2:19" ht="15.75" x14ac:dyDescent="0.25">
      <c r="B11" s="93"/>
      <c r="C11" s="38" t="s">
        <v>36</v>
      </c>
      <c r="D11" s="38" t="s">
        <v>3</v>
      </c>
      <c r="E11" s="6">
        <v>1.7767000000000002E-2</v>
      </c>
      <c r="F11" s="5"/>
      <c r="G11" s="5"/>
      <c r="H11" s="5"/>
      <c r="I11" s="5"/>
      <c r="J11" s="5"/>
      <c r="K11" s="5"/>
      <c r="L11" s="5"/>
      <c r="M11" s="5"/>
      <c r="N11" s="20"/>
      <c r="P11" s="289" t="s">
        <v>6</v>
      </c>
      <c r="Q11" s="288">
        <v>2.6317000000000004E-2</v>
      </c>
      <c r="R11" s="49"/>
    </row>
    <row r="12" spans="2:19" ht="15.75" customHeight="1" x14ac:dyDescent="0.25">
      <c r="B12" s="93"/>
      <c r="C12" s="38" t="s">
        <v>28</v>
      </c>
      <c r="D12" s="38" t="s">
        <v>106</v>
      </c>
      <c r="E12" s="6">
        <v>1.3493000000000002E-2</v>
      </c>
      <c r="F12" s="31"/>
      <c r="G12" s="5"/>
      <c r="H12" s="5"/>
      <c r="I12" s="5"/>
      <c r="J12" s="5"/>
      <c r="K12" s="5"/>
      <c r="L12" s="5"/>
      <c r="M12" s="5"/>
      <c r="N12" s="20"/>
      <c r="P12" s="289" t="s">
        <v>4</v>
      </c>
      <c r="Q12" s="288">
        <v>2.6258999999999998E-2</v>
      </c>
      <c r="R12" s="49"/>
    </row>
    <row r="13" spans="2:19" ht="15.75" x14ac:dyDescent="0.25">
      <c r="B13" s="93"/>
      <c r="C13" s="38" t="s">
        <v>33</v>
      </c>
      <c r="D13" s="38" t="s">
        <v>106</v>
      </c>
      <c r="E13" s="6">
        <v>1.1896000000000002E-2</v>
      </c>
      <c r="F13" s="31"/>
      <c r="G13" s="5"/>
      <c r="H13" s="5"/>
      <c r="I13" s="5"/>
      <c r="J13" s="5"/>
      <c r="K13" s="5"/>
      <c r="L13" s="5"/>
      <c r="M13" s="5"/>
      <c r="N13" s="20"/>
      <c r="P13" s="289" t="s">
        <v>111</v>
      </c>
      <c r="Q13" s="288">
        <v>2.4191999999999998E-2</v>
      </c>
      <c r="R13" s="49"/>
    </row>
    <row r="14" spans="2:19" ht="15.75" x14ac:dyDescent="0.25">
      <c r="B14" s="93"/>
      <c r="C14" s="38" t="s">
        <v>95</v>
      </c>
      <c r="D14" s="38" t="s">
        <v>111</v>
      </c>
      <c r="E14" s="6">
        <v>9.8099999999999993E-3</v>
      </c>
      <c r="F14" s="31"/>
      <c r="G14" s="5"/>
      <c r="H14" s="5"/>
      <c r="I14" s="5"/>
      <c r="J14" s="5"/>
      <c r="K14" s="5"/>
      <c r="L14" s="5"/>
      <c r="M14" s="5"/>
      <c r="N14" s="20"/>
      <c r="P14" s="289" t="s">
        <v>85</v>
      </c>
      <c r="Q14" s="288">
        <v>2.3408000000000002E-2</v>
      </c>
      <c r="R14" s="49"/>
    </row>
    <row r="15" spans="2:19" ht="15.75" x14ac:dyDescent="0.25">
      <c r="B15" s="93"/>
      <c r="C15" s="38" t="s">
        <v>74</v>
      </c>
      <c r="D15" s="38" t="s">
        <v>11</v>
      </c>
      <c r="E15" s="6">
        <v>9.0629999999999999E-3</v>
      </c>
      <c r="F15" s="5"/>
      <c r="G15" s="5"/>
      <c r="H15" s="5"/>
      <c r="I15" s="5"/>
      <c r="J15" s="5"/>
      <c r="K15" s="5"/>
      <c r="L15" s="5"/>
      <c r="M15" s="5"/>
      <c r="N15" s="20"/>
      <c r="P15" s="289" t="s">
        <v>16</v>
      </c>
      <c r="Q15" s="288">
        <v>2.2491000000000001E-2</v>
      </c>
      <c r="R15" s="49"/>
    </row>
    <row r="16" spans="2:19" ht="15.75" x14ac:dyDescent="0.25">
      <c r="B16" s="93"/>
      <c r="C16" s="38" t="s">
        <v>370</v>
      </c>
      <c r="D16" s="38" t="s">
        <v>16</v>
      </c>
      <c r="E16" s="6">
        <v>8.2850000000000007E-3</v>
      </c>
      <c r="F16" s="5"/>
      <c r="G16" s="5"/>
      <c r="H16" s="5"/>
      <c r="I16" s="5"/>
      <c r="J16" s="5"/>
      <c r="K16" s="5"/>
      <c r="L16" s="5"/>
      <c r="M16" s="5"/>
      <c r="N16" s="20"/>
      <c r="P16" s="289" t="s">
        <v>23</v>
      </c>
      <c r="Q16" s="288">
        <v>1.2291E-2</v>
      </c>
      <c r="R16" s="49"/>
    </row>
    <row r="17" spans="2:18" ht="15.75" x14ac:dyDescent="0.25">
      <c r="B17" s="93"/>
      <c r="C17" s="38" t="s">
        <v>217</v>
      </c>
      <c r="D17" s="38" t="s">
        <v>26</v>
      </c>
      <c r="E17" s="6">
        <v>7.7929999999999996E-3</v>
      </c>
      <c r="F17" s="5"/>
      <c r="G17" s="5"/>
      <c r="H17" s="5"/>
      <c r="I17" s="5"/>
      <c r="J17" s="5"/>
      <c r="K17" s="5"/>
      <c r="L17" s="5"/>
      <c r="M17" s="5"/>
      <c r="N17" s="20"/>
      <c r="P17" s="289" t="s">
        <v>116</v>
      </c>
      <c r="Q17" s="288">
        <v>1.0869E-2</v>
      </c>
      <c r="R17" s="49"/>
    </row>
    <row r="18" spans="2:18" ht="15.75" x14ac:dyDescent="0.25">
      <c r="B18" s="93"/>
      <c r="C18" s="38" t="s">
        <v>37</v>
      </c>
      <c r="D18" s="38" t="s">
        <v>116</v>
      </c>
      <c r="E18" s="6">
        <v>7.477000000000001E-3</v>
      </c>
      <c r="F18" s="5"/>
      <c r="G18" s="5"/>
      <c r="H18" s="5"/>
      <c r="I18" s="5"/>
      <c r="J18" s="5"/>
      <c r="K18" s="5"/>
      <c r="L18" s="5"/>
      <c r="M18" s="5"/>
      <c r="N18" s="20"/>
      <c r="P18" s="289" t="s">
        <v>117</v>
      </c>
      <c r="Q18" s="288">
        <v>1.0357999999999999E-2</v>
      </c>
      <c r="R18" s="49"/>
    </row>
    <row r="19" spans="2:18" ht="15.75" x14ac:dyDescent="0.25">
      <c r="B19" s="93"/>
      <c r="C19" s="38" t="s">
        <v>378</v>
      </c>
      <c r="D19" s="38" t="s">
        <v>85</v>
      </c>
      <c r="E19" s="6">
        <v>7.0980000000000001E-3</v>
      </c>
      <c r="F19" s="5"/>
      <c r="G19" s="5"/>
      <c r="H19" s="5"/>
      <c r="I19" s="5"/>
      <c r="J19" s="5"/>
      <c r="K19" s="5"/>
      <c r="L19" s="5"/>
      <c r="M19" s="5"/>
      <c r="N19" s="20"/>
      <c r="P19" s="289" t="s">
        <v>112</v>
      </c>
      <c r="Q19" s="288">
        <v>1.0303E-2</v>
      </c>
      <c r="R19" s="49"/>
    </row>
    <row r="20" spans="2:18" ht="15.75" customHeight="1" x14ac:dyDescent="0.25">
      <c r="B20" s="93"/>
      <c r="C20" s="38" t="s">
        <v>206</v>
      </c>
      <c r="D20" s="38" t="s">
        <v>110</v>
      </c>
      <c r="E20" s="6">
        <v>7.0930000000000003E-3</v>
      </c>
      <c r="F20" s="5"/>
      <c r="G20" s="5"/>
      <c r="H20" s="5"/>
      <c r="I20" s="5"/>
      <c r="J20" s="5"/>
      <c r="K20" s="5"/>
      <c r="L20" s="5"/>
      <c r="M20" s="5"/>
      <c r="N20" s="20"/>
      <c r="P20" s="289" t="s">
        <v>107</v>
      </c>
      <c r="Q20" s="288">
        <v>1.0245000000000001E-2</v>
      </c>
      <c r="R20" s="49"/>
    </row>
    <row r="21" spans="2:18" ht="15.75" x14ac:dyDescent="0.25">
      <c r="B21" s="93"/>
      <c r="C21" s="38" t="s">
        <v>119</v>
      </c>
      <c r="D21" s="38" t="s">
        <v>111</v>
      </c>
      <c r="E21" s="6">
        <v>7.0549999999999996E-3</v>
      </c>
      <c r="F21" s="5"/>
      <c r="G21" s="5"/>
      <c r="H21" s="5"/>
      <c r="I21" s="5"/>
      <c r="J21" s="5"/>
      <c r="K21" s="5"/>
      <c r="L21" s="5"/>
      <c r="M21" s="5"/>
      <c r="N21" s="20"/>
      <c r="P21" s="289" t="s">
        <v>120</v>
      </c>
      <c r="Q21" s="288">
        <v>9.6340000000000002E-3</v>
      </c>
      <c r="R21" s="49"/>
    </row>
    <row r="22" spans="2:18" ht="15.75" x14ac:dyDescent="0.25">
      <c r="B22" s="93"/>
      <c r="C22" s="38" t="s">
        <v>134</v>
      </c>
      <c r="D22" s="38" t="s">
        <v>3</v>
      </c>
      <c r="E22" s="6">
        <v>6.9130000000000007E-3</v>
      </c>
      <c r="F22" s="5"/>
      <c r="G22" s="31"/>
      <c r="H22" s="31"/>
      <c r="I22" s="31"/>
      <c r="J22" s="5"/>
      <c r="K22" s="31"/>
      <c r="L22" s="5"/>
      <c r="M22" s="5"/>
      <c r="N22" s="20"/>
      <c r="P22" s="289" t="s">
        <v>82</v>
      </c>
      <c r="Q22" s="288">
        <v>9.1900000000000003E-3</v>
      </c>
      <c r="R22" s="49"/>
    </row>
    <row r="23" spans="2:18" ht="15.75" customHeight="1" x14ac:dyDescent="0.25">
      <c r="B23" s="93"/>
      <c r="C23" s="38"/>
      <c r="D23" s="4"/>
      <c r="E23" s="6"/>
      <c r="F23" s="5"/>
      <c r="G23" s="31"/>
      <c r="H23" s="31"/>
      <c r="I23" s="31"/>
      <c r="J23" s="5"/>
      <c r="K23" s="31"/>
      <c r="L23" s="5"/>
      <c r="M23" s="5"/>
      <c r="N23" s="20"/>
      <c r="P23" s="289" t="s">
        <v>11</v>
      </c>
      <c r="Q23" s="288">
        <v>9.0219999999999988E-3</v>
      </c>
      <c r="R23" s="49"/>
    </row>
    <row r="24" spans="2:18" ht="15.75" x14ac:dyDescent="0.25">
      <c r="B24" s="93"/>
      <c r="C24" s="106" t="s">
        <v>56</v>
      </c>
      <c r="D24" s="106"/>
      <c r="E24" s="107">
        <v>0.19181900000000002</v>
      </c>
      <c r="F24" s="5"/>
      <c r="G24" s="5"/>
      <c r="H24" s="5"/>
      <c r="I24" s="5"/>
      <c r="J24" s="5"/>
      <c r="K24" s="5"/>
      <c r="L24" s="5"/>
      <c r="M24" s="5"/>
      <c r="N24" s="20"/>
      <c r="P24" s="289" t="s">
        <v>13</v>
      </c>
      <c r="Q24" s="288">
        <v>8.8869999999999991E-3</v>
      </c>
      <c r="R24" s="49"/>
    </row>
    <row r="25" spans="2:18" ht="15.75" x14ac:dyDescent="0.25">
      <c r="B25" s="93"/>
      <c r="C25" s="4"/>
      <c r="D25" s="4"/>
      <c r="E25" s="6"/>
      <c r="F25" s="5"/>
      <c r="G25" s="5"/>
      <c r="H25" s="5"/>
      <c r="I25" s="5"/>
      <c r="J25" s="5"/>
      <c r="K25" s="5"/>
      <c r="L25" s="5"/>
      <c r="M25" s="5"/>
      <c r="N25" s="20"/>
      <c r="P25" s="289" t="s">
        <v>76</v>
      </c>
      <c r="Q25" s="288">
        <v>8.712000000000001E-3</v>
      </c>
      <c r="R25" s="49"/>
    </row>
    <row r="26" spans="2:18" ht="15.75" x14ac:dyDescent="0.25">
      <c r="B26" s="93"/>
      <c r="C26" s="106" t="s">
        <v>66</v>
      </c>
      <c r="D26" s="106"/>
      <c r="E26" s="107">
        <v>0.30536700000000006</v>
      </c>
      <c r="F26" s="31"/>
      <c r="G26" s="5"/>
      <c r="H26" s="5"/>
      <c r="I26" s="5"/>
      <c r="J26" s="5"/>
      <c r="K26" s="5"/>
      <c r="L26" s="5"/>
      <c r="M26" s="5"/>
      <c r="N26" s="20"/>
      <c r="P26" s="289" t="s">
        <v>125</v>
      </c>
      <c r="Q26" s="288">
        <v>8.2769999999999996E-3</v>
      </c>
      <c r="R26" s="49"/>
    </row>
    <row r="27" spans="2:18" ht="15.75" x14ac:dyDescent="0.25">
      <c r="B27" s="93"/>
      <c r="C27" s="38"/>
      <c r="D27" s="58"/>
      <c r="E27" s="6"/>
      <c r="F27" s="5"/>
      <c r="G27" s="5"/>
      <c r="H27" s="5"/>
      <c r="I27" s="5"/>
      <c r="J27" s="5"/>
      <c r="K27" s="5"/>
      <c r="L27" s="5"/>
      <c r="M27" s="5"/>
      <c r="N27" s="20"/>
      <c r="P27" s="289" t="s">
        <v>83</v>
      </c>
      <c r="Q27" s="288">
        <v>7.7059999999999993E-3</v>
      </c>
      <c r="R27" s="49"/>
    </row>
    <row r="28" spans="2:18" s="48" customFormat="1" ht="13.5" customHeight="1" x14ac:dyDescent="0.25">
      <c r="B28" s="108"/>
      <c r="C28" s="106" t="s">
        <v>58</v>
      </c>
      <c r="D28" s="106"/>
      <c r="E28" s="178">
        <v>0.16277900000000001</v>
      </c>
      <c r="F28" s="41"/>
      <c r="G28" s="41"/>
      <c r="H28" s="41"/>
      <c r="I28" s="41"/>
      <c r="J28" s="41"/>
      <c r="K28" s="41"/>
      <c r="L28" s="41"/>
      <c r="M28" s="41"/>
      <c r="N28" s="109"/>
      <c r="P28" s="289" t="s">
        <v>12</v>
      </c>
      <c r="Q28" s="288">
        <v>6.5890000000000002E-3</v>
      </c>
      <c r="R28" s="110"/>
    </row>
    <row r="29" spans="2:18" ht="15.75" x14ac:dyDescent="0.25">
      <c r="B29" s="93"/>
      <c r="C29" s="38"/>
      <c r="D29" s="38"/>
      <c r="E29" s="6"/>
      <c r="F29" s="5"/>
      <c r="G29" s="5"/>
      <c r="H29" s="5"/>
      <c r="I29" s="5"/>
      <c r="J29" s="5"/>
      <c r="K29" s="5"/>
      <c r="L29" s="5"/>
      <c r="M29" s="5"/>
      <c r="N29" s="20"/>
      <c r="P29" s="289" t="s">
        <v>118</v>
      </c>
      <c r="Q29" s="288">
        <v>6.2440000000000004E-3</v>
      </c>
      <c r="R29" s="49"/>
    </row>
    <row r="30" spans="2:18" ht="15.75" x14ac:dyDescent="0.25">
      <c r="B30" s="93"/>
      <c r="C30" s="38" t="s">
        <v>225</v>
      </c>
      <c r="D30" s="38" t="s">
        <v>224</v>
      </c>
      <c r="E30" s="6">
        <v>7.8108999999999998E-2</v>
      </c>
      <c r="F30" s="5"/>
      <c r="G30" s="5"/>
      <c r="H30" s="5"/>
      <c r="I30" s="5"/>
      <c r="J30" s="5"/>
      <c r="K30" s="5"/>
      <c r="L30" s="5"/>
      <c r="M30" s="5"/>
      <c r="N30" s="20"/>
      <c r="P30" s="289" t="s">
        <v>24</v>
      </c>
      <c r="Q30" s="288">
        <v>6.195E-3</v>
      </c>
      <c r="R30" s="49"/>
    </row>
    <row r="31" spans="2:18" ht="15.75" x14ac:dyDescent="0.25">
      <c r="B31" s="93"/>
      <c r="C31" s="38" t="s">
        <v>226</v>
      </c>
      <c r="D31" s="38" t="s">
        <v>224</v>
      </c>
      <c r="E31" s="6">
        <v>5.7229000000000002E-2</v>
      </c>
      <c r="F31" s="5"/>
      <c r="G31" s="5"/>
      <c r="H31" s="5"/>
      <c r="I31" s="5"/>
      <c r="J31" s="5"/>
      <c r="K31" s="5"/>
      <c r="L31" s="5"/>
      <c r="M31" s="5"/>
      <c r="N31" s="20"/>
      <c r="P31" s="289" t="s">
        <v>145</v>
      </c>
      <c r="Q31" s="288">
        <v>5.3229999999999996E-3</v>
      </c>
      <c r="R31" s="49"/>
    </row>
    <row r="32" spans="2:18" ht="15.75" x14ac:dyDescent="0.25">
      <c r="B32" s="93"/>
      <c r="C32" s="106" t="s">
        <v>223</v>
      </c>
      <c r="D32" s="106"/>
      <c r="E32" s="178">
        <v>0.13533800000000001</v>
      </c>
      <c r="F32" s="5"/>
      <c r="G32" s="5"/>
      <c r="H32" s="5"/>
      <c r="I32" s="5"/>
      <c r="J32" s="5"/>
      <c r="K32" s="5"/>
      <c r="L32" s="5"/>
      <c r="M32" s="5"/>
      <c r="N32" s="20"/>
      <c r="P32" s="289" t="s">
        <v>123</v>
      </c>
      <c r="Q32" s="288">
        <v>5.2230000000000002E-3</v>
      </c>
      <c r="R32" s="49"/>
    </row>
    <row r="33" spans="1:18" ht="15.75" x14ac:dyDescent="0.25">
      <c r="B33" s="93"/>
      <c r="C33" s="38"/>
      <c r="D33" s="4"/>
      <c r="E33" s="189"/>
      <c r="F33" s="5"/>
      <c r="G33" s="5"/>
      <c r="H33" s="5"/>
      <c r="I33" s="5"/>
      <c r="J33" s="5"/>
      <c r="K33" s="5"/>
      <c r="L33" s="5"/>
      <c r="M33" s="5"/>
      <c r="N33" s="20"/>
      <c r="P33" s="289" t="s">
        <v>105</v>
      </c>
      <c r="Q33" s="288">
        <v>4.9649999999999998E-3</v>
      </c>
      <c r="R33" s="49"/>
    </row>
    <row r="34" spans="1:18" ht="15.75" x14ac:dyDescent="0.25">
      <c r="B34" s="93"/>
      <c r="C34" s="38" t="s">
        <v>216</v>
      </c>
      <c r="D34" s="4" t="s">
        <v>61</v>
      </c>
      <c r="E34" s="189">
        <v>8.2143999999999995E-2</v>
      </c>
      <c r="F34" s="5"/>
      <c r="G34" s="5"/>
      <c r="H34" s="5"/>
      <c r="I34" s="5"/>
      <c r="J34" s="5"/>
      <c r="K34" s="5"/>
      <c r="L34" s="5"/>
      <c r="M34" s="5"/>
      <c r="N34" s="20"/>
      <c r="P34" s="289" t="s">
        <v>10</v>
      </c>
      <c r="Q34" s="288">
        <v>4.8879999999999982E-3</v>
      </c>
      <c r="R34" s="49"/>
    </row>
    <row r="35" spans="1:18" ht="15.75" x14ac:dyDescent="0.25">
      <c r="B35" s="93"/>
      <c r="C35" s="106" t="s">
        <v>42</v>
      </c>
      <c r="D35" s="106"/>
      <c r="E35" s="107">
        <v>8.2143999999999995E-2</v>
      </c>
      <c r="F35" s="5"/>
      <c r="G35" s="5"/>
      <c r="H35" s="5"/>
      <c r="I35" s="5"/>
      <c r="J35" s="5"/>
      <c r="K35" s="5"/>
      <c r="L35" s="5"/>
      <c r="M35" s="5"/>
      <c r="N35" s="20"/>
      <c r="P35" s="289" t="s">
        <v>126</v>
      </c>
      <c r="Q35" s="288">
        <v>4.509E-3</v>
      </c>
      <c r="R35" s="49"/>
    </row>
    <row r="36" spans="1:18" ht="15.75" x14ac:dyDescent="0.25">
      <c r="B36" s="93"/>
      <c r="C36" s="111"/>
      <c r="D36" s="111"/>
      <c r="E36" s="112"/>
      <c r="F36" s="5"/>
      <c r="G36" s="5"/>
      <c r="H36" s="5"/>
      <c r="I36" s="5"/>
      <c r="J36" s="5"/>
      <c r="K36" s="5"/>
      <c r="L36" s="5"/>
      <c r="M36" s="5"/>
      <c r="N36" s="20"/>
      <c r="P36" s="289" t="s">
        <v>109</v>
      </c>
      <c r="Q36" s="288">
        <v>4.3530000000000001E-3</v>
      </c>
      <c r="R36" s="49"/>
    </row>
    <row r="37" spans="1:18" ht="15.75" x14ac:dyDescent="0.25">
      <c r="B37" s="93"/>
      <c r="C37" s="38" t="s">
        <v>222</v>
      </c>
      <c r="D37" s="38" t="s">
        <v>224</v>
      </c>
      <c r="E37" s="189">
        <v>9.3727000000000005E-2</v>
      </c>
      <c r="F37" s="5"/>
      <c r="G37" s="5"/>
      <c r="H37" s="5"/>
      <c r="I37" s="5"/>
      <c r="J37" s="5"/>
      <c r="K37" s="5"/>
      <c r="L37" s="5"/>
      <c r="M37" s="5"/>
      <c r="N37" s="20"/>
      <c r="P37" s="289" t="s">
        <v>326</v>
      </c>
      <c r="Q37" s="288">
        <v>4.2709999999999996E-3</v>
      </c>
      <c r="R37" s="49"/>
    </row>
    <row r="38" spans="1:18" ht="15.75" x14ac:dyDescent="0.25">
      <c r="B38" s="93"/>
      <c r="C38" s="106" t="s">
        <v>221</v>
      </c>
      <c r="D38" s="106"/>
      <c r="E38" s="107">
        <v>9.3727000000000005E-2</v>
      </c>
      <c r="F38" s="5"/>
      <c r="G38" s="5"/>
      <c r="H38" s="5"/>
      <c r="I38" s="5"/>
      <c r="J38" s="5"/>
      <c r="K38" s="5"/>
      <c r="L38" s="5"/>
      <c r="M38" s="5"/>
      <c r="N38" s="20"/>
      <c r="P38" s="289" t="s">
        <v>132</v>
      </c>
      <c r="Q38" s="288">
        <v>3.836E-3</v>
      </c>
      <c r="R38" s="49"/>
    </row>
    <row r="39" spans="1:18" ht="15.75" x14ac:dyDescent="0.25">
      <c r="B39" s="93"/>
      <c r="C39" s="111"/>
      <c r="D39" s="111"/>
      <c r="E39" s="112"/>
      <c r="F39" s="5"/>
      <c r="G39" s="5"/>
      <c r="H39" s="5"/>
      <c r="I39" s="5"/>
      <c r="J39" s="5"/>
      <c r="K39" s="5"/>
      <c r="L39" s="5"/>
      <c r="M39" s="5"/>
      <c r="N39" s="20"/>
      <c r="P39" s="289" t="s">
        <v>136</v>
      </c>
      <c r="Q39" s="288">
        <v>3.718E-3</v>
      </c>
      <c r="R39" s="49"/>
    </row>
    <row r="40" spans="1:18" ht="15.75" x14ac:dyDescent="0.25">
      <c r="B40" s="93"/>
      <c r="C40" s="106" t="s">
        <v>20</v>
      </c>
      <c r="D40" s="106"/>
      <c r="E40" s="107">
        <v>2.8826000000000001E-2</v>
      </c>
      <c r="F40" s="5"/>
      <c r="G40" s="5"/>
      <c r="H40" s="5"/>
      <c r="I40" s="5"/>
      <c r="J40" s="5"/>
      <c r="K40" s="5"/>
      <c r="L40" s="5"/>
      <c r="M40" s="5"/>
      <c r="N40" s="20"/>
      <c r="P40" s="289" t="s">
        <v>25</v>
      </c>
      <c r="Q40" s="288">
        <v>3.3809999999999999E-3</v>
      </c>
      <c r="R40" s="49"/>
    </row>
    <row r="41" spans="1:18" ht="15.75" x14ac:dyDescent="0.25">
      <c r="B41" s="93"/>
      <c r="C41" s="4"/>
      <c r="D41" s="4"/>
      <c r="E41" s="32"/>
      <c r="F41" s="5"/>
      <c r="G41" s="5"/>
      <c r="H41" s="5"/>
      <c r="I41" s="5"/>
      <c r="J41" s="5"/>
      <c r="K41" s="5"/>
      <c r="L41" s="5"/>
      <c r="M41" s="5"/>
      <c r="N41" s="20"/>
      <c r="P41" s="289" t="s">
        <v>121</v>
      </c>
      <c r="Q41" s="288">
        <v>2.9420000000000002E-3</v>
      </c>
      <c r="R41" s="49"/>
    </row>
    <row r="42" spans="1:18" s="48" customFormat="1" ht="15.75" x14ac:dyDescent="0.25">
      <c r="B42" s="108"/>
      <c r="C42" s="113" t="s">
        <v>21</v>
      </c>
      <c r="D42" s="113"/>
      <c r="E42" s="114">
        <f>E40+E38+E35+E32+E28+E26+E24</f>
        <v>1.0000000000000002</v>
      </c>
      <c r="F42" s="41"/>
      <c r="G42" s="5"/>
      <c r="H42" s="5"/>
      <c r="I42" s="5"/>
      <c r="J42" s="5"/>
      <c r="K42" s="5"/>
      <c r="L42" s="41"/>
      <c r="M42" s="41"/>
      <c r="N42" s="109"/>
      <c r="P42" s="289" t="s">
        <v>84</v>
      </c>
      <c r="Q42" s="288">
        <v>1.2769999999999999E-3</v>
      </c>
      <c r="R42" s="110"/>
    </row>
    <row r="43" spans="1:18" ht="15.75" x14ac:dyDescent="0.25">
      <c r="B43" s="93"/>
      <c r="F43" s="5"/>
      <c r="G43" s="5"/>
      <c r="H43" s="5"/>
      <c r="I43" s="5"/>
      <c r="J43" s="5"/>
      <c r="K43" s="5"/>
      <c r="L43" s="5"/>
      <c r="M43" s="5"/>
      <c r="N43" s="20"/>
      <c r="P43" s="289" t="s">
        <v>15</v>
      </c>
      <c r="Q43" s="288">
        <v>-1.0000000000000026E-5</v>
      </c>
      <c r="R43" s="49"/>
    </row>
    <row r="44" spans="1:18" ht="15.75" x14ac:dyDescent="0.25">
      <c r="A44" s="5"/>
      <c r="B44" s="93"/>
      <c r="F44" s="5"/>
      <c r="G44" s="5"/>
      <c r="H44" s="5"/>
      <c r="I44" s="5"/>
      <c r="J44" s="5"/>
      <c r="K44" s="5"/>
      <c r="L44" s="5"/>
      <c r="M44" s="5"/>
      <c r="N44" s="20"/>
      <c r="O44" s="5"/>
      <c r="P44" s="289"/>
      <c r="Q44" s="288"/>
      <c r="R44" s="49"/>
    </row>
    <row r="45" spans="1:18" ht="16.5" thickBot="1" x14ac:dyDescent="0.3">
      <c r="A45" s="5"/>
      <c r="B45" s="96"/>
      <c r="C45" s="45"/>
      <c r="D45" s="45"/>
      <c r="E45" s="45"/>
      <c r="F45" s="45"/>
      <c r="G45" s="45"/>
      <c r="H45" s="45"/>
      <c r="I45" s="45"/>
      <c r="J45" s="45"/>
      <c r="K45" s="45"/>
      <c r="L45" s="45"/>
      <c r="M45" s="45"/>
      <c r="N45" s="116"/>
      <c r="O45" s="5"/>
      <c r="P45" s="221"/>
      <c r="Q45" s="224"/>
      <c r="R45" s="49"/>
    </row>
    <row r="46" spans="1:18" ht="15.75" x14ac:dyDescent="0.25">
      <c r="P46" s="221"/>
      <c r="Q46" s="224"/>
      <c r="R46" s="49"/>
    </row>
    <row r="47" spans="1:18" ht="15" customHeight="1" thickBot="1" x14ac:dyDescent="0.25"/>
    <row r="48" spans="1:18" ht="103.5" customHeight="1" thickBot="1" x14ac:dyDescent="0.25">
      <c r="B48" s="327" t="s">
        <v>180</v>
      </c>
      <c r="C48" s="328"/>
      <c r="D48" s="328"/>
      <c r="E48" s="328"/>
      <c r="F48" s="328"/>
      <c r="G48" s="328"/>
      <c r="H48" s="328"/>
      <c r="I48" s="328"/>
      <c r="J48" s="328"/>
      <c r="K48" s="328"/>
      <c r="L48" s="328"/>
      <c r="M48" s="328"/>
      <c r="N48" s="328"/>
      <c r="O48" s="328"/>
      <c r="P48" s="328"/>
      <c r="Q48" s="328"/>
      <c r="R48" s="32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P8:Q43">
    <sortCondition descending="1" ref="Q43"/>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96" t="s">
        <v>157</v>
      </c>
      <c r="D3" s="296"/>
      <c r="E3" s="296"/>
      <c r="F3" s="296"/>
      <c r="G3" s="296"/>
      <c r="H3" s="296"/>
      <c r="I3" s="296"/>
      <c r="J3" s="296"/>
      <c r="K3" s="296"/>
      <c r="L3" s="296"/>
      <c r="M3" s="297"/>
    </row>
    <row r="4" spans="2:16" ht="15.75" x14ac:dyDescent="0.25">
      <c r="B4" s="93"/>
      <c r="C4" s="67" t="s">
        <v>441</v>
      </c>
      <c r="D4" s="29"/>
      <c r="E4" s="29"/>
      <c r="F4" s="5"/>
      <c r="G4" s="5"/>
      <c r="H4" s="5"/>
      <c r="I4" s="5"/>
      <c r="J4" s="5"/>
      <c r="K4" s="5"/>
      <c r="L4" s="5"/>
      <c r="M4" s="20"/>
    </row>
    <row r="5" spans="2:16" ht="20.25" customHeight="1" x14ac:dyDescent="0.25">
      <c r="B5" s="93"/>
      <c r="C5" s="211" t="s">
        <v>440</v>
      </c>
      <c r="D5" s="94" t="s">
        <v>401</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98" t="s">
        <v>50</v>
      </c>
      <c r="G7" s="298"/>
      <c r="H7" s="298"/>
      <c r="I7" s="298"/>
      <c r="J7" s="298"/>
      <c r="K7" s="298"/>
      <c r="L7" s="298"/>
      <c r="M7" s="299"/>
    </row>
    <row r="8" spans="2:16" ht="15.75" x14ac:dyDescent="0.25">
      <c r="B8" s="93"/>
      <c r="C8" s="38" t="s">
        <v>177</v>
      </c>
      <c r="D8" s="190">
        <v>0.13259799999999999</v>
      </c>
      <c r="E8" s="29"/>
      <c r="F8" s="5"/>
      <c r="G8" s="31"/>
      <c r="H8" s="5"/>
      <c r="I8" s="5"/>
      <c r="J8" s="47"/>
      <c r="K8" s="5"/>
      <c r="L8" s="5"/>
      <c r="M8" s="20"/>
      <c r="P8" s="49"/>
    </row>
    <row r="9" spans="2:16" x14ac:dyDescent="0.2">
      <c r="B9" s="93"/>
      <c r="C9" s="102" t="s">
        <v>173</v>
      </c>
      <c r="D9" s="174">
        <v>9.6645999999999996E-2</v>
      </c>
      <c r="E9" s="5"/>
      <c r="F9" s="5"/>
      <c r="G9" s="5"/>
      <c r="H9" s="5"/>
      <c r="I9" s="5" t="s">
        <v>51</v>
      </c>
      <c r="J9" s="47">
        <f>D11</f>
        <v>0.32303199999999999</v>
      </c>
      <c r="K9" s="5"/>
      <c r="L9" s="5"/>
      <c r="M9" s="20"/>
      <c r="P9" s="49"/>
    </row>
    <row r="10" spans="2:16" x14ac:dyDescent="0.2">
      <c r="B10" s="93"/>
      <c r="C10" s="102" t="s">
        <v>174</v>
      </c>
      <c r="D10" s="174">
        <v>9.3787999999999996E-2</v>
      </c>
      <c r="E10" s="5"/>
      <c r="F10" s="5"/>
      <c r="G10" s="5"/>
      <c r="H10" s="5"/>
      <c r="I10" s="5" t="s">
        <v>53</v>
      </c>
      <c r="J10" s="47">
        <f>D16</f>
        <v>0.64221499999999998</v>
      </c>
      <c r="K10" s="5"/>
      <c r="L10" s="5"/>
      <c r="M10" s="20"/>
      <c r="P10" s="49"/>
    </row>
    <row r="11" spans="2:16" ht="15.75" x14ac:dyDescent="0.25">
      <c r="B11" s="93"/>
      <c r="C11" s="7" t="s">
        <v>52</v>
      </c>
      <c r="D11" s="8">
        <f>SUM(D8:D10)</f>
        <v>0.32303199999999999</v>
      </c>
      <c r="E11" s="5"/>
      <c r="F11" s="5"/>
      <c r="G11" s="5"/>
      <c r="H11" s="5"/>
      <c r="I11" s="5" t="s">
        <v>20</v>
      </c>
      <c r="J11" s="47">
        <f>D18</f>
        <v>3.4752999999999999E-2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176</v>
      </c>
      <c r="D13" s="174">
        <v>0.57185399999999997</v>
      </c>
      <c r="E13" s="5"/>
      <c r="F13" s="5"/>
      <c r="G13" s="5"/>
      <c r="H13" s="5"/>
      <c r="I13" s="5"/>
      <c r="J13" s="47"/>
      <c r="K13" s="5"/>
      <c r="L13" s="5"/>
      <c r="M13" s="20"/>
      <c r="P13" s="49"/>
    </row>
    <row r="14" spans="2:16" ht="15.75" customHeight="1" x14ac:dyDescent="0.2">
      <c r="B14" s="93"/>
      <c r="C14" s="4" t="s">
        <v>175</v>
      </c>
      <c r="D14" s="174">
        <v>5.8376999999999998E-2</v>
      </c>
      <c r="E14" s="5"/>
      <c r="F14" s="5"/>
      <c r="G14" s="5"/>
      <c r="H14" s="5"/>
      <c r="I14" s="5"/>
      <c r="J14" s="47"/>
      <c r="K14" s="5"/>
      <c r="L14" s="5"/>
      <c r="M14" s="20"/>
      <c r="P14" s="49"/>
    </row>
    <row r="15" spans="2:16" x14ac:dyDescent="0.2">
      <c r="B15" s="93"/>
      <c r="C15" s="4" t="s">
        <v>203</v>
      </c>
      <c r="D15" s="174">
        <v>1.1984E-2</v>
      </c>
      <c r="E15" s="5"/>
      <c r="F15" s="5"/>
      <c r="G15" s="5"/>
      <c r="H15" s="5"/>
      <c r="I15" s="5"/>
      <c r="J15" s="103"/>
      <c r="K15" s="5"/>
      <c r="L15" s="5"/>
      <c r="M15" s="20"/>
      <c r="P15" s="49"/>
    </row>
    <row r="16" spans="2:16" ht="15.75" x14ac:dyDescent="0.25">
      <c r="B16" s="93"/>
      <c r="C16" s="7" t="s">
        <v>19</v>
      </c>
      <c r="D16" s="8">
        <f>SUM(D13:D15)</f>
        <v>0.64221499999999998</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199">
        <v>3.4752999999999999E-2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330"/>
      <c r="D23" s="330"/>
      <c r="E23" s="330"/>
      <c r="F23" s="330"/>
      <c r="G23" s="330"/>
      <c r="H23" s="5"/>
      <c r="I23" s="5"/>
      <c r="J23" s="5"/>
      <c r="K23" s="5"/>
      <c r="L23" s="5"/>
      <c r="M23" s="11"/>
      <c r="P23" s="49"/>
    </row>
    <row r="24" spans="2:18" ht="16.5" thickBot="1" x14ac:dyDescent="0.3">
      <c r="B24" s="96"/>
      <c r="C24" s="300"/>
      <c r="D24" s="300"/>
      <c r="E24" s="300"/>
      <c r="F24" s="300"/>
      <c r="G24" s="300"/>
      <c r="H24" s="300"/>
      <c r="I24" s="300"/>
      <c r="J24" s="300"/>
      <c r="K24" s="300"/>
      <c r="L24" s="300"/>
      <c r="M24" s="301"/>
      <c r="P24" s="49"/>
    </row>
    <row r="25" spans="2:18" ht="15.75" thickBot="1" x14ac:dyDescent="0.25">
      <c r="P25" s="49"/>
    </row>
    <row r="26" spans="2:18" ht="15" customHeight="1" x14ac:dyDescent="0.2">
      <c r="B26" s="302" t="s">
        <v>180</v>
      </c>
      <c r="C26" s="303"/>
      <c r="D26" s="303"/>
      <c r="E26" s="303"/>
      <c r="F26" s="303"/>
      <c r="G26" s="303"/>
      <c r="H26" s="303"/>
      <c r="I26" s="303"/>
      <c r="J26" s="303"/>
      <c r="K26" s="303"/>
      <c r="L26" s="303"/>
      <c r="M26" s="303"/>
      <c r="N26" s="303"/>
      <c r="O26" s="303"/>
      <c r="P26" s="303"/>
      <c r="Q26" s="303"/>
      <c r="R26" s="304"/>
    </row>
    <row r="27" spans="2:18" x14ac:dyDescent="0.2">
      <c r="B27" s="305"/>
      <c r="C27" s="306"/>
      <c r="D27" s="306"/>
      <c r="E27" s="306"/>
      <c r="F27" s="306"/>
      <c r="G27" s="306"/>
      <c r="H27" s="306"/>
      <c r="I27" s="306"/>
      <c r="J27" s="306"/>
      <c r="K27" s="306"/>
      <c r="L27" s="306"/>
      <c r="M27" s="306"/>
      <c r="N27" s="306"/>
      <c r="O27" s="306"/>
      <c r="P27" s="306"/>
      <c r="Q27" s="306"/>
      <c r="R27" s="307"/>
    </row>
    <row r="28" spans="2:18" x14ac:dyDescent="0.2">
      <c r="B28" s="305"/>
      <c r="C28" s="306"/>
      <c r="D28" s="306"/>
      <c r="E28" s="306"/>
      <c r="F28" s="306"/>
      <c r="G28" s="306"/>
      <c r="H28" s="306"/>
      <c r="I28" s="306"/>
      <c r="J28" s="306"/>
      <c r="K28" s="306"/>
      <c r="L28" s="306"/>
      <c r="M28" s="306"/>
      <c r="N28" s="306"/>
      <c r="O28" s="306"/>
      <c r="P28" s="306"/>
      <c r="Q28" s="306"/>
      <c r="R28" s="307"/>
    </row>
    <row r="29" spans="2:18" x14ac:dyDescent="0.2">
      <c r="B29" s="305"/>
      <c r="C29" s="306"/>
      <c r="D29" s="306"/>
      <c r="E29" s="306"/>
      <c r="F29" s="306"/>
      <c r="G29" s="306"/>
      <c r="H29" s="306"/>
      <c r="I29" s="306"/>
      <c r="J29" s="306"/>
      <c r="K29" s="306"/>
      <c r="L29" s="306"/>
      <c r="M29" s="306"/>
      <c r="N29" s="306"/>
      <c r="O29" s="306"/>
      <c r="P29" s="306"/>
      <c r="Q29" s="306"/>
      <c r="R29" s="307"/>
    </row>
    <row r="30" spans="2:18" x14ac:dyDescent="0.2">
      <c r="B30" s="305"/>
      <c r="C30" s="306"/>
      <c r="D30" s="306"/>
      <c r="E30" s="306"/>
      <c r="F30" s="306"/>
      <c r="G30" s="306"/>
      <c r="H30" s="306"/>
      <c r="I30" s="306"/>
      <c r="J30" s="306"/>
      <c r="K30" s="306"/>
      <c r="L30" s="306"/>
      <c r="M30" s="306"/>
      <c r="N30" s="306"/>
      <c r="O30" s="306"/>
      <c r="P30" s="306"/>
      <c r="Q30" s="306"/>
      <c r="R30" s="307"/>
    </row>
    <row r="31" spans="2:18" x14ac:dyDescent="0.2">
      <c r="B31" s="305"/>
      <c r="C31" s="306"/>
      <c r="D31" s="306"/>
      <c r="E31" s="306"/>
      <c r="F31" s="306"/>
      <c r="G31" s="306"/>
      <c r="H31" s="306"/>
      <c r="I31" s="306"/>
      <c r="J31" s="306"/>
      <c r="K31" s="306"/>
      <c r="L31" s="306"/>
      <c r="M31" s="306"/>
      <c r="N31" s="306"/>
      <c r="O31" s="306"/>
      <c r="P31" s="306"/>
      <c r="Q31" s="306"/>
      <c r="R31" s="307"/>
    </row>
    <row r="32" spans="2:18" ht="15.75" thickBot="1" x14ac:dyDescent="0.25">
      <c r="B32" s="308"/>
      <c r="C32" s="309"/>
      <c r="D32" s="309"/>
      <c r="E32" s="309"/>
      <c r="F32" s="309"/>
      <c r="G32" s="309"/>
      <c r="H32" s="309"/>
      <c r="I32" s="309"/>
      <c r="J32" s="309"/>
      <c r="K32" s="309"/>
      <c r="L32" s="309"/>
      <c r="M32" s="309"/>
      <c r="N32" s="309"/>
      <c r="O32" s="309"/>
      <c r="P32" s="309"/>
      <c r="Q32" s="309"/>
      <c r="R32" s="310"/>
    </row>
    <row r="33" spans="3:16" x14ac:dyDescent="0.2">
      <c r="P33" s="49"/>
    </row>
    <row r="34" spans="3:16" x14ac:dyDescent="0.2">
      <c r="C34" s="291"/>
      <c r="D34" s="290"/>
      <c r="P34" s="49"/>
    </row>
    <row r="35" spans="3:16" x14ac:dyDescent="0.2">
      <c r="C35" s="291"/>
      <c r="D35" s="290"/>
      <c r="P35" s="49"/>
    </row>
    <row r="36" spans="3:16" x14ac:dyDescent="0.2">
      <c r="C36" s="291"/>
      <c r="D36" s="290"/>
      <c r="P36" s="49"/>
    </row>
    <row r="37" spans="3:16" x14ac:dyDescent="0.2">
      <c r="C37" s="291"/>
      <c r="D37" s="290"/>
      <c r="P37" s="49"/>
    </row>
    <row r="38" spans="3:16" x14ac:dyDescent="0.2">
      <c r="C38" s="291"/>
      <c r="D38" s="290"/>
      <c r="P38" s="49"/>
    </row>
    <row r="39" spans="3:16" x14ac:dyDescent="0.2">
      <c r="C39" s="291"/>
      <c r="D39" s="290"/>
      <c r="P39" s="49"/>
    </row>
    <row r="40" spans="3:16" x14ac:dyDescent="0.2">
      <c r="C40" s="223"/>
      <c r="D40" s="222"/>
      <c r="P40" s="49"/>
    </row>
    <row r="41" spans="3:16" x14ac:dyDescent="0.2">
      <c r="C41" s="223"/>
      <c r="D41" s="222"/>
      <c r="P41" s="49"/>
    </row>
    <row r="42" spans="3:16" x14ac:dyDescent="0.2">
      <c r="C42" s="168"/>
      <c r="D42" s="238"/>
      <c r="P42" s="49"/>
    </row>
    <row r="43" spans="3:16" x14ac:dyDescent="0.2">
      <c r="C43" s="168"/>
      <c r="D43" s="169"/>
      <c r="P43" s="49"/>
    </row>
    <row r="44" spans="3:16" x14ac:dyDescent="0.2">
      <c r="C44" s="168"/>
      <c r="D44" s="169"/>
      <c r="P44" s="49"/>
    </row>
    <row r="45" spans="3:16" x14ac:dyDescent="0.2">
      <c r="D45" s="169"/>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37:D39">
    <sortCondition descending="1" ref="D37"/>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96" t="s">
        <v>156</v>
      </c>
      <c r="D3" s="296"/>
      <c r="E3" s="296"/>
      <c r="F3" s="296"/>
      <c r="G3" s="296"/>
      <c r="H3" s="296"/>
      <c r="I3" s="296"/>
      <c r="J3" s="296"/>
      <c r="K3" s="296"/>
      <c r="L3" s="296"/>
      <c r="M3" s="297"/>
    </row>
    <row r="4" spans="2:19" ht="15.75" x14ac:dyDescent="0.25">
      <c r="B4" s="93"/>
      <c r="C4" s="67" t="s">
        <v>441</v>
      </c>
      <c r="D4" s="29"/>
      <c r="E4" s="29"/>
      <c r="F4" s="5"/>
      <c r="G4" s="5"/>
      <c r="H4" s="5"/>
      <c r="I4" s="5"/>
      <c r="J4" s="5"/>
      <c r="K4" s="5"/>
      <c r="L4" s="5"/>
      <c r="M4" s="20"/>
    </row>
    <row r="5" spans="2:19" ht="20.25" customHeight="1" x14ac:dyDescent="0.25">
      <c r="B5" s="93"/>
      <c r="C5" s="211" t="s">
        <v>440</v>
      </c>
      <c r="D5" s="94" t="s">
        <v>402</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98" t="s">
        <v>50</v>
      </c>
      <c r="G7" s="298"/>
      <c r="H7" s="298"/>
      <c r="I7" s="298"/>
      <c r="J7" s="298"/>
      <c r="K7" s="298"/>
      <c r="L7" s="298"/>
      <c r="M7" s="299"/>
    </row>
    <row r="8" spans="2:19" x14ac:dyDescent="0.2">
      <c r="B8" s="93"/>
      <c r="C8" s="38" t="s">
        <v>177</v>
      </c>
      <c r="D8" s="190">
        <v>0.107741</v>
      </c>
      <c r="E8" s="5"/>
      <c r="F8" s="5"/>
      <c r="G8" s="31"/>
      <c r="H8" s="5"/>
      <c r="I8" s="97" t="s">
        <v>51</v>
      </c>
      <c r="J8" s="98">
        <f>D11</f>
        <v>0.52238600000000002</v>
      </c>
      <c r="K8" s="5"/>
      <c r="L8" s="5"/>
      <c r="M8" s="20"/>
      <c r="S8" s="49"/>
    </row>
    <row r="9" spans="2:19" ht="15.75" customHeight="1" x14ac:dyDescent="0.2">
      <c r="B9" s="93"/>
      <c r="C9" s="4" t="s">
        <v>174</v>
      </c>
      <c r="D9" s="174">
        <v>0.27949000000000002</v>
      </c>
      <c r="E9" s="5"/>
      <c r="F9" s="5"/>
      <c r="G9" s="5"/>
      <c r="H9" s="5"/>
      <c r="I9" s="97" t="s">
        <v>53</v>
      </c>
      <c r="J9" s="99">
        <f>D17</f>
        <v>0.49800899999999998</v>
      </c>
      <c r="K9" s="5"/>
      <c r="L9" s="5"/>
      <c r="M9" s="20"/>
      <c r="S9" s="49"/>
    </row>
    <row r="10" spans="2:19" x14ac:dyDescent="0.2">
      <c r="B10" s="93"/>
      <c r="C10" s="4" t="s">
        <v>173</v>
      </c>
      <c r="D10" s="174">
        <v>0.135155</v>
      </c>
      <c r="E10" s="5"/>
      <c r="F10" s="5"/>
      <c r="G10" s="5"/>
      <c r="H10" s="5"/>
      <c r="I10" s="97" t="s">
        <v>20</v>
      </c>
      <c r="J10" s="99">
        <f>D19</f>
        <v>-2.0395E-2</v>
      </c>
      <c r="K10" s="5"/>
      <c r="L10" s="5"/>
      <c r="M10" s="20"/>
      <c r="S10" s="49"/>
    </row>
    <row r="11" spans="2:19" ht="15.75" customHeight="1" x14ac:dyDescent="0.25">
      <c r="B11" s="93"/>
      <c r="C11" s="7" t="s">
        <v>52</v>
      </c>
      <c r="D11" s="8">
        <f>SUM(D8:D10)</f>
        <v>0.52238600000000002</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176</v>
      </c>
      <c r="D13" s="174">
        <v>0.38548500000000002</v>
      </c>
      <c r="E13" s="5"/>
      <c r="F13" s="5"/>
      <c r="G13" s="5"/>
      <c r="H13" s="5"/>
      <c r="I13" s="97"/>
      <c r="J13" s="97"/>
      <c r="K13" s="5"/>
      <c r="L13" s="5"/>
      <c r="M13" s="20"/>
      <c r="S13" s="49"/>
    </row>
    <row r="14" spans="2:19" x14ac:dyDescent="0.2">
      <c r="B14" s="93"/>
      <c r="C14" s="4" t="s">
        <v>175</v>
      </c>
      <c r="D14" s="174">
        <v>0.112438</v>
      </c>
      <c r="E14" s="5"/>
      <c r="F14" s="5"/>
      <c r="G14" s="5"/>
      <c r="H14" s="5"/>
      <c r="I14" s="5"/>
      <c r="J14" s="5"/>
      <c r="K14" s="5"/>
      <c r="L14" s="5"/>
      <c r="M14" s="20"/>
      <c r="S14" s="49"/>
    </row>
    <row r="15" spans="2:19" x14ac:dyDescent="0.2">
      <c r="B15" s="93"/>
      <c r="C15" s="4" t="s">
        <v>203</v>
      </c>
      <c r="D15" s="174">
        <v>8.6000000000000003E-5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0.49800899999999998</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199">
        <v>-2.0395E-2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302" t="s">
        <v>180</v>
      </c>
      <c r="C28" s="303"/>
      <c r="D28" s="303"/>
      <c r="E28" s="303"/>
      <c r="F28" s="303"/>
      <c r="G28" s="303"/>
      <c r="H28" s="303"/>
      <c r="I28" s="303"/>
      <c r="J28" s="303"/>
      <c r="K28" s="303"/>
      <c r="L28" s="303"/>
      <c r="M28" s="303"/>
      <c r="N28" s="303"/>
      <c r="O28" s="303"/>
      <c r="P28" s="303"/>
      <c r="Q28" s="303"/>
      <c r="R28" s="304"/>
      <c r="S28" s="49"/>
    </row>
    <row r="29" spans="2:19" x14ac:dyDescent="0.2">
      <c r="B29" s="305"/>
      <c r="C29" s="306"/>
      <c r="D29" s="306"/>
      <c r="E29" s="306"/>
      <c r="F29" s="306"/>
      <c r="G29" s="306"/>
      <c r="H29" s="306"/>
      <c r="I29" s="306"/>
      <c r="J29" s="306"/>
      <c r="K29" s="306"/>
      <c r="L29" s="306"/>
      <c r="M29" s="306"/>
      <c r="N29" s="306"/>
      <c r="O29" s="306"/>
      <c r="P29" s="306"/>
      <c r="Q29" s="306"/>
      <c r="R29" s="307"/>
      <c r="S29" s="49"/>
    </row>
    <row r="30" spans="2:19" x14ac:dyDescent="0.2">
      <c r="B30" s="305"/>
      <c r="C30" s="306"/>
      <c r="D30" s="306"/>
      <c r="E30" s="306"/>
      <c r="F30" s="306"/>
      <c r="G30" s="306"/>
      <c r="H30" s="306"/>
      <c r="I30" s="306"/>
      <c r="J30" s="306"/>
      <c r="K30" s="306"/>
      <c r="L30" s="306"/>
      <c r="M30" s="306"/>
      <c r="N30" s="306"/>
      <c r="O30" s="306"/>
      <c r="P30" s="306"/>
      <c r="Q30" s="306"/>
      <c r="R30" s="307"/>
      <c r="S30" s="49"/>
    </row>
    <row r="31" spans="2:19" x14ac:dyDescent="0.2">
      <c r="B31" s="305"/>
      <c r="C31" s="306"/>
      <c r="D31" s="306"/>
      <c r="E31" s="306"/>
      <c r="F31" s="306"/>
      <c r="G31" s="306"/>
      <c r="H31" s="306"/>
      <c r="I31" s="306"/>
      <c r="J31" s="306"/>
      <c r="K31" s="306"/>
      <c r="L31" s="306"/>
      <c r="M31" s="306"/>
      <c r="N31" s="306"/>
      <c r="O31" s="306"/>
      <c r="P31" s="306"/>
      <c r="Q31" s="306"/>
      <c r="R31" s="307"/>
      <c r="S31" s="49"/>
    </row>
    <row r="32" spans="2:19" x14ac:dyDescent="0.2">
      <c r="B32" s="305"/>
      <c r="C32" s="306"/>
      <c r="D32" s="306"/>
      <c r="E32" s="306"/>
      <c r="F32" s="306"/>
      <c r="G32" s="306"/>
      <c r="H32" s="306"/>
      <c r="I32" s="306"/>
      <c r="J32" s="306"/>
      <c r="K32" s="306"/>
      <c r="L32" s="306"/>
      <c r="M32" s="306"/>
      <c r="N32" s="306"/>
      <c r="O32" s="306"/>
      <c r="P32" s="306"/>
      <c r="Q32" s="306"/>
      <c r="R32" s="307"/>
      <c r="S32" s="49"/>
    </row>
    <row r="33" spans="2:19" x14ac:dyDescent="0.2">
      <c r="B33" s="305"/>
      <c r="C33" s="306"/>
      <c r="D33" s="306"/>
      <c r="E33" s="306"/>
      <c r="F33" s="306"/>
      <c r="G33" s="306"/>
      <c r="H33" s="306"/>
      <c r="I33" s="306"/>
      <c r="J33" s="306"/>
      <c r="K33" s="306"/>
      <c r="L33" s="306"/>
      <c r="M33" s="306"/>
      <c r="N33" s="306"/>
      <c r="O33" s="306"/>
      <c r="P33" s="306"/>
      <c r="Q33" s="306"/>
      <c r="R33" s="307"/>
      <c r="S33" s="49"/>
    </row>
    <row r="34" spans="2:19" ht="15.75" thickBot="1" x14ac:dyDescent="0.25">
      <c r="B34" s="308"/>
      <c r="C34" s="309"/>
      <c r="D34" s="309"/>
      <c r="E34" s="309"/>
      <c r="F34" s="309"/>
      <c r="G34" s="309"/>
      <c r="H34" s="309"/>
      <c r="I34" s="309"/>
      <c r="J34" s="309"/>
      <c r="K34" s="309"/>
      <c r="L34" s="309"/>
      <c r="M34" s="309"/>
      <c r="N34" s="309"/>
      <c r="O34" s="309"/>
      <c r="P34" s="309"/>
      <c r="Q34" s="309"/>
      <c r="R34" s="310"/>
      <c r="S34" s="49"/>
    </row>
    <row r="35" spans="2:19" x14ac:dyDescent="0.2">
      <c r="S35" s="49"/>
    </row>
    <row r="36" spans="2:19" x14ac:dyDescent="0.2">
      <c r="C36" s="223"/>
      <c r="D36" s="222"/>
      <c r="S36" s="49"/>
    </row>
    <row r="37" spans="2:19" x14ac:dyDescent="0.2">
      <c r="C37" s="223"/>
      <c r="D37" s="222"/>
      <c r="S37" s="49"/>
    </row>
    <row r="38" spans="2:19" x14ac:dyDescent="0.2">
      <c r="C38" s="223"/>
      <c r="D38" s="222"/>
      <c r="S38" s="49"/>
    </row>
    <row r="39" spans="2:19" x14ac:dyDescent="0.2">
      <c r="C39" s="223"/>
      <c r="D39" s="222"/>
      <c r="S39" s="49"/>
    </row>
    <row r="40" spans="2:19" x14ac:dyDescent="0.2">
      <c r="C40" s="223"/>
      <c r="D40" s="222"/>
      <c r="S40" s="49"/>
    </row>
    <row r="41" spans="2:19" x14ac:dyDescent="0.2">
      <c r="C41" s="223"/>
      <c r="D41" s="222"/>
      <c r="S41" s="49"/>
    </row>
    <row r="42" spans="2:19" x14ac:dyDescent="0.2">
      <c r="C42" s="223"/>
      <c r="D42" s="22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9:D10">
    <sortCondition descending="1" ref="D8"/>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96" t="s">
        <v>172</v>
      </c>
      <c r="D3" s="296"/>
      <c r="E3" s="296"/>
      <c r="F3" s="296"/>
      <c r="G3" s="296"/>
      <c r="H3" s="296"/>
      <c r="I3" s="296"/>
      <c r="J3" s="296"/>
      <c r="K3" s="296"/>
      <c r="L3" s="296"/>
      <c r="M3" s="297"/>
    </row>
    <row r="4" spans="2:19" ht="15.75" x14ac:dyDescent="0.25">
      <c r="B4" s="93"/>
      <c r="C4" s="67" t="s">
        <v>441</v>
      </c>
      <c r="D4" s="29"/>
      <c r="E4" s="29"/>
      <c r="F4" s="5"/>
      <c r="G4" s="5"/>
      <c r="H4" s="5"/>
      <c r="I4" s="5"/>
      <c r="J4" s="5"/>
      <c r="K4" s="5"/>
      <c r="L4" s="5"/>
      <c r="M4" s="20"/>
    </row>
    <row r="5" spans="2:19" ht="20.25" customHeight="1" x14ac:dyDescent="0.25">
      <c r="B5" s="93"/>
      <c r="C5" s="211" t="s">
        <v>440</v>
      </c>
      <c r="D5" s="94" t="s">
        <v>403</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98" t="s">
        <v>50</v>
      </c>
      <c r="G7" s="298"/>
      <c r="H7" s="298"/>
      <c r="I7" s="298"/>
      <c r="J7" s="298"/>
      <c r="K7" s="298"/>
      <c r="L7" s="298"/>
      <c r="M7" s="299"/>
    </row>
    <row r="8" spans="2:19" x14ac:dyDescent="0.2">
      <c r="B8" s="93"/>
      <c r="C8" s="38" t="s">
        <v>174</v>
      </c>
      <c r="D8" s="189">
        <v>0.35408000000000001</v>
      </c>
      <c r="E8" s="5"/>
      <c r="F8" s="5"/>
      <c r="G8" s="31"/>
      <c r="H8" s="5"/>
      <c r="I8" s="5" t="s">
        <v>51</v>
      </c>
      <c r="J8" s="47">
        <f>D11</f>
        <v>0.75768199999999997</v>
      </c>
      <c r="K8" s="5"/>
      <c r="L8" s="5"/>
      <c r="M8" s="20"/>
      <c r="S8" s="49"/>
    </row>
    <row r="9" spans="2:19" ht="15.75" customHeight="1" x14ac:dyDescent="0.2">
      <c r="B9" s="93"/>
      <c r="C9" s="4" t="s">
        <v>173</v>
      </c>
      <c r="D9" s="174">
        <v>0.32223299999999999</v>
      </c>
      <c r="E9" s="5"/>
      <c r="F9" s="5"/>
      <c r="G9" s="5"/>
      <c r="H9" s="5"/>
      <c r="I9" s="5" t="s">
        <v>53</v>
      </c>
      <c r="J9" s="47">
        <f>D14</f>
        <v>0.240004</v>
      </c>
      <c r="K9" s="5"/>
      <c r="L9" s="5"/>
      <c r="M9" s="20"/>
      <c r="S9" s="49"/>
    </row>
    <row r="10" spans="2:19" x14ac:dyDescent="0.2">
      <c r="B10" s="93"/>
      <c r="C10" s="4" t="s">
        <v>177</v>
      </c>
      <c r="D10" s="174">
        <v>8.1368999999999997E-2</v>
      </c>
      <c r="E10" s="5"/>
      <c r="F10" s="5"/>
      <c r="G10" s="5"/>
      <c r="H10" s="5"/>
      <c r="I10" s="5" t="s">
        <v>20</v>
      </c>
      <c r="J10" s="47">
        <f>D16</f>
        <v>2.3140000000000001E-3</v>
      </c>
      <c r="K10" s="5"/>
      <c r="L10" s="5"/>
      <c r="M10" s="20"/>
      <c r="S10" s="49"/>
    </row>
    <row r="11" spans="2:19" ht="15.75" x14ac:dyDescent="0.25">
      <c r="B11" s="93"/>
      <c r="C11" s="7" t="s">
        <v>52</v>
      </c>
      <c r="D11" s="8">
        <f>SUM(D8:D10)</f>
        <v>0.75768199999999997</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176</v>
      </c>
      <c r="D13" s="174">
        <v>0.240004</v>
      </c>
      <c r="E13" s="5"/>
      <c r="F13" s="5"/>
      <c r="G13" s="5"/>
      <c r="H13" s="5"/>
      <c r="I13" s="5"/>
      <c r="J13" s="5"/>
      <c r="K13" s="5"/>
      <c r="L13" s="5"/>
      <c r="M13" s="20"/>
      <c r="S13" s="49"/>
    </row>
    <row r="14" spans="2:19" ht="15.75" x14ac:dyDescent="0.25">
      <c r="B14" s="93"/>
      <c r="C14" s="7" t="s">
        <v>19</v>
      </c>
      <c r="D14" s="8">
        <v>0.240004</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199">
        <v>2.3140000000000001E-3</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300"/>
      <c r="D22" s="300"/>
      <c r="E22" s="300"/>
      <c r="F22" s="300"/>
      <c r="G22" s="300"/>
      <c r="H22" s="300"/>
      <c r="I22" s="300"/>
      <c r="J22" s="300"/>
      <c r="K22" s="300"/>
      <c r="L22" s="300"/>
      <c r="M22" s="301"/>
      <c r="S22" s="49"/>
    </row>
    <row r="23" spans="2:19" ht="15.75" thickBot="1" x14ac:dyDescent="0.25">
      <c r="S23" s="49"/>
    </row>
    <row r="24" spans="2:19" ht="15" customHeight="1" x14ac:dyDescent="0.2">
      <c r="B24" s="302" t="s">
        <v>180</v>
      </c>
      <c r="C24" s="303"/>
      <c r="D24" s="303"/>
      <c r="E24" s="303"/>
      <c r="F24" s="303"/>
      <c r="G24" s="303"/>
      <c r="H24" s="303"/>
      <c r="I24" s="303"/>
      <c r="J24" s="303"/>
      <c r="K24" s="303"/>
      <c r="L24" s="303"/>
      <c r="M24" s="303"/>
      <c r="N24" s="303"/>
      <c r="O24" s="303"/>
      <c r="P24" s="303"/>
      <c r="Q24" s="303"/>
      <c r="R24" s="304"/>
      <c r="S24" s="49"/>
    </row>
    <row r="25" spans="2:19" x14ac:dyDescent="0.2">
      <c r="B25" s="305"/>
      <c r="C25" s="306"/>
      <c r="D25" s="306"/>
      <c r="E25" s="306"/>
      <c r="F25" s="306"/>
      <c r="G25" s="306"/>
      <c r="H25" s="306"/>
      <c r="I25" s="306"/>
      <c r="J25" s="306"/>
      <c r="K25" s="306"/>
      <c r="L25" s="306"/>
      <c r="M25" s="306"/>
      <c r="N25" s="306"/>
      <c r="O25" s="306"/>
      <c r="P25" s="306"/>
      <c r="Q25" s="306"/>
      <c r="R25" s="307"/>
      <c r="S25" s="49"/>
    </row>
    <row r="26" spans="2:19" x14ac:dyDescent="0.2">
      <c r="B26" s="305"/>
      <c r="C26" s="306"/>
      <c r="D26" s="306"/>
      <c r="E26" s="306"/>
      <c r="F26" s="306"/>
      <c r="G26" s="306"/>
      <c r="H26" s="306"/>
      <c r="I26" s="306"/>
      <c r="J26" s="306"/>
      <c r="K26" s="306"/>
      <c r="L26" s="306"/>
      <c r="M26" s="306"/>
      <c r="N26" s="306"/>
      <c r="O26" s="306"/>
      <c r="P26" s="306"/>
      <c r="Q26" s="306"/>
      <c r="R26" s="307"/>
      <c r="S26" s="49"/>
    </row>
    <row r="27" spans="2:19" x14ac:dyDescent="0.2">
      <c r="B27" s="305"/>
      <c r="C27" s="306"/>
      <c r="D27" s="306"/>
      <c r="E27" s="306"/>
      <c r="F27" s="306"/>
      <c r="G27" s="306"/>
      <c r="H27" s="306"/>
      <c r="I27" s="306"/>
      <c r="J27" s="306"/>
      <c r="K27" s="306"/>
      <c r="L27" s="306"/>
      <c r="M27" s="306"/>
      <c r="N27" s="306"/>
      <c r="O27" s="306"/>
      <c r="P27" s="306"/>
      <c r="Q27" s="306"/>
      <c r="R27" s="307"/>
      <c r="S27" s="49"/>
    </row>
    <row r="28" spans="2:19" x14ac:dyDescent="0.2">
      <c r="B28" s="305"/>
      <c r="C28" s="306"/>
      <c r="D28" s="306"/>
      <c r="E28" s="306"/>
      <c r="F28" s="306"/>
      <c r="G28" s="306"/>
      <c r="H28" s="306"/>
      <c r="I28" s="306"/>
      <c r="J28" s="306"/>
      <c r="K28" s="306"/>
      <c r="L28" s="306"/>
      <c r="M28" s="306"/>
      <c r="N28" s="306"/>
      <c r="O28" s="306"/>
      <c r="P28" s="306"/>
      <c r="Q28" s="306"/>
      <c r="R28" s="307"/>
      <c r="S28" s="49"/>
    </row>
    <row r="29" spans="2:19" x14ac:dyDescent="0.2">
      <c r="B29" s="305"/>
      <c r="C29" s="306"/>
      <c r="D29" s="306"/>
      <c r="E29" s="306"/>
      <c r="F29" s="306"/>
      <c r="G29" s="306"/>
      <c r="H29" s="306"/>
      <c r="I29" s="306"/>
      <c r="J29" s="306"/>
      <c r="K29" s="306"/>
      <c r="L29" s="306"/>
      <c r="M29" s="306"/>
      <c r="N29" s="306"/>
      <c r="O29" s="306"/>
      <c r="P29" s="306"/>
      <c r="Q29" s="306"/>
      <c r="R29" s="307"/>
      <c r="S29" s="49"/>
    </row>
    <row r="30" spans="2:19" ht="15.75" thickBot="1" x14ac:dyDescent="0.25">
      <c r="B30" s="308"/>
      <c r="C30" s="309"/>
      <c r="D30" s="309"/>
      <c r="E30" s="309"/>
      <c r="F30" s="309"/>
      <c r="G30" s="309"/>
      <c r="H30" s="309"/>
      <c r="I30" s="309"/>
      <c r="J30" s="309"/>
      <c r="K30" s="309"/>
      <c r="L30" s="309"/>
      <c r="M30" s="309"/>
      <c r="N30" s="309"/>
      <c r="O30" s="309"/>
      <c r="P30" s="309"/>
      <c r="Q30" s="309"/>
      <c r="R30" s="310"/>
      <c r="S30" s="49"/>
    </row>
    <row r="31" spans="2:19" x14ac:dyDescent="0.2">
      <c r="S31" s="49"/>
    </row>
    <row r="32" spans="2:19" x14ac:dyDescent="0.2">
      <c r="C32" s="223"/>
      <c r="D32" s="222"/>
      <c r="S32" s="49"/>
    </row>
    <row r="33" spans="3:19" x14ac:dyDescent="0.2">
      <c r="C33" s="223"/>
      <c r="D33" s="222"/>
      <c r="S33" s="49"/>
    </row>
    <row r="34" spans="3:19" x14ac:dyDescent="0.2">
      <c r="C34" s="223"/>
      <c r="D34" s="222"/>
      <c r="S34" s="49"/>
    </row>
    <row r="35" spans="3:19" x14ac:dyDescent="0.2">
      <c r="C35" s="223"/>
      <c r="D35" s="222"/>
      <c r="S35" s="49"/>
    </row>
    <row r="36" spans="3:19" x14ac:dyDescent="0.2">
      <c r="C36" s="223"/>
      <c r="D36" s="222"/>
      <c r="S36" s="49"/>
    </row>
    <row r="37" spans="3:19" x14ac:dyDescent="0.2">
      <c r="D37" s="238"/>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930F-2305-4DF1-BC63-58EDED27F53E}">
  <dimension ref="B1:N43"/>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49"/>
      <c r="C2" s="250"/>
      <c r="D2" s="250"/>
      <c r="E2" s="250"/>
      <c r="F2" s="250"/>
      <c r="G2" s="250"/>
      <c r="H2" s="250"/>
      <c r="I2" s="250"/>
      <c r="J2" s="250"/>
      <c r="K2" s="250"/>
      <c r="L2" s="250"/>
      <c r="M2" s="250"/>
      <c r="N2" s="251"/>
    </row>
    <row r="3" spans="2:14" ht="20.25" customHeight="1" x14ac:dyDescent="0.25">
      <c r="B3" s="252"/>
      <c r="C3" s="331" t="s">
        <v>367</v>
      </c>
      <c r="D3" s="332"/>
      <c r="E3" s="332"/>
      <c r="F3" s="332"/>
      <c r="G3" s="332"/>
      <c r="H3" s="332"/>
      <c r="I3" s="332"/>
      <c r="J3" s="332"/>
      <c r="K3" s="332"/>
      <c r="L3" s="332"/>
      <c r="M3" s="332"/>
      <c r="N3" s="333"/>
    </row>
    <row r="4" spans="2:14" ht="15.75" customHeight="1" x14ac:dyDescent="0.25">
      <c r="B4" s="252"/>
      <c r="C4" s="277"/>
      <c r="D4" s="253"/>
      <c r="E4" s="253"/>
      <c r="F4" s="253"/>
      <c r="G4" s="253"/>
      <c r="H4" s="253"/>
      <c r="I4" s="253"/>
      <c r="J4" s="253"/>
      <c r="K4" s="253"/>
      <c r="L4" s="253"/>
      <c r="M4" s="253"/>
      <c r="N4" s="254"/>
    </row>
    <row r="5" spans="2:14" ht="18" customHeight="1" x14ac:dyDescent="0.25">
      <c r="B5" s="252"/>
      <c r="C5" s="211" t="s">
        <v>365</v>
      </c>
      <c r="D5" s="334" t="s">
        <v>366</v>
      </c>
      <c r="E5" s="335"/>
      <c r="F5" s="253"/>
      <c r="G5" s="253"/>
      <c r="H5" s="253"/>
      <c r="I5" s="253"/>
      <c r="J5" s="253"/>
      <c r="K5" s="253"/>
      <c r="L5" s="253"/>
      <c r="M5" s="253"/>
      <c r="N5" s="254"/>
    </row>
    <row r="6" spans="2:14" ht="15" customHeight="1" x14ac:dyDescent="0.25">
      <c r="B6" s="252"/>
      <c r="C6" s="253"/>
      <c r="D6" s="253"/>
      <c r="E6" s="253"/>
      <c r="F6" s="253"/>
      <c r="G6" s="253"/>
      <c r="H6" s="253"/>
      <c r="I6" s="253"/>
      <c r="J6" s="253"/>
      <c r="K6" s="253"/>
      <c r="L6" s="253"/>
      <c r="M6" s="253"/>
      <c r="N6" s="254"/>
    </row>
    <row r="7" spans="2:14" ht="32.25" customHeight="1" x14ac:dyDescent="0.25">
      <c r="B7" s="252"/>
      <c r="C7" s="255" t="s">
        <v>43</v>
      </c>
      <c r="D7" s="256" t="s">
        <v>333</v>
      </c>
      <c r="E7" s="257" t="s">
        <v>45</v>
      </c>
      <c r="F7" s="253"/>
      <c r="G7" s="336" t="s">
        <v>46</v>
      </c>
      <c r="H7" s="337"/>
      <c r="I7" s="337"/>
      <c r="J7" s="337"/>
      <c r="K7" s="337"/>
      <c r="L7" s="337"/>
      <c r="M7" s="337"/>
      <c r="N7" s="338"/>
    </row>
    <row r="8" spans="2:14" ht="15" customHeight="1" x14ac:dyDescent="0.25">
      <c r="B8" s="252"/>
      <c r="C8" s="258" t="s">
        <v>335</v>
      </c>
      <c r="D8" s="259"/>
      <c r="E8" s="260">
        <v>0.61499599999999999</v>
      </c>
      <c r="F8" s="253"/>
      <c r="G8" s="278" t="s">
        <v>334</v>
      </c>
      <c r="H8" s="279">
        <v>1</v>
      </c>
      <c r="I8" s="253"/>
      <c r="J8" s="278" t="s">
        <v>0</v>
      </c>
      <c r="K8" s="278" t="s">
        <v>45</v>
      </c>
      <c r="L8" s="253"/>
      <c r="M8" s="253"/>
      <c r="N8" s="254"/>
    </row>
    <row r="9" spans="2:14" ht="15" customHeight="1" x14ac:dyDescent="0.25">
      <c r="B9" s="252"/>
      <c r="C9" s="258" t="s">
        <v>354</v>
      </c>
      <c r="D9" s="259"/>
      <c r="E9" s="260">
        <v>0.376942</v>
      </c>
      <c r="F9" s="253"/>
      <c r="G9" s="253"/>
      <c r="H9" s="253"/>
      <c r="I9" s="253"/>
      <c r="J9" s="278" t="s">
        <v>20</v>
      </c>
      <c r="K9" s="280">
        <v>-4.08E-4</v>
      </c>
      <c r="L9" s="253"/>
      <c r="M9" s="253"/>
      <c r="N9" s="254"/>
    </row>
    <row r="10" spans="2:14" ht="15.75" customHeight="1" x14ac:dyDescent="0.25">
      <c r="B10" s="252"/>
      <c r="C10" s="261" t="s">
        <v>337</v>
      </c>
      <c r="D10" s="262"/>
      <c r="E10" s="263">
        <v>0.99193799999999999</v>
      </c>
      <c r="F10" s="253"/>
      <c r="G10" s="253"/>
      <c r="H10" s="253"/>
      <c r="I10" s="253"/>
      <c r="J10" s="278" t="s">
        <v>336</v>
      </c>
      <c r="K10" s="280">
        <v>8.4700000000000001E-3</v>
      </c>
      <c r="L10" s="253"/>
      <c r="M10" s="253"/>
      <c r="N10" s="254"/>
    </row>
    <row r="11" spans="2:14" ht="15" customHeight="1" x14ac:dyDescent="0.25">
      <c r="B11" s="252"/>
      <c r="C11" s="258" t="s">
        <v>100</v>
      </c>
      <c r="D11" s="259"/>
      <c r="E11" s="260">
        <v>8.4700000000000001E-3</v>
      </c>
      <c r="F11" s="253"/>
      <c r="G11" s="253"/>
      <c r="H11" s="253"/>
      <c r="I11" s="253"/>
      <c r="J11" s="278" t="s">
        <v>214</v>
      </c>
      <c r="K11" s="280">
        <v>0.99193799999999999</v>
      </c>
      <c r="L11" s="253"/>
      <c r="M11" s="253"/>
      <c r="N11" s="254"/>
    </row>
    <row r="12" spans="2:14" ht="15.75" customHeight="1" x14ac:dyDescent="0.25">
      <c r="B12" s="252"/>
      <c r="C12" s="261" t="s">
        <v>101</v>
      </c>
      <c r="D12" s="262"/>
      <c r="E12" s="263">
        <v>8.4700000000000001E-3</v>
      </c>
      <c r="F12" s="253"/>
      <c r="G12" s="253"/>
      <c r="H12" s="253"/>
      <c r="I12" s="253"/>
      <c r="J12" s="253"/>
      <c r="K12" s="253"/>
      <c r="L12" s="253"/>
      <c r="M12" s="253"/>
      <c r="N12" s="254"/>
    </row>
    <row r="13" spans="2:14" ht="15" customHeight="1" x14ac:dyDescent="0.25">
      <c r="B13" s="252"/>
      <c r="C13" s="258"/>
      <c r="D13" s="259"/>
      <c r="E13" s="260"/>
      <c r="F13" s="253"/>
      <c r="G13" s="253"/>
      <c r="H13" s="253"/>
      <c r="I13" s="253"/>
      <c r="J13" s="253"/>
      <c r="K13" s="253"/>
      <c r="L13" s="253"/>
      <c r="M13" s="253"/>
      <c r="N13" s="254"/>
    </row>
    <row r="14" spans="2:14" ht="15.75" customHeight="1" x14ac:dyDescent="0.25">
      <c r="B14" s="252"/>
      <c r="C14" s="261" t="s">
        <v>20</v>
      </c>
      <c r="D14" s="262"/>
      <c r="E14" s="263">
        <v>-4.08E-4</v>
      </c>
      <c r="F14" s="253"/>
      <c r="G14" s="253"/>
      <c r="H14" s="253"/>
      <c r="I14" s="253"/>
      <c r="J14" s="253"/>
      <c r="K14" s="253"/>
      <c r="L14" s="253"/>
      <c r="M14" s="253"/>
      <c r="N14" s="254"/>
    </row>
    <row r="15" spans="2:14" ht="15" customHeight="1" x14ac:dyDescent="0.25">
      <c r="B15" s="252"/>
      <c r="C15" s="258"/>
      <c r="D15" s="259"/>
      <c r="E15" s="260"/>
      <c r="F15" s="253"/>
      <c r="G15" s="253"/>
      <c r="H15" s="253"/>
      <c r="I15" s="253"/>
      <c r="J15" s="253"/>
      <c r="K15" s="253"/>
      <c r="L15" s="253"/>
      <c r="M15" s="253"/>
      <c r="N15" s="254"/>
    </row>
    <row r="16" spans="2:14" ht="15" customHeight="1" x14ac:dyDescent="0.25">
      <c r="B16" s="252"/>
      <c r="C16" s="264" t="s">
        <v>21</v>
      </c>
      <c r="D16" s="265"/>
      <c r="E16" s="266">
        <v>1</v>
      </c>
      <c r="F16" s="253"/>
      <c r="G16" s="253"/>
      <c r="H16" s="253"/>
      <c r="I16" s="253"/>
      <c r="J16" s="253"/>
      <c r="K16" s="253"/>
      <c r="L16" s="253"/>
      <c r="M16" s="253"/>
      <c r="N16" s="254"/>
    </row>
    <row r="17" spans="2:14" ht="15" customHeight="1" x14ac:dyDescent="0.25">
      <c r="B17" s="252"/>
      <c r="C17" s="253"/>
      <c r="D17" s="253"/>
      <c r="E17" s="253"/>
      <c r="F17" s="253"/>
      <c r="G17" s="253"/>
      <c r="H17" s="253"/>
      <c r="I17" s="253"/>
      <c r="J17" s="253"/>
      <c r="K17" s="253"/>
      <c r="L17" s="253"/>
      <c r="M17" s="253"/>
      <c r="N17" s="254"/>
    </row>
    <row r="18" spans="2:14" ht="15" customHeight="1" x14ac:dyDescent="0.25">
      <c r="B18" s="252"/>
      <c r="C18" s="253"/>
      <c r="D18" s="253"/>
      <c r="E18" s="253"/>
      <c r="F18" s="253"/>
      <c r="G18" s="253"/>
      <c r="H18" s="253"/>
      <c r="I18" s="253"/>
      <c r="J18" s="253"/>
      <c r="K18" s="253"/>
      <c r="L18" s="253"/>
      <c r="M18" s="253"/>
      <c r="N18" s="254"/>
    </row>
    <row r="19" spans="2:14" ht="15" customHeight="1" x14ac:dyDescent="0.25">
      <c r="B19" s="252"/>
      <c r="C19" s="253"/>
      <c r="D19" s="253"/>
      <c r="E19" s="253"/>
      <c r="F19" s="253"/>
      <c r="G19" s="253"/>
      <c r="H19" s="253"/>
      <c r="I19" s="253"/>
      <c r="J19" s="253"/>
      <c r="K19" s="253"/>
      <c r="L19" s="253"/>
      <c r="M19" s="253"/>
      <c r="N19" s="254"/>
    </row>
    <row r="20" spans="2:14" ht="15" customHeight="1" x14ac:dyDescent="0.25">
      <c r="B20" s="252"/>
      <c r="C20" s="253"/>
      <c r="D20" s="253"/>
      <c r="E20" s="253"/>
      <c r="F20" s="253"/>
      <c r="G20" s="253"/>
      <c r="H20" s="253"/>
      <c r="I20" s="253"/>
      <c r="J20" s="253"/>
      <c r="K20" s="253"/>
      <c r="L20" s="253"/>
      <c r="M20" s="253"/>
      <c r="N20" s="254"/>
    </row>
    <row r="21" spans="2:14" ht="15" customHeight="1" x14ac:dyDescent="0.25">
      <c r="B21" s="252"/>
      <c r="C21" s="253"/>
      <c r="D21" s="253"/>
      <c r="E21" s="253"/>
      <c r="F21" s="253"/>
      <c r="G21" s="253"/>
      <c r="H21" s="253"/>
      <c r="I21" s="253"/>
      <c r="J21" s="253"/>
      <c r="K21" s="253"/>
      <c r="L21" s="253"/>
      <c r="M21" s="253"/>
      <c r="N21" s="254"/>
    </row>
    <row r="22" spans="2:14" ht="15" customHeight="1" x14ac:dyDescent="0.25">
      <c r="B22" s="252"/>
      <c r="C22" s="253"/>
      <c r="D22" s="253"/>
      <c r="E22" s="253"/>
      <c r="F22" s="253"/>
      <c r="G22" s="253"/>
      <c r="H22" s="253"/>
      <c r="I22" s="253"/>
      <c r="J22" s="253"/>
      <c r="K22" s="253"/>
      <c r="L22" s="253"/>
      <c r="M22" s="253"/>
      <c r="N22" s="254"/>
    </row>
    <row r="23" spans="2:14" ht="15" customHeight="1" x14ac:dyDescent="0.25">
      <c r="B23" s="252"/>
      <c r="C23" s="253"/>
      <c r="D23" s="253"/>
      <c r="E23" s="253"/>
      <c r="F23" s="253"/>
      <c r="G23" s="253"/>
      <c r="H23" s="253"/>
      <c r="I23" s="253"/>
      <c r="J23" s="253"/>
      <c r="K23" s="253"/>
      <c r="L23" s="253"/>
      <c r="M23" s="253"/>
      <c r="N23" s="254"/>
    </row>
    <row r="24" spans="2:14" ht="15" customHeight="1" x14ac:dyDescent="0.25">
      <c r="B24" s="252"/>
      <c r="C24" s="253"/>
      <c r="D24" s="253"/>
      <c r="E24" s="253"/>
      <c r="F24" s="253"/>
      <c r="G24" s="336" t="s">
        <v>99</v>
      </c>
      <c r="H24" s="337"/>
      <c r="I24" s="337"/>
      <c r="J24" s="337"/>
      <c r="K24" s="337"/>
      <c r="L24" s="295">
        <v>2.7859011780680567</v>
      </c>
      <c r="M24" s="267"/>
      <c r="N24" s="268"/>
    </row>
    <row r="25" spans="2:14" ht="15" customHeight="1" x14ac:dyDescent="0.25">
      <c r="B25" s="252"/>
      <c r="C25" s="253"/>
      <c r="D25" s="253"/>
      <c r="E25" s="253"/>
      <c r="F25" s="253"/>
      <c r="G25" s="253"/>
      <c r="H25" s="253"/>
      <c r="I25" s="253"/>
      <c r="J25" s="253"/>
      <c r="K25" s="253"/>
      <c r="L25" s="253"/>
      <c r="M25" s="253"/>
      <c r="N25" s="254"/>
    </row>
    <row r="26" spans="2:14" ht="15" customHeight="1" x14ac:dyDescent="0.25">
      <c r="B26" s="252"/>
      <c r="C26" s="253"/>
      <c r="D26" s="253"/>
      <c r="E26" s="253"/>
      <c r="F26" s="253"/>
      <c r="G26" s="336" t="s">
        <v>50</v>
      </c>
      <c r="H26" s="337"/>
      <c r="I26" s="337"/>
      <c r="J26" s="337"/>
      <c r="K26" s="337"/>
      <c r="L26" s="337"/>
      <c r="M26" s="337"/>
      <c r="N26" s="338"/>
    </row>
    <row r="27" spans="2:14" ht="15" customHeight="1" x14ac:dyDescent="0.25">
      <c r="B27" s="252"/>
      <c r="C27" s="253"/>
      <c r="D27" s="253"/>
      <c r="E27" s="253"/>
      <c r="F27" s="253"/>
      <c r="G27" s="253"/>
      <c r="H27" s="253"/>
      <c r="I27" s="253"/>
      <c r="J27" s="253"/>
      <c r="K27" s="253"/>
      <c r="L27" s="253"/>
      <c r="M27" s="253"/>
      <c r="N27" s="254"/>
    </row>
    <row r="28" spans="2:14" ht="15" customHeight="1" x14ac:dyDescent="0.25">
      <c r="B28" s="252"/>
      <c r="C28" s="253"/>
      <c r="D28" s="253"/>
      <c r="E28" s="253"/>
      <c r="F28" s="253"/>
      <c r="G28" s="253"/>
      <c r="H28" s="253"/>
      <c r="I28" s="253"/>
      <c r="J28" s="253"/>
      <c r="K28" s="253"/>
      <c r="L28" s="253"/>
      <c r="M28" s="253"/>
      <c r="N28" s="254"/>
    </row>
    <row r="29" spans="2:14" ht="15" customHeight="1" x14ac:dyDescent="0.25">
      <c r="B29" s="252"/>
      <c r="C29" s="253"/>
      <c r="D29" s="253"/>
      <c r="E29" s="253"/>
      <c r="F29" s="253"/>
      <c r="G29" s="253"/>
      <c r="H29" s="253"/>
      <c r="I29" s="253"/>
      <c r="J29" s="253"/>
      <c r="K29" s="253"/>
      <c r="L29" s="253"/>
      <c r="M29" s="253"/>
      <c r="N29" s="254"/>
    </row>
    <row r="30" spans="2:14" ht="15" customHeight="1" x14ac:dyDescent="0.25">
      <c r="B30" s="252"/>
      <c r="C30" s="253"/>
      <c r="D30" s="253"/>
      <c r="E30" s="253"/>
      <c r="F30" s="253"/>
      <c r="G30" s="253"/>
      <c r="H30" s="253"/>
      <c r="I30" s="253"/>
      <c r="J30" s="253"/>
      <c r="K30" s="253"/>
      <c r="L30" s="253"/>
      <c r="M30" s="253"/>
      <c r="N30" s="254"/>
    </row>
    <row r="31" spans="2:14" ht="15" customHeight="1" x14ac:dyDescent="0.25">
      <c r="B31" s="252"/>
      <c r="C31" s="253"/>
      <c r="D31" s="253"/>
      <c r="E31" s="253"/>
      <c r="F31" s="253"/>
      <c r="G31" s="253"/>
      <c r="H31" s="253"/>
      <c r="I31" s="253"/>
      <c r="J31" s="253"/>
      <c r="K31" s="253"/>
      <c r="L31" s="253"/>
      <c r="M31" s="253"/>
      <c r="N31" s="254"/>
    </row>
    <row r="32" spans="2:14" ht="15" customHeight="1" x14ac:dyDescent="0.25">
      <c r="B32" s="252"/>
      <c r="C32" s="253"/>
      <c r="D32" s="253"/>
      <c r="E32" s="253"/>
      <c r="F32" s="253"/>
      <c r="G32" s="253"/>
      <c r="H32" s="253"/>
      <c r="I32" s="253"/>
      <c r="J32" s="253"/>
      <c r="K32" s="253"/>
      <c r="L32" s="253"/>
      <c r="M32" s="253"/>
      <c r="N32" s="254"/>
    </row>
    <row r="33" spans="2:14" ht="15" customHeight="1" x14ac:dyDescent="0.25">
      <c r="B33" s="252"/>
      <c r="C33" s="253"/>
      <c r="D33" s="253"/>
      <c r="E33" s="253"/>
      <c r="F33" s="253"/>
      <c r="G33" s="253"/>
      <c r="H33" s="253"/>
      <c r="I33" s="253"/>
      <c r="J33" s="253"/>
      <c r="K33" s="253"/>
      <c r="L33" s="253"/>
      <c r="M33" s="253"/>
      <c r="N33" s="254"/>
    </row>
    <row r="34" spans="2:14" ht="15" customHeight="1" x14ac:dyDescent="0.25">
      <c r="B34" s="252"/>
      <c r="C34" s="253"/>
      <c r="D34" s="253"/>
      <c r="E34" s="253"/>
      <c r="F34" s="253"/>
      <c r="G34" s="253"/>
      <c r="H34" s="253"/>
      <c r="I34" s="253"/>
      <c r="J34" s="253"/>
      <c r="K34" s="253"/>
      <c r="L34" s="253"/>
      <c r="M34" s="253"/>
      <c r="N34" s="254"/>
    </row>
    <row r="35" spans="2:14" ht="15" customHeight="1" x14ac:dyDescent="0.25">
      <c r="B35" s="252"/>
      <c r="C35" s="253"/>
      <c r="D35" s="253"/>
      <c r="E35" s="253"/>
      <c r="F35" s="253"/>
      <c r="G35" s="253"/>
      <c r="H35" s="253"/>
      <c r="I35" s="253"/>
      <c r="J35" s="253"/>
      <c r="K35" s="253"/>
      <c r="L35" s="253"/>
      <c r="M35" s="253"/>
      <c r="N35" s="254"/>
    </row>
    <row r="36" spans="2:14" ht="15" customHeight="1" x14ac:dyDescent="0.25">
      <c r="B36" s="252"/>
      <c r="C36" s="253"/>
      <c r="D36" s="253"/>
      <c r="E36" s="253"/>
      <c r="F36" s="253"/>
      <c r="G36" s="253"/>
      <c r="H36" s="253"/>
      <c r="I36" s="253"/>
      <c r="J36" s="253"/>
      <c r="K36" s="253"/>
      <c r="L36" s="253"/>
      <c r="M36" s="253"/>
      <c r="N36" s="254"/>
    </row>
    <row r="37" spans="2:14" ht="15" customHeight="1" x14ac:dyDescent="0.25">
      <c r="B37" s="252"/>
      <c r="C37" s="253"/>
      <c r="D37" s="253"/>
      <c r="E37" s="253"/>
      <c r="F37" s="253"/>
      <c r="G37" s="253"/>
      <c r="H37" s="253"/>
      <c r="I37" s="253"/>
      <c r="J37" s="253"/>
      <c r="K37" s="253"/>
      <c r="L37" s="253"/>
      <c r="M37" s="253"/>
      <c r="N37" s="254"/>
    </row>
    <row r="38" spans="2:14" ht="15" customHeight="1" x14ac:dyDescent="0.25">
      <c r="B38" s="252"/>
      <c r="C38" s="253"/>
      <c r="D38" s="253"/>
      <c r="E38" s="253"/>
      <c r="F38" s="253"/>
      <c r="G38" s="253"/>
      <c r="H38" s="253"/>
      <c r="I38" s="253"/>
      <c r="J38" s="253"/>
      <c r="K38" s="253"/>
      <c r="L38" s="253"/>
      <c r="M38" s="253"/>
      <c r="N38" s="254"/>
    </row>
    <row r="39" spans="2:14" ht="15" customHeight="1" x14ac:dyDescent="0.25">
      <c r="B39" s="252"/>
      <c r="C39" s="253"/>
      <c r="D39" s="253"/>
      <c r="E39" s="253"/>
      <c r="F39" s="253"/>
      <c r="G39" s="253"/>
      <c r="H39" s="253"/>
      <c r="I39" s="253"/>
      <c r="J39" s="253"/>
      <c r="K39" s="253"/>
      <c r="L39" s="253"/>
      <c r="M39" s="253"/>
      <c r="N39" s="254"/>
    </row>
    <row r="40" spans="2:14" ht="15" customHeight="1" x14ac:dyDescent="0.25">
      <c r="B40" s="252"/>
      <c r="C40" s="253"/>
      <c r="D40" s="253"/>
      <c r="E40" s="253"/>
      <c r="F40" s="253"/>
      <c r="G40" s="253"/>
      <c r="H40" s="253"/>
      <c r="I40" s="253"/>
      <c r="J40" s="253"/>
      <c r="K40" s="253"/>
      <c r="L40" s="253"/>
      <c r="M40" s="253"/>
      <c r="N40" s="254"/>
    </row>
    <row r="41" spans="2:14" ht="15" customHeight="1" x14ac:dyDescent="0.25">
      <c r="B41" s="252"/>
      <c r="C41" s="253"/>
      <c r="D41" s="253"/>
      <c r="E41" s="253"/>
      <c r="F41" s="253"/>
      <c r="G41" s="253"/>
      <c r="H41" s="253"/>
      <c r="I41" s="253"/>
      <c r="J41" s="253"/>
      <c r="K41" s="253"/>
      <c r="L41" s="253"/>
      <c r="M41" s="253"/>
      <c r="N41" s="254"/>
    </row>
    <row r="42" spans="2:14" ht="15" customHeight="1" x14ac:dyDescent="0.25">
      <c r="B42" s="252"/>
      <c r="C42" s="253"/>
      <c r="D42" s="253"/>
      <c r="E42" s="253"/>
      <c r="F42" s="253"/>
      <c r="G42" s="253"/>
      <c r="H42" s="253"/>
      <c r="I42" s="253"/>
      <c r="J42" s="253"/>
      <c r="K42" s="253"/>
      <c r="L42" s="253"/>
      <c r="M42" s="253"/>
      <c r="N42" s="254"/>
    </row>
    <row r="43" spans="2:14" ht="15.75" thickBot="1" x14ac:dyDescent="0.3">
      <c r="B43" s="269"/>
      <c r="C43" s="270"/>
      <c r="D43" s="270"/>
      <c r="E43" s="270"/>
      <c r="F43" s="270"/>
      <c r="G43" s="270"/>
      <c r="H43" s="270"/>
      <c r="I43" s="270"/>
      <c r="J43" s="270"/>
      <c r="K43" s="270"/>
      <c r="L43" s="270"/>
      <c r="M43" s="270"/>
      <c r="N43" s="271"/>
    </row>
  </sheetData>
  <mergeCells count="5">
    <mergeCell ref="C3:N3"/>
    <mergeCell ref="D5:E5"/>
    <mergeCell ref="G7:N7"/>
    <mergeCell ref="G24:K24"/>
    <mergeCell ref="G26:N2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155</v>
      </c>
      <c r="D3" s="311"/>
      <c r="E3" s="311"/>
      <c r="F3" s="311"/>
      <c r="G3" s="311"/>
      <c r="H3" s="311"/>
      <c r="I3" s="311"/>
      <c r="J3" s="311"/>
      <c r="K3" s="311"/>
      <c r="L3" s="311"/>
      <c r="M3" s="311"/>
      <c r="N3" s="311"/>
      <c r="O3" s="311"/>
      <c r="P3" s="311"/>
      <c r="Q3" s="311"/>
      <c r="R3" s="311"/>
      <c r="S3" s="311"/>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3" t="s">
        <v>404</v>
      </c>
      <c r="E5" s="313"/>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0.130713</v>
      </c>
      <c r="F8" s="29"/>
      <c r="G8" s="29"/>
      <c r="H8" s="29"/>
      <c r="I8" s="29"/>
      <c r="J8" s="29"/>
      <c r="K8" s="29"/>
      <c r="L8" s="29"/>
      <c r="M8" s="29"/>
      <c r="N8" s="29"/>
      <c r="O8" s="29"/>
      <c r="P8" s="29"/>
      <c r="Q8" s="29"/>
      <c r="R8" s="29"/>
      <c r="S8" s="29"/>
      <c r="T8" s="22"/>
      <c r="W8" s="166" t="s">
        <v>3</v>
      </c>
      <c r="X8" s="167">
        <v>0.31164199999999997</v>
      </c>
    </row>
    <row r="9" spans="1:24" ht="15.75" customHeight="1" x14ac:dyDescent="0.25">
      <c r="B9" s="79"/>
      <c r="C9" s="180" t="s">
        <v>32</v>
      </c>
      <c r="D9" s="187" t="s">
        <v>3</v>
      </c>
      <c r="E9" s="188">
        <v>8.9448E-2</v>
      </c>
      <c r="F9" s="29"/>
      <c r="G9" s="29"/>
      <c r="H9" s="29"/>
      <c r="I9" s="29"/>
      <c r="J9" s="29"/>
      <c r="K9" s="29"/>
      <c r="L9" s="29"/>
      <c r="M9" s="29"/>
      <c r="N9" s="29"/>
      <c r="O9" s="29"/>
      <c r="P9" s="29"/>
      <c r="Q9" s="29"/>
      <c r="R9" s="29"/>
      <c r="S9" s="29"/>
      <c r="T9" s="22"/>
      <c r="W9" s="166" t="s">
        <v>106</v>
      </c>
      <c r="X9" s="167">
        <v>0.119088</v>
      </c>
    </row>
    <row r="10" spans="1:24" ht="15.75" x14ac:dyDescent="0.25">
      <c r="B10" s="79"/>
      <c r="C10" s="180" t="s">
        <v>31</v>
      </c>
      <c r="D10" s="187" t="s">
        <v>6</v>
      </c>
      <c r="E10" s="188">
        <v>8.1197000000000005E-2</v>
      </c>
      <c r="F10" s="29"/>
      <c r="G10" s="29"/>
      <c r="H10" s="29"/>
      <c r="I10" s="29"/>
      <c r="J10" s="29"/>
      <c r="K10" s="29"/>
      <c r="L10" s="29"/>
      <c r="M10" s="29"/>
      <c r="N10" s="29"/>
      <c r="O10" s="29"/>
      <c r="P10" s="29"/>
      <c r="Q10" s="29"/>
      <c r="R10" s="29"/>
      <c r="S10" s="29"/>
      <c r="T10" s="22"/>
      <c r="W10" s="166" t="s">
        <v>6</v>
      </c>
      <c r="X10" s="167">
        <v>8.1197000000000005E-2</v>
      </c>
    </row>
    <row r="11" spans="1:24" ht="15.75" customHeight="1" x14ac:dyDescent="0.25">
      <c r="B11" s="79"/>
      <c r="C11" s="180" t="s">
        <v>28</v>
      </c>
      <c r="D11" s="187" t="s">
        <v>106</v>
      </c>
      <c r="E11" s="188">
        <v>5.3141000000000001E-2</v>
      </c>
      <c r="F11" s="29"/>
      <c r="G11" s="29"/>
      <c r="H11" s="29"/>
      <c r="I11" s="29"/>
      <c r="J11" s="29"/>
      <c r="K11" s="29"/>
      <c r="L11" s="29"/>
      <c r="M11" s="29"/>
      <c r="N11" s="29"/>
      <c r="O11" s="29"/>
      <c r="P11" s="29"/>
      <c r="Q11" s="29"/>
      <c r="R11" s="29"/>
      <c r="S11" s="29"/>
      <c r="T11" s="22"/>
      <c r="W11" s="166" t="s">
        <v>111</v>
      </c>
      <c r="X11" s="167">
        <v>6.9304000000000004E-2</v>
      </c>
    </row>
    <row r="12" spans="1:24" ht="15" customHeight="1" x14ac:dyDescent="0.25">
      <c r="B12" s="79"/>
      <c r="C12" s="180" t="s">
        <v>70</v>
      </c>
      <c r="D12" s="187" t="s">
        <v>12</v>
      </c>
      <c r="E12" s="188">
        <v>4.3706000000000002E-2</v>
      </c>
      <c r="F12" s="29"/>
      <c r="G12" s="29"/>
      <c r="H12" s="29"/>
      <c r="I12" s="29"/>
      <c r="J12" s="29"/>
      <c r="K12" s="29"/>
      <c r="L12" s="29"/>
      <c r="M12" s="29"/>
      <c r="N12" s="29"/>
      <c r="O12" s="29"/>
      <c r="P12" s="29"/>
      <c r="Q12" s="29"/>
      <c r="R12" s="29"/>
      <c r="S12" s="29"/>
      <c r="T12" s="22"/>
      <c r="W12" s="166" t="s">
        <v>116</v>
      </c>
      <c r="X12" s="167">
        <v>5.4690000000000003E-2</v>
      </c>
    </row>
    <row r="13" spans="1:24" ht="15" customHeight="1" x14ac:dyDescent="0.25">
      <c r="B13" s="79"/>
      <c r="C13" s="180" t="s">
        <v>34</v>
      </c>
      <c r="D13" s="187" t="s">
        <v>23</v>
      </c>
      <c r="E13" s="188">
        <v>3.8531000000000003E-2</v>
      </c>
      <c r="F13" s="29"/>
      <c r="G13" s="29"/>
      <c r="H13" s="29"/>
      <c r="I13" s="29"/>
      <c r="J13" s="29"/>
      <c r="K13" s="29"/>
      <c r="L13" s="29"/>
      <c r="M13" s="29"/>
      <c r="N13" s="29"/>
      <c r="O13" s="29"/>
      <c r="P13" s="29"/>
      <c r="Q13" s="29"/>
      <c r="R13" s="29"/>
      <c r="S13" s="29"/>
      <c r="T13" s="22"/>
      <c r="W13" s="166" t="s">
        <v>4</v>
      </c>
      <c r="X13" s="167">
        <v>4.7882999999999995E-2</v>
      </c>
    </row>
    <row r="14" spans="1:24" ht="15" customHeight="1" x14ac:dyDescent="0.25">
      <c r="B14" s="79"/>
      <c r="C14" s="180" t="s">
        <v>30</v>
      </c>
      <c r="D14" s="187" t="s">
        <v>116</v>
      </c>
      <c r="E14" s="188">
        <v>3.5847999999999998E-2</v>
      </c>
      <c r="F14" s="29"/>
      <c r="G14" s="29"/>
      <c r="H14" s="29"/>
      <c r="I14" s="29"/>
      <c r="J14" s="29"/>
      <c r="K14" s="29"/>
      <c r="L14" s="29"/>
      <c r="M14" s="29"/>
      <c r="N14" s="29"/>
      <c r="O14" s="29"/>
      <c r="P14" s="29"/>
      <c r="Q14" s="29"/>
      <c r="R14" s="29"/>
      <c r="S14" s="29"/>
      <c r="T14" s="22"/>
      <c r="W14" s="166" t="s">
        <v>12</v>
      </c>
      <c r="X14" s="167">
        <v>4.3706000000000002E-2</v>
      </c>
    </row>
    <row r="15" spans="1:24" ht="15" customHeight="1" x14ac:dyDescent="0.25">
      <c r="B15" s="79"/>
      <c r="C15" s="180" t="s">
        <v>33</v>
      </c>
      <c r="D15" s="187" t="s">
        <v>106</v>
      </c>
      <c r="E15" s="188">
        <v>3.4615E-2</v>
      </c>
      <c r="F15" s="29"/>
      <c r="G15" s="29"/>
      <c r="H15" s="29"/>
      <c r="I15" s="29"/>
      <c r="J15" s="29"/>
      <c r="K15" s="29"/>
      <c r="L15" s="29"/>
      <c r="M15" s="29"/>
      <c r="N15" s="29"/>
      <c r="O15" s="29"/>
      <c r="P15" s="29"/>
      <c r="Q15" s="29"/>
      <c r="R15" s="29"/>
      <c r="S15" s="29"/>
      <c r="T15" s="22"/>
      <c r="W15" s="166" t="s">
        <v>23</v>
      </c>
      <c r="X15" s="167">
        <v>3.8531000000000003E-2</v>
      </c>
    </row>
    <row r="16" spans="1:24" ht="15" customHeight="1" x14ac:dyDescent="0.25">
      <c r="B16" s="79"/>
      <c r="C16" s="180" t="s">
        <v>35</v>
      </c>
      <c r="D16" s="187" t="s">
        <v>3</v>
      </c>
      <c r="E16" s="188">
        <v>3.0005E-2</v>
      </c>
      <c r="F16" s="29"/>
      <c r="G16" s="29"/>
      <c r="H16" s="29"/>
      <c r="I16" s="29"/>
      <c r="J16" s="29"/>
      <c r="K16" s="29"/>
      <c r="L16" s="29"/>
      <c r="M16" s="29"/>
      <c r="N16" s="29"/>
      <c r="O16" s="29"/>
      <c r="P16" s="29"/>
      <c r="Q16" s="29"/>
      <c r="R16" s="29"/>
      <c r="S16" s="29"/>
      <c r="T16" s="22"/>
      <c r="W16" s="166" t="s">
        <v>110</v>
      </c>
      <c r="X16" s="167">
        <v>3.1763E-2</v>
      </c>
    </row>
    <row r="17" spans="2:24" ht="15" customHeight="1" x14ac:dyDescent="0.25">
      <c r="B17" s="79"/>
      <c r="C17" s="180" t="s">
        <v>36</v>
      </c>
      <c r="D17" s="187" t="s">
        <v>3</v>
      </c>
      <c r="E17" s="188">
        <v>2.9596000000000001E-2</v>
      </c>
      <c r="F17" s="29"/>
      <c r="G17" s="29"/>
      <c r="H17" s="29"/>
      <c r="I17" s="29"/>
      <c r="J17" s="29"/>
      <c r="K17" s="29"/>
      <c r="L17" s="29"/>
      <c r="M17" s="29"/>
      <c r="N17" s="29"/>
      <c r="O17" s="29"/>
      <c r="P17" s="29"/>
      <c r="Q17" s="29"/>
      <c r="R17" s="29"/>
      <c r="S17" s="29"/>
      <c r="T17" s="22"/>
      <c r="W17" s="166" t="s">
        <v>10</v>
      </c>
      <c r="X17" s="167">
        <v>2.8305E-2</v>
      </c>
    </row>
    <row r="18" spans="2:24" ht="15" customHeight="1" x14ac:dyDescent="0.25">
      <c r="B18" s="79"/>
      <c r="C18" s="180" t="s">
        <v>78</v>
      </c>
      <c r="D18" s="187" t="s">
        <v>3</v>
      </c>
      <c r="E18" s="188">
        <v>2.7858000000000001E-2</v>
      </c>
      <c r="F18" s="29"/>
      <c r="G18" s="29"/>
      <c r="H18" s="29"/>
      <c r="I18" s="29"/>
      <c r="J18" s="29"/>
      <c r="K18" s="29"/>
      <c r="L18" s="29"/>
      <c r="M18" s="29"/>
      <c r="N18" s="29"/>
      <c r="O18" s="29"/>
      <c r="P18" s="29"/>
      <c r="Q18" s="29"/>
      <c r="R18" s="29"/>
      <c r="S18" s="29"/>
      <c r="T18" s="22"/>
      <c r="W18" s="166" t="s">
        <v>26</v>
      </c>
      <c r="X18" s="167">
        <v>2.4292999999999999E-2</v>
      </c>
    </row>
    <row r="19" spans="2:24" ht="15" customHeight="1" x14ac:dyDescent="0.25">
      <c r="B19" s="79"/>
      <c r="C19" s="180" t="s">
        <v>119</v>
      </c>
      <c r="D19" s="187" t="s">
        <v>111</v>
      </c>
      <c r="E19" s="188">
        <v>2.2202E-2</v>
      </c>
      <c r="F19" s="29"/>
      <c r="G19" s="29"/>
      <c r="H19" s="29"/>
      <c r="I19" s="29"/>
      <c r="J19" s="29"/>
      <c r="K19" s="29"/>
      <c r="L19" s="29"/>
      <c r="M19" s="29"/>
      <c r="N19" s="29"/>
      <c r="O19" s="29"/>
      <c r="P19" s="29"/>
      <c r="Q19" s="29"/>
      <c r="R19" s="29"/>
      <c r="S19" s="29"/>
      <c r="T19" s="22"/>
      <c r="W19" s="166" t="s">
        <v>82</v>
      </c>
      <c r="X19" s="167">
        <v>2.2005E-2</v>
      </c>
    </row>
    <row r="20" spans="2:24" ht="15" customHeight="1" x14ac:dyDescent="0.25">
      <c r="B20" s="79"/>
      <c r="C20" s="180" t="s">
        <v>80</v>
      </c>
      <c r="D20" s="187" t="s">
        <v>4</v>
      </c>
      <c r="E20" s="188">
        <v>2.1985999999999999E-2</v>
      </c>
      <c r="F20" s="29"/>
      <c r="G20" s="29"/>
      <c r="H20" s="29"/>
      <c r="I20" s="29"/>
      <c r="J20" s="29"/>
      <c r="K20" s="29"/>
      <c r="L20" s="29"/>
      <c r="M20" s="29"/>
      <c r="N20" s="29"/>
      <c r="O20" s="29"/>
      <c r="P20" s="29"/>
      <c r="Q20" s="29"/>
      <c r="R20" s="29"/>
      <c r="S20" s="29"/>
      <c r="T20" s="22"/>
      <c r="W20" s="166" t="s">
        <v>16</v>
      </c>
      <c r="X20" s="167">
        <v>2.1825999999999998E-2</v>
      </c>
    </row>
    <row r="21" spans="2:24" ht="15" customHeight="1" x14ac:dyDescent="0.25">
      <c r="B21" s="79"/>
      <c r="C21" s="180" t="s">
        <v>37</v>
      </c>
      <c r="D21" s="187" t="s">
        <v>116</v>
      </c>
      <c r="E21" s="188">
        <v>1.8842000000000001E-2</v>
      </c>
      <c r="F21" s="29"/>
      <c r="G21" s="29"/>
      <c r="H21" s="29"/>
      <c r="I21" s="29"/>
      <c r="J21" s="29"/>
      <c r="K21" s="29"/>
      <c r="L21" s="29"/>
      <c r="M21" s="29"/>
      <c r="N21" s="29"/>
      <c r="O21" s="29"/>
      <c r="P21" s="29"/>
      <c r="Q21" s="29"/>
      <c r="R21" s="29"/>
      <c r="S21" s="29"/>
      <c r="T21" s="22"/>
      <c r="W21" s="166" t="s">
        <v>11</v>
      </c>
      <c r="X21" s="167">
        <v>2.1468000000000001E-2</v>
      </c>
    </row>
    <row r="22" spans="2:24" ht="15" customHeight="1" x14ac:dyDescent="0.25">
      <c r="B22" s="79"/>
      <c r="C22" s="180" t="s">
        <v>250</v>
      </c>
      <c r="D22" s="187" t="s">
        <v>110</v>
      </c>
      <c r="E22" s="188">
        <v>1.7578E-2</v>
      </c>
      <c r="F22" s="29"/>
      <c r="G22" s="29"/>
      <c r="H22" s="29"/>
      <c r="I22" s="29"/>
      <c r="J22" s="29"/>
      <c r="K22" s="29"/>
      <c r="L22" s="29"/>
      <c r="M22" s="29"/>
      <c r="N22" s="29"/>
      <c r="O22" s="29"/>
      <c r="P22" s="29"/>
      <c r="Q22" s="29"/>
      <c r="R22" s="29"/>
      <c r="S22" s="29"/>
      <c r="T22" s="22"/>
      <c r="W22" s="166" t="s">
        <v>85</v>
      </c>
      <c r="X22" s="167">
        <v>1.3419E-2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66" t="s">
        <v>86</v>
      </c>
      <c r="X23" s="167">
        <v>1.0142999999999999E-2</v>
      </c>
    </row>
    <row r="24" spans="2:24" ht="15" customHeight="1" x14ac:dyDescent="0.25">
      <c r="B24" s="79"/>
      <c r="C24" s="73" t="s">
        <v>55</v>
      </c>
      <c r="D24" s="74"/>
      <c r="E24" s="84">
        <f>SUM(E8:E22)</f>
        <v>0.67526599999999992</v>
      </c>
      <c r="F24" s="29"/>
      <c r="G24" s="29"/>
      <c r="H24" s="29"/>
      <c r="I24" s="29"/>
      <c r="J24" s="29"/>
      <c r="K24" s="29"/>
      <c r="L24" s="29"/>
      <c r="M24" s="29"/>
      <c r="N24" s="29"/>
      <c r="O24" s="29"/>
      <c r="P24" s="29"/>
      <c r="Q24" s="29"/>
      <c r="R24" s="29"/>
      <c r="S24" s="29"/>
      <c r="T24" s="22"/>
      <c r="W24" s="166" t="s">
        <v>15</v>
      </c>
      <c r="X24" s="167">
        <v>9.2860000000000009E-3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66" t="s">
        <v>13</v>
      </c>
      <c r="X25" s="167">
        <v>8.9940000000000003E-3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66" t="s">
        <v>130</v>
      </c>
      <c r="X26" s="167">
        <v>8.5009999999999999E-3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66" t="s">
        <v>129</v>
      </c>
      <c r="X27" s="167">
        <v>8.2050000000000005E-3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66" t="s">
        <v>107</v>
      </c>
      <c r="X28" s="167">
        <v>7.5849999999999997E-3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66" t="s">
        <v>76</v>
      </c>
      <c r="X29" s="167">
        <v>6.2820000000000003E-3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114</v>
      </c>
      <c r="X30" s="62">
        <v>6.1320000000000003E-3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131</v>
      </c>
      <c r="X31" s="62">
        <v>5.6690000000000004E-3</v>
      </c>
    </row>
    <row r="32" spans="2:24" ht="15" customHeight="1" thickBot="1" x14ac:dyDescent="0.3">
      <c r="X32" s="62"/>
    </row>
    <row r="33" spans="2:18" ht="15" customHeight="1" x14ac:dyDescent="0.25">
      <c r="B33" s="302" t="s">
        <v>180</v>
      </c>
      <c r="C33" s="303"/>
      <c r="D33" s="303"/>
      <c r="E33" s="303"/>
      <c r="F33" s="303"/>
      <c r="G33" s="303"/>
      <c r="H33" s="303"/>
      <c r="I33" s="303"/>
      <c r="J33" s="303"/>
      <c r="K33" s="303"/>
      <c r="L33" s="303"/>
      <c r="M33" s="303"/>
      <c r="N33" s="303"/>
      <c r="O33" s="303"/>
      <c r="P33" s="303"/>
      <c r="Q33" s="303"/>
      <c r="R33" s="304"/>
    </row>
    <row r="34" spans="2:18" ht="15" customHeight="1" x14ac:dyDescent="0.25">
      <c r="B34" s="305"/>
      <c r="C34" s="306"/>
      <c r="D34" s="306"/>
      <c r="E34" s="306"/>
      <c r="F34" s="306"/>
      <c r="G34" s="306"/>
      <c r="H34" s="306"/>
      <c r="I34" s="306"/>
      <c r="J34" s="306"/>
      <c r="K34" s="306"/>
      <c r="L34" s="306"/>
      <c r="M34" s="306"/>
      <c r="N34" s="306"/>
      <c r="O34" s="306"/>
      <c r="P34" s="306"/>
      <c r="Q34" s="306"/>
      <c r="R34" s="307"/>
    </row>
    <row r="35" spans="2:18" ht="15" customHeight="1" x14ac:dyDescent="0.25">
      <c r="B35" s="305"/>
      <c r="C35" s="306"/>
      <c r="D35" s="306"/>
      <c r="E35" s="306"/>
      <c r="F35" s="306"/>
      <c r="G35" s="306"/>
      <c r="H35" s="306"/>
      <c r="I35" s="306"/>
      <c r="J35" s="306"/>
      <c r="K35" s="306"/>
      <c r="L35" s="306"/>
      <c r="M35" s="306"/>
      <c r="N35" s="306"/>
      <c r="O35" s="306"/>
      <c r="P35" s="306"/>
      <c r="Q35" s="306"/>
      <c r="R35" s="307"/>
    </row>
    <row r="36" spans="2:18" ht="15" customHeight="1" x14ac:dyDescent="0.25">
      <c r="B36" s="305"/>
      <c r="C36" s="306"/>
      <c r="D36" s="306"/>
      <c r="E36" s="306"/>
      <c r="F36" s="306"/>
      <c r="G36" s="306"/>
      <c r="H36" s="306"/>
      <c r="I36" s="306"/>
      <c r="J36" s="306"/>
      <c r="K36" s="306"/>
      <c r="L36" s="306"/>
      <c r="M36" s="306"/>
      <c r="N36" s="306"/>
      <c r="O36" s="306"/>
      <c r="P36" s="306"/>
      <c r="Q36" s="306"/>
      <c r="R36" s="307"/>
    </row>
    <row r="37" spans="2:18" ht="15" customHeight="1" x14ac:dyDescent="0.25">
      <c r="B37" s="305"/>
      <c r="C37" s="306"/>
      <c r="D37" s="306"/>
      <c r="E37" s="306"/>
      <c r="F37" s="306"/>
      <c r="G37" s="306"/>
      <c r="H37" s="306"/>
      <c r="I37" s="306"/>
      <c r="J37" s="306"/>
      <c r="K37" s="306"/>
      <c r="L37" s="306"/>
      <c r="M37" s="306"/>
      <c r="N37" s="306"/>
      <c r="O37" s="306"/>
      <c r="P37" s="306"/>
      <c r="Q37" s="306"/>
      <c r="R37" s="307"/>
    </row>
    <row r="38" spans="2:18" ht="15" customHeight="1" x14ac:dyDescent="0.25">
      <c r="B38" s="305"/>
      <c r="C38" s="306"/>
      <c r="D38" s="306"/>
      <c r="E38" s="306"/>
      <c r="F38" s="306"/>
      <c r="G38" s="306"/>
      <c r="H38" s="306"/>
      <c r="I38" s="306"/>
      <c r="J38" s="306"/>
      <c r="K38" s="306"/>
      <c r="L38" s="306"/>
      <c r="M38" s="306"/>
      <c r="N38" s="306"/>
      <c r="O38" s="306"/>
      <c r="P38" s="306"/>
      <c r="Q38" s="306"/>
      <c r="R38" s="307"/>
    </row>
    <row r="39" spans="2:18" ht="15" customHeight="1" thickBot="1" x14ac:dyDescent="0.3">
      <c r="B39" s="308"/>
      <c r="C39" s="309"/>
      <c r="D39" s="309"/>
      <c r="E39" s="309"/>
      <c r="F39" s="309"/>
      <c r="G39" s="309"/>
      <c r="H39" s="309"/>
      <c r="I39" s="309"/>
      <c r="J39" s="309"/>
      <c r="K39" s="309"/>
      <c r="L39" s="309"/>
      <c r="M39" s="309"/>
      <c r="N39" s="309"/>
      <c r="O39" s="309"/>
      <c r="P39" s="309"/>
      <c r="Q39" s="309"/>
      <c r="R39" s="310"/>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307</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5" t="s">
        <v>405</v>
      </c>
      <c r="E5" s="315"/>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0.15467</v>
      </c>
      <c r="F8" s="29"/>
      <c r="G8" s="29"/>
      <c r="H8" s="29"/>
      <c r="I8" s="29"/>
      <c r="J8" s="29"/>
      <c r="K8" s="29"/>
      <c r="L8" s="29"/>
      <c r="M8" s="29"/>
      <c r="N8" s="29"/>
      <c r="O8" s="29"/>
      <c r="P8" s="29"/>
      <c r="Q8" s="29"/>
      <c r="R8" s="29"/>
      <c r="S8" s="29"/>
      <c r="T8" s="22"/>
      <c r="W8" s="56" t="s">
        <v>3</v>
      </c>
      <c r="X8" s="57">
        <v>0.36761700000000003</v>
      </c>
    </row>
    <row r="9" spans="1:24" ht="15.75" customHeight="1" x14ac:dyDescent="0.25">
      <c r="B9" s="79"/>
      <c r="C9" s="180" t="s">
        <v>32</v>
      </c>
      <c r="D9" s="187" t="s">
        <v>3</v>
      </c>
      <c r="E9" s="188">
        <v>0.10564900000000001</v>
      </c>
      <c r="F9" s="29"/>
      <c r="G9" s="29"/>
      <c r="H9" s="29"/>
      <c r="I9" s="29"/>
      <c r="J9" s="29"/>
      <c r="K9" s="29"/>
      <c r="L9" s="29"/>
      <c r="M9" s="29"/>
      <c r="N9" s="29"/>
      <c r="O9" s="29"/>
      <c r="P9" s="29"/>
      <c r="Q9" s="29"/>
      <c r="R9" s="29"/>
      <c r="S9" s="29"/>
      <c r="T9" s="22"/>
      <c r="W9" s="56" t="s">
        <v>106</v>
      </c>
      <c r="X9" s="57">
        <v>0.13306900000000002</v>
      </c>
    </row>
    <row r="10" spans="1:24" ht="15.75" x14ac:dyDescent="0.25">
      <c r="B10" s="79"/>
      <c r="C10" s="180" t="s">
        <v>31</v>
      </c>
      <c r="D10" s="187" t="s">
        <v>6</v>
      </c>
      <c r="E10" s="188">
        <v>9.5866999999999994E-2</v>
      </c>
      <c r="F10" s="29"/>
      <c r="G10" s="29"/>
      <c r="H10" s="29"/>
      <c r="I10" s="29"/>
      <c r="J10" s="29"/>
      <c r="K10" s="29"/>
      <c r="L10" s="29"/>
      <c r="M10" s="29"/>
      <c r="N10" s="29"/>
      <c r="O10" s="29"/>
      <c r="P10" s="29"/>
      <c r="Q10" s="29"/>
      <c r="R10" s="29"/>
      <c r="S10" s="29"/>
      <c r="T10" s="22"/>
      <c r="W10" s="56" t="s">
        <v>6</v>
      </c>
      <c r="X10" s="57">
        <v>9.5866999999999994E-2</v>
      </c>
    </row>
    <row r="11" spans="1:24" ht="15.75" customHeight="1" x14ac:dyDescent="0.25">
      <c r="B11" s="79"/>
      <c r="C11" s="180" t="s">
        <v>28</v>
      </c>
      <c r="D11" s="187" t="s">
        <v>106</v>
      </c>
      <c r="E11" s="188">
        <v>6.3601000000000005E-2</v>
      </c>
      <c r="F11" s="29"/>
      <c r="G11" s="29"/>
      <c r="H11" s="29"/>
      <c r="I11" s="29"/>
      <c r="J11" s="29"/>
      <c r="K11" s="29"/>
      <c r="L11" s="29"/>
      <c r="M11" s="29"/>
      <c r="N11" s="29"/>
      <c r="O11" s="29"/>
      <c r="P11" s="29"/>
      <c r="Q11" s="29"/>
      <c r="R11" s="29"/>
      <c r="S11" s="29"/>
      <c r="T11" s="22"/>
      <c r="W11" s="56" t="s">
        <v>116</v>
      </c>
      <c r="X11" s="57">
        <v>6.4953999999999998E-2</v>
      </c>
    </row>
    <row r="12" spans="1:24" ht="15" customHeight="1" x14ac:dyDescent="0.25">
      <c r="B12" s="79"/>
      <c r="C12" s="180" t="s">
        <v>70</v>
      </c>
      <c r="D12" s="187" t="s">
        <v>12</v>
      </c>
      <c r="E12" s="188">
        <v>5.1319999999999998E-2</v>
      </c>
      <c r="F12" s="29"/>
      <c r="G12" s="29"/>
      <c r="H12" s="29"/>
      <c r="I12" s="29"/>
      <c r="J12" s="29"/>
      <c r="K12" s="29"/>
      <c r="L12" s="29"/>
      <c r="M12" s="29"/>
      <c r="N12" s="29"/>
      <c r="O12" s="29"/>
      <c r="P12" s="29"/>
      <c r="Q12" s="29"/>
      <c r="R12" s="29"/>
      <c r="S12" s="29"/>
      <c r="T12" s="22"/>
      <c r="W12" s="56" t="s">
        <v>111</v>
      </c>
      <c r="X12" s="57">
        <v>5.8939999999999999E-2</v>
      </c>
    </row>
    <row r="13" spans="1:24" ht="15" customHeight="1" x14ac:dyDescent="0.25">
      <c r="B13" s="79"/>
      <c r="C13" s="180" t="s">
        <v>34</v>
      </c>
      <c r="D13" s="187" t="s">
        <v>23</v>
      </c>
      <c r="E13" s="188">
        <v>4.4741999999999997E-2</v>
      </c>
      <c r="F13" s="29"/>
      <c r="G13" s="29"/>
      <c r="H13" s="29"/>
      <c r="I13" s="29"/>
      <c r="J13" s="29"/>
      <c r="K13" s="29"/>
      <c r="L13" s="29"/>
      <c r="M13" s="29"/>
      <c r="N13" s="29"/>
      <c r="O13" s="29"/>
      <c r="P13" s="29"/>
      <c r="Q13" s="29"/>
      <c r="R13" s="29"/>
      <c r="S13" s="29"/>
      <c r="T13" s="22"/>
      <c r="W13" s="56" t="s">
        <v>12</v>
      </c>
      <c r="X13" s="57">
        <v>5.1319999999999998E-2</v>
      </c>
    </row>
    <row r="14" spans="1:24" ht="15" customHeight="1" x14ac:dyDescent="0.25">
      <c r="B14" s="79"/>
      <c r="C14" s="180" t="s">
        <v>30</v>
      </c>
      <c r="D14" s="187" t="s">
        <v>116</v>
      </c>
      <c r="E14" s="188">
        <v>4.2368000000000003E-2</v>
      </c>
      <c r="F14" s="29"/>
      <c r="G14" s="29"/>
      <c r="H14" s="29"/>
      <c r="I14" s="29"/>
      <c r="J14" s="29"/>
      <c r="K14" s="29"/>
      <c r="L14" s="29"/>
      <c r="M14" s="29"/>
      <c r="N14" s="29"/>
      <c r="O14" s="29"/>
      <c r="P14" s="29"/>
      <c r="Q14" s="29"/>
      <c r="R14" s="29"/>
      <c r="S14" s="29"/>
      <c r="T14" s="22"/>
      <c r="W14" s="56" t="s">
        <v>23</v>
      </c>
      <c r="X14" s="57">
        <v>4.4741999999999997E-2</v>
      </c>
    </row>
    <row r="15" spans="1:24" ht="15" customHeight="1" x14ac:dyDescent="0.25">
      <c r="B15" s="79"/>
      <c r="C15" s="180" t="s">
        <v>33</v>
      </c>
      <c r="D15" s="187" t="s">
        <v>106</v>
      </c>
      <c r="E15" s="188">
        <v>4.0653000000000002E-2</v>
      </c>
      <c r="F15" s="29"/>
      <c r="G15" s="29"/>
      <c r="H15" s="29"/>
      <c r="I15" s="29"/>
      <c r="J15" s="29"/>
      <c r="K15" s="29"/>
      <c r="L15" s="29"/>
      <c r="M15" s="29"/>
      <c r="N15" s="29"/>
      <c r="O15" s="29"/>
      <c r="P15" s="29"/>
      <c r="Q15" s="29"/>
      <c r="R15" s="29"/>
      <c r="S15" s="29"/>
      <c r="T15" s="22"/>
      <c r="W15" s="56" t="s">
        <v>4</v>
      </c>
      <c r="X15" s="57">
        <v>3.7401000000000004E-2</v>
      </c>
    </row>
    <row r="16" spans="1:24" ht="15" customHeight="1" x14ac:dyDescent="0.25">
      <c r="B16" s="79"/>
      <c r="C16" s="180" t="s">
        <v>35</v>
      </c>
      <c r="D16" s="187" t="s">
        <v>3</v>
      </c>
      <c r="E16" s="188">
        <v>3.5063999999999998E-2</v>
      </c>
      <c r="F16" s="29"/>
      <c r="G16" s="29"/>
      <c r="H16" s="29"/>
      <c r="I16" s="29"/>
      <c r="J16" s="29"/>
      <c r="K16" s="29"/>
      <c r="L16" s="29"/>
      <c r="M16" s="29"/>
      <c r="N16" s="29"/>
      <c r="O16" s="29"/>
      <c r="P16" s="29"/>
      <c r="Q16" s="29"/>
      <c r="R16" s="29"/>
      <c r="S16" s="29"/>
      <c r="T16" s="22"/>
      <c r="W16" s="56" t="s">
        <v>10</v>
      </c>
      <c r="X16" s="57">
        <v>3.3079999999999998E-2</v>
      </c>
    </row>
    <row r="17" spans="2:24" ht="15" customHeight="1" x14ac:dyDescent="0.25">
      <c r="B17" s="79"/>
      <c r="C17" s="180" t="s">
        <v>36</v>
      </c>
      <c r="D17" s="187" t="s">
        <v>3</v>
      </c>
      <c r="E17" s="188">
        <v>3.4553E-2</v>
      </c>
      <c r="F17" s="29"/>
      <c r="G17" s="29"/>
      <c r="H17" s="29"/>
      <c r="I17" s="29"/>
      <c r="J17" s="29"/>
      <c r="K17" s="29"/>
      <c r="L17" s="29"/>
      <c r="M17" s="29"/>
      <c r="N17" s="29"/>
      <c r="O17" s="29"/>
      <c r="P17" s="29"/>
      <c r="Q17" s="29"/>
      <c r="R17" s="29"/>
      <c r="S17" s="29"/>
      <c r="T17" s="22"/>
      <c r="W17" s="56" t="s">
        <v>16</v>
      </c>
      <c r="X17" s="57">
        <v>2.5921E-2</v>
      </c>
    </row>
    <row r="18" spans="2:24" ht="15" customHeight="1" x14ac:dyDescent="0.25">
      <c r="B18" s="79"/>
      <c r="C18" s="180" t="s">
        <v>78</v>
      </c>
      <c r="D18" s="187" t="s">
        <v>3</v>
      </c>
      <c r="E18" s="188">
        <v>3.2964E-2</v>
      </c>
      <c r="F18" s="29"/>
      <c r="G18" s="29"/>
      <c r="H18" s="29"/>
      <c r="I18" s="29"/>
      <c r="J18" s="29"/>
      <c r="K18" s="29"/>
      <c r="L18" s="29"/>
      <c r="M18" s="29"/>
      <c r="N18" s="29"/>
      <c r="O18" s="29"/>
      <c r="P18" s="29"/>
      <c r="Q18" s="29"/>
      <c r="R18" s="29"/>
      <c r="S18" s="29"/>
      <c r="T18" s="22"/>
      <c r="W18" s="56" t="s">
        <v>110</v>
      </c>
      <c r="X18" s="57">
        <v>2.0611000000000001E-2</v>
      </c>
    </row>
    <row r="19" spans="2:24" ht="15" customHeight="1" x14ac:dyDescent="0.25">
      <c r="B19" s="79"/>
      <c r="C19" s="180" t="s">
        <v>119</v>
      </c>
      <c r="D19" s="187" t="s">
        <v>111</v>
      </c>
      <c r="E19" s="188">
        <v>2.6655000000000002E-2</v>
      </c>
      <c r="F19" s="29"/>
      <c r="G19" s="29"/>
      <c r="H19" s="29"/>
      <c r="I19" s="29"/>
      <c r="J19" s="29"/>
      <c r="K19" s="29"/>
      <c r="L19" s="29"/>
      <c r="M19" s="29"/>
      <c r="N19" s="29"/>
      <c r="O19" s="29"/>
      <c r="P19" s="29"/>
      <c r="Q19" s="29"/>
      <c r="R19" s="29"/>
      <c r="S19" s="29"/>
      <c r="T19" s="22"/>
      <c r="W19" s="56" t="s">
        <v>26</v>
      </c>
      <c r="X19" s="57">
        <v>1.5409000000000001E-2</v>
      </c>
    </row>
    <row r="20" spans="2:24" ht="15" customHeight="1" x14ac:dyDescent="0.25">
      <c r="B20" s="79"/>
      <c r="C20" s="180" t="s">
        <v>80</v>
      </c>
      <c r="D20" s="187" t="s">
        <v>4</v>
      </c>
      <c r="E20" s="188">
        <v>2.5232000000000001E-2</v>
      </c>
      <c r="F20" s="29"/>
      <c r="G20" s="29"/>
      <c r="H20" s="29"/>
      <c r="I20" s="29"/>
      <c r="J20" s="29"/>
      <c r="K20" s="29"/>
      <c r="L20" s="29"/>
      <c r="M20" s="29"/>
      <c r="N20" s="29"/>
      <c r="O20" s="29"/>
      <c r="P20" s="29"/>
      <c r="Q20" s="29"/>
      <c r="R20" s="29"/>
      <c r="S20" s="29"/>
      <c r="T20" s="22"/>
      <c r="W20" s="56" t="s">
        <v>82</v>
      </c>
      <c r="X20" s="57">
        <v>1.4744999999999999E-2</v>
      </c>
    </row>
    <row r="21" spans="2:24" ht="15" customHeight="1" x14ac:dyDescent="0.25">
      <c r="B21" s="79"/>
      <c r="C21" s="180" t="s">
        <v>37</v>
      </c>
      <c r="D21" s="187" t="s">
        <v>116</v>
      </c>
      <c r="E21" s="188">
        <v>2.2585999999999998E-2</v>
      </c>
      <c r="F21" s="29"/>
      <c r="G21" s="29"/>
      <c r="H21" s="29"/>
      <c r="I21" s="29"/>
      <c r="J21" s="29"/>
      <c r="K21" s="29"/>
      <c r="L21" s="29"/>
      <c r="M21" s="29"/>
      <c r="N21" s="29"/>
      <c r="O21" s="29"/>
      <c r="P21" s="29"/>
      <c r="Q21" s="29"/>
      <c r="R21" s="29"/>
      <c r="S21" s="29"/>
      <c r="T21" s="22"/>
      <c r="W21" s="56" t="s">
        <v>11</v>
      </c>
      <c r="X21" s="57">
        <v>1.4366E-2</v>
      </c>
    </row>
    <row r="22" spans="2:24" ht="15" customHeight="1" x14ac:dyDescent="0.25">
      <c r="B22" s="79"/>
      <c r="C22" s="180" t="s">
        <v>250</v>
      </c>
      <c r="D22" s="187" t="s">
        <v>110</v>
      </c>
      <c r="E22" s="188">
        <v>2.0611000000000001E-2</v>
      </c>
      <c r="F22" s="29"/>
      <c r="G22" s="29"/>
      <c r="H22" s="29"/>
      <c r="I22" s="29"/>
      <c r="J22" s="29"/>
      <c r="K22" s="29"/>
      <c r="L22" s="29"/>
      <c r="M22" s="29"/>
      <c r="N22" s="29"/>
      <c r="O22" s="29"/>
      <c r="P22" s="29"/>
      <c r="Q22" s="29"/>
      <c r="R22" s="29"/>
      <c r="S22" s="29"/>
      <c r="T22" s="22"/>
      <c r="W22" s="19" t="s">
        <v>129</v>
      </c>
      <c r="X22" s="57">
        <v>9.5949999999999994E-3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t="s">
        <v>107</v>
      </c>
      <c r="X23" s="57">
        <v>8.8470000000000007E-3</v>
      </c>
    </row>
    <row r="24" spans="2:24" ht="15" customHeight="1" x14ac:dyDescent="0.25">
      <c r="B24" s="79"/>
      <c r="C24" s="73" t="s">
        <v>55</v>
      </c>
      <c r="D24" s="74"/>
      <c r="E24" s="75">
        <f>SUM(E8:E22)</f>
        <v>0.7965350000000001</v>
      </c>
      <c r="F24" s="29"/>
      <c r="G24" s="29"/>
      <c r="H24" s="29"/>
      <c r="I24" s="29"/>
      <c r="J24" s="29"/>
      <c r="K24" s="29"/>
      <c r="L24" s="29"/>
      <c r="M24" s="29"/>
      <c r="N24" s="29"/>
      <c r="O24" s="29"/>
      <c r="P24" s="29"/>
      <c r="Q24" s="29"/>
      <c r="R24" s="29"/>
      <c r="S24" s="29"/>
      <c r="T24" s="22"/>
      <c r="W24" s="56" t="s">
        <v>83</v>
      </c>
      <c r="X24" s="57">
        <v>1.673E-3</v>
      </c>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302" t="s">
        <v>180</v>
      </c>
      <c r="C39" s="303"/>
      <c r="D39" s="303"/>
      <c r="E39" s="303"/>
      <c r="F39" s="303"/>
      <c r="G39" s="303"/>
      <c r="H39" s="303"/>
      <c r="I39" s="303"/>
      <c r="J39" s="303"/>
      <c r="K39" s="303"/>
      <c r="L39" s="303"/>
      <c r="M39" s="303"/>
      <c r="N39" s="303"/>
      <c r="O39" s="303"/>
      <c r="P39" s="303"/>
      <c r="Q39" s="303"/>
      <c r="R39" s="304"/>
    </row>
    <row r="40" spans="2:24" ht="15" customHeight="1" x14ac:dyDescent="0.25">
      <c r="B40" s="305"/>
      <c r="C40" s="306"/>
      <c r="D40" s="306"/>
      <c r="E40" s="306"/>
      <c r="F40" s="306"/>
      <c r="G40" s="306"/>
      <c r="H40" s="306"/>
      <c r="I40" s="306"/>
      <c r="J40" s="306"/>
      <c r="K40" s="306"/>
      <c r="L40" s="306"/>
      <c r="M40" s="306"/>
      <c r="N40" s="306"/>
      <c r="O40" s="306"/>
      <c r="P40" s="306"/>
      <c r="Q40" s="306"/>
      <c r="R40" s="307"/>
    </row>
    <row r="41" spans="2:24" ht="15" customHeight="1" x14ac:dyDescent="0.25">
      <c r="B41" s="305"/>
      <c r="C41" s="306"/>
      <c r="D41" s="306"/>
      <c r="E41" s="306"/>
      <c r="F41" s="306"/>
      <c r="G41" s="306"/>
      <c r="H41" s="306"/>
      <c r="I41" s="306"/>
      <c r="J41" s="306"/>
      <c r="K41" s="306"/>
      <c r="L41" s="306"/>
      <c r="M41" s="306"/>
      <c r="N41" s="306"/>
      <c r="O41" s="306"/>
      <c r="P41" s="306"/>
      <c r="Q41" s="306"/>
      <c r="R41" s="307"/>
    </row>
    <row r="42" spans="2:24" ht="15" customHeight="1" x14ac:dyDescent="0.25">
      <c r="B42" s="305"/>
      <c r="C42" s="306"/>
      <c r="D42" s="306"/>
      <c r="E42" s="306"/>
      <c r="F42" s="306"/>
      <c r="G42" s="306"/>
      <c r="H42" s="306"/>
      <c r="I42" s="306"/>
      <c r="J42" s="306"/>
      <c r="K42" s="306"/>
      <c r="L42" s="306"/>
      <c r="M42" s="306"/>
      <c r="N42" s="306"/>
      <c r="O42" s="306"/>
      <c r="P42" s="306"/>
      <c r="Q42" s="306"/>
      <c r="R42" s="307"/>
    </row>
    <row r="43" spans="2:24" ht="15" customHeight="1" x14ac:dyDescent="0.25">
      <c r="B43" s="305"/>
      <c r="C43" s="306"/>
      <c r="D43" s="306"/>
      <c r="E43" s="306"/>
      <c r="F43" s="306"/>
      <c r="G43" s="306"/>
      <c r="H43" s="306"/>
      <c r="I43" s="306"/>
      <c r="J43" s="306"/>
      <c r="K43" s="306"/>
      <c r="L43" s="306"/>
      <c r="M43" s="306"/>
      <c r="N43" s="306"/>
      <c r="O43" s="306"/>
      <c r="P43" s="306"/>
      <c r="Q43" s="306"/>
      <c r="R43" s="307"/>
    </row>
    <row r="44" spans="2:24" ht="15" customHeight="1" x14ac:dyDescent="0.25">
      <c r="B44" s="305"/>
      <c r="C44" s="306"/>
      <c r="D44" s="306"/>
      <c r="E44" s="306"/>
      <c r="F44" s="306"/>
      <c r="G44" s="306"/>
      <c r="H44" s="306"/>
      <c r="I44" s="306"/>
      <c r="J44" s="306"/>
      <c r="K44" s="306"/>
      <c r="L44" s="306"/>
      <c r="M44" s="306"/>
      <c r="N44" s="306"/>
      <c r="O44" s="306"/>
      <c r="P44" s="306"/>
      <c r="Q44" s="306"/>
      <c r="R44" s="307"/>
    </row>
    <row r="45" spans="2:24" ht="26.25" customHeight="1" thickBot="1" x14ac:dyDescent="0.3">
      <c r="B45" s="308"/>
      <c r="C45" s="309"/>
      <c r="D45" s="309"/>
      <c r="E45" s="309"/>
      <c r="F45" s="309"/>
      <c r="G45" s="309"/>
      <c r="H45" s="309"/>
      <c r="I45" s="309"/>
      <c r="J45" s="309"/>
      <c r="K45" s="309"/>
      <c r="L45" s="309"/>
      <c r="M45" s="309"/>
      <c r="N45" s="309"/>
      <c r="O45" s="309"/>
      <c r="P45" s="309"/>
      <c r="Q45" s="309"/>
      <c r="R45" s="3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1" t="s">
        <v>154</v>
      </c>
      <c r="D3" s="312"/>
      <c r="E3" s="312"/>
      <c r="F3" s="312"/>
      <c r="G3" s="312"/>
      <c r="H3" s="312"/>
      <c r="I3" s="312"/>
      <c r="J3" s="312"/>
      <c r="K3" s="312"/>
      <c r="L3" s="312"/>
      <c r="M3" s="312"/>
      <c r="N3" s="312"/>
      <c r="O3" s="312"/>
      <c r="P3" s="312"/>
      <c r="Q3" s="312"/>
      <c r="R3" s="312"/>
      <c r="S3" s="312"/>
      <c r="T3" s="22"/>
    </row>
    <row r="4" spans="1:24" ht="15.75" customHeight="1" x14ac:dyDescent="0.25">
      <c r="B4" s="79"/>
      <c r="C4" s="67" t="s">
        <v>441</v>
      </c>
      <c r="D4" s="29"/>
      <c r="E4" s="29"/>
      <c r="F4" s="29"/>
      <c r="G4" s="29"/>
      <c r="H4" s="29"/>
      <c r="I4" s="29"/>
      <c r="J4" s="29"/>
      <c r="K4" s="29"/>
      <c r="L4" s="29"/>
      <c r="M4" s="29"/>
      <c r="N4" s="29"/>
      <c r="O4" s="29"/>
      <c r="P4" s="29"/>
      <c r="Q4" s="29"/>
      <c r="R4" s="29"/>
      <c r="S4" s="29"/>
      <c r="T4" s="22"/>
    </row>
    <row r="5" spans="1:24" ht="18" customHeight="1" x14ac:dyDescent="0.25">
      <c r="B5" s="79"/>
      <c r="C5" s="211" t="s">
        <v>440</v>
      </c>
      <c r="D5" s="315" t="s">
        <v>406</v>
      </c>
      <c r="E5" s="315"/>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0.130328</v>
      </c>
      <c r="F8" s="29"/>
      <c r="G8" s="29"/>
      <c r="H8" s="29"/>
      <c r="I8" s="29"/>
      <c r="J8" s="29"/>
      <c r="K8" s="29"/>
      <c r="L8" s="29"/>
      <c r="M8" s="29"/>
      <c r="N8" s="29"/>
      <c r="O8" s="29"/>
      <c r="P8" s="29"/>
      <c r="Q8" s="29"/>
      <c r="R8" s="29"/>
      <c r="S8" s="29"/>
      <c r="T8" s="22"/>
      <c r="W8" t="s">
        <v>3</v>
      </c>
      <c r="X8" s="172">
        <v>0.31073099999999998</v>
      </c>
    </row>
    <row r="9" spans="1:24" ht="15.75" customHeight="1" x14ac:dyDescent="0.25">
      <c r="B9" s="79"/>
      <c r="C9" s="180" t="s">
        <v>32</v>
      </c>
      <c r="D9" s="187" t="s">
        <v>3</v>
      </c>
      <c r="E9" s="188">
        <v>8.9185E-2</v>
      </c>
      <c r="F9" s="29"/>
      <c r="G9" s="29"/>
      <c r="H9" s="29"/>
      <c r="I9" s="29"/>
      <c r="J9" s="29"/>
      <c r="K9" s="29"/>
      <c r="L9" s="29"/>
      <c r="M9" s="29"/>
      <c r="N9" s="29"/>
      <c r="O9" s="29"/>
      <c r="P9" s="29"/>
      <c r="Q9" s="29"/>
      <c r="R9" s="29"/>
      <c r="S9" s="29"/>
      <c r="T9" s="22"/>
      <c r="W9" t="s">
        <v>106</v>
      </c>
      <c r="X9" s="172">
        <v>0.11873800000000001</v>
      </c>
    </row>
    <row r="10" spans="1:24" ht="15.75" x14ac:dyDescent="0.25">
      <c r="B10" s="79"/>
      <c r="C10" s="180" t="s">
        <v>31</v>
      </c>
      <c r="D10" s="187" t="s">
        <v>6</v>
      </c>
      <c r="E10" s="188">
        <v>8.0958000000000002E-2</v>
      </c>
      <c r="F10" s="29"/>
      <c r="G10" s="29"/>
      <c r="H10" s="29"/>
      <c r="I10" s="29"/>
      <c r="J10" s="29"/>
      <c r="K10" s="29"/>
      <c r="L10" s="29"/>
      <c r="M10" s="29"/>
      <c r="N10" s="29"/>
      <c r="O10" s="29"/>
      <c r="P10" s="29"/>
      <c r="Q10" s="29"/>
      <c r="R10" s="29"/>
      <c r="S10" s="29"/>
      <c r="T10" s="22"/>
      <c r="W10" t="s">
        <v>6</v>
      </c>
      <c r="X10" s="172">
        <v>8.0958000000000002E-2</v>
      </c>
    </row>
    <row r="11" spans="1:24" ht="15.75" customHeight="1" x14ac:dyDescent="0.25">
      <c r="B11" s="79"/>
      <c r="C11" s="180" t="s">
        <v>28</v>
      </c>
      <c r="D11" s="187" t="s">
        <v>106</v>
      </c>
      <c r="E11" s="188">
        <v>5.2984999999999997E-2</v>
      </c>
      <c r="F11" s="29"/>
      <c r="G11" s="29"/>
      <c r="H11" s="29"/>
      <c r="I11" s="29"/>
      <c r="J11" s="29"/>
      <c r="K11" s="29"/>
      <c r="L11" s="29"/>
      <c r="M11" s="29"/>
      <c r="N11" s="29"/>
      <c r="O11" s="29"/>
      <c r="P11" s="29"/>
      <c r="Q11" s="29"/>
      <c r="R11" s="29"/>
      <c r="S11" s="29"/>
      <c r="T11" s="22"/>
      <c r="W11" t="s">
        <v>111</v>
      </c>
      <c r="X11" s="172">
        <v>6.9099999999999995E-2</v>
      </c>
    </row>
    <row r="12" spans="1:24" ht="15" customHeight="1" x14ac:dyDescent="0.25">
      <c r="B12" s="79"/>
      <c r="C12" s="180" t="s">
        <v>70</v>
      </c>
      <c r="D12" s="187" t="s">
        <v>12</v>
      </c>
      <c r="E12" s="188">
        <v>4.3581000000000002E-2</v>
      </c>
      <c r="F12" s="29"/>
      <c r="G12" s="29"/>
      <c r="H12" s="29"/>
      <c r="I12" s="29"/>
      <c r="J12" s="29"/>
      <c r="K12" s="29"/>
      <c r="L12" s="29"/>
      <c r="M12" s="29"/>
      <c r="N12" s="29"/>
      <c r="O12" s="29"/>
      <c r="P12" s="29"/>
      <c r="Q12" s="29"/>
      <c r="R12" s="29"/>
      <c r="S12" s="29"/>
      <c r="T12" s="22"/>
      <c r="W12" t="s">
        <v>116</v>
      </c>
      <c r="X12" s="172">
        <v>5.4532999999999998E-2</v>
      </c>
    </row>
    <row r="13" spans="1:24" ht="15" customHeight="1" x14ac:dyDescent="0.25">
      <c r="B13" s="79"/>
      <c r="C13" s="180" t="s">
        <v>34</v>
      </c>
      <c r="D13" s="187" t="s">
        <v>23</v>
      </c>
      <c r="E13" s="188">
        <v>3.8418000000000001E-2</v>
      </c>
      <c r="F13" s="29"/>
      <c r="G13" s="29"/>
      <c r="H13" s="29"/>
      <c r="I13" s="29"/>
      <c r="J13" s="29"/>
      <c r="K13" s="29"/>
      <c r="L13" s="29"/>
      <c r="M13" s="29"/>
      <c r="N13" s="29"/>
      <c r="O13" s="29"/>
      <c r="P13" s="29"/>
      <c r="Q13" s="29"/>
      <c r="R13" s="29"/>
      <c r="S13" s="29"/>
      <c r="T13" s="22"/>
      <c r="W13" t="s">
        <v>4</v>
      </c>
      <c r="X13" s="172">
        <v>4.7740000000000005E-2</v>
      </c>
    </row>
    <row r="14" spans="1:24" ht="15" customHeight="1" x14ac:dyDescent="0.25">
      <c r="B14" s="79"/>
      <c r="C14" s="180" t="s">
        <v>30</v>
      </c>
      <c r="D14" s="187" t="s">
        <v>116</v>
      </c>
      <c r="E14" s="188">
        <v>3.5743999999999998E-2</v>
      </c>
      <c r="F14" s="29"/>
      <c r="G14" s="29"/>
      <c r="H14" s="29"/>
      <c r="I14" s="29"/>
      <c r="J14" s="29"/>
      <c r="K14" s="29"/>
      <c r="L14" s="29"/>
      <c r="M14" s="29"/>
      <c r="N14" s="29"/>
      <c r="O14" s="29"/>
      <c r="P14" s="29"/>
      <c r="Q14" s="29"/>
      <c r="R14" s="29"/>
      <c r="S14" s="29"/>
      <c r="T14" s="22"/>
      <c r="W14" t="s">
        <v>12</v>
      </c>
      <c r="X14" s="172">
        <v>4.3581000000000002E-2</v>
      </c>
    </row>
    <row r="15" spans="1:24" ht="15" customHeight="1" x14ac:dyDescent="0.25">
      <c r="B15" s="79"/>
      <c r="C15" s="180" t="s">
        <v>33</v>
      </c>
      <c r="D15" s="187" t="s">
        <v>106</v>
      </c>
      <c r="E15" s="188">
        <v>3.4515999999999998E-2</v>
      </c>
      <c r="F15" s="29"/>
      <c r="G15" s="29"/>
      <c r="H15" s="29"/>
      <c r="I15" s="29"/>
      <c r="J15" s="29"/>
      <c r="K15" s="29"/>
      <c r="L15" s="29"/>
      <c r="M15" s="29"/>
      <c r="N15" s="29"/>
      <c r="O15" s="29"/>
      <c r="P15" s="29"/>
      <c r="Q15" s="29"/>
      <c r="R15" s="29"/>
      <c r="S15" s="29"/>
      <c r="T15" s="22"/>
      <c r="W15" t="s">
        <v>23</v>
      </c>
      <c r="X15" s="172">
        <v>3.8418000000000001E-2</v>
      </c>
    </row>
    <row r="16" spans="1:24" ht="15" customHeight="1" x14ac:dyDescent="0.25">
      <c r="B16" s="79"/>
      <c r="C16" s="180" t="s">
        <v>35</v>
      </c>
      <c r="D16" s="187" t="s">
        <v>3</v>
      </c>
      <c r="E16" s="188">
        <v>2.9921E-2</v>
      </c>
      <c r="F16" s="29"/>
      <c r="G16" s="29"/>
      <c r="H16" s="29"/>
      <c r="I16" s="29"/>
      <c r="J16" s="29"/>
      <c r="K16" s="29"/>
      <c r="L16" s="29"/>
      <c r="M16" s="29"/>
      <c r="N16" s="29"/>
      <c r="O16" s="29"/>
      <c r="P16" s="29"/>
      <c r="Q16" s="29"/>
      <c r="R16" s="29"/>
      <c r="S16" s="29"/>
      <c r="T16" s="22"/>
      <c r="W16" t="s">
        <v>110</v>
      </c>
      <c r="X16" s="172">
        <v>3.1674000000000001E-2</v>
      </c>
    </row>
    <row r="17" spans="2:24" ht="15" customHeight="1" x14ac:dyDescent="0.25">
      <c r="B17" s="79"/>
      <c r="C17" s="180" t="s">
        <v>36</v>
      </c>
      <c r="D17" s="187" t="s">
        <v>3</v>
      </c>
      <c r="E17" s="188">
        <v>2.9509000000000001E-2</v>
      </c>
      <c r="F17" s="29"/>
      <c r="G17" s="29"/>
      <c r="H17" s="29"/>
      <c r="I17" s="29"/>
      <c r="J17" s="29"/>
      <c r="K17" s="29"/>
      <c r="L17" s="29"/>
      <c r="M17" s="29"/>
      <c r="N17" s="29"/>
      <c r="O17" s="29"/>
      <c r="P17" s="29"/>
      <c r="Q17" s="29"/>
      <c r="R17" s="29"/>
      <c r="S17" s="29"/>
      <c r="T17" s="22"/>
      <c r="W17" t="s">
        <v>10</v>
      </c>
      <c r="X17" s="172">
        <v>2.8222000000000001E-2</v>
      </c>
    </row>
    <row r="18" spans="2:24" ht="15" customHeight="1" x14ac:dyDescent="0.25">
      <c r="B18" s="79"/>
      <c r="C18" s="180" t="s">
        <v>78</v>
      </c>
      <c r="D18" s="187" t="s">
        <v>3</v>
      </c>
      <c r="E18" s="188">
        <v>2.7777E-2</v>
      </c>
      <c r="F18" s="29"/>
      <c r="G18" s="29"/>
      <c r="H18" s="29"/>
      <c r="I18" s="29"/>
      <c r="J18" s="29"/>
      <c r="K18" s="29"/>
      <c r="L18" s="29"/>
      <c r="M18" s="29"/>
      <c r="N18" s="29"/>
      <c r="O18" s="29"/>
      <c r="P18" s="29"/>
      <c r="Q18" s="29"/>
      <c r="R18" s="29"/>
      <c r="S18" s="29"/>
      <c r="T18" s="22"/>
      <c r="W18" t="s">
        <v>26</v>
      </c>
      <c r="X18" s="172">
        <v>2.4220999999999999E-2</v>
      </c>
    </row>
    <row r="19" spans="2:24" ht="15" customHeight="1" x14ac:dyDescent="0.25">
      <c r="B19" s="79"/>
      <c r="C19" s="180" t="s">
        <v>119</v>
      </c>
      <c r="D19" s="187" t="s">
        <v>111</v>
      </c>
      <c r="E19" s="188">
        <v>2.2134999999999998E-2</v>
      </c>
      <c r="F19" s="29"/>
      <c r="G19" s="29"/>
      <c r="H19" s="29"/>
      <c r="I19" s="29"/>
      <c r="J19" s="29"/>
      <c r="K19" s="29"/>
      <c r="L19" s="29"/>
      <c r="M19" s="29"/>
      <c r="N19" s="29"/>
      <c r="O19" s="29"/>
      <c r="P19" s="29"/>
      <c r="Q19" s="29"/>
      <c r="R19" s="29"/>
      <c r="S19" s="29"/>
      <c r="T19" s="22"/>
      <c r="W19" t="s">
        <v>82</v>
      </c>
      <c r="X19" s="172">
        <v>2.1961000000000001E-2</v>
      </c>
    </row>
    <row r="20" spans="2:24" ht="15" customHeight="1" x14ac:dyDescent="0.25">
      <c r="B20" s="79"/>
      <c r="C20" s="180" t="s">
        <v>80</v>
      </c>
      <c r="D20" s="187" t="s">
        <v>4</v>
      </c>
      <c r="E20" s="188">
        <v>2.1916999999999999E-2</v>
      </c>
      <c r="F20" s="29"/>
      <c r="G20" s="29"/>
      <c r="H20" s="29"/>
      <c r="I20" s="29"/>
      <c r="J20" s="29"/>
      <c r="K20" s="29"/>
      <c r="L20" s="29"/>
      <c r="M20" s="29"/>
      <c r="N20" s="29"/>
      <c r="O20" s="29"/>
      <c r="P20" s="29"/>
      <c r="Q20" s="29"/>
      <c r="R20" s="29"/>
      <c r="S20" s="29"/>
      <c r="T20" s="22"/>
      <c r="W20" t="s">
        <v>16</v>
      </c>
      <c r="X20" s="172">
        <v>2.1762E-2</v>
      </c>
    </row>
    <row r="21" spans="2:24" ht="15" customHeight="1" x14ac:dyDescent="0.25">
      <c r="B21" s="79"/>
      <c r="C21" s="180" t="s">
        <v>37</v>
      </c>
      <c r="D21" s="187" t="s">
        <v>116</v>
      </c>
      <c r="E21" s="188">
        <v>1.8789E-2</v>
      </c>
      <c r="F21" s="29"/>
      <c r="G21" s="29"/>
      <c r="H21" s="29"/>
      <c r="I21" s="29"/>
      <c r="J21" s="29"/>
      <c r="K21" s="29"/>
      <c r="L21" s="29"/>
      <c r="M21" s="29"/>
      <c r="N21" s="29"/>
      <c r="O21" s="29"/>
      <c r="P21" s="29"/>
      <c r="Q21" s="29"/>
      <c r="R21" s="29"/>
      <c r="S21" s="29"/>
      <c r="T21" s="22"/>
      <c r="W21" t="s">
        <v>11</v>
      </c>
      <c r="X21" s="172">
        <v>2.1406000000000001E-2</v>
      </c>
    </row>
    <row r="22" spans="2:24" ht="15" customHeight="1" x14ac:dyDescent="0.25">
      <c r="B22" s="79"/>
      <c r="C22" s="180" t="s">
        <v>250</v>
      </c>
      <c r="D22" s="187" t="s">
        <v>110</v>
      </c>
      <c r="E22" s="188">
        <v>1.7527999999999998E-2</v>
      </c>
      <c r="F22" s="29"/>
      <c r="G22" s="29"/>
      <c r="H22" s="29"/>
      <c r="I22" s="29"/>
      <c r="J22" s="29"/>
      <c r="K22" s="29"/>
      <c r="L22" s="29"/>
      <c r="M22" s="29"/>
      <c r="N22" s="29"/>
      <c r="O22" s="29"/>
      <c r="P22" s="29"/>
      <c r="Q22" s="29"/>
      <c r="R22" s="29"/>
      <c r="S22" s="29"/>
      <c r="T22" s="22"/>
      <c r="W22" t="s">
        <v>85</v>
      </c>
      <c r="X22" s="172">
        <v>1.3378999999999999E-2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86</v>
      </c>
      <c r="X23" s="172">
        <v>1.0113E-2</v>
      </c>
    </row>
    <row r="24" spans="2:24" ht="15" customHeight="1" x14ac:dyDescent="0.25">
      <c r="B24" s="79"/>
      <c r="C24" s="73" t="s">
        <v>55</v>
      </c>
      <c r="D24" s="74"/>
      <c r="E24" s="75">
        <f>SUM(E8:E22)</f>
        <v>0.67329100000000008</v>
      </c>
      <c r="F24" s="29"/>
      <c r="G24" s="29"/>
      <c r="H24" s="29"/>
      <c r="I24" s="29"/>
      <c r="J24" s="29"/>
      <c r="K24" s="29"/>
      <c r="L24" s="29"/>
      <c r="M24" s="29"/>
      <c r="N24" s="29"/>
      <c r="O24" s="29"/>
      <c r="P24" s="29"/>
      <c r="Q24" s="29"/>
      <c r="R24" s="29"/>
      <c r="S24" s="29"/>
      <c r="T24" s="22"/>
      <c r="W24" t="s">
        <v>15</v>
      </c>
      <c r="X24" s="172">
        <v>9.2589999999999999E-3</v>
      </c>
    </row>
    <row r="25" spans="2:24" ht="15" customHeight="1" x14ac:dyDescent="0.25">
      <c r="B25" s="79"/>
      <c r="F25" s="29"/>
      <c r="G25" s="29"/>
      <c r="H25" s="29"/>
      <c r="I25" s="29"/>
      <c r="J25" s="29"/>
      <c r="K25" s="29"/>
      <c r="L25" s="29"/>
      <c r="M25" s="29"/>
      <c r="N25" s="29"/>
      <c r="O25" s="29"/>
      <c r="P25" s="29"/>
      <c r="Q25" s="29"/>
      <c r="R25" s="29"/>
      <c r="S25" s="29"/>
      <c r="T25" s="22"/>
      <c r="W25" t="s">
        <v>13</v>
      </c>
      <c r="X25" s="172">
        <v>8.9680000000000003E-3</v>
      </c>
    </row>
    <row r="26" spans="2:24" ht="15" customHeight="1" x14ac:dyDescent="0.25">
      <c r="B26" s="79"/>
      <c r="F26" s="29"/>
      <c r="G26" s="29"/>
      <c r="H26" s="29"/>
      <c r="I26" s="29"/>
      <c r="J26" s="29"/>
      <c r="K26" s="29"/>
      <c r="L26" s="29"/>
      <c r="M26" s="29"/>
      <c r="N26" s="29"/>
      <c r="O26" s="29"/>
      <c r="P26" s="29"/>
      <c r="Q26" s="29"/>
      <c r="R26" s="29"/>
      <c r="S26" s="29"/>
      <c r="T26" s="22"/>
      <c r="W26" t="s">
        <v>130</v>
      </c>
      <c r="X26" s="172">
        <v>8.4759999999999992E-3</v>
      </c>
    </row>
    <row r="27" spans="2:24" ht="15" customHeight="1" x14ac:dyDescent="0.25">
      <c r="B27" s="79"/>
      <c r="F27" s="29"/>
      <c r="G27" s="29"/>
      <c r="H27" s="29"/>
      <c r="I27" s="29"/>
      <c r="J27" s="29"/>
      <c r="K27" s="29"/>
      <c r="L27" s="29"/>
      <c r="M27" s="29"/>
      <c r="N27" s="29"/>
      <c r="O27" s="29"/>
      <c r="P27" s="29"/>
      <c r="Q27" s="29"/>
      <c r="R27" s="29"/>
      <c r="S27" s="29"/>
      <c r="T27" s="22"/>
      <c r="W27" t="s">
        <v>129</v>
      </c>
      <c r="X27" s="172">
        <v>8.1799999999999998E-3</v>
      </c>
    </row>
    <row r="28" spans="2:24" ht="15" customHeight="1" x14ac:dyDescent="0.25">
      <c r="B28" s="79"/>
      <c r="F28" s="29"/>
      <c r="G28" s="29"/>
      <c r="H28" s="29"/>
      <c r="I28" s="29"/>
      <c r="J28" s="29"/>
      <c r="K28" s="29"/>
      <c r="L28" s="29"/>
      <c r="M28" s="29"/>
      <c r="N28" s="29"/>
      <c r="O28" s="29"/>
      <c r="P28" s="29"/>
      <c r="Q28" s="29"/>
      <c r="R28" s="29"/>
      <c r="S28" s="29"/>
      <c r="T28" s="22"/>
      <c r="W28" t="s">
        <v>107</v>
      </c>
      <c r="X28" s="172">
        <v>7.5669999999999999E-3</v>
      </c>
    </row>
    <row r="29" spans="2:24" ht="15" customHeight="1" x14ac:dyDescent="0.25">
      <c r="B29" s="79"/>
      <c r="F29" s="29"/>
      <c r="G29" s="29"/>
      <c r="H29" s="29"/>
      <c r="I29" s="29"/>
      <c r="J29" s="29"/>
      <c r="K29" s="29"/>
      <c r="L29" s="29"/>
      <c r="M29" s="29"/>
      <c r="N29" s="29"/>
      <c r="O29" s="29"/>
      <c r="P29" s="29"/>
      <c r="Q29" s="29"/>
      <c r="R29" s="29"/>
      <c r="S29" s="29"/>
      <c r="T29" s="22"/>
      <c r="W29" t="s">
        <v>76</v>
      </c>
      <c r="X29" s="172">
        <v>6.2560000000000003E-3</v>
      </c>
    </row>
    <row r="30" spans="2:24" ht="15" customHeight="1" x14ac:dyDescent="0.25">
      <c r="B30" s="79"/>
      <c r="F30" s="29"/>
      <c r="G30" s="29"/>
      <c r="H30" s="29"/>
      <c r="I30" s="29"/>
      <c r="J30" s="29"/>
      <c r="K30" s="29"/>
      <c r="L30" s="29"/>
      <c r="M30" s="29"/>
      <c r="N30" s="29"/>
      <c r="O30" s="29"/>
      <c r="P30" s="29"/>
      <c r="Q30" s="29"/>
      <c r="R30" s="29"/>
      <c r="S30" s="29"/>
      <c r="T30" s="22"/>
      <c r="W30" s="56" t="s">
        <v>114</v>
      </c>
      <c r="X30" s="57">
        <v>6.1120000000000002E-3</v>
      </c>
    </row>
    <row r="31" spans="2:24" ht="15" customHeight="1" x14ac:dyDescent="0.25">
      <c r="B31" s="79"/>
      <c r="F31" s="29"/>
      <c r="G31" s="29"/>
      <c r="H31" s="29"/>
      <c r="I31" s="29"/>
      <c r="J31" s="29"/>
      <c r="K31" s="29"/>
      <c r="L31" s="29"/>
      <c r="M31" s="29"/>
      <c r="N31" s="29"/>
      <c r="O31" s="29"/>
      <c r="P31" s="29"/>
      <c r="Q31" s="29"/>
      <c r="R31" s="29"/>
      <c r="S31" s="29"/>
      <c r="T31" s="22"/>
      <c r="W31" s="56" t="s">
        <v>131</v>
      </c>
      <c r="X31" s="57">
        <v>5.6559999999999996E-3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302" t="s">
        <v>180</v>
      </c>
      <c r="C39" s="303"/>
      <c r="D39" s="303"/>
      <c r="E39" s="303"/>
      <c r="F39" s="303"/>
      <c r="G39" s="303"/>
      <c r="H39" s="303"/>
      <c r="I39" s="303"/>
      <c r="J39" s="303"/>
      <c r="K39" s="303"/>
      <c r="L39" s="303"/>
      <c r="M39" s="303"/>
      <c r="N39" s="303"/>
      <c r="O39" s="303"/>
      <c r="P39" s="303"/>
      <c r="Q39" s="303"/>
      <c r="R39" s="304"/>
    </row>
    <row r="40" spans="2:24" ht="15" customHeight="1" x14ac:dyDescent="0.25">
      <c r="B40" s="305"/>
      <c r="C40" s="306"/>
      <c r="D40" s="306"/>
      <c r="E40" s="306"/>
      <c r="F40" s="306"/>
      <c r="G40" s="306"/>
      <c r="H40" s="306"/>
      <c r="I40" s="306"/>
      <c r="J40" s="306"/>
      <c r="K40" s="306"/>
      <c r="L40" s="306"/>
      <c r="M40" s="306"/>
      <c r="N40" s="306"/>
      <c r="O40" s="306"/>
      <c r="P40" s="306"/>
      <c r="Q40" s="306"/>
      <c r="R40" s="307"/>
    </row>
    <row r="41" spans="2:24" ht="15" customHeight="1" x14ac:dyDescent="0.25">
      <c r="B41" s="305"/>
      <c r="C41" s="306"/>
      <c r="D41" s="306"/>
      <c r="E41" s="306"/>
      <c r="F41" s="306"/>
      <c r="G41" s="306"/>
      <c r="H41" s="306"/>
      <c r="I41" s="306"/>
      <c r="J41" s="306"/>
      <c r="K41" s="306"/>
      <c r="L41" s="306"/>
      <c r="M41" s="306"/>
      <c r="N41" s="306"/>
      <c r="O41" s="306"/>
      <c r="P41" s="306"/>
      <c r="Q41" s="306"/>
      <c r="R41" s="307"/>
    </row>
    <row r="42" spans="2:24" ht="15" customHeight="1" x14ac:dyDescent="0.25">
      <c r="B42" s="305"/>
      <c r="C42" s="306"/>
      <c r="D42" s="306"/>
      <c r="E42" s="306"/>
      <c r="F42" s="306"/>
      <c r="G42" s="306"/>
      <c r="H42" s="306"/>
      <c r="I42" s="306"/>
      <c r="J42" s="306"/>
      <c r="K42" s="306"/>
      <c r="L42" s="306"/>
      <c r="M42" s="306"/>
      <c r="N42" s="306"/>
      <c r="O42" s="306"/>
      <c r="P42" s="306"/>
      <c r="Q42" s="306"/>
      <c r="R42" s="307"/>
    </row>
    <row r="43" spans="2:24" ht="15" customHeight="1" x14ac:dyDescent="0.25">
      <c r="B43" s="305"/>
      <c r="C43" s="306"/>
      <c r="D43" s="306"/>
      <c r="E43" s="306"/>
      <c r="F43" s="306"/>
      <c r="G43" s="306"/>
      <c r="H43" s="306"/>
      <c r="I43" s="306"/>
      <c r="J43" s="306"/>
      <c r="K43" s="306"/>
      <c r="L43" s="306"/>
      <c r="M43" s="306"/>
      <c r="N43" s="306"/>
      <c r="O43" s="306"/>
      <c r="P43" s="306"/>
      <c r="Q43" s="306"/>
      <c r="R43" s="307"/>
    </row>
    <row r="44" spans="2:24" ht="15" customHeight="1" x14ac:dyDescent="0.25">
      <c r="B44" s="305"/>
      <c r="C44" s="306"/>
      <c r="D44" s="306"/>
      <c r="E44" s="306"/>
      <c r="F44" s="306"/>
      <c r="G44" s="306"/>
      <c r="H44" s="306"/>
      <c r="I44" s="306"/>
      <c r="J44" s="306"/>
      <c r="K44" s="306"/>
      <c r="L44" s="306"/>
      <c r="M44" s="306"/>
      <c r="N44" s="306"/>
      <c r="O44" s="306"/>
      <c r="P44" s="306"/>
      <c r="Q44" s="306"/>
      <c r="R44" s="307"/>
    </row>
    <row r="45" spans="2:24" ht="27.75" customHeight="1" thickBot="1" x14ac:dyDescent="0.3">
      <c r="B45" s="308"/>
      <c r="C45" s="309"/>
      <c r="D45" s="309"/>
      <c r="E45" s="309"/>
      <c r="F45" s="309"/>
      <c r="G45" s="309"/>
      <c r="H45" s="309"/>
      <c r="I45" s="309"/>
      <c r="J45" s="309"/>
      <c r="K45" s="309"/>
      <c r="L45" s="309"/>
      <c r="M45" s="309"/>
      <c r="N45" s="309"/>
      <c r="O45" s="309"/>
      <c r="P45" s="309"/>
      <c r="Q45" s="309"/>
      <c r="R45" s="3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1" t="s">
        <v>153</v>
      </c>
      <c r="D3" s="312"/>
      <c r="E3" s="312"/>
      <c r="F3" s="312"/>
      <c r="G3" s="312"/>
      <c r="H3" s="312"/>
      <c r="I3" s="312"/>
      <c r="J3" s="312"/>
      <c r="K3" s="312"/>
      <c r="L3" s="312"/>
      <c r="M3" s="312"/>
      <c r="N3" s="312"/>
      <c r="O3" s="312"/>
      <c r="P3" s="312"/>
      <c r="Q3" s="312"/>
      <c r="R3" s="312"/>
      <c r="S3" s="312"/>
      <c r="T3" s="65"/>
      <c r="U3" s="66"/>
    </row>
    <row r="4" spans="1:24" ht="15.75" customHeight="1" x14ac:dyDescent="0.25">
      <c r="B4" s="64"/>
      <c r="C4" s="67" t="s">
        <v>441</v>
      </c>
      <c r="D4" s="29"/>
      <c r="E4" s="29"/>
      <c r="F4" s="29"/>
      <c r="G4" s="29"/>
      <c r="H4" s="29"/>
      <c r="I4" s="29"/>
      <c r="J4" s="29"/>
      <c r="K4" s="29"/>
      <c r="L4" s="29"/>
      <c r="M4" s="29"/>
      <c r="N4" s="29"/>
      <c r="O4" s="29"/>
      <c r="P4" s="29"/>
      <c r="Q4" s="29"/>
      <c r="R4" s="29"/>
      <c r="S4" s="29"/>
      <c r="T4" s="29"/>
      <c r="U4" s="25"/>
    </row>
    <row r="5" spans="1:24" ht="18" customHeight="1" x14ac:dyDescent="0.25">
      <c r="B5" s="64"/>
      <c r="C5" s="211" t="s">
        <v>440</v>
      </c>
      <c r="D5" s="315" t="s">
        <v>407</v>
      </c>
      <c r="E5" s="31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5" t="s">
        <v>29</v>
      </c>
      <c r="D8" s="196" t="s">
        <v>3</v>
      </c>
      <c r="E8" s="186">
        <v>0.108296</v>
      </c>
      <c r="F8" s="29"/>
      <c r="G8" s="29"/>
      <c r="H8" s="29"/>
      <c r="I8" s="29"/>
      <c r="J8" s="29"/>
      <c r="K8" s="29"/>
      <c r="L8" s="29"/>
      <c r="M8" s="29"/>
      <c r="N8" s="29"/>
      <c r="O8" s="29"/>
      <c r="P8" s="29"/>
      <c r="Q8" s="29"/>
      <c r="R8" s="29"/>
      <c r="S8" s="29"/>
      <c r="T8" s="29"/>
      <c r="U8" s="25"/>
      <c r="W8" s="171" t="s">
        <v>3</v>
      </c>
      <c r="X8" s="172">
        <v>0.266407</v>
      </c>
    </row>
    <row r="9" spans="1:24" ht="15.75" customHeight="1" x14ac:dyDescent="0.25">
      <c r="B9" s="64"/>
      <c r="C9" s="197" t="s">
        <v>32</v>
      </c>
      <c r="D9" s="198" t="s">
        <v>3</v>
      </c>
      <c r="E9" s="188">
        <v>7.4107999999999993E-2</v>
      </c>
      <c r="F9" s="29"/>
      <c r="G9" s="29"/>
      <c r="H9" s="29"/>
      <c r="I9" s="29"/>
      <c r="J9" s="29"/>
      <c r="K9" s="29"/>
      <c r="L9" s="29"/>
      <c r="M9" s="29"/>
      <c r="N9" s="29"/>
      <c r="O9" s="29"/>
      <c r="P9" s="29"/>
      <c r="Q9" s="29"/>
      <c r="R9" s="29"/>
      <c r="S9" s="29"/>
      <c r="T9" s="29"/>
      <c r="U9" s="25"/>
      <c r="W9" s="171" t="s">
        <v>106</v>
      </c>
      <c r="X9" s="172">
        <v>0.101893</v>
      </c>
    </row>
    <row r="10" spans="1:24" ht="15.75" x14ac:dyDescent="0.25">
      <c r="B10" s="64"/>
      <c r="C10" s="197" t="s">
        <v>31</v>
      </c>
      <c r="D10" s="198" t="s">
        <v>6</v>
      </c>
      <c r="E10" s="188">
        <v>6.7271999999999998E-2</v>
      </c>
      <c r="F10" s="29"/>
      <c r="G10" s="29"/>
      <c r="H10" s="29"/>
      <c r="I10" s="29"/>
      <c r="J10" s="29"/>
      <c r="K10" s="29"/>
      <c r="L10" s="29"/>
      <c r="M10" s="29"/>
      <c r="N10" s="29"/>
      <c r="O10" s="29"/>
      <c r="P10" s="29"/>
      <c r="Q10" s="29"/>
      <c r="R10" s="29"/>
      <c r="S10" s="29"/>
      <c r="T10" s="29"/>
      <c r="U10" s="25"/>
      <c r="W10" s="171" t="s">
        <v>6</v>
      </c>
      <c r="X10" s="172">
        <v>7.5189999999999993E-2</v>
      </c>
    </row>
    <row r="11" spans="1:24" ht="15.75" customHeight="1" x14ac:dyDescent="0.25">
      <c r="B11" s="64"/>
      <c r="C11" s="197" t="s">
        <v>28</v>
      </c>
      <c r="D11" s="198" t="s">
        <v>106</v>
      </c>
      <c r="E11" s="188">
        <v>4.4027999999999998E-2</v>
      </c>
      <c r="F11" s="29"/>
      <c r="G11" s="29"/>
      <c r="H11" s="29"/>
      <c r="I11" s="29"/>
      <c r="J11" s="29"/>
      <c r="K11" s="29"/>
      <c r="L11" s="29"/>
      <c r="M11" s="29"/>
      <c r="N11" s="29"/>
      <c r="O11" s="29"/>
      <c r="P11" s="29"/>
      <c r="Q11" s="29"/>
      <c r="R11" s="29"/>
      <c r="S11" s="29"/>
      <c r="T11" s="29"/>
      <c r="U11" s="25"/>
      <c r="W11" s="171" t="s">
        <v>111</v>
      </c>
      <c r="X11" s="172">
        <v>6.3454999999999998E-2</v>
      </c>
    </row>
    <row r="12" spans="1:24" ht="15" customHeight="1" x14ac:dyDescent="0.25">
      <c r="B12" s="64"/>
      <c r="C12" s="197" t="s">
        <v>70</v>
      </c>
      <c r="D12" s="198" t="s">
        <v>12</v>
      </c>
      <c r="E12" s="188">
        <v>3.6211E-2</v>
      </c>
      <c r="F12" s="29"/>
      <c r="G12" s="29"/>
      <c r="H12" s="29"/>
      <c r="I12" s="29"/>
      <c r="J12" s="29"/>
      <c r="K12" s="29"/>
      <c r="L12" s="29"/>
      <c r="M12" s="29"/>
      <c r="N12" s="29"/>
      <c r="O12" s="29"/>
      <c r="P12" s="29"/>
      <c r="Q12" s="29"/>
      <c r="R12" s="29"/>
      <c r="S12" s="29"/>
      <c r="T12" s="29"/>
      <c r="U12" s="25"/>
      <c r="W12" s="171" t="s">
        <v>4</v>
      </c>
      <c r="X12" s="172">
        <v>6.0350999999999995E-2</v>
      </c>
    </row>
    <row r="13" spans="1:24" ht="15" customHeight="1" x14ac:dyDescent="0.25">
      <c r="B13" s="64"/>
      <c r="C13" s="197" t="s">
        <v>34</v>
      </c>
      <c r="D13" s="198" t="s">
        <v>23</v>
      </c>
      <c r="E13" s="188">
        <v>3.1923E-2</v>
      </c>
      <c r="F13" s="29"/>
      <c r="G13" s="29"/>
      <c r="H13" s="29"/>
      <c r="I13" s="29"/>
      <c r="J13" s="29"/>
      <c r="K13" s="29"/>
      <c r="L13" s="29"/>
      <c r="M13" s="29"/>
      <c r="N13" s="29"/>
      <c r="O13" s="29"/>
      <c r="P13" s="29"/>
      <c r="Q13" s="29"/>
      <c r="R13" s="29"/>
      <c r="S13" s="29"/>
      <c r="T13" s="29"/>
      <c r="U13" s="25"/>
      <c r="W13" s="171" t="s">
        <v>116</v>
      </c>
      <c r="X13" s="172">
        <v>4.5310000000000003E-2</v>
      </c>
    </row>
    <row r="14" spans="1:24" ht="15" customHeight="1" x14ac:dyDescent="0.25">
      <c r="B14" s="64"/>
      <c r="C14" s="197" t="s">
        <v>30</v>
      </c>
      <c r="D14" s="198" t="s">
        <v>116</v>
      </c>
      <c r="E14" s="188">
        <v>2.9700000000000001E-2</v>
      </c>
      <c r="F14" s="29"/>
      <c r="G14" s="29"/>
      <c r="H14" s="29"/>
      <c r="I14" s="29"/>
      <c r="J14" s="29"/>
      <c r="K14" s="29"/>
      <c r="L14" s="29"/>
      <c r="M14" s="29"/>
      <c r="N14" s="29"/>
      <c r="O14" s="29"/>
      <c r="P14" s="29"/>
      <c r="Q14" s="29"/>
      <c r="R14" s="29"/>
      <c r="S14" s="29"/>
      <c r="T14" s="29"/>
      <c r="U14" s="25"/>
      <c r="W14" s="171" t="s">
        <v>10</v>
      </c>
      <c r="X14" s="172">
        <v>3.8442000000000004E-2</v>
      </c>
    </row>
    <row r="15" spans="1:24" ht="15" customHeight="1" x14ac:dyDescent="0.25">
      <c r="B15" s="64"/>
      <c r="C15" s="197" t="s">
        <v>33</v>
      </c>
      <c r="D15" s="198" t="s">
        <v>106</v>
      </c>
      <c r="E15" s="188">
        <v>2.8677999999999999E-2</v>
      </c>
      <c r="F15" s="29"/>
      <c r="G15" s="29"/>
      <c r="H15" s="29"/>
      <c r="I15" s="29"/>
      <c r="J15" s="29"/>
      <c r="K15" s="29"/>
      <c r="L15" s="29"/>
      <c r="M15" s="29"/>
      <c r="N15" s="29"/>
      <c r="O15" s="29"/>
      <c r="P15" s="29"/>
      <c r="Q15" s="29"/>
      <c r="R15" s="29"/>
      <c r="S15" s="29"/>
      <c r="T15" s="29"/>
      <c r="U15" s="25"/>
      <c r="W15" s="171" t="s">
        <v>110</v>
      </c>
      <c r="X15" s="172">
        <v>3.6379000000000002E-2</v>
      </c>
    </row>
    <row r="16" spans="1:24" ht="15" customHeight="1" x14ac:dyDescent="0.25">
      <c r="B16" s="64"/>
      <c r="C16" s="197" t="s">
        <v>35</v>
      </c>
      <c r="D16" s="198" t="s">
        <v>3</v>
      </c>
      <c r="E16" s="188">
        <v>2.4858999999999999E-2</v>
      </c>
      <c r="F16" s="29"/>
      <c r="G16" s="29"/>
      <c r="H16" s="29"/>
      <c r="I16" s="29"/>
      <c r="J16" s="29"/>
      <c r="K16" s="29"/>
      <c r="L16" s="29"/>
      <c r="M16" s="29"/>
      <c r="N16" s="29"/>
      <c r="O16" s="29"/>
      <c r="P16" s="29"/>
      <c r="Q16" s="29"/>
      <c r="R16" s="29"/>
      <c r="S16" s="29"/>
      <c r="T16" s="29"/>
      <c r="U16" s="25"/>
      <c r="W16" s="171" t="s">
        <v>12</v>
      </c>
      <c r="X16" s="172">
        <v>3.6211E-2</v>
      </c>
    </row>
    <row r="17" spans="2:24" ht="15" customHeight="1" x14ac:dyDescent="0.25">
      <c r="B17" s="64"/>
      <c r="C17" s="197" t="s">
        <v>36</v>
      </c>
      <c r="D17" s="198" t="s">
        <v>3</v>
      </c>
      <c r="E17" s="188">
        <v>2.452E-2</v>
      </c>
      <c r="F17" s="29"/>
      <c r="G17" s="29"/>
      <c r="H17" s="29"/>
      <c r="I17" s="29"/>
      <c r="J17" s="29"/>
      <c r="K17" s="29"/>
      <c r="L17" s="29"/>
      <c r="M17" s="29"/>
      <c r="N17" s="29"/>
      <c r="O17" s="29"/>
      <c r="P17" s="29"/>
      <c r="Q17" s="29"/>
      <c r="R17" s="29"/>
      <c r="S17" s="29"/>
      <c r="T17" s="29"/>
      <c r="U17" s="25"/>
      <c r="W17" s="171" t="s">
        <v>23</v>
      </c>
      <c r="X17" s="172">
        <v>3.1923E-2</v>
      </c>
    </row>
    <row r="18" spans="2:24" ht="15" customHeight="1" x14ac:dyDescent="0.25">
      <c r="B18" s="64"/>
      <c r="C18" s="197" t="s">
        <v>78</v>
      </c>
      <c r="D18" s="198" t="s">
        <v>3</v>
      </c>
      <c r="E18" s="188">
        <v>2.308E-2</v>
      </c>
      <c r="F18" s="29"/>
      <c r="G18" s="29"/>
      <c r="H18" s="29"/>
      <c r="I18" s="29"/>
      <c r="J18" s="29"/>
      <c r="K18" s="29"/>
      <c r="L18" s="29"/>
      <c r="M18" s="29"/>
      <c r="N18" s="29"/>
      <c r="O18" s="29"/>
      <c r="P18" s="29"/>
      <c r="Q18" s="29"/>
      <c r="R18" s="29"/>
      <c r="S18" s="29"/>
      <c r="T18" s="29"/>
      <c r="U18" s="25"/>
      <c r="W18" s="171" t="s">
        <v>26</v>
      </c>
      <c r="X18" s="172">
        <v>2.9833999999999999E-2</v>
      </c>
    </row>
    <row r="19" spans="2:24" ht="15" customHeight="1" x14ac:dyDescent="0.25">
      <c r="B19" s="64"/>
      <c r="C19" s="197" t="s">
        <v>119</v>
      </c>
      <c r="D19" s="198" t="s">
        <v>111</v>
      </c>
      <c r="E19" s="188">
        <v>1.8395000000000002E-2</v>
      </c>
      <c r="F19" s="29"/>
      <c r="G19" s="29"/>
      <c r="H19" s="29"/>
      <c r="I19" s="29"/>
      <c r="J19" s="29"/>
      <c r="K19" s="29"/>
      <c r="L19" s="29"/>
      <c r="M19" s="29"/>
      <c r="N19" s="29"/>
      <c r="O19" s="29"/>
      <c r="P19" s="29"/>
      <c r="Q19" s="29"/>
      <c r="R19" s="29"/>
      <c r="S19" s="29"/>
      <c r="T19" s="29"/>
      <c r="U19" s="25"/>
      <c r="W19" s="171" t="s">
        <v>82</v>
      </c>
      <c r="X19" s="172">
        <v>2.4189000000000002E-2</v>
      </c>
    </row>
    <row r="20" spans="2:24" ht="15" customHeight="1" x14ac:dyDescent="0.25">
      <c r="B20" s="64"/>
      <c r="C20" s="197" t="s">
        <v>80</v>
      </c>
      <c r="D20" s="198" t="s">
        <v>4</v>
      </c>
      <c r="E20" s="188">
        <v>1.8214999999999999E-2</v>
      </c>
      <c r="F20" s="29"/>
      <c r="G20" s="29"/>
      <c r="H20" s="29"/>
      <c r="I20" s="29"/>
      <c r="J20" s="29"/>
      <c r="K20" s="29"/>
      <c r="L20" s="29"/>
      <c r="M20" s="29"/>
      <c r="N20" s="29"/>
      <c r="O20" s="29"/>
      <c r="P20" s="29"/>
      <c r="Q20" s="29"/>
      <c r="R20" s="29"/>
      <c r="S20" s="29"/>
      <c r="T20" s="29"/>
      <c r="U20" s="25"/>
      <c r="W20" s="171" t="s">
        <v>16</v>
      </c>
      <c r="X20" s="172">
        <v>2.1085E-2</v>
      </c>
    </row>
    <row r="21" spans="2:24" ht="15" customHeight="1" x14ac:dyDescent="0.25">
      <c r="B21" s="64"/>
      <c r="C21" s="197" t="s">
        <v>37</v>
      </c>
      <c r="D21" s="198" t="s">
        <v>116</v>
      </c>
      <c r="E21" s="188">
        <v>1.5610000000000001E-2</v>
      </c>
      <c r="F21" s="29"/>
      <c r="G21" s="29"/>
      <c r="H21" s="29"/>
      <c r="I21" s="29"/>
      <c r="J21" s="29"/>
      <c r="K21" s="29"/>
      <c r="L21" s="29"/>
      <c r="M21" s="29"/>
      <c r="N21" s="29"/>
      <c r="O21" s="29"/>
      <c r="P21" s="29"/>
      <c r="Q21" s="29"/>
      <c r="R21" s="29"/>
      <c r="S21" s="29"/>
      <c r="T21" s="29"/>
      <c r="U21" s="25"/>
      <c r="W21" s="171" t="s">
        <v>11</v>
      </c>
      <c r="X21" s="172">
        <v>2.0484000000000002E-2</v>
      </c>
    </row>
    <row r="22" spans="2:24" ht="15" customHeight="1" x14ac:dyDescent="0.25">
      <c r="B22" s="64"/>
      <c r="C22" s="197" t="s">
        <v>250</v>
      </c>
      <c r="D22" s="198" t="s">
        <v>110</v>
      </c>
      <c r="E22" s="188">
        <v>1.4563E-2</v>
      </c>
      <c r="F22" s="29"/>
      <c r="G22" s="29"/>
      <c r="H22" s="29"/>
      <c r="I22" s="29"/>
      <c r="J22" s="29"/>
      <c r="K22" s="29"/>
      <c r="L22" s="29"/>
      <c r="M22" s="29"/>
      <c r="N22" s="29"/>
      <c r="O22" s="29"/>
      <c r="P22" s="29"/>
      <c r="Q22" s="29"/>
      <c r="R22" s="29"/>
      <c r="S22" s="29"/>
      <c r="T22" s="29"/>
      <c r="U22" s="25"/>
      <c r="W22" s="171" t="s">
        <v>85</v>
      </c>
      <c r="X22" s="172">
        <v>1.7558999999999998E-2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1" t="s">
        <v>86</v>
      </c>
      <c r="X23" s="172">
        <v>1.4585000000000001E-2</v>
      </c>
    </row>
    <row r="24" spans="2:24" ht="15" customHeight="1" x14ac:dyDescent="0.25">
      <c r="B24" s="64"/>
      <c r="C24" s="73" t="s">
        <v>55</v>
      </c>
      <c r="D24" s="74"/>
      <c r="E24" s="75">
        <f>SUM(E8:E22)</f>
        <v>0.55945800000000001</v>
      </c>
      <c r="F24" s="29"/>
      <c r="G24" s="29"/>
      <c r="H24" s="29"/>
      <c r="I24" s="29"/>
      <c r="J24" s="29"/>
      <c r="K24" s="29"/>
      <c r="L24" s="29"/>
      <c r="M24" s="29"/>
      <c r="N24" s="29"/>
      <c r="O24" s="29"/>
      <c r="P24" s="29"/>
      <c r="Q24" s="29"/>
      <c r="R24" s="29"/>
      <c r="S24" s="29"/>
      <c r="T24" s="29"/>
      <c r="U24" s="25"/>
      <c r="W24" s="171" t="s">
        <v>107</v>
      </c>
      <c r="X24" s="172">
        <v>1.0818000000000001E-2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1" t="s">
        <v>118</v>
      </c>
      <c r="X25" s="172">
        <v>9.0810000000000005E-3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1" t="s">
        <v>105</v>
      </c>
      <c r="X26" s="172">
        <v>8.8589999999999988E-3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1" t="s">
        <v>123</v>
      </c>
      <c r="X27" s="172">
        <v>7.8139999999999998E-3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1" t="s">
        <v>15</v>
      </c>
      <c r="X28" s="172">
        <v>7.6940000000000003E-3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1" t="s">
        <v>13</v>
      </c>
      <c r="X29" s="172">
        <v>7.4520000000000003E-3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1" t="s">
        <v>130</v>
      </c>
      <c r="X30" s="172">
        <v>7.0429999999999998E-3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1" t="s">
        <v>129</v>
      </c>
      <c r="X31" s="172">
        <v>6.7980000000000002E-3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1" t="s">
        <v>120</v>
      </c>
      <c r="X32" s="172">
        <v>6.6489999999999995E-3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1" t="s">
        <v>132</v>
      </c>
      <c r="X33" s="172">
        <v>6.123E-3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1" t="s">
        <v>112</v>
      </c>
      <c r="X34" s="172">
        <v>6.0000000000000001E-3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1" t="s">
        <v>83</v>
      </c>
      <c r="X35" s="172">
        <v>5.385E-3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1" t="s">
        <v>76</v>
      </c>
      <c r="X36" s="172">
        <v>5.2050000000000004E-3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1" t="s">
        <v>114</v>
      </c>
      <c r="X37" s="172">
        <v>5.0800000000000003E-3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1" t="s">
        <v>109</v>
      </c>
      <c r="X38" s="172">
        <v>4.9290000000000002E-3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1" t="s">
        <v>131</v>
      </c>
      <c r="X39" s="172">
        <v>4.6969999999999998E-3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1" t="s">
        <v>25</v>
      </c>
      <c r="X40" s="172">
        <v>3.8449999999999999E-3</v>
      </c>
    </row>
    <row r="41" spans="2:24" ht="15" customHeight="1" thickBot="1" x14ac:dyDescent="0.3">
      <c r="W41" s="171" t="s">
        <v>115</v>
      </c>
      <c r="X41" s="172">
        <v>3.4139999999999999E-3</v>
      </c>
    </row>
    <row r="42" spans="2:24" ht="15" customHeight="1" x14ac:dyDescent="0.25">
      <c r="B42" s="302" t="s">
        <v>180</v>
      </c>
      <c r="C42" s="303"/>
      <c r="D42" s="303"/>
      <c r="E42" s="303"/>
      <c r="F42" s="303"/>
      <c r="G42" s="303"/>
      <c r="H42" s="303"/>
      <c r="I42" s="303"/>
      <c r="J42" s="303"/>
      <c r="K42" s="303"/>
      <c r="L42" s="303"/>
      <c r="M42" s="303"/>
      <c r="N42" s="303"/>
      <c r="O42" s="303"/>
      <c r="P42" s="303"/>
      <c r="Q42" s="303"/>
      <c r="R42" s="304"/>
      <c r="W42" s="171"/>
      <c r="X42" s="172"/>
    </row>
    <row r="43" spans="2:24" ht="15" customHeight="1" x14ac:dyDescent="0.25">
      <c r="B43" s="305"/>
      <c r="C43" s="306"/>
      <c r="D43" s="306"/>
      <c r="E43" s="306"/>
      <c r="F43" s="306"/>
      <c r="G43" s="306"/>
      <c r="H43" s="306"/>
      <c r="I43" s="306"/>
      <c r="J43" s="306"/>
      <c r="K43" s="306"/>
      <c r="L43" s="306"/>
      <c r="M43" s="306"/>
      <c r="N43" s="306"/>
      <c r="O43" s="306"/>
      <c r="P43" s="306"/>
      <c r="Q43" s="306"/>
      <c r="R43" s="307"/>
      <c r="W43" s="171"/>
      <c r="X43" s="172"/>
    </row>
    <row r="44" spans="2:24" ht="15" customHeight="1" x14ac:dyDescent="0.25">
      <c r="B44" s="305"/>
      <c r="C44" s="306"/>
      <c r="D44" s="306"/>
      <c r="E44" s="306"/>
      <c r="F44" s="306"/>
      <c r="G44" s="306"/>
      <c r="H44" s="306"/>
      <c r="I44" s="306"/>
      <c r="J44" s="306"/>
      <c r="K44" s="306"/>
      <c r="L44" s="306"/>
      <c r="M44" s="306"/>
      <c r="N44" s="306"/>
      <c r="O44" s="306"/>
      <c r="P44" s="306"/>
      <c r="Q44" s="306"/>
      <c r="R44" s="307"/>
      <c r="W44" s="171"/>
      <c r="X44" s="172"/>
    </row>
    <row r="45" spans="2:24" ht="15" customHeight="1" x14ac:dyDescent="0.25">
      <c r="B45" s="305"/>
      <c r="C45" s="306"/>
      <c r="D45" s="306"/>
      <c r="E45" s="306"/>
      <c r="F45" s="306"/>
      <c r="G45" s="306"/>
      <c r="H45" s="306"/>
      <c r="I45" s="306"/>
      <c r="J45" s="306"/>
      <c r="K45" s="306"/>
      <c r="L45" s="306"/>
      <c r="M45" s="306"/>
      <c r="N45" s="306"/>
      <c r="O45" s="306"/>
      <c r="P45" s="306"/>
      <c r="Q45" s="306"/>
      <c r="R45" s="307"/>
    </row>
    <row r="46" spans="2:24" ht="15" customHeight="1" x14ac:dyDescent="0.25">
      <c r="B46" s="305"/>
      <c r="C46" s="306"/>
      <c r="D46" s="306"/>
      <c r="E46" s="306"/>
      <c r="F46" s="306"/>
      <c r="G46" s="306"/>
      <c r="H46" s="306"/>
      <c r="I46" s="306"/>
      <c r="J46" s="306"/>
      <c r="K46" s="306"/>
      <c r="L46" s="306"/>
      <c r="M46" s="306"/>
      <c r="N46" s="306"/>
      <c r="O46" s="306"/>
      <c r="P46" s="306"/>
      <c r="Q46" s="306"/>
      <c r="R46" s="307"/>
    </row>
    <row r="47" spans="2:24" ht="15" customHeight="1" x14ac:dyDescent="0.25">
      <c r="B47" s="305"/>
      <c r="C47" s="306"/>
      <c r="D47" s="306"/>
      <c r="E47" s="306"/>
      <c r="F47" s="306"/>
      <c r="G47" s="306"/>
      <c r="H47" s="306"/>
      <c r="I47" s="306"/>
      <c r="J47" s="306"/>
      <c r="K47" s="306"/>
      <c r="L47" s="306"/>
      <c r="M47" s="306"/>
      <c r="N47" s="306"/>
      <c r="O47" s="306"/>
      <c r="P47" s="306"/>
      <c r="Q47" s="306"/>
      <c r="R47" s="307"/>
    </row>
    <row r="48" spans="2:24" ht="15" customHeight="1" thickBot="1" x14ac:dyDescent="0.3">
      <c r="B48" s="308"/>
      <c r="C48" s="309"/>
      <c r="D48" s="309"/>
      <c r="E48" s="309"/>
      <c r="F48" s="309"/>
      <c r="G48" s="309"/>
      <c r="H48" s="309"/>
      <c r="I48" s="309"/>
      <c r="J48" s="309"/>
      <c r="K48" s="309"/>
      <c r="L48" s="309"/>
      <c r="M48" s="309"/>
      <c r="N48" s="309"/>
      <c r="O48" s="309"/>
      <c r="P48" s="309"/>
      <c r="Q48" s="309"/>
      <c r="R48" s="31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152</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408</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70</v>
      </c>
      <c r="D8" s="185" t="s">
        <v>12</v>
      </c>
      <c r="E8" s="186">
        <v>6.2518000000000004E-2</v>
      </c>
      <c r="F8" s="29"/>
      <c r="G8" s="29"/>
      <c r="H8" s="29"/>
      <c r="I8" s="29"/>
      <c r="J8" s="29"/>
      <c r="K8" s="29"/>
      <c r="L8" s="29"/>
      <c r="M8" s="29"/>
      <c r="N8" s="29"/>
      <c r="O8" s="29"/>
      <c r="P8" s="29"/>
      <c r="Q8" s="29"/>
      <c r="R8" s="29"/>
      <c r="S8" s="29"/>
      <c r="T8" s="29"/>
      <c r="U8" s="25"/>
      <c r="W8" s="61" t="s">
        <v>106</v>
      </c>
      <c r="X8" s="62">
        <v>0.23809600000000003</v>
      </c>
    </row>
    <row r="9" spans="1:24" ht="30" x14ac:dyDescent="0.25">
      <c r="B9" s="64"/>
      <c r="C9" s="180" t="s">
        <v>250</v>
      </c>
      <c r="D9" s="187" t="s">
        <v>110</v>
      </c>
      <c r="E9" s="188">
        <v>5.4346999999999999E-2</v>
      </c>
      <c r="F9" s="29"/>
      <c r="G9" s="29"/>
      <c r="H9" s="29"/>
      <c r="I9" s="29"/>
      <c r="J9" s="29"/>
      <c r="K9" s="29"/>
      <c r="L9" s="29"/>
      <c r="M9" s="29"/>
      <c r="N9" s="29"/>
      <c r="O9" s="29"/>
      <c r="P9" s="29"/>
      <c r="Q9" s="29"/>
      <c r="R9" s="29"/>
      <c r="S9" s="29"/>
      <c r="T9" s="29"/>
      <c r="U9" s="25"/>
      <c r="W9" s="61" t="s">
        <v>110</v>
      </c>
      <c r="X9" s="62">
        <v>0.146504</v>
      </c>
    </row>
    <row r="10" spans="1:24" ht="15.75" x14ac:dyDescent="0.25">
      <c r="B10" s="64"/>
      <c r="C10" s="180" t="s">
        <v>119</v>
      </c>
      <c r="D10" s="187" t="s">
        <v>111</v>
      </c>
      <c r="E10" s="188">
        <v>5.1680999999999998E-2</v>
      </c>
      <c r="F10" s="29"/>
      <c r="G10" s="29"/>
      <c r="H10" s="29"/>
      <c r="I10" s="29"/>
      <c r="J10" s="29"/>
      <c r="K10" s="29"/>
      <c r="L10" s="29"/>
      <c r="M10" s="29"/>
      <c r="N10" s="29"/>
      <c r="O10" s="29"/>
      <c r="P10" s="29"/>
      <c r="Q10" s="29"/>
      <c r="R10" s="29"/>
      <c r="S10" s="29"/>
      <c r="T10" s="29"/>
      <c r="U10" s="25"/>
      <c r="W10" s="61" t="s">
        <v>26</v>
      </c>
      <c r="X10" s="62">
        <v>0.121377</v>
      </c>
    </row>
    <row r="11" spans="1:24" ht="30" x14ac:dyDescent="0.25">
      <c r="B11" s="64"/>
      <c r="C11" s="180" t="s">
        <v>292</v>
      </c>
      <c r="D11" s="187" t="s">
        <v>110</v>
      </c>
      <c r="E11" s="188">
        <v>5.0202999999999998E-2</v>
      </c>
      <c r="F11" s="29"/>
      <c r="G11" s="29"/>
      <c r="H11" s="29"/>
      <c r="I11" s="29"/>
      <c r="J11" s="29"/>
      <c r="K11" s="29"/>
      <c r="L11" s="29"/>
      <c r="M11" s="29"/>
      <c r="N11" s="29"/>
      <c r="O11" s="29"/>
      <c r="P11" s="29"/>
      <c r="Q11" s="29"/>
      <c r="R11" s="29"/>
      <c r="S11" s="29"/>
      <c r="T11" s="29"/>
      <c r="U11" s="25"/>
      <c r="W11" s="61" t="s">
        <v>16</v>
      </c>
      <c r="X11" s="62">
        <v>7.5867000000000004E-2</v>
      </c>
    </row>
    <row r="12" spans="1:24" ht="15.75" x14ac:dyDescent="0.25">
      <c r="B12" s="64"/>
      <c r="C12" s="180" t="s">
        <v>188</v>
      </c>
      <c r="D12" s="187" t="s">
        <v>106</v>
      </c>
      <c r="E12" s="188">
        <v>4.8333000000000001E-2</v>
      </c>
      <c r="F12" s="29"/>
      <c r="G12" s="29"/>
      <c r="H12" s="29"/>
      <c r="I12" s="29"/>
      <c r="J12" s="29"/>
      <c r="K12" s="29"/>
      <c r="L12" s="29"/>
      <c r="M12" s="29"/>
      <c r="N12" s="29"/>
      <c r="O12" s="29"/>
      <c r="P12" s="29"/>
      <c r="Q12" s="29"/>
      <c r="R12" s="29"/>
      <c r="S12" s="29"/>
      <c r="T12" s="29"/>
      <c r="U12" s="25"/>
      <c r="W12" s="61" t="s">
        <v>12</v>
      </c>
      <c r="X12" s="62">
        <v>6.2518000000000004E-2</v>
      </c>
    </row>
    <row r="13" spans="1:24" ht="15.75" x14ac:dyDescent="0.25">
      <c r="B13" s="64"/>
      <c r="C13" s="180" t="s">
        <v>187</v>
      </c>
      <c r="D13" s="187" t="s">
        <v>106</v>
      </c>
      <c r="E13" s="188">
        <v>4.7584000000000001E-2</v>
      </c>
      <c r="F13" s="29"/>
      <c r="G13" s="29"/>
      <c r="H13" s="29"/>
      <c r="I13" s="29"/>
      <c r="J13" s="29"/>
      <c r="K13" s="29"/>
      <c r="L13" s="29"/>
      <c r="M13" s="29"/>
      <c r="N13" s="29"/>
      <c r="O13" s="29"/>
      <c r="P13" s="29"/>
      <c r="Q13" s="29"/>
      <c r="R13" s="29"/>
      <c r="S13" s="29"/>
      <c r="T13" s="29"/>
      <c r="U13" s="25"/>
      <c r="W13" s="61" t="s">
        <v>111</v>
      </c>
      <c r="X13" s="62">
        <v>5.1680999999999998E-2</v>
      </c>
    </row>
    <row r="14" spans="1:24" ht="15.75" x14ac:dyDescent="0.25">
      <c r="B14" s="64"/>
      <c r="C14" s="180" t="s">
        <v>28</v>
      </c>
      <c r="D14" s="187" t="s">
        <v>106</v>
      </c>
      <c r="E14" s="188">
        <v>4.7503999999999998E-2</v>
      </c>
      <c r="F14" s="29"/>
      <c r="G14" s="29"/>
      <c r="H14" s="29"/>
      <c r="I14" s="29"/>
      <c r="J14" s="29"/>
      <c r="K14" s="29"/>
      <c r="L14" s="29"/>
      <c r="M14" s="29"/>
      <c r="N14" s="29"/>
      <c r="O14" s="29"/>
      <c r="P14" s="29"/>
      <c r="Q14" s="29"/>
      <c r="R14" s="29"/>
      <c r="S14" s="29"/>
      <c r="T14" s="29"/>
      <c r="U14" s="25"/>
      <c r="W14" s="61" t="s">
        <v>182</v>
      </c>
      <c r="X14" s="62">
        <v>4.4965000000000005E-2</v>
      </c>
    </row>
    <row r="15" spans="1:24" ht="15.75" x14ac:dyDescent="0.25">
      <c r="B15" s="64"/>
      <c r="C15" s="180" t="s">
        <v>128</v>
      </c>
      <c r="D15" s="187" t="s">
        <v>86</v>
      </c>
      <c r="E15" s="188">
        <v>4.4927000000000002E-2</v>
      </c>
      <c r="F15" s="29"/>
      <c r="G15" s="29"/>
      <c r="H15" s="29"/>
      <c r="I15" s="29"/>
      <c r="J15" s="29"/>
      <c r="K15" s="29"/>
      <c r="L15" s="29"/>
      <c r="M15" s="29"/>
      <c r="N15" s="29"/>
      <c r="O15" s="29"/>
      <c r="P15" s="29"/>
      <c r="Q15" s="29"/>
      <c r="R15" s="29"/>
      <c r="S15" s="29"/>
      <c r="T15" s="29"/>
      <c r="U15" s="25"/>
      <c r="W15" s="61" t="s">
        <v>86</v>
      </c>
      <c r="X15" s="62">
        <v>4.4927000000000002E-2</v>
      </c>
    </row>
    <row r="16" spans="1:24" ht="15.75" x14ac:dyDescent="0.25">
      <c r="B16" s="64"/>
      <c r="C16" s="180" t="s">
        <v>184</v>
      </c>
      <c r="D16" s="187" t="s">
        <v>106</v>
      </c>
      <c r="E16" s="188">
        <v>4.4495E-2</v>
      </c>
      <c r="F16" s="29"/>
      <c r="G16" s="29"/>
      <c r="H16" s="29"/>
      <c r="I16" s="29"/>
      <c r="J16" s="29"/>
      <c r="K16" s="29"/>
      <c r="L16" s="29"/>
      <c r="M16" s="29"/>
      <c r="N16" s="29"/>
      <c r="O16" s="29"/>
      <c r="P16" s="29"/>
      <c r="Q16" s="29"/>
      <c r="R16" s="29"/>
      <c r="S16" s="29"/>
      <c r="T16" s="29"/>
      <c r="U16" s="25"/>
      <c r="W16" s="61" t="s">
        <v>83</v>
      </c>
      <c r="X16" s="62">
        <v>4.3831000000000002E-2</v>
      </c>
    </row>
    <row r="17" spans="2:24" ht="15.75" x14ac:dyDescent="0.25">
      <c r="B17" s="64"/>
      <c r="C17" s="180" t="s">
        <v>93</v>
      </c>
      <c r="D17" s="187" t="s">
        <v>83</v>
      </c>
      <c r="E17" s="188">
        <v>4.3831000000000002E-2</v>
      </c>
      <c r="F17" s="29"/>
      <c r="G17" s="29"/>
      <c r="H17" s="29"/>
      <c r="I17" s="29"/>
      <c r="J17" s="29"/>
      <c r="K17" s="29"/>
      <c r="L17" s="29"/>
      <c r="M17" s="29"/>
      <c r="N17" s="29"/>
      <c r="O17" s="29"/>
      <c r="P17" s="29"/>
      <c r="Q17" s="29"/>
      <c r="R17" s="29"/>
      <c r="S17" s="29"/>
      <c r="T17" s="29"/>
      <c r="U17" s="25"/>
      <c r="W17" s="61" t="s">
        <v>84</v>
      </c>
      <c r="X17" s="62">
        <v>3.7407000000000003E-2</v>
      </c>
    </row>
    <row r="18" spans="2:24" ht="15.75" x14ac:dyDescent="0.25">
      <c r="B18" s="64"/>
      <c r="C18" s="180" t="s">
        <v>137</v>
      </c>
      <c r="D18" s="187" t="s">
        <v>26</v>
      </c>
      <c r="E18" s="188">
        <v>4.3487999999999999E-2</v>
      </c>
      <c r="F18" s="29"/>
      <c r="G18" s="29"/>
      <c r="H18" s="29"/>
      <c r="I18" s="29"/>
      <c r="J18" s="29"/>
      <c r="K18" s="29"/>
      <c r="L18" s="29"/>
      <c r="M18" s="29"/>
      <c r="N18" s="29"/>
      <c r="O18" s="29"/>
      <c r="P18" s="29"/>
      <c r="Q18" s="29"/>
      <c r="R18" s="29"/>
      <c r="S18" s="29"/>
      <c r="T18" s="29"/>
      <c r="U18" s="25"/>
      <c r="W18" s="61" t="s">
        <v>132</v>
      </c>
      <c r="X18" s="62">
        <v>3.0303E-2</v>
      </c>
    </row>
    <row r="19" spans="2:24" ht="15.75" x14ac:dyDescent="0.25">
      <c r="B19" s="64"/>
      <c r="C19" s="180" t="s">
        <v>217</v>
      </c>
      <c r="D19" s="187" t="s">
        <v>26</v>
      </c>
      <c r="E19" s="188">
        <v>4.2590000000000003E-2</v>
      </c>
      <c r="F19" s="29"/>
      <c r="G19" s="29"/>
      <c r="H19" s="29"/>
      <c r="I19" s="29"/>
      <c r="J19" s="29"/>
      <c r="K19" s="29"/>
      <c r="L19" s="29"/>
      <c r="M19" s="29"/>
      <c r="N19" s="29"/>
      <c r="O19" s="29"/>
      <c r="P19" s="29"/>
      <c r="Q19" s="29"/>
      <c r="R19" s="29"/>
      <c r="S19" s="29"/>
      <c r="T19" s="29"/>
      <c r="U19" s="25"/>
      <c r="W19" s="61" t="s">
        <v>109</v>
      </c>
      <c r="X19" s="62">
        <v>2.6168E-2</v>
      </c>
    </row>
    <row r="20" spans="2:24" ht="15.75" x14ac:dyDescent="0.25">
      <c r="B20" s="64"/>
      <c r="C20" s="180" t="s">
        <v>232</v>
      </c>
      <c r="D20" s="187" t="s">
        <v>16</v>
      </c>
      <c r="E20" s="188">
        <v>4.2145000000000002E-2</v>
      </c>
      <c r="F20" s="29"/>
      <c r="G20" s="29"/>
      <c r="H20" s="29"/>
      <c r="I20" s="29"/>
      <c r="J20" s="29"/>
      <c r="K20" s="29"/>
      <c r="L20" s="29"/>
      <c r="M20" s="29"/>
      <c r="N20" s="29"/>
      <c r="O20" s="29"/>
      <c r="P20" s="29"/>
      <c r="Q20" s="29"/>
      <c r="R20" s="29"/>
      <c r="S20" s="29"/>
      <c r="T20" s="29"/>
      <c r="U20" s="25"/>
      <c r="W20" s="61" t="s">
        <v>118</v>
      </c>
      <c r="X20" s="62">
        <v>2.2498000000000001E-2</v>
      </c>
    </row>
    <row r="21" spans="2:24" ht="15.75" x14ac:dyDescent="0.25">
      <c r="B21" s="64"/>
      <c r="C21" s="180" t="s">
        <v>239</v>
      </c>
      <c r="D21" s="187" t="s">
        <v>84</v>
      </c>
      <c r="E21" s="188">
        <v>3.7407000000000003E-2</v>
      </c>
      <c r="F21" s="29"/>
      <c r="G21" s="29"/>
      <c r="H21" s="29"/>
      <c r="I21" s="29"/>
      <c r="J21" s="29"/>
      <c r="K21" s="29"/>
      <c r="L21" s="29"/>
      <c r="M21" s="29"/>
      <c r="N21" s="29"/>
      <c r="O21" s="29"/>
      <c r="P21" s="29"/>
      <c r="Q21" s="29"/>
      <c r="R21" s="29"/>
      <c r="S21" s="29"/>
      <c r="T21" s="29"/>
      <c r="U21" s="25"/>
      <c r="W21" s="61" t="s">
        <v>105</v>
      </c>
      <c r="X21" s="62">
        <v>2.2265E-2</v>
      </c>
    </row>
    <row r="22" spans="2:24" ht="15.75" x14ac:dyDescent="0.25">
      <c r="B22" s="64"/>
      <c r="C22" s="180" t="s">
        <v>189</v>
      </c>
      <c r="D22" s="187" t="s">
        <v>106</v>
      </c>
      <c r="E22" s="188">
        <v>3.5862999999999999E-2</v>
      </c>
      <c r="F22" s="29"/>
      <c r="G22" s="29"/>
      <c r="H22" s="29"/>
      <c r="I22" s="29"/>
      <c r="J22" s="29"/>
      <c r="K22" s="29"/>
      <c r="L22" s="29"/>
      <c r="M22" s="29"/>
      <c r="N22" s="29"/>
      <c r="O22" s="29"/>
      <c r="P22" s="29"/>
      <c r="Q22" s="29"/>
      <c r="R22" s="29"/>
      <c r="S22" s="29"/>
      <c r="T22" s="29"/>
      <c r="U22" s="25"/>
      <c r="W22" s="61" t="s">
        <v>3</v>
      </c>
      <c r="X22" s="62">
        <v>2.1819999999999999E-2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13</v>
      </c>
      <c r="X23" s="62">
        <v>9.7509999999999993E-3</v>
      </c>
    </row>
    <row r="24" spans="2:24" ht="15.75" x14ac:dyDescent="0.25">
      <c r="B24" s="64"/>
      <c r="C24" s="73" t="s">
        <v>55</v>
      </c>
      <c r="D24" s="74"/>
      <c r="E24" s="75">
        <f>SUM(E8:E22)</f>
        <v>0.69691599999999998</v>
      </c>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row>
    <row r="44" spans="2:24" x14ac:dyDescent="0.25">
      <c r="B44" s="305"/>
      <c r="C44" s="306"/>
      <c r="D44" s="306"/>
      <c r="E44" s="306"/>
      <c r="F44" s="306"/>
      <c r="G44" s="306"/>
      <c r="H44" s="306"/>
      <c r="I44" s="306"/>
      <c r="J44" s="306"/>
      <c r="K44" s="306"/>
      <c r="L44" s="306"/>
      <c r="M44" s="306"/>
      <c r="N44" s="306"/>
      <c r="O44" s="306"/>
      <c r="P44" s="306"/>
      <c r="Q44" s="306"/>
      <c r="R44" s="307"/>
    </row>
    <row r="45" spans="2:24" ht="15.75" thickBot="1" x14ac:dyDescent="0.3">
      <c r="B45" s="308"/>
      <c r="C45" s="309"/>
      <c r="D45" s="309"/>
      <c r="E45" s="309"/>
      <c r="F45" s="309"/>
      <c r="G45" s="309"/>
      <c r="H45" s="309"/>
      <c r="I45" s="309"/>
      <c r="J45" s="309"/>
      <c r="K45" s="309"/>
      <c r="L45" s="309"/>
      <c r="M45" s="309"/>
      <c r="N45" s="309"/>
      <c r="O45" s="309"/>
      <c r="P45" s="309"/>
      <c r="Q45" s="309"/>
      <c r="R45" s="310"/>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151</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409</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30</v>
      </c>
      <c r="D8" s="185" t="s">
        <v>116</v>
      </c>
      <c r="E8" s="186">
        <v>4.0128999999999998E-2</v>
      </c>
      <c r="F8" s="29"/>
      <c r="G8" s="29"/>
      <c r="H8" s="29"/>
      <c r="I8" s="29"/>
      <c r="J8" s="29"/>
      <c r="K8" s="29"/>
      <c r="L8" s="29"/>
      <c r="M8" s="29"/>
      <c r="N8" s="29"/>
      <c r="O8" s="29"/>
      <c r="P8" s="29"/>
      <c r="Q8" s="29"/>
      <c r="R8" s="29"/>
      <c r="S8" s="29"/>
      <c r="T8" s="29"/>
      <c r="U8" s="25"/>
      <c r="W8" s="173" t="s">
        <v>110</v>
      </c>
      <c r="X8" s="172">
        <v>0.13564599999999999</v>
      </c>
    </row>
    <row r="9" spans="1:24" ht="15.75" x14ac:dyDescent="0.25">
      <c r="B9" s="64"/>
      <c r="C9" s="180" t="s">
        <v>281</v>
      </c>
      <c r="D9" s="187" t="s">
        <v>107</v>
      </c>
      <c r="E9" s="188">
        <v>3.9541E-2</v>
      </c>
      <c r="F9" s="29"/>
      <c r="G9" s="29"/>
      <c r="H9" s="29"/>
      <c r="I9" s="29"/>
      <c r="J9" s="29"/>
      <c r="K9" s="29"/>
      <c r="L9" s="29"/>
      <c r="M9" s="29"/>
      <c r="N9" s="29"/>
      <c r="O9" s="29"/>
      <c r="P9" s="29"/>
      <c r="Q9" s="29"/>
      <c r="R9" s="29"/>
      <c r="S9" s="29"/>
      <c r="T9" s="29"/>
      <c r="U9" s="25"/>
      <c r="W9" s="173" t="s">
        <v>106</v>
      </c>
      <c r="X9" s="172">
        <v>0.12587200000000001</v>
      </c>
    </row>
    <row r="10" spans="1:24" ht="30" x14ac:dyDescent="0.25">
      <c r="B10" s="64"/>
      <c r="C10" s="180" t="s">
        <v>250</v>
      </c>
      <c r="D10" s="187" t="s">
        <v>110</v>
      </c>
      <c r="E10" s="188">
        <v>3.8653E-2</v>
      </c>
      <c r="F10" s="29"/>
      <c r="G10" s="29"/>
      <c r="H10" s="29"/>
      <c r="I10" s="29"/>
      <c r="J10" s="29"/>
      <c r="K10" s="29"/>
      <c r="L10" s="29"/>
      <c r="M10" s="29"/>
      <c r="N10" s="29"/>
      <c r="O10" s="29"/>
      <c r="P10" s="29"/>
      <c r="Q10" s="29"/>
      <c r="R10" s="29"/>
      <c r="S10" s="29"/>
      <c r="T10" s="29"/>
      <c r="U10" s="25"/>
      <c r="W10" s="173" t="s">
        <v>3</v>
      </c>
      <c r="X10" s="172">
        <v>0.107268</v>
      </c>
    </row>
    <row r="11" spans="1:24" ht="15.75" x14ac:dyDescent="0.25">
      <c r="B11" s="64"/>
      <c r="C11" s="180" t="s">
        <v>32</v>
      </c>
      <c r="D11" s="187" t="s">
        <v>3</v>
      </c>
      <c r="E11" s="188">
        <v>3.8573999999999997E-2</v>
      </c>
      <c r="F11" s="29"/>
      <c r="G11" s="29"/>
      <c r="H11" s="29"/>
      <c r="I11" s="29"/>
      <c r="J11" s="29"/>
      <c r="K11" s="29"/>
      <c r="L11" s="29"/>
      <c r="M11" s="29"/>
      <c r="N11" s="29"/>
      <c r="O11" s="29"/>
      <c r="P11" s="29"/>
      <c r="Q11" s="29"/>
      <c r="R11" s="29"/>
      <c r="S11" s="29"/>
      <c r="T11" s="29"/>
      <c r="U11" s="25"/>
      <c r="W11" s="173" t="s">
        <v>111</v>
      </c>
      <c r="X11" s="172">
        <v>9.1490999999999989E-2</v>
      </c>
    </row>
    <row r="12" spans="1:24" ht="15.75" x14ac:dyDescent="0.25">
      <c r="B12" s="64"/>
      <c r="C12" s="180" t="s">
        <v>29</v>
      </c>
      <c r="D12" s="187" t="s">
        <v>3</v>
      </c>
      <c r="E12" s="188">
        <v>3.8157000000000003E-2</v>
      </c>
      <c r="F12" s="29"/>
      <c r="G12" s="29"/>
      <c r="H12" s="29"/>
      <c r="I12" s="29"/>
      <c r="J12" s="29"/>
      <c r="K12" s="29"/>
      <c r="L12" s="29"/>
      <c r="M12" s="29"/>
      <c r="N12" s="29"/>
      <c r="O12" s="29"/>
      <c r="P12" s="29"/>
      <c r="Q12" s="29"/>
      <c r="R12" s="29"/>
      <c r="S12" s="29"/>
      <c r="T12" s="29"/>
      <c r="U12" s="25"/>
      <c r="W12" s="173" t="s">
        <v>116</v>
      </c>
      <c r="X12" s="172">
        <v>7.7752999999999989E-2</v>
      </c>
    </row>
    <row r="13" spans="1:24" ht="15.75" x14ac:dyDescent="0.25">
      <c r="B13" s="64"/>
      <c r="C13" s="180" t="s">
        <v>37</v>
      </c>
      <c r="D13" s="187" t="s">
        <v>116</v>
      </c>
      <c r="E13" s="188">
        <v>3.7623999999999998E-2</v>
      </c>
      <c r="F13" s="29"/>
      <c r="G13" s="29"/>
      <c r="H13" s="29"/>
      <c r="I13" s="29"/>
      <c r="J13" s="29"/>
      <c r="K13" s="29"/>
      <c r="L13" s="29"/>
      <c r="M13" s="29"/>
      <c r="N13" s="29"/>
      <c r="O13" s="29"/>
      <c r="P13" s="29"/>
      <c r="Q13" s="29"/>
      <c r="R13" s="29"/>
      <c r="S13" s="29"/>
      <c r="T13" s="29"/>
      <c r="U13" s="25"/>
      <c r="W13" s="173" t="s">
        <v>107</v>
      </c>
      <c r="X13" s="172">
        <v>7.6711000000000001E-2</v>
      </c>
    </row>
    <row r="14" spans="1:24" ht="15.75" x14ac:dyDescent="0.25">
      <c r="B14" s="64"/>
      <c r="C14" s="180" t="s">
        <v>87</v>
      </c>
      <c r="D14" s="187" t="s">
        <v>107</v>
      </c>
      <c r="E14" s="188">
        <v>3.7170000000000002E-2</v>
      </c>
      <c r="F14" s="29"/>
      <c r="G14" s="29"/>
      <c r="H14" s="29"/>
      <c r="I14" s="29"/>
      <c r="J14" s="29"/>
      <c r="K14" s="29"/>
      <c r="L14" s="29"/>
      <c r="M14" s="29"/>
      <c r="N14" s="29"/>
      <c r="O14" s="29"/>
      <c r="P14" s="29"/>
      <c r="Q14" s="29"/>
      <c r="R14" s="29"/>
      <c r="S14" s="29"/>
      <c r="T14" s="29"/>
      <c r="U14" s="25"/>
      <c r="W14" s="173" t="s">
        <v>16</v>
      </c>
      <c r="X14" s="172">
        <v>6.8367999999999998E-2</v>
      </c>
    </row>
    <row r="15" spans="1:24" ht="15.75" x14ac:dyDescent="0.25">
      <c r="B15" s="64"/>
      <c r="C15" s="180" t="s">
        <v>236</v>
      </c>
      <c r="D15" s="187" t="s">
        <v>16</v>
      </c>
      <c r="E15" s="188">
        <v>3.6399000000000001E-2</v>
      </c>
      <c r="F15" s="29"/>
      <c r="G15" s="29"/>
      <c r="H15" s="29"/>
      <c r="I15" s="29"/>
      <c r="J15" s="29"/>
      <c r="K15" s="29"/>
      <c r="L15" s="29"/>
      <c r="M15" s="29"/>
      <c r="N15" s="29"/>
      <c r="O15" s="29"/>
      <c r="P15" s="29"/>
      <c r="Q15" s="29"/>
      <c r="R15" s="29"/>
      <c r="S15" s="29"/>
      <c r="T15" s="29"/>
      <c r="U15" s="25"/>
      <c r="W15" s="173" t="s">
        <v>6</v>
      </c>
      <c r="X15" s="172">
        <v>3.5215999999999997E-2</v>
      </c>
    </row>
    <row r="16" spans="1:24" ht="30" x14ac:dyDescent="0.25">
      <c r="B16" s="64"/>
      <c r="C16" s="180" t="s">
        <v>141</v>
      </c>
      <c r="D16" s="187" t="s">
        <v>110</v>
      </c>
      <c r="E16" s="188">
        <v>3.6392000000000001E-2</v>
      </c>
      <c r="F16" s="29"/>
      <c r="G16" s="29"/>
      <c r="H16" s="29"/>
      <c r="I16" s="29"/>
      <c r="J16" s="29"/>
      <c r="K16" s="29"/>
      <c r="L16" s="29"/>
      <c r="M16" s="29"/>
      <c r="N16" s="29"/>
      <c r="O16" s="29"/>
      <c r="P16" s="29"/>
      <c r="Q16" s="29"/>
      <c r="R16" s="29"/>
      <c r="S16" s="29"/>
      <c r="T16" s="29"/>
      <c r="U16" s="25"/>
      <c r="W16" s="173" t="s">
        <v>76</v>
      </c>
      <c r="X16" s="172">
        <v>3.4258999999999998E-2</v>
      </c>
    </row>
    <row r="17" spans="2:24" ht="15.75" x14ac:dyDescent="0.25">
      <c r="B17" s="64"/>
      <c r="C17" s="180" t="s">
        <v>33</v>
      </c>
      <c r="D17" s="187" t="s">
        <v>106</v>
      </c>
      <c r="E17" s="188">
        <v>3.5666000000000003E-2</v>
      </c>
      <c r="F17" s="29"/>
      <c r="G17" s="29"/>
      <c r="H17" s="29"/>
      <c r="I17" s="29"/>
      <c r="J17" s="29"/>
      <c r="K17" s="29"/>
      <c r="L17" s="29"/>
      <c r="M17" s="29"/>
      <c r="N17" s="29"/>
      <c r="O17" s="29"/>
      <c r="P17" s="29"/>
      <c r="Q17" s="29"/>
      <c r="R17" s="29"/>
      <c r="S17" s="29"/>
      <c r="T17" s="29"/>
      <c r="U17" s="25"/>
      <c r="W17" s="173" t="s">
        <v>12</v>
      </c>
      <c r="X17" s="172">
        <v>3.2976999999999999E-2</v>
      </c>
    </row>
    <row r="18" spans="2:24" ht="15.75" x14ac:dyDescent="0.25">
      <c r="B18" s="64"/>
      <c r="C18" s="180" t="s">
        <v>31</v>
      </c>
      <c r="D18" s="187" t="s">
        <v>6</v>
      </c>
      <c r="E18" s="188">
        <v>3.5215999999999997E-2</v>
      </c>
      <c r="F18" s="29"/>
      <c r="G18" s="29"/>
      <c r="H18" s="29"/>
      <c r="I18" s="29"/>
      <c r="J18" s="29"/>
      <c r="K18" s="29"/>
      <c r="L18" s="29"/>
      <c r="M18" s="29"/>
      <c r="N18" s="29"/>
      <c r="O18" s="29"/>
      <c r="P18" s="29"/>
      <c r="Q18" s="29"/>
      <c r="R18" s="29"/>
      <c r="S18" s="29"/>
      <c r="T18" s="29"/>
      <c r="U18" s="25"/>
      <c r="W18" s="173" t="s">
        <v>4</v>
      </c>
      <c r="X18" s="172">
        <v>3.2492E-2</v>
      </c>
    </row>
    <row r="19" spans="2:24" ht="15.75" x14ac:dyDescent="0.25">
      <c r="B19" s="64"/>
      <c r="C19" s="180" t="s">
        <v>286</v>
      </c>
      <c r="D19" s="187" t="s">
        <v>76</v>
      </c>
      <c r="E19" s="188">
        <v>3.4258999999999998E-2</v>
      </c>
      <c r="F19" s="29"/>
      <c r="G19" s="29"/>
      <c r="H19" s="29"/>
      <c r="I19" s="29"/>
      <c r="J19" s="29"/>
      <c r="K19" s="29"/>
      <c r="L19" s="29"/>
      <c r="M19" s="29"/>
      <c r="N19" s="29"/>
      <c r="O19" s="29"/>
      <c r="P19" s="29"/>
      <c r="Q19" s="29"/>
      <c r="R19" s="29"/>
      <c r="S19" s="29"/>
      <c r="T19" s="29"/>
      <c r="U19" s="25"/>
      <c r="W19" s="173" t="s">
        <v>85</v>
      </c>
      <c r="X19" s="172">
        <v>3.2162999999999997E-2</v>
      </c>
    </row>
    <row r="20" spans="2:24" ht="15.75" x14ac:dyDescent="0.25">
      <c r="B20" s="64"/>
      <c r="C20" s="180" t="s">
        <v>70</v>
      </c>
      <c r="D20" s="187" t="s">
        <v>12</v>
      </c>
      <c r="E20" s="188">
        <v>3.2976999999999999E-2</v>
      </c>
      <c r="F20" s="29"/>
      <c r="G20" s="29"/>
      <c r="H20" s="29"/>
      <c r="I20" s="29"/>
      <c r="J20" s="29"/>
      <c r="K20" s="29"/>
      <c r="L20" s="29"/>
      <c r="M20" s="29"/>
      <c r="N20" s="29"/>
      <c r="O20" s="29"/>
      <c r="P20" s="29"/>
      <c r="Q20" s="29"/>
      <c r="R20" s="29"/>
      <c r="S20" s="29"/>
      <c r="T20" s="29"/>
      <c r="U20" s="25"/>
      <c r="W20" s="173" t="s">
        <v>82</v>
      </c>
      <c r="X20" s="172">
        <v>3.1357999999999997E-2</v>
      </c>
    </row>
    <row r="21" spans="2:24" ht="15.75" x14ac:dyDescent="0.25">
      <c r="B21" s="64"/>
      <c r="C21" s="180" t="s">
        <v>247</v>
      </c>
      <c r="D21" s="187" t="s">
        <v>4</v>
      </c>
      <c r="E21" s="188">
        <v>3.2492E-2</v>
      </c>
      <c r="F21" s="29"/>
      <c r="G21" s="29"/>
      <c r="H21" s="29"/>
      <c r="I21" s="29"/>
      <c r="J21" s="29"/>
      <c r="K21" s="29"/>
      <c r="L21" s="29"/>
      <c r="M21" s="29"/>
      <c r="N21" s="29"/>
      <c r="O21" s="29"/>
      <c r="P21" s="29"/>
      <c r="Q21" s="29"/>
      <c r="R21" s="29"/>
      <c r="S21" s="29"/>
      <c r="T21" s="29"/>
      <c r="U21" s="25"/>
      <c r="W21" s="173" t="s">
        <v>109</v>
      </c>
      <c r="X21" s="172">
        <v>3.1127999999999999E-2</v>
      </c>
    </row>
    <row r="22" spans="2:24" ht="15.75" x14ac:dyDescent="0.25">
      <c r="B22" s="64"/>
      <c r="C22" s="180" t="s">
        <v>95</v>
      </c>
      <c r="D22" s="187" t="s">
        <v>111</v>
      </c>
      <c r="E22" s="188">
        <v>3.2328999999999997E-2</v>
      </c>
      <c r="F22" s="29"/>
      <c r="G22" s="29"/>
      <c r="H22" s="29"/>
      <c r="I22" s="29"/>
      <c r="J22" s="29"/>
      <c r="K22" s="29"/>
      <c r="L22" s="29"/>
      <c r="M22" s="29"/>
      <c r="N22" s="29"/>
      <c r="O22" s="29"/>
      <c r="P22" s="29"/>
      <c r="Q22" s="29"/>
      <c r="R22" s="29"/>
      <c r="S22" s="29"/>
      <c r="T22" s="29"/>
      <c r="U22" s="25"/>
      <c r="W22" s="61" t="s">
        <v>115</v>
      </c>
      <c r="X22" s="62">
        <v>3.0408999999999999E-2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120</v>
      </c>
      <c r="X23" s="62">
        <v>2.9966E-2</v>
      </c>
    </row>
    <row r="24" spans="2:24" ht="15.75" x14ac:dyDescent="0.25">
      <c r="B24" s="64"/>
      <c r="C24" s="73" t="s">
        <v>55</v>
      </c>
      <c r="D24" s="74"/>
      <c r="E24" s="75">
        <f>SUM(E8:E22)</f>
        <v>0.5455779999999999</v>
      </c>
      <c r="F24" s="29"/>
      <c r="G24" s="29"/>
      <c r="H24" s="29"/>
      <c r="I24" s="29"/>
      <c r="J24" s="29"/>
      <c r="K24" s="29"/>
      <c r="L24" s="29"/>
      <c r="M24" s="29"/>
      <c r="N24" s="29"/>
      <c r="O24" s="29"/>
      <c r="P24" s="29"/>
      <c r="Q24" s="29"/>
      <c r="R24" s="29"/>
      <c r="S24" s="29"/>
      <c r="T24" s="29"/>
      <c r="U24" s="25"/>
      <c r="W24" s="61" t="s">
        <v>23</v>
      </c>
      <c r="X24" s="62">
        <v>2.6948E-2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row>
    <row r="44" spans="2:24" x14ac:dyDescent="0.25">
      <c r="B44" s="305"/>
      <c r="C44" s="306"/>
      <c r="D44" s="306"/>
      <c r="E44" s="306"/>
      <c r="F44" s="306"/>
      <c r="G44" s="306"/>
      <c r="H44" s="306"/>
      <c r="I44" s="306"/>
      <c r="J44" s="306"/>
      <c r="K44" s="306"/>
      <c r="L44" s="306"/>
      <c r="M44" s="306"/>
      <c r="N44" s="306"/>
      <c r="O44" s="306"/>
      <c r="P44" s="306"/>
      <c r="Q44" s="306"/>
      <c r="R44" s="307"/>
    </row>
    <row r="45" spans="2:24" ht="15.75" thickBot="1" x14ac:dyDescent="0.3">
      <c r="B45" s="308"/>
      <c r="C45" s="309"/>
      <c r="D45" s="309"/>
      <c r="E45" s="309"/>
      <c r="F45" s="309"/>
      <c r="G45" s="309"/>
      <c r="H45" s="309"/>
      <c r="I45" s="309"/>
      <c r="J45" s="309"/>
      <c r="K45" s="309"/>
      <c r="L45" s="309"/>
      <c r="M45" s="309"/>
      <c r="N45" s="309"/>
      <c r="O45" s="309"/>
      <c r="P45" s="309"/>
      <c r="Q45" s="309"/>
      <c r="R45" s="310"/>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190</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410</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28</v>
      </c>
      <c r="D8" s="185" t="s">
        <v>106</v>
      </c>
      <c r="E8" s="186">
        <v>0.27717000000000003</v>
      </c>
      <c r="F8" s="29"/>
      <c r="G8" s="29"/>
      <c r="H8" s="29"/>
      <c r="I8" s="29"/>
      <c r="J8" s="29"/>
      <c r="K8" s="29"/>
      <c r="L8" s="29"/>
      <c r="M8" s="29"/>
      <c r="N8" s="29"/>
      <c r="O8" s="29"/>
      <c r="P8" s="29"/>
      <c r="Q8" s="29"/>
      <c r="R8" s="29"/>
      <c r="S8" s="29"/>
      <c r="T8" s="29"/>
      <c r="U8" s="25"/>
      <c r="W8" t="s">
        <v>106</v>
      </c>
      <c r="X8" s="172">
        <v>1.001317</v>
      </c>
    </row>
    <row r="9" spans="1:24" ht="15.75" x14ac:dyDescent="0.25">
      <c r="B9" s="64"/>
      <c r="C9" s="180" t="s">
        <v>33</v>
      </c>
      <c r="D9" s="187" t="s">
        <v>106</v>
      </c>
      <c r="E9" s="188">
        <v>0.23418700000000001</v>
      </c>
      <c r="F9" s="29"/>
      <c r="G9" s="29"/>
      <c r="H9" s="29"/>
      <c r="I9" s="29"/>
      <c r="J9" s="29"/>
      <c r="K9" s="29"/>
      <c r="L9" s="29"/>
      <c r="M9" s="29"/>
      <c r="N9" s="29"/>
      <c r="O9" s="29"/>
      <c r="P9" s="29"/>
      <c r="Q9" s="29"/>
      <c r="R9" s="29"/>
      <c r="S9" s="29"/>
      <c r="T9" s="29"/>
      <c r="U9" s="25"/>
      <c r="W9"/>
      <c r="X9" s="172"/>
    </row>
    <row r="10" spans="1:24" ht="15.75" x14ac:dyDescent="0.25">
      <c r="B10" s="64"/>
      <c r="C10" s="180" t="s">
        <v>188</v>
      </c>
      <c r="D10" s="187" t="s">
        <v>106</v>
      </c>
      <c r="E10" s="188">
        <v>0.107406</v>
      </c>
      <c r="F10" s="29"/>
      <c r="G10" s="29"/>
      <c r="H10" s="29"/>
      <c r="I10" s="29"/>
      <c r="J10" s="29"/>
      <c r="K10" s="29"/>
      <c r="L10" s="29"/>
      <c r="M10" s="29"/>
      <c r="N10" s="29"/>
      <c r="O10" s="29"/>
      <c r="P10" s="29"/>
      <c r="Q10" s="29"/>
      <c r="R10" s="29"/>
      <c r="S10" s="29"/>
      <c r="T10" s="29"/>
      <c r="U10" s="25"/>
      <c r="W10" s="173"/>
      <c r="X10" s="172"/>
    </row>
    <row r="11" spans="1:24" ht="15.75" x14ac:dyDescent="0.25">
      <c r="B11" s="64"/>
      <c r="C11" s="180" t="s">
        <v>187</v>
      </c>
      <c r="D11" s="187" t="s">
        <v>106</v>
      </c>
      <c r="E11" s="188">
        <v>9.4122999999999998E-2</v>
      </c>
      <c r="F11" s="29"/>
      <c r="G11" s="29"/>
      <c r="H11" s="29"/>
      <c r="I11" s="29"/>
      <c r="J11" s="29"/>
      <c r="K11" s="29"/>
      <c r="L11" s="29"/>
      <c r="M11" s="29"/>
      <c r="N11" s="29"/>
      <c r="O11" s="29"/>
      <c r="P11" s="29"/>
      <c r="Q11" s="29"/>
      <c r="R11" s="29"/>
      <c r="S11" s="29"/>
      <c r="T11" s="29"/>
      <c r="U11" s="25"/>
      <c r="W11" s="173"/>
      <c r="X11" s="172"/>
    </row>
    <row r="12" spans="1:24" ht="15.75" x14ac:dyDescent="0.25">
      <c r="B12" s="64"/>
      <c r="C12" s="180" t="s">
        <v>186</v>
      </c>
      <c r="D12" s="187" t="s">
        <v>106</v>
      </c>
      <c r="E12" s="188">
        <v>7.7938999999999994E-2</v>
      </c>
      <c r="F12" s="29"/>
      <c r="G12" s="29"/>
      <c r="H12" s="29"/>
      <c r="I12" s="29"/>
      <c r="J12" s="29"/>
      <c r="K12" s="29"/>
      <c r="L12" s="29"/>
      <c r="M12" s="29"/>
      <c r="N12" s="29"/>
      <c r="O12" s="29"/>
      <c r="P12" s="29"/>
      <c r="Q12" s="29"/>
      <c r="R12" s="29"/>
      <c r="S12" s="29"/>
      <c r="T12" s="29"/>
      <c r="U12" s="25"/>
      <c r="W12" s="173"/>
      <c r="X12" s="172"/>
    </row>
    <row r="13" spans="1:24" ht="15.75" x14ac:dyDescent="0.25">
      <c r="B13" s="64"/>
      <c r="C13" s="180" t="s">
        <v>184</v>
      </c>
      <c r="D13" s="187" t="s">
        <v>106</v>
      </c>
      <c r="E13" s="188">
        <v>6.1421000000000003E-2</v>
      </c>
      <c r="F13" s="29"/>
      <c r="G13" s="29"/>
      <c r="H13" s="29"/>
      <c r="I13" s="29"/>
      <c r="J13" s="29"/>
      <c r="K13" s="29"/>
      <c r="L13" s="29"/>
      <c r="M13" s="29"/>
      <c r="N13" s="29"/>
      <c r="O13" s="29"/>
      <c r="P13" s="29"/>
      <c r="Q13" s="29"/>
      <c r="R13" s="29"/>
      <c r="S13" s="29"/>
      <c r="T13" s="29"/>
      <c r="U13" s="25"/>
      <c r="W13" s="173"/>
      <c r="X13" s="172"/>
    </row>
    <row r="14" spans="1:24" ht="15.75" x14ac:dyDescent="0.25">
      <c r="B14" s="64"/>
      <c r="C14" s="180" t="s">
        <v>189</v>
      </c>
      <c r="D14" s="187" t="s">
        <v>106</v>
      </c>
      <c r="E14" s="188">
        <v>5.6515999999999997E-2</v>
      </c>
      <c r="F14" s="29"/>
      <c r="G14" s="29"/>
      <c r="H14" s="29"/>
      <c r="I14" s="29"/>
      <c r="J14" s="29"/>
      <c r="K14" s="29"/>
      <c r="L14" s="29"/>
      <c r="M14" s="29"/>
      <c r="N14" s="29"/>
      <c r="O14" s="29"/>
      <c r="P14" s="29"/>
      <c r="Q14" s="29"/>
      <c r="R14" s="29"/>
      <c r="S14" s="29"/>
      <c r="T14" s="29"/>
      <c r="U14" s="25"/>
      <c r="W14" s="173"/>
      <c r="X14" s="172"/>
    </row>
    <row r="15" spans="1:24" ht="15.75" x14ac:dyDescent="0.25">
      <c r="B15" s="64"/>
      <c r="C15" s="180" t="s">
        <v>147</v>
      </c>
      <c r="D15" s="187" t="s">
        <v>106</v>
      </c>
      <c r="E15" s="188">
        <v>4.3395000000000003E-2</v>
      </c>
      <c r="F15" s="29"/>
      <c r="G15" s="29"/>
      <c r="H15" s="29"/>
      <c r="I15" s="29"/>
      <c r="J15" s="29"/>
      <c r="K15" s="29"/>
      <c r="L15" s="29"/>
      <c r="M15" s="29"/>
      <c r="N15" s="29"/>
      <c r="O15" s="29"/>
      <c r="P15" s="29"/>
      <c r="Q15" s="29"/>
      <c r="R15" s="29"/>
      <c r="S15" s="29"/>
      <c r="T15" s="29"/>
      <c r="U15" s="25"/>
      <c r="W15" s="173"/>
      <c r="X15" s="172"/>
    </row>
    <row r="16" spans="1:24" ht="15.75" x14ac:dyDescent="0.25">
      <c r="B16" s="64"/>
      <c r="C16" s="180" t="s">
        <v>264</v>
      </c>
      <c r="D16" s="187" t="s">
        <v>106</v>
      </c>
      <c r="E16" s="188">
        <v>2.9728999999999998E-2</v>
      </c>
      <c r="F16" s="29"/>
      <c r="G16" s="29"/>
      <c r="H16" s="29"/>
      <c r="I16" s="29"/>
      <c r="J16" s="29"/>
      <c r="K16" s="29"/>
      <c r="L16" s="29"/>
      <c r="M16" s="29"/>
      <c r="N16" s="29"/>
      <c r="O16" s="29"/>
      <c r="P16" s="29"/>
      <c r="Q16" s="29"/>
      <c r="R16" s="29"/>
      <c r="S16" s="29"/>
      <c r="T16" s="29"/>
      <c r="U16" s="25"/>
      <c r="W16" s="173"/>
      <c r="X16" s="172"/>
    </row>
    <row r="17" spans="2:24" ht="15.75" x14ac:dyDescent="0.25">
      <c r="B17" s="64"/>
      <c r="C17" s="180" t="s">
        <v>287</v>
      </c>
      <c r="D17" s="187" t="s">
        <v>106</v>
      </c>
      <c r="E17" s="188">
        <v>1.9431E-2</v>
      </c>
      <c r="F17" s="29"/>
      <c r="G17" s="29"/>
      <c r="H17" s="29"/>
      <c r="I17" s="29"/>
      <c r="J17" s="29"/>
      <c r="K17" s="29"/>
      <c r="L17" s="29"/>
      <c r="M17" s="29"/>
      <c r="N17" s="29"/>
      <c r="O17" s="29"/>
      <c r="P17" s="29"/>
      <c r="Q17" s="29"/>
      <c r="R17" s="29"/>
      <c r="S17" s="29"/>
      <c r="T17" s="29"/>
      <c r="U17" s="25"/>
      <c r="W17" s="173"/>
      <c r="X17" s="172"/>
    </row>
    <row r="18" spans="2:24" ht="15.75" x14ac:dyDescent="0.25">
      <c r="B18" s="64"/>
      <c r="C18" s="180"/>
      <c r="D18" s="187"/>
      <c r="E18" s="188"/>
      <c r="F18" s="29"/>
      <c r="G18" s="29"/>
      <c r="H18" s="29"/>
      <c r="I18" s="29"/>
      <c r="J18" s="29"/>
      <c r="K18" s="29"/>
      <c r="L18" s="29"/>
      <c r="M18" s="29"/>
      <c r="N18" s="29"/>
      <c r="O18" s="29"/>
      <c r="P18" s="29"/>
      <c r="Q18" s="29"/>
      <c r="R18" s="29"/>
      <c r="S18" s="29"/>
      <c r="T18" s="29"/>
      <c r="U18" s="25"/>
      <c r="W18" s="173"/>
      <c r="X18" s="172"/>
    </row>
    <row r="19" spans="2:24" ht="15.75" x14ac:dyDescent="0.25">
      <c r="B19" s="64"/>
      <c r="C19" s="73" t="s">
        <v>55</v>
      </c>
      <c r="D19" s="74"/>
      <c r="E19" s="75">
        <f>SUM(E8:E17)</f>
        <v>1.001317</v>
      </c>
      <c r="F19" s="29"/>
      <c r="G19" s="29"/>
      <c r="H19" s="29"/>
      <c r="I19" s="29"/>
      <c r="J19" s="29"/>
      <c r="K19" s="29"/>
      <c r="L19" s="29"/>
      <c r="M19" s="29"/>
      <c r="N19" s="29"/>
      <c r="O19" s="29"/>
      <c r="P19" s="29"/>
      <c r="Q19" s="29"/>
      <c r="R19" s="29"/>
      <c r="S19" s="29"/>
      <c r="T19" s="29"/>
      <c r="U19" s="25"/>
      <c r="W19" s="173"/>
      <c r="X19" s="172"/>
    </row>
    <row r="20" spans="2:24" x14ac:dyDescent="0.25">
      <c r="B20" s="64"/>
      <c r="C20" s="29"/>
      <c r="D20" s="29"/>
      <c r="E20" s="29"/>
      <c r="F20" s="29"/>
      <c r="G20" s="29"/>
      <c r="H20" s="29"/>
      <c r="I20" s="29"/>
      <c r="J20" s="29"/>
      <c r="K20" s="29"/>
      <c r="L20" s="29"/>
      <c r="M20" s="29"/>
      <c r="N20" s="29"/>
      <c r="O20" s="29"/>
      <c r="P20" s="29"/>
      <c r="Q20" s="29"/>
      <c r="R20" s="29"/>
      <c r="S20" s="29"/>
      <c r="T20" s="29"/>
      <c r="U20" s="25"/>
      <c r="W20" s="173"/>
      <c r="X20" s="172"/>
    </row>
    <row r="21" spans="2:24" x14ac:dyDescent="0.25">
      <c r="B21" s="64"/>
      <c r="C21" s="29"/>
      <c r="D21" s="29"/>
      <c r="E21" s="29"/>
      <c r="F21" s="29"/>
      <c r="G21" s="29"/>
      <c r="H21" s="29"/>
      <c r="I21" s="29"/>
      <c r="J21" s="29"/>
      <c r="K21" s="29"/>
      <c r="L21" s="29"/>
      <c r="M21" s="29"/>
      <c r="N21" s="29"/>
      <c r="O21" s="29"/>
      <c r="P21" s="29"/>
      <c r="Q21" s="29"/>
      <c r="R21" s="29"/>
      <c r="S21" s="29"/>
      <c r="T21" s="29"/>
      <c r="U21" s="25"/>
      <c r="W21" s="173"/>
      <c r="X21" s="172"/>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row>
    <row r="44" spans="2:24" x14ac:dyDescent="0.25">
      <c r="B44" s="305"/>
      <c r="C44" s="306"/>
      <c r="D44" s="306"/>
      <c r="E44" s="306"/>
      <c r="F44" s="306"/>
      <c r="G44" s="306"/>
      <c r="H44" s="306"/>
      <c r="I44" s="306"/>
      <c r="J44" s="306"/>
      <c r="K44" s="306"/>
      <c r="L44" s="306"/>
      <c r="M44" s="306"/>
      <c r="N44" s="306"/>
      <c r="O44" s="306"/>
      <c r="P44" s="306"/>
      <c r="Q44" s="306"/>
      <c r="R44" s="307"/>
    </row>
    <row r="45" spans="2:24" ht="15.75" thickBot="1" x14ac:dyDescent="0.3">
      <c r="B45" s="308"/>
      <c r="C45" s="309"/>
      <c r="D45" s="309"/>
      <c r="E45" s="309"/>
      <c r="F45" s="309"/>
      <c r="G45" s="309"/>
      <c r="H45" s="309"/>
      <c r="I45" s="309"/>
      <c r="J45" s="309"/>
      <c r="K45" s="309"/>
      <c r="L45" s="309"/>
      <c r="M45" s="309"/>
      <c r="N45" s="309"/>
      <c r="O45" s="309"/>
      <c r="P45" s="309"/>
      <c r="Q45" s="309"/>
      <c r="R45" s="310"/>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202</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411</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430</v>
      </c>
      <c r="D8" s="185" t="s">
        <v>16</v>
      </c>
      <c r="E8" s="186">
        <v>9.2821000000000001E-2</v>
      </c>
      <c r="F8" s="29"/>
      <c r="G8" s="29"/>
      <c r="H8" s="29"/>
      <c r="I8" s="29"/>
      <c r="J8" s="29"/>
      <c r="K8" s="29"/>
      <c r="L8" s="29"/>
      <c r="M8" s="29"/>
      <c r="N8" s="29"/>
      <c r="O8" s="29"/>
      <c r="P8" s="29"/>
      <c r="Q8" s="29"/>
      <c r="R8" s="29"/>
      <c r="S8" s="29"/>
      <c r="T8" s="29"/>
      <c r="U8" s="25"/>
      <c r="W8" s="173" t="s">
        <v>16</v>
      </c>
      <c r="X8" s="172">
        <v>0.20439399999999999</v>
      </c>
    </row>
    <row r="9" spans="1:24" ht="15.75" x14ac:dyDescent="0.25">
      <c r="B9" s="64"/>
      <c r="C9" s="180" t="s">
        <v>239</v>
      </c>
      <c r="D9" s="187" t="s">
        <v>84</v>
      </c>
      <c r="E9" s="188">
        <v>4.7544999999999997E-2</v>
      </c>
      <c r="F9" s="29"/>
      <c r="G9" s="29"/>
      <c r="H9" s="29"/>
      <c r="I9" s="29"/>
      <c r="J9" s="29"/>
      <c r="K9" s="29"/>
      <c r="L9" s="29"/>
      <c r="M9" s="29"/>
      <c r="N9" s="29"/>
      <c r="O9" s="29"/>
      <c r="P9" s="29"/>
      <c r="Q9" s="29"/>
      <c r="R9" s="29"/>
      <c r="S9" s="29"/>
      <c r="T9" s="29"/>
      <c r="U9" s="25"/>
      <c r="W9" s="173" t="s">
        <v>84</v>
      </c>
      <c r="X9" s="172">
        <v>0.11307300000000001</v>
      </c>
    </row>
    <row r="10" spans="1:24" ht="15.75" x14ac:dyDescent="0.25">
      <c r="B10" s="64"/>
      <c r="C10" s="180" t="s">
        <v>343</v>
      </c>
      <c r="D10" s="187" t="s">
        <v>136</v>
      </c>
      <c r="E10" s="188">
        <v>4.4979999999999999E-2</v>
      </c>
      <c r="F10" s="29"/>
      <c r="G10" s="29"/>
      <c r="H10" s="29"/>
      <c r="I10" s="29"/>
      <c r="J10" s="29"/>
      <c r="K10" s="29"/>
      <c r="L10" s="29"/>
      <c r="M10" s="29"/>
      <c r="N10" s="29"/>
      <c r="O10" s="29"/>
      <c r="P10" s="29"/>
      <c r="Q10" s="29"/>
      <c r="R10" s="29"/>
      <c r="S10" s="29"/>
      <c r="T10" s="29"/>
      <c r="U10" s="25"/>
      <c r="W10" s="173" t="s">
        <v>136</v>
      </c>
      <c r="X10" s="172">
        <v>8.8078999999999991E-2</v>
      </c>
    </row>
    <row r="11" spans="1:24" ht="15.75" x14ac:dyDescent="0.25">
      <c r="B11" s="64"/>
      <c r="C11" s="180" t="s">
        <v>232</v>
      </c>
      <c r="D11" s="187" t="s">
        <v>16</v>
      </c>
      <c r="E11" s="188">
        <v>4.3586E-2</v>
      </c>
      <c r="F11" s="29"/>
      <c r="G11" s="29"/>
      <c r="H11" s="29"/>
      <c r="I11" s="29"/>
      <c r="J11" s="29"/>
      <c r="K11" s="29"/>
      <c r="L11" s="29"/>
      <c r="M11" s="29"/>
      <c r="N11" s="29"/>
      <c r="O11" s="29"/>
      <c r="P11" s="29"/>
      <c r="Q11" s="29"/>
      <c r="R11" s="29"/>
      <c r="S11" s="29"/>
      <c r="T11" s="29"/>
      <c r="U11" s="25"/>
      <c r="W11" s="173" t="s">
        <v>110</v>
      </c>
      <c r="X11" s="172">
        <v>7.3530000000000012E-2</v>
      </c>
    </row>
    <row r="12" spans="1:24" ht="15.75" x14ac:dyDescent="0.25">
      <c r="B12" s="64"/>
      <c r="C12" s="180" t="s">
        <v>431</v>
      </c>
      <c r="D12" s="187" t="s">
        <v>118</v>
      </c>
      <c r="E12" s="188">
        <v>3.9919000000000003E-2</v>
      </c>
      <c r="F12" s="29"/>
      <c r="G12" s="29"/>
      <c r="H12" s="29"/>
      <c r="I12" s="29"/>
      <c r="J12" s="29"/>
      <c r="K12" s="29"/>
      <c r="L12" s="29"/>
      <c r="M12" s="29"/>
      <c r="N12" s="29"/>
      <c r="O12" s="29"/>
      <c r="P12" s="29"/>
      <c r="Q12" s="29"/>
      <c r="R12" s="29"/>
      <c r="S12" s="29"/>
      <c r="T12" s="29"/>
      <c r="U12" s="25"/>
      <c r="W12" s="173" t="s">
        <v>118</v>
      </c>
      <c r="X12" s="172">
        <v>6.7846000000000004E-2</v>
      </c>
    </row>
    <row r="13" spans="1:24" ht="30" x14ac:dyDescent="0.25">
      <c r="B13" s="64"/>
      <c r="C13" s="180" t="s">
        <v>267</v>
      </c>
      <c r="D13" s="187" t="s">
        <v>182</v>
      </c>
      <c r="E13" s="188">
        <v>3.4168999999999998E-2</v>
      </c>
      <c r="F13" s="29"/>
      <c r="G13" s="29"/>
      <c r="H13" s="29"/>
      <c r="I13" s="29"/>
      <c r="J13" s="29"/>
      <c r="K13" s="29"/>
      <c r="L13" s="29"/>
      <c r="M13" s="29"/>
      <c r="N13" s="29"/>
      <c r="O13" s="29"/>
      <c r="P13" s="29"/>
      <c r="Q13" s="29"/>
      <c r="R13" s="29"/>
      <c r="S13" s="29"/>
      <c r="T13" s="29"/>
      <c r="U13" s="25"/>
      <c r="W13" s="173" t="s">
        <v>4</v>
      </c>
      <c r="X13" s="172">
        <v>4.8339E-2</v>
      </c>
    </row>
    <row r="14" spans="1:24" ht="15.75" x14ac:dyDescent="0.25">
      <c r="B14" s="64"/>
      <c r="C14" s="180" t="s">
        <v>432</v>
      </c>
      <c r="D14" s="187" t="s">
        <v>25</v>
      </c>
      <c r="E14" s="188">
        <v>3.2400999999999999E-2</v>
      </c>
      <c r="F14" s="29"/>
      <c r="G14" s="29"/>
      <c r="H14" s="29"/>
      <c r="I14" s="29"/>
      <c r="J14" s="29"/>
      <c r="K14" s="29"/>
      <c r="L14" s="29"/>
      <c r="M14" s="29"/>
      <c r="N14" s="29"/>
      <c r="O14" s="29"/>
      <c r="P14" s="29"/>
      <c r="Q14" s="29"/>
      <c r="R14" s="29"/>
      <c r="S14" s="29"/>
      <c r="T14" s="29"/>
      <c r="U14" s="25"/>
      <c r="W14" s="173" t="s">
        <v>26</v>
      </c>
      <c r="X14" s="172">
        <v>4.7094999999999998E-2</v>
      </c>
    </row>
    <row r="15" spans="1:24" ht="30" x14ac:dyDescent="0.25">
      <c r="B15" s="64"/>
      <c r="C15" s="180" t="s">
        <v>433</v>
      </c>
      <c r="D15" s="187" t="s">
        <v>125</v>
      </c>
      <c r="E15" s="188">
        <v>3.2166E-2</v>
      </c>
      <c r="F15" s="29"/>
      <c r="G15" s="29"/>
      <c r="H15" s="29"/>
      <c r="I15" s="29"/>
      <c r="J15" s="29"/>
      <c r="K15" s="29"/>
      <c r="L15" s="29"/>
      <c r="M15" s="29"/>
      <c r="N15" s="29"/>
      <c r="O15" s="29"/>
      <c r="P15" s="29"/>
      <c r="Q15" s="29"/>
      <c r="R15" s="29"/>
      <c r="S15" s="29"/>
      <c r="T15" s="29"/>
      <c r="U15" s="25"/>
      <c r="W15" s="173" t="s">
        <v>182</v>
      </c>
      <c r="X15" s="172">
        <v>4.7078999999999996E-2</v>
      </c>
    </row>
    <row r="16" spans="1:24" ht="15.75" x14ac:dyDescent="0.25">
      <c r="B16" s="64"/>
      <c r="C16" s="180" t="s">
        <v>256</v>
      </c>
      <c r="D16" s="187" t="s">
        <v>4</v>
      </c>
      <c r="E16" s="188">
        <v>2.9222999999999999E-2</v>
      </c>
      <c r="F16" s="29"/>
      <c r="G16" s="29"/>
      <c r="H16" s="29"/>
      <c r="I16" s="29"/>
      <c r="J16" s="29"/>
      <c r="K16" s="29"/>
      <c r="L16" s="29"/>
      <c r="M16" s="29"/>
      <c r="N16" s="29"/>
      <c r="O16" s="29"/>
      <c r="P16" s="29"/>
      <c r="Q16" s="29"/>
      <c r="R16" s="29"/>
      <c r="S16" s="29"/>
      <c r="T16" s="29"/>
      <c r="U16" s="25"/>
      <c r="W16" s="173" t="s">
        <v>12</v>
      </c>
      <c r="X16" s="172">
        <v>3.5267E-2</v>
      </c>
    </row>
    <row r="17" spans="2:24" ht="15.75" x14ac:dyDescent="0.25">
      <c r="B17" s="64"/>
      <c r="C17" s="180" t="s">
        <v>325</v>
      </c>
      <c r="D17" s="187" t="s">
        <v>16</v>
      </c>
      <c r="E17" s="188">
        <v>2.5975000000000002E-2</v>
      </c>
      <c r="F17" s="29"/>
      <c r="G17" s="29"/>
      <c r="H17" s="29"/>
      <c r="I17" s="29"/>
      <c r="J17" s="29"/>
      <c r="K17" s="29"/>
      <c r="L17" s="29"/>
      <c r="M17" s="29"/>
      <c r="N17" s="29"/>
      <c r="O17" s="29"/>
      <c r="P17" s="29"/>
      <c r="Q17" s="29"/>
      <c r="R17" s="29"/>
      <c r="S17" s="29"/>
      <c r="T17" s="29"/>
      <c r="U17" s="25"/>
      <c r="W17" s="173" t="s">
        <v>25</v>
      </c>
      <c r="X17" s="172">
        <v>3.2400999999999999E-2</v>
      </c>
    </row>
    <row r="18" spans="2:24" ht="30" x14ac:dyDescent="0.25">
      <c r="B18" s="64"/>
      <c r="C18" s="180" t="s">
        <v>292</v>
      </c>
      <c r="D18" s="187" t="s">
        <v>110</v>
      </c>
      <c r="E18" s="188">
        <v>2.5205000000000002E-2</v>
      </c>
      <c r="F18" s="29"/>
      <c r="G18" s="29"/>
      <c r="H18" s="29"/>
      <c r="I18" s="29"/>
      <c r="J18" s="29"/>
      <c r="K18" s="29"/>
      <c r="L18" s="29"/>
      <c r="M18" s="29"/>
      <c r="N18" s="29"/>
      <c r="O18" s="29"/>
      <c r="P18" s="29"/>
      <c r="Q18" s="29"/>
      <c r="R18" s="29"/>
      <c r="S18" s="29"/>
      <c r="T18" s="29"/>
      <c r="U18" s="25"/>
      <c r="W18" s="173" t="s">
        <v>125</v>
      </c>
      <c r="X18" s="172">
        <v>3.2166E-2</v>
      </c>
    </row>
    <row r="19" spans="2:24" ht="15.75" x14ac:dyDescent="0.25">
      <c r="B19" s="64"/>
      <c r="C19" s="180" t="s">
        <v>294</v>
      </c>
      <c r="D19" s="187" t="s">
        <v>76</v>
      </c>
      <c r="E19" s="188">
        <v>2.4673E-2</v>
      </c>
      <c r="F19" s="29"/>
      <c r="G19" s="29"/>
      <c r="H19" s="29"/>
      <c r="I19" s="29"/>
      <c r="J19" s="29"/>
      <c r="K19" s="29"/>
      <c r="L19" s="29"/>
      <c r="M19" s="29"/>
      <c r="N19" s="29"/>
      <c r="O19" s="29"/>
      <c r="P19" s="29"/>
      <c r="Q19" s="29"/>
      <c r="R19" s="29"/>
      <c r="S19" s="29"/>
      <c r="T19" s="29"/>
      <c r="U19" s="25"/>
      <c r="W19" s="173" t="s">
        <v>10</v>
      </c>
      <c r="X19" s="172">
        <v>3.1047999999999999E-2</v>
      </c>
    </row>
    <row r="20" spans="2:24" ht="15.75" x14ac:dyDescent="0.25">
      <c r="B20" s="64"/>
      <c r="C20" s="180" t="s">
        <v>282</v>
      </c>
      <c r="D20" s="187" t="s">
        <v>84</v>
      </c>
      <c r="E20" s="188">
        <v>2.4021000000000001E-2</v>
      </c>
      <c r="F20" s="29"/>
      <c r="G20" s="29"/>
      <c r="H20" s="29"/>
      <c r="I20" s="29"/>
      <c r="J20" s="29"/>
      <c r="K20" s="29"/>
      <c r="L20" s="29"/>
      <c r="M20" s="29"/>
      <c r="N20" s="29"/>
      <c r="O20" s="29"/>
      <c r="P20" s="29"/>
      <c r="Q20" s="29"/>
      <c r="R20" s="29"/>
      <c r="S20" s="29"/>
      <c r="T20" s="29"/>
      <c r="U20" s="25"/>
      <c r="W20" s="173" t="s">
        <v>76</v>
      </c>
      <c r="X20" s="172">
        <v>2.4673E-2</v>
      </c>
    </row>
    <row r="21" spans="2:24" ht="15.75" x14ac:dyDescent="0.25">
      <c r="B21" s="64"/>
      <c r="C21" s="180" t="s">
        <v>277</v>
      </c>
      <c r="D21" s="187" t="s">
        <v>132</v>
      </c>
      <c r="E21" s="188">
        <v>2.3821999999999999E-2</v>
      </c>
      <c r="F21" s="29"/>
      <c r="G21" s="29"/>
      <c r="H21" s="29"/>
      <c r="I21" s="29"/>
      <c r="J21" s="29"/>
      <c r="K21" s="29"/>
      <c r="L21" s="29"/>
      <c r="M21" s="29"/>
      <c r="N21" s="29"/>
      <c r="O21" s="29"/>
      <c r="P21" s="29"/>
      <c r="Q21" s="29"/>
      <c r="R21" s="29"/>
      <c r="S21" s="29"/>
      <c r="T21" s="29"/>
      <c r="U21" s="25"/>
      <c r="W21" s="173" t="s">
        <v>132</v>
      </c>
      <c r="X21" s="172">
        <v>2.3821999999999999E-2</v>
      </c>
    </row>
    <row r="22" spans="2:24" ht="15.75" x14ac:dyDescent="0.25">
      <c r="B22" s="64"/>
      <c r="C22" s="180" t="s">
        <v>220</v>
      </c>
      <c r="D22" s="187" t="s">
        <v>16</v>
      </c>
      <c r="E22" s="188">
        <v>2.3081999999999998E-2</v>
      </c>
      <c r="F22" s="29"/>
      <c r="G22" s="29"/>
      <c r="H22" s="29"/>
      <c r="I22" s="29"/>
      <c r="J22" s="29"/>
      <c r="K22" s="29"/>
      <c r="L22" s="29"/>
      <c r="M22" s="29"/>
      <c r="N22" s="29"/>
      <c r="O22" s="29"/>
      <c r="P22" s="29"/>
      <c r="Q22" s="29"/>
      <c r="R22" s="29"/>
      <c r="S22" s="29"/>
      <c r="T22" s="29"/>
      <c r="U22" s="25"/>
      <c r="W22" s="173" t="s">
        <v>123</v>
      </c>
      <c r="X22" s="172">
        <v>2.0740000000000001E-2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86</v>
      </c>
      <c r="X23" s="172">
        <v>1.9937E-2</v>
      </c>
    </row>
    <row r="24" spans="2:24" ht="15.75" x14ac:dyDescent="0.25">
      <c r="B24" s="64"/>
      <c r="C24" s="73" t="s">
        <v>55</v>
      </c>
      <c r="D24" s="74"/>
      <c r="E24" s="75">
        <f>SUM(E8:E22)</f>
        <v>0.54358800000000007</v>
      </c>
      <c r="F24" s="29"/>
      <c r="G24" s="29"/>
      <c r="H24" s="29"/>
      <c r="I24" s="29"/>
      <c r="J24" s="29"/>
      <c r="K24" s="29"/>
      <c r="L24" s="29"/>
      <c r="M24" s="29"/>
      <c r="N24" s="29"/>
      <c r="O24" s="29"/>
      <c r="P24" s="29"/>
      <c r="Q24" s="29"/>
      <c r="R24" s="29"/>
      <c r="S24" s="29"/>
      <c r="T24" s="29"/>
      <c r="U24" s="25"/>
      <c r="W24" s="173" t="s">
        <v>23</v>
      </c>
      <c r="X24" s="172">
        <v>1.8644999999999998E-2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111</v>
      </c>
      <c r="X25" s="172">
        <v>1.7378999999999999E-2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117</v>
      </c>
      <c r="X26" s="172">
        <v>1.7144E-2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83</v>
      </c>
      <c r="X27" s="62">
        <v>1.6586E-2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15</v>
      </c>
      <c r="X28" s="62">
        <v>9.6159999999999995E-3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112</v>
      </c>
      <c r="X29" s="62">
        <v>6.3610000000000003E-3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115</v>
      </c>
      <c r="X30" s="62">
        <v>5.8520000000000004E-3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106</v>
      </c>
      <c r="X31" s="62">
        <v>7.2599999999999997E-4</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row>
    <row r="44" spans="2:24" x14ac:dyDescent="0.25">
      <c r="B44" s="305"/>
      <c r="C44" s="306"/>
      <c r="D44" s="306"/>
      <c r="E44" s="306"/>
      <c r="F44" s="306"/>
      <c r="G44" s="306"/>
      <c r="H44" s="306"/>
      <c r="I44" s="306"/>
      <c r="J44" s="306"/>
      <c r="K44" s="306"/>
      <c r="L44" s="306"/>
      <c r="M44" s="306"/>
      <c r="N44" s="306"/>
      <c r="O44" s="306"/>
      <c r="P44" s="306"/>
      <c r="Q44" s="306"/>
      <c r="R44" s="307"/>
    </row>
    <row r="45" spans="2:24" ht="15.75" thickBot="1" x14ac:dyDescent="0.3">
      <c r="B45" s="308"/>
      <c r="C45" s="309"/>
      <c r="D45" s="309"/>
      <c r="E45" s="309"/>
      <c r="F45" s="309"/>
      <c r="G45" s="309"/>
      <c r="H45" s="309"/>
      <c r="I45" s="309"/>
      <c r="J45" s="309"/>
      <c r="K45" s="309"/>
      <c r="L45" s="309"/>
      <c r="M45" s="309"/>
      <c r="N45" s="309"/>
      <c r="O45" s="309"/>
      <c r="P45" s="309"/>
      <c r="Q45" s="309"/>
      <c r="R45" s="310"/>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211</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412</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209</v>
      </c>
      <c r="D8" s="185" t="s">
        <v>84</v>
      </c>
      <c r="E8" s="186">
        <v>1.5944E-2</v>
      </c>
      <c r="F8" s="29"/>
      <c r="G8" s="29"/>
      <c r="H8" s="29"/>
      <c r="I8" s="29"/>
      <c r="J8" s="29"/>
      <c r="K8" s="29"/>
      <c r="L8" s="29"/>
      <c r="M8" s="29"/>
      <c r="N8" s="29"/>
      <c r="O8" s="29"/>
      <c r="P8" s="29"/>
      <c r="Q8" s="29"/>
      <c r="R8" s="29"/>
      <c r="S8" s="29"/>
      <c r="T8" s="29"/>
      <c r="U8" s="25"/>
      <c r="W8" s="173" t="s">
        <v>4</v>
      </c>
      <c r="X8" s="224">
        <v>9.7148000000000012E-2</v>
      </c>
    </row>
    <row r="9" spans="1:24" ht="30" x14ac:dyDescent="0.25">
      <c r="B9" s="64"/>
      <c r="C9" s="180" t="s">
        <v>308</v>
      </c>
      <c r="D9" s="187" t="s">
        <v>110</v>
      </c>
      <c r="E9" s="188">
        <v>1.4116999999999999E-2</v>
      </c>
      <c r="F9" s="29"/>
      <c r="G9" s="29"/>
      <c r="H9" s="29"/>
      <c r="I9" s="29"/>
      <c r="J9" s="29"/>
      <c r="K9" s="29"/>
      <c r="L9" s="29"/>
      <c r="M9" s="29"/>
      <c r="N9" s="29"/>
      <c r="O9" s="29"/>
      <c r="P9" s="29"/>
      <c r="Q9" s="29"/>
      <c r="R9" s="29"/>
      <c r="S9" s="29"/>
      <c r="T9" s="29"/>
      <c r="U9" s="25"/>
      <c r="W9" s="173" t="s">
        <v>110</v>
      </c>
      <c r="X9" s="224">
        <v>8.9021000000000003E-2</v>
      </c>
    </row>
    <row r="10" spans="1:24" ht="15.75" x14ac:dyDescent="0.25">
      <c r="B10" s="64"/>
      <c r="C10" s="180" t="s">
        <v>238</v>
      </c>
      <c r="D10" s="187" t="s">
        <v>16</v>
      </c>
      <c r="E10" s="188">
        <v>1.3375E-2</v>
      </c>
      <c r="F10" s="29"/>
      <c r="G10" s="29"/>
      <c r="H10" s="29"/>
      <c r="I10" s="29"/>
      <c r="J10" s="29"/>
      <c r="K10" s="29"/>
      <c r="L10" s="29"/>
      <c r="M10" s="29"/>
      <c r="N10" s="29"/>
      <c r="O10" s="29"/>
      <c r="P10" s="29"/>
      <c r="Q10" s="29"/>
      <c r="R10" s="29"/>
      <c r="S10" s="29"/>
      <c r="T10" s="29"/>
      <c r="U10" s="25"/>
      <c r="W10" s="173" t="s">
        <v>84</v>
      </c>
      <c r="X10" s="224">
        <v>7.6752000000000001E-2</v>
      </c>
    </row>
    <row r="11" spans="1:24" ht="15.75" x14ac:dyDescent="0.25">
      <c r="B11" s="64"/>
      <c r="C11" s="180" t="s">
        <v>213</v>
      </c>
      <c r="D11" s="187" t="s">
        <v>84</v>
      </c>
      <c r="E11" s="188">
        <v>1.278E-2</v>
      </c>
      <c r="F11" s="29"/>
      <c r="G11" s="29"/>
      <c r="H11" s="29"/>
      <c r="I11" s="29"/>
      <c r="J11" s="29"/>
      <c r="K11" s="29"/>
      <c r="L11" s="29"/>
      <c r="M11" s="29"/>
      <c r="N11" s="29"/>
      <c r="O11" s="29"/>
      <c r="P11" s="29"/>
      <c r="Q11" s="29"/>
      <c r="R11" s="29"/>
      <c r="S11" s="29"/>
      <c r="T11" s="29"/>
      <c r="U11" s="25"/>
      <c r="W11" s="173" t="s">
        <v>24</v>
      </c>
      <c r="X11" s="224">
        <v>7.6390999999999987E-2</v>
      </c>
    </row>
    <row r="12" spans="1:24" ht="15.75" x14ac:dyDescent="0.25">
      <c r="B12" s="64"/>
      <c r="C12" s="180" t="s">
        <v>288</v>
      </c>
      <c r="D12" s="187" t="s">
        <v>105</v>
      </c>
      <c r="E12" s="188">
        <v>1.1168000000000001E-2</v>
      </c>
      <c r="F12" s="29"/>
      <c r="G12" s="29"/>
      <c r="H12" s="29"/>
      <c r="I12" s="29"/>
      <c r="J12" s="29"/>
      <c r="K12" s="29"/>
      <c r="L12" s="29"/>
      <c r="M12" s="29"/>
      <c r="N12" s="29"/>
      <c r="O12" s="29"/>
      <c r="P12" s="29"/>
      <c r="Q12" s="29"/>
      <c r="R12" s="29"/>
      <c r="S12" s="29"/>
      <c r="T12" s="29"/>
      <c r="U12" s="25"/>
      <c r="W12" s="173" t="s">
        <v>115</v>
      </c>
      <c r="X12" s="224">
        <v>5.631499999999999E-2</v>
      </c>
    </row>
    <row r="13" spans="1:24" ht="15.75" x14ac:dyDescent="0.25">
      <c r="B13" s="64"/>
      <c r="C13" s="180" t="s">
        <v>207</v>
      </c>
      <c r="D13" s="187" t="s">
        <v>84</v>
      </c>
      <c r="E13" s="188">
        <v>1.0496E-2</v>
      </c>
      <c r="F13" s="29"/>
      <c r="G13" s="29"/>
      <c r="H13" s="29"/>
      <c r="I13" s="29"/>
      <c r="J13" s="29"/>
      <c r="K13" s="29"/>
      <c r="L13" s="29"/>
      <c r="M13" s="29"/>
      <c r="N13" s="29"/>
      <c r="O13" s="29"/>
      <c r="P13" s="29"/>
      <c r="Q13" s="29"/>
      <c r="R13" s="29"/>
      <c r="S13" s="29"/>
      <c r="T13" s="29"/>
      <c r="U13" s="25"/>
      <c r="W13" s="173" t="s">
        <v>16</v>
      </c>
      <c r="X13" s="224">
        <v>5.4278999999999994E-2</v>
      </c>
    </row>
    <row r="14" spans="1:24" ht="15.75" x14ac:dyDescent="0.25">
      <c r="B14" s="64"/>
      <c r="C14" s="180" t="s">
        <v>185</v>
      </c>
      <c r="D14" s="187" t="s">
        <v>4</v>
      </c>
      <c r="E14" s="188">
        <v>1.0201999999999999E-2</v>
      </c>
      <c r="F14" s="29"/>
      <c r="G14" s="29"/>
      <c r="H14" s="29"/>
      <c r="I14" s="29"/>
      <c r="J14" s="29"/>
      <c r="K14" s="29"/>
      <c r="L14" s="29"/>
      <c r="M14" s="29"/>
      <c r="N14" s="29"/>
      <c r="O14" s="29"/>
      <c r="P14" s="29"/>
      <c r="Q14" s="29"/>
      <c r="R14" s="29"/>
      <c r="S14" s="29"/>
      <c r="T14" s="29"/>
      <c r="U14" s="25"/>
      <c r="W14" s="173" t="s">
        <v>23</v>
      </c>
      <c r="X14" s="224">
        <v>4.1173999999999988E-2</v>
      </c>
    </row>
    <row r="15" spans="1:24" ht="15.75" x14ac:dyDescent="0.25">
      <c r="B15" s="64"/>
      <c r="C15" s="180" t="s">
        <v>344</v>
      </c>
      <c r="D15" s="187" t="s">
        <v>3</v>
      </c>
      <c r="E15" s="188">
        <v>9.6749999999999996E-3</v>
      </c>
      <c r="F15" s="29"/>
      <c r="G15" s="29"/>
      <c r="H15" s="29"/>
      <c r="I15" s="29"/>
      <c r="J15" s="29"/>
      <c r="K15" s="29"/>
      <c r="L15" s="29"/>
      <c r="M15" s="29"/>
      <c r="N15" s="29"/>
      <c r="O15" s="29"/>
      <c r="P15" s="29"/>
      <c r="Q15" s="29"/>
      <c r="R15" s="29"/>
      <c r="S15" s="29"/>
      <c r="T15" s="29"/>
      <c r="U15" s="25"/>
      <c r="W15" s="173" t="s">
        <v>76</v>
      </c>
      <c r="X15" s="224">
        <v>4.0334000000000002E-2</v>
      </c>
    </row>
    <row r="16" spans="1:24" ht="15.75" x14ac:dyDescent="0.25">
      <c r="B16" s="64"/>
      <c r="C16" s="180" t="s">
        <v>434</v>
      </c>
      <c r="D16" s="187" t="s">
        <v>76</v>
      </c>
      <c r="E16" s="188">
        <v>9.2339999999999992E-3</v>
      </c>
      <c r="F16" s="29"/>
      <c r="G16" s="29"/>
      <c r="H16" s="29"/>
      <c r="I16" s="29"/>
      <c r="J16" s="29"/>
      <c r="K16" s="29"/>
      <c r="L16" s="29"/>
      <c r="M16" s="29"/>
      <c r="N16" s="29"/>
      <c r="O16" s="29"/>
      <c r="P16" s="29"/>
      <c r="Q16" s="29"/>
      <c r="R16" s="29"/>
      <c r="S16" s="29"/>
      <c r="T16" s="29"/>
      <c r="U16" s="25"/>
      <c r="W16" s="173" t="s">
        <v>109</v>
      </c>
      <c r="X16" s="224">
        <v>3.4356999999999999E-2</v>
      </c>
    </row>
    <row r="17" spans="2:24" ht="15.75" x14ac:dyDescent="0.25">
      <c r="B17" s="64"/>
      <c r="C17" s="180" t="s">
        <v>325</v>
      </c>
      <c r="D17" s="187" t="s">
        <v>16</v>
      </c>
      <c r="E17" s="188">
        <v>8.6639999999999998E-3</v>
      </c>
      <c r="F17" s="29"/>
      <c r="G17" s="29"/>
      <c r="H17" s="29"/>
      <c r="I17" s="29"/>
      <c r="J17" s="29"/>
      <c r="K17" s="29"/>
      <c r="L17" s="29"/>
      <c r="M17" s="29"/>
      <c r="N17" s="29"/>
      <c r="O17" s="29"/>
      <c r="P17" s="29"/>
      <c r="Q17" s="29"/>
      <c r="R17" s="29"/>
      <c r="S17" s="29"/>
      <c r="T17" s="29"/>
      <c r="U17" s="25"/>
      <c r="W17" s="173" t="s">
        <v>3</v>
      </c>
      <c r="X17" s="224">
        <v>3.1616999999999999E-2</v>
      </c>
    </row>
    <row r="18" spans="2:24" ht="30" x14ac:dyDescent="0.25">
      <c r="B18" s="64"/>
      <c r="C18" s="180" t="s">
        <v>435</v>
      </c>
      <c r="D18" s="187" t="s">
        <v>115</v>
      </c>
      <c r="E18" s="188">
        <v>8.6409999999999994E-3</v>
      </c>
      <c r="F18" s="29"/>
      <c r="G18" s="29"/>
      <c r="H18" s="29"/>
      <c r="I18" s="29"/>
      <c r="J18" s="29"/>
      <c r="K18" s="29"/>
      <c r="L18" s="29"/>
      <c r="M18" s="29"/>
      <c r="N18" s="29"/>
      <c r="O18" s="29"/>
      <c r="P18" s="29"/>
      <c r="Q18" s="29"/>
      <c r="R18" s="29"/>
      <c r="S18" s="29"/>
      <c r="T18" s="29"/>
      <c r="U18" s="25"/>
      <c r="W18" s="173" t="s">
        <v>106</v>
      </c>
      <c r="X18" s="224">
        <v>2.9786999999999998E-2</v>
      </c>
    </row>
    <row r="19" spans="2:24" ht="30" x14ac:dyDescent="0.25">
      <c r="B19" s="64"/>
      <c r="C19" s="180" t="s">
        <v>361</v>
      </c>
      <c r="D19" s="187" t="s">
        <v>110</v>
      </c>
      <c r="E19" s="188">
        <v>8.5970000000000005E-3</v>
      </c>
      <c r="F19" s="29"/>
      <c r="G19" s="29"/>
      <c r="H19" s="29"/>
      <c r="I19" s="29"/>
      <c r="J19" s="29"/>
      <c r="K19" s="29"/>
      <c r="L19" s="29"/>
      <c r="M19" s="29"/>
      <c r="N19" s="29"/>
      <c r="O19" s="29"/>
      <c r="P19" s="29"/>
      <c r="Q19" s="29"/>
      <c r="R19" s="29"/>
      <c r="S19" s="29"/>
      <c r="T19" s="29"/>
      <c r="U19" s="25"/>
      <c r="W19" s="173" t="s">
        <v>83</v>
      </c>
      <c r="X19" s="224">
        <v>2.8524000000000001E-2</v>
      </c>
    </row>
    <row r="20" spans="2:24" ht="30" x14ac:dyDescent="0.25">
      <c r="B20" s="64"/>
      <c r="C20" s="180" t="s">
        <v>436</v>
      </c>
      <c r="D20" s="187" t="s">
        <v>125</v>
      </c>
      <c r="E20" s="188">
        <v>8.4950000000000008E-3</v>
      </c>
      <c r="F20" s="29"/>
      <c r="G20" s="29"/>
      <c r="H20" s="29"/>
      <c r="I20" s="29"/>
      <c r="J20" s="29"/>
      <c r="K20" s="29"/>
      <c r="L20" s="29"/>
      <c r="M20" s="29"/>
      <c r="N20" s="29"/>
      <c r="O20" s="29"/>
      <c r="P20" s="29"/>
      <c r="Q20" s="29"/>
      <c r="R20" s="29"/>
      <c r="S20" s="29"/>
      <c r="T20" s="29"/>
      <c r="U20" s="25"/>
      <c r="W20" s="173" t="s">
        <v>136</v>
      </c>
      <c r="X20" s="224">
        <v>2.5245E-2</v>
      </c>
    </row>
    <row r="21" spans="2:24" ht="15.75" x14ac:dyDescent="0.25">
      <c r="B21" s="64"/>
      <c r="C21" s="180" t="s">
        <v>437</v>
      </c>
      <c r="D21" s="187" t="s">
        <v>4</v>
      </c>
      <c r="E21" s="188">
        <v>8.3020000000000004E-3</v>
      </c>
      <c r="F21" s="29"/>
      <c r="G21" s="29"/>
      <c r="H21" s="29"/>
      <c r="I21" s="29"/>
      <c r="J21" s="29"/>
      <c r="K21" s="29"/>
      <c r="L21" s="29"/>
      <c r="M21" s="29"/>
      <c r="N21" s="29"/>
      <c r="O21" s="29"/>
      <c r="P21" s="29"/>
      <c r="Q21" s="29"/>
      <c r="R21" s="29"/>
      <c r="S21" s="29"/>
      <c r="T21" s="29"/>
      <c r="U21" s="25"/>
      <c r="W21" s="173" t="s">
        <v>125</v>
      </c>
      <c r="X21" s="224">
        <v>2.2510000000000002E-2</v>
      </c>
    </row>
    <row r="22" spans="2:24" ht="30" x14ac:dyDescent="0.25">
      <c r="B22" s="64"/>
      <c r="C22" s="180" t="s">
        <v>331</v>
      </c>
      <c r="D22" s="187" t="s">
        <v>110</v>
      </c>
      <c r="E22" s="188">
        <v>8.1519999999999995E-3</v>
      </c>
      <c r="F22" s="29"/>
      <c r="G22" s="29"/>
      <c r="H22" s="29"/>
      <c r="I22" s="29"/>
      <c r="J22" s="29"/>
      <c r="K22" s="29"/>
      <c r="L22" s="29"/>
      <c r="M22" s="29"/>
      <c r="N22" s="29"/>
      <c r="O22" s="29"/>
      <c r="P22" s="29"/>
      <c r="Q22" s="29"/>
      <c r="R22" s="29"/>
      <c r="S22" s="29"/>
      <c r="T22" s="29"/>
      <c r="U22" s="25"/>
      <c r="W22" s="173" t="s">
        <v>10</v>
      </c>
      <c r="X22" s="224">
        <v>2.2113999999999998E-2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112</v>
      </c>
      <c r="X23" s="224">
        <v>2.0355000000000002E-2</v>
      </c>
    </row>
    <row r="24" spans="2:24" ht="15.75" x14ac:dyDescent="0.25">
      <c r="B24" s="64"/>
      <c r="C24" s="73" t="s">
        <v>55</v>
      </c>
      <c r="D24" s="74"/>
      <c r="E24" s="75">
        <f>SUM(E8:E22)</f>
        <v>0.15784200000000001</v>
      </c>
      <c r="F24" s="29"/>
      <c r="G24" s="29"/>
      <c r="H24" s="29"/>
      <c r="I24" s="29"/>
      <c r="J24" s="29"/>
      <c r="K24" s="29"/>
      <c r="L24" s="29"/>
      <c r="M24" s="29"/>
      <c r="N24" s="29"/>
      <c r="O24" s="29"/>
      <c r="P24" s="29"/>
      <c r="Q24" s="29"/>
      <c r="R24" s="29"/>
      <c r="S24" s="29"/>
      <c r="T24" s="29"/>
      <c r="U24" s="25"/>
      <c r="W24" s="173" t="s">
        <v>118</v>
      </c>
      <c r="X24" s="224">
        <v>1.7030999999999998E-2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123</v>
      </c>
      <c r="X25" s="224">
        <v>1.6912E-2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117</v>
      </c>
      <c r="X26" s="224">
        <v>1.6694999999999998E-2</v>
      </c>
    </row>
    <row r="27" spans="2:24" x14ac:dyDescent="0.25">
      <c r="B27" s="64"/>
      <c r="C27" s="29"/>
      <c r="D27" s="29"/>
      <c r="E27" s="29"/>
      <c r="F27" s="29"/>
      <c r="G27" s="29"/>
      <c r="H27" s="29"/>
      <c r="I27" s="29"/>
      <c r="J27" s="29"/>
      <c r="K27" s="29"/>
      <c r="L27" s="29"/>
      <c r="M27" s="29"/>
      <c r="N27" s="29"/>
      <c r="O27" s="29"/>
      <c r="P27" s="29"/>
      <c r="Q27" s="29"/>
      <c r="R27" s="29"/>
      <c r="S27" s="29"/>
      <c r="T27" s="29"/>
      <c r="U27" s="25"/>
      <c r="W27" s="173" t="s">
        <v>113</v>
      </c>
      <c r="X27" s="224">
        <v>1.6616999999999996E-2</v>
      </c>
    </row>
    <row r="28" spans="2:24" x14ac:dyDescent="0.25">
      <c r="B28" s="64"/>
      <c r="C28" s="29"/>
      <c r="D28" s="29"/>
      <c r="E28" s="29"/>
      <c r="F28" s="29"/>
      <c r="G28" s="29"/>
      <c r="H28" s="29"/>
      <c r="I28" s="29"/>
      <c r="J28" s="29"/>
      <c r="K28" s="29"/>
      <c r="L28" s="29"/>
      <c r="M28" s="29"/>
      <c r="N28" s="29"/>
      <c r="O28" s="29"/>
      <c r="P28" s="29"/>
      <c r="Q28" s="29"/>
      <c r="R28" s="29"/>
      <c r="S28" s="29"/>
      <c r="T28" s="29"/>
      <c r="U28" s="25"/>
      <c r="W28" s="173" t="s">
        <v>25</v>
      </c>
      <c r="X28" s="224">
        <v>1.6305E-2</v>
      </c>
    </row>
    <row r="29" spans="2:24" x14ac:dyDescent="0.25">
      <c r="B29" s="64"/>
      <c r="C29" s="29"/>
      <c r="D29" s="29"/>
      <c r="E29" s="29"/>
      <c r="F29" s="29"/>
      <c r="G29" s="29"/>
      <c r="H29" s="29"/>
      <c r="I29" s="29"/>
      <c r="J29" s="29"/>
      <c r="K29" s="29"/>
      <c r="L29" s="29"/>
      <c r="M29" s="29"/>
      <c r="N29" s="29"/>
      <c r="O29" s="29"/>
      <c r="P29" s="29"/>
      <c r="Q29" s="29"/>
      <c r="R29" s="29"/>
      <c r="S29" s="29"/>
      <c r="T29" s="29"/>
      <c r="U29" s="25"/>
      <c r="W29" s="173" t="s">
        <v>94</v>
      </c>
      <c r="X29" s="224">
        <v>1.3111999999999999E-2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173" t="s">
        <v>114</v>
      </c>
      <c r="X30" s="224">
        <v>1.2318000000000001E-2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173" t="s">
        <v>26</v>
      </c>
      <c r="X31" s="224">
        <v>1.1505000000000001E-2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173" t="s">
        <v>105</v>
      </c>
      <c r="X32" s="224">
        <v>1.1168000000000001E-2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173" t="s">
        <v>107</v>
      </c>
      <c r="X33" s="224">
        <v>1.0872000000000001E-2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173" t="s">
        <v>86</v>
      </c>
      <c r="X34" s="224">
        <v>9.8090000000000017E-3</v>
      </c>
    </row>
    <row r="35" spans="2:24" x14ac:dyDescent="0.25">
      <c r="B35" s="64"/>
      <c r="C35" s="29"/>
      <c r="D35" s="29"/>
      <c r="E35" s="29"/>
      <c r="F35" s="29"/>
      <c r="G35" s="29"/>
      <c r="H35" s="29"/>
      <c r="I35" s="29"/>
      <c r="J35" s="29"/>
      <c r="K35" s="29"/>
      <c r="L35" s="29"/>
      <c r="M35" s="29"/>
      <c r="N35" s="29"/>
      <c r="O35" s="29"/>
      <c r="P35" s="29"/>
      <c r="Q35" s="29"/>
      <c r="R35" s="29"/>
      <c r="S35" s="29"/>
      <c r="T35" s="29"/>
      <c r="U35" s="25"/>
      <c r="W35" s="173" t="s">
        <v>121</v>
      </c>
      <c r="X35" s="224">
        <v>9.3629999999999998E-3</v>
      </c>
    </row>
    <row r="36" spans="2:24" x14ac:dyDescent="0.25">
      <c r="B36" s="64"/>
      <c r="C36" s="29"/>
      <c r="D36" s="29"/>
      <c r="E36" s="29"/>
      <c r="F36" s="29"/>
      <c r="G36" s="29"/>
      <c r="H36" s="29"/>
      <c r="I36" s="29"/>
      <c r="J36" s="29"/>
      <c r="K36" s="29"/>
      <c r="L36" s="29"/>
      <c r="M36" s="29"/>
      <c r="N36" s="29"/>
      <c r="O36" s="29"/>
      <c r="P36" s="29"/>
      <c r="Q36" s="29"/>
      <c r="R36" s="29"/>
      <c r="S36" s="29"/>
      <c r="T36" s="29"/>
      <c r="U36" s="25"/>
      <c r="W36" s="173" t="s">
        <v>82</v>
      </c>
      <c r="X36" s="224">
        <v>8.7410000000000005E-3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73" t="s">
        <v>12</v>
      </c>
      <c r="X37" s="224">
        <v>8.3899999999999999E-3</v>
      </c>
    </row>
    <row r="38" spans="2:24" ht="15.75" thickBot="1" x14ac:dyDescent="0.3">
      <c r="W38" s="173" t="s">
        <v>6</v>
      </c>
      <c r="X38" s="224">
        <v>7.5169999999999994E-3</v>
      </c>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173" t="s">
        <v>126</v>
      </c>
      <c r="X39" s="224">
        <v>6.6600000000000001E-3</v>
      </c>
    </row>
    <row r="40" spans="2:24" x14ac:dyDescent="0.25">
      <c r="B40" s="305"/>
      <c r="C40" s="306"/>
      <c r="D40" s="306"/>
      <c r="E40" s="306"/>
      <c r="F40" s="306"/>
      <c r="G40" s="306"/>
      <c r="H40" s="306"/>
      <c r="I40" s="306"/>
      <c r="J40" s="306"/>
      <c r="K40" s="306"/>
      <c r="L40" s="306"/>
      <c r="M40" s="306"/>
      <c r="N40" s="306"/>
      <c r="O40" s="306"/>
      <c r="P40" s="306"/>
      <c r="Q40" s="306"/>
      <c r="R40" s="307"/>
      <c r="W40" s="173" t="s">
        <v>124</v>
      </c>
      <c r="X40" s="224">
        <v>6.0270000000000002E-3</v>
      </c>
    </row>
    <row r="41" spans="2:24" x14ac:dyDescent="0.25">
      <c r="B41" s="305"/>
      <c r="C41" s="306"/>
      <c r="D41" s="306"/>
      <c r="E41" s="306"/>
      <c r="F41" s="306"/>
      <c r="G41" s="306"/>
      <c r="H41" s="306"/>
      <c r="I41" s="306"/>
      <c r="J41" s="306"/>
      <c r="K41" s="306"/>
      <c r="L41" s="306"/>
      <c r="M41" s="306"/>
      <c r="N41" s="306"/>
      <c r="O41" s="306"/>
      <c r="P41" s="306"/>
      <c r="Q41" s="306"/>
      <c r="R41" s="307"/>
      <c r="W41" s="173" t="s">
        <v>120</v>
      </c>
      <c r="X41" s="224">
        <v>5.7149999999999996E-3</v>
      </c>
    </row>
    <row r="42" spans="2:24" x14ac:dyDescent="0.25">
      <c r="B42" s="305"/>
      <c r="C42" s="306"/>
      <c r="D42" s="306"/>
      <c r="E42" s="306"/>
      <c r="F42" s="306"/>
      <c r="G42" s="306"/>
      <c r="H42" s="306"/>
      <c r="I42" s="306"/>
      <c r="J42" s="306"/>
      <c r="K42" s="306"/>
      <c r="L42" s="306"/>
      <c r="M42" s="306"/>
      <c r="N42" s="306"/>
      <c r="O42" s="306"/>
      <c r="P42" s="306"/>
      <c r="Q42" s="306"/>
      <c r="R42" s="307"/>
      <c r="W42" s="173" t="s">
        <v>183</v>
      </c>
      <c r="X42" s="224">
        <v>5.6779999999999999E-3</v>
      </c>
    </row>
    <row r="43" spans="2:24" x14ac:dyDescent="0.25">
      <c r="B43" s="305"/>
      <c r="C43" s="306"/>
      <c r="D43" s="306"/>
      <c r="E43" s="306"/>
      <c r="F43" s="306"/>
      <c r="G43" s="306"/>
      <c r="H43" s="306"/>
      <c r="I43" s="306"/>
      <c r="J43" s="306"/>
      <c r="K43" s="306"/>
      <c r="L43" s="306"/>
      <c r="M43" s="306"/>
      <c r="N43" s="306"/>
      <c r="O43" s="306"/>
      <c r="P43" s="306"/>
      <c r="Q43" s="306"/>
      <c r="R43" s="307"/>
      <c r="W43" s="173" t="s">
        <v>127</v>
      </c>
      <c r="X43" s="224">
        <v>5.4029999999999998E-3</v>
      </c>
    </row>
    <row r="44" spans="2:24" x14ac:dyDescent="0.25">
      <c r="B44" s="305"/>
      <c r="C44" s="306"/>
      <c r="D44" s="306"/>
      <c r="E44" s="306"/>
      <c r="F44" s="306"/>
      <c r="G44" s="306"/>
      <c r="H44" s="306"/>
      <c r="I44" s="306"/>
      <c r="J44" s="306"/>
      <c r="K44" s="306"/>
      <c r="L44" s="306"/>
      <c r="M44" s="306"/>
      <c r="N44" s="306"/>
      <c r="O44" s="306"/>
      <c r="P44" s="306"/>
      <c r="Q44" s="306"/>
      <c r="R44" s="307"/>
      <c r="W44" s="173" t="s">
        <v>85</v>
      </c>
      <c r="X44" s="224">
        <v>5.2700000000000004E-3</v>
      </c>
    </row>
    <row r="45" spans="2:24" ht="15.75" thickBot="1" x14ac:dyDescent="0.3">
      <c r="B45" s="308"/>
      <c r="C45" s="309"/>
      <c r="D45" s="309"/>
      <c r="E45" s="309"/>
      <c r="F45" s="309"/>
      <c r="G45" s="309"/>
      <c r="H45" s="309"/>
      <c r="I45" s="309"/>
      <c r="J45" s="309"/>
      <c r="K45" s="309"/>
      <c r="L45" s="309"/>
      <c r="M45" s="309"/>
      <c r="N45" s="309"/>
      <c r="O45" s="309"/>
      <c r="P45" s="309"/>
      <c r="Q45" s="309"/>
      <c r="R45" s="310"/>
      <c r="W45" s="173" t="s">
        <v>11</v>
      </c>
      <c r="X45" s="224">
        <v>5.0379999999999999E-3</v>
      </c>
    </row>
    <row r="46" spans="2:24" x14ac:dyDescent="0.25">
      <c r="W46" s="173" t="s">
        <v>212</v>
      </c>
      <c r="X46" s="224">
        <v>5.0369999999999998E-3</v>
      </c>
    </row>
    <row r="47" spans="2:24" x14ac:dyDescent="0.25">
      <c r="W47" s="173" t="s">
        <v>326</v>
      </c>
      <c r="X47" s="224">
        <v>4.9800000000000001E-3</v>
      </c>
    </row>
    <row r="48" spans="2:24" x14ac:dyDescent="0.25">
      <c r="W48" s="173" t="s">
        <v>145</v>
      </c>
      <c r="X48" s="224">
        <v>4.4270000000000004E-3</v>
      </c>
    </row>
    <row r="49" spans="23:24" x14ac:dyDescent="0.25">
      <c r="W49" s="173" t="s">
        <v>15</v>
      </c>
      <c r="X49" s="224">
        <v>4.261E-3</v>
      </c>
    </row>
    <row r="50" spans="23:24" x14ac:dyDescent="0.25">
      <c r="W50" s="173" t="s">
        <v>122</v>
      </c>
      <c r="X50" s="224">
        <v>3.1329999999999999E-3</v>
      </c>
    </row>
    <row r="51" spans="23:24" x14ac:dyDescent="0.25">
      <c r="W51" s="173" t="s">
        <v>111</v>
      </c>
      <c r="X51" s="224">
        <v>2.8080000000000002E-3</v>
      </c>
    </row>
    <row r="52" spans="23:24" x14ac:dyDescent="0.25">
      <c r="W52" s="173" t="s">
        <v>129</v>
      </c>
      <c r="X52" s="224">
        <v>2.2030000000000001E-3</v>
      </c>
    </row>
    <row r="53" spans="23:24" x14ac:dyDescent="0.25">
      <c r="W53" s="173"/>
      <c r="X53" s="224"/>
    </row>
    <row r="54" spans="23:24" x14ac:dyDescent="0.25">
      <c r="W54" s="173"/>
      <c r="X54" s="224"/>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260</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413</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v>
      </c>
      <c r="D8" s="185" t="s">
        <v>3</v>
      </c>
      <c r="E8" s="186">
        <v>7.5695999999999999E-2</v>
      </c>
      <c r="F8" s="29"/>
      <c r="G8" s="29"/>
      <c r="H8" s="29"/>
      <c r="I8" s="29"/>
      <c r="J8" s="29"/>
      <c r="K8" s="29"/>
      <c r="L8" s="29"/>
      <c r="M8" s="29"/>
      <c r="N8" s="29"/>
      <c r="O8" s="29"/>
      <c r="P8" s="29"/>
      <c r="Q8" s="29"/>
      <c r="R8" s="29"/>
      <c r="S8" s="29"/>
      <c r="T8" s="29"/>
      <c r="U8" s="25"/>
      <c r="W8" s="173" t="s">
        <v>3</v>
      </c>
      <c r="X8" s="224">
        <v>0.20288699999999998</v>
      </c>
    </row>
    <row r="9" spans="1:24" ht="15.75" x14ac:dyDescent="0.25">
      <c r="B9" s="64"/>
      <c r="C9" s="180" t="s">
        <v>32</v>
      </c>
      <c r="D9" s="187" t="s">
        <v>3</v>
      </c>
      <c r="E9" s="188">
        <v>5.1799999999999999E-2</v>
      </c>
      <c r="F9" s="29"/>
      <c r="G9" s="29"/>
      <c r="H9" s="29"/>
      <c r="I9" s="29"/>
      <c r="J9" s="29"/>
      <c r="K9" s="29"/>
      <c r="L9" s="29"/>
      <c r="M9" s="29"/>
      <c r="N9" s="29"/>
      <c r="O9" s="29"/>
      <c r="P9" s="29"/>
      <c r="Q9" s="29"/>
      <c r="R9" s="29"/>
      <c r="S9" s="29"/>
      <c r="T9" s="29"/>
      <c r="U9" s="25"/>
      <c r="W9" s="173" t="s">
        <v>106</v>
      </c>
      <c r="X9" s="224">
        <v>8.5255000000000011E-2</v>
      </c>
    </row>
    <row r="10" spans="1:24" ht="15.75" x14ac:dyDescent="0.25">
      <c r="B10" s="64"/>
      <c r="C10" s="180" t="s">
        <v>31</v>
      </c>
      <c r="D10" s="187" t="s">
        <v>6</v>
      </c>
      <c r="E10" s="188">
        <v>4.7022000000000001E-2</v>
      </c>
      <c r="F10" s="29"/>
      <c r="G10" s="29"/>
      <c r="H10" s="29"/>
      <c r="I10" s="29"/>
      <c r="J10" s="29"/>
      <c r="K10" s="29"/>
      <c r="L10" s="29"/>
      <c r="M10" s="29"/>
      <c r="N10" s="29"/>
      <c r="O10" s="29"/>
      <c r="P10" s="29"/>
      <c r="Q10" s="29"/>
      <c r="R10" s="29"/>
      <c r="S10" s="29"/>
      <c r="T10" s="29"/>
      <c r="U10" s="25"/>
      <c r="W10" s="173" t="s">
        <v>4</v>
      </c>
      <c r="X10" s="224">
        <v>6.2753000000000017E-2</v>
      </c>
    </row>
    <row r="11" spans="1:24" ht="15.75" x14ac:dyDescent="0.25">
      <c r="B11" s="64"/>
      <c r="C11" s="180" t="s">
        <v>28</v>
      </c>
      <c r="D11" s="187" t="s">
        <v>106</v>
      </c>
      <c r="E11" s="188">
        <v>3.0776000000000001E-2</v>
      </c>
      <c r="F11" s="29"/>
      <c r="G11" s="29"/>
      <c r="H11" s="29"/>
      <c r="I11" s="29"/>
      <c r="J11" s="29"/>
      <c r="K11" s="29"/>
      <c r="L11" s="29"/>
      <c r="M11" s="29"/>
      <c r="N11" s="29"/>
      <c r="O11" s="29"/>
      <c r="P11" s="29"/>
      <c r="Q11" s="29"/>
      <c r="R11" s="29"/>
      <c r="S11" s="29"/>
      <c r="T11" s="29"/>
      <c r="U11" s="25"/>
      <c r="W11" s="173" t="s">
        <v>6</v>
      </c>
      <c r="X11" s="224">
        <v>5.5367E-2</v>
      </c>
    </row>
    <row r="12" spans="1:24" ht="15.75" x14ac:dyDescent="0.25">
      <c r="B12" s="64"/>
      <c r="C12" s="180" t="s">
        <v>70</v>
      </c>
      <c r="D12" s="187" t="s">
        <v>12</v>
      </c>
      <c r="E12" s="188">
        <v>2.5312999999999999E-2</v>
      </c>
      <c r="F12" s="29"/>
      <c r="G12" s="29"/>
      <c r="H12" s="29"/>
      <c r="I12" s="29"/>
      <c r="J12" s="29"/>
      <c r="K12" s="29"/>
      <c r="L12" s="29"/>
      <c r="M12" s="29"/>
      <c r="N12" s="29"/>
      <c r="O12" s="29"/>
      <c r="P12" s="29"/>
      <c r="Q12" s="29"/>
      <c r="R12" s="29"/>
      <c r="S12" s="29"/>
      <c r="T12" s="29"/>
      <c r="U12" s="25"/>
      <c r="W12" s="173" t="s">
        <v>110</v>
      </c>
      <c r="X12" s="224">
        <v>4.9715000000000016E-2</v>
      </c>
    </row>
    <row r="13" spans="1:24" ht="15.75" x14ac:dyDescent="0.25">
      <c r="B13" s="64"/>
      <c r="C13" s="180" t="s">
        <v>34</v>
      </c>
      <c r="D13" s="187" t="s">
        <v>23</v>
      </c>
      <c r="E13" s="188">
        <v>2.2308999999999999E-2</v>
      </c>
      <c r="F13" s="29"/>
      <c r="G13" s="29"/>
      <c r="H13" s="29"/>
      <c r="I13" s="29"/>
      <c r="J13" s="29"/>
      <c r="K13" s="29"/>
      <c r="L13" s="29"/>
      <c r="M13" s="29"/>
      <c r="N13" s="29"/>
      <c r="O13" s="29"/>
      <c r="P13" s="29"/>
      <c r="Q13" s="29"/>
      <c r="R13" s="29"/>
      <c r="S13" s="29"/>
      <c r="T13" s="29"/>
      <c r="U13" s="25"/>
      <c r="W13" s="173" t="s">
        <v>111</v>
      </c>
      <c r="X13" s="224">
        <v>4.5063000000000006E-2</v>
      </c>
    </row>
    <row r="14" spans="1:24" ht="15.75" x14ac:dyDescent="0.25">
      <c r="B14" s="64"/>
      <c r="C14" s="180" t="s">
        <v>30</v>
      </c>
      <c r="D14" s="187" t="s">
        <v>116</v>
      </c>
      <c r="E14" s="188">
        <v>2.0761000000000002E-2</v>
      </c>
      <c r="F14" s="29"/>
      <c r="G14" s="29"/>
      <c r="H14" s="29"/>
      <c r="I14" s="29"/>
      <c r="J14" s="29"/>
      <c r="K14" s="29"/>
      <c r="L14" s="29"/>
      <c r="M14" s="29"/>
      <c r="N14" s="29"/>
      <c r="O14" s="29"/>
      <c r="P14" s="29"/>
      <c r="Q14" s="29"/>
      <c r="R14" s="29"/>
      <c r="S14" s="29"/>
      <c r="T14" s="29"/>
      <c r="U14" s="25"/>
      <c r="W14" s="173" t="s">
        <v>10</v>
      </c>
      <c r="X14" s="224">
        <v>3.4315999999999999E-2</v>
      </c>
    </row>
    <row r="15" spans="1:24" ht="15.75" x14ac:dyDescent="0.25">
      <c r="B15" s="64"/>
      <c r="C15" s="180" t="s">
        <v>33</v>
      </c>
      <c r="D15" s="187" t="s">
        <v>106</v>
      </c>
      <c r="E15" s="188">
        <v>2.0042999999999998E-2</v>
      </c>
      <c r="F15" s="29"/>
      <c r="G15" s="29"/>
      <c r="H15" s="29"/>
      <c r="I15" s="29"/>
      <c r="J15" s="29"/>
      <c r="K15" s="29"/>
      <c r="L15" s="29"/>
      <c r="M15" s="29"/>
      <c r="N15" s="29"/>
      <c r="O15" s="29"/>
      <c r="P15" s="29"/>
      <c r="Q15" s="29"/>
      <c r="R15" s="29"/>
      <c r="S15" s="29"/>
      <c r="T15" s="29"/>
      <c r="U15" s="25"/>
      <c r="W15" s="173" t="s">
        <v>116</v>
      </c>
      <c r="X15" s="224">
        <v>3.1673E-2</v>
      </c>
    </row>
    <row r="16" spans="1:24" ht="15.75" x14ac:dyDescent="0.25">
      <c r="B16" s="64"/>
      <c r="C16" s="180" t="s">
        <v>35</v>
      </c>
      <c r="D16" s="187" t="s">
        <v>3</v>
      </c>
      <c r="E16" s="188">
        <v>1.7378000000000001E-2</v>
      </c>
      <c r="F16" s="29"/>
      <c r="G16" s="29"/>
      <c r="H16" s="29"/>
      <c r="I16" s="29"/>
      <c r="J16" s="29"/>
      <c r="K16" s="29"/>
      <c r="L16" s="29"/>
      <c r="M16" s="29"/>
      <c r="N16" s="29"/>
      <c r="O16" s="29"/>
      <c r="P16" s="29"/>
      <c r="Q16" s="29"/>
      <c r="R16" s="29"/>
      <c r="S16" s="29"/>
      <c r="T16" s="29"/>
      <c r="U16" s="25"/>
      <c r="W16" s="173" t="s">
        <v>12</v>
      </c>
      <c r="X16" s="224">
        <v>3.1058999999999996E-2</v>
      </c>
    </row>
    <row r="17" spans="2:24" ht="15.75" x14ac:dyDescent="0.25">
      <c r="B17" s="64"/>
      <c r="C17" s="180" t="s">
        <v>36</v>
      </c>
      <c r="D17" s="187" t="s">
        <v>3</v>
      </c>
      <c r="E17" s="188">
        <v>1.7139000000000001E-2</v>
      </c>
      <c r="F17" s="29"/>
      <c r="G17" s="29"/>
      <c r="H17" s="29"/>
      <c r="I17" s="29"/>
      <c r="J17" s="29"/>
      <c r="K17" s="29"/>
      <c r="L17" s="29"/>
      <c r="M17" s="29"/>
      <c r="N17" s="29"/>
      <c r="O17" s="29"/>
      <c r="P17" s="29"/>
      <c r="Q17" s="29"/>
      <c r="R17" s="29"/>
      <c r="S17" s="29"/>
      <c r="T17" s="29"/>
      <c r="U17" s="25"/>
      <c r="W17" s="173" t="s">
        <v>16</v>
      </c>
      <c r="X17" s="224">
        <v>3.0190999999999999E-2</v>
      </c>
    </row>
    <row r="18" spans="2:24" ht="15.75" x14ac:dyDescent="0.25">
      <c r="B18" s="64"/>
      <c r="C18" s="180" t="s">
        <v>78</v>
      </c>
      <c r="D18" s="187" t="s">
        <v>3</v>
      </c>
      <c r="E18" s="188">
        <v>1.6133000000000002E-2</v>
      </c>
      <c r="F18" s="29"/>
      <c r="G18" s="29"/>
      <c r="H18" s="29"/>
      <c r="I18" s="29"/>
      <c r="J18" s="29"/>
      <c r="K18" s="29"/>
      <c r="L18" s="29"/>
      <c r="M18" s="29"/>
      <c r="N18" s="29"/>
      <c r="O18" s="29"/>
      <c r="P18" s="29"/>
      <c r="Q18" s="29"/>
      <c r="R18" s="29"/>
      <c r="S18" s="29"/>
      <c r="T18" s="29"/>
      <c r="U18" s="25"/>
      <c r="W18" s="173" t="s">
        <v>23</v>
      </c>
      <c r="X18" s="224">
        <v>2.9700000000000001E-2</v>
      </c>
    </row>
    <row r="19" spans="2:24" ht="15.75" x14ac:dyDescent="0.25">
      <c r="B19" s="64"/>
      <c r="C19" s="180" t="s">
        <v>119</v>
      </c>
      <c r="D19" s="187" t="s">
        <v>111</v>
      </c>
      <c r="E19" s="188">
        <v>1.2855E-2</v>
      </c>
      <c r="F19" s="29"/>
      <c r="G19" s="29"/>
      <c r="H19" s="29"/>
      <c r="I19" s="29"/>
      <c r="J19" s="29"/>
      <c r="K19" s="29"/>
      <c r="L19" s="29"/>
      <c r="M19" s="29"/>
      <c r="N19" s="29"/>
      <c r="O19" s="29"/>
      <c r="P19" s="29"/>
      <c r="Q19" s="29"/>
      <c r="R19" s="29"/>
      <c r="S19" s="29"/>
      <c r="T19" s="29"/>
      <c r="U19" s="25"/>
      <c r="W19" s="173" t="s">
        <v>26</v>
      </c>
      <c r="X19" s="224">
        <v>2.5779000000000003E-2</v>
      </c>
    </row>
    <row r="20" spans="2:24" ht="15.75" x14ac:dyDescent="0.25">
      <c r="B20" s="64"/>
      <c r="C20" s="180" t="s">
        <v>80</v>
      </c>
      <c r="D20" s="187" t="s">
        <v>4</v>
      </c>
      <c r="E20" s="188">
        <v>1.274E-2</v>
      </c>
      <c r="F20" s="29"/>
      <c r="G20" s="29"/>
      <c r="H20" s="29"/>
      <c r="I20" s="29"/>
      <c r="J20" s="29"/>
      <c r="K20" s="29"/>
      <c r="L20" s="29"/>
      <c r="M20" s="29"/>
      <c r="N20" s="29"/>
      <c r="O20" s="29"/>
      <c r="P20" s="29"/>
      <c r="Q20" s="29"/>
      <c r="R20" s="29"/>
      <c r="S20" s="29"/>
      <c r="T20" s="29"/>
      <c r="U20" s="25"/>
      <c r="W20" s="173" t="s">
        <v>82</v>
      </c>
      <c r="X20" s="224">
        <v>2.1385000000000001E-2</v>
      </c>
    </row>
    <row r="21" spans="2:24" ht="15.75" x14ac:dyDescent="0.25">
      <c r="B21" s="64"/>
      <c r="C21" s="180" t="s">
        <v>37</v>
      </c>
      <c r="D21" s="187" t="s">
        <v>116</v>
      </c>
      <c r="E21" s="188">
        <v>1.0912E-2</v>
      </c>
      <c r="F21" s="29"/>
      <c r="G21" s="29"/>
      <c r="H21" s="29"/>
      <c r="I21" s="29"/>
      <c r="J21" s="29"/>
      <c r="K21" s="29"/>
      <c r="L21" s="29"/>
      <c r="M21" s="29"/>
      <c r="N21" s="29"/>
      <c r="O21" s="29"/>
      <c r="P21" s="29"/>
      <c r="Q21" s="29"/>
      <c r="R21" s="29"/>
      <c r="S21" s="29"/>
      <c r="T21" s="29"/>
      <c r="U21" s="25"/>
      <c r="W21" s="173" t="s">
        <v>24</v>
      </c>
      <c r="X21" s="224">
        <v>1.9599999999999999E-2</v>
      </c>
    </row>
    <row r="22" spans="2:24" ht="30" x14ac:dyDescent="0.25">
      <c r="B22" s="64"/>
      <c r="C22" s="180" t="s">
        <v>250</v>
      </c>
      <c r="D22" s="187" t="s">
        <v>110</v>
      </c>
      <c r="E22" s="188">
        <v>1.0181000000000001E-2</v>
      </c>
      <c r="F22" s="29"/>
      <c r="G22" s="29"/>
      <c r="H22" s="29"/>
      <c r="I22" s="29"/>
      <c r="J22" s="29"/>
      <c r="K22" s="29"/>
      <c r="L22" s="29"/>
      <c r="M22" s="29"/>
      <c r="N22" s="29"/>
      <c r="O22" s="29"/>
      <c r="P22" s="29"/>
      <c r="Q22" s="29"/>
      <c r="R22" s="29"/>
      <c r="S22" s="29"/>
      <c r="T22" s="29"/>
      <c r="U22" s="25"/>
      <c r="W22" s="173" t="s">
        <v>109</v>
      </c>
      <c r="X22" s="224">
        <v>1.9221999999999996E-2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118</v>
      </c>
      <c r="X23" s="224">
        <v>1.8128999999999996E-2</v>
      </c>
    </row>
    <row r="24" spans="2:24" ht="15.75" x14ac:dyDescent="0.25">
      <c r="B24" s="64"/>
      <c r="C24" s="73" t="s">
        <v>55</v>
      </c>
      <c r="D24" s="74"/>
      <c r="E24" s="75">
        <f>SUM(E8:E22)</f>
        <v>0.39105800000000002</v>
      </c>
      <c r="F24" s="29"/>
      <c r="G24" s="29"/>
      <c r="H24" s="29"/>
      <c r="I24" s="29"/>
      <c r="J24" s="29"/>
      <c r="K24" s="29"/>
      <c r="L24" s="29"/>
      <c r="M24" s="29"/>
      <c r="N24" s="29"/>
      <c r="O24" s="29"/>
      <c r="P24" s="29"/>
      <c r="Q24" s="29"/>
      <c r="R24" s="29"/>
      <c r="S24" s="29"/>
      <c r="T24" s="29"/>
      <c r="U24" s="25"/>
      <c r="W24" s="173" t="s">
        <v>11</v>
      </c>
      <c r="X24" s="224">
        <v>1.6982000000000004E-2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115</v>
      </c>
      <c r="X25" s="224">
        <v>1.5907000000000001E-2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85</v>
      </c>
      <c r="X26" s="224">
        <v>1.5722000000000003E-2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84</v>
      </c>
      <c r="X27" s="62">
        <v>1.5660000000000004E-2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76</v>
      </c>
      <c r="X28" s="62">
        <v>1.5283E-2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112</v>
      </c>
      <c r="X29" s="62">
        <v>1.2597000000000001E-2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86</v>
      </c>
      <c r="X30" s="62">
        <v>1.2536E-2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83</v>
      </c>
      <c r="X31" s="62">
        <v>9.8049999999999977E-3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107</v>
      </c>
      <c r="X32" s="62">
        <v>9.4239999999999984E-3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114</v>
      </c>
      <c r="X33" s="62">
        <v>8.541E-3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123</v>
      </c>
      <c r="X34" s="62">
        <v>8.4069999999999995E-3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105</v>
      </c>
      <c r="X35" s="62">
        <v>8.4030000000000007E-3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15</v>
      </c>
      <c r="X36" s="62">
        <v>7.5500000000000003E-3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120</v>
      </c>
      <c r="X37" s="62">
        <v>7.5119999999999996E-3</v>
      </c>
    </row>
    <row r="38" spans="2:24" ht="15.75" thickBot="1" x14ac:dyDescent="0.3">
      <c r="W38" s="61" t="s">
        <v>25</v>
      </c>
      <c r="X38" s="62">
        <v>7.4649999999999994E-3</v>
      </c>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t="s">
        <v>129</v>
      </c>
      <c r="X39" s="62">
        <v>6.9059999999999998E-3</v>
      </c>
    </row>
    <row r="40" spans="2:24" x14ac:dyDescent="0.25">
      <c r="B40" s="305"/>
      <c r="C40" s="306"/>
      <c r="D40" s="306"/>
      <c r="E40" s="306"/>
      <c r="F40" s="306"/>
      <c r="G40" s="306"/>
      <c r="H40" s="306"/>
      <c r="I40" s="306"/>
      <c r="J40" s="306"/>
      <c r="K40" s="306"/>
      <c r="L40" s="306"/>
      <c r="M40" s="306"/>
      <c r="N40" s="306"/>
      <c r="O40" s="306"/>
      <c r="P40" s="306"/>
      <c r="Q40" s="306"/>
      <c r="R40" s="307"/>
      <c r="W40" s="61" t="s">
        <v>117</v>
      </c>
      <c r="X40" s="62">
        <v>6.7230000000000007E-3</v>
      </c>
    </row>
    <row r="41" spans="2:24" x14ac:dyDescent="0.25">
      <c r="B41" s="305"/>
      <c r="C41" s="306"/>
      <c r="D41" s="306"/>
      <c r="E41" s="306"/>
      <c r="F41" s="306"/>
      <c r="G41" s="306"/>
      <c r="H41" s="306"/>
      <c r="I41" s="306"/>
      <c r="J41" s="306"/>
      <c r="K41" s="306"/>
      <c r="L41" s="306"/>
      <c r="M41" s="306"/>
      <c r="N41" s="306"/>
      <c r="O41" s="306"/>
      <c r="P41" s="306"/>
      <c r="Q41" s="306"/>
      <c r="R41" s="307"/>
      <c r="W41" s="61" t="s">
        <v>13</v>
      </c>
      <c r="X41" s="62">
        <v>6.3569999999999998E-3</v>
      </c>
    </row>
    <row r="42" spans="2:24" x14ac:dyDescent="0.25">
      <c r="B42" s="305"/>
      <c r="C42" s="306"/>
      <c r="D42" s="306"/>
      <c r="E42" s="306"/>
      <c r="F42" s="306"/>
      <c r="G42" s="306"/>
      <c r="H42" s="306"/>
      <c r="I42" s="306"/>
      <c r="J42" s="306"/>
      <c r="K42" s="306"/>
      <c r="L42" s="306"/>
      <c r="M42" s="306"/>
      <c r="N42" s="306"/>
      <c r="O42" s="306"/>
      <c r="P42" s="306"/>
      <c r="Q42" s="306"/>
      <c r="R42" s="307"/>
      <c r="W42" s="61" t="s">
        <v>136</v>
      </c>
      <c r="X42" s="62">
        <v>5.8070000000000005E-3</v>
      </c>
    </row>
    <row r="43" spans="2:24" x14ac:dyDescent="0.25">
      <c r="B43" s="305"/>
      <c r="C43" s="306"/>
      <c r="D43" s="306"/>
      <c r="E43" s="306"/>
      <c r="F43" s="306"/>
      <c r="G43" s="306"/>
      <c r="H43" s="306"/>
      <c r="I43" s="306"/>
      <c r="J43" s="306"/>
      <c r="K43" s="306"/>
      <c r="L43" s="306"/>
      <c r="M43" s="306"/>
      <c r="N43" s="306"/>
      <c r="O43" s="306"/>
      <c r="P43" s="306"/>
      <c r="Q43" s="306"/>
      <c r="R43" s="307"/>
      <c r="W43" s="61" t="s">
        <v>130</v>
      </c>
      <c r="X43" s="62">
        <v>4.9230000000000003E-3</v>
      </c>
    </row>
    <row r="44" spans="2:24" x14ac:dyDescent="0.25">
      <c r="B44" s="305"/>
      <c r="C44" s="306"/>
      <c r="D44" s="306"/>
      <c r="E44" s="306"/>
      <c r="F44" s="306"/>
      <c r="G44" s="306"/>
      <c r="H44" s="306"/>
      <c r="I44" s="306"/>
      <c r="J44" s="306"/>
      <c r="K44" s="306"/>
      <c r="L44" s="306"/>
      <c r="M44" s="306"/>
      <c r="N44" s="306"/>
      <c r="O44" s="306"/>
      <c r="P44" s="306"/>
      <c r="Q44" s="306"/>
      <c r="R44" s="307"/>
      <c r="W44" s="61" t="s">
        <v>182</v>
      </c>
      <c r="X44" s="62">
        <v>4.4559999999999999E-3</v>
      </c>
    </row>
    <row r="45" spans="2:24" ht="15.75" thickBot="1" x14ac:dyDescent="0.3">
      <c r="B45" s="308"/>
      <c r="C45" s="309"/>
      <c r="D45" s="309"/>
      <c r="E45" s="309"/>
      <c r="F45" s="309"/>
      <c r="G45" s="309"/>
      <c r="H45" s="309"/>
      <c r="I45" s="309"/>
      <c r="J45" s="309"/>
      <c r="K45" s="309"/>
      <c r="L45" s="309"/>
      <c r="M45" s="309"/>
      <c r="N45" s="309"/>
      <c r="O45" s="309"/>
      <c r="P45" s="309"/>
      <c r="Q45" s="309"/>
      <c r="R45" s="310"/>
      <c r="W45" s="61" t="s">
        <v>132</v>
      </c>
      <c r="X45" s="62">
        <v>4.28E-3</v>
      </c>
    </row>
    <row r="46" spans="2:24" x14ac:dyDescent="0.25">
      <c r="W46" s="61" t="s">
        <v>121</v>
      </c>
      <c r="X46" s="62">
        <v>4.0769999999999999E-3</v>
      </c>
    </row>
    <row r="47" spans="2:24" x14ac:dyDescent="0.25">
      <c r="W47" s="61" t="s">
        <v>131</v>
      </c>
      <c r="X47" s="62">
        <v>3.3660000000000001E-3</v>
      </c>
    </row>
    <row r="48" spans="2:24" x14ac:dyDescent="0.25">
      <c r="W48" s="61" t="s">
        <v>113</v>
      </c>
      <c r="X48" s="62">
        <v>3.2030000000000006E-3</v>
      </c>
    </row>
    <row r="49" spans="23:24" x14ac:dyDescent="0.25">
      <c r="W49" s="61" t="s">
        <v>125</v>
      </c>
      <c r="X49" s="62">
        <v>2.9630000000000004E-3</v>
      </c>
    </row>
    <row r="50" spans="23:24" x14ac:dyDescent="0.25">
      <c r="W50" s="61" t="s">
        <v>126</v>
      </c>
      <c r="X50" s="62">
        <v>2.7900000000000004E-3</v>
      </c>
    </row>
    <row r="51" spans="23:24" x14ac:dyDescent="0.25">
      <c r="W51" s="61" t="s">
        <v>145</v>
      </c>
      <c r="X51" s="62">
        <v>2.7650000000000005E-3</v>
      </c>
    </row>
    <row r="52" spans="23:24" x14ac:dyDescent="0.25">
      <c r="W52" s="61" t="s">
        <v>94</v>
      </c>
      <c r="X52" s="62">
        <v>1.9680000000000001E-3</v>
      </c>
    </row>
    <row r="53" spans="23:24" x14ac:dyDescent="0.25">
      <c r="W53" s="61" t="s">
        <v>122</v>
      </c>
      <c r="X53" s="62">
        <v>1.1559999999999999E-3</v>
      </c>
    </row>
    <row r="54" spans="23:24" x14ac:dyDescent="0.25">
      <c r="W54" s="61" t="s">
        <v>124</v>
      </c>
      <c r="X54" s="62">
        <v>6.9099999999999999E-4</v>
      </c>
    </row>
    <row r="55" spans="23:24" x14ac:dyDescent="0.25">
      <c r="W55" s="61" t="s">
        <v>326</v>
      </c>
      <c r="X55" s="62">
        <v>6.2799999999999998E-4</v>
      </c>
    </row>
    <row r="56" spans="23:24" x14ac:dyDescent="0.25">
      <c r="W56" s="61" t="s">
        <v>265</v>
      </c>
      <c r="X56" s="62">
        <v>6.2199999999999994E-4</v>
      </c>
    </row>
    <row r="57" spans="23:24" x14ac:dyDescent="0.25">
      <c r="W57" s="61" t="s">
        <v>127</v>
      </c>
      <c r="X57" s="62">
        <v>5.9499999999999993E-4</v>
      </c>
    </row>
    <row r="58" spans="23:24" x14ac:dyDescent="0.25">
      <c r="W58" s="61" t="s">
        <v>183</v>
      </c>
      <c r="X58" s="62">
        <v>5.2399999999999994E-4</v>
      </c>
    </row>
    <row r="59" spans="23:24" x14ac:dyDescent="0.25">
      <c r="W59" s="61" t="s">
        <v>212</v>
      </c>
      <c r="X59" s="62">
        <v>4.6799999999999999E-4</v>
      </c>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276</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414</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v>
      </c>
      <c r="D8" s="185" t="s">
        <v>3</v>
      </c>
      <c r="E8" s="186">
        <v>0.28287899999999999</v>
      </c>
      <c r="F8" s="29"/>
      <c r="G8" s="29"/>
      <c r="H8" s="29"/>
      <c r="I8" s="29"/>
      <c r="J8" s="29"/>
      <c r="K8" s="29"/>
      <c r="L8" s="29"/>
      <c r="M8" s="29"/>
      <c r="N8" s="29"/>
      <c r="O8" s="29"/>
      <c r="P8" s="29"/>
      <c r="Q8" s="29"/>
      <c r="R8" s="29"/>
      <c r="S8" s="29"/>
      <c r="T8" s="29"/>
      <c r="U8" s="25"/>
      <c r="W8" s="173" t="s">
        <v>3</v>
      </c>
      <c r="X8" s="224">
        <v>1.000564</v>
      </c>
    </row>
    <row r="9" spans="1:24" ht="15.75" x14ac:dyDescent="0.25">
      <c r="B9" s="64"/>
      <c r="C9" s="180" t="s">
        <v>32</v>
      </c>
      <c r="D9" s="187" t="s">
        <v>3</v>
      </c>
      <c r="E9" s="188">
        <v>0.25398700000000002</v>
      </c>
      <c r="F9" s="29"/>
      <c r="G9" s="29"/>
      <c r="H9" s="29"/>
      <c r="I9" s="29"/>
      <c r="J9" s="29"/>
      <c r="K9" s="29"/>
      <c r="L9" s="29"/>
      <c r="M9" s="29"/>
      <c r="N9" s="29"/>
      <c r="O9" s="29"/>
      <c r="P9" s="29"/>
      <c r="Q9" s="29"/>
      <c r="R9" s="29"/>
      <c r="S9" s="29"/>
      <c r="T9" s="29"/>
      <c r="U9" s="25"/>
      <c r="W9" s="173"/>
      <c r="X9" s="224"/>
    </row>
    <row r="10" spans="1:24" ht="15.75" x14ac:dyDescent="0.25">
      <c r="B10" s="64"/>
      <c r="C10" s="180" t="s">
        <v>35</v>
      </c>
      <c r="D10" s="187" t="s">
        <v>3</v>
      </c>
      <c r="E10" s="188">
        <v>8.5341E-2</v>
      </c>
      <c r="F10" s="29"/>
      <c r="G10" s="29"/>
      <c r="H10" s="29"/>
      <c r="I10" s="29"/>
      <c r="J10" s="29"/>
      <c r="K10" s="29"/>
      <c r="L10" s="29"/>
      <c r="M10" s="29"/>
      <c r="N10" s="29"/>
      <c r="O10" s="29"/>
      <c r="P10" s="29"/>
      <c r="Q10" s="29"/>
      <c r="R10" s="29"/>
      <c r="S10" s="29"/>
      <c r="T10" s="29"/>
      <c r="U10" s="25"/>
      <c r="W10" s="173"/>
      <c r="X10" s="224"/>
    </row>
    <row r="11" spans="1:24" ht="15.75" x14ac:dyDescent="0.25">
      <c r="B11" s="64"/>
      <c r="C11" s="180" t="s">
        <v>78</v>
      </c>
      <c r="D11" s="187" t="s">
        <v>3</v>
      </c>
      <c r="E11" s="188">
        <v>8.5153000000000006E-2</v>
      </c>
      <c r="F11" s="29"/>
      <c r="G11" s="29"/>
      <c r="H11" s="29"/>
      <c r="I11" s="29"/>
      <c r="J11" s="29"/>
      <c r="K11" s="29"/>
      <c r="L11" s="29"/>
      <c r="M11" s="29"/>
      <c r="N11" s="29"/>
      <c r="O11" s="29"/>
      <c r="P11" s="29"/>
      <c r="Q11" s="29"/>
      <c r="R11" s="29"/>
      <c r="S11" s="29"/>
      <c r="T11" s="29"/>
      <c r="U11" s="25"/>
      <c r="W11" s="173"/>
      <c r="X11" s="224"/>
    </row>
    <row r="12" spans="1:24" ht="15.75" x14ac:dyDescent="0.25">
      <c r="B12" s="64"/>
      <c r="C12" s="180" t="s">
        <v>36</v>
      </c>
      <c r="D12" s="187" t="s">
        <v>3</v>
      </c>
      <c r="E12" s="188">
        <v>8.4034999999999999E-2</v>
      </c>
      <c r="F12" s="29"/>
      <c r="G12" s="29"/>
      <c r="H12" s="29"/>
      <c r="I12" s="29"/>
      <c r="J12" s="29"/>
      <c r="K12" s="29"/>
      <c r="L12" s="29"/>
      <c r="M12" s="29"/>
      <c r="N12" s="29"/>
      <c r="O12" s="29"/>
      <c r="P12" s="29"/>
      <c r="Q12" s="29"/>
      <c r="R12" s="29"/>
      <c r="S12" s="29"/>
      <c r="T12" s="29"/>
      <c r="U12" s="25"/>
      <c r="W12" s="173"/>
      <c r="X12" s="224"/>
    </row>
    <row r="13" spans="1:24" ht="15.75" x14ac:dyDescent="0.25">
      <c r="B13" s="64"/>
      <c r="C13" s="180" t="s">
        <v>261</v>
      </c>
      <c r="D13" s="187" t="s">
        <v>3</v>
      </c>
      <c r="E13" s="188">
        <v>3.8072000000000002E-2</v>
      </c>
      <c r="F13" s="29"/>
      <c r="G13" s="29"/>
      <c r="H13" s="29"/>
      <c r="I13" s="29"/>
      <c r="J13" s="29"/>
      <c r="K13" s="29"/>
      <c r="L13" s="29"/>
      <c r="M13" s="29"/>
      <c r="N13" s="29"/>
      <c r="O13" s="29"/>
      <c r="P13" s="29"/>
      <c r="Q13" s="29"/>
      <c r="R13" s="29"/>
      <c r="S13" s="29"/>
      <c r="T13" s="29"/>
      <c r="U13" s="25"/>
      <c r="W13" s="173"/>
      <c r="X13" s="224"/>
    </row>
    <row r="14" spans="1:24" ht="15.75" x14ac:dyDescent="0.25">
      <c r="B14" s="64"/>
      <c r="C14" s="180" t="s">
        <v>134</v>
      </c>
      <c r="D14" s="187" t="s">
        <v>3</v>
      </c>
      <c r="E14" s="188">
        <v>3.4484000000000001E-2</v>
      </c>
      <c r="F14" s="29"/>
      <c r="G14" s="29"/>
      <c r="H14" s="29"/>
      <c r="I14" s="29"/>
      <c r="J14" s="29"/>
      <c r="K14" s="29"/>
      <c r="L14" s="29"/>
      <c r="M14" s="29"/>
      <c r="N14" s="29"/>
      <c r="O14" s="29"/>
      <c r="P14" s="29"/>
      <c r="Q14" s="29"/>
      <c r="R14" s="29"/>
      <c r="S14" s="29"/>
      <c r="T14" s="29"/>
      <c r="U14" s="25"/>
      <c r="W14" s="173"/>
      <c r="X14" s="224"/>
    </row>
    <row r="15" spans="1:24" ht="15.75" x14ac:dyDescent="0.25">
      <c r="B15" s="64"/>
      <c r="C15" s="180" t="s">
        <v>274</v>
      </c>
      <c r="D15" s="187" t="s">
        <v>3</v>
      </c>
      <c r="E15" s="188">
        <v>3.4099999999999998E-2</v>
      </c>
      <c r="F15" s="29"/>
      <c r="G15" s="29"/>
      <c r="H15" s="29"/>
      <c r="I15" s="29"/>
      <c r="J15" s="29"/>
      <c r="K15" s="29"/>
      <c r="L15" s="29"/>
      <c r="M15" s="29"/>
      <c r="N15" s="29"/>
      <c r="O15" s="29"/>
      <c r="P15" s="29"/>
      <c r="Q15" s="29"/>
      <c r="R15" s="29"/>
      <c r="S15" s="29"/>
      <c r="T15" s="29"/>
      <c r="U15" s="25"/>
      <c r="W15" s="173"/>
      <c r="X15" s="224"/>
    </row>
    <row r="16" spans="1:24" ht="15.75" x14ac:dyDescent="0.25">
      <c r="B16" s="64"/>
      <c r="C16" s="180" t="s">
        <v>275</v>
      </c>
      <c r="D16" s="187" t="s">
        <v>3</v>
      </c>
      <c r="E16" s="188">
        <v>2.7453000000000002E-2</v>
      </c>
      <c r="F16" s="29"/>
      <c r="G16" s="29"/>
      <c r="H16" s="29"/>
      <c r="I16" s="29"/>
      <c r="J16" s="29"/>
      <c r="K16" s="29"/>
      <c r="L16" s="29"/>
      <c r="M16" s="29"/>
      <c r="N16" s="29"/>
      <c r="O16" s="29"/>
      <c r="P16" s="29"/>
      <c r="Q16" s="29"/>
      <c r="R16" s="29"/>
      <c r="S16" s="29"/>
      <c r="T16" s="29"/>
      <c r="U16" s="25"/>
      <c r="W16" s="173"/>
      <c r="X16" s="224"/>
    </row>
    <row r="17" spans="2:24" ht="15.75" x14ac:dyDescent="0.25">
      <c r="B17" s="64"/>
      <c r="C17" s="180" t="s">
        <v>268</v>
      </c>
      <c r="D17" s="187" t="s">
        <v>3</v>
      </c>
      <c r="E17" s="188">
        <v>2.6705E-2</v>
      </c>
      <c r="F17" s="29"/>
      <c r="G17" s="29"/>
      <c r="H17" s="29"/>
      <c r="I17" s="29"/>
      <c r="J17" s="29"/>
      <c r="K17" s="29"/>
      <c r="L17" s="29"/>
      <c r="M17" s="29"/>
      <c r="N17" s="29"/>
      <c r="O17" s="29"/>
      <c r="P17" s="29"/>
      <c r="Q17" s="29"/>
      <c r="R17" s="29"/>
      <c r="S17" s="29"/>
      <c r="T17" s="29"/>
      <c r="U17" s="25"/>
      <c r="W17" s="173"/>
      <c r="X17" s="224"/>
    </row>
    <row r="18" spans="2:24" ht="15.75" x14ac:dyDescent="0.25">
      <c r="B18" s="64"/>
      <c r="C18" s="180" t="s">
        <v>255</v>
      </c>
      <c r="D18" s="187" t="s">
        <v>3</v>
      </c>
      <c r="E18" s="188">
        <v>2.418E-2</v>
      </c>
      <c r="F18" s="29"/>
      <c r="G18" s="29"/>
      <c r="H18" s="29"/>
      <c r="I18" s="29"/>
      <c r="J18" s="29"/>
      <c r="K18" s="29"/>
      <c r="L18" s="29"/>
      <c r="M18" s="29"/>
      <c r="N18" s="29"/>
      <c r="O18" s="29"/>
      <c r="P18" s="29"/>
      <c r="Q18" s="29"/>
      <c r="R18" s="29"/>
      <c r="S18" s="29"/>
      <c r="T18" s="29"/>
      <c r="U18" s="25"/>
      <c r="W18" s="173"/>
      <c r="X18" s="224"/>
    </row>
    <row r="19" spans="2:24" ht="15.75" x14ac:dyDescent="0.25">
      <c r="B19" s="64"/>
      <c r="C19" s="180" t="s">
        <v>289</v>
      </c>
      <c r="D19" s="187" t="s">
        <v>3</v>
      </c>
      <c r="E19" s="188">
        <v>2.4174999999999999E-2</v>
      </c>
      <c r="F19" s="29"/>
      <c r="G19" s="29"/>
      <c r="H19" s="29"/>
      <c r="I19" s="29"/>
      <c r="J19" s="29"/>
      <c r="K19" s="29"/>
      <c r="L19" s="29"/>
      <c r="M19" s="29"/>
      <c r="N19" s="29"/>
      <c r="O19" s="29"/>
      <c r="P19" s="29"/>
      <c r="Q19" s="29"/>
      <c r="R19" s="29"/>
      <c r="S19" s="29"/>
      <c r="T19" s="29"/>
      <c r="U19" s="25"/>
      <c r="W19" s="173"/>
      <c r="X19" s="224"/>
    </row>
    <row r="20" spans="2:24" ht="15.75" x14ac:dyDescent="0.25">
      <c r="B20" s="64"/>
      <c r="C20" s="73" t="s">
        <v>55</v>
      </c>
      <c r="D20" s="74"/>
      <c r="E20" s="75">
        <f>SUM(E8:E19)</f>
        <v>1.000564</v>
      </c>
      <c r="F20" s="29"/>
      <c r="G20" s="29"/>
      <c r="H20" s="29"/>
      <c r="I20" s="29"/>
      <c r="J20" s="29"/>
      <c r="K20" s="29"/>
      <c r="L20" s="29"/>
      <c r="M20" s="29"/>
      <c r="N20" s="29"/>
      <c r="O20" s="29"/>
      <c r="P20" s="29"/>
      <c r="Q20" s="29"/>
      <c r="R20" s="29"/>
      <c r="S20" s="29"/>
      <c r="T20" s="29"/>
      <c r="U20" s="25"/>
      <c r="W20" s="173"/>
      <c r="X20" s="224"/>
    </row>
    <row r="21" spans="2:24" x14ac:dyDescent="0.25">
      <c r="B21" s="64"/>
      <c r="C21" s="29"/>
      <c r="D21" s="29"/>
      <c r="E21" s="29"/>
      <c r="F21" s="29"/>
      <c r="G21" s="29"/>
      <c r="H21" s="29"/>
      <c r="I21" s="29"/>
      <c r="J21" s="29"/>
      <c r="K21" s="29"/>
      <c r="L21" s="29"/>
      <c r="M21" s="29"/>
      <c r="N21" s="29"/>
      <c r="O21" s="29"/>
      <c r="P21" s="29"/>
      <c r="Q21" s="29"/>
      <c r="R21" s="29"/>
      <c r="S21" s="29"/>
      <c r="T21" s="29"/>
      <c r="U21" s="25"/>
      <c r="W21" s="173"/>
      <c r="X21" s="224"/>
    </row>
    <row r="22" spans="2:24" x14ac:dyDescent="0.25">
      <c r="B22" s="64"/>
      <c r="C22" s="29"/>
      <c r="D22" s="29"/>
      <c r="E22" s="29"/>
      <c r="F22" s="29"/>
      <c r="G22" s="29"/>
      <c r="H22" s="29"/>
      <c r="I22" s="29"/>
      <c r="J22" s="29"/>
      <c r="K22" s="29"/>
      <c r="L22" s="29"/>
      <c r="M22" s="29"/>
      <c r="N22" s="29"/>
      <c r="O22" s="29"/>
      <c r="P22" s="29"/>
      <c r="Q22" s="29"/>
      <c r="R22" s="29"/>
      <c r="S22" s="29"/>
      <c r="T22" s="29"/>
      <c r="U22" s="25"/>
      <c r="W22" s="173"/>
      <c r="X22" s="224"/>
    </row>
    <row r="23" spans="2:24" x14ac:dyDescent="0.25">
      <c r="B23" s="64"/>
      <c r="C23" s="29"/>
      <c r="D23" s="29"/>
      <c r="E23" s="29"/>
      <c r="F23" s="29"/>
      <c r="G23" s="29"/>
      <c r="H23" s="29"/>
      <c r="I23" s="29"/>
      <c r="J23" s="29"/>
      <c r="K23" s="29"/>
      <c r="L23" s="29"/>
      <c r="M23" s="29"/>
      <c r="N23" s="29"/>
      <c r="O23" s="29"/>
      <c r="P23" s="29"/>
      <c r="Q23" s="29"/>
      <c r="R23" s="29"/>
      <c r="S23" s="29"/>
      <c r="T23" s="29"/>
      <c r="U23" s="25"/>
      <c r="W23" s="173"/>
      <c r="X23" s="224"/>
    </row>
    <row r="24" spans="2:24" x14ac:dyDescent="0.25">
      <c r="B24" s="64"/>
      <c r="C24" s="29"/>
      <c r="D24" s="29"/>
      <c r="E24" s="29"/>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6.7109375" style="19" bestFit="1"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290</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415</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250</v>
      </c>
      <c r="D8" s="185" t="s">
        <v>110</v>
      </c>
      <c r="E8" s="186">
        <v>0.151008</v>
      </c>
      <c r="F8" s="29"/>
      <c r="G8" s="29"/>
      <c r="H8" s="29"/>
      <c r="I8" s="29"/>
      <c r="J8" s="29"/>
      <c r="K8" s="29"/>
      <c r="L8" s="29"/>
      <c r="M8" s="29"/>
      <c r="N8" s="29"/>
      <c r="O8" s="29"/>
      <c r="P8" s="29"/>
      <c r="Q8" s="29"/>
      <c r="R8" s="29"/>
      <c r="S8" s="29"/>
      <c r="T8" s="29"/>
      <c r="U8" s="25"/>
      <c r="W8" s="173" t="s">
        <v>110</v>
      </c>
      <c r="X8" s="224">
        <v>0.75346000000000024</v>
      </c>
    </row>
    <row r="9" spans="1:24" ht="15.75" x14ac:dyDescent="0.25">
      <c r="B9" s="64"/>
      <c r="C9" s="180" t="s">
        <v>103</v>
      </c>
      <c r="D9" s="187" t="s">
        <v>110</v>
      </c>
      <c r="E9" s="188">
        <v>6.5683000000000005E-2</v>
      </c>
      <c r="F9" s="29"/>
      <c r="G9" s="29"/>
      <c r="H9" s="29"/>
      <c r="I9" s="29"/>
      <c r="J9" s="29"/>
      <c r="K9" s="29"/>
      <c r="L9" s="29"/>
      <c r="M9" s="29"/>
      <c r="N9" s="29"/>
      <c r="O9" s="29"/>
      <c r="P9" s="29"/>
      <c r="Q9" s="29"/>
      <c r="R9" s="29"/>
      <c r="S9" s="29"/>
      <c r="T9" s="29"/>
      <c r="U9" s="25"/>
      <c r="W9" s="173" t="s">
        <v>76</v>
      </c>
      <c r="X9" s="224">
        <v>0.23810800000000004</v>
      </c>
    </row>
    <row r="10" spans="1:24" ht="15.75" x14ac:dyDescent="0.25">
      <c r="B10" s="64"/>
      <c r="C10" s="180" t="s">
        <v>291</v>
      </c>
      <c r="D10" s="187" t="s">
        <v>76</v>
      </c>
      <c r="E10" s="188">
        <v>6.5305000000000002E-2</v>
      </c>
      <c r="F10" s="29"/>
      <c r="G10" s="29"/>
      <c r="H10" s="29"/>
      <c r="I10" s="29"/>
      <c r="J10" s="29"/>
      <c r="K10" s="29"/>
      <c r="L10" s="29"/>
      <c r="M10" s="29"/>
      <c r="N10" s="29"/>
      <c r="O10" s="29"/>
      <c r="P10" s="29"/>
      <c r="Q10" s="29"/>
      <c r="R10" s="29"/>
      <c r="S10" s="29"/>
      <c r="T10" s="29"/>
      <c r="U10" s="25"/>
      <c r="W10" s="173" t="s">
        <v>212</v>
      </c>
      <c r="X10" s="224">
        <v>7.3309999999999998E-3</v>
      </c>
    </row>
    <row r="11" spans="1:24" ht="15.75" x14ac:dyDescent="0.25">
      <c r="B11" s="64"/>
      <c r="C11" s="180" t="s">
        <v>292</v>
      </c>
      <c r="D11" s="187" t="s">
        <v>110</v>
      </c>
      <c r="E11" s="188">
        <v>5.9281E-2</v>
      </c>
      <c r="F11" s="29"/>
      <c r="G11" s="29"/>
      <c r="H11" s="29"/>
      <c r="I11" s="29"/>
      <c r="J11" s="29"/>
      <c r="K11" s="29"/>
      <c r="L11" s="29"/>
      <c r="M11" s="29"/>
      <c r="N11" s="29"/>
      <c r="O11" s="29"/>
      <c r="P11" s="29"/>
      <c r="Q11" s="29"/>
      <c r="R11" s="29"/>
      <c r="S11" s="29"/>
      <c r="T11" s="29"/>
      <c r="U11" s="25"/>
      <c r="W11" s="173"/>
      <c r="X11" s="224"/>
    </row>
    <row r="12" spans="1:24" ht="15.75" x14ac:dyDescent="0.25">
      <c r="B12" s="64"/>
      <c r="C12" s="180" t="s">
        <v>141</v>
      </c>
      <c r="D12" s="187" t="s">
        <v>110</v>
      </c>
      <c r="E12" s="188">
        <v>5.6159000000000001E-2</v>
      </c>
      <c r="F12" s="29"/>
      <c r="G12" s="29"/>
      <c r="H12" s="29"/>
      <c r="I12" s="29"/>
      <c r="J12" s="29"/>
      <c r="K12" s="29"/>
      <c r="L12" s="29"/>
      <c r="M12" s="29"/>
      <c r="N12" s="29"/>
      <c r="O12" s="29"/>
      <c r="P12" s="29"/>
      <c r="Q12" s="29"/>
      <c r="R12" s="29"/>
      <c r="S12" s="29"/>
      <c r="T12" s="29"/>
      <c r="U12" s="25"/>
      <c r="W12" s="173"/>
      <c r="X12" s="224"/>
    </row>
    <row r="13" spans="1:24" ht="15.75" x14ac:dyDescent="0.25">
      <c r="B13" s="64"/>
      <c r="C13" s="180" t="s">
        <v>286</v>
      </c>
      <c r="D13" s="187" t="s">
        <v>76</v>
      </c>
      <c r="E13" s="188">
        <v>5.3720999999999998E-2</v>
      </c>
      <c r="F13" s="29"/>
      <c r="G13" s="29"/>
      <c r="H13" s="29"/>
      <c r="I13" s="29"/>
      <c r="J13" s="29"/>
      <c r="K13" s="29"/>
      <c r="L13" s="29"/>
      <c r="M13" s="29"/>
      <c r="N13" s="29"/>
      <c r="O13" s="29"/>
      <c r="P13" s="29"/>
      <c r="Q13" s="29"/>
      <c r="R13" s="29"/>
      <c r="S13" s="29"/>
      <c r="T13" s="29"/>
      <c r="U13" s="25"/>
      <c r="W13" s="173"/>
      <c r="X13" s="224"/>
    </row>
    <row r="14" spans="1:24" ht="15.75" x14ac:dyDescent="0.25">
      <c r="B14" s="64"/>
      <c r="C14" s="180" t="s">
        <v>293</v>
      </c>
      <c r="D14" s="187" t="s">
        <v>110</v>
      </c>
      <c r="E14" s="188">
        <v>3.9515000000000002E-2</v>
      </c>
      <c r="F14" s="29"/>
      <c r="G14" s="29"/>
      <c r="H14" s="29"/>
      <c r="I14" s="29"/>
      <c r="J14" s="29"/>
      <c r="K14" s="29"/>
      <c r="L14" s="29"/>
      <c r="M14" s="29"/>
      <c r="N14" s="29"/>
      <c r="O14" s="29"/>
      <c r="P14" s="29"/>
      <c r="Q14" s="29"/>
      <c r="R14" s="29"/>
      <c r="S14" s="29"/>
      <c r="T14" s="29"/>
      <c r="U14" s="25"/>
      <c r="W14" s="173"/>
      <c r="X14" s="224"/>
    </row>
    <row r="15" spans="1:24" ht="15.75" x14ac:dyDescent="0.25">
      <c r="B15" s="64"/>
      <c r="C15" s="180" t="s">
        <v>294</v>
      </c>
      <c r="D15" s="187" t="s">
        <v>76</v>
      </c>
      <c r="E15" s="188">
        <v>2.9326000000000001E-2</v>
      </c>
      <c r="F15" s="29"/>
      <c r="G15" s="29"/>
      <c r="H15" s="29"/>
      <c r="I15" s="29"/>
      <c r="J15" s="29"/>
      <c r="K15" s="29"/>
      <c r="L15" s="29"/>
      <c r="M15" s="29"/>
      <c r="N15" s="29"/>
      <c r="O15" s="29"/>
      <c r="P15" s="29"/>
      <c r="Q15" s="29"/>
      <c r="R15" s="29"/>
      <c r="S15" s="29"/>
      <c r="T15" s="29"/>
      <c r="U15" s="25"/>
      <c r="W15" s="173"/>
      <c r="X15" s="224"/>
    </row>
    <row r="16" spans="1:24" ht="15.75" x14ac:dyDescent="0.25">
      <c r="B16" s="64"/>
      <c r="C16" s="180" t="s">
        <v>269</v>
      </c>
      <c r="D16" s="187" t="s">
        <v>110</v>
      </c>
      <c r="E16" s="188">
        <v>2.7359000000000001E-2</v>
      </c>
      <c r="F16" s="29"/>
      <c r="G16" s="29"/>
      <c r="H16" s="29"/>
      <c r="I16" s="29"/>
      <c r="J16" s="29"/>
      <c r="K16" s="29"/>
      <c r="L16" s="29"/>
      <c r="M16" s="29"/>
      <c r="N16" s="29"/>
      <c r="O16" s="29"/>
      <c r="P16" s="29"/>
      <c r="Q16" s="29"/>
      <c r="R16" s="29"/>
      <c r="S16" s="29"/>
      <c r="T16" s="29"/>
      <c r="U16" s="25"/>
      <c r="W16" s="173"/>
      <c r="X16" s="224"/>
    </row>
    <row r="17" spans="2:24" ht="15.75" x14ac:dyDescent="0.25">
      <c r="B17" s="64"/>
      <c r="C17" s="180" t="s">
        <v>271</v>
      </c>
      <c r="D17" s="187" t="s">
        <v>110</v>
      </c>
      <c r="E17" s="188">
        <v>2.6057E-2</v>
      </c>
      <c r="F17" s="29"/>
      <c r="G17" s="29"/>
      <c r="H17" s="29"/>
      <c r="I17" s="29"/>
      <c r="J17" s="29"/>
      <c r="K17" s="29"/>
      <c r="L17" s="29"/>
      <c r="M17" s="29"/>
      <c r="N17" s="29"/>
      <c r="O17" s="29"/>
      <c r="P17" s="29"/>
      <c r="Q17" s="29"/>
      <c r="R17" s="29"/>
      <c r="S17" s="29"/>
      <c r="T17" s="29"/>
      <c r="U17" s="25"/>
      <c r="W17" s="173"/>
      <c r="X17" s="224"/>
    </row>
    <row r="18" spans="2:24" ht="15.75" x14ac:dyDescent="0.25">
      <c r="B18" s="64"/>
      <c r="C18" s="180" t="s">
        <v>206</v>
      </c>
      <c r="D18" s="187" t="s">
        <v>110</v>
      </c>
      <c r="E18" s="188">
        <v>2.1753000000000002E-2</v>
      </c>
      <c r="F18" s="29"/>
      <c r="G18" s="29"/>
      <c r="H18" s="29"/>
      <c r="I18" s="29"/>
      <c r="J18" s="29"/>
      <c r="K18" s="29"/>
      <c r="L18" s="29"/>
      <c r="M18" s="29"/>
      <c r="N18" s="29"/>
      <c r="O18" s="29"/>
      <c r="P18" s="29"/>
      <c r="Q18" s="29"/>
      <c r="R18" s="29"/>
      <c r="S18" s="29"/>
      <c r="T18" s="29"/>
      <c r="U18" s="25"/>
      <c r="W18" s="173"/>
      <c r="X18" s="224"/>
    </row>
    <row r="19" spans="2:24" ht="15.75" x14ac:dyDescent="0.25">
      <c r="B19" s="64"/>
      <c r="C19" s="180" t="s">
        <v>254</v>
      </c>
      <c r="D19" s="187" t="s">
        <v>110</v>
      </c>
      <c r="E19" s="188">
        <v>2.068E-2</v>
      </c>
      <c r="F19" s="29"/>
      <c r="G19" s="29"/>
      <c r="H19" s="29"/>
      <c r="I19" s="29"/>
      <c r="J19" s="29"/>
      <c r="K19" s="29"/>
      <c r="L19" s="29"/>
      <c r="M19" s="29"/>
      <c r="N19" s="29"/>
      <c r="O19" s="29"/>
      <c r="P19" s="29"/>
      <c r="Q19" s="29"/>
      <c r="R19" s="29"/>
      <c r="S19" s="29"/>
      <c r="T19" s="29"/>
      <c r="U19" s="25"/>
      <c r="W19" s="173"/>
      <c r="X19" s="224"/>
    </row>
    <row r="20" spans="2:24" ht="15.75" x14ac:dyDescent="0.25">
      <c r="B20" s="64"/>
      <c r="C20" s="180" t="s">
        <v>308</v>
      </c>
      <c r="D20" s="187" t="s">
        <v>110</v>
      </c>
      <c r="E20" s="188">
        <v>1.9206000000000001E-2</v>
      </c>
      <c r="F20" s="29"/>
      <c r="G20" s="29"/>
      <c r="H20" s="29"/>
      <c r="I20" s="29"/>
      <c r="J20" s="29"/>
      <c r="K20" s="29"/>
      <c r="L20" s="29"/>
      <c r="M20" s="29"/>
      <c r="N20" s="29"/>
      <c r="O20" s="29"/>
      <c r="P20" s="29"/>
      <c r="Q20" s="29"/>
      <c r="R20" s="29"/>
      <c r="S20" s="29"/>
      <c r="T20" s="29"/>
      <c r="U20" s="25"/>
      <c r="W20" s="173"/>
      <c r="X20" s="224"/>
    </row>
    <row r="21" spans="2:24" ht="15.75" x14ac:dyDescent="0.25">
      <c r="B21" s="64"/>
      <c r="C21" s="180" t="s">
        <v>237</v>
      </c>
      <c r="D21" s="187" t="s">
        <v>110</v>
      </c>
      <c r="E21" s="188">
        <v>1.8567E-2</v>
      </c>
      <c r="F21" s="29"/>
      <c r="G21" s="29"/>
      <c r="H21" s="29"/>
      <c r="I21" s="29"/>
      <c r="J21" s="29"/>
      <c r="K21" s="29"/>
      <c r="L21" s="29"/>
      <c r="M21" s="29"/>
      <c r="N21" s="29"/>
      <c r="O21" s="29"/>
      <c r="P21" s="29"/>
      <c r="Q21" s="29"/>
      <c r="R21" s="29"/>
      <c r="S21" s="29"/>
      <c r="T21" s="29"/>
      <c r="U21" s="25"/>
      <c r="W21" s="173"/>
      <c r="X21" s="224"/>
    </row>
    <row r="22" spans="2:24" ht="15.75" x14ac:dyDescent="0.25">
      <c r="B22" s="64"/>
      <c r="C22" s="180" t="s">
        <v>295</v>
      </c>
      <c r="D22" s="187" t="s">
        <v>110</v>
      </c>
      <c r="E22" s="188">
        <v>1.7954999999999999E-2</v>
      </c>
      <c r="F22" s="29"/>
      <c r="G22" s="29"/>
      <c r="H22" s="29"/>
      <c r="I22" s="29"/>
      <c r="J22" s="29"/>
      <c r="K22" s="29"/>
      <c r="L22" s="29"/>
      <c r="M22" s="29"/>
      <c r="N22" s="29"/>
      <c r="O22" s="29"/>
      <c r="P22" s="29"/>
      <c r="Q22" s="29"/>
      <c r="R22" s="29"/>
      <c r="S22" s="29"/>
      <c r="T22" s="29"/>
      <c r="U22" s="25"/>
      <c r="W22" s="173"/>
      <c r="X22" s="224"/>
    </row>
    <row r="23" spans="2:24" x14ac:dyDescent="0.25">
      <c r="B23" s="64"/>
      <c r="C23" s="71"/>
      <c r="D23" s="71"/>
      <c r="E23" s="72"/>
      <c r="F23" s="29"/>
      <c r="G23" s="29"/>
      <c r="H23" s="29"/>
      <c r="I23" s="29"/>
      <c r="J23" s="29"/>
      <c r="K23" s="29"/>
      <c r="L23" s="29"/>
      <c r="M23" s="29"/>
      <c r="N23" s="29"/>
      <c r="O23" s="29"/>
      <c r="P23" s="29"/>
      <c r="Q23" s="29"/>
      <c r="R23" s="29"/>
      <c r="S23" s="29"/>
      <c r="T23" s="29"/>
      <c r="U23" s="25"/>
      <c r="W23" s="173"/>
      <c r="X23" s="224"/>
    </row>
    <row r="24" spans="2:24" ht="15.75" x14ac:dyDescent="0.25">
      <c r="B24" s="64"/>
      <c r="C24" s="73" t="s">
        <v>55</v>
      </c>
      <c r="D24" s="74"/>
      <c r="E24" s="75">
        <f>SUM(E8:E22)</f>
        <v>0.67157500000000003</v>
      </c>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296</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416</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291</v>
      </c>
      <c r="D8" s="185" t="s">
        <v>76</v>
      </c>
      <c r="E8" s="186">
        <v>2.5867000000000001E-2</v>
      </c>
      <c r="F8" s="29"/>
      <c r="G8" s="29"/>
      <c r="H8" s="29"/>
      <c r="I8" s="29"/>
      <c r="J8" s="29"/>
      <c r="K8" s="29"/>
      <c r="L8" s="29"/>
      <c r="M8" s="29"/>
      <c r="N8" s="29"/>
      <c r="O8" s="29"/>
      <c r="P8" s="29"/>
      <c r="Q8" s="29"/>
      <c r="R8" s="29"/>
      <c r="S8" s="29"/>
      <c r="T8" s="29"/>
      <c r="U8" s="25"/>
      <c r="W8" s="173" t="s">
        <v>110</v>
      </c>
      <c r="X8" s="224">
        <v>7.8056999999999988E-2</v>
      </c>
    </row>
    <row r="9" spans="1:24" ht="15.75" x14ac:dyDescent="0.25">
      <c r="B9" s="64"/>
      <c r="C9" s="180" t="s">
        <v>239</v>
      </c>
      <c r="D9" s="187" t="s">
        <v>84</v>
      </c>
      <c r="E9" s="188">
        <v>2.3604E-2</v>
      </c>
      <c r="F9" s="29"/>
      <c r="G9" s="29"/>
      <c r="H9" s="29"/>
      <c r="I9" s="29"/>
      <c r="J9" s="29"/>
      <c r="K9" s="29"/>
      <c r="L9" s="29"/>
      <c r="M9" s="29"/>
      <c r="N9" s="29"/>
      <c r="O9" s="29"/>
      <c r="P9" s="29"/>
      <c r="Q9" s="29"/>
      <c r="R9" s="29"/>
      <c r="S9" s="29"/>
      <c r="T9" s="29"/>
      <c r="U9" s="25"/>
      <c r="W9" s="173" t="s">
        <v>3</v>
      </c>
      <c r="X9" s="224">
        <v>6.9528999999999994E-2</v>
      </c>
    </row>
    <row r="10" spans="1:24" ht="15.75" x14ac:dyDescent="0.25">
      <c r="B10" s="64"/>
      <c r="C10" s="180" t="s">
        <v>240</v>
      </c>
      <c r="D10" s="187" t="s">
        <v>118</v>
      </c>
      <c r="E10" s="188">
        <v>2.1337999999999999E-2</v>
      </c>
      <c r="F10" s="29"/>
      <c r="G10" s="29"/>
      <c r="H10" s="29"/>
      <c r="I10" s="29"/>
      <c r="J10" s="29"/>
      <c r="K10" s="29"/>
      <c r="L10" s="29"/>
      <c r="M10" s="29"/>
      <c r="N10" s="29"/>
      <c r="O10" s="29"/>
      <c r="P10" s="29"/>
      <c r="Q10" s="29"/>
      <c r="R10" s="29"/>
      <c r="S10" s="29"/>
      <c r="T10" s="29"/>
      <c r="U10" s="25"/>
      <c r="W10" s="173" t="s">
        <v>109</v>
      </c>
      <c r="X10" s="224">
        <v>6.3365000000000005E-2</v>
      </c>
    </row>
    <row r="11" spans="1:24" ht="15.75" x14ac:dyDescent="0.25">
      <c r="B11" s="64"/>
      <c r="C11" s="180" t="s">
        <v>184</v>
      </c>
      <c r="D11" s="187" t="s">
        <v>106</v>
      </c>
      <c r="E11" s="188">
        <v>1.8627000000000001E-2</v>
      </c>
      <c r="F11" s="29"/>
      <c r="G11" s="29"/>
      <c r="H11" s="29"/>
      <c r="I11" s="29"/>
      <c r="J11" s="29"/>
      <c r="K11" s="29"/>
      <c r="L11" s="29"/>
      <c r="M11" s="29"/>
      <c r="N11" s="29"/>
      <c r="O11" s="29"/>
      <c r="P11" s="29"/>
      <c r="Q11" s="29"/>
      <c r="R11" s="29"/>
      <c r="S11" s="29"/>
      <c r="T11" s="29"/>
      <c r="U11" s="25"/>
      <c r="W11" s="173" t="s">
        <v>106</v>
      </c>
      <c r="X11" s="224">
        <v>6.3189999999999996E-2</v>
      </c>
    </row>
    <row r="12" spans="1:24" ht="15.75" x14ac:dyDescent="0.25">
      <c r="B12" s="64"/>
      <c r="C12" s="180" t="s">
        <v>189</v>
      </c>
      <c r="D12" s="187" t="s">
        <v>106</v>
      </c>
      <c r="E12" s="188">
        <v>1.7153999999999999E-2</v>
      </c>
      <c r="F12" s="29"/>
      <c r="G12" s="29"/>
      <c r="H12" s="29"/>
      <c r="I12" s="29"/>
      <c r="J12" s="29"/>
      <c r="K12" s="29"/>
      <c r="L12" s="29"/>
      <c r="M12" s="29"/>
      <c r="N12" s="29"/>
      <c r="O12" s="29"/>
      <c r="P12" s="29"/>
      <c r="Q12" s="29"/>
      <c r="R12" s="29"/>
      <c r="S12" s="29"/>
      <c r="T12" s="29"/>
      <c r="U12" s="25"/>
      <c r="W12" s="173" t="s">
        <v>4</v>
      </c>
      <c r="X12" s="224">
        <v>5.7671E-2</v>
      </c>
    </row>
    <row r="13" spans="1:24" ht="15.75" x14ac:dyDescent="0.25">
      <c r="B13" s="64"/>
      <c r="C13" s="180" t="s">
        <v>219</v>
      </c>
      <c r="D13" s="187" t="s">
        <v>182</v>
      </c>
      <c r="E13" s="188">
        <v>1.6693E-2</v>
      </c>
      <c r="F13" s="29"/>
      <c r="G13" s="29"/>
      <c r="H13" s="29"/>
      <c r="I13" s="29"/>
      <c r="J13" s="29"/>
      <c r="K13" s="29"/>
      <c r="L13" s="29"/>
      <c r="M13" s="29"/>
      <c r="N13" s="29"/>
      <c r="O13" s="29"/>
      <c r="P13" s="29"/>
      <c r="Q13" s="29"/>
      <c r="R13" s="29"/>
      <c r="S13" s="29"/>
      <c r="T13" s="29"/>
      <c r="U13" s="25"/>
      <c r="W13" s="173" t="s">
        <v>118</v>
      </c>
      <c r="X13" s="224">
        <v>5.2828E-2</v>
      </c>
    </row>
    <row r="14" spans="1:24" ht="15.75" x14ac:dyDescent="0.25">
      <c r="B14" s="64"/>
      <c r="C14" s="180" t="s">
        <v>232</v>
      </c>
      <c r="D14" s="187" t="s">
        <v>16</v>
      </c>
      <c r="E14" s="188">
        <v>1.6109999999999999E-2</v>
      </c>
      <c r="F14" s="29"/>
      <c r="G14" s="29"/>
      <c r="H14" s="29"/>
      <c r="I14" s="29"/>
      <c r="J14" s="29"/>
      <c r="K14" s="29"/>
      <c r="L14" s="29"/>
      <c r="M14" s="29"/>
      <c r="N14" s="29"/>
      <c r="O14" s="29"/>
      <c r="P14" s="29"/>
      <c r="Q14" s="29"/>
      <c r="R14" s="29"/>
      <c r="S14" s="29"/>
      <c r="T14" s="29"/>
      <c r="U14" s="25"/>
      <c r="W14" s="173" t="s">
        <v>24</v>
      </c>
      <c r="X14" s="224">
        <v>5.1995E-2</v>
      </c>
    </row>
    <row r="15" spans="1:24" ht="15.75" x14ac:dyDescent="0.25">
      <c r="B15" s="64"/>
      <c r="C15" s="180" t="s">
        <v>293</v>
      </c>
      <c r="D15" s="187" t="s">
        <v>110</v>
      </c>
      <c r="E15" s="188">
        <v>1.5540999999999999E-2</v>
      </c>
      <c r="F15" s="29"/>
      <c r="G15" s="29"/>
      <c r="H15" s="29"/>
      <c r="I15" s="29"/>
      <c r="J15" s="29"/>
      <c r="K15" s="29"/>
      <c r="L15" s="29"/>
      <c r="M15" s="29"/>
      <c r="N15" s="29"/>
      <c r="O15" s="29"/>
      <c r="P15" s="29"/>
      <c r="Q15" s="29"/>
      <c r="R15" s="29"/>
      <c r="S15" s="29"/>
      <c r="T15" s="29"/>
      <c r="U15" s="25"/>
      <c r="W15" s="173" t="s">
        <v>84</v>
      </c>
      <c r="X15" s="224">
        <v>4.7437E-2</v>
      </c>
    </row>
    <row r="16" spans="1:24" ht="15.75" x14ac:dyDescent="0.25">
      <c r="B16" s="64"/>
      <c r="C16" s="180" t="s">
        <v>261</v>
      </c>
      <c r="D16" s="187" t="s">
        <v>3</v>
      </c>
      <c r="E16" s="188">
        <v>1.4992999999999999E-2</v>
      </c>
      <c r="F16" s="29"/>
      <c r="G16" s="29"/>
      <c r="H16" s="29"/>
      <c r="I16" s="29"/>
      <c r="J16" s="29"/>
      <c r="K16" s="29"/>
      <c r="L16" s="29"/>
      <c r="M16" s="29"/>
      <c r="N16" s="29"/>
      <c r="O16" s="29"/>
      <c r="P16" s="29"/>
      <c r="Q16" s="29"/>
      <c r="R16" s="29"/>
      <c r="S16" s="29"/>
      <c r="T16" s="29"/>
      <c r="U16" s="25"/>
      <c r="W16" s="173" t="s">
        <v>16</v>
      </c>
      <c r="X16" s="224">
        <v>4.5655000000000001E-2</v>
      </c>
    </row>
    <row r="17" spans="2:24" ht="15.75" x14ac:dyDescent="0.25">
      <c r="B17" s="64"/>
      <c r="C17" s="180" t="s">
        <v>320</v>
      </c>
      <c r="D17" s="187" t="s">
        <v>12</v>
      </c>
      <c r="E17" s="188">
        <v>1.4017999999999999E-2</v>
      </c>
      <c r="F17" s="29"/>
      <c r="G17" s="29"/>
      <c r="H17" s="29"/>
      <c r="I17" s="29"/>
      <c r="J17" s="29"/>
      <c r="K17" s="29"/>
      <c r="L17" s="29"/>
      <c r="M17" s="29"/>
      <c r="N17" s="29"/>
      <c r="O17" s="29"/>
      <c r="P17" s="29"/>
      <c r="Q17" s="29"/>
      <c r="R17" s="29"/>
      <c r="S17" s="29"/>
      <c r="T17" s="29"/>
      <c r="U17" s="25"/>
      <c r="W17" s="173" t="s">
        <v>76</v>
      </c>
      <c r="X17" s="224">
        <v>4.4936999999999998E-2</v>
      </c>
    </row>
    <row r="18" spans="2:24" ht="15.75" x14ac:dyDescent="0.25">
      <c r="B18" s="64"/>
      <c r="C18" s="180" t="s">
        <v>345</v>
      </c>
      <c r="D18" s="187" t="s">
        <v>115</v>
      </c>
      <c r="E18" s="188">
        <v>1.3535E-2</v>
      </c>
      <c r="F18" s="29"/>
      <c r="G18" s="29"/>
      <c r="H18" s="29"/>
      <c r="I18" s="29"/>
      <c r="J18" s="29"/>
      <c r="K18" s="29"/>
      <c r="L18" s="29"/>
      <c r="M18" s="29"/>
      <c r="N18" s="29"/>
      <c r="O18" s="29"/>
      <c r="P18" s="29"/>
      <c r="Q18" s="29"/>
      <c r="R18" s="29"/>
      <c r="S18" s="29"/>
      <c r="T18" s="29"/>
      <c r="U18" s="25"/>
      <c r="W18" s="173" t="s">
        <v>115</v>
      </c>
      <c r="X18" s="224">
        <v>3.5922000000000003E-2</v>
      </c>
    </row>
    <row r="19" spans="2:24" ht="15.75" x14ac:dyDescent="0.25">
      <c r="B19" s="64"/>
      <c r="C19" s="180" t="s">
        <v>138</v>
      </c>
      <c r="D19" s="187" t="s">
        <v>24</v>
      </c>
      <c r="E19" s="188">
        <v>1.3103999999999999E-2</v>
      </c>
      <c r="F19" s="29"/>
      <c r="G19" s="29"/>
      <c r="H19" s="29"/>
      <c r="I19" s="29"/>
      <c r="J19" s="29"/>
      <c r="K19" s="29"/>
      <c r="L19" s="29"/>
      <c r="M19" s="29"/>
      <c r="N19" s="29"/>
      <c r="O19" s="29"/>
      <c r="P19" s="29"/>
      <c r="Q19" s="29"/>
      <c r="R19" s="29"/>
      <c r="S19" s="29"/>
      <c r="T19" s="29"/>
      <c r="U19" s="25"/>
      <c r="W19" s="173" t="s">
        <v>112</v>
      </c>
      <c r="X19" s="224">
        <v>3.2371999999999998E-2</v>
      </c>
    </row>
    <row r="20" spans="2:24" ht="15.75" x14ac:dyDescent="0.25">
      <c r="B20" s="64"/>
      <c r="C20" s="180" t="s">
        <v>309</v>
      </c>
      <c r="D20" s="187" t="s">
        <v>84</v>
      </c>
      <c r="E20" s="188">
        <v>1.2926999999999999E-2</v>
      </c>
      <c r="F20" s="29"/>
      <c r="G20" s="29"/>
      <c r="H20" s="29"/>
      <c r="I20" s="29"/>
      <c r="J20" s="29"/>
      <c r="K20" s="29"/>
      <c r="L20" s="29"/>
      <c r="M20" s="29"/>
      <c r="N20" s="29"/>
      <c r="O20" s="29"/>
      <c r="P20" s="29"/>
      <c r="Q20" s="29"/>
      <c r="R20" s="29"/>
      <c r="S20" s="29"/>
      <c r="T20" s="29"/>
      <c r="U20" s="25"/>
      <c r="W20" s="173" t="s">
        <v>12</v>
      </c>
      <c r="X20" s="224">
        <v>2.8988E-2</v>
      </c>
    </row>
    <row r="21" spans="2:24" ht="15.75" x14ac:dyDescent="0.25">
      <c r="B21" s="64"/>
      <c r="C21" s="180" t="s">
        <v>294</v>
      </c>
      <c r="D21" s="187" t="s">
        <v>76</v>
      </c>
      <c r="E21" s="188">
        <v>1.1547E-2</v>
      </c>
      <c r="F21" s="29"/>
      <c r="G21" s="29"/>
      <c r="H21" s="29"/>
      <c r="I21" s="29"/>
      <c r="J21" s="29"/>
      <c r="K21" s="29"/>
      <c r="L21" s="29"/>
      <c r="M21" s="29"/>
      <c r="N21" s="29"/>
      <c r="O21" s="29"/>
      <c r="P21" s="29"/>
      <c r="Q21" s="29"/>
      <c r="R21" s="29"/>
      <c r="S21" s="29"/>
      <c r="T21" s="29"/>
      <c r="U21" s="25"/>
      <c r="W21" s="173" t="s">
        <v>117</v>
      </c>
      <c r="X21" s="224">
        <v>2.6459E-2</v>
      </c>
    </row>
    <row r="22" spans="2:24" ht="15.75" x14ac:dyDescent="0.25">
      <c r="B22" s="64"/>
      <c r="C22" s="180" t="s">
        <v>438</v>
      </c>
      <c r="D22" s="187" t="s">
        <v>6</v>
      </c>
      <c r="E22" s="188">
        <v>1.0982E-2</v>
      </c>
      <c r="F22" s="29"/>
      <c r="G22" s="29"/>
      <c r="H22" s="29"/>
      <c r="I22" s="29"/>
      <c r="J22" s="29"/>
      <c r="K22" s="29"/>
      <c r="L22" s="29"/>
      <c r="M22" s="29"/>
      <c r="N22" s="29"/>
      <c r="O22" s="29"/>
      <c r="P22" s="29"/>
      <c r="Q22" s="29"/>
      <c r="R22" s="29"/>
      <c r="S22" s="29"/>
      <c r="T22" s="29"/>
      <c r="U22" s="25"/>
      <c r="W22" s="173" t="s">
        <v>182</v>
      </c>
      <c r="X22" s="224">
        <v>2.5155999999999998E-2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10</v>
      </c>
      <c r="X23" s="224">
        <v>2.4213999999999999E-2</v>
      </c>
    </row>
    <row r="24" spans="2:24" ht="15.75" x14ac:dyDescent="0.25">
      <c r="B24" s="64"/>
      <c r="C24" s="73" t="s">
        <v>55</v>
      </c>
      <c r="D24" s="74"/>
      <c r="E24" s="75">
        <f>SUM(E8:E22)</f>
        <v>0.24603999999999998</v>
      </c>
      <c r="F24" s="29"/>
      <c r="G24" s="29"/>
      <c r="H24" s="29"/>
      <c r="I24" s="29"/>
      <c r="J24" s="29"/>
      <c r="K24" s="29"/>
      <c r="L24" s="29"/>
      <c r="M24" s="29"/>
      <c r="N24" s="29"/>
      <c r="O24" s="29"/>
      <c r="P24" s="29"/>
      <c r="Q24" s="29"/>
      <c r="R24" s="29"/>
      <c r="S24" s="29"/>
      <c r="T24" s="29"/>
      <c r="U24" s="25"/>
      <c r="W24" s="173" t="s">
        <v>114</v>
      </c>
      <c r="X24" s="224">
        <v>1.9978000000000003E-2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25</v>
      </c>
      <c r="X25" s="224">
        <v>1.9061000000000002E-2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85</v>
      </c>
      <c r="X26" s="224">
        <v>1.7260000000000001E-2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82</v>
      </c>
      <c r="X27" s="62">
        <v>1.5295E-2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83</v>
      </c>
      <c r="X28" s="62">
        <v>1.4984999999999998E-2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26</v>
      </c>
      <c r="X29" s="62">
        <v>1.4031E-2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120</v>
      </c>
      <c r="X30" s="62">
        <v>1.362E-2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126</v>
      </c>
      <c r="X31" s="62">
        <v>1.2684000000000001E-2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145</v>
      </c>
      <c r="X32" s="62">
        <v>1.2518E-2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6</v>
      </c>
      <c r="X33" s="62">
        <v>1.1744000000000001E-2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129</v>
      </c>
      <c r="X34" s="62">
        <v>1.1373999999999999E-2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121</v>
      </c>
      <c r="X35" s="62">
        <v>1.1359999999999999E-2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11</v>
      </c>
      <c r="X36" s="62">
        <v>1.1264E-2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136</v>
      </c>
      <c r="X37" s="62">
        <v>1.1207999999999999E-2</v>
      </c>
    </row>
    <row r="38" spans="2:24" ht="15.75" thickBot="1" x14ac:dyDescent="0.3">
      <c r="W38" s="61" t="s">
        <v>15</v>
      </c>
      <c r="X38" s="62">
        <v>1.0367000000000001E-2</v>
      </c>
    </row>
    <row r="39" spans="2:24" x14ac:dyDescent="0.25">
      <c r="B39" s="302" t="s">
        <v>180</v>
      </c>
      <c r="C39" s="303"/>
      <c r="D39" s="303"/>
      <c r="E39" s="303"/>
      <c r="F39" s="303"/>
      <c r="G39" s="303"/>
      <c r="H39" s="303"/>
      <c r="I39" s="303"/>
      <c r="J39" s="303"/>
      <c r="K39" s="303"/>
      <c r="L39" s="303"/>
      <c r="M39" s="303"/>
      <c r="N39" s="303"/>
      <c r="O39" s="303"/>
      <c r="P39" s="303"/>
      <c r="Q39" s="303"/>
      <c r="R39" s="304"/>
      <c r="W39" s="61" t="s">
        <v>23</v>
      </c>
      <c r="X39" s="62">
        <v>9.1800000000000007E-3</v>
      </c>
    </row>
    <row r="40" spans="2:24" x14ac:dyDescent="0.25">
      <c r="B40" s="305"/>
      <c r="C40" s="306"/>
      <c r="D40" s="306"/>
      <c r="E40" s="306"/>
      <c r="F40" s="306"/>
      <c r="G40" s="306"/>
      <c r="H40" s="306"/>
      <c r="I40" s="306"/>
      <c r="J40" s="306"/>
      <c r="K40" s="306"/>
      <c r="L40" s="306"/>
      <c r="M40" s="306"/>
      <c r="N40" s="306"/>
      <c r="O40" s="306"/>
      <c r="P40" s="306"/>
      <c r="Q40" s="306"/>
      <c r="R40" s="307"/>
      <c r="W40" s="61" t="s">
        <v>113</v>
      </c>
      <c r="X40" s="62">
        <v>7.2459999999999998E-3</v>
      </c>
    </row>
    <row r="41" spans="2:24" x14ac:dyDescent="0.25">
      <c r="B41" s="305"/>
      <c r="C41" s="306"/>
      <c r="D41" s="306"/>
      <c r="E41" s="306"/>
      <c r="F41" s="306"/>
      <c r="G41" s="306"/>
      <c r="H41" s="306"/>
      <c r="I41" s="306"/>
      <c r="J41" s="306"/>
      <c r="K41" s="306"/>
      <c r="L41" s="306"/>
      <c r="M41" s="306"/>
      <c r="N41" s="306"/>
      <c r="O41" s="306"/>
      <c r="P41" s="306"/>
      <c r="Q41" s="306"/>
      <c r="R41" s="307"/>
      <c r="W41" s="61" t="s">
        <v>13</v>
      </c>
      <c r="X41" s="62">
        <v>6.6930000000000002E-3</v>
      </c>
    </row>
    <row r="42" spans="2:24" x14ac:dyDescent="0.25">
      <c r="B42" s="305"/>
      <c r="C42" s="306"/>
      <c r="D42" s="306"/>
      <c r="E42" s="306"/>
      <c r="F42" s="306"/>
      <c r="G42" s="306"/>
      <c r="H42" s="306"/>
      <c r="I42" s="306"/>
      <c r="J42" s="306"/>
      <c r="K42" s="306"/>
      <c r="L42" s="306"/>
      <c r="M42" s="306"/>
      <c r="N42" s="306"/>
      <c r="O42" s="306"/>
      <c r="P42" s="306"/>
      <c r="Q42" s="306"/>
      <c r="R42" s="307"/>
      <c r="W42" s="61" t="s">
        <v>123</v>
      </c>
      <c r="X42" s="62">
        <v>6.0489999999999997E-3</v>
      </c>
    </row>
    <row r="43" spans="2:24" x14ac:dyDescent="0.25">
      <c r="B43" s="305"/>
      <c r="C43" s="306"/>
      <c r="D43" s="306"/>
      <c r="E43" s="306"/>
      <c r="F43" s="306"/>
      <c r="G43" s="306"/>
      <c r="H43" s="306"/>
      <c r="I43" s="306"/>
      <c r="J43" s="306"/>
      <c r="K43" s="306"/>
      <c r="L43" s="306"/>
      <c r="M43" s="306"/>
      <c r="N43" s="306"/>
      <c r="O43" s="306"/>
      <c r="P43" s="306"/>
      <c r="Q43" s="306"/>
      <c r="R43" s="307"/>
      <c r="W43" s="61" t="s">
        <v>122</v>
      </c>
      <c r="X43" s="62">
        <v>4.836E-3</v>
      </c>
    </row>
    <row r="44" spans="2:24" x14ac:dyDescent="0.25">
      <c r="B44" s="305"/>
      <c r="C44" s="306"/>
      <c r="D44" s="306"/>
      <c r="E44" s="306"/>
      <c r="F44" s="306"/>
      <c r="G44" s="306"/>
      <c r="H44" s="306"/>
      <c r="I44" s="306"/>
      <c r="J44" s="306"/>
      <c r="K44" s="306"/>
      <c r="L44" s="306"/>
      <c r="M44" s="306"/>
      <c r="N44" s="306"/>
      <c r="O44" s="306"/>
      <c r="P44" s="306"/>
      <c r="Q44" s="306"/>
      <c r="R44" s="307"/>
      <c r="W44" s="61" t="s">
        <v>105</v>
      </c>
      <c r="X44" s="62">
        <v>4.581E-3</v>
      </c>
    </row>
    <row r="45" spans="2:24" ht="15.75" thickBot="1" x14ac:dyDescent="0.3">
      <c r="B45" s="308"/>
      <c r="C45" s="309"/>
      <c r="D45" s="309"/>
      <c r="E45" s="309"/>
      <c r="F45" s="309"/>
      <c r="G45" s="309"/>
      <c r="H45" s="309"/>
      <c r="I45" s="309"/>
      <c r="J45" s="309"/>
      <c r="K45" s="309"/>
      <c r="L45" s="309"/>
      <c r="M45" s="309"/>
      <c r="N45" s="309"/>
      <c r="O45" s="309"/>
      <c r="P45" s="309"/>
      <c r="Q45" s="309"/>
      <c r="R45" s="310"/>
      <c r="W45" s="61" t="s">
        <v>86</v>
      </c>
      <c r="X45" s="62">
        <v>3.7450000000000001E-3</v>
      </c>
    </row>
    <row r="46" spans="2:24" x14ac:dyDescent="0.25">
      <c r="W46" s="61" t="s">
        <v>94</v>
      </c>
      <c r="X46" s="62">
        <v>2.0370000000000002E-3</v>
      </c>
    </row>
    <row r="47" spans="2:24" x14ac:dyDescent="0.25">
      <c r="W47" s="61" t="s">
        <v>111</v>
      </c>
      <c r="X47" s="62">
        <v>1.5009999999999999E-3</v>
      </c>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302</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417</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313</v>
      </c>
      <c r="D8" s="185" t="s">
        <v>11</v>
      </c>
      <c r="E8" s="186">
        <v>5.6592999999999997E-2</v>
      </c>
      <c r="F8" s="29"/>
      <c r="G8" s="29"/>
      <c r="H8" s="29"/>
      <c r="I8" s="29"/>
      <c r="J8" s="29"/>
      <c r="K8" s="29"/>
      <c r="L8" s="29"/>
      <c r="M8" s="29"/>
      <c r="N8" s="29"/>
      <c r="O8" s="29"/>
      <c r="P8" s="29"/>
      <c r="Q8" s="29"/>
      <c r="R8" s="29"/>
      <c r="S8" s="29"/>
      <c r="T8" s="29"/>
      <c r="U8" s="25"/>
      <c r="W8" s="173" t="s">
        <v>3</v>
      </c>
      <c r="X8" s="224">
        <v>0.16996</v>
      </c>
    </row>
    <row r="9" spans="1:24" ht="15.75" x14ac:dyDescent="0.25">
      <c r="B9" s="64"/>
      <c r="C9" s="180" t="s">
        <v>311</v>
      </c>
      <c r="D9" s="187" t="s">
        <v>15</v>
      </c>
      <c r="E9" s="188">
        <v>5.5898999999999997E-2</v>
      </c>
      <c r="F9" s="29"/>
      <c r="G9" s="29"/>
      <c r="H9" s="29"/>
      <c r="I9" s="29"/>
      <c r="J9" s="29"/>
      <c r="K9" s="29"/>
      <c r="L9" s="29"/>
      <c r="M9" s="29"/>
      <c r="N9" s="29"/>
      <c r="O9" s="29"/>
      <c r="P9" s="29"/>
      <c r="Q9" s="29"/>
      <c r="R9" s="29"/>
      <c r="S9" s="29"/>
      <c r="T9" s="29"/>
      <c r="U9" s="25"/>
      <c r="W9" s="173" t="s">
        <v>6</v>
      </c>
      <c r="X9" s="224">
        <v>0.115463</v>
      </c>
    </row>
    <row r="10" spans="1:24" ht="15.75" x14ac:dyDescent="0.25">
      <c r="B10" s="64"/>
      <c r="C10" s="180" t="s">
        <v>62</v>
      </c>
      <c r="D10" s="187" t="s">
        <v>10</v>
      </c>
      <c r="E10" s="188">
        <v>5.5030999999999997E-2</v>
      </c>
      <c r="F10" s="29"/>
      <c r="G10" s="29"/>
      <c r="H10" s="29"/>
      <c r="I10" s="29"/>
      <c r="J10" s="29"/>
      <c r="K10" s="29"/>
      <c r="L10" s="29"/>
      <c r="M10" s="29"/>
      <c r="N10" s="29"/>
      <c r="O10" s="29"/>
      <c r="P10" s="29"/>
      <c r="Q10" s="29"/>
      <c r="R10" s="29"/>
      <c r="S10" s="29"/>
      <c r="T10" s="29"/>
      <c r="U10" s="25"/>
      <c r="W10" s="173" t="s">
        <v>10</v>
      </c>
      <c r="X10" s="224">
        <v>0.11247099999999999</v>
      </c>
    </row>
    <row r="11" spans="1:24" ht="15.75" x14ac:dyDescent="0.25">
      <c r="B11" s="64"/>
      <c r="C11" s="180" t="s">
        <v>248</v>
      </c>
      <c r="D11" s="187" t="s">
        <v>82</v>
      </c>
      <c r="E11" s="188">
        <v>5.4170999999999997E-2</v>
      </c>
      <c r="F11" s="29"/>
      <c r="G11" s="29"/>
      <c r="H11" s="29"/>
      <c r="I11" s="29"/>
      <c r="J11" s="29"/>
      <c r="K11" s="29"/>
      <c r="L11" s="29"/>
      <c r="M11" s="29"/>
      <c r="N11" s="29"/>
      <c r="O11" s="29"/>
      <c r="P11" s="29"/>
      <c r="Q11" s="29"/>
      <c r="R11" s="29"/>
      <c r="S11" s="29"/>
      <c r="T11" s="29"/>
      <c r="U11" s="25"/>
      <c r="W11" s="173" t="s">
        <v>11</v>
      </c>
      <c r="X11" s="224">
        <v>7.8977999999999993E-2</v>
      </c>
    </row>
    <row r="12" spans="1:24" ht="15.75" x14ac:dyDescent="0.25">
      <c r="B12" s="64"/>
      <c r="C12" s="180" t="s">
        <v>198</v>
      </c>
      <c r="D12" s="187" t="s">
        <v>130</v>
      </c>
      <c r="E12" s="188">
        <v>5.3046999999999997E-2</v>
      </c>
      <c r="F12" s="29"/>
      <c r="G12" s="29"/>
      <c r="H12" s="29"/>
      <c r="I12" s="29"/>
      <c r="J12" s="29"/>
      <c r="K12" s="29"/>
      <c r="L12" s="29"/>
      <c r="M12" s="29"/>
      <c r="N12" s="29"/>
      <c r="O12" s="29"/>
      <c r="P12" s="29"/>
      <c r="Q12" s="29"/>
      <c r="R12" s="29"/>
      <c r="S12" s="29"/>
      <c r="T12" s="29"/>
      <c r="U12" s="25"/>
      <c r="W12" s="173" t="s">
        <v>15</v>
      </c>
      <c r="X12" s="224">
        <v>6.5728999999999996E-2</v>
      </c>
    </row>
    <row r="13" spans="1:24" ht="15.75" x14ac:dyDescent="0.25">
      <c r="B13" s="64"/>
      <c r="C13" s="180" t="s">
        <v>312</v>
      </c>
      <c r="D13" s="187" t="s">
        <v>13</v>
      </c>
      <c r="E13" s="188">
        <v>5.2814E-2</v>
      </c>
      <c r="F13" s="29"/>
      <c r="G13" s="29"/>
      <c r="H13" s="29"/>
      <c r="I13" s="29"/>
      <c r="J13" s="29"/>
      <c r="K13" s="29"/>
      <c r="L13" s="29"/>
      <c r="M13" s="29"/>
      <c r="N13" s="29"/>
      <c r="O13" s="29"/>
      <c r="P13" s="29"/>
      <c r="Q13" s="29"/>
      <c r="R13" s="29"/>
      <c r="S13" s="29"/>
      <c r="T13" s="29"/>
      <c r="U13" s="25"/>
      <c r="W13" s="173" t="s">
        <v>4</v>
      </c>
      <c r="X13" s="224">
        <v>6.5479000000000009E-2</v>
      </c>
    </row>
    <row r="14" spans="1:24" ht="15.75" x14ac:dyDescent="0.25">
      <c r="B14" s="64"/>
      <c r="C14" s="180" t="s">
        <v>277</v>
      </c>
      <c r="D14" s="187" t="s">
        <v>132</v>
      </c>
      <c r="E14" s="188">
        <v>5.1832000000000003E-2</v>
      </c>
      <c r="F14" s="29"/>
      <c r="G14" s="29"/>
      <c r="H14" s="29"/>
      <c r="I14" s="29"/>
      <c r="J14" s="29"/>
      <c r="K14" s="29"/>
      <c r="L14" s="29"/>
      <c r="M14" s="29"/>
      <c r="N14" s="29"/>
      <c r="O14" s="29"/>
      <c r="P14" s="29"/>
      <c r="Q14" s="29"/>
      <c r="R14" s="29"/>
      <c r="S14" s="29"/>
      <c r="T14" s="29"/>
      <c r="U14" s="25"/>
      <c r="W14" s="173" t="s">
        <v>13</v>
      </c>
      <c r="X14" s="224">
        <v>5.7702999999999997E-2</v>
      </c>
    </row>
    <row r="15" spans="1:24" ht="15.75" x14ac:dyDescent="0.25">
      <c r="B15" s="64"/>
      <c r="C15" s="180" t="s">
        <v>78</v>
      </c>
      <c r="D15" s="187" t="s">
        <v>3</v>
      </c>
      <c r="E15" s="188">
        <v>4.8903000000000002E-2</v>
      </c>
      <c r="F15" s="29"/>
      <c r="G15" s="29"/>
      <c r="H15" s="29"/>
      <c r="I15" s="29"/>
      <c r="J15" s="29"/>
      <c r="K15" s="29"/>
      <c r="L15" s="29"/>
      <c r="M15" s="29"/>
      <c r="N15" s="29"/>
      <c r="O15" s="29"/>
      <c r="P15" s="29"/>
      <c r="Q15" s="29"/>
      <c r="R15" s="29"/>
      <c r="S15" s="29"/>
      <c r="T15" s="29"/>
      <c r="U15" s="25"/>
      <c r="W15" s="173" t="s">
        <v>82</v>
      </c>
      <c r="X15" s="224">
        <v>5.4170999999999997E-2</v>
      </c>
    </row>
    <row r="16" spans="1:24" ht="15.75" x14ac:dyDescent="0.25">
      <c r="B16" s="64"/>
      <c r="C16" s="180" t="s">
        <v>315</v>
      </c>
      <c r="D16" s="187" t="s">
        <v>6</v>
      </c>
      <c r="E16" s="188">
        <v>4.8515999999999997E-2</v>
      </c>
      <c r="F16" s="29"/>
      <c r="G16" s="29"/>
      <c r="H16" s="29"/>
      <c r="I16" s="29"/>
      <c r="J16" s="29"/>
      <c r="K16" s="29"/>
      <c r="L16" s="29"/>
      <c r="M16" s="29"/>
      <c r="N16" s="29"/>
      <c r="O16" s="29"/>
      <c r="P16" s="29"/>
      <c r="Q16" s="29"/>
      <c r="R16" s="29"/>
      <c r="S16" s="29"/>
      <c r="T16" s="29"/>
      <c r="U16" s="25"/>
      <c r="W16" s="173" t="s">
        <v>130</v>
      </c>
      <c r="X16" s="224">
        <v>5.3046999999999997E-2</v>
      </c>
    </row>
    <row r="17" spans="2:24" ht="15.75" x14ac:dyDescent="0.25">
      <c r="B17" s="64"/>
      <c r="C17" s="180" t="s">
        <v>310</v>
      </c>
      <c r="D17" s="187" t="s">
        <v>10</v>
      </c>
      <c r="E17" s="188">
        <v>4.8189000000000003E-2</v>
      </c>
      <c r="F17" s="29"/>
      <c r="G17" s="29"/>
      <c r="H17" s="29"/>
      <c r="I17" s="29"/>
      <c r="J17" s="29"/>
      <c r="K17" s="29"/>
      <c r="L17" s="29"/>
      <c r="M17" s="29"/>
      <c r="N17" s="29"/>
      <c r="O17" s="29"/>
      <c r="P17" s="29"/>
      <c r="Q17" s="29"/>
      <c r="R17" s="29"/>
      <c r="S17" s="29"/>
      <c r="T17" s="29"/>
      <c r="U17" s="25"/>
      <c r="W17" s="173" t="s">
        <v>132</v>
      </c>
      <c r="X17" s="224">
        <v>5.1832000000000003E-2</v>
      </c>
    </row>
    <row r="18" spans="2:24" ht="15.75" x14ac:dyDescent="0.25">
      <c r="B18" s="64"/>
      <c r="C18" s="180" t="s">
        <v>314</v>
      </c>
      <c r="D18" s="187" t="s">
        <v>6</v>
      </c>
      <c r="E18" s="188">
        <v>4.7708E-2</v>
      </c>
      <c r="F18" s="29"/>
      <c r="G18" s="29"/>
      <c r="H18" s="29"/>
      <c r="I18" s="29"/>
      <c r="J18" s="29"/>
      <c r="K18" s="29"/>
      <c r="L18" s="29"/>
      <c r="M18" s="29"/>
      <c r="N18" s="29"/>
      <c r="O18" s="29"/>
      <c r="P18" s="29"/>
      <c r="Q18" s="29"/>
      <c r="R18" s="29"/>
      <c r="S18" s="29"/>
      <c r="T18" s="29"/>
      <c r="U18" s="25"/>
      <c r="W18" s="173" t="s">
        <v>111</v>
      </c>
      <c r="X18" s="224">
        <v>4.6885999999999997E-2</v>
      </c>
    </row>
    <row r="19" spans="2:24" ht="15.75" x14ac:dyDescent="0.25">
      <c r="B19" s="64"/>
      <c r="C19" s="180" t="s">
        <v>79</v>
      </c>
      <c r="D19" s="187" t="s">
        <v>111</v>
      </c>
      <c r="E19" s="188">
        <v>4.6885999999999997E-2</v>
      </c>
      <c r="F19" s="29"/>
      <c r="G19" s="29"/>
      <c r="H19" s="29"/>
      <c r="I19" s="29"/>
      <c r="J19" s="29"/>
      <c r="K19" s="29"/>
      <c r="L19" s="29"/>
      <c r="M19" s="29"/>
      <c r="N19" s="29"/>
      <c r="O19" s="29"/>
      <c r="P19" s="29"/>
      <c r="Q19" s="29"/>
      <c r="R19" s="29"/>
      <c r="S19" s="29"/>
      <c r="T19" s="29"/>
      <c r="U19" s="25"/>
      <c r="W19" s="173" t="s">
        <v>117</v>
      </c>
      <c r="X19" s="224">
        <v>3.4352999999999995E-2</v>
      </c>
    </row>
    <row r="20" spans="2:24" ht="15.75" x14ac:dyDescent="0.25">
      <c r="B20" s="64"/>
      <c r="C20" s="180" t="s">
        <v>316</v>
      </c>
      <c r="D20" s="187" t="s">
        <v>117</v>
      </c>
      <c r="E20" s="188">
        <v>2.6977999999999999E-2</v>
      </c>
      <c r="F20" s="29"/>
      <c r="G20" s="29"/>
      <c r="H20" s="29"/>
      <c r="I20" s="29"/>
      <c r="J20" s="29"/>
      <c r="K20" s="29"/>
      <c r="L20" s="29"/>
      <c r="M20" s="29"/>
      <c r="N20" s="29"/>
      <c r="O20" s="29"/>
      <c r="P20" s="29"/>
      <c r="Q20" s="29"/>
      <c r="R20" s="29"/>
      <c r="S20" s="29"/>
      <c r="T20" s="29"/>
      <c r="U20" s="25"/>
      <c r="W20" s="173" t="s">
        <v>145</v>
      </c>
      <c r="X20" s="224">
        <v>2.3488999999999999E-2</v>
      </c>
    </row>
    <row r="21" spans="2:24" ht="15.75" x14ac:dyDescent="0.25">
      <c r="B21" s="64"/>
      <c r="C21" s="180" t="s">
        <v>75</v>
      </c>
      <c r="D21" s="187" t="s">
        <v>4</v>
      </c>
      <c r="E21" s="188">
        <v>2.6877000000000002E-2</v>
      </c>
      <c r="F21" s="29"/>
      <c r="G21" s="29"/>
      <c r="H21" s="29"/>
      <c r="I21" s="29"/>
      <c r="J21" s="29"/>
      <c r="K21" s="29"/>
      <c r="L21" s="29"/>
      <c r="M21" s="29"/>
      <c r="N21" s="29"/>
      <c r="O21" s="29"/>
      <c r="P21" s="29"/>
      <c r="Q21" s="29"/>
      <c r="R21" s="29"/>
      <c r="S21" s="29"/>
      <c r="T21" s="29"/>
      <c r="U21" s="25"/>
      <c r="W21" s="173" t="s">
        <v>25</v>
      </c>
      <c r="X21" s="224">
        <v>2.1478000000000001E-2</v>
      </c>
    </row>
    <row r="22" spans="2:24" ht="15.75" x14ac:dyDescent="0.25">
      <c r="B22" s="64"/>
      <c r="C22" s="180" t="s">
        <v>439</v>
      </c>
      <c r="D22" s="187" t="s">
        <v>145</v>
      </c>
      <c r="E22" s="188">
        <v>2.3488999999999999E-2</v>
      </c>
      <c r="F22" s="29"/>
      <c r="G22" s="29"/>
      <c r="H22" s="29"/>
      <c r="I22" s="29"/>
      <c r="J22" s="29"/>
      <c r="K22" s="29"/>
      <c r="L22" s="29"/>
      <c r="M22" s="29"/>
      <c r="N22" s="29"/>
      <c r="O22" s="29"/>
      <c r="P22" s="29"/>
      <c r="Q22" s="29"/>
      <c r="R22" s="29"/>
      <c r="S22" s="29"/>
      <c r="T22" s="29"/>
      <c r="U22" s="25"/>
      <c r="W22" s="173" t="s">
        <v>115</v>
      </c>
      <c r="X22" s="224">
        <v>1.4968E-2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123</v>
      </c>
      <c r="X23" s="224">
        <v>1.2008E-2</v>
      </c>
    </row>
    <row r="24" spans="2:24" ht="15.75" x14ac:dyDescent="0.25">
      <c r="B24" s="64"/>
      <c r="C24" s="73" t="s">
        <v>55</v>
      </c>
      <c r="D24" s="74"/>
      <c r="E24" s="75">
        <f>SUM(E8:E22)</f>
        <v>0.69693299999999991</v>
      </c>
      <c r="F24" s="29"/>
      <c r="G24" s="29"/>
      <c r="H24" s="29"/>
      <c r="I24" s="29"/>
      <c r="J24" s="29"/>
      <c r="K24" s="29"/>
      <c r="L24" s="29"/>
      <c r="M24" s="29"/>
      <c r="N24" s="29"/>
      <c r="O24" s="29"/>
      <c r="P24" s="29"/>
      <c r="Q24" s="29"/>
      <c r="R24" s="29"/>
      <c r="S24" s="29"/>
      <c r="T24" s="29"/>
      <c r="U24" s="25"/>
      <c r="W24" s="173" t="s">
        <v>107</v>
      </c>
      <c r="X24" s="224">
        <v>9.7099999999999999E-3</v>
      </c>
    </row>
    <row r="25" spans="2:24" x14ac:dyDescent="0.25">
      <c r="B25" s="64"/>
      <c r="C25" s="29"/>
      <c r="D25" s="29"/>
      <c r="E25" s="29"/>
      <c r="F25" s="29"/>
      <c r="G25" s="29"/>
      <c r="H25" s="29"/>
      <c r="I25" s="29"/>
      <c r="J25" s="29"/>
      <c r="K25" s="29"/>
      <c r="L25" s="29"/>
      <c r="M25" s="29"/>
      <c r="N25" s="29"/>
      <c r="O25" s="29"/>
      <c r="P25" s="29"/>
      <c r="Q25" s="29"/>
      <c r="R25" s="29"/>
      <c r="S25" s="29"/>
      <c r="T25" s="29"/>
      <c r="U25" s="25"/>
      <c r="W25" s="173" t="s">
        <v>94</v>
      </c>
      <c r="X25" s="224">
        <v>6.0569999999999999E-3</v>
      </c>
    </row>
    <row r="26" spans="2:24" x14ac:dyDescent="0.25">
      <c r="B26" s="64"/>
      <c r="C26" s="29"/>
      <c r="D26" s="29"/>
      <c r="E26" s="29"/>
      <c r="F26" s="29"/>
      <c r="G26" s="29"/>
      <c r="H26" s="29"/>
      <c r="I26" s="29"/>
      <c r="J26" s="29"/>
      <c r="K26" s="29"/>
      <c r="L26" s="29"/>
      <c r="M26" s="29"/>
      <c r="N26" s="29"/>
      <c r="O26" s="29"/>
      <c r="P26" s="29"/>
      <c r="Q26" s="29"/>
      <c r="R26" s="29"/>
      <c r="S26" s="29"/>
      <c r="T26" s="29"/>
      <c r="U26" s="25"/>
      <c r="W26" s="173" t="s">
        <v>23</v>
      </c>
      <c r="X26" s="224">
        <v>5.7530000000000003E-3</v>
      </c>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303</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418</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292</v>
      </c>
      <c r="D8" s="185" t="s">
        <v>110</v>
      </c>
      <c r="E8" s="186">
        <v>5.7688000000000003E-2</v>
      </c>
      <c r="F8" s="29"/>
      <c r="G8" s="29"/>
      <c r="H8" s="29"/>
      <c r="I8" s="29"/>
      <c r="J8" s="29"/>
      <c r="K8" s="29"/>
      <c r="L8" s="29"/>
      <c r="M8" s="29"/>
      <c r="N8" s="29"/>
      <c r="O8" s="29"/>
      <c r="P8" s="29"/>
      <c r="Q8" s="29"/>
      <c r="R8" s="29"/>
      <c r="S8" s="29"/>
      <c r="T8" s="29"/>
      <c r="U8" s="25"/>
      <c r="W8" s="173" t="s">
        <v>106</v>
      </c>
      <c r="X8" s="224">
        <v>0.158364</v>
      </c>
    </row>
    <row r="9" spans="1:24" ht="15.75" x14ac:dyDescent="0.25">
      <c r="B9" s="64"/>
      <c r="C9" s="180" t="s">
        <v>119</v>
      </c>
      <c r="D9" s="187" t="s">
        <v>111</v>
      </c>
      <c r="E9" s="188">
        <v>5.2683000000000001E-2</v>
      </c>
      <c r="F9" s="29"/>
      <c r="G9" s="29"/>
      <c r="H9" s="29"/>
      <c r="I9" s="29"/>
      <c r="J9" s="29"/>
      <c r="K9" s="29"/>
      <c r="L9" s="29"/>
      <c r="M9" s="29"/>
      <c r="N9" s="29"/>
      <c r="O9" s="29"/>
      <c r="P9" s="29"/>
      <c r="Q9" s="29"/>
      <c r="R9" s="29"/>
      <c r="S9" s="29"/>
      <c r="T9" s="29"/>
      <c r="U9" s="25"/>
      <c r="W9" s="173" t="s">
        <v>110</v>
      </c>
      <c r="X9" s="224">
        <v>0.147897</v>
      </c>
    </row>
    <row r="10" spans="1:24" ht="15.75" x14ac:dyDescent="0.25">
      <c r="B10" s="64"/>
      <c r="C10" s="180" t="s">
        <v>93</v>
      </c>
      <c r="D10" s="187" t="s">
        <v>83</v>
      </c>
      <c r="E10" s="188">
        <v>5.1475E-2</v>
      </c>
      <c r="F10" s="29"/>
      <c r="G10" s="29"/>
      <c r="H10" s="29"/>
      <c r="I10" s="29"/>
      <c r="J10" s="29"/>
      <c r="K10" s="29"/>
      <c r="L10" s="29"/>
      <c r="M10" s="29"/>
      <c r="N10" s="29"/>
      <c r="O10" s="29"/>
      <c r="P10" s="29"/>
      <c r="Q10" s="29"/>
      <c r="R10" s="29"/>
      <c r="S10" s="29"/>
      <c r="T10" s="29"/>
      <c r="U10" s="25"/>
      <c r="W10" s="173" t="s">
        <v>26</v>
      </c>
      <c r="X10" s="224">
        <v>0.12912400000000002</v>
      </c>
    </row>
    <row r="11" spans="1:24" ht="15.75" x14ac:dyDescent="0.25">
      <c r="B11" s="64"/>
      <c r="C11" s="180" t="s">
        <v>184</v>
      </c>
      <c r="D11" s="187" t="s">
        <v>106</v>
      </c>
      <c r="E11" s="188">
        <v>5.0684E-2</v>
      </c>
      <c r="F11" s="29"/>
      <c r="G11" s="29"/>
      <c r="H11" s="29"/>
      <c r="I11" s="29"/>
      <c r="J11" s="29"/>
      <c r="K11" s="29"/>
      <c r="L11" s="29"/>
      <c r="M11" s="29"/>
      <c r="N11" s="29"/>
      <c r="O11" s="29"/>
      <c r="P11" s="29"/>
      <c r="Q11" s="29"/>
      <c r="R11" s="29"/>
      <c r="S11" s="29"/>
      <c r="T11" s="29"/>
      <c r="U11" s="25"/>
      <c r="W11" s="173" t="s">
        <v>84</v>
      </c>
      <c r="X11" s="224">
        <v>9.5821999999999991E-2</v>
      </c>
    </row>
    <row r="12" spans="1:24" ht="15.75" x14ac:dyDescent="0.25">
      <c r="B12" s="64"/>
      <c r="C12" s="180" t="s">
        <v>187</v>
      </c>
      <c r="D12" s="187" t="s">
        <v>106</v>
      </c>
      <c r="E12" s="188">
        <v>4.9092999999999998E-2</v>
      </c>
      <c r="F12" s="29"/>
      <c r="G12" s="29"/>
      <c r="H12" s="29"/>
      <c r="I12" s="29"/>
      <c r="J12" s="29"/>
      <c r="K12" s="29"/>
      <c r="L12" s="29"/>
      <c r="M12" s="29"/>
      <c r="N12" s="29"/>
      <c r="O12" s="29"/>
      <c r="P12" s="29"/>
      <c r="Q12" s="29"/>
      <c r="R12" s="29"/>
      <c r="S12" s="29"/>
      <c r="T12" s="29"/>
      <c r="U12" s="25"/>
      <c r="W12" s="173" t="s">
        <v>16</v>
      </c>
      <c r="X12" s="224">
        <v>9.1827000000000006E-2</v>
      </c>
    </row>
    <row r="13" spans="1:24" ht="15.75" x14ac:dyDescent="0.25">
      <c r="B13" s="64"/>
      <c r="C13" s="180" t="s">
        <v>137</v>
      </c>
      <c r="D13" s="187" t="s">
        <v>26</v>
      </c>
      <c r="E13" s="188">
        <v>4.4330000000000001E-2</v>
      </c>
      <c r="F13" s="29"/>
      <c r="G13" s="29"/>
      <c r="H13" s="29"/>
      <c r="I13" s="29"/>
      <c r="J13" s="29"/>
      <c r="K13" s="29"/>
      <c r="L13" s="29"/>
      <c r="M13" s="29"/>
      <c r="N13" s="29"/>
      <c r="O13" s="29"/>
      <c r="P13" s="29"/>
      <c r="Q13" s="29"/>
      <c r="R13" s="29"/>
      <c r="S13" s="29"/>
      <c r="T13" s="29"/>
      <c r="U13" s="25"/>
      <c r="W13" s="173" t="s">
        <v>111</v>
      </c>
      <c r="X13" s="224">
        <v>5.2683000000000001E-2</v>
      </c>
    </row>
    <row r="14" spans="1:24" ht="15.75" x14ac:dyDescent="0.25">
      <c r="B14" s="64"/>
      <c r="C14" s="180" t="s">
        <v>239</v>
      </c>
      <c r="D14" s="187" t="s">
        <v>84</v>
      </c>
      <c r="E14" s="188">
        <v>4.3491000000000002E-2</v>
      </c>
      <c r="F14" s="29"/>
      <c r="G14" s="29"/>
      <c r="H14" s="29"/>
      <c r="I14" s="29"/>
      <c r="J14" s="29"/>
      <c r="K14" s="29"/>
      <c r="L14" s="29"/>
      <c r="M14" s="29"/>
      <c r="N14" s="29"/>
      <c r="O14" s="29"/>
      <c r="P14" s="29"/>
      <c r="Q14" s="29"/>
      <c r="R14" s="29"/>
      <c r="S14" s="29"/>
      <c r="T14" s="29"/>
      <c r="U14" s="25"/>
      <c r="W14" s="173" t="s">
        <v>83</v>
      </c>
      <c r="X14" s="224">
        <v>5.1475E-2</v>
      </c>
    </row>
    <row r="15" spans="1:24" ht="15.75" x14ac:dyDescent="0.25">
      <c r="B15" s="64"/>
      <c r="C15" s="180" t="s">
        <v>217</v>
      </c>
      <c r="D15" s="187" t="s">
        <v>26</v>
      </c>
      <c r="E15" s="188">
        <v>4.3411999999999999E-2</v>
      </c>
      <c r="F15" s="29"/>
      <c r="G15" s="29"/>
      <c r="H15" s="29"/>
      <c r="I15" s="29"/>
      <c r="J15" s="29"/>
      <c r="K15" s="29"/>
      <c r="L15" s="29"/>
      <c r="M15" s="29"/>
      <c r="N15" s="29"/>
      <c r="O15" s="29"/>
      <c r="P15" s="29"/>
      <c r="Q15" s="29"/>
      <c r="R15" s="29"/>
      <c r="S15" s="29"/>
      <c r="T15" s="29"/>
      <c r="U15" s="25"/>
      <c r="W15" s="173" t="s">
        <v>105</v>
      </c>
      <c r="X15" s="224">
        <v>3.9396E-2</v>
      </c>
    </row>
    <row r="16" spans="1:24" ht="15.75" x14ac:dyDescent="0.25">
      <c r="B16" s="64"/>
      <c r="C16" s="180" t="s">
        <v>232</v>
      </c>
      <c r="D16" s="187" t="s">
        <v>16</v>
      </c>
      <c r="E16" s="188">
        <v>4.2984000000000001E-2</v>
      </c>
      <c r="F16" s="29"/>
      <c r="G16" s="29"/>
      <c r="H16" s="29"/>
      <c r="I16" s="29"/>
      <c r="J16" s="29"/>
      <c r="K16" s="29"/>
      <c r="L16" s="29"/>
      <c r="M16" s="29"/>
      <c r="N16" s="29"/>
      <c r="O16" s="29"/>
      <c r="P16" s="29"/>
      <c r="Q16" s="29"/>
      <c r="R16" s="29"/>
      <c r="S16" s="29"/>
      <c r="T16" s="29"/>
      <c r="U16" s="25"/>
      <c r="W16" s="173" t="s">
        <v>182</v>
      </c>
      <c r="X16" s="224">
        <v>3.7900999999999997E-2</v>
      </c>
    </row>
    <row r="17" spans="2:24" ht="15.75" x14ac:dyDescent="0.25">
      <c r="B17" s="64"/>
      <c r="C17" s="180" t="s">
        <v>189</v>
      </c>
      <c r="D17" s="187" t="s">
        <v>106</v>
      </c>
      <c r="E17" s="188">
        <v>4.1637E-2</v>
      </c>
      <c r="F17" s="29"/>
      <c r="G17" s="29"/>
      <c r="H17" s="29"/>
      <c r="I17" s="29"/>
      <c r="J17" s="29"/>
      <c r="K17" s="29"/>
      <c r="L17" s="29"/>
      <c r="M17" s="29"/>
      <c r="N17" s="29"/>
      <c r="O17" s="29"/>
      <c r="P17" s="29"/>
      <c r="Q17" s="29"/>
      <c r="R17" s="29"/>
      <c r="S17" s="29"/>
      <c r="T17" s="29"/>
      <c r="U17" s="25"/>
      <c r="W17" s="173" t="s">
        <v>118</v>
      </c>
      <c r="X17" s="224">
        <v>3.3953999999999998E-2</v>
      </c>
    </row>
    <row r="18" spans="2:24" ht="15.75" x14ac:dyDescent="0.25">
      <c r="B18" s="64"/>
      <c r="C18" s="180" t="s">
        <v>228</v>
      </c>
      <c r="D18" s="187" t="s">
        <v>26</v>
      </c>
      <c r="E18" s="188">
        <v>4.1382000000000002E-2</v>
      </c>
      <c r="F18" s="29"/>
      <c r="G18" s="29"/>
      <c r="H18" s="29"/>
      <c r="I18" s="29"/>
      <c r="J18" s="29"/>
      <c r="K18" s="29"/>
      <c r="L18" s="29"/>
      <c r="M18" s="29"/>
      <c r="N18" s="29"/>
      <c r="O18" s="29"/>
      <c r="P18" s="29"/>
      <c r="Q18" s="29"/>
      <c r="R18" s="29"/>
      <c r="S18" s="29"/>
      <c r="T18" s="29"/>
      <c r="U18" s="25"/>
      <c r="W18" s="173" t="s">
        <v>76</v>
      </c>
      <c r="X18" s="224">
        <v>2.4733000000000002E-2</v>
      </c>
    </row>
    <row r="19" spans="2:24" ht="15.75" x14ac:dyDescent="0.25">
      <c r="B19" s="64"/>
      <c r="C19" s="180" t="s">
        <v>219</v>
      </c>
      <c r="D19" s="187" t="s">
        <v>182</v>
      </c>
      <c r="E19" s="188">
        <v>3.7900999999999997E-2</v>
      </c>
      <c r="F19" s="29"/>
      <c r="G19" s="29"/>
      <c r="H19" s="29"/>
      <c r="I19" s="29"/>
      <c r="J19" s="29"/>
      <c r="K19" s="29"/>
      <c r="L19" s="29"/>
      <c r="M19" s="29"/>
      <c r="N19" s="29"/>
      <c r="O19" s="29"/>
      <c r="P19" s="29"/>
      <c r="Q19" s="29"/>
      <c r="R19" s="29"/>
      <c r="S19" s="29"/>
      <c r="T19" s="29"/>
      <c r="U19" s="25"/>
      <c r="W19" s="173" t="s">
        <v>115</v>
      </c>
      <c r="X19" s="224">
        <v>1.9313999999999998E-2</v>
      </c>
    </row>
    <row r="20" spans="2:24" ht="15.75" x14ac:dyDescent="0.25">
      <c r="B20" s="64"/>
      <c r="C20" s="180" t="s">
        <v>293</v>
      </c>
      <c r="D20" s="187" t="s">
        <v>110</v>
      </c>
      <c r="E20" s="188">
        <v>3.0772000000000001E-2</v>
      </c>
      <c r="F20" s="29"/>
      <c r="G20" s="29"/>
      <c r="H20" s="29"/>
      <c r="I20" s="29"/>
      <c r="J20" s="29"/>
      <c r="K20" s="29"/>
      <c r="L20" s="29"/>
      <c r="M20" s="29"/>
      <c r="N20" s="29"/>
      <c r="O20" s="29"/>
      <c r="P20" s="29"/>
      <c r="Q20" s="29"/>
      <c r="R20" s="29"/>
      <c r="S20" s="29"/>
      <c r="T20" s="29"/>
      <c r="U20" s="25"/>
      <c r="W20" s="173" t="s">
        <v>136</v>
      </c>
      <c r="X20" s="224">
        <v>1.8605E-2</v>
      </c>
    </row>
    <row r="21" spans="2:24" ht="15.75" x14ac:dyDescent="0.25">
      <c r="B21" s="64"/>
      <c r="C21" s="180" t="s">
        <v>235</v>
      </c>
      <c r="D21" s="187" t="s">
        <v>118</v>
      </c>
      <c r="E21" s="188">
        <v>2.6655999999999999E-2</v>
      </c>
      <c r="F21" s="29"/>
      <c r="G21" s="29"/>
      <c r="H21" s="29"/>
      <c r="I21" s="29"/>
      <c r="J21" s="29"/>
      <c r="K21" s="29"/>
      <c r="L21" s="29"/>
      <c r="M21" s="29"/>
      <c r="N21" s="29"/>
      <c r="O21" s="29"/>
      <c r="P21" s="29"/>
      <c r="Q21" s="29"/>
      <c r="R21" s="29"/>
      <c r="S21" s="29"/>
      <c r="T21" s="29"/>
      <c r="U21" s="25"/>
      <c r="W21" s="173" t="s">
        <v>117</v>
      </c>
      <c r="X21" s="224">
        <v>1.4446000000000001E-2</v>
      </c>
    </row>
    <row r="22" spans="2:24" ht="15.75" x14ac:dyDescent="0.25">
      <c r="B22" s="64"/>
      <c r="C22" s="180" t="s">
        <v>330</v>
      </c>
      <c r="D22" s="187" t="s">
        <v>105</v>
      </c>
      <c r="E22" s="188">
        <v>2.597E-2</v>
      </c>
      <c r="F22" s="29"/>
      <c r="G22" s="29"/>
      <c r="H22" s="29"/>
      <c r="I22" s="29"/>
      <c r="J22" s="29"/>
      <c r="K22" s="29"/>
      <c r="L22" s="29"/>
      <c r="M22" s="29"/>
      <c r="N22" s="29"/>
      <c r="O22" s="29"/>
      <c r="P22" s="29"/>
      <c r="Q22" s="29"/>
      <c r="R22" s="29"/>
      <c r="S22" s="29"/>
      <c r="T22" s="29"/>
      <c r="U22" s="25"/>
      <c r="W22" s="173" t="s">
        <v>13</v>
      </c>
      <c r="X22" s="224">
        <v>1.1521999999999999E-2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145</v>
      </c>
      <c r="X23" s="224">
        <v>1.1202E-2</v>
      </c>
    </row>
    <row r="24" spans="2:24" ht="15.75" x14ac:dyDescent="0.25">
      <c r="B24" s="64"/>
      <c r="C24" s="73" t="s">
        <v>55</v>
      </c>
      <c r="D24" s="74"/>
      <c r="E24" s="75">
        <f>SUM(E8:E22)</f>
        <v>0.640158</v>
      </c>
      <c r="F24" s="29"/>
      <c r="G24" s="29"/>
      <c r="H24" s="29"/>
      <c r="I24" s="29"/>
      <c r="J24" s="29"/>
      <c r="K24" s="29"/>
      <c r="L24" s="29"/>
      <c r="M24" s="29"/>
      <c r="N24" s="29"/>
      <c r="O24" s="29"/>
      <c r="P24" s="29"/>
      <c r="Q24" s="29"/>
      <c r="R24" s="29"/>
      <c r="S24" s="29"/>
      <c r="T24" s="29"/>
      <c r="U24" s="25"/>
      <c r="W24" s="173" t="s">
        <v>4</v>
      </c>
      <c r="X24" s="224">
        <v>1.0995E-2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15</v>
      </c>
      <c r="X25" s="224">
        <v>9.8930000000000008E-3</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125</v>
      </c>
      <c r="X26" s="224">
        <v>9.3500000000000007E-3</v>
      </c>
    </row>
    <row r="27" spans="2:24" x14ac:dyDescent="0.25">
      <c r="B27" s="64"/>
      <c r="C27" s="29"/>
      <c r="D27" s="29"/>
      <c r="E27" s="29"/>
      <c r="F27" s="29"/>
      <c r="G27" s="29"/>
      <c r="H27" s="29"/>
      <c r="I27" s="29"/>
      <c r="J27" s="29"/>
      <c r="K27" s="29"/>
      <c r="L27" s="29"/>
      <c r="M27" s="29"/>
      <c r="N27" s="29"/>
      <c r="O27" s="29"/>
      <c r="P27" s="29"/>
      <c r="Q27" s="29"/>
      <c r="R27" s="29"/>
      <c r="S27" s="29"/>
      <c r="T27" s="29"/>
      <c r="U27" s="25"/>
      <c r="W27" s="61" t="s">
        <v>23</v>
      </c>
      <c r="X27" s="62">
        <v>6.2960000000000004E-3</v>
      </c>
    </row>
    <row r="28" spans="2:24" x14ac:dyDescent="0.25">
      <c r="B28" s="64"/>
      <c r="C28" s="29"/>
      <c r="D28" s="29"/>
      <c r="E28" s="29"/>
      <c r="F28" s="29"/>
      <c r="G28" s="29"/>
      <c r="H28" s="29"/>
      <c r="I28" s="29"/>
      <c r="J28" s="29"/>
      <c r="K28" s="29"/>
      <c r="L28" s="29"/>
      <c r="M28" s="29"/>
      <c r="N28" s="29"/>
      <c r="O28" s="29"/>
      <c r="P28" s="29"/>
      <c r="Q28" s="29"/>
      <c r="R28" s="29"/>
      <c r="S28" s="29"/>
      <c r="T28" s="29"/>
      <c r="U28" s="25"/>
      <c r="W28" s="61" t="s">
        <v>127</v>
      </c>
      <c r="X28" s="62">
        <v>6.254E-3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112</v>
      </c>
      <c r="X29" s="62">
        <v>5.8009999999999997E-3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212</v>
      </c>
      <c r="X30" s="62">
        <v>5.5459999999999997E-3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82</v>
      </c>
      <c r="X31" s="62">
        <v>2.245E-3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113</v>
      </c>
      <c r="X32" s="62">
        <v>1.848E-3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327</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419</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281</v>
      </c>
      <c r="D8" s="185" t="s">
        <v>107</v>
      </c>
      <c r="E8" s="186">
        <v>5.0805999999999997E-2</v>
      </c>
      <c r="F8" s="29"/>
      <c r="G8" s="29"/>
      <c r="H8" s="29"/>
      <c r="I8" s="29"/>
      <c r="J8" s="29"/>
      <c r="K8" s="29"/>
      <c r="L8" s="29"/>
      <c r="M8" s="29"/>
      <c r="N8" s="29"/>
      <c r="O8" s="29"/>
      <c r="P8" s="29"/>
      <c r="Q8" s="29"/>
      <c r="R8" s="29"/>
      <c r="S8" s="29"/>
      <c r="T8" s="29"/>
      <c r="U8" s="25"/>
      <c r="W8" s="173" t="s">
        <v>106</v>
      </c>
      <c r="X8" s="224">
        <v>0.21639800000000001</v>
      </c>
    </row>
    <row r="9" spans="1:24" ht="15.75" x14ac:dyDescent="0.25">
      <c r="B9" s="64"/>
      <c r="C9" s="180" t="s">
        <v>198</v>
      </c>
      <c r="D9" s="187" t="s">
        <v>130</v>
      </c>
      <c r="E9" s="188">
        <v>4.8832E-2</v>
      </c>
      <c r="F9" s="29"/>
      <c r="G9" s="29"/>
      <c r="H9" s="29"/>
      <c r="I9" s="29"/>
      <c r="J9" s="29"/>
      <c r="K9" s="29"/>
      <c r="L9" s="29"/>
      <c r="M9" s="29"/>
      <c r="N9" s="29"/>
      <c r="O9" s="29"/>
      <c r="P9" s="29"/>
      <c r="Q9" s="29"/>
      <c r="R9" s="29"/>
      <c r="S9" s="29"/>
      <c r="T9" s="29"/>
      <c r="U9" s="25"/>
      <c r="W9" s="173" t="s">
        <v>107</v>
      </c>
      <c r="X9" s="224">
        <v>9.2608999999999997E-2</v>
      </c>
    </row>
    <row r="10" spans="1:24" ht="15.75" x14ac:dyDescent="0.25">
      <c r="B10" s="64"/>
      <c r="C10" s="180" t="s">
        <v>37</v>
      </c>
      <c r="D10" s="187" t="s">
        <v>116</v>
      </c>
      <c r="E10" s="188">
        <v>4.6986E-2</v>
      </c>
      <c r="F10" s="29"/>
      <c r="G10" s="29"/>
      <c r="H10" s="29"/>
      <c r="I10" s="29"/>
      <c r="J10" s="29"/>
      <c r="K10" s="29"/>
      <c r="L10" s="29"/>
      <c r="M10" s="29"/>
      <c r="N10" s="29"/>
      <c r="O10" s="29"/>
      <c r="P10" s="29"/>
      <c r="Q10" s="29"/>
      <c r="R10" s="29"/>
      <c r="S10" s="29"/>
      <c r="T10" s="29"/>
      <c r="U10" s="25"/>
      <c r="W10" s="173" t="s">
        <v>116</v>
      </c>
      <c r="X10" s="224">
        <v>8.8678000000000007E-2</v>
      </c>
    </row>
    <row r="11" spans="1:24" ht="15.75" x14ac:dyDescent="0.25">
      <c r="B11" s="64"/>
      <c r="C11" s="180" t="s">
        <v>33</v>
      </c>
      <c r="D11" s="187" t="s">
        <v>106</v>
      </c>
      <c r="E11" s="188">
        <v>4.1971000000000001E-2</v>
      </c>
      <c r="F11" s="29"/>
      <c r="G11" s="29"/>
      <c r="H11" s="29"/>
      <c r="I11" s="29"/>
      <c r="J11" s="29"/>
      <c r="K11" s="29"/>
      <c r="L11" s="29"/>
      <c r="M11" s="29"/>
      <c r="N11" s="29"/>
      <c r="O11" s="29"/>
      <c r="P11" s="29"/>
      <c r="Q11" s="29"/>
      <c r="R11" s="29"/>
      <c r="S11" s="29"/>
      <c r="T11" s="29"/>
      <c r="U11" s="25"/>
      <c r="W11" s="173" t="s">
        <v>86</v>
      </c>
      <c r="X11" s="224">
        <v>7.2058000000000011E-2</v>
      </c>
    </row>
    <row r="12" spans="1:24" ht="15.75" x14ac:dyDescent="0.25">
      <c r="B12" s="64"/>
      <c r="C12" s="180" t="s">
        <v>236</v>
      </c>
      <c r="D12" s="187" t="s">
        <v>16</v>
      </c>
      <c r="E12" s="188">
        <v>4.1901000000000001E-2</v>
      </c>
      <c r="F12" s="29"/>
      <c r="G12" s="29"/>
      <c r="H12" s="29"/>
      <c r="I12" s="29"/>
      <c r="J12" s="29"/>
      <c r="K12" s="29"/>
      <c r="L12" s="29"/>
      <c r="M12" s="29"/>
      <c r="N12" s="29"/>
      <c r="O12" s="29"/>
      <c r="P12" s="29"/>
      <c r="Q12" s="29"/>
      <c r="R12" s="29"/>
      <c r="S12" s="29"/>
      <c r="T12" s="29"/>
      <c r="U12" s="25"/>
      <c r="W12" s="173" t="s">
        <v>16</v>
      </c>
      <c r="X12" s="224">
        <v>6.1526999999999998E-2</v>
      </c>
    </row>
    <row r="13" spans="1:24" ht="15.75" x14ac:dyDescent="0.25">
      <c r="B13" s="64"/>
      <c r="C13" s="180" t="s">
        <v>87</v>
      </c>
      <c r="D13" s="187" t="s">
        <v>107</v>
      </c>
      <c r="E13" s="188">
        <v>4.1803E-2</v>
      </c>
      <c r="F13" s="29"/>
      <c r="G13" s="29"/>
      <c r="H13" s="29"/>
      <c r="I13" s="29"/>
      <c r="J13" s="29"/>
      <c r="K13" s="29"/>
      <c r="L13" s="29"/>
      <c r="M13" s="29"/>
      <c r="N13" s="29"/>
      <c r="O13" s="29"/>
      <c r="P13" s="29"/>
      <c r="Q13" s="29"/>
      <c r="R13" s="29"/>
      <c r="S13" s="29"/>
      <c r="T13" s="29"/>
      <c r="U13" s="25"/>
      <c r="W13" s="173" t="s">
        <v>111</v>
      </c>
      <c r="X13" s="224">
        <v>5.7457999999999995E-2</v>
      </c>
    </row>
    <row r="14" spans="1:24" ht="15.75" x14ac:dyDescent="0.25">
      <c r="B14" s="64"/>
      <c r="C14" s="180" t="s">
        <v>30</v>
      </c>
      <c r="D14" s="187" t="s">
        <v>116</v>
      </c>
      <c r="E14" s="188">
        <v>4.1692E-2</v>
      </c>
      <c r="F14" s="29"/>
      <c r="G14" s="29"/>
      <c r="H14" s="29"/>
      <c r="I14" s="29"/>
      <c r="J14" s="29"/>
      <c r="K14" s="29"/>
      <c r="L14" s="29"/>
      <c r="M14" s="29"/>
      <c r="N14" s="29"/>
      <c r="O14" s="29"/>
      <c r="P14" s="29"/>
      <c r="Q14" s="29"/>
      <c r="R14" s="29"/>
      <c r="S14" s="29"/>
      <c r="T14" s="29"/>
      <c r="U14" s="25"/>
      <c r="W14" s="173" t="s">
        <v>120</v>
      </c>
      <c r="X14" s="224">
        <v>5.5412999999999997E-2</v>
      </c>
    </row>
    <row r="15" spans="1:24" ht="15.75" x14ac:dyDescent="0.25">
      <c r="B15" s="64"/>
      <c r="C15" s="180" t="s">
        <v>188</v>
      </c>
      <c r="D15" s="187" t="s">
        <v>106</v>
      </c>
      <c r="E15" s="188">
        <v>4.0661000000000003E-2</v>
      </c>
      <c r="F15" s="29"/>
      <c r="G15" s="29"/>
      <c r="H15" s="29"/>
      <c r="I15" s="29"/>
      <c r="J15" s="29"/>
      <c r="K15" s="29"/>
      <c r="L15" s="29"/>
      <c r="M15" s="29"/>
      <c r="N15" s="29"/>
      <c r="O15" s="29"/>
      <c r="P15" s="29"/>
      <c r="Q15" s="29"/>
      <c r="R15" s="29"/>
      <c r="S15" s="29"/>
      <c r="T15" s="29"/>
      <c r="U15" s="25"/>
      <c r="W15" s="173" t="s">
        <v>130</v>
      </c>
      <c r="X15" s="224">
        <v>4.8832E-2</v>
      </c>
    </row>
    <row r="16" spans="1:24" ht="15.75" x14ac:dyDescent="0.25">
      <c r="B16" s="64"/>
      <c r="C16" s="180" t="s">
        <v>128</v>
      </c>
      <c r="D16" s="187" t="s">
        <v>86</v>
      </c>
      <c r="E16" s="188">
        <v>4.0598000000000002E-2</v>
      </c>
      <c r="F16" s="29"/>
      <c r="G16" s="29"/>
      <c r="H16" s="29"/>
      <c r="I16" s="29"/>
      <c r="J16" s="29"/>
      <c r="K16" s="29"/>
      <c r="L16" s="29"/>
      <c r="M16" s="29"/>
      <c r="N16" s="29"/>
      <c r="O16" s="29"/>
      <c r="P16" s="29"/>
      <c r="Q16" s="29"/>
      <c r="R16" s="29"/>
      <c r="S16" s="29"/>
      <c r="T16" s="29"/>
      <c r="U16" s="25"/>
      <c r="W16" s="173" t="s">
        <v>24</v>
      </c>
      <c r="X16" s="224">
        <v>3.8847000000000007E-2</v>
      </c>
    </row>
    <row r="17" spans="2:24" ht="15.75" x14ac:dyDescent="0.25">
      <c r="B17" s="64"/>
      <c r="C17" s="180" t="s">
        <v>28</v>
      </c>
      <c r="D17" s="187" t="s">
        <v>106</v>
      </c>
      <c r="E17" s="188">
        <v>3.9961000000000003E-2</v>
      </c>
      <c r="F17" s="29"/>
      <c r="G17" s="29"/>
      <c r="H17" s="29"/>
      <c r="I17" s="29"/>
      <c r="J17" s="29"/>
      <c r="K17" s="29"/>
      <c r="L17" s="29"/>
      <c r="M17" s="29"/>
      <c r="N17" s="29"/>
      <c r="O17" s="29"/>
      <c r="P17" s="29"/>
      <c r="Q17" s="29"/>
      <c r="R17" s="29"/>
      <c r="S17" s="29"/>
      <c r="T17" s="29"/>
      <c r="U17" s="25"/>
      <c r="W17" s="173" t="s">
        <v>6</v>
      </c>
      <c r="X17" s="224">
        <v>2.7140000000000001E-2</v>
      </c>
    </row>
    <row r="18" spans="2:24" ht="15.75" x14ac:dyDescent="0.25">
      <c r="B18" s="64"/>
      <c r="C18" s="180" t="s">
        <v>332</v>
      </c>
      <c r="D18" s="187" t="s">
        <v>120</v>
      </c>
      <c r="E18" s="188">
        <v>3.7727999999999998E-2</v>
      </c>
      <c r="F18" s="29"/>
      <c r="G18" s="29"/>
      <c r="H18" s="29"/>
      <c r="I18" s="29"/>
      <c r="J18" s="29"/>
      <c r="K18" s="29"/>
      <c r="L18" s="29"/>
      <c r="M18" s="29"/>
      <c r="N18" s="29"/>
      <c r="O18" s="29"/>
      <c r="P18" s="29"/>
      <c r="Q18" s="29"/>
      <c r="R18" s="29"/>
      <c r="S18" s="29"/>
      <c r="T18" s="29"/>
      <c r="U18" s="25"/>
      <c r="W18" s="173" t="s">
        <v>114</v>
      </c>
      <c r="X18" s="224">
        <v>2.6598E-2</v>
      </c>
    </row>
    <row r="19" spans="2:24" ht="15.75" x14ac:dyDescent="0.25">
      <c r="B19" s="64"/>
      <c r="C19" s="180" t="s">
        <v>142</v>
      </c>
      <c r="D19" s="187" t="s">
        <v>111</v>
      </c>
      <c r="E19" s="188">
        <v>3.4030999999999999E-2</v>
      </c>
      <c r="F19" s="29"/>
      <c r="G19" s="29"/>
      <c r="H19" s="29"/>
      <c r="I19" s="29"/>
      <c r="J19" s="29"/>
      <c r="K19" s="29"/>
      <c r="L19" s="29"/>
      <c r="M19" s="29"/>
      <c r="N19" s="29"/>
      <c r="O19" s="29"/>
      <c r="P19" s="29"/>
      <c r="Q19" s="29"/>
      <c r="R19" s="29"/>
      <c r="S19" s="29"/>
      <c r="T19" s="29"/>
      <c r="U19" s="25"/>
      <c r="W19" s="173" t="s">
        <v>84</v>
      </c>
      <c r="X19" s="224">
        <v>2.4691999999999999E-2</v>
      </c>
    </row>
    <row r="20" spans="2:24" ht="15.75" x14ac:dyDescent="0.25">
      <c r="B20" s="64"/>
      <c r="C20" s="180" t="s">
        <v>148</v>
      </c>
      <c r="D20" s="187" t="s">
        <v>86</v>
      </c>
      <c r="E20" s="188">
        <v>3.1460000000000002E-2</v>
      </c>
      <c r="F20" s="29"/>
      <c r="G20" s="29"/>
      <c r="H20" s="29"/>
      <c r="I20" s="29"/>
      <c r="J20" s="29"/>
      <c r="K20" s="29"/>
      <c r="L20" s="29"/>
      <c r="M20" s="29"/>
      <c r="N20" s="29"/>
      <c r="O20" s="29"/>
      <c r="P20" s="29"/>
      <c r="Q20" s="29"/>
      <c r="R20" s="29"/>
      <c r="S20" s="29"/>
      <c r="T20" s="29"/>
      <c r="U20" s="25"/>
      <c r="W20" s="173" t="s">
        <v>115</v>
      </c>
      <c r="X20" s="224">
        <v>2.3723999999999999E-2</v>
      </c>
    </row>
    <row r="21" spans="2:24" ht="15.75" x14ac:dyDescent="0.25">
      <c r="B21" s="64"/>
      <c r="C21" s="180" t="s">
        <v>315</v>
      </c>
      <c r="D21" s="187" t="s">
        <v>6</v>
      </c>
      <c r="E21" s="188">
        <v>2.7140000000000001E-2</v>
      </c>
      <c r="F21" s="29"/>
      <c r="G21" s="29"/>
      <c r="H21" s="29"/>
      <c r="I21" s="29"/>
      <c r="J21" s="29"/>
      <c r="K21" s="29"/>
      <c r="L21" s="29"/>
      <c r="M21" s="29"/>
      <c r="N21" s="29"/>
      <c r="O21" s="29"/>
      <c r="P21" s="29"/>
      <c r="Q21" s="29"/>
      <c r="R21" s="29"/>
      <c r="S21" s="29"/>
      <c r="T21" s="29"/>
      <c r="U21" s="25"/>
      <c r="W21" s="173" t="s">
        <v>121</v>
      </c>
      <c r="X21" s="224">
        <v>2.2352E-2</v>
      </c>
    </row>
    <row r="22" spans="2:24" ht="30" x14ac:dyDescent="0.25">
      <c r="B22" s="64"/>
      <c r="C22" s="180" t="s">
        <v>346</v>
      </c>
      <c r="D22" s="187" t="s">
        <v>114</v>
      </c>
      <c r="E22" s="188">
        <v>2.6598E-2</v>
      </c>
      <c r="F22" s="29"/>
      <c r="G22" s="29"/>
      <c r="H22" s="29"/>
      <c r="I22" s="29"/>
      <c r="J22" s="29"/>
      <c r="K22" s="29"/>
      <c r="L22" s="29"/>
      <c r="M22" s="29"/>
      <c r="N22" s="29"/>
      <c r="O22" s="29"/>
      <c r="P22" s="29"/>
      <c r="Q22" s="29"/>
      <c r="R22" s="29"/>
      <c r="S22" s="29"/>
      <c r="T22" s="29"/>
      <c r="U22" s="25"/>
      <c r="W22" s="173" t="s">
        <v>83</v>
      </c>
      <c r="X22" s="224">
        <v>2.171E-2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25</v>
      </c>
      <c r="X23" s="224">
        <v>1.3027E-2</v>
      </c>
    </row>
    <row r="24" spans="2:24" ht="15.75" x14ac:dyDescent="0.25">
      <c r="B24" s="64"/>
      <c r="C24" s="73" t="s">
        <v>55</v>
      </c>
      <c r="D24" s="74"/>
      <c r="E24" s="75">
        <f>SUM(E8:E22)</f>
        <v>0.59216800000000014</v>
      </c>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15A1-E494-44FE-BF00-27597DB58EEA}">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349</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420</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250</v>
      </c>
      <c r="D8" s="185" t="s">
        <v>110</v>
      </c>
      <c r="E8" s="186">
        <v>5.0875999999999998E-2</v>
      </c>
      <c r="F8" s="29"/>
      <c r="G8" s="29"/>
      <c r="H8" s="29"/>
      <c r="I8" s="29"/>
      <c r="J8" s="29"/>
      <c r="K8" s="29"/>
      <c r="L8" s="29"/>
      <c r="M8" s="29"/>
      <c r="N8" s="29"/>
      <c r="O8" s="29"/>
      <c r="P8" s="29"/>
      <c r="Q8" s="29"/>
      <c r="R8" s="29"/>
      <c r="S8" s="29"/>
      <c r="T8" s="29"/>
      <c r="U8" s="25"/>
      <c r="W8" s="173" t="s">
        <v>110</v>
      </c>
      <c r="X8" s="224">
        <v>0.22098499999999999</v>
      </c>
    </row>
    <row r="9" spans="1:24" ht="15.75" x14ac:dyDescent="0.25">
      <c r="B9" s="64"/>
      <c r="C9" s="180" t="s">
        <v>70</v>
      </c>
      <c r="D9" s="187" t="s">
        <v>12</v>
      </c>
      <c r="E9" s="188">
        <v>4.9572999999999999E-2</v>
      </c>
      <c r="F9" s="29"/>
      <c r="G9" s="29"/>
      <c r="H9" s="29"/>
      <c r="I9" s="29"/>
      <c r="J9" s="29"/>
      <c r="K9" s="29"/>
      <c r="L9" s="29"/>
      <c r="M9" s="29"/>
      <c r="N9" s="29"/>
      <c r="O9" s="29"/>
      <c r="P9" s="29"/>
      <c r="Q9" s="29"/>
      <c r="R9" s="29"/>
      <c r="S9" s="29"/>
      <c r="T9" s="29"/>
      <c r="U9" s="25"/>
      <c r="W9" s="173" t="s">
        <v>106</v>
      </c>
      <c r="X9" s="224">
        <v>0.122849</v>
      </c>
    </row>
    <row r="10" spans="1:24" ht="15.75" x14ac:dyDescent="0.25">
      <c r="B10" s="64"/>
      <c r="C10" s="180" t="s">
        <v>32</v>
      </c>
      <c r="D10" s="187" t="s">
        <v>3</v>
      </c>
      <c r="E10" s="188">
        <v>4.4580000000000002E-2</v>
      </c>
      <c r="F10" s="29"/>
      <c r="G10" s="29"/>
      <c r="H10" s="29"/>
      <c r="I10" s="29"/>
      <c r="J10" s="29"/>
      <c r="K10" s="29"/>
      <c r="L10" s="29"/>
      <c r="M10" s="29"/>
      <c r="N10" s="29"/>
      <c r="O10" s="29"/>
      <c r="P10" s="29"/>
      <c r="Q10" s="29"/>
      <c r="R10" s="29"/>
      <c r="S10" s="29"/>
      <c r="T10" s="29"/>
      <c r="U10" s="25"/>
      <c r="W10" s="173" t="s">
        <v>3</v>
      </c>
      <c r="X10" s="224">
        <v>6.8570999999999993E-2</v>
      </c>
    </row>
    <row r="11" spans="1:24" ht="15.75" x14ac:dyDescent="0.25">
      <c r="B11" s="64"/>
      <c r="C11" s="180" t="s">
        <v>292</v>
      </c>
      <c r="D11" s="187" t="s">
        <v>110</v>
      </c>
      <c r="E11" s="188">
        <v>4.2988999999999999E-2</v>
      </c>
      <c r="F11" s="29"/>
      <c r="G11" s="29"/>
      <c r="H11" s="29"/>
      <c r="I11" s="29"/>
      <c r="J11" s="29"/>
      <c r="K11" s="29"/>
      <c r="L11" s="29"/>
      <c r="M11" s="29"/>
      <c r="N11" s="29"/>
      <c r="O11" s="29"/>
      <c r="P11" s="29"/>
      <c r="Q11" s="29"/>
      <c r="R11" s="29"/>
      <c r="S11" s="29"/>
      <c r="T11" s="29"/>
      <c r="U11" s="25"/>
      <c r="W11" s="173" t="s">
        <v>82</v>
      </c>
      <c r="X11" s="224">
        <v>6.8199999999999997E-2</v>
      </c>
    </row>
    <row r="12" spans="1:24" ht="15.75" x14ac:dyDescent="0.25">
      <c r="B12" s="64"/>
      <c r="C12" s="180" t="s">
        <v>348</v>
      </c>
      <c r="D12" s="187" t="s">
        <v>115</v>
      </c>
      <c r="E12" s="188">
        <v>3.8540999999999999E-2</v>
      </c>
      <c r="F12" s="29"/>
      <c r="G12" s="29"/>
      <c r="H12" s="29"/>
      <c r="I12" s="29"/>
      <c r="J12" s="29"/>
      <c r="K12" s="29"/>
      <c r="L12" s="29"/>
      <c r="M12" s="29"/>
      <c r="N12" s="29"/>
      <c r="O12" s="29"/>
      <c r="P12" s="29"/>
      <c r="Q12" s="29"/>
      <c r="R12" s="29"/>
      <c r="S12" s="29"/>
      <c r="T12" s="29"/>
      <c r="U12" s="25"/>
      <c r="W12" s="173" t="s">
        <v>111</v>
      </c>
      <c r="X12" s="224">
        <v>5.6772000000000003E-2</v>
      </c>
    </row>
    <row r="13" spans="1:24" ht="15.75" x14ac:dyDescent="0.25">
      <c r="B13" s="64"/>
      <c r="C13" s="180" t="s">
        <v>293</v>
      </c>
      <c r="D13" s="187" t="s">
        <v>110</v>
      </c>
      <c r="E13" s="188">
        <v>3.721E-2</v>
      </c>
      <c r="F13" s="29"/>
      <c r="G13" s="29"/>
      <c r="H13" s="29"/>
      <c r="I13" s="29"/>
      <c r="J13" s="29"/>
      <c r="K13" s="29"/>
      <c r="L13" s="29"/>
      <c r="M13" s="29"/>
      <c r="N13" s="29"/>
      <c r="O13" s="29"/>
      <c r="P13" s="29"/>
      <c r="Q13" s="29"/>
      <c r="R13" s="29"/>
      <c r="S13" s="29"/>
      <c r="T13" s="29"/>
      <c r="U13" s="25"/>
      <c r="W13" s="173" t="s">
        <v>109</v>
      </c>
      <c r="X13" s="224">
        <v>5.2075999999999997E-2</v>
      </c>
    </row>
    <row r="14" spans="1:24" ht="15.75" x14ac:dyDescent="0.25">
      <c r="B14" s="64"/>
      <c r="C14" s="180" t="s">
        <v>330</v>
      </c>
      <c r="D14" s="187" t="s">
        <v>105</v>
      </c>
      <c r="E14" s="188">
        <v>3.6454E-2</v>
      </c>
      <c r="F14" s="29"/>
      <c r="G14" s="29"/>
      <c r="H14" s="29"/>
      <c r="I14" s="29"/>
      <c r="J14" s="29"/>
      <c r="K14" s="29"/>
      <c r="L14" s="29"/>
      <c r="M14" s="29"/>
      <c r="N14" s="29"/>
      <c r="O14" s="29"/>
      <c r="P14" s="29"/>
      <c r="Q14" s="29"/>
      <c r="R14" s="29"/>
      <c r="S14" s="29"/>
      <c r="T14" s="29"/>
      <c r="U14" s="25"/>
      <c r="W14" s="173" t="s">
        <v>12</v>
      </c>
      <c r="X14" s="224">
        <v>4.9572999999999999E-2</v>
      </c>
    </row>
    <row r="15" spans="1:24" ht="15.75" x14ac:dyDescent="0.25">
      <c r="B15" s="64"/>
      <c r="C15" s="180" t="s">
        <v>248</v>
      </c>
      <c r="D15" s="187" t="s">
        <v>82</v>
      </c>
      <c r="E15" s="188">
        <v>3.5610999999999997E-2</v>
      </c>
      <c r="F15" s="29"/>
      <c r="G15" s="29"/>
      <c r="H15" s="29"/>
      <c r="I15" s="29"/>
      <c r="J15" s="29"/>
      <c r="K15" s="29"/>
      <c r="L15" s="29"/>
      <c r="M15" s="29"/>
      <c r="N15" s="29"/>
      <c r="O15" s="29"/>
      <c r="P15" s="29"/>
      <c r="Q15" s="29"/>
      <c r="R15" s="29"/>
      <c r="S15" s="29"/>
      <c r="T15" s="29"/>
      <c r="U15" s="25"/>
      <c r="W15" s="173" t="s">
        <v>115</v>
      </c>
      <c r="X15" s="224">
        <v>3.8540999999999999E-2</v>
      </c>
    </row>
    <row r="16" spans="1:24" ht="15.75" x14ac:dyDescent="0.25">
      <c r="B16" s="64"/>
      <c r="C16" s="180" t="s">
        <v>87</v>
      </c>
      <c r="D16" s="187" t="s">
        <v>107</v>
      </c>
      <c r="E16" s="188">
        <v>3.5282000000000001E-2</v>
      </c>
      <c r="F16" s="29"/>
      <c r="G16" s="29"/>
      <c r="H16" s="29"/>
      <c r="I16" s="29"/>
      <c r="J16" s="29"/>
      <c r="K16" s="29"/>
      <c r="L16" s="29"/>
      <c r="M16" s="29"/>
      <c r="N16" s="29"/>
      <c r="O16" s="29"/>
      <c r="P16" s="29"/>
      <c r="Q16" s="29"/>
      <c r="R16" s="29"/>
      <c r="S16" s="29"/>
      <c r="T16" s="29"/>
      <c r="U16" s="25"/>
      <c r="W16" s="173" t="s">
        <v>105</v>
      </c>
      <c r="X16" s="224">
        <v>3.6454E-2</v>
      </c>
    </row>
    <row r="17" spans="2:24" ht="15.75" x14ac:dyDescent="0.25">
      <c r="B17" s="64"/>
      <c r="C17" s="180" t="s">
        <v>30</v>
      </c>
      <c r="D17" s="187" t="s">
        <v>116</v>
      </c>
      <c r="E17" s="188">
        <v>3.517E-2</v>
      </c>
      <c r="F17" s="29"/>
      <c r="G17" s="29"/>
      <c r="H17" s="29"/>
      <c r="I17" s="29"/>
      <c r="J17" s="29"/>
      <c r="K17" s="29"/>
      <c r="L17" s="29"/>
      <c r="M17" s="29"/>
      <c r="N17" s="29"/>
      <c r="O17" s="29"/>
      <c r="P17" s="29"/>
      <c r="Q17" s="29"/>
      <c r="R17" s="29"/>
      <c r="S17" s="29"/>
      <c r="T17" s="29"/>
      <c r="U17" s="25"/>
      <c r="W17" s="173" t="s">
        <v>107</v>
      </c>
      <c r="X17" s="224">
        <v>3.5282000000000001E-2</v>
      </c>
    </row>
    <row r="18" spans="2:24" ht="15.75" x14ac:dyDescent="0.25">
      <c r="B18" s="64"/>
      <c r="C18" s="180" t="s">
        <v>286</v>
      </c>
      <c r="D18" s="187" t="s">
        <v>76</v>
      </c>
      <c r="E18" s="188">
        <v>3.4276000000000001E-2</v>
      </c>
      <c r="F18" s="29"/>
      <c r="G18" s="29"/>
      <c r="H18" s="29"/>
      <c r="I18" s="29"/>
      <c r="J18" s="29"/>
      <c r="K18" s="29"/>
      <c r="L18" s="29"/>
      <c r="M18" s="29"/>
      <c r="N18" s="29"/>
      <c r="O18" s="29"/>
      <c r="P18" s="29"/>
      <c r="Q18" s="29"/>
      <c r="R18" s="29"/>
      <c r="S18" s="29"/>
      <c r="T18" s="29"/>
      <c r="U18" s="25"/>
      <c r="W18" s="173" t="s">
        <v>116</v>
      </c>
      <c r="X18" s="224">
        <v>3.517E-2</v>
      </c>
    </row>
    <row r="19" spans="2:24" ht="15.75" x14ac:dyDescent="0.25">
      <c r="B19" s="64"/>
      <c r="C19" s="180" t="s">
        <v>33</v>
      </c>
      <c r="D19" s="187" t="s">
        <v>106</v>
      </c>
      <c r="E19" s="188">
        <v>3.4020000000000002E-2</v>
      </c>
      <c r="F19" s="29"/>
      <c r="G19" s="29"/>
      <c r="H19" s="29"/>
      <c r="I19" s="29"/>
      <c r="J19" s="29"/>
      <c r="K19" s="29"/>
      <c r="L19" s="29"/>
      <c r="M19" s="29"/>
      <c r="N19" s="29"/>
      <c r="O19" s="29"/>
      <c r="P19" s="29"/>
      <c r="Q19" s="29"/>
      <c r="R19" s="29"/>
      <c r="S19" s="29"/>
      <c r="T19" s="29"/>
      <c r="U19" s="25"/>
      <c r="W19" s="173" t="s">
        <v>76</v>
      </c>
      <c r="X19" s="224">
        <v>3.4276000000000001E-2</v>
      </c>
    </row>
    <row r="20" spans="2:24" ht="15.75" x14ac:dyDescent="0.25">
      <c r="B20" s="64"/>
      <c r="C20" s="180" t="s">
        <v>328</v>
      </c>
      <c r="D20" s="187" t="s">
        <v>85</v>
      </c>
      <c r="E20" s="188">
        <v>3.3494999999999997E-2</v>
      </c>
      <c r="F20" s="29"/>
      <c r="G20" s="29"/>
      <c r="H20" s="29"/>
      <c r="I20" s="29"/>
      <c r="J20" s="29"/>
      <c r="K20" s="29"/>
      <c r="L20" s="29"/>
      <c r="M20" s="29"/>
      <c r="N20" s="29"/>
      <c r="O20" s="29"/>
      <c r="P20" s="29"/>
      <c r="Q20" s="29"/>
      <c r="R20" s="29"/>
      <c r="S20" s="29"/>
      <c r="T20" s="29"/>
      <c r="U20" s="25"/>
      <c r="W20" s="173" t="s">
        <v>85</v>
      </c>
      <c r="X20" s="224">
        <v>3.3494999999999997E-2</v>
      </c>
    </row>
    <row r="21" spans="2:24" ht="15.75" x14ac:dyDescent="0.25">
      <c r="B21" s="64"/>
      <c r="C21" s="180" t="s">
        <v>269</v>
      </c>
      <c r="D21" s="187" t="s">
        <v>110</v>
      </c>
      <c r="E21" s="188">
        <v>3.3245999999999998E-2</v>
      </c>
      <c r="F21" s="29"/>
      <c r="G21" s="29"/>
      <c r="H21" s="29"/>
      <c r="I21" s="29"/>
      <c r="J21" s="29"/>
      <c r="K21" s="29"/>
      <c r="L21" s="29"/>
      <c r="M21" s="29"/>
      <c r="N21" s="29"/>
      <c r="O21" s="29"/>
      <c r="P21" s="29"/>
      <c r="Q21" s="29"/>
      <c r="R21" s="29"/>
      <c r="S21" s="29"/>
      <c r="T21" s="29"/>
      <c r="U21" s="25"/>
      <c r="W21" s="173" t="s">
        <v>16</v>
      </c>
      <c r="X21" s="224">
        <v>3.1229E-2</v>
      </c>
    </row>
    <row r="22" spans="2:24" ht="15.75" x14ac:dyDescent="0.25">
      <c r="B22" s="64"/>
      <c r="C22" s="180" t="s">
        <v>64</v>
      </c>
      <c r="D22" s="187" t="s">
        <v>82</v>
      </c>
      <c r="E22" s="188">
        <v>3.2589E-2</v>
      </c>
      <c r="F22" s="29"/>
      <c r="G22" s="29"/>
      <c r="H22" s="29"/>
      <c r="I22" s="29"/>
      <c r="J22" s="29"/>
      <c r="K22" s="29"/>
      <c r="L22" s="29"/>
      <c r="M22" s="29"/>
      <c r="N22" s="29"/>
      <c r="O22" s="29"/>
      <c r="P22" s="29"/>
      <c r="Q22" s="29"/>
      <c r="R22" s="29"/>
      <c r="S22" s="29"/>
      <c r="T22" s="29"/>
      <c r="U22" s="25"/>
      <c r="W22" s="173" t="s">
        <v>120</v>
      </c>
      <c r="X22" s="224">
        <v>2.9784999999999999E-2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118</v>
      </c>
      <c r="X23" s="224">
        <v>2.9090999999999999E-2</v>
      </c>
    </row>
    <row r="24" spans="2:24" ht="15.75" x14ac:dyDescent="0.25">
      <c r="B24" s="64"/>
      <c r="C24" s="73" t="s">
        <v>55</v>
      </c>
      <c r="D24" s="74"/>
      <c r="E24" s="75">
        <f>SUM(E8:E22)</f>
        <v>0.57391199999999987</v>
      </c>
      <c r="F24" s="29"/>
      <c r="G24" s="29"/>
      <c r="H24" s="29"/>
      <c r="I24" s="29"/>
      <c r="J24" s="29"/>
      <c r="K24" s="29"/>
      <c r="L24" s="29"/>
      <c r="M24" s="29"/>
      <c r="N24" s="29"/>
      <c r="O24" s="29"/>
      <c r="P24" s="29"/>
      <c r="Q24" s="29"/>
      <c r="R24" s="29"/>
      <c r="S24" s="29"/>
      <c r="T24" s="29"/>
      <c r="U24" s="25"/>
      <c r="W24" s="173" t="s">
        <v>26</v>
      </c>
      <c r="X24" s="224">
        <v>2.8413999999999998E-2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24</v>
      </c>
      <c r="X25" s="224">
        <v>2.7659E-2</v>
      </c>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85B1-879F-4985-88AE-5C1AF17C8ABE}">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1" t="s">
        <v>364</v>
      </c>
      <c r="D3" s="312"/>
      <c r="E3" s="312"/>
      <c r="F3" s="312"/>
      <c r="G3" s="312"/>
      <c r="H3" s="312"/>
      <c r="I3" s="312"/>
      <c r="J3" s="312"/>
      <c r="K3" s="312"/>
      <c r="L3" s="312"/>
      <c r="M3" s="312"/>
      <c r="N3" s="312"/>
      <c r="O3" s="312"/>
      <c r="P3" s="312"/>
      <c r="Q3" s="312"/>
      <c r="R3" s="312"/>
      <c r="S3" s="312"/>
      <c r="T3" s="65"/>
      <c r="U3" s="66"/>
    </row>
    <row r="4" spans="1:24" ht="15.75" x14ac:dyDescent="0.25">
      <c r="B4" s="64"/>
      <c r="C4" s="67" t="s">
        <v>441</v>
      </c>
      <c r="D4" s="29"/>
      <c r="E4" s="29"/>
      <c r="F4" s="29"/>
      <c r="G4" s="29"/>
      <c r="H4" s="29"/>
      <c r="I4" s="29"/>
      <c r="J4" s="29"/>
      <c r="K4" s="29"/>
      <c r="L4" s="29"/>
      <c r="M4" s="29"/>
      <c r="N4" s="29"/>
      <c r="O4" s="29"/>
      <c r="P4" s="29"/>
      <c r="Q4" s="29"/>
      <c r="R4" s="29"/>
      <c r="S4" s="29"/>
      <c r="T4" s="29"/>
      <c r="U4" s="25"/>
    </row>
    <row r="5" spans="1:24" ht="20.25" x14ac:dyDescent="0.25">
      <c r="B5" s="64"/>
      <c r="C5" s="211" t="s">
        <v>440</v>
      </c>
      <c r="D5" s="315" t="s">
        <v>421</v>
      </c>
      <c r="E5" s="31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144</v>
      </c>
      <c r="D8" s="185" t="s">
        <v>123</v>
      </c>
      <c r="E8" s="186">
        <v>4.5488000000000001E-2</v>
      </c>
      <c r="F8" s="29"/>
      <c r="G8" s="29"/>
      <c r="H8" s="29"/>
      <c r="I8" s="29"/>
      <c r="J8" s="29"/>
      <c r="K8" s="29"/>
      <c r="L8" s="29"/>
      <c r="M8" s="29"/>
      <c r="N8" s="29"/>
      <c r="O8" s="29"/>
      <c r="P8" s="29"/>
      <c r="Q8" s="29"/>
      <c r="R8" s="29"/>
      <c r="S8" s="29"/>
      <c r="T8" s="29"/>
      <c r="U8" s="25"/>
      <c r="W8" s="173" t="s">
        <v>4</v>
      </c>
      <c r="X8" s="224">
        <v>0.12034800000000001</v>
      </c>
    </row>
    <row r="9" spans="1:24" ht="15.75" x14ac:dyDescent="0.25">
      <c r="B9" s="64"/>
      <c r="C9" s="180" t="s">
        <v>148</v>
      </c>
      <c r="D9" s="187" t="s">
        <v>86</v>
      </c>
      <c r="E9" s="188">
        <v>3.5972999999999998E-2</v>
      </c>
      <c r="F9" s="29"/>
      <c r="G9" s="29"/>
      <c r="H9" s="29"/>
      <c r="I9" s="29"/>
      <c r="J9" s="29"/>
      <c r="K9" s="29"/>
      <c r="L9" s="29"/>
      <c r="M9" s="29"/>
      <c r="N9" s="29"/>
      <c r="O9" s="29"/>
      <c r="P9" s="29"/>
      <c r="Q9" s="29"/>
      <c r="R9" s="29"/>
      <c r="S9" s="29"/>
      <c r="T9" s="29"/>
      <c r="U9" s="25"/>
      <c r="W9" s="173" t="s">
        <v>10</v>
      </c>
      <c r="X9" s="224">
        <v>8.7226999999999999E-2</v>
      </c>
    </row>
    <row r="10" spans="1:24" ht="15.75" x14ac:dyDescent="0.25">
      <c r="B10" s="64"/>
      <c r="C10" s="180" t="s">
        <v>277</v>
      </c>
      <c r="D10" s="187" t="s">
        <v>132</v>
      </c>
      <c r="E10" s="188">
        <v>3.5631000000000003E-2</v>
      </c>
      <c r="F10" s="29"/>
      <c r="G10" s="29"/>
      <c r="H10" s="29"/>
      <c r="I10" s="29"/>
      <c r="J10" s="29"/>
      <c r="K10" s="29"/>
      <c r="L10" s="29"/>
      <c r="M10" s="29"/>
      <c r="N10" s="29"/>
      <c r="O10" s="29"/>
      <c r="P10" s="29"/>
      <c r="Q10" s="29"/>
      <c r="R10" s="29"/>
      <c r="S10" s="29"/>
      <c r="T10" s="29"/>
      <c r="U10" s="25"/>
      <c r="W10" s="173" t="s">
        <v>110</v>
      </c>
      <c r="X10" s="224">
        <v>5.8530000000000006E-2</v>
      </c>
    </row>
    <row r="11" spans="1:24" ht="15.75" x14ac:dyDescent="0.25">
      <c r="B11" s="64"/>
      <c r="C11" s="180" t="s">
        <v>292</v>
      </c>
      <c r="D11" s="187" t="s">
        <v>110</v>
      </c>
      <c r="E11" s="188">
        <v>3.3216000000000002E-2</v>
      </c>
      <c r="F11" s="29"/>
      <c r="G11" s="29"/>
      <c r="H11" s="29"/>
      <c r="I11" s="29"/>
      <c r="J11" s="29"/>
      <c r="K11" s="29"/>
      <c r="L11" s="29"/>
      <c r="M11" s="29"/>
      <c r="N11" s="29"/>
      <c r="O11" s="29"/>
      <c r="P11" s="29"/>
      <c r="Q11" s="29"/>
      <c r="R11" s="29"/>
      <c r="S11" s="29"/>
      <c r="T11" s="29"/>
      <c r="U11" s="25"/>
      <c r="W11" s="173" t="s">
        <v>26</v>
      </c>
      <c r="X11" s="224">
        <v>5.6487999999999997E-2</v>
      </c>
    </row>
    <row r="12" spans="1:24" ht="15.75" x14ac:dyDescent="0.25">
      <c r="B12" s="64"/>
      <c r="C12" s="180" t="s">
        <v>192</v>
      </c>
      <c r="D12" s="187" t="s">
        <v>105</v>
      </c>
      <c r="E12" s="188">
        <v>3.2802999999999999E-2</v>
      </c>
      <c r="F12" s="29"/>
      <c r="G12" s="29"/>
      <c r="H12" s="29"/>
      <c r="I12" s="29"/>
      <c r="J12" s="29"/>
      <c r="K12" s="29"/>
      <c r="L12" s="29"/>
      <c r="M12" s="29"/>
      <c r="N12" s="29"/>
      <c r="O12" s="29"/>
      <c r="P12" s="29"/>
      <c r="Q12" s="29"/>
      <c r="R12" s="29"/>
      <c r="S12" s="29"/>
      <c r="T12" s="29"/>
      <c r="U12" s="25"/>
      <c r="W12" s="173" t="s">
        <v>118</v>
      </c>
      <c r="X12" s="224">
        <v>5.2851999999999996E-2</v>
      </c>
    </row>
    <row r="13" spans="1:24" ht="15.75" x14ac:dyDescent="0.25">
      <c r="B13" s="64"/>
      <c r="C13" s="180" t="s">
        <v>93</v>
      </c>
      <c r="D13" s="187" t="s">
        <v>83</v>
      </c>
      <c r="E13" s="188">
        <v>3.1336000000000003E-2</v>
      </c>
      <c r="F13" s="29"/>
      <c r="G13" s="29"/>
      <c r="H13" s="29"/>
      <c r="I13" s="29"/>
      <c r="J13" s="29"/>
      <c r="K13" s="29"/>
      <c r="L13" s="29"/>
      <c r="M13" s="29"/>
      <c r="N13" s="29"/>
      <c r="O13" s="29"/>
      <c r="P13" s="29"/>
      <c r="Q13" s="29"/>
      <c r="R13" s="29"/>
      <c r="S13" s="29"/>
      <c r="T13" s="29"/>
      <c r="U13" s="25"/>
      <c r="W13" s="173" t="s">
        <v>105</v>
      </c>
      <c r="X13" s="224">
        <v>5.1548999999999998E-2</v>
      </c>
    </row>
    <row r="14" spans="1:24" ht="15.75" x14ac:dyDescent="0.25">
      <c r="B14" s="64"/>
      <c r="C14" s="180" t="s">
        <v>104</v>
      </c>
      <c r="D14" s="187" t="s">
        <v>4</v>
      </c>
      <c r="E14" s="188">
        <v>2.8992E-2</v>
      </c>
      <c r="F14" s="29"/>
      <c r="G14" s="29"/>
      <c r="H14" s="29"/>
      <c r="I14" s="29"/>
      <c r="J14" s="29"/>
      <c r="K14" s="29"/>
      <c r="L14" s="29"/>
      <c r="M14" s="29"/>
      <c r="N14" s="29"/>
      <c r="O14" s="29"/>
      <c r="P14" s="29"/>
      <c r="Q14" s="29"/>
      <c r="R14" s="29"/>
      <c r="S14" s="29"/>
      <c r="T14" s="29"/>
      <c r="U14" s="25"/>
      <c r="W14" s="173" t="s">
        <v>3</v>
      </c>
      <c r="X14" s="224">
        <v>4.7789999999999999E-2</v>
      </c>
    </row>
    <row r="15" spans="1:24" ht="15.75" x14ac:dyDescent="0.25">
      <c r="B15" s="64"/>
      <c r="C15" s="180" t="s">
        <v>362</v>
      </c>
      <c r="D15" s="187" t="s">
        <v>10</v>
      </c>
      <c r="E15" s="188">
        <v>2.8563000000000002E-2</v>
      </c>
      <c r="F15" s="29"/>
      <c r="G15" s="29"/>
      <c r="H15" s="29"/>
      <c r="I15" s="29"/>
      <c r="J15" s="29"/>
      <c r="K15" s="29"/>
      <c r="L15" s="29"/>
      <c r="M15" s="29"/>
      <c r="N15" s="29"/>
      <c r="O15" s="29"/>
      <c r="P15" s="29"/>
      <c r="Q15" s="29"/>
      <c r="R15" s="29"/>
      <c r="S15" s="29"/>
      <c r="T15" s="29"/>
      <c r="U15" s="25"/>
      <c r="W15" s="173" t="s">
        <v>6</v>
      </c>
      <c r="X15" s="224">
        <v>4.6077E-2</v>
      </c>
    </row>
    <row r="16" spans="1:24" ht="15.75" x14ac:dyDescent="0.25">
      <c r="B16" s="64"/>
      <c r="C16" s="180" t="s">
        <v>75</v>
      </c>
      <c r="D16" s="187" t="s">
        <v>4</v>
      </c>
      <c r="E16" s="188">
        <v>2.733E-2</v>
      </c>
      <c r="F16" s="29"/>
      <c r="G16" s="29"/>
      <c r="H16" s="29"/>
      <c r="I16" s="29"/>
      <c r="J16" s="29"/>
      <c r="K16" s="29"/>
      <c r="L16" s="29"/>
      <c r="M16" s="29"/>
      <c r="N16" s="29"/>
      <c r="O16" s="29"/>
      <c r="P16" s="29"/>
      <c r="Q16" s="29"/>
      <c r="R16" s="29"/>
      <c r="S16" s="29"/>
      <c r="T16" s="29"/>
      <c r="U16" s="25"/>
      <c r="W16" s="173" t="s">
        <v>123</v>
      </c>
      <c r="X16" s="224">
        <v>4.5488000000000001E-2</v>
      </c>
    </row>
    <row r="17" spans="2:24" ht="15.75" x14ac:dyDescent="0.25">
      <c r="B17" s="64"/>
      <c r="C17" s="180" t="s">
        <v>304</v>
      </c>
      <c r="D17" s="187" t="s">
        <v>26</v>
      </c>
      <c r="E17" s="188">
        <v>2.7216000000000001E-2</v>
      </c>
      <c r="F17" s="29"/>
      <c r="G17" s="29"/>
      <c r="H17" s="29"/>
      <c r="I17" s="29"/>
      <c r="J17" s="29"/>
      <c r="K17" s="29"/>
      <c r="L17" s="29"/>
      <c r="M17" s="29"/>
      <c r="N17" s="29"/>
      <c r="O17" s="29"/>
      <c r="P17" s="29"/>
      <c r="Q17" s="29"/>
      <c r="R17" s="29"/>
      <c r="S17" s="29"/>
      <c r="T17" s="29"/>
      <c r="U17" s="25"/>
      <c r="W17" s="173" t="s">
        <v>120</v>
      </c>
      <c r="X17" s="224">
        <v>3.8691000000000003E-2</v>
      </c>
    </row>
    <row r="18" spans="2:24" ht="15.75" x14ac:dyDescent="0.25">
      <c r="B18" s="64"/>
      <c r="C18" s="180" t="s">
        <v>87</v>
      </c>
      <c r="D18" s="187" t="s">
        <v>107</v>
      </c>
      <c r="E18" s="188">
        <v>2.6387000000000001E-2</v>
      </c>
      <c r="F18" s="29"/>
      <c r="G18" s="29"/>
      <c r="H18" s="29"/>
      <c r="I18" s="29"/>
      <c r="J18" s="29"/>
      <c r="K18" s="29"/>
      <c r="L18" s="29"/>
      <c r="M18" s="29"/>
      <c r="N18" s="29"/>
      <c r="O18" s="29"/>
      <c r="P18" s="29"/>
      <c r="Q18" s="29"/>
      <c r="R18" s="29"/>
      <c r="S18" s="29"/>
      <c r="T18" s="29"/>
      <c r="U18" s="25"/>
      <c r="W18" s="173" t="s">
        <v>85</v>
      </c>
      <c r="X18" s="224">
        <v>3.7471999999999998E-2</v>
      </c>
    </row>
    <row r="19" spans="2:24" ht="15.75" x14ac:dyDescent="0.25">
      <c r="B19" s="64"/>
      <c r="C19" s="180" t="s">
        <v>133</v>
      </c>
      <c r="D19" s="187" t="s">
        <v>111</v>
      </c>
      <c r="E19" s="188">
        <v>2.5753999999999999E-2</v>
      </c>
      <c r="F19" s="29"/>
      <c r="G19" s="29"/>
      <c r="H19" s="29"/>
      <c r="I19" s="29"/>
      <c r="J19" s="29"/>
      <c r="K19" s="29"/>
      <c r="L19" s="29"/>
      <c r="M19" s="29"/>
      <c r="N19" s="29"/>
      <c r="O19" s="29"/>
      <c r="P19" s="29"/>
      <c r="Q19" s="29"/>
      <c r="R19" s="29"/>
      <c r="S19" s="29"/>
      <c r="T19" s="29"/>
      <c r="U19" s="25"/>
      <c r="W19" s="173" t="s">
        <v>86</v>
      </c>
      <c r="X19" s="224">
        <v>3.5972999999999998E-2</v>
      </c>
    </row>
    <row r="20" spans="2:24" ht="15.75" x14ac:dyDescent="0.25">
      <c r="B20" s="64"/>
      <c r="C20" s="180" t="s">
        <v>228</v>
      </c>
      <c r="D20" s="187" t="s">
        <v>26</v>
      </c>
      <c r="E20" s="188">
        <v>2.5252E-2</v>
      </c>
      <c r="F20" s="29"/>
      <c r="G20" s="29"/>
      <c r="H20" s="29"/>
      <c r="I20" s="29"/>
      <c r="J20" s="29"/>
      <c r="K20" s="29"/>
      <c r="L20" s="29"/>
      <c r="M20" s="29"/>
      <c r="N20" s="29"/>
      <c r="O20" s="29"/>
      <c r="P20" s="29"/>
      <c r="Q20" s="29"/>
      <c r="R20" s="29"/>
      <c r="S20" s="29"/>
      <c r="T20" s="29"/>
      <c r="U20" s="25"/>
      <c r="W20" s="173" t="s">
        <v>132</v>
      </c>
      <c r="X20" s="224">
        <v>3.5631000000000003E-2</v>
      </c>
    </row>
    <row r="21" spans="2:24" ht="15.75" x14ac:dyDescent="0.25">
      <c r="B21" s="64"/>
      <c r="C21" s="180" t="s">
        <v>149</v>
      </c>
      <c r="D21" s="187" t="s">
        <v>120</v>
      </c>
      <c r="E21" s="188">
        <v>2.5155E-2</v>
      </c>
      <c r="F21" s="29"/>
      <c r="G21" s="29"/>
      <c r="H21" s="29"/>
      <c r="I21" s="29"/>
      <c r="J21" s="29"/>
      <c r="K21" s="29"/>
      <c r="L21" s="29"/>
      <c r="M21" s="29"/>
      <c r="N21" s="29"/>
      <c r="O21" s="29"/>
      <c r="P21" s="29"/>
      <c r="Q21" s="29"/>
      <c r="R21" s="29"/>
      <c r="S21" s="29"/>
      <c r="T21" s="29"/>
      <c r="U21" s="25"/>
      <c r="W21" s="173" t="s">
        <v>111</v>
      </c>
      <c r="X21" s="224">
        <v>3.5135E-2</v>
      </c>
    </row>
    <row r="22" spans="2:24" ht="15.75" x14ac:dyDescent="0.25">
      <c r="B22" s="64"/>
      <c r="C22" s="180" t="s">
        <v>363</v>
      </c>
      <c r="D22" s="187" t="s">
        <v>4</v>
      </c>
      <c r="E22" s="188">
        <v>2.4464E-2</v>
      </c>
      <c r="F22" s="29"/>
      <c r="G22" s="29"/>
      <c r="H22" s="29"/>
      <c r="I22" s="29"/>
      <c r="J22" s="29"/>
      <c r="K22" s="29"/>
      <c r="L22" s="29"/>
      <c r="M22" s="29"/>
      <c r="N22" s="29"/>
      <c r="O22" s="29"/>
      <c r="P22" s="29"/>
      <c r="Q22" s="29"/>
      <c r="R22" s="29"/>
      <c r="S22" s="29"/>
      <c r="T22" s="29"/>
      <c r="U22" s="25"/>
      <c r="W22" s="173" t="s">
        <v>112</v>
      </c>
      <c r="X22" s="224">
        <v>3.4917999999999998E-2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82</v>
      </c>
      <c r="X23" s="224">
        <v>3.4842999999999999E-2</v>
      </c>
    </row>
    <row r="24" spans="2:24" ht="15.75" x14ac:dyDescent="0.25">
      <c r="B24" s="64"/>
      <c r="C24" s="73" t="s">
        <v>55</v>
      </c>
      <c r="D24" s="74"/>
      <c r="E24" s="75">
        <f>SUM(E8:E22)</f>
        <v>0.45355999999999996</v>
      </c>
      <c r="F24" s="29"/>
      <c r="G24" s="29"/>
      <c r="H24" s="29"/>
      <c r="I24" s="29"/>
      <c r="J24" s="29"/>
      <c r="K24" s="29"/>
      <c r="L24" s="29"/>
      <c r="M24" s="29"/>
      <c r="N24" s="29"/>
      <c r="O24" s="29"/>
      <c r="P24" s="29"/>
      <c r="Q24" s="29"/>
      <c r="R24" s="29"/>
      <c r="S24" s="29"/>
      <c r="T24" s="29"/>
      <c r="U24" s="25"/>
      <c r="W24" s="173" t="s">
        <v>83</v>
      </c>
      <c r="X24" s="224">
        <v>3.1336000000000003E-2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109</v>
      </c>
      <c r="X25" s="224">
        <v>2.8576000000000001E-2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107</v>
      </c>
      <c r="X26" s="224">
        <v>2.6387000000000001E-2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25</v>
      </c>
      <c r="X27" s="62">
        <v>2.2373000000000001E-2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115</v>
      </c>
      <c r="X28" s="62">
        <v>1.9882E-2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106</v>
      </c>
      <c r="X29" s="62">
        <v>1.8811000000000001E-2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16</v>
      </c>
      <c r="X30" s="62">
        <v>1.7478E-2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v>
      </c>
      <c r="X31" s="62">
        <v>1.5705E-2</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2" t="s">
        <v>180</v>
      </c>
      <c r="C39" s="303"/>
      <c r="D39" s="303"/>
      <c r="E39" s="303"/>
      <c r="F39" s="303"/>
      <c r="G39" s="303"/>
      <c r="H39" s="303"/>
      <c r="I39" s="303"/>
      <c r="J39" s="303"/>
      <c r="K39" s="303"/>
      <c r="L39" s="303"/>
      <c r="M39" s="303"/>
      <c r="N39" s="303"/>
      <c r="O39" s="303"/>
      <c r="P39" s="303"/>
      <c r="Q39" s="303"/>
      <c r="R39" s="304"/>
      <c r="W39" s="61"/>
      <c r="X39" s="62"/>
    </row>
    <row r="40" spans="2:24" x14ac:dyDescent="0.25">
      <c r="B40" s="305"/>
      <c r="C40" s="306"/>
      <c r="D40" s="306"/>
      <c r="E40" s="306"/>
      <c r="F40" s="306"/>
      <c r="G40" s="306"/>
      <c r="H40" s="306"/>
      <c r="I40" s="306"/>
      <c r="J40" s="306"/>
      <c r="K40" s="306"/>
      <c r="L40" s="306"/>
      <c r="M40" s="306"/>
      <c r="N40" s="306"/>
      <c r="O40" s="306"/>
      <c r="P40" s="306"/>
      <c r="Q40" s="306"/>
      <c r="R40" s="307"/>
      <c r="W40" s="61"/>
      <c r="X40" s="62"/>
    </row>
    <row r="41" spans="2:24" x14ac:dyDescent="0.25">
      <c r="B41" s="305"/>
      <c r="C41" s="306"/>
      <c r="D41" s="306"/>
      <c r="E41" s="306"/>
      <c r="F41" s="306"/>
      <c r="G41" s="306"/>
      <c r="H41" s="306"/>
      <c r="I41" s="306"/>
      <c r="J41" s="306"/>
      <c r="K41" s="306"/>
      <c r="L41" s="306"/>
      <c r="M41" s="306"/>
      <c r="N41" s="306"/>
      <c r="O41" s="306"/>
      <c r="P41" s="306"/>
      <c r="Q41" s="306"/>
      <c r="R41" s="307"/>
      <c r="W41" s="61"/>
      <c r="X41" s="62"/>
    </row>
    <row r="42" spans="2:24" x14ac:dyDescent="0.25">
      <c r="B42" s="305"/>
      <c r="C42" s="306"/>
      <c r="D42" s="306"/>
      <c r="E42" s="306"/>
      <c r="F42" s="306"/>
      <c r="G42" s="306"/>
      <c r="H42" s="306"/>
      <c r="I42" s="306"/>
      <c r="J42" s="306"/>
      <c r="K42" s="306"/>
      <c r="L42" s="306"/>
      <c r="M42" s="306"/>
      <c r="N42" s="306"/>
      <c r="O42" s="306"/>
      <c r="P42" s="306"/>
      <c r="Q42" s="306"/>
      <c r="R42" s="307"/>
      <c r="W42" s="61"/>
      <c r="X42" s="62"/>
    </row>
    <row r="43" spans="2:24" x14ac:dyDescent="0.25">
      <c r="B43" s="305"/>
      <c r="C43" s="306"/>
      <c r="D43" s="306"/>
      <c r="E43" s="306"/>
      <c r="F43" s="306"/>
      <c r="G43" s="306"/>
      <c r="H43" s="306"/>
      <c r="I43" s="306"/>
      <c r="J43" s="306"/>
      <c r="K43" s="306"/>
      <c r="L43" s="306"/>
      <c r="M43" s="306"/>
      <c r="N43" s="306"/>
      <c r="O43" s="306"/>
      <c r="P43" s="306"/>
      <c r="Q43" s="306"/>
      <c r="R43" s="307"/>
      <c r="W43" s="61"/>
      <c r="X43" s="62"/>
    </row>
    <row r="44" spans="2:24" x14ac:dyDescent="0.25">
      <c r="B44" s="305"/>
      <c r="C44" s="306"/>
      <c r="D44" s="306"/>
      <c r="E44" s="306"/>
      <c r="F44" s="306"/>
      <c r="G44" s="306"/>
      <c r="H44" s="306"/>
      <c r="I44" s="306"/>
      <c r="J44" s="306"/>
      <c r="K44" s="306"/>
      <c r="L44" s="306"/>
      <c r="M44" s="306"/>
      <c r="N44" s="306"/>
      <c r="O44" s="306"/>
      <c r="P44" s="306"/>
      <c r="Q44" s="306"/>
      <c r="R44" s="307"/>
      <c r="W44" s="61"/>
      <c r="X44" s="62"/>
    </row>
    <row r="45" spans="2:24" ht="15.75" thickBot="1" x14ac:dyDescent="0.3">
      <c r="B45" s="308"/>
      <c r="C45" s="309"/>
      <c r="D45" s="309"/>
      <c r="E45" s="309"/>
      <c r="F45" s="309"/>
      <c r="G45" s="309"/>
      <c r="H45" s="309"/>
      <c r="I45" s="309"/>
      <c r="J45" s="309"/>
      <c r="K45" s="309"/>
      <c r="L45" s="309"/>
      <c r="M45" s="309"/>
      <c r="N45" s="309"/>
      <c r="O45" s="309"/>
      <c r="P45" s="309"/>
      <c r="Q45" s="309"/>
      <c r="R45" s="31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D8F1-3477-4C73-AE5F-9027EB971870}">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60.57031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96" t="s">
        <v>347</v>
      </c>
      <c r="D3" s="296"/>
      <c r="E3" s="296"/>
      <c r="F3" s="296"/>
      <c r="G3" s="296"/>
      <c r="H3" s="296"/>
      <c r="I3" s="296"/>
      <c r="J3" s="296"/>
      <c r="K3" s="296"/>
      <c r="L3" s="296"/>
      <c r="M3" s="297"/>
    </row>
    <row r="4" spans="2:24" ht="15.75" x14ac:dyDescent="0.25">
      <c r="B4" s="93"/>
      <c r="C4" s="67" t="s">
        <v>441</v>
      </c>
      <c r="D4" s="29"/>
      <c r="E4" s="29"/>
      <c r="F4" s="5"/>
      <c r="G4" s="5"/>
      <c r="H4" s="5"/>
      <c r="I4" s="5"/>
      <c r="J4" s="5"/>
      <c r="K4" s="5"/>
      <c r="L4" s="5"/>
      <c r="M4" s="20"/>
    </row>
    <row r="5" spans="2:24" ht="20.25" customHeight="1" x14ac:dyDescent="0.25">
      <c r="B5" s="93"/>
      <c r="C5" s="211" t="s">
        <v>440</v>
      </c>
      <c r="D5" s="94" t="s">
        <v>380</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0" t="s">
        <v>43</v>
      </c>
      <c r="D7" s="95" t="s">
        <v>45</v>
      </c>
      <c r="E7" s="5"/>
      <c r="F7" s="298" t="s">
        <v>50</v>
      </c>
      <c r="G7" s="298"/>
      <c r="H7" s="298"/>
      <c r="I7" s="298"/>
      <c r="J7" s="298"/>
      <c r="K7" s="298"/>
      <c r="L7" s="298"/>
      <c r="M7" s="299"/>
    </row>
    <row r="8" spans="2:24" x14ac:dyDescent="0.2">
      <c r="B8" s="93"/>
      <c r="C8" s="272" t="s">
        <v>338</v>
      </c>
      <c r="D8" s="174">
        <v>0.99453400000000003</v>
      </c>
      <c r="E8" s="5"/>
      <c r="F8" s="5"/>
      <c r="G8" s="31"/>
      <c r="H8" s="5"/>
      <c r="I8" s="5" t="s">
        <v>91</v>
      </c>
      <c r="J8" s="47">
        <f>D9</f>
        <v>0.99453400000000003</v>
      </c>
      <c r="K8" s="5"/>
      <c r="L8" s="5"/>
      <c r="M8" s="20"/>
      <c r="S8" s="49"/>
      <c r="W8" s="3" t="s">
        <v>3</v>
      </c>
      <c r="X8" s="3">
        <v>0.25058799999999998</v>
      </c>
    </row>
    <row r="9" spans="2:24" ht="15.75" x14ac:dyDescent="0.25">
      <c r="B9" s="93"/>
      <c r="C9" s="60" t="s">
        <v>91</v>
      </c>
      <c r="D9" s="175">
        <v>0.99453400000000003</v>
      </c>
      <c r="E9" s="5"/>
      <c r="F9" s="5"/>
      <c r="G9" s="5"/>
      <c r="H9" s="5"/>
      <c r="I9" s="5" t="s">
        <v>20</v>
      </c>
      <c r="J9" s="47">
        <f>D13</f>
        <v>-3.8010000000000001E-3</v>
      </c>
      <c r="K9" s="5"/>
      <c r="L9" s="5"/>
      <c r="M9" s="20"/>
      <c r="S9" s="49"/>
      <c r="W9" s="3" t="s">
        <v>9</v>
      </c>
      <c r="X9" s="3">
        <v>6.1296999999999997E-2</v>
      </c>
    </row>
    <row r="10" spans="2:24" x14ac:dyDescent="0.2">
      <c r="B10" s="93"/>
      <c r="C10" s="161" t="s">
        <v>100</v>
      </c>
      <c r="D10" s="176">
        <v>9.2669999999999992E-3</v>
      </c>
      <c r="E10" s="5"/>
      <c r="F10" s="5"/>
      <c r="G10" s="5"/>
      <c r="I10" s="3" t="s">
        <v>101</v>
      </c>
      <c r="J10" s="47">
        <f>D11</f>
        <v>9.2669999999999992E-3</v>
      </c>
      <c r="K10" s="5"/>
      <c r="L10" s="5"/>
      <c r="M10" s="20"/>
      <c r="S10" s="49"/>
      <c r="W10" s="3" t="s">
        <v>10</v>
      </c>
      <c r="X10" s="3">
        <v>3.0130999999999998E-2</v>
      </c>
    </row>
    <row r="11" spans="2:24" ht="15.75" x14ac:dyDescent="0.2">
      <c r="B11" s="93"/>
      <c r="C11" s="162" t="s">
        <v>101</v>
      </c>
      <c r="D11" s="177">
        <v>9.2669999999999992E-3</v>
      </c>
      <c r="E11" s="5"/>
      <c r="F11" s="5"/>
      <c r="G11" s="5"/>
      <c r="J11" s="5"/>
      <c r="K11" s="5"/>
      <c r="L11" s="5"/>
      <c r="M11" s="20"/>
      <c r="S11" s="49"/>
      <c r="W11" s="3" t="s">
        <v>7</v>
      </c>
      <c r="X11" s="3">
        <v>2.7299E-2</v>
      </c>
    </row>
    <row r="12" spans="2:24" x14ac:dyDescent="0.2">
      <c r="B12" s="93"/>
      <c r="C12" s="161"/>
      <c r="D12" s="83"/>
      <c r="E12" s="5"/>
      <c r="F12" s="5"/>
      <c r="G12" s="5"/>
      <c r="J12" s="5"/>
      <c r="K12" s="5"/>
      <c r="L12" s="5"/>
      <c r="M12" s="20"/>
      <c r="S12" s="49"/>
      <c r="W12" s="3" t="s">
        <v>26</v>
      </c>
      <c r="X12" s="3">
        <v>2.5925E-2</v>
      </c>
    </row>
    <row r="13" spans="2:24" ht="15.75" x14ac:dyDescent="0.2">
      <c r="B13" s="93"/>
      <c r="C13" s="162" t="s">
        <v>20</v>
      </c>
      <c r="D13" s="177">
        <v>-3.8010000000000001E-3</v>
      </c>
      <c r="E13" s="5"/>
      <c r="F13" s="5"/>
      <c r="G13" s="5"/>
      <c r="J13" s="5"/>
      <c r="K13" s="5"/>
      <c r="L13" s="5"/>
      <c r="M13" s="20"/>
      <c r="S13" s="49"/>
      <c r="W13" s="3" t="s">
        <v>8</v>
      </c>
      <c r="X13" s="3">
        <v>2.3822000000000003E-2</v>
      </c>
    </row>
    <row r="14" spans="2:24" x14ac:dyDescent="0.2">
      <c r="B14" s="93"/>
      <c r="C14" s="161"/>
      <c r="D14" s="83"/>
      <c r="E14" s="5"/>
      <c r="F14" s="5"/>
      <c r="G14" s="5"/>
      <c r="H14" s="5"/>
      <c r="I14" s="5"/>
      <c r="J14" s="5"/>
      <c r="K14" s="5"/>
      <c r="L14" s="5"/>
      <c r="M14" s="20"/>
      <c r="S14" s="49"/>
      <c r="W14" s="3" t="s">
        <v>25</v>
      </c>
      <c r="X14" s="3">
        <v>2.3753E-2</v>
      </c>
    </row>
    <row r="15" spans="2:24" ht="15.75" x14ac:dyDescent="0.2">
      <c r="B15" s="93"/>
      <c r="C15" s="163"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300"/>
      <c r="D22" s="300"/>
      <c r="E22" s="300"/>
      <c r="F22" s="300"/>
      <c r="G22" s="300"/>
      <c r="H22" s="300"/>
      <c r="I22" s="300"/>
      <c r="J22" s="300"/>
      <c r="K22" s="300"/>
      <c r="L22" s="300"/>
      <c r="M22" s="301"/>
      <c r="S22" s="49"/>
    </row>
    <row r="23" spans="2:24" ht="15.75" thickBot="1" x14ac:dyDescent="0.25">
      <c r="S23" s="49"/>
    </row>
    <row r="24" spans="2:24" ht="15" customHeight="1" x14ac:dyDescent="0.2">
      <c r="B24" s="302" t="s">
        <v>180</v>
      </c>
      <c r="C24" s="303"/>
      <c r="D24" s="303"/>
      <c r="E24" s="303"/>
      <c r="F24" s="303"/>
      <c r="G24" s="303"/>
      <c r="H24" s="303"/>
      <c r="I24" s="303"/>
      <c r="J24" s="303"/>
      <c r="K24" s="303"/>
      <c r="L24" s="303"/>
      <c r="M24" s="303"/>
      <c r="N24" s="304"/>
      <c r="S24" s="49"/>
    </row>
    <row r="25" spans="2:24" ht="15.75" customHeight="1" x14ac:dyDescent="0.2">
      <c r="B25" s="305"/>
      <c r="C25" s="306"/>
      <c r="D25" s="306"/>
      <c r="E25" s="306"/>
      <c r="F25" s="306"/>
      <c r="G25" s="306"/>
      <c r="H25" s="306"/>
      <c r="I25" s="306"/>
      <c r="J25" s="306"/>
      <c r="K25" s="306"/>
      <c r="L25" s="306"/>
      <c r="M25" s="306"/>
      <c r="N25" s="307"/>
      <c r="S25" s="49"/>
    </row>
    <row r="26" spans="2:24" ht="15.75" customHeight="1" x14ac:dyDescent="0.2">
      <c r="B26" s="305"/>
      <c r="C26" s="306"/>
      <c r="D26" s="306"/>
      <c r="E26" s="306"/>
      <c r="F26" s="306"/>
      <c r="G26" s="306"/>
      <c r="H26" s="306"/>
      <c r="I26" s="306"/>
      <c r="J26" s="306"/>
      <c r="K26" s="306"/>
      <c r="L26" s="306"/>
      <c r="M26" s="306"/>
      <c r="N26" s="307"/>
      <c r="S26" s="49"/>
    </row>
    <row r="27" spans="2:24" ht="15.75" customHeight="1" x14ac:dyDescent="0.2">
      <c r="B27" s="305"/>
      <c r="C27" s="306"/>
      <c r="D27" s="306"/>
      <c r="E27" s="306"/>
      <c r="F27" s="306"/>
      <c r="G27" s="306"/>
      <c r="H27" s="306"/>
      <c r="I27" s="306"/>
      <c r="J27" s="306"/>
      <c r="K27" s="306"/>
      <c r="L27" s="306"/>
      <c r="M27" s="306"/>
      <c r="N27" s="307"/>
      <c r="S27" s="49"/>
    </row>
    <row r="28" spans="2:24" ht="15.75" customHeight="1" x14ac:dyDescent="0.2">
      <c r="B28" s="305"/>
      <c r="C28" s="306"/>
      <c r="D28" s="306"/>
      <c r="E28" s="306"/>
      <c r="F28" s="306"/>
      <c r="G28" s="306"/>
      <c r="H28" s="306"/>
      <c r="I28" s="306"/>
      <c r="J28" s="306"/>
      <c r="K28" s="306"/>
      <c r="L28" s="306"/>
      <c r="M28" s="306"/>
      <c r="N28" s="307"/>
      <c r="S28" s="49"/>
    </row>
    <row r="29" spans="2:24" ht="15.75" customHeight="1" x14ac:dyDescent="0.2">
      <c r="B29" s="305"/>
      <c r="C29" s="306"/>
      <c r="D29" s="306"/>
      <c r="E29" s="306"/>
      <c r="F29" s="306"/>
      <c r="G29" s="306"/>
      <c r="H29" s="306"/>
      <c r="I29" s="306"/>
      <c r="J29" s="306"/>
      <c r="K29" s="306"/>
      <c r="L29" s="306"/>
      <c r="M29" s="306"/>
      <c r="N29" s="307"/>
      <c r="S29" s="49"/>
    </row>
    <row r="30" spans="2:24" ht="28.5" customHeight="1" thickBot="1" x14ac:dyDescent="0.25">
      <c r="B30" s="308"/>
      <c r="C30" s="309"/>
      <c r="D30" s="309"/>
      <c r="E30" s="309"/>
      <c r="F30" s="309"/>
      <c r="G30" s="309"/>
      <c r="H30" s="309"/>
      <c r="I30" s="309"/>
      <c r="J30" s="309"/>
      <c r="K30" s="309"/>
      <c r="L30" s="309"/>
      <c r="M30" s="309"/>
      <c r="N30" s="310"/>
      <c r="S30" s="49"/>
    </row>
    <row r="31" spans="2:24" ht="15.75" thickBot="1" x14ac:dyDescent="0.25">
      <c r="S31" s="49"/>
    </row>
    <row r="32" spans="2:24" x14ac:dyDescent="0.2">
      <c r="B32" s="302" t="s">
        <v>92</v>
      </c>
      <c r="C32" s="303"/>
      <c r="D32" s="303"/>
      <c r="E32" s="303"/>
      <c r="F32" s="303"/>
      <c r="G32" s="303"/>
      <c r="H32" s="303"/>
      <c r="I32" s="303"/>
      <c r="J32" s="303"/>
      <c r="K32" s="303"/>
      <c r="L32" s="303"/>
      <c r="M32" s="303"/>
      <c r="N32" s="304"/>
      <c r="S32" s="49"/>
    </row>
    <row r="33" spans="2:19" x14ac:dyDescent="0.2">
      <c r="B33" s="305"/>
      <c r="C33" s="306"/>
      <c r="D33" s="306"/>
      <c r="E33" s="306"/>
      <c r="F33" s="306"/>
      <c r="G33" s="306"/>
      <c r="H33" s="306"/>
      <c r="I33" s="306"/>
      <c r="J33" s="306"/>
      <c r="K33" s="306"/>
      <c r="L33" s="306"/>
      <c r="M33" s="306"/>
      <c r="N33" s="307"/>
      <c r="S33" s="49"/>
    </row>
    <row r="34" spans="2:19" x14ac:dyDescent="0.2">
      <c r="B34" s="305"/>
      <c r="C34" s="306"/>
      <c r="D34" s="306"/>
      <c r="E34" s="306"/>
      <c r="F34" s="306"/>
      <c r="G34" s="306"/>
      <c r="H34" s="306"/>
      <c r="I34" s="306"/>
      <c r="J34" s="306"/>
      <c r="K34" s="306"/>
      <c r="L34" s="306"/>
      <c r="M34" s="306"/>
      <c r="N34" s="307"/>
      <c r="S34" s="49"/>
    </row>
    <row r="35" spans="2:19" x14ac:dyDescent="0.2">
      <c r="B35" s="305"/>
      <c r="C35" s="306"/>
      <c r="D35" s="306"/>
      <c r="E35" s="306"/>
      <c r="F35" s="306"/>
      <c r="G35" s="306"/>
      <c r="H35" s="306"/>
      <c r="I35" s="306"/>
      <c r="J35" s="306"/>
      <c r="K35" s="306"/>
      <c r="L35" s="306"/>
      <c r="M35" s="306"/>
      <c r="N35" s="307"/>
      <c r="S35" s="49"/>
    </row>
    <row r="36" spans="2:19" x14ac:dyDescent="0.2">
      <c r="B36" s="305"/>
      <c r="C36" s="306"/>
      <c r="D36" s="306"/>
      <c r="E36" s="306"/>
      <c r="F36" s="306"/>
      <c r="G36" s="306"/>
      <c r="H36" s="306"/>
      <c r="I36" s="306"/>
      <c r="J36" s="306"/>
      <c r="K36" s="306"/>
      <c r="L36" s="306"/>
      <c r="M36" s="306"/>
      <c r="N36" s="307"/>
      <c r="S36" s="49"/>
    </row>
    <row r="37" spans="2:19" x14ac:dyDescent="0.2">
      <c r="B37" s="305"/>
      <c r="C37" s="306"/>
      <c r="D37" s="306"/>
      <c r="E37" s="306"/>
      <c r="F37" s="306"/>
      <c r="G37" s="306"/>
      <c r="H37" s="306"/>
      <c r="I37" s="306"/>
      <c r="J37" s="306"/>
      <c r="K37" s="306"/>
      <c r="L37" s="306"/>
      <c r="M37" s="306"/>
      <c r="N37" s="307"/>
      <c r="S37" s="49"/>
    </row>
    <row r="38" spans="2:19" ht="15.75" thickBot="1" x14ac:dyDescent="0.25">
      <c r="B38" s="308"/>
      <c r="C38" s="309"/>
      <c r="D38" s="309"/>
      <c r="E38" s="309"/>
      <c r="F38" s="309"/>
      <c r="G38" s="309"/>
      <c r="H38" s="309"/>
      <c r="I38" s="309"/>
      <c r="J38" s="309"/>
      <c r="K38" s="309"/>
      <c r="L38" s="309"/>
      <c r="M38" s="309"/>
      <c r="N38" s="310"/>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BANDHAN-AHF</vt:lpstr>
      <vt:lpstr>BANDHAN RF</vt:lpstr>
      <vt:lpstr>BANDHAN MAF</vt:lpstr>
      <vt:lpstr>BANDHAN AAF-AP</vt:lpstr>
      <vt:lpstr>BANDHANAAF-MP</vt:lpstr>
      <vt:lpstr>BANDHANAAF-CP</vt:lpstr>
      <vt:lpstr>BANDHAN IPAFOFs</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 Nifty Alpha Low Vol 30</vt:lpstr>
      <vt:lpstr>Bandhan Nifty Next 50 Index</vt:lpstr>
      <vt:lpstr>BANDHAN US TB 0-1yr FOF</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2025-04-02T11:40:48Z</dcterms:modified>
</cp:coreProperties>
</file>