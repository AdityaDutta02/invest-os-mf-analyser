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1.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2.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13.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14.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15.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16.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17.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18.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0"/>
  <workbookPr defaultThemeVersion="166925"/>
  <mc:AlternateContent xmlns:mc="http://schemas.openxmlformats.org/markup-compatibility/2006">
    <mc:Choice Requires="x15">
      <x15ac:absPath xmlns:x15ac="http://schemas.microsoft.com/office/spreadsheetml/2010/11/ac" url="Z:\WEEKLY PORTFOLIOS\"/>
    </mc:Choice>
  </mc:AlternateContent>
  <xr:revisionPtr revIDLastSave="0" documentId="13_ncr:1_{6D2FD048-A6D9-4C74-8FE0-2BF7C0414844}" xr6:coauthVersionLast="36" xr6:coauthVersionMax="36" xr10:uidLastSave="{00000000-0000-0000-0000-000000000000}"/>
  <bookViews>
    <workbookView xWindow="0" yWindow="0" windowWidth="20490" windowHeight="7545" xr2:uid="{A17D2CBA-AB4A-4138-90CF-5C6BA7FC4385}"/>
  </bookViews>
  <sheets>
    <sheet name="IDFC OF" sheetId="15" r:id="rId1"/>
    <sheet name="IDFC CF" sheetId="6" r:id="rId2"/>
    <sheet name="IDFC LDF" sheetId="13" r:id="rId3"/>
    <sheet name="IDFC MMF" sheetId="14" r:id="rId4"/>
    <sheet name="IDFC USTF" sheetId="16" r:id="rId5"/>
    <sheet name="IDFC DBF" sheetId="9" r:id="rId6"/>
    <sheet name="IDFC BOND IP" sheetId="4" r:id="rId7"/>
    <sheet name="IDFC BOND MT" sheetId="19" r:id="rId8"/>
    <sheet name="IDFC BOND ST" sheetId="5" r:id="rId9"/>
    <sheet name="IDFC BPDF" sheetId="3" r:id="rId10"/>
    <sheet name="IDFC-CBF" sheetId="7" r:id="rId11"/>
    <sheet name="IDFC FRF" sheetId="10" r:id="rId12"/>
    <sheet name="IDFC CRF" sheetId="8" r:id="rId13"/>
    <sheet name="IDFC GSF-IP" sheetId="11" r:id="rId14"/>
    <sheet name="IDFC GSF - CMP" sheetId="12" r:id="rId15"/>
    <sheet name="IDFC GIF 2027" sheetId="17" r:id="rId16"/>
    <sheet name="IDFC GIF 2028" sheetId="18" r:id="rId17"/>
    <sheet name="IDFC ASBF" sheetId="2" r:id="rId18"/>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8" i="10" l="1"/>
  <c r="K12" i="18" l="1"/>
  <c r="K11" i="18"/>
  <c r="K10" i="18"/>
  <c r="K9" i="18"/>
  <c r="K12" i="17"/>
  <c r="K11" i="17"/>
  <c r="K10" i="17"/>
  <c r="K9" i="17"/>
  <c r="H10" i="8" l="1"/>
  <c r="H8" i="8"/>
</calcChain>
</file>

<file path=xl/sharedStrings.xml><?xml version="1.0" encoding="utf-8"?>
<sst xmlns="http://schemas.openxmlformats.org/spreadsheetml/2006/main" count="978" uniqueCount="201">
  <si>
    <t>IDFC ALL SEASONS BOND FUND (31 December, 2021 )</t>
  </si>
  <si>
    <t>Name</t>
  </si>
  <si>
    <t>Rating</t>
  </si>
  <si>
    <t>Total</t>
  </si>
  <si>
    <t>IDFC-IDFC Banking &amp; PSU Debt Fund - Direct Growth</t>
  </si>
  <si>
    <t>IDFC Bond Fund -Short Term Plan Direct Plan-Growth</t>
  </si>
  <si>
    <t>IDFC Corporate Bond Fund - Direct Growth</t>
  </si>
  <si>
    <t>Mutual Fund Units Total</t>
  </si>
  <si>
    <t>Clearing Corporation of India Ltd</t>
  </si>
  <si>
    <t>TRI Party Repo Total</t>
  </si>
  <si>
    <t>Net Current Asset</t>
  </si>
  <si>
    <t>Grand Total</t>
  </si>
  <si>
    <t>Company</t>
  </si>
  <si>
    <t>TRI Party Repo</t>
  </si>
  <si>
    <t>Mutual Fund Units</t>
  </si>
  <si>
    <t>AAA EQUIVALENT</t>
  </si>
  <si>
    <t>Asset Quality</t>
  </si>
  <si>
    <t>Asset Allocation</t>
  </si>
  <si>
    <t>IDFC BANKING &amp; PSU DEBT FUND (31 December, 2021 )</t>
  </si>
  <si>
    <t>Axis Bank Limited</t>
  </si>
  <si>
    <t xml:space="preserve"> A1+</t>
  </si>
  <si>
    <t>Export Import Bank of India</t>
  </si>
  <si>
    <t>Certificate of Deposit Total</t>
  </si>
  <si>
    <t>Housing Development Finance Corporation Limited</t>
  </si>
  <si>
    <t>Commercial Paper Total</t>
  </si>
  <si>
    <t>National Bank For Agriculture and Rural Development</t>
  </si>
  <si>
    <t xml:space="preserve"> AAA</t>
  </si>
  <si>
    <t>Power Finance Corporation Limited</t>
  </si>
  <si>
    <t>REC Limited</t>
  </si>
  <si>
    <t>Indian Railway Finance Corporation Limited</t>
  </si>
  <si>
    <t>Hindustan Petroleum Corporation Limited</t>
  </si>
  <si>
    <t>National Housing Bank</t>
  </si>
  <si>
    <t>Small Industries Dev Bank of India</t>
  </si>
  <si>
    <t>ICICI Bank Limited</t>
  </si>
  <si>
    <t>National Highways Auth Of Ind</t>
  </si>
  <si>
    <t>Reliance Industries Limited</t>
  </si>
  <si>
    <t>Power Grid Corporation of India Limited</t>
  </si>
  <si>
    <t>Housing &amp; Urban Development Corporation Limited</t>
  </si>
  <si>
    <t>LIC Housing Finance Limited</t>
  </si>
  <si>
    <t>Indian Oil Corporation Limited</t>
  </si>
  <si>
    <t>NTPC Limited</t>
  </si>
  <si>
    <t>NHPC Limited</t>
  </si>
  <si>
    <t>Larsen &amp; Toubro Limited</t>
  </si>
  <si>
    <t>Oil &amp; Natural Gas Corporation Limited</t>
  </si>
  <si>
    <t>Bajaj Finance Limited</t>
  </si>
  <si>
    <t>Tata Sons Private Ltd</t>
  </si>
  <si>
    <t>Corporate Bond Total</t>
  </si>
  <si>
    <t>Kotak Mahindra Bank Limited</t>
  </si>
  <si>
    <t>Floating Rate Note Total</t>
  </si>
  <si>
    <t>7.32% GOI (MD 28/01/2024)</t>
  </si>
  <si>
    <t>SOV</t>
  </si>
  <si>
    <t>7.37% GOI (MD 16/04/2023)</t>
  </si>
  <si>
    <t>7.16% GOI (MD 20/05/2023)</t>
  </si>
  <si>
    <t>4.26% GOI (MD 17/05/2023)</t>
  </si>
  <si>
    <t>7.68% GOI (MD 15/12/2023)</t>
  </si>
  <si>
    <t>8.13% GOI (MD 21/09/2022)</t>
  </si>
  <si>
    <t>Government Bond Total</t>
  </si>
  <si>
    <t>State Government Bond Total</t>
  </si>
  <si>
    <t>Zero Coupon Bond Total</t>
  </si>
  <si>
    <t>Certificate of Deposit</t>
  </si>
  <si>
    <t>Corporate Bond</t>
  </si>
  <si>
    <t>Commercial Paper</t>
  </si>
  <si>
    <t>Floating Rate Note</t>
  </si>
  <si>
    <t>Government Bond</t>
  </si>
  <si>
    <t>State Government Bond</t>
  </si>
  <si>
    <t>Zero Coupon Bond</t>
  </si>
  <si>
    <t>IDFC BOND FUND - INCOME PLAN (31 December, 2021 )</t>
  </si>
  <si>
    <t>5.63% GOI (MD 12/04/2026)</t>
  </si>
  <si>
    <t>6.79% GOI (MD 15/05/2027)</t>
  </si>
  <si>
    <t>6.1% GOI (MD 12/07/2031)</t>
  </si>
  <si>
    <t>7.73% GOI (MD 19/12/2034)</t>
  </si>
  <si>
    <t>IDFC BOND FUND - SHORT TERM PLAN (31 December, 2021 )</t>
  </si>
  <si>
    <t>Kotak Mahindra Prime Limited</t>
  </si>
  <si>
    <t>5.15% GOI (MD 09/11/2025)</t>
  </si>
  <si>
    <t>8.28% GOI (M/D 21/09/2027)</t>
  </si>
  <si>
    <t>8.24% GOI (MD 15/02/2027)</t>
  </si>
  <si>
    <t xml:space="preserve"> AAA(SO)</t>
  </si>
  <si>
    <t>PTC Total</t>
  </si>
  <si>
    <t>PTC</t>
  </si>
  <si>
    <t>IDFC CASH FUND (31 December, 2021 )</t>
  </si>
  <si>
    <t>Reliance Jio Infocomm Limited</t>
  </si>
  <si>
    <t>HDFC Securities Limited</t>
  </si>
  <si>
    <t>ICICI Securities Limited</t>
  </si>
  <si>
    <t>Kotak Mahindra Investments Limited</t>
  </si>
  <si>
    <t>Reliance Retail Ventures Limited</t>
  </si>
  <si>
    <t>91 Days Tbill (MD 31/03/2022)</t>
  </si>
  <si>
    <t>91 Days Tbill (MD 24/03/2022)</t>
  </si>
  <si>
    <t>Treasury Bill Total</t>
  </si>
  <si>
    <t>Treasury Bill</t>
  </si>
  <si>
    <t>IDFC CORPORATE BOND FUND (31 December, 2021 )</t>
  </si>
  <si>
    <t>UltraTech Cement Limited</t>
  </si>
  <si>
    <t>Mahindra &amp; Mahindra Limited</t>
  </si>
  <si>
    <t>HDB Financial Services Limited</t>
  </si>
  <si>
    <t>5.22% GOI (MD 15/06/2025)</t>
  </si>
  <si>
    <t>IDFC CREDIT RISK FUND (31 December, 2021 )</t>
  </si>
  <si>
    <t xml:space="preserve"> AA(CE)</t>
  </si>
  <si>
    <t>Bharti Hexacom Limited</t>
  </si>
  <si>
    <t xml:space="preserve"> AA+</t>
  </si>
  <si>
    <t>Summit Digitel Infrastructure Private Limited</t>
  </si>
  <si>
    <t>Tata Steel Limited</t>
  </si>
  <si>
    <t>Hindalco Industries Limited</t>
  </si>
  <si>
    <t xml:space="preserve"> AA</t>
  </si>
  <si>
    <t>Tata Motors Limited</t>
  </si>
  <si>
    <t xml:space="preserve"> AA-</t>
  </si>
  <si>
    <t>Tata Power Company Limited</t>
  </si>
  <si>
    <t>7.17% GOI (MD 08/01/2028)</t>
  </si>
  <si>
    <t>AA+</t>
  </si>
  <si>
    <t>AA</t>
  </si>
  <si>
    <t>AA-</t>
  </si>
  <si>
    <t>IDFC DYNAMIC BOND FUND (31 December, 2021 )</t>
  </si>
  <si>
    <t>8.20% GOI (MD 24/09/2025)</t>
  </si>
  <si>
    <t>IDFC FLOATING RATE FUND (31 December, 2021 )</t>
  </si>
  <si>
    <t>Sikka Ports and Terminals Limited</t>
  </si>
  <si>
    <t>Jamnagar Utilities &amp; Power Private Limited</t>
  </si>
  <si>
    <t>GOI FRB 2024 (MD 07/11/2024)</t>
  </si>
  <si>
    <t>Interest Rate Swaps</t>
  </si>
  <si>
    <t>IDFC GOVERNMENT SECURITIES FUND - INVESTMENT PLAN (31 December, 2021 )</t>
  </si>
  <si>
    <t>IDFC GOVERNMENT SECURITIES FUND-CONSTANT MATURITY (31 December, 2021 )</t>
  </si>
  <si>
    <t>IDFC LOW DURATION FUND (31 December, 2021 )</t>
  </si>
  <si>
    <t>Grasim Industries Limited</t>
  </si>
  <si>
    <t>8.33% GOI 2026 (M/D 09/07/2026)</t>
  </si>
  <si>
    <t>6.84% GOI (MD 19/12/2022)</t>
  </si>
  <si>
    <t>Sundaram Finance Limited</t>
  </si>
  <si>
    <t>IDFC MONEY MANAGER FUND (31 December, 2021 )</t>
  </si>
  <si>
    <t>Bank of Baroda</t>
  </si>
  <si>
    <t>8.20% GOI (MD 15/02/2022)</t>
  </si>
  <si>
    <t>364 Days Tbill (MD 11/03/2022)</t>
  </si>
  <si>
    <t>IDFC OVERNIGHT FUND (31 December, 2021 )</t>
  </si>
  <si>
    <t>IDFC ULTRA SHORT TERM FUND (31 December, 2021 )</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</si>
  <si>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IDFC Asset Management Company Limited and/or IDFC Mutual Fund. The Scheme may or may not have any present or future positions in the above securities. Investors are advised to consult their own investment advisor before making any investment decision in light of their risk appetite, investment goals and horizon.”</t>
  </si>
  <si>
    <t>8.05% Gujarat SDL (MD 25/02/2025)</t>
  </si>
  <si>
    <t>8.38% Haryana SDL (MD 27/01/2026)</t>
  </si>
  <si>
    <t>8.48% Karnataka SDL (MD 17/10/2022)</t>
  </si>
  <si>
    <t>4.75% Haryana SDL (MD 06/05/2022)</t>
  </si>
  <si>
    <t>8.75% Tamilnadu SDL (MD 22/02/2022)</t>
  </si>
  <si>
    <t>8.95% Maharashtra SDL (MD 07/03/2022)</t>
  </si>
  <si>
    <t>8.92% Tamil Nadu SDL (MD 07/03/2022)</t>
  </si>
  <si>
    <t>8.99% Gujrat SDL (MD 14/03/2022)</t>
  </si>
  <si>
    <t>9.20% Andhra Pradesh SDL (MD 11/04/2022)</t>
  </si>
  <si>
    <t>8.84% Tamil Nadu SDL (MD 18/07/2022)</t>
  </si>
  <si>
    <t>8.85% Maharashtra SDL (MD 18/07/2022)</t>
  </si>
  <si>
    <t>8.92% Tamilnadu SDL (MD 08/08/2022)</t>
  </si>
  <si>
    <t>8.92%  TAMIL NADU SDL (MD 05/09/2022)</t>
  </si>
  <si>
    <t>8.90% TAMILNADU SDL(MD/20/09/2022)</t>
  </si>
  <si>
    <t>8.86% Tamil Nadu SDL (MD 03/10/2022)</t>
  </si>
  <si>
    <t>8.79% Gujrat SDL (MD 25/10/2022)</t>
  </si>
  <si>
    <t>8.85% Maharashtra SDL (MD 03/10/2022)</t>
  </si>
  <si>
    <t>8.90% RAJASTHAN SDL - (MD 20/09/2022)</t>
  </si>
  <si>
    <t>4.54% Maharashtra SDL (MD 03/06/2022)</t>
  </si>
  <si>
    <t>6.64% Rajasthan SDL (MD 25/09/2022)</t>
  </si>
  <si>
    <t>8.99% Madhya Pradesh SDL (MD 07/03/2022)</t>
  </si>
  <si>
    <t>8.90% Andhra pradesh SDL (MD 04/07/2022)</t>
  </si>
  <si>
    <t>8.84% Gujrat SDL (MD 17/10/2022)</t>
  </si>
  <si>
    <t>8.10% TAMIL NADU SDL (MD 08/05/2023)</t>
  </si>
  <si>
    <t>7.62% Tamil Nadu SDL (MD 05/06/2023)</t>
  </si>
  <si>
    <t>8.62% Maharashtra SDL (MD 06/03/2023)</t>
  </si>
  <si>
    <t>7.77% Gujarat SDL (MD 19/06/2023)</t>
  </si>
  <si>
    <t>7.77% Tamil Nadu SDL (MD 19/06/2023)</t>
  </si>
  <si>
    <t>7.95% Tamil Nadu SDL (MD 03/07/2023)</t>
  </si>
  <si>
    <t>9.25% Haryana SDL (MD 09-Oct-2023)</t>
  </si>
  <si>
    <t>8.48% Tamilnadu SDL (MD 04/07/2023)</t>
  </si>
  <si>
    <t>7.93% Chattisgarh SDL (MD 13/02/2024)</t>
  </si>
  <si>
    <t>5.93% ODISHA SDL (MD 08/04/2022)</t>
  </si>
  <si>
    <t>5.41% Andhra Pradesh SDL (MD 12/08/2024)</t>
  </si>
  <si>
    <t>5.68% Maharashtra SDL (MD 23/09/2024)</t>
  </si>
  <si>
    <t>9.5% Gujrat SDL (MD 11/09/2023)</t>
  </si>
  <si>
    <t>9.22% Gujarat SDL (MD 09/10/2023)</t>
  </si>
  <si>
    <t>9.37% Gujarat SDL (MD 30/01/2024)</t>
  </si>
  <si>
    <t>9.55% Karnataka SDL (MD 12/02/2024)</t>
  </si>
  <si>
    <t>9.63% Andhra Pradesh SDL (MD 12/02/2024)</t>
  </si>
  <si>
    <t>9.80% Haryana SDL (MD 26/02/2024)</t>
  </si>
  <si>
    <t>9.71% Haryana SDL (MD 12/03/2024)</t>
  </si>
  <si>
    <t>9.47% Haryana SDL (MD 26/03/2024)</t>
  </si>
  <si>
    <t>9.11% Maharashtra SDL (MD 28/05/2024)</t>
  </si>
  <si>
    <t>9.24% Haryana SDL (MD 16/01/2024)</t>
  </si>
  <si>
    <t>8.96% Maharashtra SDL  (MD 09/07/2024)</t>
  </si>
  <si>
    <t>8.83% Tamilnadu SDL (MD 11/06/2024)</t>
  </si>
  <si>
    <t>9.48% Andhra Pradesh SDL (MD 26/03/2024)</t>
  </si>
  <si>
    <t>6.64% Rajasthan SDL (MD 05/02/2024)</t>
  </si>
  <si>
    <t>5.6% Haryana SDL (MD 20/05/2024)</t>
  </si>
  <si>
    <t>5.75% Tamilnadu SDL (MD 27/05/2025)</t>
  </si>
  <si>
    <t>5.6% Maharashtra SDL (MD 09/09/2024)</t>
  </si>
  <si>
    <t>5.46% Tamilnadu SDL (MD 03/06/2024)</t>
  </si>
  <si>
    <t>9.10% Tamil Nadu SDL(MD 09/05/2022)</t>
  </si>
  <si>
    <t>91 Days Tbill (MD 13/01/2022)</t>
  </si>
  <si>
    <t>91 Days Tbill (MD 20/01/2022)</t>
  </si>
  <si>
    <t>^PTC originated by Reliance Industries Limited</t>
  </si>
  <si>
    <t>First Business Receivables Trust^</t>
  </si>
  <si>
    <t>* Corporate Guarantee from Tata Power</t>
  </si>
  <si>
    <t>^^AT1 Bonds under Basel III</t>
  </si>
  <si>
    <t>IndusInd Bank Limited^^</t>
  </si>
  <si>
    <t>Tata Power Renewable Energy Limited*</t>
  </si>
  <si>
    <t>Indian Bank^^</t>
  </si>
  <si>
    <t>IDFC GILT 2027 INDEX FUND   (31 December, 2021 )</t>
  </si>
  <si>
    <t>IDFC GILT 2027 INDEX FUND  (31 December, 2021 )</t>
  </si>
  <si>
    <t>IDFC BOND FUND - MEDIUM TERM PLAN (31 December, 2021 )</t>
  </si>
  <si>
    <t>8.25% Andhra PradeshSDL (MD 25/04/2023)</t>
  </si>
  <si>
    <t>8.25% Maharastra SDL  ( MD 13/05/2025)</t>
  </si>
  <si>
    <t>8.2% Gujarat SDL (MD 24/06/2025)</t>
  </si>
  <si>
    <t>8.37% Tamil Nadu SDL (MD 05/12/2028)</t>
  </si>
  <si>
    <t>8.68% Gujarat SDL (MD 06/02/2023)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</si>
</sst>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Black]\(0.00%\)"/>
    <numFmt numFmtId="165" formatCode="0.000%;[Black]\(0.000%\)"/>
    <numFmt numFmtId="166" formatCode="0.0000%;[Black]\(0.0000%\)"/>
  </numFmts>
  <fonts count="8"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b/>
      <sz val="11"/>
      <color theme="1"/>
      <name val="Arial"/>
      <family val="2"/>
    </font>
    <font>
      <sz val="11"/>
      <color indexed="9"/>
      <name val="Calibri"/>
      <family val="2"/>
      <scheme val="minor"/>
    </font>
    <font>
      <sz val="10"/>
      <name val="Arial"/>
      <family val="2"/>
    </font>
  </fonts>
  <fills count="3">
    <fill>
      <patternFill patternType="none"/>
    </fill>
    <fill>
      <patternFill patternType="gray125"/>
    </fill>
    <fill>
      <patternFill patternType="solid">
        <fgColor rgb="FFD8D8D8"/>
        <bgColor indexed="64"/>
      </patternFill>
    </fill>
  </fills>
  <borders count="25">
    <border>
      <left/>
      <right/>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9" fontId="7" fillId="0" borderId="0" applyNumberFormat="0" applyFont="0" applyFill="0" applyBorder="0" applyAlignment="0" applyProtection="0"/>
  </cellStyleXfs>
  <cellXfs count="77">
    <xf numFmtId="0" fontId="0" fillId="0" borderId="0" xfId="0"/>
    <xf numFmtId="0" fontId="0" fillId="0" borderId="0" xfId="0" applyBorder="1"/>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xf>
    <xf numFmtId="0" fontId="1" fillId="0" borderId="8" xfId="0" applyFont="1" applyBorder="1" applyAlignment="1">
      <alignment vertical="center"/>
    </xf>
    <xf numFmtId="0" fontId="1" fillId="0" borderId="4" xfId="0" applyFont="1" applyBorder="1" applyAlignment="1">
      <alignment vertical="center"/>
    </xf>
    <xf numFmtId="0" fontId="2" fillId="2" borderId="8" xfId="0" applyFont="1" applyFill="1" applyBorder="1" applyAlignment="1">
      <alignment horizontal="left" vertical="center"/>
    </xf>
    <xf numFmtId="0" fontId="2" fillId="2" borderId="4" xfId="0" applyFont="1" applyFill="1" applyBorder="1" applyAlignment="1">
      <alignment horizontal="right" vertical="center"/>
    </xf>
    <xf numFmtId="0" fontId="2" fillId="2" borderId="9" xfId="0" applyFont="1" applyFill="1" applyBorder="1" applyAlignment="1">
      <alignment horizontal="left" vertical="center"/>
    </xf>
    <xf numFmtId="0" fontId="2" fillId="2" borderId="5" xfId="0" applyFont="1" applyFill="1" applyBorder="1" applyAlignment="1">
      <alignment horizontal="right" vertical="center"/>
    </xf>
    <xf numFmtId="164" fontId="1" fillId="0" borderId="2" xfId="0" applyNumberFormat="1" applyFont="1" applyBorder="1" applyAlignment="1">
      <alignment vertical="center"/>
    </xf>
    <xf numFmtId="164" fontId="2" fillId="2" borderId="2" xfId="0" applyNumberFormat="1" applyFont="1" applyFill="1" applyBorder="1" applyAlignment="1">
      <alignment horizontal="right" vertical="center"/>
    </xf>
    <xf numFmtId="164" fontId="2" fillId="2" borderId="6" xfId="0" applyNumberFormat="1" applyFont="1" applyFill="1" applyBorder="1" applyAlignment="1">
      <alignment horizontal="right" vertical="center"/>
    </xf>
    <xf numFmtId="0" fontId="4" fillId="0" borderId="0" xfId="0" applyFont="1" applyBorder="1" applyAlignment="1">
      <alignment horizontal="left"/>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6" fillId="0" borderId="0" xfId="0" applyFont="1" applyBorder="1"/>
    <xf numFmtId="9" fontId="6" fillId="0" borderId="0" xfId="0" applyNumberFormat="1" applyFont="1" applyBorder="1"/>
    <xf numFmtId="10" fontId="6" fillId="0" borderId="0" xfId="0" applyNumberFormat="1" applyFont="1" applyBorder="1"/>
    <xf numFmtId="0" fontId="0" fillId="0" borderId="0" xfId="0"/>
    <xf numFmtId="0" fontId="0" fillId="0" borderId="0" xfId="0" applyBorder="1"/>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xf>
    <xf numFmtId="0" fontId="1" fillId="0" borderId="8" xfId="0" applyFont="1" applyBorder="1" applyAlignment="1">
      <alignment vertical="center"/>
    </xf>
    <xf numFmtId="0" fontId="1" fillId="0" borderId="4" xfId="0" applyFont="1" applyBorder="1" applyAlignment="1">
      <alignment vertical="center"/>
    </xf>
    <xf numFmtId="0" fontId="2" fillId="2" borderId="8" xfId="0" applyFont="1" applyFill="1" applyBorder="1" applyAlignment="1">
      <alignment horizontal="left" vertical="center"/>
    </xf>
    <xf numFmtId="0" fontId="2" fillId="2" borderId="4" xfId="0" applyFont="1" applyFill="1" applyBorder="1" applyAlignment="1">
      <alignment horizontal="right" vertical="center"/>
    </xf>
    <xf numFmtId="0" fontId="2" fillId="2" borderId="9" xfId="0" applyFont="1" applyFill="1" applyBorder="1" applyAlignment="1">
      <alignment horizontal="left" vertical="center"/>
    </xf>
    <xf numFmtId="0" fontId="2" fillId="2" borderId="5" xfId="0" applyFont="1" applyFill="1" applyBorder="1" applyAlignment="1">
      <alignment horizontal="right" vertical="center"/>
    </xf>
    <xf numFmtId="164" fontId="1" fillId="0" borderId="2" xfId="0" applyNumberFormat="1" applyFont="1" applyBorder="1" applyAlignment="1">
      <alignment vertical="center"/>
    </xf>
    <xf numFmtId="164" fontId="2" fillId="2" borderId="2" xfId="0" applyNumberFormat="1" applyFont="1" applyFill="1" applyBorder="1" applyAlignment="1">
      <alignment horizontal="right" vertical="center"/>
    </xf>
    <xf numFmtId="164" fontId="2" fillId="2" borderId="6" xfId="0" applyNumberFormat="1" applyFont="1" applyFill="1" applyBorder="1" applyAlignment="1">
      <alignment horizontal="right" vertical="center"/>
    </xf>
    <xf numFmtId="0" fontId="4" fillId="0" borderId="0" xfId="0" applyFont="1" applyBorder="1" applyAlignment="1">
      <alignment horizontal="left"/>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6" fillId="0" borderId="0" xfId="0" applyFont="1" applyBorder="1"/>
    <xf numFmtId="9" fontId="6" fillId="0" borderId="0" xfId="0" applyNumberFormat="1" applyFont="1" applyBorder="1"/>
    <xf numFmtId="10" fontId="6" fillId="0" borderId="0" xfId="0" applyNumberFormat="1" applyFont="1" applyBorder="1"/>
    <xf numFmtId="0" fontId="1" fillId="0" borderId="18" xfId="0" applyFont="1" applyBorder="1" applyAlignment="1">
      <alignment vertical="center"/>
    </xf>
    <xf numFmtId="164" fontId="1" fillId="0" borderId="18" xfId="0" applyNumberFormat="1" applyFont="1" applyBorder="1" applyAlignment="1">
      <alignment vertical="center"/>
    </xf>
    <xf numFmtId="165" fontId="1" fillId="0" borderId="2" xfId="0" applyNumberFormat="1" applyFont="1" applyBorder="1" applyAlignment="1">
      <alignment vertical="center"/>
    </xf>
    <xf numFmtId="166" fontId="1" fillId="0" borderId="2" xfId="0" applyNumberFormat="1" applyFont="1" applyBorder="1" applyAlignment="1">
      <alignment vertical="center"/>
    </xf>
    <xf numFmtId="0" fontId="0" fillId="0" borderId="0" xfId="0" applyFill="1" applyBorder="1"/>
    <xf numFmtId="0" fontId="2" fillId="2" borderId="22" xfId="0" applyFont="1" applyFill="1" applyBorder="1" applyAlignment="1">
      <alignment horizontal="center" vertical="center"/>
    </xf>
    <xf numFmtId="0" fontId="2" fillId="2" borderId="22" xfId="0" applyFont="1" applyFill="1" applyBorder="1" applyAlignment="1">
      <alignment horizontal="center" vertical="center" wrapText="1"/>
    </xf>
    <xf numFmtId="0" fontId="1" fillId="0" borderId="23" xfId="0" applyFont="1" applyBorder="1" applyAlignment="1">
      <alignment vertical="center"/>
    </xf>
    <xf numFmtId="164" fontId="1" fillId="0" borderId="23" xfId="0" applyNumberFormat="1" applyFont="1" applyBorder="1" applyAlignment="1">
      <alignment vertical="center"/>
    </xf>
    <xf numFmtId="0" fontId="2" fillId="2" borderId="23" xfId="0" applyFont="1" applyFill="1" applyBorder="1" applyAlignment="1">
      <alignment horizontal="left" vertical="center"/>
    </xf>
    <xf numFmtId="0" fontId="2" fillId="2" borderId="23" xfId="0" applyFont="1" applyFill="1" applyBorder="1" applyAlignment="1">
      <alignment horizontal="right" vertical="center"/>
    </xf>
    <xf numFmtId="164" fontId="2" fillId="2" borderId="23" xfId="0" applyNumberFormat="1" applyFont="1" applyFill="1" applyBorder="1" applyAlignment="1">
      <alignment horizontal="right" vertical="center"/>
    </xf>
    <xf numFmtId="0" fontId="0" fillId="0" borderId="23" xfId="0" applyBorder="1"/>
    <xf numFmtId="0" fontId="2" fillId="2" borderId="24" xfId="0" applyFont="1" applyFill="1" applyBorder="1" applyAlignment="1">
      <alignment horizontal="left" vertical="center"/>
    </xf>
    <xf numFmtId="0" fontId="2" fillId="2" borderId="24" xfId="0" applyFont="1" applyFill="1" applyBorder="1" applyAlignment="1">
      <alignment horizontal="right" vertical="center"/>
    </xf>
    <xf numFmtId="164" fontId="2" fillId="2" borderId="24" xfId="0" applyNumberFormat="1" applyFont="1" applyFill="1" applyBorder="1" applyAlignment="1">
      <alignment horizontal="right" vertical="center"/>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5" fillId="2" borderId="0" xfId="0" applyFont="1" applyFill="1" applyBorder="1" applyAlignment="1">
      <alignment vertical="center"/>
    </xf>
    <xf numFmtId="0" fontId="0" fillId="0" borderId="0" xfId="0" applyBorder="1" applyAlignment="1">
      <alignment vertical="center"/>
    </xf>
    <xf numFmtId="0" fontId="0" fillId="0" borderId="12" xfId="0" applyBorder="1" applyAlignment="1">
      <alignment vertical="center"/>
    </xf>
  </cellXfs>
  <cellStyles count="2">
    <cellStyle name="Normal" xfId="0" builtinId="0"/>
    <cellStyle name="Percent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136969094066665"/>
                  <c:y val="-1.364910333344895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0D3-4A01-9476-54BF9101704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OF'!$G$8</c:f>
              <c:strCache>
                <c:ptCount val="1"/>
                <c:pt idx="0">
                  <c:v>AAA EQUIVALENT</c:v>
                </c:pt>
              </c:strCache>
            </c:strRef>
          </c:cat>
          <c:val>
            <c:numRef>
              <c:f>'IDFC OF'!$H$8</c:f>
              <c:numCache>
                <c:formatCode>0%</c:formatCode>
                <c:ptCount val="1"/>
                <c:pt idx="0">
                  <c:v>1</c:v>
                </c:pt>
              </c:numCache>
            </c:numRef>
          </c:val>
          <c:extLst>
            <c:ext xmlns:c16="http://schemas.microsoft.com/office/drawing/2014/chart" uri="{C3380CC4-5D6E-409C-BE32-E72D297353CC}">
              <c16:uniqueId val="{0000000C-80D3-4A01-9476-54BF9101704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OF'!$K$8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550-436E-B15A-A820C4CB2F18}"/>
                </c:ext>
              </c:extLst>
            </c:dLbl>
            <c:dLbl>
              <c:idx val="1"/>
              <c:layout>
                <c:manualLayout>
                  <c:x val="0.3666271560808646"/>
                  <c:y val="-2.137462817147856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550-436E-B15A-A820C4CB2F1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OF'!$J$9:$J$10</c:f>
              <c:strCache>
                <c:ptCount val="2"/>
                <c:pt idx="0">
                  <c:v>Net Current Asset</c:v>
                </c:pt>
                <c:pt idx="1">
                  <c:v>TRI Party Repo</c:v>
                </c:pt>
              </c:strCache>
            </c:strRef>
          </c:cat>
          <c:val>
            <c:numRef>
              <c:f>'IDFC OF'!$K$9:$K$10</c:f>
              <c:numCache>
                <c:formatCode>0.00%</c:formatCode>
                <c:ptCount val="2"/>
                <c:pt idx="0">
                  <c:v>5.5539999999999999E-3</c:v>
                </c:pt>
                <c:pt idx="1">
                  <c:v>0.99444600000000005</c:v>
                </c:pt>
              </c:numCache>
            </c:numRef>
          </c:val>
          <c:extLst>
            <c:ext xmlns:c16="http://schemas.microsoft.com/office/drawing/2014/chart" uri="{C3380CC4-5D6E-409C-BE32-E72D297353CC}">
              <c16:uniqueId val="{0000000C-2550-436E-B15A-A820C4CB2F1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473157530897505"/>
                  <c:y val="-3.318584070796460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5CF-41BE-A60C-2914532D17C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CF'!$G$8</c:f>
              <c:strCache>
                <c:ptCount val="1"/>
                <c:pt idx="0">
                  <c:v>AAA EQUIVALENT</c:v>
                </c:pt>
              </c:strCache>
            </c:strRef>
          </c:cat>
          <c:val>
            <c:numRef>
              <c:f>'IDFC CF'!$H$8</c:f>
              <c:numCache>
                <c:formatCode>0%</c:formatCode>
                <c:ptCount val="1"/>
                <c:pt idx="0">
                  <c:v>1</c:v>
                </c:pt>
              </c:numCache>
            </c:numRef>
          </c:val>
          <c:extLst>
            <c:ext xmlns:c16="http://schemas.microsoft.com/office/drawing/2014/chart" uri="{C3380CC4-5D6E-409C-BE32-E72D297353CC}">
              <c16:uniqueId val="{0000000C-45CF-41BE-A60C-2914532D17C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CF'!$K$8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BD0-4E32-8190-6DA46967B407}"/>
                </c:ext>
              </c:extLst>
            </c:dLbl>
            <c:dLbl>
              <c:idx val="1"/>
              <c:layout>
                <c:manualLayout>
                  <c:x val="-5.2572290883339798E-2"/>
                  <c:y val="0.2775069362213367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BD0-4E32-8190-6DA46967B407}"/>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BD0-4E32-8190-6DA46967B407}"/>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BBD0-4E32-8190-6DA46967B407}"/>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BBD0-4E32-8190-6DA46967B40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CF'!$J$9:$J$13</c:f>
              <c:strCache>
                <c:ptCount val="5"/>
                <c:pt idx="0">
                  <c:v>Net Current Asset</c:v>
                </c:pt>
                <c:pt idx="1">
                  <c:v>TRI Party Repo</c:v>
                </c:pt>
                <c:pt idx="2">
                  <c:v>Corporate Bond</c:v>
                </c:pt>
                <c:pt idx="3">
                  <c:v>Commercial Paper</c:v>
                </c:pt>
                <c:pt idx="4">
                  <c:v>Treasury Bill</c:v>
                </c:pt>
              </c:strCache>
            </c:strRef>
          </c:cat>
          <c:val>
            <c:numRef>
              <c:f>'IDFC CF'!$K$9:$K$13</c:f>
              <c:numCache>
                <c:formatCode>0.00%</c:formatCode>
                <c:ptCount val="5"/>
                <c:pt idx="0">
                  <c:v>3.5599999999999998E-3</c:v>
                </c:pt>
                <c:pt idx="1">
                  <c:v>0.57299599999999995</c:v>
                </c:pt>
                <c:pt idx="2">
                  <c:v>5.4191000000000003E-2</c:v>
                </c:pt>
                <c:pt idx="3">
                  <c:v>0.23492199999999999</c:v>
                </c:pt>
                <c:pt idx="4">
                  <c:v>0.13433100000000001</c:v>
                </c:pt>
              </c:numCache>
            </c:numRef>
          </c:val>
          <c:extLst>
            <c:ext xmlns:c16="http://schemas.microsoft.com/office/drawing/2014/chart" uri="{C3380CC4-5D6E-409C-BE32-E72D297353CC}">
              <c16:uniqueId val="{0000000C-BBD0-4E32-8190-6DA46967B40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2992497765937715"/>
                  <c:y val="-4.405286343612335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73C-4EFD-8B34-A1B20B05EF8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LDF'!$G$8</c:f>
              <c:strCache>
                <c:ptCount val="1"/>
                <c:pt idx="0">
                  <c:v>AAA EQUIVALENT</c:v>
                </c:pt>
              </c:strCache>
            </c:strRef>
          </c:cat>
          <c:val>
            <c:numRef>
              <c:f>'IDFC LDF'!$H$8</c:f>
              <c:numCache>
                <c:formatCode>0%</c:formatCode>
                <c:ptCount val="1"/>
                <c:pt idx="0">
                  <c:v>1.0000020000000001</c:v>
                </c:pt>
              </c:numCache>
            </c:numRef>
          </c:val>
          <c:extLst>
            <c:ext xmlns:c16="http://schemas.microsoft.com/office/drawing/2014/chart" uri="{C3380CC4-5D6E-409C-BE32-E72D297353CC}">
              <c16:uniqueId val="{0000000C-A73C-4EFD-8B34-A1B20B05EF8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LDF'!$K$8</c:f>
              <c:strCache>
                <c:ptCount val="1"/>
                <c:pt idx="0">
                  <c:v>Total</c:v>
                </c:pt>
              </c:strCache>
            </c:strRef>
          </c:tx>
          <c:dLbls>
            <c:dLbl>
              <c:idx val="0"/>
              <c:layout>
                <c:manualLayout>
                  <c:x val="0.32011743580232344"/>
                  <c:y val="-0.1069425145386238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635-4106-9770-EEBF39508DD1}"/>
                </c:ext>
              </c:extLst>
            </c:dLbl>
            <c:dLbl>
              <c:idx val="1"/>
              <c:layout>
                <c:manualLayout>
                  <c:x val="3.1666104638419124E-2"/>
                  <c:y val="-5.796682277460415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635-4106-9770-EEBF39508DD1}"/>
                </c:ext>
              </c:extLst>
            </c:dLbl>
            <c:dLbl>
              <c:idx val="2"/>
              <c:layout>
                <c:manualLayout>
                  <c:x val="-5.2101198806252004E-2"/>
                  <c:y val="0.2441401197399344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7635-4106-9770-EEBF39508DD1}"/>
                </c:ext>
              </c:extLst>
            </c:dLbl>
            <c:dLbl>
              <c:idx val="3"/>
              <c:layout>
                <c:manualLayout>
                  <c:x val="-0.11418123724898413"/>
                  <c:y val="3.113512771687852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7635-4106-9770-EEBF39508DD1}"/>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7635-4106-9770-EEBF39508DD1}"/>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7635-4106-9770-EEBF39508DD1}"/>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7635-4106-9770-EEBF39508DD1}"/>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7635-4106-9770-EEBF39508DD1}"/>
                </c:ext>
              </c:extLst>
            </c:dLbl>
            <c:dLbl>
              <c:idx val="8"/>
              <c:layout>
                <c:manualLayout>
                  <c:x val="0.25768070613229022"/>
                  <c:y val="-1.964626970648276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7635-4106-9770-EEBF39508DD1}"/>
                </c:ext>
              </c:extLst>
            </c:dLbl>
            <c:dLbl>
              <c:idx val="9"/>
              <c:layout>
                <c:manualLayout>
                  <c:x val="0.35173767893574326"/>
                  <c:y val="-8.297737292642341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6-7635-4106-9770-EEBF39508DD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LDF'!$J$9:$J$18</c:f>
              <c:strCache>
                <c:ptCount val="10"/>
                <c:pt idx="0">
                  <c:v>Net Current Asset</c:v>
                </c:pt>
                <c:pt idx="1">
                  <c:v>TRI Party Repo</c:v>
                </c:pt>
                <c:pt idx="2">
                  <c:v>Certificate of Deposit</c:v>
                </c:pt>
                <c:pt idx="3">
                  <c:v>Corporate Bond</c:v>
                </c:pt>
                <c:pt idx="4">
                  <c:v>Commercial Paper</c:v>
                </c:pt>
                <c:pt idx="5">
                  <c:v>Floating Rate Note</c:v>
                </c:pt>
                <c:pt idx="6">
                  <c:v>Government Bond</c:v>
                </c:pt>
                <c:pt idx="8">
                  <c:v>State Government Bond</c:v>
                </c:pt>
                <c:pt idx="9">
                  <c:v>Zero Coupon Bond</c:v>
                </c:pt>
              </c:strCache>
            </c:strRef>
          </c:cat>
          <c:val>
            <c:numRef>
              <c:f>'IDFC LDF'!$K$9:$K$18</c:f>
              <c:numCache>
                <c:formatCode>0.00%</c:formatCode>
                <c:ptCount val="10"/>
                <c:pt idx="0">
                  <c:v>1.8216E-2</c:v>
                </c:pt>
                <c:pt idx="1">
                  <c:v>0.28403400000000001</c:v>
                </c:pt>
                <c:pt idx="2">
                  <c:v>3.7772E-2</c:v>
                </c:pt>
                <c:pt idx="3">
                  <c:v>0.43853500000000001</c:v>
                </c:pt>
                <c:pt idx="4">
                  <c:v>7.0412000000000002E-2</c:v>
                </c:pt>
                <c:pt idx="5">
                  <c:v>1.4670000000000001E-2</c:v>
                </c:pt>
                <c:pt idx="6">
                  <c:v>0.102939</c:v>
                </c:pt>
                <c:pt idx="8">
                  <c:v>1.7076999999999998E-2</c:v>
                </c:pt>
                <c:pt idx="9">
                  <c:v>1.6347E-2</c:v>
                </c:pt>
              </c:numCache>
            </c:numRef>
          </c:val>
          <c:extLst>
            <c:ext xmlns:c16="http://schemas.microsoft.com/office/drawing/2014/chart" uri="{C3380CC4-5D6E-409C-BE32-E72D297353CC}">
              <c16:uniqueId val="{0000000C-7635-4106-9770-EEBF39508DD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419624340319346"/>
                  <c:y val="-4.934210526315789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A40-4008-9300-0646D576AA3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MMF'!$G$8</c:f>
              <c:strCache>
                <c:ptCount val="1"/>
                <c:pt idx="0">
                  <c:v>AAA EQUIVALENT</c:v>
                </c:pt>
              </c:strCache>
            </c:strRef>
          </c:cat>
          <c:val>
            <c:numRef>
              <c:f>'IDFC MMF'!$H$8</c:f>
              <c:numCache>
                <c:formatCode>0%</c:formatCode>
                <c:ptCount val="1"/>
                <c:pt idx="0">
                  <c:v>1</c:v>
                </c:pt>
              </c:numCache>
            </c:numRef>
          </c:val>
          <c:extLst>
            <c:ext xmlns:c16="http://schemas.microsoft.com/office/drawing/2014/chart" uri="{C3380CC4-5D6E-409C-BE32-E72D297353CC}">
              <c16:uniqueId val="{0000000C-0A40-4008-9300-0646D576AA3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MMF'!$K$8</c:f>
              <c:strCache>
                <c:ptCount val="1"/>
                <c:pt idx="0">
                  <c:v>Total</c:v>
                </c:pt>
              </c:strCache>
            </c:strRef>
          </c:tx>
          <c:dLbls>
            <c:dLbl>
              <c:idx val="0"/>
              <c:layout>
                <c:manualLayout>
                  <c:x val="0.183885666593603"/>
                  <c:y val="-6.965833318975170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D90-4DDC-AD40-1C5C17E7EF59}"/>
                </c:ext>
              </c:extLst>
            </c:dLbl>
            <c:dLbl>
              <c:idx val="1"/>
              <c:layout>
                <c:manualLayout>
                  <c:x val="8.5028410527913136E-3"/>
                  <c:y val="-0.1671824118265304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D90-4DDC-AD40-1C5C17E7EF59}"/>
                </c:ext>
              </c:extLst>
            </c:dLbl>
            <c:dLbl>
              <c:idx val="2"/>
              <c:layout>
                <c:manualLayout>
                  <c:x val="-5.0031867001635505E-2"/>
                  <c:y val="-3.18851117352125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D90-4DDC-AD40-1C5C17E7EF59}"/>
                </c:ext>
              </c:extLst>
            </c:dLbl>
            <c:dLbl>
              <c:idx val="3"/>
              <c:layout>
                <c:manualLayout>
                  <c:x val="-4.7403429496366487E-3"/>
                  <c:y val="0.2437650545322972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1D90-4DDC-AD40-1C5C17E7EF59}"/>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1D90-4DDC-AD40-1C5C17E7EF59}"/>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1D90-4DDC-AD40-1C5C17E7EF59}"/>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1D90-4DDC-AD40-1C5C17E7EF5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MMF'!$J$9:$J$15</c:f>
              <c:strCache>
                <c:ptCount val="7"/>
                <c:pt idx="0">
                  <c:v>Net Current Asset</c:v>
                </c:pt>
                <c:pt idx="1">
                  <c:v>TRI Party Repo</c:v>
                </c:pt>
                <c:pt idx="2">
                  <c:v>Certificate of Deposit</c:v>
                </c:pt>
                <c:pt idx="3">
                  <c:v>Commercial Paper</c:v>
                </c:pt>
                <c:pt idx="4">
                  <c:v>Government Bond</c:v>
                </c:pt>
                <c:pt idx="5">
                  <c:v>State Government Bond</c:v>
                </c:pt>
                <c:pt idx="6">
                  <c:v>Treasury Bill</c:v>
                </c:pt>
              </c:strCache>
            </c:strRef>
          </c:cat>
          <c:val>
            <c:numRef>
              <c:f>'IDFC MMF'!$K$9:$K$15</c:f>
              <c:numCache>
                <c:formatCode>0.00%</c:formatCode>
                <c:ptCount val="7"/>
                <c:pt idx="0">
                  <c:v>1.2279999999999999E-3</c:v>
                </c:pt>
                <c:pt idx="1">
                  <c:v>0.302485</c:v>
                </c:pt>
                <c:pt idx="2">
                  <c:v>0.227297</c:v>
                </c:pt>
                <c:pt idx="3">
                  <c:v>0.39026699999999998</c:v>
                </c:pt>
                <c:pt idx="4">
                  <c:v>1.361E-3</c:v>
                </c:pt>
                <c:pt idx="5">
                  <c:v>6.8033999999999997E-2</c:v>
                </c:pt>
                <c:pt idx="6">
                  <c:v>9.3279999999999995E-3</c:v>
                </c:pt>
              </c:numCache>
            </c:numRef>
          </c:val>
          <c:extLst>
            <c:ext xmlns:c16="http://schemas.microsoft.com/office/drawing/2014/chart" uri="{C3380CC4-5D6E-409C-BE32-E72D297353CC}">
              <c16:uniqueId val="{0000000C-1D90-4DDC-AD40-1C5C17E7EF5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920695004130909"/>
                  <c:y val="-2.72925764192139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171-427E-AAF9-9E98153C097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USTF'!$G$8</c:f>
              <c:strCache>
                <c:ptCount val="1"/>
                <c:pt idx="0">
                  <c:v>AAA EQUIVALENT</c:v>
                </c:pt>
              </c:strCache>
            </c:strRef>
          </c:cat>
          <c:val>
            <c:numRef>
              <c:f>'IDFC USTF'!$H$8</c:f>
              <c:numCache>
                <c:formatCode>0%</c:formatCode>
                <c:ptCount val="1"/>
                <c:pt idx="0">
                  <c:v>1</c:v>
                </c:pt>
              </c:numCache>
            </c:numRef>
          </c:val>
          <c:extLst>
            <c:ext xmlns:c16="http://schemas.microsoft.com/office/drawing/2014/chart" uri="{C3380CC4-5D6E-409C-BE32-E72D297353CC}">
              <c16:uniqueId val="{0000000C-C171-427E-AAF9-9E98153C097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USTF'!$K$8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753-4DC5-A33B-C96C3CDB8083}"/>
                </c:ext>
              </c:extLst>
            </c:dLbl>
            <c:dLbl>
              <c:idx val="1"/>
              <c:layout>
                <c:manualLayout>
                  <c:x val="-1.4480095769614952E-3"/>
                  <c:y val="-0.4464318820103723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753-4DC5-A33B-C96C3CDB8083}"/>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753-4DC5-A33B-C96C3CDB8083}"/>
                </c:ext>
              </c:extLst>
            </c:dLbl>
            <c:dLbl>
              <c:idx val="3"/>
              <c:layout>
                <c:manualLayout>
                  <c:x val="3.7904196664924381E-2"/>
                  <c:y val="0.2074842778131945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A753-4DC5-A33B-C96C3CDB8083}"/>
                </c:ext>
              </c:extLst>
            </c:dLbl>
            <c:dLbl>
              <c:idx val="4"/>
              <c:layout>
                <c:manualLayout>
                  <c:x val="-0.15612343826400715"/>
                  <c:y val="-1.523492823790899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A753-4DC5-A33B-C96C3CDB8083}"/>
                </c:ext>
              </c:extLst>
            </c:dLbl>
            <c:dLbl>
              <c:idx val="5"/>
              <c:layout>
                <c:manualLayout>
                  <c:x val="-0.24524768584869075"/>
                  <c:y val="-0.1424611037405882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A753-4DC5-A33B-C96C3CDB8083}"/>
                </c:ext>
              </c:extLst>
            </c:dLbl>
            <c:dLbl>
              <c:idx val="6"/>
              <c:layout>
                <c:manualLayout>
                  <c:x val="-5.9556222495742633E-2"/>
                  <c:y val="-6.851634245938076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A753-4DC5-A33B-C96C3CDB8083}"/>
                </c:ext>
              </c:extLst>
            </c:dLbl>
            <c:dLbl>
              <c:idx val="7"/>
              <c:layout>
                <c:manualLayout>
                  <c:x val="0.19218044478915511"/>
                  <c:y val="-1.933010561863574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A753-4DC5-A33B-C96C3CDB808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USTF'!$J$9:$J$16</c:f>
              <c:strCache>
                <c:ptCount val="8"/>
                <c:pt idx="0">
                  <c:v>Net Current Asset</c:v>
                </c:pt>
                <c:pt idx="1">
                  <c:v>TRI Party Repo</c:v>
                </c:pt>
                <c:pt idx="2">
                  <c:v>Certificate of Deposit</c:v>
                </c:pt>
                <c:pt idx="3">
                  <c:v>Corporate Bond</c:v>
                </c:pt>
                <c:pt idx="4">
                  <c:v>Commercial Paper</c:v>
                </c:pt>
                <c:pt idx="5">
                  <c:v>Floating Rate Note</c:v>
                </c:pt>
                <c:pt idx="6">
                  <c:v>State Government Bond</c:v>
                </c:pt>
                <c:pt idx="7">
                  <c:v>Zero Coupon Bond</c:v>
                </c:pt>
              </c:strCache>
            </c:strRef>
          </c:cat>
          <c:val>
            <c:numRef>
              <c:f>'IDFC USTF'!$K$9:$K$16</c:f>
              <c:numCache>
                <c:formatCode>0.00%</c:formatCode>
                <c:ptCount val="8"/>
                <c:pt idx="0">
                  <c:v>6.4000000000000005E-4</c:v>
                </c:pt>
                <c:pt idx="1">
                  <c:v>0.51334000000000002</c:v>
                </c:pt>
                <c:pt idx="2">
                  <c:v>3.506E-3</c:v>
                </c:pt>
                <c:pt idx="3">
                  <c:v>0.34854400000000002</c:v>
                </c:pt>
                <c:pt idx="4">
                  <c:v>7.8350000000000003E-2</c:v>
                </c:pt>
                <c:pt idx="5">
                  <c:v>2.3765999999999999E-2</c:v>
                </c:pt>
                <c:pt idx="6">
                  <c:v>2.441E-3</c:v>
                </c:pt>
                <c:pt idx="7">
                  <c:v>2.9413000000000002E-2</c:v>
                </c:pt>
              </c:numCache>
            </c:numRef>
          </c:val>
          <c:extLst>
            <c:ext xmlns:c16="http://schemas.microsoft.com/office/drawing/2014/chart" uri="{C3380CC4-5D6E-409C-BE32-E72D297353CC}">
              <c16:uniqueId val="{0000000C-A753-4DC5-A33B-C96C3CDB808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278296717193008"/>
                  <c:y val="-4.057017543859649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D24-4699-8CAD-383F620DEA7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DBF'!$G$8</c:f>
              <c:strCache>
                <c:ptCount val="1"/>
                <c:pt idx="0">
                  <c:v>AAA EQUIVALENT</c:v>
                </c:pt>
              </c:strCache>
            </c:strRef>
          </c:cat>
          <c:val>
            <c:numRef>
              <c:f>'IDFC DBF'!$H$8</c:f>
              <c:numCache>
                <c:formatCode>0%</c:formatCode>
                <c:ptCount val="1"/>
                <c:pt idx="0">
                  <c:v>1</c:v>
                </c:pt>
              </c:numCache>
            </c:numRef>
          </c:val>
          <c:extLst>
            <c:ext xmlns:c16="http://schemas.microsoft.com/office/drawing/2014/chart" uri="{C3380CC4-5D6E-409C-BE32-E72D297353CC}">
              <c16:uniqueId val="{0000000C-DD24-4699-8CAD-383F620DEA7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DBF'!$K$8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06D-469B-A4D1-8351AAA889A8}"/>
                </c:ext>
              </c:extLst>
            </c:dLbl>
            <c:dLbl>
              <c:idx val="1"/>
              <c:layout>
                <c:manualLayout>
                  <c:x val="0.19119256773845444"/>
                  <c:y val="3.966404199475065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C06D-469B-A4D1-8351AAA889A8}"/>
                </c:ext>
              </c:extLst>
            </c:dLbl>
            <c:dLbl>
              <c:idx val="2"/>
              <c:layout>
                <c:manualLayout>
                  <c:x val="-0.26413284661687098"/>
                  <c:y val="-3.026351706036745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C06D-469B-A4D1-8351AAA889A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DBF'!$J$9:$J$11</c:f>
              <c:strCache>
                <c:ptCount val="3"/>
                <c:pt idx="0">
                  <c:v>Net Current Asset</c:v>
                </c:pt>
                <c:pt idx="1">
                  <c:v>TRI Party Repo</c:v>
                </c:pt>
                <c:pt idx="2">
                  <c:v>Government Bond</c:v>
                </c:pt>
              </c:strCache>
            </c:strRef>
          </c:cat>
          <c:val>
            <c:numRef>
              <c:f>'IDFC DBF'!$K$9:$K$11</c:f>
              <c:numCache>
                <c:formatCode>0.00%</c:formatCode>
                <c:ptCount val="3"/>
                <c:pt idx="0">
                  <c:v>5.1580000000000003E-3</c:v>
                </c:pt>
                <c:pt idx="1">
                  <c:v>4.764E-3</c:v>
                </c:pt>
                <c:pt idx="2">
                  <c:v>0.99007800000000001</c:v>
                </c:pt>
              </c:numCache>
            </c:numRef>
          </c:val>
          <c:extLst>
            <c:ext xmlns:c16="http://schemas.microsoft.com/office/drawing/2014/chart" uri="{C3380CC4-5D6E-409C-BE32-E72D297353CC}">
              <c16:uniqueId val="{0000000C-C06D-469B-A4D1-8351AAA889A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920695004130909"/>
                  <c:y val="-4.934210526315789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E1C-4146-B775-DB904F66D97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IP'!$G$8</c:f>
              <c:strCache>
                <c:ptCount val="1"/>
                <c:pt idx="0">
                  <c:v>AAA EQUIVALENT</c:v>
                </c:pt>
              </c:strCache>
            </c:strRef>
          </c:cat>
          <c:val>
            <c:numRef>
              <c:f>'IDFC BOND IP'!$H$8</c:f>
              <c:numCache>
                <c:formatCode>0%</c:formatCode>
                <c:ptCount val="1"/>
                <c:pt idx="0">
                  <c:v>1</c:v>
                </c:pt>
              </c:numCache>
            </c:numRef>
          </c:val>
          <c:extLst>
            <c:ext xmlns:c16="http://schemas.microsoft.com/office/drawing/2014/chart" uri="{C3380CC4-5D6E-409C-BE32-E72D297353CC}">
              <c16:uniqueId val="{0000000C-7E1C-4146-B775-DB904F66D97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61A-4EAD-A77B-75764E829608}"/>
                </c:ext>
              </c:extLst>
            </c:dLbl>
            <c:dLbl>
              <c:idx val="1"/>
              <c:layout>
                <c:manualLayout>
                  <c:x val="0.2053831627577602"/>
                  <c:y val="-3.270026246719159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61A-4EAD-A77B-75764E829608}"/>
                </c:ext>
              </c:extLst>
            </c:dLbl>
            <c:dLbl>
              <c:idx val="2"/>
              <c:layout>
                <c:manualLayout>
                  <c:x val="-0.24977212564703502"/>
                  <c:y val="-4.359685039370078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61A-4EAD-A77B-75764E82960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IP'!$J$9:$J$11</c:f>
              <c:strCache>
                <c:ptCount val="3"/>
                <c:pt idx="0">
                  <c:v>Net Current Asset</c:v>
                </c:pt>
                <c:pt idx="1">
                  <c:v>TRI Party Repo</c:v>
                </c:pt>
                <c:pt idx="2">
                  <c:v>Government Bond</c:v>
                </c:pt>
              </c:strCache>
            </c:strRef>
          </c:cat>
          <c:val>
            <c:numRef>
              <c:f>'IDFC BOND IP'!$K$9:$K$11</c:f>
              <c:numCache>
                <c:formatCode>0.00%</c:formatCode>
                <c:ptCount val="3"/>
                <c:pt idx="0">
                  <c:v>1.2163E-2</c:v>
                </c:pt>
                <c:pt idx="1">
                  <c:v>2.715E-3</c:v>
                </c:pt>
                <c:pt idx="2">
                  <c:v>0.98512200000000005</c:v>
                </c:pt>
              </c:numCache>
            </c:numRef>
          </c:val>
          <c:extLst>
            <c:ext xmlns:c16="http://schemas.microsoft.com/office/drawing/2014/chart" uri="{C3380CC4-5D6E-409C-BE32-E72D297353CC}">
              <c16:uniqueId val="{0000000C-D61A-4EAD-A77B-75764E82960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2.292576419213973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C144-4B95-BB37-897B24FB089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MT'!$G$8</c:f>
              <c:strCache>
                <c:ptCount val="1"/>
                <c:pt idx="0">
                  <c:v>AAA EQUIVALENT</c:v>
                </c:pt>
              </c:strCache>
            </c:strRef>
          </c:cat>
          <c:val>
            <c:numRef>
              <c:f>'IDFC BOND MT'!$H$8</c:f>
              <c:numCache>
                <c:formatCode>0%</c:formatCode>
                <c:ptCount val="1"/>
                <c:pt idx="0">
                  <c:v>1</c:v>
                </c:pt>
              </c:numCache>
            </c:numRef>
          </c:val>
          <c:extLst>
            <c:ext xmlns:c16="http://schemas.microsoft.com/office/drawing/2014/chart" uri="{C3380CC4-5D6E-409C-BE32-E72D297353CC}">
              <c16:uniqueId val="{00000001-C144-4B95-BB37-897B24FB089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MT'!$K$8</c:f>
              <c:strCache>
                <c:ptCount val="1"/>
                <c:pt idx="0">
                  <c:v>Total</c:v>
                </c:pt>
              </c:strCache>
            </c:strRef>
          </c:tx>
          <c:dLbls>
            <c:dLbl>
              <c:idx val="0"/>
              <c:layout>
                <c:manualLayout>
                  <c:x val="-0.2291046046974321"/>
                  <c:y val="1.19055118110236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1543-412E-8E8A-CD93F4FE25DC}"/>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1-1543-412E-8E8A-CD93F4FE25DC}"/>
                </c:ext>
              </c:extLst>
            </c:dLbl>
            <c:dLbl>
              <c:idx val="2"/>
              <c:layout>
                <c:manualLayout>
                  <c:x val="6.484032777487396E-2"/>
                  <c:y val="-1.16784632690144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2-1543-412E-8E8A-CD93F4FE25DC}"/>
                </c:ext>
              </c:extLst>
            </c:dLbl>
            <c:dLbl>
              <c:idx val="3"/>
              <c:layout>
                <c:manualLayout>
                  <c:x val="0.18551838675411828"/>
                  <c:y val="-0.1206852989530154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3-1543-412E-8E8A-CD93F4FE25DC}"/>
                </c:ext>
              </c:extLst>
            </c:dLbl>
            <c:dLbl>
              <c:idx val="4"/>
              <c:layout>
                <c:manualLayout>
                  <c:x val="-0.20073850511726721"/>
                  <c:y val="-3.372155403651466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4-1543-412E-8E8A-CD93F4FE25DC}"/>
                </c:ext>
              </c:extLst>
            </c:dLbl>
            <c:dLbl>
              <c:idx val="5"/>
              <c:layout>
                <c:manualLayout>
                  <c:x val="-0.25421369438027958"/>
                  <c:y val="-4.578004672492861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5-1543-412E-8E8A-CD93F4FE25DC}"/>
                </c:ext>
              </c:extLst>
            </c:dLbl>
            <c:dLbl>
              <c:idx val="6"/>
              <c:layout>
                <c:manualLayout>
                  <c:x val="-0.30744060766494125"/>
                  <c:y val="-0.1023802024746906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6-1543-412E-8E8A-CD93F4FE25D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MT'!$J$9:$J$15</c:f>
              <c:strCache>
                <c:ptCount val="7"/>
                <c:pt idx="0">
                  <c:v>Net Current Asset</c:v>
                </c:pt>
                <c:pt idx="1">
                  <c:v>TRI Party Repo</c:v>
                </c:pt>
                <c:pt idx="2">
                  <c:v>Corporate Bond</c:v>
                </c:pt>
                <c:pt idx="3">
                  <c:v>Commercial Paper</c:v>
                </c:pt>
                <c:pt idx="4">
                  <c:v>Government Bond</c:v>
                </c:pt>
                <c:pt idx="5">
                  <c:v>PTC</c:v>
                </c:pt>
                <c:pt idx="6">
                  <c:v>State Government Bond</c:v>
                </c:pt>
              </c:strCache>
            </c:strRef>
          </c:cat>
          <c:val>
            <c:numRef>
              <c:f>'IDFC BOND MT'!$K$9:$K$15</c:f>
              <c:numCache>
                <c:formatCode>0.00%</c:formatCode>
                <c:ptCount val="7"/>
                <c:pt idx="0">
                  <c:v>1.0855999999999999E-2</c:v>
                </c:pt>
                <c:pt idx="1">
                  <c:v>2.0788000000000001E-2</c:v>
                </c:pt>
                <c:pt idx="2">
                  <c:v>3.0974000000000002E-2</c:v>
                </c:pt>
                <c:pt idx="3">
                  <c:v>2.7389E-2</c:v>
                </c:pt>
                <c:pt idx="4">
                  <c:v>0.88628899999999999</c:v>
                </c:pt>
                <c:pt idx="5">
                  <c:v>1.0976E-2</c:v>
                </c:pt>
                <c:pt idx="6">
                  <c:v>1.2728E-2</c:v>
                </c:pt>
              </c:numCache>
            </c:numRef>
          </c:val>
          <c:extLst>
            <c:ext xmlns:c16="http://schemas.microsoft.com/office/drawing/2014/chart" uri="{C3380CC4-5D6E-409C-BE32-E72D297353CC}">
              <c16:uniqueId val="{00000007-1543-412E-8E8A-CD93F4FE25D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402493719334333"/>
                  <c:y val="-2.876106194690265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FC7-48B6-A6F0-7E251546F30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ST'!$G$8</c:f>
              <c:strCache>
                <c:ptCount val="1"/>
                <c:pt idx="0">
                  <c:v>AAA EQUIVALENT</c:v>
                </c:pt>
              </c:strCache>
            </c:strRef>
          </c:cat>
          <c:val>
            <c:numRef>
              <c:f>'IDFC BOND ST'!$H$8</c:f>
              <c:numCache>
                <c:formatCode>0%</c:formatCode>
                <c:ptCount val="1"/>
                <c:pt idx="0">
                  <c:v>1</c:v>
                </c:pt>
              </c:numCache>
            </c:numRef>
          </c:val>
          <c:extLst>
            <c:ext xmlns:c16="http://schemas.microsoft.com/office/drawing/2014/chart" uri="{C3380CC4-5D6E-409C-BE32-E72D297353CC}">
              <c16:uniqueId val="{0000000C-9FC7-48B6-A6F0-7E251546F30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ST'!$K$8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4A5-4647-8A3E-C60340E3B3B4}"/>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4A5-4647-8A3E-C60340E3B3B4}"/>
                </c:ext>
              </c:extLst>
            </c:dLbl>
            <c:dLbl>
              <c:idx val="2"/>
              <c:layout>
                <c:manualLayout>
                  <c:x val="-8.9831391525738088E-2"/>
                  <c:y val="0.2079106868986316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74A5-4647-8A3E-C60340E3B3B4}"/>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74A5-4647-8A3E-C60340E3B3B4}"/>
                </c:ext>
              </c:extLst>
            </c:dLbl>
            <c:dLbl>
              <c:idx val="4"/>
              <c:layout>
                <c:manualLayout>
                  <c:x val="9.1169721290192046E-2"/>
                  <c:y val="-0.3029592247650219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74A5-4647-8A3E-C60340E3B3B4}"/>
                </c:ext>
              </c:extLst>
            </c:dLbl>
            <c:dLbl>
              <c:idx val="5"/>
              <c:layout>
                <c:manualLayout>
                  <c:x val="-0.1406938238715878"/>
                  <c:y val="-7.785662265557392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74A5-4647-8A3E-C60340E3B3B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ST'!$J$9:$J$14</c:f>
              <c:strCache>
                <c:ptCount val="6"/>
                <c:pt idx="0">
                  <c:v>Net Current Asset</c:v>
                </c:pt>
                <c:pt idx="1">
                  <c:v>TRI Party Repo</c:v>
                </c:pt>
                <c:pt idx="2">
                  <c:v>Corporate Bond</c:v>
                </c:pt>
                <c:pt idx="3">
                  <c:v>Commercial Paper</c:v>
                </c:pt>
                <c:pt idx="4">
                  <c:v>Government Bond</c:v>
                </c:pt>
                <c:pt idx="5">
                  <c:v>PTC</c:v>
                </c:pt>
              </c:strCache>
            </c:strRef>
          </c:cat>
          <c:val>
            <c:numRef>
              <c:f>'IDFC BOND ST'!$K$9:$K$14</c:f>
              <c:numCache>
                <c:formatCode>0.00%</c:formatCode>
                <c:ptCount val="6"/>
                <c:pt idx="0">
                  <c:v>2.4641E-2</c:v>
                </c:pt>
                <c:pt idx="1">
                  <c:v>8.0877000000000004E-2</c:v>
                </c:pt>
                <c:pt idx="2">
                  <c:v>0.39798699999999998</c:v>
                </c:pt>
                <c:pt idx="3">
                  <c:v>3.5950000000000001E-3</c:v>
                </c:pt>
                <c:pt idx="4">
                  <c:v>0.48837199999999997</c:v>
                </c:pt>
                <c:pt idx="5">
                  <c:v>4.5279999999999999E-3</c:v>
                </c:pt>
              </c:numCache>
            </c:numRef>
          </c:val>
          <c:extLst>
            <c:ext xmlns:c16="http://schemas.microsoft.com/office/drawing/2014/chart" uri="{C3380CC4-5D6E-409C-BE32-E72D297353CC}">
              <c16:uniqueId val="{0000000C-74A5-4647-8A3E-C60340E3B3B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850031192567738"/>
                  <c:y val="-4.40528634361233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106-485C-8CFC-CF3B667F8F4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BPDF'!$G$8</c:f>
              <c:strCache>
                <c:ptCount val="1"/>
                <c:pt idx="0">
                  <c:v>AAA EQUIVALENT</c:v>
                </c:pt>
              </c:strCache>
            </c:strRef>
          </c:cat>
          <c:val>
            <c:numRef>
              <c:f>'IDFC BPDF'!$H$8</c:f>
              <c:numCache>
                <c:formatCode>0%</c:formatCode>
                <c:ptCount val="1"/>
                <c:pt idx="0">
                  <c:v>1</c:v>
                </c:pt>
              </c:numCache>
            </c:numRef>
          </c:val>
          <c:extLst>
            <c:ext xmlns:c16="http://schemas.microsoft.com/office/drawing/2014/chart" uri="{C3380CC4-5D6E-409C-BE32-E72D297353CC}">
              <c16:uniqueId val="{0000000C-1106-485C-8CFC-CF3B667F8F4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BPDF'!$K$8</c:f>
              <c:strCache>
                <c:ptCount val="1"/>
                <c:pt idx="0">
                  <c:v>Total</c:v>
                </c:pt>
              </c:strCache>
            </c:strRef>
          </c:tx>
          <c:dLbls>
            <c:dLbl>
              <c:idx val="0"/>
              <c:layout>
                <c:manualLayout>
                  <c:x val="0.20274258544234433"/>
                  <c:y val="-0.1116927399493565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685-4752-93F0-18E845E94834}"/>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685-4752-93F0-18E845E94834}"/>
                </c:ext>
              </c:extLst>
            </c:dLbl>
            <c:dLbl>
              <c:idx val="2"/>
              <c:layout>
                <c:manualLayout>
                  <c:x val="0.16945935692727918"/>
                  <c:y val="-2.650976447327343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685-4752-93F0-18E845E94834}"/>
                </c:ext>
              </c:extLst>
            </c:dLbl>
            <c:dLbl>
              <c:idx val="3"/>
              <c:layout>
                <c:manualLayout>
                  <c:x val="0.24470367060648468"/>
                  <c:y val="2.26591279614277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B685-4752-93F0-18E845E94834}"/>
                </c:ext>
              </c:extLst>
            </c:dLbl>
            <c:dLbl>
              <c:idx val="4"/>
              <c:layout>
                <c:manualLayout>
                  <c:x val="-0.13456473722369286"/>
                  <c:y val="0.5592968885497242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B685-4752-93F0-18E845E94834}"/>
                </c:ext>
              </c:extLst>
            </c:dLbl>
            <c:dLbl>
              <c:idx val="5"/>
              <c:layout>
                <c:manualLayout>
                  <c:x val="-0.13650474632855047"/>
                  <c:y val="-1.591765236393908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B685-4752-93F0-18E845E94834}"/>
                </c:ext>
              </c:extLst>
            </c:dLbl>
            <c:dLbl>
              <c:idx val="6"/>
              <c:layout>
                <c:manualLayout>
                  <c:x val="-0.23291658938778262"/>
                  <c:y val="-0.1536203128793922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B685-4752-93F0-18E845E94834}"/>
                </c:ext>
              </c:extLst>
            </c:dLbl>
            <c:dLbl>
              <c:idx val="7"/>
              <c:layout>
                <c:manualLayout>
                  <c:x val="-0.16014255846498845"/>
                  <c:y val="-2.578965624891602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B685-4752-93F0-18E845E94834}"/>
                </c:ext>
              </c:extLst>
            </c:dLbl>
            <c:dLbl>
              <c:idx val="8"/>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B685-4752-93F0-18E845E9483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BPDF'!$J$9:$J$17</c:f>
              <c:strCache>
                <c:ptCount val="9"/>
                <c:pt idx="0">
                  <c:v>Net Current Asset</c:v>
                </c:pt>
                <c:pt idx="1">
                  <c:v>TRI Party Repo</c:v>
                </c:pt>
                <c:pt idx="2">
                  <c:v>Certificate of Deposit</c:v>
                </c:pt>
                <c:pt idx="3">
                  <c:v>Corporate Bond</c:v>
                </c:pt>
                <c:pt idx="4">
                  <c:v>Commercial Paper</c:v>
                </c:pt>
                <c:pt idx="5">
                  <c:v>Floating Rate Note</c:v>
                </c:pt>
                <c:pt idx="6">
                  <c:v>Government Bond</c:v>
                </c:pt>
                <c:pt idx="7">
                  <c:v>State Government Bond</c:v>
                </c:pt>
                <c:pt idx="8">
                  <c:v>Zero Coupon Bond</c:v>
                </c:pt>
              </c:strCache>
            </c:strRef>
          </c:cat>
          <c:val>
            <c:numRef>
              <c:f>'IDFC BPDF'!$K$9:$K$17</c:f>
              <c:numCache>
                <c:formatCode>0.00%</c:formatCode>
                <c:ptCount val="9"/>
                <c:pt idx="0">
                  <c:v>2.8643999999999999E-2</c:v>
                </c:pt>
                <c:pt idx="1">
                  <c:v>2.2508E-2</c:v>
                </c:pt>
                <c:pt idx="2">
                  <c:v>5.1109000000000002E-2</c:v>
                </c:pt>
                <c:pt idx="3">
                  <c:v>0.78794699999999995</c:v>
                </c:pt>
                <c:pt idx="4">
                  <c:v>5.3340000000000002E-3</c:v>
                </c:pt>
                <c:pt idx="5">
                  <c:v>1.6440000000000001E-3</c:v>
                </c:pt>
                <c:pt idx="6">
                  <c:v>9.2059000000000002E-2</c:v>
                </c:pt>
                <c:pt idx="7">
                  <c:v>1.0593E-2</c:v>
                </c:pt>
                <c:pt idx="8">
                  <c:v>1.6200000000000001E-4</c:v>
                </c:pt>
              </c:numCache>
            </c:numRef>
          </c:val>
          <c:extLst>
            <c:ext xmlns:c16="http://schemas.microsoft.com/office/drawing/2014/chart" uri="{C3380CC4-5D6E-409C-BE32-E72D297353CC}">
              <c16:uniqueId val="{0000000C-B685-4752-93F0-18E845E9483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526690721475664"/>
                  <c:y val="-2.876106194690265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6FE-49C1-92C5-D335768BA37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'IDFC-CBF'!$G$8</c:f>
              <c:strCache>
                <c:ptCount val="1"/>
                <c:pt idx="0">
                  <c:v>AAA EQUIVALENT</c:v>
                </c:pt>
              </c:strCache>
            </c:strRef>
          </c:cat>
          <c:val>
            <c:numRef>
              <c:f>'IDFC-CBF'!$H$8</c:f>
              <c:numCache>
                <c:formatCode>0%</c:formatCode>
                <c:ptCount val="1"/>
                <c:pt idx="0">
                  <c:v>1</c:v>
                </c:pt>
              </c:numCache>
            </c:numRef>
          </c:val>
          <c:extLst>
            <c:ext xmlns:c16="http://schemas.microsoft.com/office/drawing/2014/chart" uri="{C3380CC4-5D6E-409C-BE32-E72D297353CC}">
              <c16:uniqueId val="{0000000C-56FE-49C1-92C5-D335768BA37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'IDFC-CBF'!$K$8</c:f>
              <c:strCache>
                <c:ptCount val="1"/>
                <c:pt idx="0">
                  <c:v>Total</c:v>
                </c:pt>
              </c:strCache>
            </c:strRef>
          </c:tx>
          <c:dLbls>
            <c:dLbl>
              <c:idx val="0"/>
              <c:layout>
                <c:manualLayout>
                  <c:x val="0.27090787232966329"/>
                  <c:y val="2.487188553785650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2F2-48AC-AE5F-C9CE3E1A4FC3}"/>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2F2-48AC-AE5F-C9CE3E1A4FC3}"/>
                </c:ext>
              </c:extLst>
            </c:dLbl>
            <c:dLbl>
              <c:idx val="2"/>
              <c:layout>
                <c:manualLayout>
                  <c:x val="-8.14694228531926E-2"/>
                  <c:y val="6.430681925985977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2F2-48AC-AE5F-C9CE3E1A4FC3}"/>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32F2-48AC-AE5F-C9CE3E1A4FC3}"/>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32F2-48AC-AE5F-C9CE3E1A4FC3}"/>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32F2-48AC-AE5F-C9CE3E1A4FC3}"/>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32F2-48AC-AE5F-C9CE3E1A4FC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'IDFC-CBF'!$J$9:$J$15</c:f>
              <c:strCache>
                <c:ptCount val="7"/>
                <c:pt idx="0">
                  <c:v>Net Current Asset</c:v>
                </c:pt>
                <c:pt idx="1">
                  <c:v>TRI Party Repo</c:v>
                </c:pt>
                <c:pt idx="2">
                  <c:v>Corporate Bond</c:v>
                </c:pt>
                <c:pt idx="3">
                  <c:v>Commercial Paper</c:v>
                </c:pt>
                <c:pt idx="4">
                  <c:v>Government Bond</c:v>
                </c:pt>
                <c:pt idx="5">
                  <c:v>State Government Bond</c:v>
                </c:pt>
                <c:pt idx="6">
                  <c:v>Zero Coupon Bond</c:v>
                </c:pt>
              </c:strCache>
            </c:strRef>
          </c:cat>
          <c:val>
            <c:numRef>
              <c:f>'IDFC-CBF'!$K$9:$K$15</c:f>
              <c:numCache>
                <c:formatCode>0.00%</c:formatCode>
                <c:ptCount val="7"/>
                <c:pt idx="0">
                  <c:v>3.0245999999999999E-2</c:v>
                </c:pt>
                <c:pt idx="1">
                  <c:v>9.6959999999999998E-3</c:v>
                </c:pt>
                <c:pt idx="2">
                  <c:v>0.71484800000000004</c:v>
                </c:pt>
                <c:pt idx="3">
                  <c:v>2.4320000000000001E-3</c:v>
                </c:pt>
                <c:pt idx="4">
                  <c:v>0.20511499999999999</c:v>
                </c:pt>
                <c:pt idx="5">
                  <c:v>3.7567000000000003E-2</c:v>
                </c:pt>
                <c:pt idx="6">
                  <c:v>9.6000000000000002E-5</c:v>
                </c:pt>
              </c:numCache>
            </c:numRef>
          </c:val>
          <c:extLst>
            <c:ext xmlns:c16="http://schemas.microsoft.com/office/drawing/2014/chart" uri="{C3380CC4-5D6E-409C-BE32-E72D297353CC}">
              <c16:uniqueId val="{0000000C-32F2-48AC-AE5F-C9CE3E1A4FC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23024456659191692"/>
                  <c:y val="-5.616740088105726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0D4-4112-8CBC-4FFF9BE28056}"/>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0D4-4112-8CBC-4FFF9BE2805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FRF'!$G$8:$G$9</c:f>
              <c:strCache>
                <c:ptCount val="2"/>
                <c:pt idx="0">
                  <c:v>AAA EQUIVALENT</c:v>
                </c:pt>
                <c:pt idx="1">
                  <c:v>AA+</c:v>
                </c:pt>
              </c:strCache>
            </c:strRef>
          </c:cat>
          <c:val>
            <c:numRef>
              <c:f>'IDFC FRF'!$H$8:$H$9</c:f>
              <c:numCache>
                <c:formatCode>0.00%</c:formatCode>
                <c:ptCount val="2"/>
                <c:pt idx="0">
                  <c:v>0.96885100000000002</c:v>
                </c:pt>
                <c:pt idx="1">
                  <c:v>3.1149E-2</c:v>
                </c:pt>
              </c:numCache>
            </c:numRef>
          </c:val>
          <c:extLst>
            <c:ext xmlns:c16="http://schemas.microsoft.com/office/drawing/2014/chart" uri="{C3380CC4-5D6E-409C-BE32-E72D297353CC}">
              <c16:uniqueId val="{0000000C-F0D4-4112-8CBC-4FFF9BE2805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FRF'!$K$8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62D-4220-9AD5-2ECE5DA29A5D}"/>
                </c:ext>
              </c:extLst>
            </c:dLbl>
            <c:dLbl>
              <c:idx val="1"/>
              <c:layout>
                <c:manualLayout>
                  <c:x val="-9.188141766005159E-2"/>
                  <c:y val="-0.1700879936253887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62D-4220-9AD5-2ECE5DA29A5D}"/>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662D-4220-9AD5-2ECE5DA29A5D}"/>
                </c:ext>
              </c:extLst>
            </c:dLbl>
            <c:dLbl>
              <c:idx val="3"/>
              <c:layout>
                <c:manualLayout>
                  <c:x val="-0.14122308587229587"/>
                  <c:y val="0.1637373728719165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662D-4220-9AD5-2ECE5DA29A5D}"/>
                </c:ext>
              </c:extLst>
            </c:dLbl>
            <c:dLbl>
              <c:idx val="4"/>
              <c:layout>
                <c:manualLayout>
                  <c:x val="0"/>
                  <c:y val="0.3051406441441827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662D-4220-9AD5-2ECE5DA29A5D}"/>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662D-4220-9AD5-2ECE5DA29A5D}"/>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662D-4220-9AD5-2ECE5DA29A5D}"/>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662D-4220-9AD5-2ECE5DA29A5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FRF'!$J$9:$J$16</c:f>
              <c:strCache>
                <c:ptCount val="7"/>
                <c:pt idx="0">
                  <c:v>Net Current Asset</c:v>
                </c:pt>
                <c:pt idx="1">
                  <c:v>TRI Party Repo</c:v>
                </c:pt>
                <c:pt idx="2">
                  <c:v>Certificate of Deposit</c:v>
                </c:pt>
                <c:pt idx="3">
                  <c:v>Corporate Bond</c:v>
                </c:pt>
                <c:pt idx="4">
                  <c:v>Commercial Paper</c:v>
                </c:pt>
                <c:pt idx="5">
                  <c:v>Floating Rate Note</c:v>
                </c:pt>
                <c:pt idx="6">
                  <c:v>Government Bond</c:v>
                </c:pt>
              </c:strCache>
            </c:strRef>
          </c:cat>
          <c:val>
            <c:numRef>
              <c:f>'IDFC FRF'!$K$9:$K$16</c:f>
              <c:numCache>
                <c:formatCode>0.00%</c:formatCode>
                <c:ptCount val="8"/>
                <c:pt idx="0">
                  <c:v>1.2898E-2</c:v>
                </c:pt>
                <c:pt idx="1">
                  <c:v>0.32366400000000001</c:v>
                </c:pt>
                <c:pt idx="2">
                  <c:v>1.3070999999999999E-2</c:v>
                </c:pt>
                <c:pt idx="3">
                  <c:v>0.30821599999999999</c:v>
                </c:pt>
                <c:pt idx="4">
                  <c:v>0.13126299999999999</c:v>
                </c:pt>
                <c:pt idx="5">
                  <c:v>7.4984999999999996E-2</c:v>
                </c:pt>
                <c:pt idx="6">
                  <c:v>0.13580800000000001</c:v>
                </c:pt>
              </c:numCache>
            </c:numRef>
          </c:val>
          <c:extLst>
            <c:ext xmlns:c16="http://schemas.microsoft.com/office/drawing/2014/chart" uri="{C3380CC4-5D6E-409C-BE32-E72D297353CC}">
              <c16:uniqueId val="{0000000C-662D-4220-9AD5-2ECE5DA29A5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1.5902055337301251E-2"/>
                  <c:y val="0.1510894711169953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F86-4B3D-A819-6CEC13D12A56}"/>
                </c:ext>
              </c:extLst>
            </c:dLbl>
            <c:dLbl>
              <c:idx val="1"/>
              <c:layout>
                <c:manualLayout>
                  <c:x val="-1.1974911059029827E-2"/>
                  <c:y val="-7.796495017768796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0F86-4B3D-A819-6CEC13D12A56}"/>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0F86-4B3D-A819-6CEC13D12A56}"/>
                </c:ext>
              </c:extLst>
            </c:dLbl>
            <c:dLbl>
              <c:idx val="3"/>
              <c:layout>
                <c:manualLayout>
                  <c:x val="6.7299650980458273E-2"/>
                  <c:y val="-5.411678628666991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0F86-4B3D-A819-6CEC13D12A5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CRF'!$G$8:$G$11</c:f>
              <c:strCache>
                <c:ptCount val="4"/>
                <c:pt idx="0">
                  <c:v>AAA EQUIVALENT</c:v>
                </c:pt>
                <c:pt idx="1">
                  <c:v>AA+</c:v>
                </c:pt>
                <c:pt idx="2">
                  <c:v>AA</c:v>
                </c:pt>
                <c:pt idx="3">
                  <c:v>AA-</c:v>
                </c:pt>
              </c:strCache>
            </c:strRef>
          </c:cat>
          <c:val>
            <c:numRef>
              <c:f>'IDFC CRF'!$H$8:$H$11</c:f>
              <c:numCache>
                <c:formatCode>0.00%</c:formatCode>
                <c:ptCount val="4"/>
                <c:pt idx="0">
                  <c:v>0.68237399999999993</c:v>
                </c:pt>
                <c:pt idx="1">
                  <c:v>0.182417</c:v>
                </c:pt>
                <c:pt idx="2">
                  <c:v>0.10575999999999999</c:v>
                </c:pt>
                <c:pt idx="3">
                  <c:v>2.9448999999999999E-2</c:v>
                </c:pt>
              </c:numCache>
            </c:numRef>
          </c:val>
          <c:extLst>
            <c:ext xmlns:c16="http://schemas.microsoft.com/office/drawing/2014/chart" uri="{C3380CC4-5D6E-409C-BE32-E72D297353CC}">
              <c16:uniqueId val="{0000000C-0F86-4B3D-A819-6CEC13D12A5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CRF'!$K$8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4A9-4CF4-AC33-648791B4A6C1}"/>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4A9-4CF4-AC33-648791B4A6C1}"/>
                </c:ext>
              </c:extLst>
            </c:dLbl>
            <c:dLbl>
              <c:idx val="2"/>
              <c:layout>
                <c:manualLayout>
                  <c:x val="-0.14207590753511271"/>
                  <c:y val="-2.805010424025224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4A9-4CF4-AC33-648791B4A6C1}"/>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E4A9-4CF4-AC33-648791B4A6C1}"/>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E4A9-4CF4-AC33-648791B4A6C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CRF'!$J$9:$J$13</c:f>
              <c:strCache>
                <c:ptCount val="5"/>
                <c:pt idx="0">
                  <c:v>Net Current Asset</c:v>
                </c:pt>
                <c:pt idx="1">
                  <c:v>TRI Party Repo</c:v>
                </c:pt>
                <c:pt idx="2">
                  <c:v>Corporate Bond</c:v>
                </c:pt>
                <c:pt idx="3">
                  <c:v>Government Bond</c:v>
                </c:pt>
                <c:pt idx="4">
                  <c:v>PTC</c:v>
                </c:pt>
              </c:strCache>
            </c:strRef>
          </c:cat>
          <c:val>
            <c:numRef>
              <c:f>'IDFC CRF'!$K$9:$K$13</c:f>
              <c:numCache>
                <c:formatCode>0.00%</c:formatCode>
                <c:ptCount val="5"/>
                <c:pt idx="0">
                  <c:v>2.0976999999999999E-2</c:v>
                </c:pt>
                <c:pt idx="1">
                  <c:v>0.27046500000000001</c:v>
                </c:pt>
                <c:pt idx="2">
                  <c:v>0.50844100000000003</c:v>
                </c:pt>
                <c:pt idx="3">
                  <c:v>0.131684</c:v>
                </c:pt>
                <c:pt idx="4">
                  <c:v>6.8432999999999994E-2</c:v>
                </c:pt>
              </c:numCache>
            </c:numRef>
          </c:val>
          <c:extLst>
            <c:ext xmlns:c16="http://schemas.microsoft.com/office/drawing/2014/chart" uri="{C3380CC4-5D6E-409C-BE32-E72D297353CC}">
              <c16:uniqueId val="{0000000C-E4A9-4CF4-AC33-648791B4A6C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3511018563793"/>
                  <c:y val="-4.057017543859649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1BD-4FD7-BEE7-19BA6DF21A1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GSF-IP'!$G$8</c:f>
              <c:strCache>
                <c:ptCount val="1"/>
                <c:pt idx="0">
                  <c:v>AAA EQUIVALENT</c:v>
                </c:pt>
              </c:strCache>
            </c:strRef>
          </c:cat>
          <c:val>
            <c:numRef>
              <c:f>'IDFC GSF-IP'!$H$8</c:f>
              <c:numCache>
                <c:formatCode>0%</c:formatCode>
                <c:ptCount val="1"/>
                <c:pt idx="0">
                  <c:v>1</c:v>
                </c:pt>
              </c:numCache>
            </c:numRef>
          </c:val>
          <c:extLst>
            <c:ext xmlns:c16="http://schemas.microsoft.com/office/drawing/2014/chart" uri="{C3380CC4-5D6E-409C-BE32-E72D297353CC}">
              <c16:uniqueId val="{0000000C-61BD-4FD7-BEE7-19BA6DF21A1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GSF-IP'!$K$8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C98-4A78-9748-4429E9E7B917}"/>
                </c:ext>
              </c:extLst>
            </c:dLbl>
            <c:dLbl>
              <c:idx val="1"/>
              <c:layout>
                <c:manualLayout>
                  <c:x val="0.15313358849415765"/>
                  <c:y val="1.507751531058615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C98-4A78-9748-4429E9E7B917}"/>
                </c:ext>
              </c:extLst>
            </c:dLbl>
            <c:dLbl>
              <c:idx val="2"/>
              <c:layout>
                <c:manualLayout>
                  <c:x val="0.46713053668077359"/>
                  <c:y val="-8.041294838145231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C98-4A78-9748-4429E9E7B91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GSF-IP'!$J$9:$J$11</c:f>
              <c:strCache>
                <c:ptCount val="3"/>
                <c:pt idx="0">
                  <c:v>Net Current Asset</c:v>
                </c:pt>
                <c:pt idx="1">
                  <c:v>TRI Party Repo</c:v>
                </c:pt>
                <c:pt idx="2">
                  <c:v>Government Bond</c:v>
                </c:pt>
              </c:strCache>
            </c:strRef>
          </c:cat>
          <c:val>
            <c:numRef>
              <c:f>'IDFC GSF-IP'!$K$9:$K$11</c:f>
              <c:numCache>
                <c:formatCode>0.00%</c:formatCode>
                <c:ptCount val="3"/>
                <c:pt idx="0">
                  <c:v>1.0725E-2</c:v>
                </c:pt>
                <c:pt idx="1">
                  <c:v>8.5999999999999998E-4</c:v>
                </c:pt>
                <c:pt idx="2">
                  <c:v>0.98841500000000004</c:v>
                </c:pt>
              </c:numCache>
            </c:numRef>
          </c:val>
          <c:extLst>
            <c:ext xmlns:c16="http://schemas.microsoft.com/office/drawing/2014/chart" uri="{C3380CC4-5D6E-409C-BE32-E72D297353CC}">
              <c16:uniqueId val="{0000000C-FC98-4A78-9748-4429E9E7B91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421765667942472"/>
                  <c:y val="-3.179824561403508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25A-43C9-8751-3549098A781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 - CMP'!$G$8</c:f>
              <c:strCache>
                <c:ptCount val="1"/>
                <c:pt idx="0">
                  <c:v>AAA EQUIVALENT</c:v>
                </c:pt>
              </c:strCache>
            </c:strRef>
          </c:cat>
          <c:val>
            <c:numRef>
              <c:f>'IDFC GSF - CMP'!$H$8</c:f>
              <c:numCache>
                <c:formatCode>0%</c:formatCode>
                <c:ptCount val="1"/>
                <c:pt idx="0">
                  <c:v>1</c:v>
                </c:pt>
              </c:numCache>
            </c:numRef>
          </c:val>
          <c:extLst>
            <c:ext xmlns:c16="http://schemas.microsoft.com/office/drawing/2014/chart" uri="{C3380CC4-5D6E-409C-BE32-E72D297353CC}">
              <c16:uniqueId val="{0000000C-B25A-43C9-8751-3549098A781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GSF - CMP'!$K$8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B07-4618-94AF-04C1F907E41C}"/>
                </c:ext>
              </c:extLst>
            </c:dLbl>
            <c:dLbl>
              <c:idx val="1"/>
              <c:layout>
                <c:manualLayout>
                  <c:x val="0.11535820870356944"/>
                  <c:y val="-9.482764654418197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B07-4618-94AF-04C1F907E41C}"/>
                </c:ext>
              </c:extLst>
            </c:dLbl>
            <c:dLbl>
              <c:idx val="2"/>
              <c:layout>
                <c:manualLayout>
                  <c:x val="-0.24967247803874623"/>
                  <c:y val="-3.693018372703411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B07-4618-94AF-04C1F907E41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 - CMP'!$J$9:$J$11</c:f>
              <c:strCache>
                <c:ptCount val="3"/>
                <c:pt idx="0">
                  <c:v>Net Current Asset</c:v>
                </c:pt>
                <c:pt idx="1">
                  <c:v>TRI Party Repo</c:v>
                </c:pt>
                <c:pt idx="2">
                  <c:v>Government Bond</c:v>
                </c:pt>
              </c:strCache>
            </c:strRef>
          </c:cat>
          <c:val>
            <c:numRef>
              <c:f>'IDFC GSF - CMP'!$K$9:$K$11</c:f>
              <c:numCache>
                <c:formatCode>0.00%</c:formatCode>
                <c:ptCount val="3"/>
                <c:pt idx="0">
                  <c:v>2.7581000000000001E-2</c:v>
                </c:pt>
                <c:pt idx="1">
                  <c:v>1.4080000000000001E-2</c:v>
                </c:pt>
                <c:pt idx="2">
                  <c:v>0.95833900000000005</c:v>
                </c:pt>
              </c:numCache>
            </c:numRef>
          </c:val>
          <c:extLst>
            <c:ext xmlns:c16="http://schemas.microsoft.com/office/drawing/2014/chart" uri="{C3380CC4-5D6E-409C-BE32-E72D297353CC}">
              <c16:uniqueId val="{0000000C-EB07-4618-94AF-04C1F907E41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244035475222972"/>
                  <c:y val="-2.30263157894736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5025156384359876"/>
                      <c:h val="0.16447368421052633"/>
                    </c:manualLayout>
                  </c15:layout>
                </c:ext>
                <c:ext xmlns:c16="http://schemas.microsoft.com/office/drawing/2014/chart" uri="{C3380CC4-5D6E-409C-BE32-E72D297353CC}">
                  <c16:uniqueId val="{00000000-1D52-4952-B1B4-4E4D2DED6AA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GIF 2027'!$G$8</c:f>
              <c:strCache>
                <c:ptCount val="1"/>
                <c:pt idx="0">
                  <c:v>AAA EQUIVALENT</c:v>
                </c:pt>
              </c:strCache>
            </c:strRef>
          </c:cat>
          <c:val>
            <c:numRef>
              <c:f>'IDFC GIF 2027'!$H$8</c:f>
              <c:numCache>
                <c:formatCode>0%</c:formatCode>
                <c:ptCount val="1"/>
                <c:pt idx="0">
                  <c:v>1</c:v>
                </c:pt>
              </c:numCache>
            </c:numRef>
          </c:val>
          <c:extLst>
            <c:ext xmlns:c16="http://schemas.microsoft.com/office/drawing/2014/chart" uri="{C3380CC4-5D6E-409C-BE32-E72D297353CC}">
              <c16:uniqueId val="{00000001-1D52-4952-B1B4-4E4D2DED6AA8}"/>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GIF 2027'!$K$8</c:f>
              <c:strCache>
                <c:ptCount val="1"/>
                <c:pt idx="0">
                  <c:v>Total</c:v>
                </c:pt>
              </c:strCache>
            </c:strRef>
          </c:tx>
          <c:dLbls>
            <c:dLbl>
              <c:idx val="0"/>
              <c:layout>
                <c:manualLayout>
                  <c:x val="0.19627830514761671"/>
                  <c:y val="2.8552930883639547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B13A-4821-8A3D-734A22FB3DAD}"/>
                </c:ext>
              </c:extLst>
            </c:dLbl>
            <c:dLbl>
              <c:idx val="1"/>
              <c:layout>
                <c:manualLayout>
                  <c:x val="0.22885354667925609"/>
                  <c:y val="-1.248573928258967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1-B13A-4821-8A3D-734A22FB3DAD}"/>
                </c:ext>
              </c:extLst>
            </c:dLbl>
            <c:dLbl>
              <c:idx val="2"/>
              <c:layout>
                <c:manualLayout>
                  <c:x val="-9.2138629887538126E-2"/>
                  <c:y val="1.7299912510936134E-2"/>
                </c:manualLayout>
              </c:layout>
              <c:spPr>
                <a:noFill/>
                <a:ln>
                  <a:noFill/>
                </a:ln>
                <a:effectLst/>
              </c:spPr>
              <c:txPr>
                <a:bodyPr wrap="square" lIns="38100" tIns="19050" rIns="38100" bIns="19050" anchor="ctr">
                  <a:no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2055674518201285"/>
                      <c:h val="0.15777777777777777"/>
                    </c:manualLayout>
                  </c15:layout>
                </c:ext>
                <c:ext xmlns:c16="http://schemas.microsoft.com/office/drawing/2014/chart" uri="{C3380CC4-5D6E-409C-BE32-E72D297353CC}">
                  <c16:uniqueId val="{00000002-B13A-4821-8A3D-734A22FB3DA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GIF 2027'!$J$9:$J$12</c:f>
              <c:strCache>
                <c:ptCount val="4"/>
                <c:pt idx="0">
                  <c:v>TRI Party Repo</c:v>
                </c:pt>
                <c:pt idx="1">
                  <c:v>Government Bond</c:v>
                </c:pt>
                <c:pt idx="2">
                  <c:v>Net Current Asset</c:v>
                </c:pt>
                <c:pt idx="3">
                  <c:v>Treasury Bill</c:v>
                </c:pt>
              </c:strCache>
            </c:strRef>
          </c:cat>
          <c:val>
            <c:numRef>
              <c:f>'IDFC GIF 2027'!$K$9:$K$12</c:f>
              <c:numCache>
                <c:formatCode>0.00%</c:formatCode>
                <c:ptCount val="4"/>
                <c:pt idx="0">
                  <c:v>1.3840999999999999E-2</c:v>
                </c:pt>
                <c:pt idx="1">
                  <c:v>0.96439399999999997</c:v>
                </c:pt>
                <c:pt idx="2">
                  <c:v>9.5230000000000002E-3</c:v>
                </c:pt>
                <c:pt idx="3">
                  <c:v>1.2241999999999999E-2</c:v>
                </c:pt>
              </c:numCache>
            </c:numRef>
          </c:val>
          <c:extLst>
            <c:ext xmlns:c16="http://schemas.microsoft.com/office/drawing/2014/chart" uri="{C3380CC4-5D6E-409C-BE32-E72D297353CC}">
              <c16:uniqueId val="{00000003-B13A-4821-8A3D-734A22FB3DAD}"/>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815778381021415"/>
                  <c:y val="-1.42543859649122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459689085973461"/>
                      <c:h val="0.16447368421052633"/>
                    </c:manualLayout>
                  </c15:layout>
                </c:ext>
                <c:ext xmlns:c16="http://schemas.microsoft.com/office/drawing/2014/chart" uri="{C3380CC4-5D6E-409C-BE32-E72D297353CC}">
                  <c16:uniqueId val="{00000000-5F50-4153-A50A-7F58708AF3C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GIF 2028'!$G$8</c:f>
              <c:strCache>
                <c:ptCount val="1"/>
                <c:pt idx="0">
                  <c:v>AAA EQUIVALENT</c:v>
                </c:pt>
              </c:strCache>
            </c:strRef>
          </c:cat>
          <c:val>
            <c:numRef>
              <c:f>'IDFC GIF 2028'!$H$8</c:f>
              <c:numCache>
                <c:formatCode>0%</c:formatCode>
                <c:ptCount val="1"/>
                <c:pt idx="0">
                  <c:v>1</c:v>
                </c:pt>
              </c:numCache>
            </c:numRef>
          </c:val>
          <c:extLst>
            <c:ext xmlns:c16="http://schemas.microsoft.com/office/drawing/2014/chart" uri="{C3380CC4-5D6E-409C-BE32-E72D297353CC}">
              <c16:uniqueId val="{00000001-5F50-4153-A50A-7F58708AF3C9}"/>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GIF 2028'!$K$8</c:f>
              <c:strCache>
                <c:ptCount val="1"/>
                <c:pt idx="0">
                  <c:v>Total</c:v>
                </c:pt>
              </c:strCache>
            </c:strRef>
          </c:tx>
          <c:dLbls>
            <c:dLbl>
              <c:idx val="0"/>
              <c:layout>
                <c:manualLayout>
                  <c:x val="0.11276644354145239"/>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60EA-45F5-8A15-2B624AAA753E}"/>
                </c:ext>
              </c:extLst>
            </c:dLbl>
            <c:dLbl>
              <c:idx val="1"/>
              <c:layout>
                <c:manualLayout>
                  <c:x val="0.22885354667925609"/>
                  <c:y val="-1.248573928258967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1-60EA-45F5-8A15-2B624AAA753E}"/>
                </c:ext>
              </c:extLst>
            </c:dLbl>
            <c:dLbl>
              <c:idx val="2"/>
              <c:layout>
                <c:manualLayout>
                  <c:x val="-0.15959045001601782"/>
                  <c:y val="1.744181977252843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18361884368308351"/>
                      <c:h val="0.11666666666666667"/>
                    </c:manualLayout>
                  </c15:layout>
                </c:ext>
                <c:ext xmlns:c16="http://schemas.microsoft.com/office/drawing/2014/chart" uri="{C3380CC4-5D6E-409C-BE32-E72D297353CC}">
                  <c16:uniqueId val="{00000002-60EA-45F5-8A15-2B624AAA753E}"/>
                </c:ext>
              </c:extLst>
            </c:dLbl>
            <c:dLbl>
              <c:idx val="3"/>
              <c:layout>
                <c:manualLayout>
                  <c:x val="6.3056281508708623E-2"/>
                  <c:y val="-4.4011198600174981E-2"/>
                </c:manualLayout>
              </c:layou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4-60EA-45F5-8A15-2B624AAA753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GIF 2028'!$J$9:$J$12</c:f>
              <c:strCache>
                <c:ptCount val="4"/>
                <c:pt idx="0">
                  <c:v>TRI Party Repo</c:v>
                </c:pt>
                <c:pt idx="1">
                  <c:v>Government Bond</c:v>
                </c:pt>
                <c:pt idx="2">
                  <c:v>Net Current Asset</c:v>
                </c:pt>
                <c:pt idx="3">
                  <c:v>Treasury Bill</c:v>
                </c:pt>
              </c:strCache>
            </c:strRef>
          </c:cat>
          <c:val>
            <c:numRef>
              <c:f>'IDFC GIF 2028'!$K$9:$K$12</c:f>
              <c:numCache>
                <c:formatCode>0.00%</c:formatCode>
                <c:ptCount val="4"/>
                <c:pt idx="0">
                  <c:v>2.1122999999999999E-2</c:v>
                </c:pt>
                <c:pt idx="1">
                  <c:v>0.94384599999999996</c:v>
                </c:pt>
                <c:pt idx="2">
                  <c:v>2.2516000000000001E-2</c:v>
                </c:pt>
                <c:pt idx="3">
                  <c:v>1.2515E-2</c:v>
                </c:pt>
              </c:numCache>
            </c:numRef>
          </c:val>
          <c:extLst>
            <c:ext xmlns:c16="http://schemas.microsoft.com/office/drawing/2014/chart" uri="{C3380CC4-5D6E-409C-BE32-E72D297353CC}">
              <c16:uniqueId val="{00000003-60EA-45F5-8A15-2B624AAA753E}"/>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136969094066665"/>
                  <c:y val="-4.495614035087719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561-4262-B564-1029E11C3BD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ASBF'!$G$8</c:f>
              <c:strCache>
                <c:ptCount val="1"/>
                <c:pt idx="0">
                  <c:v>AAA EQUIVALENT</c:v>
                </c:pt>
              </c:strCache>
            </c:strRef>
          </c:cat>
          <c:val>
            <c:numRef>
              <c:f>'IDFC ASBF'!$H$8</c:f>
              <c:numCache>
                <c:formatCode>0%</c:formatCode>
                <c:ptCount val="1"/>
                <c:pt idx="0">
                  <c:v>1</c:v>
                </c:pt>
              </c:numCache>
            </c:numRef>
          </c:val>
          <c:extLst>
            <c:ext xmlns:c16="http://schemas.microsoft.com/office/drawing/2014/chart" uri="{C3380CC4-5D6E-409C-BE32-E72D297353CC}">
              <c16:uniqueId val="{0000000C-A561-4262-B564-1029E11C3BD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ASBF'!$K$8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661-4586-9200-EC1B83E45AA1}"/>
                </c:ext>
              </c:extLst>
            </c:dLbl>
            <c:dLbl>
              <c:idx val="1"/>
              <c:layout>
                <c:manualLayout>
                  <c:x val="0.16139186295503213"/>
                  <c:y val="2.8552930883639547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5661-4586-9200-EC1B83E45AA1}"/>
                </c:ext>
              </c:extLst>
            </c:dLbl>
            <c:dLbl>
              <c:idx val="2"/>
              <c:layout>
                <c:manualLayout>
                  <c:x val="-0.33009602252609216"/>
                  <c:y val="-5.693018372703412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5661-4586-9200-EC1B83E45AA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ASBF'!$J$9:$J$11</c:f>
              <c:strCache>
                <c:ptCount val="3"/>
                <c:pt idx="0">
                  <c:v>Net Current Asset</c:v>
                </c:pt>
                <c:pt idx="1">
                  <c:v>TRI Party Repo</c:v>
                </c:pt>
                <c:pt idx="2">
                  <c:v>Mutual Fund Units</c:v>
                </c:pt>
              </c:strCache>
            </c:strRef>
          </c:cat>
          <c:val>
            <c:numRef>
              <c:f>'IDFC ASBF'!$K$9:$K$11</c:f>
              <c:numCache>
                <c:formatCode>0.00%</c:formatCode>
                <c:ptCount val="3"/>
                <c:pt idx="0">
                  <c:v>-2.3530000000000001E-3</c:v>
                </c:pt>
                <c:pt idx="1">
                  <c:v>1.2763999999999999E-2</c:v>
                </c:pt>
                <c:pt idx="2">
                  <c:v>0.98958900000000005</c:v>
                </c:pt>
              </c:numCache>
            </c:numRef>
          </c:val>
          <c:extLst>
            <c:ext xmlns:c16="http://schemas.microsoft.com/office/drawing/2014/chart" uri="{C3380CC4-5D6E-409C-BE32-E72D297353CC}">
              <c16:uniqueId val="{0000000C-5661-4586-9200-EC1B83E45AA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drawing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DBE0EC25-4384-48B1-85ED-B3F0D325E6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88C85399-A1B4-448C-AACD-2A38510293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5144100C-ACB5-4880-9B05-076A83C45F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04AB5139-9859-4CBA-84EA-7569733CD9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596900</xdr:colOff>
      <xdr:row>7</xdr:row>
      <xdr:rowOff>76200</xdr:rowOff>
    </xdr:from>
    <xdr:to>
      <xdr:col>13</xdr:col>
      <xdr:colOff>533400</xdr:colOff>
      <xdr:row>22</xdr:row>
      <xdr:rowOff>76200</xdr:rowOff>
    </xdr:to>
    <xdr:graphicFrame macro="">
      <xdr:nvGraphicFramePr>
        <xdr:cNvPr id="2" name="Chart 1">
          <a:extLst>
            <a:ext uri="{FF2B5EF4-FFF2-40B4-BE49-F238E27FC236}">
              <a16:creationId xmlns:a16="http://schemas.microsoft.com/office/drawing/2014/main" id="{9252F7EF-E13C-4C60-8529-10B8C262F6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19050</xdr:rowOff>
    </xdr:to>
    <xdr:graphicFrame macro="">
      <xdr:nvGraphicFramePr>
        <xdr:cNvPr id="3" name="Chart 2">
          <a:extLst>
            <a:ext uri="{FF2B5EF4-FFF2-40B4-BE49-F238E27FC236}">
              <a16:creationId xmlns:a16="http://schemas.microsoft.com/office/drawing/2014/main" id="{4B80AE67-80B5-4891-811B-BD9C380241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19585C47-8ACC-40D8-90D6-B5A6C8E5BC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57150</xdr:rowOff>
    </xdr:to>
    <xdr:graphicFrame macro="">
      <xdr:nvGraphicFramePr>
        <xdr:cNvPr id="3" name="Chart 2">
          <a:extLst>
            <a:ext uri="{FF2B5EF4-FFF2-40B4-BE49-F238E27FC236}">
              <a16:creationId xmlns:a16="http://schemas.microsoft.com/office/drawing/2014/main" id="{067517AF-1534-4771-BB4F-0CECA8C291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B4736484-B727-41DE-B138-E10936D6E7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57150</xdr:rowOff>
    </xdr:to>
    <xdr:graphicFrame macro="">
      <xdr:nvGraphicFramePr>
        <xdr:cNvPr id="3" name="Chart 2">
          <a:extLst>
            <a:ext uri="{FF2B5EF4-FFF2-40B4-BE49-F238E27FC236}">
              <a16:creationId xmlns:a16="http://schemas.microsoft.com/office/drawing/2014/main" id="{BF544352-43D2-47D8-9A22-6FA6970C1B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B8FB8DD9-60B5-45E3-BFBC-5EE6D96881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2D93F30D-99E0-45B5-9485-A2C884359F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11E04CD9-7D27-4037-A2E9-C83817A9C2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37B68DEF-354F-402B-9DB3-2A9CDB8C9D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B5FEE148-A252-4358-9FDB-CD8AF3ED9D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57151</xdr:rowOff>
    </xdr:to>
    <xdr:graphicFrame macro="">
      <xdr:nvGraphicFramePr>
        <xdr:cNvPr id="3" name="Chart 2">
          <a:extLst>
            <a:ext uri="{FF2B5EF4-FFF2-40B4-BE49-F238E27FC236}">
              <a16:creationId xmlns:a16="http://schemas.microsoft.com/office/drawing/2014/main" id="{509AE05D-A2FB-452E-A452-A6C31E0330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E222A36F-57A4-45E0-BDD9-EEEB466D21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E5744040-1AA2-4175-8227-8FE911E6E8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AF00DA2C-0F78-427A-870F-F2D76758D7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EBE79DB3-38B2-4DC5-B68D-D3CA241B09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014A06B-DD7B-4F8F-94B4-C5BA1A4ADC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C7F5E23B-FC1B-4A18-8A78-0943A3D72A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0</xdr:colOff>
      <xdr:row>7</xdr:row>
      <xdr:rowOff>88900</xdr:rowOff>
    </xdr:from>
    <xdr:to>
      <xdr:col>13</xdr:col>
      <xdr:colOff>546100</xdr:colOff>
      <xdr:row>22</xdr:row>
      <xdr:rowOff>88900</xdr:rowOff>
    </xdr:to>
    <xdr:graphicFrame macro="">
      <xdr:nvGraphicFramePr>
        <xdr:cNvPr id="2" name="Chart 1">
          <a:extLst>
            <a:ext uri="{FF2B5EF4-FFF2-40B4-BE49-F238E27FC236}">
              <a16:creationId xmlns:a16="http://schemas.microsoft.com/office/drawing/2014/main" id="{4BDBD413-F643-4B37-A031-ABCDBAEA6E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543C6A10-065A-4ECB-B7DC-DEE5EE4047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12700</xdr:colOff>
      <xdr:row>7</xdr:row>
      <xdr:rowOff>50801</xdr:rowOff>
    </xdr:from>
    <xdr:to>
      <xdr:col>13</xdr:col>
      <xdr:colOff>558800</xdr:colOff>
      <xdr:row>22</xdr:row>
      <xdr:rowOff>50801</xdr:rowOff>
    </xdr:to>
    <xdr:graphicFrame macro="">
      <xdr:nvGraphicFramePr>
        <xdr:cNvPr id="2" name="Chart 1">
          <a:extLst>
            <a:ext uri="{FF2B5EF4-FFF2-40B4-BE49-F238E27FC236}">
              <a16:creationId xmlns:a16="http://schemas.microsoft.com/office/drawing/2014/main" id="{8F0C722E-C37C-4D35-AE22-F33845945F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57150</xdr:rowOff>
    </xdr:to>
    <xdr:graphicFrame macro="">
      <xdr:nvGraphicFramePr>
        <xdr:cNvPr id="3" name="Chart 2">
          <a:extLst>
            <a:ext uri="{FF2B5EF4-FFF2-40B4-BE49-F238E27FC236}">
              <a16:creationId xmlns:a16="http://schemas.microsoft.com/office/drawing/2014/main" id="{354F6744-A01D-4077-8D03-7DDEE39A2F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6DC401C4-6CA1-4058-8F05-F8173E96A3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6A549B70-800F-454A-AE75-B6397E518D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514FFD97-CF38-4134-841E-D8DD578A70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48397BA1-5511-4D01-A855-8753AED100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5</xdr:col>
      <xdr:colOff>558800</xdr:colOff>
      <xdr:row>7</xdr:row>
      <xdr:rowOff>50801</xdr:rowOff>
    </xdr:from>
    <xdr:to>
      <xdr:col>13</xdr:col>
      <xdr:colOff>495300</xdr:colOff>
      <xdr:row>22</xdr:row>
      <xdr:rowOff>50801</xdr:rowOff>
    </xdr:to>
    <xdr:graphicFrame macro="">
      <xdr:nvGraphicFramePr>
        <xdr:cNvPr id="2" name="Chart 1">
          <a:extLst>
            <a:ext uri="{FF2B5EF4-FFF2-40B4-BE49-F238E27FC236}">
              <a16:creationId xmlns:a16="http://schemas.microsoft.com/office/drawing/2014/main" id="{AAE01038-8444-458C-9A1C-4B6B428A4B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1EFD1EBC-A475-4B94-B7DB-DB8ABA075F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12700</xdr:colOff>
      <xdr:row>6</xdr:row>
      <xdr:rowOff>393701</xdr:rowOff>
    </xdr:from>
    <xdr:to>
      <xdr:col>13</xdr:col>
      <xdr:colOff>558800</xdr:colOff>
      <xdr:row>21</xdr:row>
      <xdr:rowOff>177801</xdr:rowOff>
    </xdr:to>
    <xdr:graphicFrame macro="">
      <xdr:nvGraphicFramePr>
        <xdr:cNvPr id="2" name="Chart 1">
          <a:extLst>
            <a:ext uri="{FF2B5EF4-FFF2-40B4-BE49-F238E27FC236}">
              <a16:creationId xmlns:a16="http://schemas.microsoft.com/office/drawing/2014/main" id="{B942BA5B-79A4-40B0-96CF-AD706EE18F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2E12E6E6-C0FF-4631-B88D-DAE8AF5FBD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727ECD68-D3BF-41AF-9FE0-13CABCFA03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3C9DE051-297F-45F6-A786-39CF710632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2613B-4DA4-426A-81CF-D4CD1707E6EE}">
  <dimension ref="B1:N45"/>
  <sheetViews>
    <sheetView showGridLines="0" tabSelected="1" zoomScale="75" zoomScaleNormal="75" workbookViewId="0"/>
  </sheetViews>
  <sheetFormatPr defaultRowHeight="15" x14ac:dyDescent="0.25"/>
  <cols>
    <col min="1" max="1" width="2.85546875" customWidth="1"/>
    <col min="2" max="2" width="3.85546875" customWidth="1"/>
    <col min="3" max="3" width="56"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71" t="s">
        <v>127</v>
      </c>
      <c r="D3" s="72"/>
      <c r="E3" s="72"/>
      <c r="F3" s="72"/>
      <c r="G3" s="72"/>
      <c r="H3" s="72"/>
      <c r="I3" s="72"/>
      <c r="J3" s="72"/>
      <c r="K3" s="72"/>
      <c r="L3" s="72"/>
      <c r="M3" s="72"/>
      <c r="N3" s="73"/>
    </row>
    <row r="4" spans="2:14" ht="15.75" customHeight="1" x14ac:dyDescent="0.25">
      <c r="B4" s="19"/>
      <c r="C4" s="14"/>
      <c r="D4" s="1"/>
      <c r="E4" s="1"/>
      <c r="F4" s="1"/>
      <c r="G4" s="1"/>
      <c r="H4" s="1"/>
      <c r="I4" s="1"/>
      <c r="J4" s="1"/>
      <c r="K4" s="1"/>
      <c r="L4" s="1"/>
      <c r="M4" s="1"/>
      <c r="N4" s="17"/>
    </row>
    <row r="5" spans="2:14" ht="18" customHeight="1" x14ac:dyDescent="0.25">
      <c r="B5" s="19"/>
      <c r="C5" s="40"/>
      <c r="D5" s="27"/>
      <c r="E5" s="27"/>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74" t="s">
        <v>16</v>
      </c>
      <c r="H7" s="75"/>
      <c r="I7" s="75"/>
      <c r="J7" s="75"/>
      <c r="K7" s="75"/>
      <c r="L7" s="75"/>
      <c r="M7" s="75"/>
      <c r="N7" s="76"/>
    </row>
    <row r="8" spans="2:14" ht="15" customHeight="1" x14ac:dyDescent="0.25">
      <c r="B8" s="19"/>
      <c r="C8" s="5" t="s">
        <v>8</v>
      </c>
      <c r="D8" s="6"/>
      <c r="E8" s="11">
        <v>0.99444600000000005</v>
      </c>
      <c r="F8" s="1"/>
      <c r="G8" s="23" t="s">
        <v>15</v>
      </c>
      <c r="H8" s="24">
        <v>1</v>
      </c>
      <c r="I8" s="1"/>
      <c r="J8" s="23" t="s">
        <v>12</v>
      </c>
      <c r="K8" s="23" t="s">
        <v>3</v>
      </c>
      <c r="L8" s="1"/>
      <c r="M8" s="1"/>
      <c r="N8" s="17"/>
    </row>
    <row r="9" spans="2:14" ht="15.75" customHeight="1" x14ac:dyDescent="0.25">
      <c r="B9" s="19"/>
      <c r="C9" s="7" t="s">
        <v>9</v>
      </c>
      <c r="D9" s="8"/>
      <c r="E9" s="12">
        <v>0.99444600000000005</v>
      </c>
      <c r="F9" s="1"/>
      <c r="G9" s="1"/>
      <c r="H9" s="1"/>
      <c r="I9" s="1"/>
      <c r="J9" s="23" t="s">
        <v>10</v>
      </c>
      <c r="K9" s="25">
        <v>5.5539999999999999E-3</v>
      </c>
      <c r="L9" s="1"/>
      <c r="M9" s="1"/>
      <c r="N9" s="17"/>
    </row>
    <row r="10" spans="2:14" ht="15" customHeight="1" x14ac:dyDescent="0.25">
      <c r="B10" s="19"/>
      <c r="C10" s="5"/>
      <c r="D10" s="6"/>
      <c r="E10" s="11"/>
      <c r="F10" s="1"/>
      <c r="G10" s="1"/>
      <c r="H10" s="1"/>
      <c r="I10" s="1"/>
      <c r="J10" s="23" t="s">
        <v>13</v>
      </c>
      <c r="K10" s="25">
        <v>0.99444600000000005</v>
      </c>
      <c r="L10" s="1"/>
      <c r="M10" s="1"/>
      <c r="N10" s="17"/>
    </row>
    <row r="11" spans="2:14" ht="15.75" customHeight="1" x14ac:dyDescent="0.25">
      <c r="B11" s="19"/>
      <c r="C11" s="7" t="s">
        <v>10</v>
      </c>
      <c r="D11" s="8"/>
      <c r="E11" s="12">
        <v>5.5539999999999999E-3</v>
      </c>
      <c r="F11" s="1"/>
      <c r="G11" s="1"/>
      <c r="H11" s="1"/>
      <c r="I11" s="1"/>
      <c r="J11" s="1"/>
      <c r="K11" s="1"/>
      <c r="L11" s="1"/>
      <c r="M11" s="1"/>
      <c r="N11" s="17"/>
    </row>
    <row r="12" spans="2:14" ht="15" customHeight="1" x14ac:dyDescent="0.25">
      <c r="B12" s="19"/>
      <c r="C12" s="5"/>
      <c r="D12" s="6"/>
      <c r="E12" s="11"/>
      <c r="F12" s="1"/>
      <c r="G12" s="1"/>
      <c r="H12" s="1"/>
      <c r="I12" s="1"/>
      <c r="J12" s="1"/>
      <c r="K12" s="1"/>
      <c r="L12" s="1"/>
      <c r="M12" s="1"/>
      <c r="N12" s="17"/>
    </row>
    <row r="13" spans="2:14" ht="15" customHeight="1" x14ac:dyDescent="0.25">
      <c r="B13" s="19"/>
      <c r="C13" s="9" t="s">
        <v>11</v>
      </c>
      <c r="D13" s="10"/>
      <c r="E13" s="13">
        <v>1</v>
      </c>
      <c r="F13" s="1"/>
      <c r="G13" s="1"/>
      <c r="H13" s="1"/>
      <c r="I13" s="1"/>
      <c r="J13" s="1"/>
      <c r="K13" s="1"/>
      <c r="L13" s="1"/>
      <c r="M13" s="1"/>
      <c r="N13" s="17"/>
    </row>
    <row r="14" spans="2:14" ht="15" customHeight="1" x14ac:dyDescent="0.25">
      <c r="B14" s="19"/>
      <c r="C14" s="1"/>
      <c r="D14" s="1"/>
      <c r="E14" s="1"/>
      <c r="F14" s="1"/>
      <c r="G14" s="1"/>
      <c r="H14" s="1"/>
      <c r="I14" s="1"/>
      <c r="J14" s="1"/>
      <c r="K14" s="1"/>
      <c r="L14" s="1"/>
      <c r="M14" s="1"/>
      <c r="N14" s="17"/>
    </row>
    <row r="15" spans="2:14" ht="15" customHeight="1" x14ac:dyDescent="0.25">
      <c r="B15" s="19"/>
      <c r="C15" s="1"/>
      <c r="D15" s="1"/>
      <c r="E15" s="1"/>
      <c r="F15" s="1"/>
      <c r="G15" s="1"/>
      <c r="H15" s="1"/>
      <c r="I15" s="1"/>
      <c r="J15" s="1"/>
      <c r="K15" s="1"/>
      <c r="L15" s="1"/>
      <c r="M15" s="1"/>
      <c r="N15" s="17"/>
    </row>
    <row r="16" spans="2:14" ht="15" customHeight="1" x14ac:dyDescent="0.25">
      <c r="B16" s="19"/>
      <c r="C16" s="1"/>
      <c r="D16" s="1"/>
      <c r="E16" s="1"/>
      <c r="F16" s="1"/>
      <c r="G16" s="1"/>
      <c r="H16" s="1"/>
      <c r="I16" s="1"/>
      <c r="J16" s="1"/>
      <c r="K16" s="1"/>
      <c r="L16" s="1"/>
      <c r="M16" s="1"/>
      <c r="N16" s="17"/>
    </row>
    <row r="17" spans="2:14" ht="15" customHeight="1" x14ac:dyDescent="0.25">
      <c r="B17" s="19"/>
      <c r="C17" s="1"/>
      <c r="D17" s="1"/>
      <c r="E17" s="1"/>
      <c r="F17" s="1"/>
      <c r="G17" s="1"/>
      <c r="H17" s="1"/>
      <c r="I17" s="1"/>
      <c r="J17" s="1"/>
      <c r="K17" s="1"/>
      <c r="L17" s="1"/>
      <c r="M17" s="1"/>
      <c r="N17" s="17"/>
    </row>
    <row r="18" spans="2:14" ht="15" customHeight="1" x14ac:dyDescent="0.25">
      <c r="B18" s="19"/>
      <c r="C18" s="1"/>
      <c r="D18" s="1"/>
      <c r="E18" s="1"/>
      <c r="F18" s="1"/>
      <c r="G18" s="1"/>
      <c r="H18" s="1"/>
      <c r="I18" s="1"/>
      <c r="J18" s="1"/>
      <c r="K18" s="1"/>
      <c r="L18" s="1"/>
      <c r="M18" s="1"/>
      <c r="N18" s="17"/>
    </row>
    <row r="19" spans="2:14" ht="15" customHeight="1" x14ac:dyDescent="0.25">
      <c r="B19" s="19"/>
      <c r="C19" s="1"/>
      <c r="D19" s="1"/>
      <c r="E19" s="1"/>
      <c r="F19" s="1"/>
      <c r="G19" s="1"/>
      <c r="H19" s="1"/>
      <c r="I19" s="1"/>
      <c r="J19" s="1"/>
      <c r="K19" s="1"/>
      <c r="L19" s="1"/>
      <c r="M19" s="1"/>
      <c r="N19" s="17"/>
    </row>
    <row r="20" spans="2:14" ht="15" customHeight="1" x14ac:dyDescent="0.25">
      <c r="B20" s="19"/>
      <c r="C20" s="1"/>
      <c r="D20" s="1"/>
      <c r="E20" s="1"/>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27"/>
      <c r="H24" s="27"/>
      <c r="I24" s="27"/>
      <c r="J24" s="27"/>
      <c r="K24" s="27"/>
      <c r="L24" s="27"/>
      <c r="M24" s="27"/>
      <c r="N24" s="43"/>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74" t="s">
        <v>17</v>
      </c>
      <c r="H26" s="75"/>
      <c r="I26" s="75"/>
      <c r="J26" s="75"/>
      <c r="K26" s="75"/>
      <c r="L26" s="75"/>
      <c r="M26" s="75"/>
      <c r="N26" s="76"/>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75" thickBot="1" x14ac:dyDescent="0.3">
      <c r="B43" s="20"/>
      <c r="C43" s="21"/>
      <c r="D43" s="21"/>
      <c r="E43" s="21"/>
      <c r="F43" s="21"/>
      <c r="G43" s="21"/>
      <c r="H43" s="21"/>
      <c r="I43" s="21"/>
      <c r="J43" s="21"/>
      <c r="K43" s="21"/>
      <c r="L43" s="21"/>
      <c r="M43" s="21"/>
      <c r="N43" s="22"/>
    </row>
    <row r="44" spans="2:14" ht="15.75" thickBot="1" x14ac:dyDescent="0.3"/>
    <row r="45" spans="2:14" ht="114" customHeight="1" thickBot="1" x14ac:dyDescent="0.3">
      <c r="B45" s="68" t="s">
        <v>129</v>
      </c>
      <c r="C45" s="69"/>
      <c r="D45" s="69"/>
      <c r="E45" s="69"/>
      <c r="F45" s="69"/>
      <c r="G45" s="69"/>
      <c r="H45" s="69"/>
      <c r="I45" s="69"/>
      <c r="J45" s="69"/>
      <c r="K45" s="69"/>
      <c r="L45" s="69"/>
      <c r="M45" s="69"/>
      <c r="N45" s="70"/>
    </row>
  </sheetData>
  <mergeCells count="4">
    <mergeCell ref="B45:N45"/>
    <mergeCell ref="C3:N3"/>
    <mergeCell ref="G7:N7"/>
    <mergeCell ref="G26:N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DD9A8-982F-49D7-B97F-E70CC5A42C21}">
  <dimension ref="B1:N52"/>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71" t="s">
        <v>79</v>
      </c>
      <c r="D3" s="72"/>
      <c r="E3" s="72"/>
      <c r="F3" s="72"/>
      <c r="G3" s="72"/>
      <c r="H3" s="72"/>
      <c r="I3" s="72"/>
      <c r="J3" s="72"/>
      <c r="K3" s="72"/>
      <c r="L3" s="72"/>
      <c r="M3" s="72"/>
      <c r="N3" s="73"/>
    </row>
    <row r="4" spans="2:14" ht="15.75" customHeight="1" x14ac:dyDescent="0.25">
      <c r="B4" s="19"/>
      <c r="C4" s="14"/>
      <c r="D4" s="1"/>
      <c r="E4" s="1"/>
      <c r="F4" s="1"/>
      <c r="G4" s="1"/>
      <c r="H4" s="1"/>
      <c r="I4" s="1"/>
      <c r="J4" s="1"/>
      <c r="K4" s="1"/>
      <c r="L4" s="1"/>
      <c r="M4" s="1"/>
      <c r="N4" s="17"/>
    </row>
    <row r="5" spans="2:14" ht="18" customHeight="1" x14ac:dyDescent="0.25">
      <c r="B5" s="19"/>
      <c r="C5" s="40"/>
      <c r="D5" s="27"/>
      <c r="E5" s="27"/>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74" t="s">
        <v>16</v>
      </c>
      <c r="H7" s="75"/>
      <c r="I7" s="75"/>
      <c r="J7" s="75"/>
      <c r="K7" s="75"/>
      <c r="L7" s="75"/>
      <c r="M7" s="75"/>
      <c r="N7" s="76"/>
    </row>
    <row r="8" spans="2:14" ht="15" customHeight="1" x14ac:dyDescent="0.25">
      <c r="B8" s="19"/>
      <c r="C8" s="5" t="s">
        <v>80</v>
      </c>
      <c r="D8" s="6" t="s">
        <v>20</v>
      </c>
      <c r="E8" s="11">
        <v>9.4048000000000007E-2</v>
      </c>
      <c r="F8" s="1"/>
      <c r="G8" s="23" t="s">
        <v>15</v>
      </c>
      <c r="H8" s="24">
        <v>1</v>
      </c>
      <c r="I8" s="1"/>
      <c r="J8" s="23" t="s">
        <v>12</v>
      </c>
      <c r="K8" s="23" t="s">
        <v>3</v>
      </c>
      <c r="L8" s="1"/>
      <c r="M8" s="1"/>
      <c r="N8" s="17"/>
    </row>
    <row r="9" spans="2:14" ht="15" customHeight="1" x14ac:dyDescent="0.25">
      <c r="B9" s="19"/>
      <c r="C9" s="5" t="s">
        <v>39</v>
      </c>
      <c r="D9" s="6" t="s">
        <v>20</v>
      </c>
      <c r="E9" s="11">
        <v>4.7078000000000002E-2</v>
      </c>
      <c r="F9" s="1"/>
      <c r="G9" s="1"/>
      <c r="H9" s="1"/>
      <c r="I9" s="1"/>
      <c r="J9" s="23" t="s">
        <v>10</v>
      </c>
      <c r="K9" s="25">
        <v>3.5599999999999998E-3</v>
      </c>
      <c r="L9" s="1"/>
      <c r="M9" s="1"/>
      <c r="N9" s="17"/>
    </row>
    <row r="10" spans="2:14" ht="15" customHeight="1" x14ac:dyDescent="0.25">
      <c r="B10" s="19"/>
      <c r="C10" s="5" t="s">
        <v>81</v>
      </c>
      <c r="D10" s="6" t="s">
        <v>20</v>
      </c>
      <c r="E10" s="11">
        <v>2.3466000000000001E-2</v>
      </c>
      <c r="F10" s="1"/>
      <c r="G10" s="1"/>
      <c r="H10" s="1"/>
      <c r="I10" s="1"/>
      <c r="J10" s="23" t="s">
        <v>13</v>
      </c>
      <c r="K10" s="25">
        <v>0.57299599999999995</v>
      </c>
      <c r="L10" s="1"/>
      <c r="M10" s="1"/>
      <c r="N10" s="17"/>
    </row>
    <row r="11" spans="2:14" ht="15" customHeight="1" x14ac:dyDescent="0.25">
      <c r="B11" s="19"/>
      <c r="C11" s="5" t="s">
        <v>82</v>
      </c>
      <c r="D11" s="6" t="s">
        <v>20</v>
      </c>
      <c r="E11" s="11">
        <v>2.0504000000000001E-2</v>
      </c>
      <c r="F11" s="1"/>
      <c r="G11" s="1"/>
      <c r="H11" s="1"/>
      <c r="I11" s="1"/>
      <c r="J11" s="23" t="s">
        <v>60</v>
      </c>
      <c r="K11" s="25">
        <v>5.4191000000000003E-2</v>
      </c>
      <c r="L11" s="1"/>
      <c r="M11" s="1"/>
      <c r="N11" s="17"/>
    </row>
    <row r="12" spans="2:14" ht="15" customHeight="1" x14ac:dyDescent="0.25">
      <c r="B12" s="19"/>
      <c r="C12" s="5" t="s">
        <v>83</v>
      </c>
      <c r="D12" s="6" t="s">
        <v>20</v>
      </c>
      <c r="E12" s="11">
        <v>1.4619E-2</v>
      </c>
      <c r="F12" s="1"/>
      <c r="G12" s="1"/>
      <c r="H12" s="1"/>
      <c r="I12" s="1"/>
      <c r="J12" s="23" t="s">
        <v>61</v>
      </c>
      <c r="K12" s="25">
        <v>0.23492199999999999</v>
      </c>
      <c r="L12" s="1"/>
      <c r="M12" s="1"/>
      <c r="N12" s="17"/>
    </row>
    <row r="13" spans="2:14" ht="15" customHeight="1" x14ac:dyDescent="0.25">
      <c r="B13" s="19"/>
      <c r="C13" s="5" t="s">
        <v>25</v>
      </c>
      <c r="D13" s="6" t="s">
        <v>20</v>
      </c>
      <c r="E13" s="11">
        <v>1.1752E-2</v>
      </c>
      <c r="F13" s="1"/>
      <c r="G13" s="1"/>
      <c r="H13" s="1"/>
      <c r="I13" s="1"/>
      <c r="J13" s="23" t="s">
        <v>88</v>
      </c>
      <c r="K13" s="25">
        <v>0.13433100000000001</v>
      </c>
      <c r="L13" s="1"/>
      <c r="M13" s="1"/>
      <c r="N13" s="17"/>
    </row>
    <row r="14" spans="2:14" ht="15" customHeight="1" x14ac:dyDescent="0.25">
      <c r="B14" s="19"/>
      <c r="C14" s="5" t="s">
        <v>44</v>
      </c>
      <c r="D14" s="6" t="s">
        <v>20</v>
      </c>
      <c r="E14" s="11">
        <v>1.1707E-2</v>
      </c>
      <c r="F14" s="1"/>
      <c r="G14" s="1"/>
      <c r="H14" s="1"/>
      <c r="I14" s="1"/>
      <c r="J14" s="1"/>
      <c r="K14" s="1"/>
      <c r="L14" s="1"/>
      <c r="M14" s="1"/>
      <c r="N14" s="17"/>
    </row>
    <row r="15" spans="2:14" ht="15" customHeight="1" x14ac:dyDescent="0.25">
      <c r="B15" s="19"/>
      <c r="C15" s="5" t="s">
        <v>84</v>
      </c>
      <c r="D15" s="6" t="s">
        <v>20</v>
      </c>
      <c r="E15" s="11">
        <v>8.8059999999999996E-3</v>
      </c>
      <c r="F15" s="1"/>
      <c r="G15" s="1"/>
      <c r="H15" s="1"/>
      <c r="I15" s="1"/>
      <c r="J15" s="1"/>
      <c r="K15" s="1"/>
      <c r="L15" s="1"/>
      <c r="M15" s="1"/>
      <c r="N15" s="17"/>
    </row>
    <row r="16" spans="2:14" ht="15" customHeight="1" x14ac:dyDescent="0.25">
      <c r="B16" s="19"/>
      <c r="C16" s="5" t="s">
        <v>35</v>
      </c>
      <c r="D16" s="6" t="s">
        <v>20</v>
      </c>
      <c r="E16" s="11">
        <v>2.9420000000000002E-3</v>
      </c>
      <c r="F16" s="1"/>
      <c r="G16" s="1"/>
      <c r="H16" s="1"/>
      <c r="I16" s="1"/>
      <c r="J16" s="1"/>
      <c r="K16" s="1"/>
      <c r="L16" s="1"/>
      <c r="M16" s="1"/>
      <c r="N16" s="17"/>
    </row>
    <row r="17" spans="2:14" ht="15.75" customHeight="1" x14ac:dyDescent="0.25">
      <c r="B17" s="19"/>
      <c r="C17" s="7" t="s">
        <v>24</v>
      </c>
      <c r="D17" s="8"/>
      <c r="E17" s="12">
        <v>0.23492199999999999</v>
      </c>
      <c r="F17" s="1"/>
      <c r="G17" s="1"/>
      <c r="H17" s="1"/>
      <c r="I17" s="1"/>
      <c r="J17" s="1"/>
      <c r="K17" s="1"/>
      <c r="L17" s="1"/>
      <c r="M17" s="1"/>
      <c r="N17" s="17"/>
    </row>
    <row r="18" spans="2:14" ht="15" customHeight="1" x14ac:dyDescent="0.25">
      <c r="B18" s="19"/>
      <c r="C18" s="5" t="s">
        <v>32</v>
      </c>
      <c r="D18" s="6" t="s">
        <v>26</v>
      </c>
      <c r="E18" s="11">
        <v>2.1096E-2</v>
      </c>
      <c r="F18" s="1"/>
      <c r="G18" s="1"/>
      <c r="H18" s="1"/>
      <c r="I18" s="1"/>
      <c r="J18" s="1"/>
      <c r="K18" s="1"/>
      <c r="L18" s="1"/>
      <c r="M18" s="1"/>
      <c r="N18" s="17"/>
    </row>
    <row r="19" spans="2:14" ht="15" customHeight="1" x14ac:dyDescent="0.25">
      <c r="B19" s="19"/>
      <c r="C19" s="5" t="s">
        <v>28</v>
      </c>
      <c r="D19" s="6" t="s">
        <v>26</v>
      </c>
      <c r="E19" s="11">
        <v>1.5355000000000001E-2</v>
      </c>
      <c r="F19" s="1"/>
      <c r="G19" s="1"/>
      <c r="H19" s="1"/>
      <c r="I19" s="1"/>
      <c r="J19" s="1"/>
      <c r="K19" s="1"/>
      <c r="L19" s="1"/>
      <c r="M19" s="1"/>
      <c r="N19" s="17"/>
    </row>
    <row r="20" spans="2:14" ht="15" customHeight="1" x14ac:dyDescent="0.25">
      <c r="B20" s="19"/>
      <c r="C20" s="5" t="s">
        <v>25</v>
      </c>
      <c r="D20" s="6" t="s">
        <v>26</v>
      </c>
      <c r="E20" s="11">
        <v>1.1826E-2</v>
      </c>
      <c r="F20" s="1"/>
      <c r="G20" s="1"/>
      <c r="H20" s="1"/>
      <c r="I20" s="1"/>
      <c r="J20" s="1"/>
      <c r="K20" s="1"/>
      <c r="L20" s="1"/>
      <c r="M20" s="1"/>
      <c r="N20" s="17"/>
    </row>
    <row r="21" spans="2:14" ht="15" customHeight="1" x14ac:dyDescent="0.25">
      <c r="B21" s="19"/>
      <c r="C21" s="5" t="s">
        <v>35</v>
      </c>
      <c r="D21" s="6" t="s">
        <v>26</v>
      </c>
      <c r="E21" s="11">
        <v>2.9680000000000002E-3</v>
      </c>
      <c r="F21" s="1"/>
      <c r="G21" s="1"/>
      <c r="H21" s="1"/>
      <c r="I21" s="1"/>
      <c r="J21" s="1"/>
      <c r="K21" s="1"/>
      <c r="L21" s="1"/>
      <c r="M21" s="1"/>
      <c r="N21" s="17"/>
    </row>
    <row r="22" spans="2:14" ht="15" customHeight="1" x14ac:dyDescent="0.25">
      <c r="B22" s="19"/>
      <c r="C22" s="5" t="s">
        <v>23</v>
      </c>
      <c r="D22" s="6" t="s">
        <v>26</v>
      </c>
      <c r="E22" s="11">
        <v>2.9459999999999998E-3</v>
      </c>
      <c r="F22" s="1"/>
      <c r="G22" s="1"/>
      <c r="H22" s="1"/>
      <c r="I22" s="1"/>
      <c r="J22" s="1"/>
      <c r="K22" s="1"/>
      <c r="L22" s="1"/>
      <c r="M22" s="1"/>
      <c r="N22" s="17"/>
    </row>
    <row r="23" spans="2:14" ht="15.75" customHeight="1" x14ac:dyDescent="0.25">
      <c r="B23" s="19"/>
      <c r="C23" s="7" t="s">
        <v>46</v>
      </c>
      <c r="D23" s="8"/>
      <c r="E23" s="12">
        <v>5.4191000000000003E-2</v>
      </c>
      <c r="F23" s="1"/>
      <c r="G23" s="1"/>
      <c r="H23" s="1"/>
      <c r="I23" s="1"/>
      <c r="J23" s="1"/>
      <c r="K23" s="1"/>
      <c r="L23" s="1"/>
      <c r="M23" s="1"/>
      <c r="N23" s="17"/>
    </row>
    <row r="24" spans="2:14" ht="15" customHeight="1" x14ac:dyDescent="0.25">
      <c r="B24" s="19"/>
      <c r="C24" s="5" t="s">
        <v>85</v>
      </c>
      <c r="D24" s="6" t="s">
        <v>50</v>
      </c>
      <c r="E24" s="11">
        <v>7.5901999999999997E-2</v>
      </c>
      <c r="F24" s="1"/>
      <c r="G24" s="27"/>
      <c r="H24" s="27"/>
      <c r="I24" s="27"/>
      <c r="J24" s="27"/>
      <c r="K24" s="27"/>
      <c r="L24" s="27"/>
      <c r="M24" s="27"/>
      <c r="N24" s="43"/>
    </row>
    <row r="25" spans="2:14" ht="15" customHeight="1" x14ac:dyDescent="0.25">
      <c r="B25" s="19"/>
      <c r="C25" s="5" t="s">
        <v>86</v>
      </c>
      <c r="D25" s="6" t="s">
        <v>50</v>
      </c>
      <c r="E25" s="11">
        <v>5.8429000000000002E-2</v>
      </c>
      <c r="F25" s="1"/>
      <c r="G25" s="1"/>
      <c r="H25" s="1"/>
      <c r="I25" s="1"/>
      <c r="J25" s="1"/>
      <c r="K25" s="1"/>
      <c r="L25" s="1"/>
      <c r="M25" s="1"/>
      <c r="N25" s="17"/>
    </row>
    <row r="26" spans="2:14" ht="15.75" customHeight="1" x14ac:dyDescent="0.25">
      <c r="B26" s="19"/>
      <c r="C26" s="7" t="s">
        <v>87</v>
      </c>
      <c r="D26" s="8"/>
      <c r="E26" s="12">
        <v>0.13433100000000001</v>
      </c>
      <c r="F26" s="1"/>
      <c r="G26" s="74" t="s">
        <v>17</v>
      </c>
      <c r="H26" s="75"/>
      <c r="I26" s="75"/>
      <c r="J26" s="75"/>
      <c r="K26" s="75"/>
      <c r="L26" s="75"/>
      <c r="M26" s="75"/>
      <c r="N26" s="76"/>
    </row>
    <row r="27" spans="2:14" ht="15" customHeight="1" x14ac:dyDescent="0.25">
      <c r="B27" s="19"/>
      <c r="C27" s="5" t="s">
        <v>8</v>
      </c>
      <c r="D27" s="6"/>
      <c r="E27" s="11">
        <v>0.57299599999999995</v>
      </c>
      <c r="F27" s="1"/>
      <c r="G27" s="1"/>
      <c r="H27" s="1"/>
      <c r="I27" s="1"/>
      <c r="J27" s="1"/>
      <c r="K27" s="1"/>
      <c r="L27" s="1"/>
      <c r="M27" s="1"/>
      <c r="N27" s="17"/>
    </row>
    <row r="28" spans="2:14" ht="15.75" customHeight="1" x14ac:dyDescent="0.25">
      <c r="B28" s="19"/>
      <c r="C28" s="7" t="s">
        <v>9</v>
      </c>
      <c r="D28" s="8"/>
      <c r="E28" s="12">
        <v>0.57299599999999995</v>
      </c>
      <c r="F28" s="1"/>
      <c r="G28" s="1"/>
      <c r="H28" s="1"/>
      <c r="I28" s="1"/>
      <c r="J28" s="1"/>
      <c r="K28" s="1"/>
      <c r="L28" s="1"/>
      <c r="M28" s="1"/>
      <c r="N28" s="17"/>
    </row>
    <row r="29" spans="2:14" ht="15" customHeight="1" x14ac:dyDescent="0.25">
      <c r="B29" s="19"/>
      <c r="C29" s="5"/>
      <c r="D29" s="6"/>
      <c r="E29" s="11"/>
      <c r="F29" s="1"/>
      <c r="G29" s="1"/>
      <c r="H29" s="1"/>
      <c r="I29" s="1"/>
      <c r="J29" s="1"/>
      <c r="K29" s="1"/>
      <c r="L29" s="1"/>
      <c r="M29" s="1"/>
      <c r="N29" s="17"/>
    </row>
    <row r="30" spans="2:14" ht="15.75" customHeight="1" x14ac:dyDescent="0.25">
      <c r="B30" s="19"/>
      <c r="C30" s="7" t="s">
        <v>10</v>
      </c>
      <c r="D30" s="8"/>
      <c r="E30" s="12">
        <v>3.5599999999999998E-3</v>
      </c>
      <c r="F30" s="1"/>
      <c r="G30" s="1"/>
      <c r="H30" s="1"/>
      <c r="I30" s="1"/>
      <c r="J30" s="1"/>
      <c r="K30" s="1"/>
      <c r="L30" s="1"/>
      <c r="M30" s="1"/>
      <c r="N30" s="17"/>
    </row>
    <row r="31" spans="2:14" ht="15" customHeight="1" x14ac:dyDescent="0.25">
      <c r="B31" s="19"/>
      <c r="C31" s="5"/>
      <c r="D31" s="6"/>
      <c r="E31" s="11"/>
      <c r="F31" s="1"/>
      <c r="G31" s="1"/>
      <c r="H31" s="1"/>
      <c r="I31" s="1"/>
      <c r="J31" s="1"/>
      <c r="K31" s="1"/>
      <c r="L31" s="1"/>
      <c r="M31" s="1"/>
      <c r="N31" s="17"/>
    </row>
    <row r="32" spans="2:14" ht="15" customHeight="1" x14ac:dyDescent="0.25">
      <c r="B32" s="19"/>
      <c r="C32" s="9" t="s">
        <v>11</v>
      </c>
      <c r="D32" s="10"/>
      <c r="E32" s="13">
        <v>1</v>
      </c>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thickBot="1" x14ac:dyDescent="0.3">
      <c r="B43" s="20"/>
      <c r="C43" s="21"/>
      <c r="D43" s="21"/>
      <c r="E43" s="21"/>
      <c r="F43" s="21"/>
      <c r="G43" s="21"/>
      <c r="H43" s="21"/>
      <c r="I43" s="21"/>
      <c r="J43" s="21"/>
      <c r="K43" s="21"/>
      <c r="L43" s="21"/>
      <c r="M43" s="21"/>
      <c r="N43" s="22"/>
    </row>
    <row r="44" spans="2:14" ht="15" customHeight="1" thickBot="1" x14ac:dyDescent="0.3"/>
    <row r="45" spans="2:14" ht="111.75" customHeight="1" thickBot="1" x14ac:dyDescent="0.3">
      <c r="B45" s="68" t="s">
        <v>129</v>
      </c>
      <c r="C45" s="69"/>
      <c r="D45" s="69"/>
      <c r="E45" s="69"/>
      <c r="F45" s="69"/>
      <c r="G45" s="69"/>
      <c r="H45" s="69"/>
      <c r="I45" s="69"/>
      <c r="J45" s="69"/>
      <c r="K45" s="69"/>
      <c r="L45" s="69"/>
      <c r="M45" s="69"/>
      <c r="N45" s="70"/>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sheetData>
  <mergeCells count="4">
    <mergeCell ref="B45:N45"/>
    <mergeCell ref="C3:N3"/>
    <mergeCell ref="G7:N7"/>
    <mergeCell ref="G26:N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C3173-B70A-452A-BE26-5CC96E0290B2}">
  <dimension ref="B1:N88"/>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71" t="s">
        <v>118</v>
      </c>
      <c r="D3" s="72"/>
      <c r="E3" s="72"/>
      <c r="F3" s="72"/>
      <c r="G3" s="72"/>
      <c r="H3" s="72"/>
      <c r="I3" s="72"/>
      <c r="J3" s="72"/>
      <c r="K3" s="72"/>
      <c r="L3" s="72"/>
      <c r="M3" s="72"/>
      <c r="N3" s="73"/>
    </row>
    <row r="4" spans="2:14" ht="15.75" customHeight="1" x14ac:dyDescent="0.25">
      <c r="B4" s="19"/>
      <c r="C4" s="14"/>
      <c r="D4" s="1"/>
      <c r="E4" s="1"/>
      <c r="F4" s="1"/>
      <c r="G4" s="1"/>
      <c r="H4" s="1"/>
      <c r="I4" s="1"/>
      <c r="J4" s="1"/>
      <c r="K4" s="1"/>
      <c r="L4" s="1"/>
      <c r="M4" s="1"/>
      <c r="N4" s="17"/>
    </row>
    <row r="5" spans="2:14" ht="18" customHeight="1" x14ac:dyDescent="0.25">
      <c r="B5" s="19"/>
      <c r="C5" s="40"/>
      <c r="D5" s="27"/>
      <c r="E5" s="27"/>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74" t="s">
        <v>16</v>
      </c>
      <c r="H7" s="75"/>
      <c r="I7" s="75"/>
      <c r="J7" s="75"/>
      <c r="K7" s="75"/>
      <c r="L7" s="75"/>
      <c r="M7" s="75"/>
      <c r="N7" s="76"/>
    </row>
    <row r="8" spans="2:14" ht="15" customHeight="1" x14ac:dyDescent="0.25">
      <c r="B8" s="19"/>
      <c r="C8" s="5" t="s">
        <v>19</v>
      </c>
      <c r="D8" s="6" t="s">
        <v>20</v>
      </c>
      <c r="E8" s="11">
        <v>3.7772E-2</v>
      </c>
      <c r="F8" s="1"/>
      <c r="G8" s="23" t="s">
        <v>15</v>
      </c>
      <c r="H8" s="50">
        <v>1.0000020000000001</v>
      </c>
      <c r="I8" s="1"/>
      <c r="J8" s="23" t="s">
        <v>12</v>
      </c>
      <c r="K8" s="23" t="s">
        <v>3</v>
      </c>
      <c r="L8" s="1"/>
      <c r="M8" s="1"/>
      <c r="N8" s="17"/>
    </row>
    <row r="9" spans="2:14" ht="15.75" customHeight="1" x14ac:dyDescent="0.25">
      <c r="B9" s="19"/>
      <c r="C9" s="7" t="s">
        <v>22</v>
      </c>
      <c r="D9" s="8"/>
      <c r="E9" s="12">
        <v>3.7772E-2</v>
      </c>
      <c r="F9" s="1"/>
      <c r="G9" s="1"/>
      <c r="H9" s="1"/>
      <c r="I9" s="1"/>
      <c r="J9" s="23" t="s">
        <v>10</v>
      </c>
      <c r="K9" s="25">
        <v>1.8216E-2</v>
      </c>
      <c r="L9" s="1"/>
      <c r="M9" s="1"/>
      <c r="N9" s="17"/>
    </row>
    <row r="10" spans="2:14" ht="15" customHeight="1" x14ac:dyDescent="0.25">
      <c r="B10" s="19"/>
      <c r="C10" s="5" t="s">
        <v>83</v>
      </c>
      <c r="D10" s="6" t="s">
        <v>20</v>
      </c>
      <c r="E10" s="11">
        <v>4.5041999999999999E-2</v>
      </c>
      <c r="F10" s="1"/>
      <c r="G10" s="1"/>
      <c r="H10" s="1"/>
      <c r="I10" s="1"/>
      <c r="J10" s="23" t="s">
        <v>13</v>
      </c>
      <c r="K10" s="25">
        <v>0.28403400000000001</v>
      </c>
      <c r="L10" s="1"/>
      <c r="M10" s="1"/>
      <c r="N10" s="17"/>
    </row>
    <row r="11" spans="2:14" ht="15" customHeight="1" x14ac:dyDescent="0.25">
      <c r="B11" s="19"/>
      <c r="C11" s="5" t="s">
        <v>72</v>
      </c>
      <c r="D11" s="6" t="s">
        <v>20</v>
      </c>
      <c r="E11" s="11">
        <v>1.4503E-2</v>
      </c>
      <c r="F11" s="1"/>
      <c r="G11" s="1"/>
      <c r="H11" s="1"/>
      <c r="I11" s="1"/>
      <c r="J11" s="23" t="s">
        <v>59</v>
      </c>
      <c r="K11" s="25">
        <v>3.7772E-2</v>
      </c>
      <c r="L11" s="1"/>
      <c r="M11" s="1"/>
      <c r="N11" s="17"/>
    </row>
    <row r="12" spans="2:14" ht="15" customHeight="1" x14ac:dyDescent="0.25">
      <c r="B12" s="19"/>
      <c r="C12" s="5" t="s">
        <v>44</v>
      </c>
      <c r="D12" s="6" t="s">
        <v>20</v>
      </c>
      <c r="E12" s="11">
        <v>7.2950000000000003E-3</v>
      </c>
      <c r="F12" s="1"/>
      <c r="G12" s="1"/>
      <c r="H12" s="1"/>
      <c r="I12" s="1"/>
      <c r="J12" s="23" t="s">
        <v>60</v>
      </c>
      <c r="K12" s="25">
        <v>0.43853500000000001</v>
      </c>
      <c r="L12" s="1"/>
      <c r="M12" s="1"/>
      <c r="N12" s="17"/>
    </row>
    <row r="13" spans="2:14" ht="15" customHeight="1" x14ac:dyDescent="0.25">
      <c r="B13" s="19"/>
      <c r="C13" s="5" t="s">
        <v>23</v>
      </c>
      <c r="D13" s="6" t="s">
        <v>20</v>
      </c>
      <c r="E13" s="11">
        <v>2.1389999999999998E-3</v>
      </c>
      <c r="F13" s="1"/>
      <c r="G13" s="1"/>
      <c r="H13" s="1"/>
      <c r="I13" s="1"/>
      <c r="J13" s="23" t="s">
        <v>61</v>
      </c>
      <c r="K13" s="25">
        <v>7.0412000000000002E-2</v>
      </c>
      <c r="L13" s="1"/>
      <c r="M13" s="1"/>
      <c r="N13" s="17"/>
    </row>
    <row r="14" spans="2:14" ht="15" customHeight="1" x14ac:dyDescent="0.25">
      <c r="B14" s="19"/>
      <c r="C14" s="5" t="s">
        <v>38</v>
      </c>
      <c r="D14" s="6" t="s">
        <v>20</v>
      </c>
      <c r="E14" s="11">
        <v>1.433E-3</v>
      </c>
      <c r="F14" s="1"/>
      <c r="G14" s="1"/>
      <c r="H14" s="1"/>
      <c r="I14" s="1"/>
      <c r="J14" s="23" t="s">
        <v>62</v>
      </c>
      <c r="K14" s="25">
        <v>1.4670000000000001E-2</v>
      </c>
      <c r="L14" s="1"/>
      <c r="M14" s="1"/>
      <c r="N14" s="17"/>
    </row>
    <row r="15" spans="2:14" ht="15.75" customHeight="1" x14ac:dyDescent="0.25">
      <c r="B15" s="19"/>
      <c r="C15" s="7" t="s">
        <v>24</v>
      </c>
      <c r="D15" s="8"/>
      <c r="E15" s="12">
        <v>7.0412000000000002E-2</v>
      </c>
      <c r="F15" s="1"/>
      <c r="G15" s="1"/>
      <c r="H15" s="1"/>
      <c r="I15" s="1"/>
      <c r="J15" s="23" t="s">
        <v>63</v>
      </c>
      <c r="K15" s="25">
        <v>0.102939</v>
      </c>
      <c r="L15" s="1"/>
      <c r="M15" s="1"/>
      <c r="N15" s="17"/>
    </row>
    <row r="16" spans="2:14" ht="15" customHeight="1" x14ac:dyDescent="0.25">
      <c r="B16" s="19"/>
      <c r="C16" s="5" t="s">
        <v>25</v>
      </c>
      <c r="D16" s="6" t="s">
        <v>26</v>
      </c>
      <c r="E16" s="11">
        <v>0.11784699999999999</v>
      </c>
      <c r="F16" s="1"/>
      <c r="G16" s="1"/>
      <c r="H16" s="1"/>
      <c r="I16" s="1"/>
      <c r="J16" s="23"/>
      <c r="K16" s="25"/>
      <c r="L16" s="1"/>
      <c r="M16" s="1"/>
      <c r="N16" s="17"/>
    </row>
    <row r="17" spans="2:14" ht="15" customHeight="1" x14ac:dyDescent="0.25">
      <c r="B17" s="19"/>
      <c r="C17" s="5" t="s">
        <v>23</v>
      </c>
      <c r="D17" s="6" t="s">
        <v>26</v>
      </c>
      <c r="E17" s="11">
        <v>0.112233</v>
      </c>
      <c r="F17" s="1"/>
      <c r="G17" s="1"/>
      <c r="H17" s="1"/>
      <c r="I17" s="1"/>
      <c r="J17" s="23" t="s">
        <v>64</v>
      </c>
      <c r="K17" s="25">
        <v>1.7076999999999998E-2</v>
      </c>
      <c r="L17" s="1"/>
      <c r="M17" s="1"/>
      <c r="N17" s="17"/>
    </row>
    <row r="18" spans="2:14" ht="15" customHeight="1" x14ac:dyDescent="0.25">
      <c r="B18" s="19"/>
      <c r="C18" s="5" t="s">
        <v>35</v>
      </c>
      <c r="D18" s="6" t="s">
        <v>26</v>
      </c>
      <c r="E18" s="11">
        <v>7.1451000000000001E-2</v>
      </c>
      <c r="F18" s="1"/>
      <c r="G18" s="1"/>
      <c r="H18" s="1"/>
      <c r="I18" s="1"/>
      <c r="J18" s="23" t="s">
        <v>65</v>
      </c>
      <c r="K18" s="25">
        <v>1.6347E-2</v>
      </c>
      <c r="L18" s="1"/>
      <c r="M18" s="1"/>
      <c r="N18" s="17"/>
    </row>
    <row r="19" spans="2:14" ht="15" customHeight="1" x14ac:dyDescent="0.25">
      <c r="B19" s="19"/>
      <c r="C19" s="5" t="s">
        <v>38</v>
      </c>
      <c r="D19" s="6" t="s">
        <v>26</v>
      </c>
      <c r="E19" s="11">
        <v>6.5901000000000001E-2</v>
      </c>
      <c r="F19" s="1"/>
      <c r="G19" s="1"/>
      <c r="H19" s="1"/>
      <c r="I19" s="1"/>
      <c r="J19" s="1"/>
      <c r="K19" s="1"/>
      <c r="L19" s="1"/>
      <c r="M19" s="1"/>
      <c r="N19" s="17"/>
    </row>
    <row r="20" spans="2:14" ht="15" customHeight="1" x14ac:dyDescent="0.25">
      <c r="B20" s="19"/>
      <c r="C20" s="5" t="s">
        <v>27</v>
      </c>
      <c r="D20" s="6" t="s">
        <v>26</v>
      </c>
      <c r="E20" s="11">
        <v>2.2211999999999999E-2</v>
      </c>
      <c r="F20" s="1"/>
      <c r="G20" s="1"/>
      <c r="H20" s="1"/>
      <c r="I20" s="1"/>
      <c r="J20" s="1"/>
      <c r="K20" s="1"/>
      <c r="L20" s="1"/>
      <c r="M20" s="1"/>
      <c r="N20" s="17"/>
    </row>
    <row r="21" spans="2:14" ht="15" customHeight="1" x14ac:dyDescent="0.25">
      <c r="B21" s="19"/>
      <c r="C21" s="5" t="s">
        <v>90</v>
      </c>
      <c r="D21" s="6" t="s">
        <v>26</v>
      </c>
      <c r="E21" s="11">
        <v>1.4485E-2</v>
      </c>
      <c r="F21" s="1"/>
      <c r="G21" s="1"/>
      <c r="H21" s="1"/>
      <c r="I21" s="1"/>
      <c r="J21" s="1"/>
      <c r="K21" s="1"/>
      <c r="L21" s="1"/>
      <c r="M21" s="1"/>
      <c r="N21" s="17"/>
    </row>
    <row r="22" spans="2:14" ht="15" customHeight="1" x14ac:dyDescent="0.25">
      <c r="B22" s="19"/>
      <c r="C22" s="5" t="s">
        <v>28</v>
      </c>
      <c r="D22" s="6" t="s">
        <v>26</v>
      </c>
      <c r="E22" s="11">
        <v>8.1239999999999993E-3</v>
      </c>
      <c r="F22" s="1"/>
      <c r="G22" s="1"/>
      <c r="H22" s="1"/>
      <c r="I22" s="1"/>
      <c r="J22" s="1"/>
      <c r="K22" s="1"/>
      <c r="L22" s="1"/>
      <c r="M22" s="1"/>
      <c r="N22" s="17"/>
    </row>
    <row r="23" spans="2:14" ht="15" customHeight="1" x14ac:dyDescent="0.25">
      <c r="B23" s="19"/>
      <c r="C23" s="5" t="s">
        <v>92</v>
      </c>
      <c r="D23" s="6" t="s">
        <v>26</v>
      </c>
      <c r="E23" s="11">
        <v>7.8130000000000005E-3</v>
      </c>
      <c r="F23" s="1"/>
      <c r="G23" s="1"/>
      <c r="H23" s="1"/>
      <c r="I23" s="1"/>
      <c r="J23" s="1"/>
      <c r="K23" s="1"/>
      <c r="L23" s="1"/>
      <c r="M23" s="1"/>
      <c r="N23" s="17"/>
    </row>
    <row r="24" spans="2:14" ht="15" customHeight="1" x14ac:dyDescent="0.25">
      <c r="B24" s="19"/>
      <c r="C24" s="5" t="s">
        <v>119</v>
      </c>
      <c r="D24" s="6" t="s">
        <v>26</v>
      </c>
      <c r="E24" s="11">
        <v>7.3930000000000003E-3</v>
      </c>
      <c r="F24" s="1"/>
      <c r="G24" s="27"/>
      <c r="H24" s="27"/>
      <c r="I24" s="27"/>
      <c r="J24" s="27"/>
      <c r="K24" s="27"/>
      <c r="L24" s="27"/>
      <c r="M24" s="27"/>
      <c r="N24" s="43"/>
    </row>
    <row r="25" spans="2:14" ht="15" customHeight="1" x14ac:dyDescent="0.25">
      <c r="B25" s="19"/>
      <c r="C25" s="5" t="s">
        <v>29</v>
      </c>
      <c r="D25" s="6" t="s">
        <v>26</v>
      </c>
      <c r="E25" s="11">
        <v>6.6670000000000002E-3</v>
      </c>
      <c r="F25" s="1"/>
      <c r="G25" s="1"/>
      <c r="H25" s="1"/>
      <c r="I25" s="1"/>
      <c r="J25" s="1"/>
      <c r="K25" s="1"/>
      <c r="L25" s="1"/>
      <c r="M25" s="1"/>
      <c r="N25" s="17"/>
    </row>
    <row r="26" spans="2:14" ht="15" customHeight="1" x14ac:dyDescent="0.25">
      <c r="B26" s="19"/>
      <c r="C26" s="5" t="s">
        <v>44</v>
      </c>
      <c r="D26" s="6" t="s">
        <v>26</v>
      </c>
      <c r="E26" s="11">
        <v>2.232E-3</v>
      </c>
      <c r="F26" s="1"/>
      <c r="G26" s="74" t="s">
        <v>17</v>
      </c>
      <c r="H26" s="75"/>
      <c r="I26" s="75"/>
      <c r="J26" s="75"/>
      <c r="K26" s="75"/>
      <c r="L26" s="75"/>
      <c r="M26" s="75"/>
      <c r="N26" s="76"/>
    </row>
    <row r="27" spans="2:14" ht="15" customHeight="1" x14ac:dyDescent="0.25">
      <c r="B27" s="19"/>
      <c r="C27" s="5" t="s">
        <v>42</v>
      </c>
      <c r="D27" s="6" t="s">
        <v>26</v>
      </c>
      <c r="E27" s="11">
        <v>2.0439999999999998E-3</v>
      </c>
      <c r="F27" s="1"/>
      <c r="G27" s="1"/>
      <c r="H27" s="1"/>
      <c r="I27" s="1"/>
      <c r="J27" s="1"/>
      <c r="K27" s="1"/>
      <c r="L27" s="1"/>
      <c r="M27" s="1"/>
      <c r="N27" s="17"/>
    </row>
    <row r="28" spans="2:14" ht="15" customHeight="1" x14ac:dyDescent="0.25">
      <c r="B28" s="19"/>
      <c r="C28" s="5" t="s">
        <v>32</v>
      </c>
      <c r="D28" s="6" t="s">
        <v>26</v>
      </c>
      <c r="E28" s="11">
        <v>1.3300000000000001E-4</v>
      </c>
      <c r="F28" s="1"/>
      <c r="G28" s="1"/>
      <c r="H28" s="1"/>
      <c r="I28" s="1"/>
      <c r="J28" s="1"/>
      <c r="K28" s="1"/>
      <c r="L28" s="1"/>
      <c r="M28" s="1"/>
      <c r="N28" s="17"/>
    </row>
    <row r="29" spans="2:14" ht="15.75" customHeight="1" x14ac:dyDescent="0.25">
      <c r="B29" s="19"/>
      <c r="C29" s="7" t="s">
        <v>46</v>
      </c>
      <c r="D29" s="8"/>
      <c r="E29" s="12">
        <v>0.43853500000000001</v>
      </c>
      <c r="F29" s="1"/>
      <c r="G29" s="1"/>
      <c r="H29" s="1"/>
      <c r="I29" s="1"/>
      <c r="J29" s="1"/>
      <c r="K29" s="1"/>
      <c r="L29" s="1"/>
      <c r="M29" s="1"/>
      <c r="N29" s="17"/>
    </row>
    <row r="30" spans="2:14" ht="15" customHeight="1" x14ac:dyDescent="0.25">
      <c r="B30" s="19"/>
      <c r="C30" s="5" t="s">
        <v>19</v>
      </c>
      <c r="D30" s="6" t="s">
        <v>20</v>
      </c>
      <c r="E30" s="11">
        <v>1.4670000000000001E-2</v>
      </c>
      <c r="F30" s="1"/>
      <c r="G30" s="1"/>
      <c r="H30" s="1"/>
      <c r="I30" s="1"/>
      <c r="J30" s="1"/>
      <c r="K30" s="1"/>
      <c r="L30" s="1"/>
      <c r="M30" s="1"/>
      <c r="N30" s="17"/>
    </row>
    <row r="31" spans="2:14" ht="15.75" customHeight="1" x14ac:dyDescent="0.25">
      <c r="B31" s="19"/>
      <c r="C31" s="7" t="s">
        <v>48</v>
      </c>
      <c r="D31" s="8"/>
      <c r="E31" s="12">
        <v>1.4670000000000001E-2</v>
      </c>
      <c r="F31" s="1"/>
      <c r="G31" s="1"/>
      <c r="H31" s="1"/>
      <c r="I31" s="1"/>
      <c r="J31" s="1"/>
      <c r="K31" s="1"/>
      <c r="L31" s="1"/>
      <c r="M31" s="1"/>
      <c r="N31" s="17"/>
    </row>
    <row r="32" spans="2:14" ht="15" customHeight="1" x14ac:dyDescent="0.25">
      <c r="B32" s="19"/>
      <c r="C32" s="5" t="s">
        <v>67</v>
      </c>
      <c r="D32" s="6" t="s">
        <v>50</v>
      </c>
      <c r="E32" s="11">
        <v>0.10198599999999999</v>
      </c>
      <c r="F32" s="1"/>
      <c r="G32" s="1"/>
      <c r="H32" s="1"/>
      <c r="I32" s="1"/>
      <c r="J32" s="1"/>
      <c r="K32" s="1"/>
      <c r="L32" s="1"/>
      <c r="M32" s="1"/>
      <c r="N32" s="17"/>
    </row>
    <row r="33" spans="2:14" ht="15" customHeight="1" x14ac:dyDescent="0.25">
      <c r="B33" s="19"/>
      <c r="C33" s="5" t="s">
        <v>120</v>
      </c>
      <c r="D33" s="6" t="s">
        <v>50</v>
      </c>
      <c r="E33" s="11">
        <v>8.03E-4</v>
      </c>
      <c r="F33" s="1"/>
      <c r="G33" s="1"/>
      <c r="H33" s="1"/>
      <c r="I33" s="1"/>
      <c r="J33" s="1"/>
      <c r="K33" s="1"/>
      <c r="L33" s="1"/>
      <c r="M33" s="1"/>
      <c r="N33" s="17"/>
    </row>
    <row r="34" spans="2:14" ht="15" customHeight="1" x14ac:dyDescent="0.25">
      <c r="B34" s="19"/>
      <c r="C34" s="5" t="s">
        <v>121</v>
      </c>
      <c r="D34" s="6" t="s">
        <v>50</v>
      </c>
      <c r="E34" s="11">
        <v>1.4999999999999999E-4</v>
      </c>
      <c r="F34" s="1"/>
      <c r="G34" s="1"/>
      <c r="H34" s="1"/>
      <c r="I34" s="1"/>
      <c r="J34" s="1"/>
      <c r="K34" s="1"/>
      <c r="L34" s="1"/>
      <c r="M34" s="1"/>
      <c r="N34" s="17"/>
    </row>
    <row r="35" spans="2:14" ht="15.75" customHeight="1" x14ac:dyDescent="0.25">
      <c r="B35" s="19"/>
      <c r="C35" s="7" t="s">
        <v>56</v>
      </c>
      <c r="D35" s="8"/>
      <c r="E35" s="12">
        <v>0.102939</v>
      </c>
      <c r="F35" s="1"/>
      <c r="G35" s="1"/>
      <c r="H35" s="1"/>
      <c r="I35" s="1"/>
      <c r="J35" s="1"/>
      <c r="K35" s="1"/>
      <c r="L35" s="1"/>
      <c r="M35" s="1"/>
      <c r="N35" s="17"/>
    </row>
    <row r="36" spans="2:14" ht="15" customHeight="1" x14ac:dyDescent="0.25">
      <c r="B36" s="19"/>
      <c r="C36" s="5" t="s">
        <v>143</v>
      </c>
      <c r="D36" s="6" t="s">
        <v>50</v>
      </c>
      <c r="E36" s="11">
        <v>4.535E-3</v>
      </c>
      <c r="F36" s="1"/>
      <c r="G36" s="1"/>
      <c r="H36" s="1"/>
      <c r="I36" s="1"/>
      <c r="J36" s="1"/>
      <c r="K36" s="1"/>
      <c r="L36" s="1"/>
      <c r="M36" s="1"/>
      <c r="N36" s="17"/>
    </row>
    <row r="37" spans="2:14" ht="15.75" customHeight="1" x14ac:dyDescent="0.25">
      <c r="B37" s="19"/>
      <c r="C37" s="31" t="s">
        <v>132</v>
      </c>
      <c r="D37" s="32" t="s">
        <v>50</v>
      </c>
      <c r="E37" s="37">
        <v>4.5319999999999996E-3</v>
      </c>
      <c r="F37" s="1"/>
      <c r="G37" s="1"/>
      <c r="H37" s="1"/>
      <c r="I37" s="1"/>
      <c r="J37" s="1"/>
      <c r="K37" s="1"/>
      <c r="L37" s="1"/>
      <c r="M37" s="1"/>
      <c r="N37" s="17"/>
    </row>
    <row r="38" spans="2:14" ht="15" customHeight="1" x14ac:dyDescent="0.25">
      <c r="B38" s="19"/>
      <c r="C38" s="31" t="s">
        <v>131</v>
      </c>
      <c r="D38" s="32" t="s">
        <v>50</v>
      </c>
      <c r="E38" s="37">
        <v>2.3839999999999998E-3</v>
      </c>
      <c r="F38" s="1"/>
      <c r="G38" s="1"/>
      <c r="H38" s="1"/>
      <c r="I38" s="1"/>
      <c r="J38" s="1"/>
      <c r="K38" s="1"/>
      <c r="L38" s="1"/>
      <c r="M38" s="1"/>
      <c r="N38" s="17"/>
    </row>
    <row r="39" spans="2:14" ht="15.75" customHeight="1" x14ac:dyDescent="0.25">
      <c r="B39" s="19"/>
      <c r="C39" s="31" t="s">
        <v>145</v>
      </c>
      <c r="D39" s="32" t="s">
        <v>50</v>
      </c>
      <c r="E39" s="37">
        <v>2.2729999999999998E-3</v>
      </c>
      <c r="F39" s="1"/>
      <c r="G39" s="1"/>
      <c r="H39" s="1"/>
      <c r="I39" s="1"/>
      <c r="J39" s="1"/>
      <c r="K39" s="1"/>
      <c r="L39" s="1"/>
      <c r="M39" s="1"/>
      <c r="N39" s="17"/>
    </row>
    <row r="40" spans="2:14" ht="15" customHeight="1" x14ac:dyDescent="0.25">
      <c r="B40" s="19"/>
      <c r="C40" s="31" t="s">
        <v>130</v>
      </c>
      <c r="D40" s="32" t="s">
        <v>50</v>
      </c>
      <c r="E40" s="37">
        <v>7.85E-4</v>
      </c>
      <c r="F40" s="1"/>
      <c r="G40" s="1"/>
      <c r="H40" s="1"/>
      <c r="I40" s="1"/>
      <c r="J40" s="1"/>
      <c r="K40" s="1"/>
      <c r="L40" s="1"/>
      <c r="M40" s="1"/>
      <c r="N40" s="17"/>
    </row>
    <row r="41" spans="2:14" ht="15.75" customHeight="1" x14ac:dyDescent="0.25">
      <c r="B41" s="19"/>
      <c r="C41" s="31" t="s">
        <v>137</v>
      </c>
      <c r="D41" s="32" t="s">
        <v>50</v>
      </c>
      <c r="E41" s="37">
        <v>6.8300000000000001E-4</v>
      </c>
      <c r="F41" s="1"/>
      <c r="G41" s="1"/>
      <c r="H41" s="1"/>
      <c r="I41" s="1"/>
      <c r="J41" s="1"/>
      <c r="K41" s="1"/>
      <c r="L41" s="1"/>
      <c r="M41" s="1"/>
      <c r="N41" s="17"/>
    </row>
    <row r="42" spans="2:14" ht="15" customHeight="1" x14ac:dyDescent="0.25">
      <c r="B42" s="19"/>
      <c r="C42" s="31" t="s">
        <v>138</v>
      </c>
      <c r="D42" s="32" t="s">
        <v>50</v>
      </c>
      <c r="E42" s="37">
        <v>4.0299999999999998E-4</v>
      </c>
      <c r="F42" s="1"/>
      <c r="G42" s="1"/>
      <c r="H42" s="1"/>
      <c r="I42" s="1"/>
      <c r="J42" s="1"/>
      <c r="K42" s="1"/>
      <c r="L42" s="1"/>
      <c r="M42" s="1"/>
      <c r="N42" s="17"/>
    </row>
    <row r="43" spans="2:14" ht="15" customHeight="1" x14ac:dyDescent="0.25">
      <c r="B43" s="19"/>
      <c r="C43" s="31" t="s">
        <v>133</v>
      </c>
      <c r="D43" s="32" t="s">
        <v>50</v>
      </c>
      <c r="E43" s="37">
        <v>3.4900000000000003E-4</v>
      </c>
      <c r="F43" s="1"/>
      <c r="G43" s="1"/>
      <c r="H43" s="1"/>
      <c r="I43" s="1"/>
      <c r="J43" s="1"/>
      <c r="K43" s="1"/>
      <c r="L43" s="1"/>
      <c r="M43" s="1"/>
      <c r="N43" s="17"/>
    </row>
    <row r="44" spans="2:14" ht="15.75" customHeight="1" x14ac:dyDescent="0.25">
      <c r="B44" s="19"/>
      <c r="C44" s="31" t="s">
        <v>144</v>
      </c>
      <c r="D44" s="32" t="s">
        <v>50</v>
      </c>
      <c r="E44" s="37">
        <v>2.5500000000000002E-4</v>
      </c>
      <c r="F44" s="1"/>
      <c r="G44" s="1"/>
      <c r="H44" s="1"/>
      <c r="I44" s="1"/>
      <c r="J44" s="1"/>
      <c r="K44" s="1"/>
      <c r="L44" s="1"/>
      <c r="M44" s="1"/>
      <c r="N44" s="17"/>
    </row>
    <row r="45" spans="2:14" s="26" customFormat="1" ht="15" customHeight="1" x14ac:dyDescent="0.25">
      <c r="B45" s="45"/>
      <c r="C45" s="31" t="s">
        <v>146</v>
      </c>
      <c r="D45" s="32" t="s">
        <v>50</v>
      </c>
      <c r="E45" s="37">
        <v>2.32E-4</v>
      </c>
      <c r="F45" s="27"/>
      <c r="G45" s="27"/>
      <c r="H45" s="27"/>
      <c r="I45" s="27"/>
      <c r="J45" s="27"/>
      <c r="K45" s="27"/>
      <c r="L45" s="27"/>
      <c r="M45" s="27"/>
      <c r="N45" s="43"/>
    </row>
    <row r="46" spans="2:14" s="26" customFormat="1" ht="15.75" customHeight="1" x14ac:dyDescent="0.25">
      <c r="B46" s="45"/>
      <c r="C46" s="31" t="s">
        <v>141</v>
      </c>
      <c r="D46" s="32" t="s">
        <v>50</v>
      </c>
      <c r="E46" s="37">
        <v>2.14E-4</v>
      </c>
      <c r="F46" s="27"/>
      <c r="G46" s="27"/>
      <c r="H46" s="27"/>
      <c r="I46" s="27"/>
      <c r="J46" s="27"/>
      <c r="K46" s="27"/>
      <c r="L46" s="27"/>
      <c r="M46" s="27"/>
      <c r="N46" s="43"/>
    </row>
    <row r="47" spans="2:14" s="26" customFormat="1" ht="15" customHeight="1" x14ac:dyDescent="0.25">
      <c r="B47" s="45"/>
      <c r="C47" s="31" t="s">
        <v>142</v>
      </c>
      <c r="D47" s="32" t="s">
        <v>50</v>
      </c>
      <c r="E47" s="37">
        <v>9.1000000000000003E-5</v>
      </c>
      <c r="F47" s="27"/>
      <c r="G47" s="27"/>
      <c r="H47" s="27"/>
      <c r="I47" s="27"/>
      <c r="J47" s="27"/>
      <c r="K47" s="27"/>
      <c r="L47" s="27"/>
      <c r="M47" s="27"/>
      <c r="N47" s="43"/>
    </row>
    <row r="48" spans="2:14" s="26" customFormat="1" ht="15" customHeight="1" x14ac:dyDescent="0.25">
      <c r="B48" s="45"/>
      <c r="C48" s="31" t="s">
        <v>134</v>
      </c>
      <c r="D48" s="32" t="s">
        <v>50</v>
      </c>
      <c r="E48" s="37">
        <v>8.8999999999999995E-5</v>
      </c>
      <c r="F48" s="27"/>
      <c r="G48" s="27"/>
      <c r="H48" s="27"/>
      <c r="I48" s="27"/>
      <c r="J48" s="27"/>
      <c r="K48" s="27"/>
      <c r="L48" s="27"/>
      <c r="M48" s="27"/>
      <c r="N48" s="43"/>
    </row>
    <row r="49" spans="2:14" s="26" customFormat="1" ht="15" customHeight="1" x14ac:dyDescent="0.25">
      <c r="B49" s="45"/>
      <c r="C49" s="31" t="s">
        <v>136</v>
      </c>
      <c r="D49" s="32" t="s">
        <v>50</v>
      </c>
      <c r="E49" s="37">
        <v>8.0000000000000007E-5</v>
      </c>
      <c r="F49" s="27"/>
      <c r="G49" s="27"/>
      <c r="H49" s="27"/>
      <c r="I49" s="27"/>
      <c r="J49" s="27"/>
      <c r="K49" s="27"/>
      <c r="L49" s="27"/>
      <c r="M49" s="27"/>
      <c r="N49" s="43"/>
    </row>
    <row r="50" spans="2:14" s="26" customFormat="1" ht="15" customHeight="1" x14ac:dyDescent="0.25">
      <c r="B50" s="45"/>
      <c r="C50" s="31" t="s">
        <v>135</v>
      </c>
      <c r="D50" s="32" t="s">
        <v>50</v>
      </c>
      <c r="E50" s="37">
        <v>7.3999999999999996E-5</v>
      </c>
      <c r="F50" s="27"/>
      <c r="G50" s="27"/>
      <c r="H50" s="27"/>
      <c r="I50" s="27"/>
      <c r="J50" s="27"/>
      <c r="K50" s="27"/>
      <c r="L50" s="27"/>
      <c r="M50" s="27"/>
      <c r="N50" s="43"/>
    </row>
    <row r="51" spans="2:14" s="26" customFormat="1" ht="15" customHeight="1" x14ac:dyDescent="0.25">
      <c r="B51" s="45"/>
      <c r="C51" s="31" t="s">
        <v>140</v>
      </c>
      <c r="D51" s="32" t="s">
        <v>50</v>
      </c>
      <c r="E51" s="37">
        <v>6.0000000000000002E-5</v>
      </c>
      <c r="F51" s="27"/>
      <c r="G51" s="27"/>
      <c r="H51" s="27"/>
      <c r="I51" s="27"/>
      <c r="J51" s="27"/>
      <c r="K51" s="27"/>
      <c r="L51" s="27"/>
      <c r="M51" s="27"/>
      <c r="N51" s="43"/>
    </row>
    <row r="52" spans="2:14" s="26" customFormat="1" ht="15.75" customHeight="1" x14ac:dyDescent="0.25">
      <c r="B52" s="45"/>
      <c r="C52" s="31" t="s">
        <v>139</v>
      </c>
      <c r="D52" s="32" t="s">
        <v>50</v>
      </c>
      <c r="E52" s="54">
        <v>3.8000000000000002E-5</v>
      </c>
      <c r="F52" s="27"/>
      <c r="G52" s="27"/>
      <c r="H52" s="27"/>
      <c r="I52" s="27"/>
      <c r="J52" s="27"/>
      <c r="K52" s="27"/>
      <c r="L52" s="27"/>
      <c r="M52" s="27"/>
      <c r="N52" s="43"/>
    </row>
    <row r="53" spans="2:14" s="26" customFormat="1" ht="15" customHeight="1" x14ac:dyDescent="0.25">
      <c r="B53" s="45"/>
      <c r="C53" s="7" t="s">
        <v>57</v>
      </c>
      <c r="D53" s="8"/>
      <c r="E53" s="12">
        <v>1.7076999999999998E-2</v>
      </c>
      <c r="F53" s="27"/>
      <c r="G53" s="27"/>
      <c r="H53" s="27"/>
      <c r="I53" s="27"/>
      <c r="J53" s="27"/>
      <c r="K53" s="27"/>
      <c r="L53" s="27"/>
      <c r="M53" s="27"/>
      <c r="N53" s="43"/>
    </row>
    <row r="54" spans="2:14" s="26" customFormat="1" ht="15" customHeight="1" x14ac:dyDescent="0.25">
      <c r="B54" s="45"/>
      <c r="C54" s="5" t="s">
        <v>8</v>
      </c>
      <c r="D54" s="6"/>
      <c r="E54" s="11">
        <v>0.28403400000000001</v>
      </c>
      <c r="F54" s="27"/>
      <c r="G54" s="27"/>
      <c r="H54" s="27"/>
      <c r="I54" s="27"/>
      <c r="J54" s="27"/>
      <c r="K54" s="27"/>
      <c r="L54" s="27"/>
      <c r="M54" s="27"/>
      <c r="N54" s="43"/>
    </row>
    <row r="55" spans="2:14" ht="15" customHeight="1" x14ac:dyDescent="0.25">
      <c r="B55" s="19"/>
      <c r="C55" s="7" t="s">
        <v>9</v>
      </c>
      <c r="D55" s="8"/>
      <c r="E55" s="12">
        <v>0.28403400000000001</v>
      </c>
      <c r="F55" s="1"/>
      <c r="G55" s="1"/>
      <c r="H55" s="1"/>
      <c r="I55" s="1"/>
      <c r="J55" s="1"/>
      <c r="K55" s="1"/>
      <c r="L55" s="1"/>
      <c r="M55" s="1"/>
      <c r="N55" s="17"/>
    </row>
    <row r="56" spans="2:14" s="26" customFormat="1" ht="15" customHeight="1" x14ac:dyDescent="0.25">
      <c r="B56" s="45"/>
      <c r="C56" s="5" t="s">
        <v>38</v>
      </c>
      <c r="D56" s="6" t="s">
        <v>26</v>
      </c>
      <c r="E56" s="11">
        <v>1.562E-2</v>
      </c>
      <c r="F56" s="27"/>
      <c r="G56" s="27"/>
      <c r="H56" s="27"/>
      <c r="I56" s="27"/>
      <c r="J56" s="27"/>
      <c r="K56" s="27"/>
      <c r="L56" s="27"/>
      <c r="M56" s="27"/>
      <c r="N56" s="43"/>
    </row>
    <row r="57" spans="2:14" s="26" customFormat="1" ht="15" customHeight="1" x14ac:dyDescent="0.25">
      <c r="B57" s="45"/>
      <c r="C57" s="5" t="s">
        <v>122</v>
      </c>
      <c r="D57" s="6" t="s">
        <v>26</v>
      </c>
      <c r="E57" s="11">
        <v>7.27E-4</v>
      </c>
      <c r="F57" s="27"/>
      <c r="G57" s="27"/>
      <c r="H57" s="27"/>
      <c r="I57" s="27"/>
      <c r="J57" s="27"/>
      <c r="K57" s="27"/>
      <c r="L57" s="27"/>
      <c r="M57" s="27"/>
      <c r="N57" s="43"/>
    </row>
    <row r="58" spans="2:14" s="26" customFormat="1" ht="15" customHeight="1" x14ac:dyDescent="0.25">
      <c r="B58" s="45"/>
      <c r="C58" s="7" t="s">
        <v>58</v>
      </c>
      <c r="D58" s="8"/>
      <c r="E58" s="12">
        <v>1.6347E-2</v>
      </c>
      <c r="F58" s="27"/>
      <c r="G58" s="27"/>
      <c r="H58" s="27"/>
      <c r="I58" s="27"/>
      <c r="J58" s="27"/>
      <c r="K58" s="27"/>
      <c r="L58" s="27"/>
      <c r="M58" s="27"/>
      <c r="N58" s="43"/>
    </row>
    <row r="59" spans="2:14" s="26" customFormat="1" ht="15" customHeight="1" x14ac:dyDescent="0.25">
      <c r="B59" s="45"/>
      <c r="C59" s="5"/>
      <c r="D59" s="6"/>
      <c r="E59" s="11"/>
      <c r="F59" s="27"/>
      <c r="G59" s="27"/>
      <c r="H59" s="27"/>
      <c r="I59" s="27"/>
      <c r="J59" s="27"/>
      <c r="K59" s="27"/>
      <c r="L59" s="27"/>
      <c r="M59" s="27"/>
      <c r="N59" s="43"/>
    </row>
    <row r="60" spans="2:14" s="26" customFormat="1" ht="15" customHeight="1" x14ac:dyDescent="0.25">
      <c r="B60" s="45"/>
      <c r="C60" s="7" t="s">
        <v>10</v>
      </c>
      <c r="D60" s="8"/>
      <c r="E60" s="12">
        <v>1.8216E-2</v>
      </c>
      <c r="F60" s="27"/>
      <c r="G60" s="27"/>
      <c r="H60" s="27"/>
      <c r="I60" s="27"/>
      <c r="J60" s="27"/>
      <c r="K60" s="27"/>
      <c r="L60" s="27"/>
      <c r="M60" s="27"/>
      <c r="N60" s="43"/>
    </row>
    <row r="61" spans="2:14" s="26" customFormat="1" ht="15" customHeight="1" x14ac:dyDescent="0.25">
      <c r="B61" s="45"/>
      <c r="C61" s="5"/>
      <c r="D61" s="6"/>
      <c r="E61" s="11"/>
      <c r="F61" s="27"/>
      <c r="G61" s="27"/>
      <c r="H61" s="27"/>
      <c r="I61" s="27"/>
      <c r="J61" s="27"/>
      <c r="K61" s="27"/>
      <c r="L61" s="27"/>
      <c r="M61" s="27"/>
      <c r="N61" s="43"/>
    </row>
    <row r="62" spans="2:14" s="26" customFormat="1" ht="15" customHeight="1" x14ac:dyDescent="0.25">
      <c r="B62" s="45"/>
      <c r="C62" s="9" t="s">
        <v>11</v>
      </c>
      <c r="D62" s="10"/>
      <c r="E62" s="13">
        <v>1.0000020000000001</v>
      </c>
      <c r="F62" s="27"/>
      <c r="G62" s="27"/>
      <c r="H62" s="27"/>
      <c r="I62" s="27"/>
      <c r="J62" s="27"/>
      <c r="K62" s="27"/>
      <c r="L62" s="27"/>
      <c r="M62" s="27"/>
      <c r="N62" s="43"/>
    </row>
    <row r="63" spans="2:14" s="26" customFormat="1" ht="15" customHeight="1" x14ac:dyDescent="0.25">
      <c r="B63" s="45"/>
      <c r="C63" s="1"/>
      <c r="D63" s="1"/>
      <c r="E63" s="1"/>
      <c r="F63" s="27"/>
      <c r="G63" s="27"/>
      <c r="H63" s="27"/>
      <c r="I63" s="27"/>
      <c r="J63" s="27"/>
      <c r="K63" s="27"/>
      <c r="L63" s="27"/>
      <c r="M63" s="27"/>
      <c r="N63" s="43"/>
    </row>
    <row r="64" spans="2:14" s="26" customFormat="1" ht="15" customHeight="1" x14ac:dyDescent="0.25">
      <c r="B64" s="45"/>
      <c r="C64" s="52" t="s">
        <v>115</v>
      </c>
      <c r="D64" s="52"/>
      <c r="E64" s="53">
        <v>1.3927999999999999E-2</v>
      </c>
      <c r="F64" s="27"/>
      <c r="G64" s="27"/>
      <c r="H64" s="27"/>
      <c r="I64" s="27"/>
      <c r="J64" s="27"/>
      <c r="K64" s="27"/>
      <c r="L64" s="27"/>
      <c r="M64" s="27"/>
      <c r="N64" s="43"/>
    </row>
    <row r="65" spans="2:14" s="26" customFormat="1" ht="15" customHeight="1" x14ac:dyDescent="0.25">
      <c r="B65" s="45"/>
      <c r="F65" s="27"/>
      <c r="G65" s="27"/>
      <c r="H65" s="27"/>
      <c r="I65" s="27"/>
      <c r="J65" s="27"/>
      <c r="K65" s="27"/>
      <c r="L65" s="27"/>
      <c r="M65" s="27"/>
      <c r="N65" s="43"/>
    </row>
    <row r="66" spans="2:14" ht="15" customHeight="1" thickBot="1" x14ac:dyDescent="0.3">
      <c r="B66" s="20"/>
      <c r="C66" s="21"/>
      <c r="D66" s="21"/>
      <c r="E66" s="21"/>
      <c r="F66" s="21"/>
      <c r="G66" s="21"/>
      <c r="H66" s="21"/>
      <c r="I66" s="21"/>
      <c r="J66" s="21"/>
      <c r="K66" s="21"/>
      <c r="L66" s="21"/>
      <c r="M66" s="21"/>
      <c r="N66" s="22"/>
    </row>
    <row r="67" spans="2:14" ht="15" customHeight="1" thickBot="1" x14ac:dyDescent="0.3"/>
    <row r="68" spans="2:14" ht="114" customHeight="1" thickBot="1" x14ac:dyDescent="0.3">
      <c r="B68" s="68" t="s">
        <v>129</v>
      </c>
      <c r="C68" s="69"/>
      <c r="D68" s="69"/>
      <c r="E68" s="69"/>
      <c r="F68" s="69"/>
      <c r="G68" s="69"/>
      <c r="H68" s="69"/>
      <c r="I68" s="69"/>
      <c r="J68" s="69"/>
      <c r="K68" s="69"/>
      <c r="L68" s="69"/>
      <c r="M68" s="69"/>
      <c r="N68" s="70"/>
    </row>
    <row r="69" spans="2:14" ht="15" customHeight="1" x14ac:dyDescent="0.25"/>
    <row r="70" spans="2:14" ht="15" customHeight="1" x14ac:dyDescent="0.25"/>
    <row r="71" spans="2:14" ht="15" customHeight="1" x14ac:dyDescent="0.25"/>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sheetData>
  <sortState ref="C36:E52">
    <sortCondition descending="1" ref="E36"/>
  </sortState>
  <mergeCells count="4">
    <mergeCell ref="B68:N68"/>
    <mergeCell ref="C3:N3"/>
    <mergeCell ref="G7:N7"/>
    <mergeCell ref="G26:N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65783-83E8-4AA5-9F0C-CBBB722EFC02}">
  <dimension ref="B1:N52"/>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71" t="s">
        <v>123</v>
      </c>
      <c r="D3" s="72"/>
      <c r="E3" s="72"/>
      <c r="F3" s="72"/>
      <c r="G3" s="72"/>
      <c r="H3" s="72"/>
      <c r="I3" s="72"/>
      <c r="J3" s="72"/>
      <c r="K3" s="72"/>
      <c r="L3" s="72"/>
      <c r="M3" s="72"/>
      <c r="N3" s="73"/>
    </row>
    <row r="4" spans="2:14" ht="15.75" customHeight="1" x14ac:dyDescent="0.25">
      <c r="B4" s="19"/>
      <c r="C4" s="14"/>
      <c r="D4" s="1"/>
      <c r="E4" s="1"/>
      <c r="F4" s="1"/>
      <c r="G4" s="1"/>
      <c r="H4" s="1"/>
      <c r="I4" s="1"/>
      <c r="J4" s="1"/>
      <c r="K4" s="1"/>
      <c r="L4" s="1"/>
      <c r="M4" s="1"/>
      <c r="N4" s="17"/>
    </row>
    <row r="5" spans="2:14" ht="18" customHeight="1" x14ac:dyDescent="0.25">
      <c r="B5" s="19"/>
      <c r="C5" s="40"/>
      <c r="D5" s="27"/>
      <c r="E5" s="27"/>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74" t="s">
        <v>16</v>
      </c>
      <c r="H7" s="75"/>
      <c r="I7" s="75"/>
      <c r="J7" s="75"/>
      <c r="K7" s="75"/>
      <c r="L7" s="75"/>
      <c r="M7" s="75"/>
      <c r="N7" s="76"/>
    </row>
    <row r="8" spans="2:14" ht="15" customHeight="1" x14ac:dyDescent="0.25">
      <c r="B8" s="19"/>
      <c r="C8" s="5" t="s">
        <v>19</v>
      </c>
      <c r="D8" s="6" t="s">
        <v>20</v>
      </c>
      <c r="E8" s="11">
        <v>0.12507099999999999</v>
      </c>
      <c r="F8" s="1"/>
      <c r="G8" s="23" t="s">
        <v>15</v>
      </c>
      <c r="H8" s="24">
        <v>1</v>
      </c>
      <c r="I8" s="1"/>
      <c r="J8" s="23" t="s">
        <v>12</v>
      </c>
      <c r="K8" s="23" t="s">
        <v>3</v>
      </c>
      <c r="L8" s="1"/>
      <c r="M8" s="1"/>
      <c r="N8" s="17"/>
    </row>
    <row r="9" spans="2:14" ht="15" customHeight="1" x14ac:dyDescent="0.25">
      <c r="B9" s="19"/>
      <c r="C9" s="5" t="s">
        <v>124</v>
      </c>
      <c r="D9" s="6" t="s">
        <v>20</v>
      </c>
      <c r="E9" s="11">
        <v>9.2879000000000003E-2</v>
      </c>
      <c r="F9" s="1"/>
      <c r="G9" s="1"/>
      <c r="H9" s="1"/>
      <c r="I9" s="1"/>
      <c r="J9" s="23" t="s">
        <v>10</v>
      </c>
      <c r="K9" s="25">
        <v>1.2279999999999999E-3</v>
      </c>
      <c r="L9" s="1"/>
      <c r="M9" s="1"/>
      <c r="N9" s="17"/>
    </row>
    <row r="10" spans="2:14" ht="15" customHeight="1" x14ac:dyDescent="0.25">
      <c r="B10" s="19"/>
      <c r="C10" s="5" t="s">
        <v>25</v>
      </c>
      <c r="D10" s="6" t="s">
        <v>20</v>
      </c>
      <c r="E10" s="11">
        <v>9.3469999999999994E-3</v>
      </c>
      <c r="F10" s="1"/>
      <c r="G10" s="1"/>
      <c r="H10" s="1"/>
      <c r="I10" s="1"/>
      <c r="J10" s="23" t="s">
        <v>13</v>
      </c>
      <c r="K10" s="25">
        <v>0.302485</v>
      </c>
      <c r="L10" s="1"/>
      <c r="M10" s="1"/>
      <c r="N10" s="17"/>
    </row>
    <row r="11" spans="2:14" ht="15.75" customHeight="1" x14ac:dyDescent="0.25">
      <c r="B11" s="19"/>
      <c r="C11" s="7" t="s">
        <v>22</v>
      </c>
      <c r="D11" s="8"/>
      <c r="E11" s="12">
        <v>0.227297</v>
      </c>
      <c r="F11" s="1"/>
      <c r="G11" s="1"/>
      <c r="H11" s="1"/>
      <c r="I11" s="1"/>
      <c r="J11" s="23" t="s">
        <v>59</v>
      </c>
      <c r="K11" s="25">
        <v>0.227297</v>
      </c>
      <c r="L11" s="1"/>
      <c r="M11" s="1"/>
      <c r="N11" s="17"/>
    </row>
    <row r="12" spans="2:14" ht="15" customHeight="1" x14ac:dyDescent="0.25">
      <c r="B12" s="19"/>
      <c r="C12" s="5" t="s">
        <v>72</v>
      </c>
      <c r="D12" s="6" t="s">
        <v>20</v>
      </c>
      <c r="E12" s="11">
        <v>0.120948</v>
      </c>
      <c r="F12" s="1"/>
      <c r="G12" s="1"/>
      <c r="H12" s="1"/>
      <c r="I12" s="1"/>
      <c r="J12" s="23" t="s">
        <v>61</v>
      </c>
      <c r="K12" s="25">
        <v>0.39026699999999998</v>
      </c>
      <c r="L12" s="1"/>
      <c r="M12" s="1"/>
      <c r="N12" s="17"/>
    </row>
    <row r="13" spans="2:14" ht="15" customHeight="1" x14ac:dyDescent="0.25">
      <c r="B13" s="19"/>
      <c r="C13" s="5" t="s">
        <v>39</v>
      </c>
      <c r="D13" s="6" t="s">
        <v>20</v>
      </c>
      <c r="E13" s="11">
        <v>5.6292000000000002E-2</v>
      </c>
      <c r="F13" s="1"/>
      <c r="G13" s="1"/>
      <c r="H13" s="1"/>
      <c r="I13" s="1"/>
      <c r="J13" s="23" t="s">
        <v>63</v>
      </c>
      <c r="K13" s="25">
        <v>1.361E-3</v>
      </c>
      <c r="L13" s="1"/>
      <c r="M13" s="1"/>
      <c r="N13" s="17"/>
    </row>
    <row r="14" spans="2:14" ht="15" customHeight="1" x14ac:dyDescent="0.25">
      <c r="B14" s="19"/>
      <c r="C14" s="5" t="s">
        <v>23</v>
      </c>
      <c r="D14" s="6" t="s">
        <v>20</v>
      </c>
      <c r="E14" s="11">
        <v>5.1270999999999997E-2</v>
      </c>
      <c r="F14" s="1"/>
      <c r="G14" s="1"/>
      <c r="H14" s="1"/>
      <c r="I14" s="1"/>
      <c r="J14" s="23" t="s">
        <v>64</v>
      </c>
      <c r="K14" s="25">
        <v>6.8033999999999997E-2</v>
      </c>
      <c r="L14" s="1"/>
      <c r="M14" s="1"/>
      <c r="N14" s="17"/>
    </row>
    <row r="15" spans="2:14" ht="15" customHeight="1" x14ac:dyDescent="0.25">
      <c r="B15" s="19"/>
      <c r="C15" s="5" t="s">
        <v>83</v>
      </c>
      <c r="D15" s="6" t="s">
        <v>20</v>
      </c>
      <c r="E15" s="11">
        <v>5.0138000000000002E-2</v>
      </c>
      <c r="F15" s="1"/>
      <c r="G15" s="1"/>
      <c r="H15" s="1"/>
      <c r="I15" s="1"/>
      <c r="J15" s="23" t="s">
        <v>88</v>
      </c>
      <c r="K15" s="25">
        <v>9.3279999999999995E-3</v>
      </c>
      <c r="L15" s="1"/>
      <c r="M15" s="1"/>
      <c r="N15" s="17"/>
    </row>
    <row r="16" spans="2:14" ht="15" customHeight="1" x14ac:dyDescent="0.25">
      <c r="B16" s="19"/>
      <c r="C16" s="5" t="s">
        <v>90</v>
      </c>
      <c r="D16" s="6" t="s">
        <v>20</v>
      </c>
      <c r="E16" s="11">
        <v>3.7283999999999998E-2</v>
      </c>
      <c r="F16" s="1"/>
      <c r="G16" s="1"/>
      <c r="H16" s="1"/>
      <c r="I16" s="1"/>
      <c r="J16" s="1"/>
      <c r="K16" s="1"/>
      <c r="L16" s="1"/>
      <c r="M16" s="1"/>
      <c r="N16" s="17"/>
    </row>
    <row r="17" spans="2:14" ht="15" customHeight="1" x14ac:dyDescent="0.25">
      <c r="B17" s="19"/>
      <c r="C17" s="5" t="s">
        <v>122</v>
      </c>
      <c r="D17" s="6" t="s">
        <v>20</v>
      </c>
      <c r="E17" s="11">
        <v>3.7266000000000001E-2</v>
      </c>
      <c r="F17" s="1"/>
      <c r="G17" s="1"/>
      <c r="H17" s="1"/>
      <c r="I17" s="1"/>
      <c r="J17" s="1"/>
      <c r="K17" s="1"/>
      <c r="L17" s="1"/>
      <c r="M17" s="1"/>
      <c r="N17" s="17"/>
    </row>
    <row r="18" spans="2:14" ht="15" customHeight="1" x14ac:dyDescent="0.25">
      <c r="B18" s="19"/>
      <c r="C18" s="5" t="s">
        <v>80</v>
      </c>
      <c r="D18" s="6" t="s">
        <v>20</v>
      </c>
      <c r="E18" s="11">
        <v>1.8716E-2</v>
      </c>
      <c r="F18" s="1"/>
      <c r="G18" s="1"/>
      <c r="H18" s="1"/>
      <c r="I18" s="1"/>
      <c r="J18" s="1"/>
      <c r="K18" s="1"/>
      <c r="L18" s="1"/>
      <c r="M18" s="1"/>
      <c r="N18" s="17"/>
    </row>
    <row r="19" spans="2:14" ht="15" customHeight="1" x14ac:dyDescent="0.25">
      <c r="B19" s="19"/>
      <c r="C19" s="5" t="s">
        <v>38</v>
      </c>
      <c r="D19" s="6" t="s">
        <v>20</v>
      </c>
      <c r="E19" s="11">
        <v>1.8352E-2</v>
      </c>
      <c r="F19" s="1"/>
      <c r="G19" s="1"/>
      <c r="H19" s="1"/>
      <c r="I19" s="1"/>
      <c r="J19" s="1"/>
      <c r="K19" s="1"/>
      <c r="L19" s="1"/>
      <c r="M19" s="1"/>
      <c r="N19" s="17"/>
    </row>
    <row r="20" spans="2:14" ht="15.75" customHeight="1" x14ac:dyDescent="0.25">
      <c r="B20" s="19"/>
      <c r="C20" s="7" t="s">
        <v>24</v>
      </c>
      <c r="D20" s="8"/>
      <c r="E20" s="12">
        <v>0.39026699999999998</v>
      </c>
      <c r="F20" s="1"/>
      <c r="G20" s="1"/>
      <c r="H20" s="1"/>
      <c r="I20" s="1"/>
      <c r="J20" s="1"/>
      <c r="K20" s="1"/>
      <c r="L20" s="1"/>
      <c r="M20" s="1"/>
      <c r="N20" s="17"/>
    </row>
    <row r="21" spans="2:14" ht="15" customHeight="1" x14ac:dyDescent="0.25">
      <c r="B21" s="19"/>
      <c r="C21" s="5" t="s">
        <v>125</v>
      </c>
      <c r="D21" s="6" t="s">
        <v>50</v>
      </c>
      <c r="E21" s="11">
        <v>1.361E-3</v>
      </c>
      <c r="F21" s="1"/>
      <c r="G21" s="1"/>
      <c r="H21" s="1"/>
      <c r="I21" s="1"/>
      <c r="J21" s="1"/>
      <c r="K21" s="1"/>
      <c r="L21" s="1"/>
      <c r="M21" s="1"/>
      <c r="N21" s="17"/>
    </row>
    <row r="22" spans="2:14" ht="15.75" customHeight="1" x14ac:dyDescent="0.25">
      <c r="B22" s="19"/>
      <c r="C22" s="7" t="s">
        <v>56</v>
      </c>
      <c r="D22" s="8"/>
      <c r="E22" s="12">
        <v>1.361E-3</v>
      </c>
      <c r="F22" s="1"/>
      <c r="G22" s="1"/>
      <c r="H22" s="1"/>
      <c r="I22" s="1"/>
      <c r="J22" s="1"/>
      <c r="K22" s="1"/>
      <c r="L22" s="1"/>
      <c r="M22" s="1"/>
      <c r="N22" s="17"/>
    </row>
    <row r="23" spans="2:14" ht="15" customHeight="1" x14ac:dyDescent="0.25">
      <c r="B23" s="19"/>
      <c r="C23" s="5" t="s">
        <v>147</v>
      </c>
      <c r="D23" s="6" t="s">
        <v>50</v>
      </c>
      <c r="E23" s="11">
        <v>5.0338000000000001E-2</v>
      </c>
      <c r="F23" s="1"/>
      <c r="G23" s="1"/>
      <c r="H23" s="1"/>
      <c r="I23" s="1"/>
      <c r="J23" s="1"/>
      <c r="K23" s="1"/>
      <c r="L23" s="1"/>
      <c r="M23" s="1"/>
      <c r="N23" s="17"/>
    </row>
    <row r="24" spans="2:14" ht="15.75" customHeight="1" x14ac:dyDescent="0.25">
      <c r="B24" s="19"/>
      <c r="C24" s="31" t="s">
        <v>148</v>
      </c>
      <c r="D24" s="32" t="s">
        <v>50</v>
      </c>
      <c r="E24" s="37">
        <v>9.4050000000000002E-3</v>
      </c>
      <c r="F24" s="1"/>
      <c r="G24" s="27"/>
      <c r="H24" s="27"/>
      <c r="I24" s="27"/>
      <c r="J24" s="27"/>
      <c r="K24" s="27"/>
      <c r="L24" s="27"/>
      <c r="M24" s="27"/>
      <c r="N24" s="43"/>
    </row>
    <row r="25" spans="2:14" ht="15" customHeight="1" x14ac:dyDescent="0.25">
      <c r="B25" s="19"/>
      <c r="C25" s="31" t="s">
        <v>133</v>
      </c>
      <c r="D25" s="32" t="s">
        <v>50</v>
      </c>
      <c r="E25" s="37">
        <v>3.764E-3</v>
      </c>
      <c r="F25" s="1"/>
      <c r="G25" s="1"/>
      <c r="H25" s="1"/>
      <c r="I25" s="1"/>
      <c r="J25" s="1"/>
      <c r="K25" s="1"/>
      <c r="L25" s="1"/>
      <c r="M25" s="1"/>
      <c r="N25" s="17"/>
    </row>
    <row r="26" spans="2:14" ht="15.75" customHeight="1" x14ac:dyDescent="0.25">
      <c r="B26" s="19"/>
      <c r="C26" s="31" t="s">
        <v>149</v>
      </c>
      <c r="D26" s="32" t="s">
        <v>50</v>
      </c>
      <c r="E26" s="37">
        <v>1.9070000000000001E-3</v>
      </c>
      <c r="F26" s="1"/>
      <c r="G26" s="74" t="s">
        <v>17</v>
      </c>
      <c r="H26" s="75"/>
      <c r="I26" s="75"/>
      <c r="J26" s="75"/>
      <c r="K26" s="75"/>
      <c r="L26" s="75"/>
      <c r="M26" s="75"/>
      <c r="N26" s="76"/>
    </row>
    <row r="27" spans="2:14" ht="15" customHeight="1" x14ac:dyDescent="0.25">
      <c r="B27" s="19"/>
      <c r="C27" s="31" t="s">
        <v>135</v>
      </c>
      <c r="D27" s="32" t="s">
        <v>50</v>
      </c>
      <c r="E27" s="37">
        <v>1.725E-3</v>
      </c>
      <c r="F27" s="1"/>
      <c r="G27" s="1"/>
      <c r="H27" s="1"/>
      <c r="I27" s="1"/>
      <c r="J27" s="1"/>
      <c r="K27" s="1"/>
      <c r="L27" s="1"/>
      <c r="M27" s="1"/>
      <c r="N27" s="17"/>
    </row>
    <row r="28" spans="2:14" ht="15.75" customHeight="1" x14ac:dyDescent="0.25">
      <c r="B28" s="19"/>
      <c r="C28" s="31" t="s">
        <v>150</v>
      </c>
      <c r="D28" s="32" t="s">
        <v>50</v>
      </c>
      <c r="E28" s="37">
        <v>8.9499999999999996E-4</v>
      </c>
      <c r="F28" s="1"/>
      <c r="G28" s="1"/>
      <c r="H28" s="1"/>
      <c r="I28" s="1"/>
      <c r="J28" s="1"/>
      <c r="K28" s="1"/>
      <c r="L28" s="1"/>
      <c r="M28" s="1"/>
      <c r="N28" s="17"/>
    </row>
    <row r="29" spans="2:14" ht="15" customHeight="1" x14ac:dyDescent="0.25">
      <c r="B29" s="19"/>
      <c r="C29" s="7" t="s">
        <v>57</v>
      </c>
      <c r="D29" s="8"/>
      <c r="E29" s="12">
        <v>6.8033999999999997E-2</v>
      </c>
      <c r="F29" s="1"/>
      <c r="G29" s="1"/>
      <c r="H29" s="1"/>
      <c r="I29" s="1"/>
      <c r="J29" s="1"/>
      <c r="K29" s="1"/>
      <c r="L29" s="1"/>
      <c r="M29" s="1"/>
      <c r="N29" s="17"/>
    </row>
    <row r="30" spans="2:14" ht="15.75" customHeight="1" x14ac:dyDescent="0.25">
      <c r="B30" s="19"/>
      <c r="C30" s="5" t="s">
        <v>126</v>
      </c>
      <c r="D30" s="6" t="s">
        <v>50</v>
      </c>
      <c r="E30" s="11">
        <v>9.3279999999999995E-3</v>
      </c>
      <c r="F30" s="1"/>
      <c r="G30" s="1"/>
      <c r="H30" s="1"/>
      <c r="I30" s="1"/>
      <c r="J30" s="1"/>
      <c r="K30" s="1"/>
      <c r="L30" s="1"/>
      <c r="M30" s="1"/>
      <c r="N30" s="17"/>
    </row>
    <row r="31" spans="2:14" ht="15" customHeight="1" x14ac:dyDescent="0.25">
      <c r="B31" s="19"/>
      <c r="C31" s="7" t="s">
        <v>87</v>
      </c>
      <c r="D31" s="8"/>
      <c r="E31" s="12">
        <v>9.3279999999999995E-3</v>
      </c>
      <c r="F31" s="1"/>
      <c r="G31" s="1"/>
      <c r="H31" s="1"/>
      <c r="I31" s="1"/>
      <c r="J31" s="1"/>
      <c r="K31" s="1"/>
      <c r="L31" s="1"/>
      <c r="M31" s="1"/>
      <c r="N31" s="17"/>
    </row>
    <row r="32" spans="2:14" ht="15" customHeight="1" x14ac:dyDescent="0.25">
      <c r="B32" s="19"/>
      <c r="C32" s="5" t="s">
        <v>8</v>
      </c>
      <c r="D32" s="6"/>
      <c r="E32" s="11">
        <v>0.302485</v>
      </c>
      <c r="F32" s="1"/>
      <c r="G32" s="1"/>
      <c r="H32" s="1"/>
      <c r="I32" s="1"/>
      <c r="J32" s="1"/>
      <c r="K32" s="1"/>
      <c r="L32" s="1"/>
      <c r="M32" s="1"/>
      <c r="N32" s="17"/>
    </row>
    <row r="33" spans="2:14" ht="15" customHeight="1" x14ac:dyDescent="0.25">
      <c r="B33" s="19"/>
      <c r="C33" s="7" t="s">
        <v>9</v>
      </c>
      <c r="D33" s="8"/>
      <c r="E33" s="12">
        <v>0.302485</v>
      </c>
      <c r="F33" s="1"/>
      <c r="G33" s="1"/>
      <c r="H33" s="1"/>
      <c r="I33" s="1"/>
      <c r="J33" s="1"/>
      <c r="K33" s="1"/>
      <c r="L33" s="1"/>
      <c r="M33" s="1"/>
      <c r="N33" s="17"/>
    </row>
    <row r="34" spans="2:14" ht="15" customHeight="1" x14ac:dyDescent="0.25">
      <c r="B34" s="19"/>
      <c r="C34" s="5"/>
      <c r="D34" s="6"/>
      <c r="E34" s="11"/>
      <c r="F34" s="1"/>
      <c r="G34" s="1"/>
      <c r="H34" s="1"/>
      <c r="I34" s="1"/>
      <c r="J34" s="1"/>
      <c r="K34" s="1"/>
      <c r="L34" s="1"/>
      <c r="M34" s="1"/>
      <c r="N34" s="17"/>
    </row>
    <row r="35" spans="2:14" ht="15" customHeight="1" x14ac:dyDescent="0.25">
      <c r="B35" s="19"/>
      <c r="C35" s="7" t="s">
        <v>10</v>
      </c>
      <c r="D35" s="8"/>
      <c r="E35" s="12">
        <v>1.2279999999999999E-3</v>
      </c>
      <c r="F35" s="1"/>
      <c r="G35" s="1"/>
      <c r="H35" s="1"/>
      <c r="I35" s="1"/>
      <c r="J35" s="1"/>
      <c r="K35" s="1"/>
      <c r="L35" s="1"/>
      <c r="M35" s="1"/>
      <c r="N35" s="17"/>
    </row>
    <row r="36" spans="2:14" ht="15" customHeight="1" x14ac:dyDescent="0.25">
      <c r="B36" s="19"/>
      <c r="C36" s="5"/>
      <c r="D36" s="6"/>
      <c r="E36" s="11"/>
      <c r="F36" s="1"/>
      <c r="G36" s="1"/>
      <c r="H36" s="1"/>
      <c r="I36" s="1"/>
      <c r="J36" s="1"/>
      <c r="K36" s="1"/>
      <c r="L36" s="1"/>
      <c r="M36" s="1"/>
      <c r="N36" s="17"/>
    </row>
    <row r="37" spans="2:14" ht="15" customHeight="1" x14ac:dyDescent="0.25">
      <c r="B37" s="19"/>
      <c r="C37" s="9" t="s">
        <v>11</v>
      </c>
      <c r="D37" s="10"/>
      <c r="E37" s="13">
        <v>1</v>
      </c>
      <c r="F37" s="1"/>
      <c r="G37" s="1"/>
      <c r="H37" s="1"/>
      <c r="I37" s="1"/>
      <c r="J37" s="1"/>
      <c r="K37" s="1"/>
      <c r="L37" s="1"/>
      <c r="M37" s="1"/>
      <c r="N37" s="17"/>
    </row>
    <row r="38" spans="2:14" ht="15" customHeight="1" x14ac:dyDescent="0.25">
      <c r="B38" s="19"/>
      <c r="F38" s="1"/>
      <c r="G38" s="1"/>
      <c r="H38" s="1"/>
      <c r="I38" s="1"/>
      <c r="J38" s="1"/>
      <c r="K38" s="1"/>
      <c r="L38" s="1"/>
      <c r="M38" s="1"/>
      <c r="N38" s="17"/>
    </row>
    <row r="39" spans="2:14" ht="15" customHeight="1" x14ac:dyDescent="0.25">
      <c r="B39" s="19"/>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thickBot="1" x14ac:dyDescent="0.3">
      <c r="B43" s="20"/>
      <c r="C43" s="21"/>
      <c r="D43" s="21"/>
      <c r="E43" s="21"/>
      <c r="F43" s="21"/>
      <c r="G43" s="21"/>
      <c r="H43" s="21"/>
      <c r="I43" s="21"/>
      <c r="J43" s="21"/>
      <c r="K43" s="21"/>
      <c r="L43" s="21"/>
      <c r="M43" s="21"/>
      <c r="N43" s="22"/>
    </row>
    <row r="44" spans="2:14" ht="15" customHeight="1" thickBot="1" x14ac:dyDescent="0.3"/>
    <row r="45" spans="2:14" ht="114.75" customHeight="1" thickBot="1" x14ac:dyDescent="0.3">
      <c r="B45" s="68" t="s">
        <v>129</v>
      </c>
      <c r="C45" s="69"/>
      <c r="D45" s="69"/>
      <c r="E45" s="69"/>
      <c r="F45" s="69"/>
      <c r="G45" s="69"/>
      <c r="H45" s="69"/>
      <c r="I45" s="69"/>
      <c r="J45" s="69"/>
      <c r="K45" s="69"/>
      <c r="L45" s="69"/>
      <c r="M45" s="69"/>
      <c r="N45" s="70"/>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sheetData>
  <sortState ref="C24:E28">
    <sortCondition descending="1" ref="E23"/>
  </sortState>
  <mergeCells count="4">
    <mergeCell ref="B45:N45"/>
    <mergeCell ref="C3:N3"/>
    <mergeCell ref="G7:N7"/>
    <mergeCell ref="G26:N2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ABB40-3B4A-47AB-A9C7-A67ADEC65DFC}">
  <dimension ref="B1:N52"/>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71" t="s">
        <v>128</v>
      </c>
      <c r="D3" s="72"/>
      <c r="E3" s="72"/>
      <c r="F3" s="72"/>
      <c r="G3" s="72"/>
      <c r="H3" s="72"/>
      <c r="I3" s="72"/>
      <c r="J3" s="72"/>
      <c r="K3" s="72"/>
      <c r="L3" s="72"/>
      <c r="M3" s="72"/>
      <c r="N3" s="73"/>
    </row>
    <row r="4" spans="2:14" ht="15.75" customHeight="1" x14ac:dyDescent="0.25">
      <c r="B4" s="19"/>
      <c r="C4" s="14"/>
      <c r="D4" s="1"/>
      <c r="E4" s="1"/>
      <c r="F4" s="1"/>
      <c r="G4" s="1"/>
      <c r="H4" s="1"/>
      <c r="I4" s="1"/>
      <c r="J4" s="1"/>
      <c r="K4" s="1"/>
      <c r="L4" s="1"/>
      <c r="M4" s="1"/>
      <c r="N4" s="17"/>
    </row>
    <row r="5" spans="2:14" ht="18" customHeight="1" x14ac:dyDescent="0.25">
      <c r="B5" s="19"/>
      <c r="C5" s="40"/>
      <c r="D5" s="27"/>
      <c r="E5" s="27"/>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74" t="s">
        <v>16</v>
      </c>
      <c r="H7" s="75"/>
      <c r="I7" s="75"/>
      <c r="J7" s="75"/>
      <c r="K7" s="75"/>
      <c r="L7" s="75"/>
      <c r="M7" s="75"/>
      <c r="N7" s="76"/>
    </row>
    <row r="8" spans="2:14" ht="15" customHeight="1" x14ac:dyDescent="0.25">
      <c r="B8" s="19"/>
      <c r="C8" s="5" t="s">
        <v>19</v>
      </c>
      <c r="D8" s="6" t="s">
        <v>20</v>
      </c>
      <c r="E8" s="11">
        <v>3.506E-3</v>
      </c>
      <c r="F8" s="1"/>
      <c r="G8" s="23" t="s">
        <v>15</v>
      </c>
      <c r="H8" s="24">
        <v>1</v>
      </c>
      <c r="I8" s="1"/>
      <c r="J8" s="23" t="s">
        <v>12</v>
      </c>
      <c r="K8" s="23" t="s">
        <v>3</v>
      </c>
      <c r="L8" s="1"/>
      <c r="M8" s="1"/>
      <c r="N8" s="17"/>
    </row>
    <row r="9" spans="2:14" ht="15.75" customHeight="1" x14ac:dyDescent="0.25">
      <c r="B9" s="19"/>
      <c r="C9" s="7" t="s">
        <v>22</v>
      </c>
      <c r="D9" s="8"/>
      <c r="E9" s="12">
        <v>3.506E-3</v>
      </c>
      <c r="F9" s="1"/>
      <c r="G9" s="1"/>
      <c r="H9" s="1"/>
      <c r="I9" s="1"/>
      <c r="J9" s="23" t="s">
        <v>10</v>
      </c>
      <c r="K9" s="25">
        <v>6.4000000000000005E-4</v>
      </c>
      <c r="L9" s="1"/>
      <c r="M9" s="1"/>
      <c r="N9" s="17"/>
    </row>
    <row r="10" spans="2:14" ht="15" customHeight="1" x14ac:dyDescent="0.25">
      <c r="B10" s="19"/>
      <c r="C10" s="5" t="s">
        <v>83</v>
      </c>
      <c r="D10" s="6" t="s">
        <v>20</v>
      </c>
      <c r="E10" s="11">
        <v>4.3201999999999997E-2</v>
      </c>
      <c r="F10" s="1"/>
      <c r="G10" s="1"/>
      <c r="H10" s="1"/>
      <c r="I10" s="1"/>
      <c r="J10" s="23" t="s">
        <v>13</v>
      </c>
      <c r="K10" s="25">
        <v>0.51334000000000002</v>
      </c>
      <c r="L10" s="1"/>
      <c r="M10" s="1"/>
      <c r="N10" s="17"/>
    </row>
    <row r="11" spans="2:14" ht="15" customHeight="1" x14ac:dyDescent="0.25">
      <c r="B11" s="19"/>
      <c r="C11" s="5" t="s">
        <v>72</v>
      </c>
      <c r="D11" s="6" t="s">
        <v>20</v>
      </c>
      <c r="E11" s="11">
        <v>3.5147999999999999E-2</v>
      </c>
      <c r="F11" s="1"/>
      <c r="G11" s="1"/>
      <c r="H11" s="1"/>
      <c r="I11" s="1"/>
      <c r="J11" s="23" t="s">
        <v>59</v>
      </c>
      <c r="K11" s="25">
        <v>3.506E-3</v>
      </c>
      <c r="L11" s="1"/>
      <c r="M11" s="1"/>
      <c r="N11" s="17"/>
    </row>
    <row r="12" spans="2:14" ht="15.75" customHeight="1" x14ac:dyDescent="0.25">
      <c r="B12" s="19"/>
      <c r="C12" s="7" t="s">
        <v>24</v>
      </c>
      <c r="D12" s="8"/>
      <c r="E12" s="12">
        <v>7.8350000000000003E-2</v>
      </c>
      <c r="F12" s="1"/>
      <c r="G12" s="1"/>
      <c r="H12" s="1"/>
      <c r="I12" s="1"/>
      <c r="J12" s="23" t="s">
        <v>60</v>
      </c>
      <c r="K12" s="25">
        <v>0.34854400000000002</v>
      </c>
      <c r="L12" s="1"/>
      <c r="M12" s="1"/>
      <c r="N12" s="17"/>
    </row>
    <row r="13" spans="2:14" ht="15" customHeight="1" x14ac:dyDescent="0.25">
      <c r="B13" s="19"/>
      <c r="C13" s="5" t="s">
        <v>25</v>
      </c>
      <c r="D13" s="6" t="s">
        <v>26</v>
      </c>
      <c r="E13" s="11">
        <v>0.129276</v>
      </c>
      <c r="F13" s="1"/>
      <c r="G13" s="1"/>
      <c r="H13" s="1"/>
      <c r="I13" s="1"/>
      <c r="J13" s="23" t="s">
        <v>61</v>
      </c>
      <c r="K13" s="25">
        <v>7.8350000000000003E-2</v>
      </c>
      <c r="L13" s="1"/>
      <c r="M13" s="1"/>
      <c r="N13" s="17"/>
    </row>
    <row r="14" spans="2:14" ht="15" customHeight="1" x14ac:dyDescent="0.25">
      <c r="B14" s="19"/>
      <c r="C14" s="5" t="s">
        <v>23</v>
      </c>
      <c r="D14" s="6" t="s">
        <v>26</v>
      </c>
      <c r="E14" s="11">
        <v>7.9846E-2</v>
      </c>
      <c r="F14" s="1"/>
      <c r="G14" s="1"/>
      <c r="H14" s="1"/>
      <c r="I14" s="1"/>
      <c r="J14" s="23" t="s">
        <v>62</v>
      </c>
      <c r="K14" s="25">
        <v>2.3765999999999999E-2</v>
      </c>
      <c r="L14" s="1"/>
      <c r="M14" s="1"/>
      <c r="N14" s="17"/>
    </row>
    <row r="15" spans="2:14" ht="15" customHeight="1" x14ac:dyDescent="0.25">
      <c r="B15" s="19"/>
      <c r="C15" s="5" t="s">
        <v>38</v>
      </c>
      <c r="D15" s="6" t="s">
        <v>26</v>
      </c>
      <c r="E15" s="11">
        <v>5.0867000000000002E-2</v>
      </c>
      <c r="F15" s="1"/>
      <c r="G15" s="1"/>
      <c r="H15" s="1"/>
      <c r="I15" s="1"/>
      <c r="J15" s="23" t="s">
        <v>64</v>
      </c>
      <c r="K15" s="25">
        <v>2.441E-3</v>
      </c>
      <c r="L15" s="1"/>
      <c r="M15" s="1"/>
      <c r="N15" s="17"/>
    </row>
    <row r="16" spans="2:14" ht="15" customHeight="1" x14ac:dyDescent="0.25">
      <c r="B16" s="19"/>
      <c r="C16" s="5" t="s">
        <v>27</v>
      </c>
      <c r="D16" s="6" t="s">
        <v>26</v>
      </c>
      <c r="E16" s="11">
        <v>3.6464000000000003E-2</v>
      </c>
      <c r="F16" s="1"/>
      <c r="G16" s="1"/>
      <c r="H16" s="1"/>
      <c r="I16" s="1"/>
      <c r="J16" s="23" t="s">
        <v>65</v>
      </c>
      <c r="K16" s="25">
        <v>2.9413000000000002E-2</v>
      </c>
      <c r="L16" s="1"/>
      <c r="M16" s="1"/>
      <c r="N16" s="17"/>
    </row>
    <row r="17" spans="2:14" ht="15" customHeight="1" x14ac:dyDescent="0.25">
      <c r="B17" s="19"/>
      <c r="C17" s="5" t="s">
        <v>28</v>
      </c>
      <c r="D17" s="6" t="s">
        <v>26</v>
      </c>
      <c r="E17" s="11">
        <v>3.3928E-2</v>
      </c>
      <c r="F17" s="1"/>
      <c r="G17" s="1"/>
      <c r="H17" s="1"/>
      <c r="I17" s="1"/>
      <c r="J17" s="1"/>
      <c r="K17" s="1"/>
      <c r="L17" s="1"/>
      <c r="M17" s="1"/>
      <c r="N17" s="17"/>
    </row>
    <row r="18" spans="2:14" ht="15" customHeight="1" x14ac:dyDescent="0.25">
      <c r="B18" s="19"/>
      <c r="C18" s="5" t="s">
        <v>35</v>
      </c>
      <c r="D18" s="6" t="s">
        <v>26</v>
      </c>
      <c r="E18" s="11">
        <v>1.2104999999999999E-2</v>
      </c>
      <c r="F18" s="1"/>
      <c r="G18" s="1"/>
      <c r="H18" s="1"/>
      <c r="I18" s="1"/>
      <c r="J18" s="1"/>
      <c r="K18" s="1"/>
      <c r="L18" s="1"/>
      <c r="M18" s="1"/>
      <c r="N18" s="17"/>
    </row>
    <row r="19" spans="2:14" ht="15" customHeight="1" x14ac:dyDescent="0.25">
      <c r="B19" s="19"/>
      <c r="C19" s="5" t="s">
        <v>31</v>
      </c>
      <c r="D19" s="6" t="s">
        <v>26</v>
      </c>
      <c r="E19" s="11">
        <v>6.058E-3</v>
      </c>
      <c r="F19" s="1"/>
      <c r="G19" s="1"/>
      <c r="H19" s="1"/>
      <c r="I19" s="1"/>
      <c r="J19" s="1"/>
      <c r="K19" s="1"/>
      <c r="L19" s="1"/>
      <c r="M19" s="1"/>
      <c r="N19" s="17"/>
    </row>
    <row r="20" spans="2:14" ht="15.75" customHeight="1" x14ac:dyDescent="0.25">
      <c r="B20" s="19"/>
      <c r="C20" s="7" t="s">
        <v>46</v>
      </c>
      <c r="D20" s="8"/>
      <c r="E20" s="12">
        <v>0.34854400000000002</v>
      </c>
      <c r="F20" s="1"/>
      <c r="G20" s="1"/>
      <c r="H20" s="1"/>
      <c r="I20" s="1"/>
      <c r="J20" s="1"/>
      <c r="K20" s="1"/>
      <c r="L20" s="1"/>
      <c r="M20" s="1"/>
      <c r="N20" s="17"/>
    </row>
    <row r="21" spans="2:14" ht="15" customHeight="1" x14ac:dyDescent="0.25">
      <c r="B21" s="19"/>
      <c r="C21" s="5" t="s">
        <v>19</v>
      </c>
      <c r="D21" s="6" t="s">
        <v>20</v>
      </c>
      <c r="E21" s="11">
        <v>2.3765999999999999E-2</v>
      </c>
      <c r="F21" s="1"/>
      <c r="G21" s="1"/>
      <c r="H21" s="1"/>
      <c r="I21" s="1"/>
      <c r="J21" s="1"/>
      <c r="K21" s="1"/>
      <c r="L21" s="1"/>
      <c r="M21" s="1"/>
      <c r="N21" s="17"/>
    </row>
    <row r="22" spans="2:14" ht="15.75" customHeight="1" x14ac:dyDescent="0.25">
      <c r="B22" s="19"/>
      <c r="C22" s="7" t="s">
        <v>48</v>
      </c>
      <c r="D22" s="8"/>
      <c r="E22" s="12">
        <v>2.3765999999999999E-2</v>
      </c>
      <c r="F22" s="1"/>
      <c r="G22" s="1"/>
      <c r="H22" s="1"/>
      <c r="I22" s="1"/>
      <c r="J22" s="1"/>
      <c r="K22" s="1"/>
      <c r="L22" s="1"/>
      <c r="M22" s="1"/>
      <c r="N22" s="17"/>
    </row>
    <row r="23" spans="2:14" ht="15" customHeight="1" x14ac:dyDescent="0.25">
      <c r="B23" s="19"/>
      <c r="C23" s="5" t="s">
        <v>152</v>
      </c>
      <c r="D23" s="6" t="s">
        <v>50</v>
      </c>
      <c r="E23" s="11">
        <v>1.227E-3</v>
      </c>
      <c r="F23" s="1"/>
      <c r="G23" s="1"/>
      <c r="H23" s="1"/>
      <c r="I23" s="1"/>
      <c r="J23" s="1"/>
      <c r="K23" s="1"/>
      <c r="L23" s="1"/>
      <c r="M23" s="1"/>
      <c r="N23" s="17"/>
    </row>
    <row r="24" spans="2:14" ht="15.75" customHeight="1" x14ac:dyDescent="0.25">
      <c r="B24" s="19"/>
      <c r="C24" s="31" t="s">
        <v>151</v>
      </c>
      <c r="D24" s="32" t="s">
        <v>50</v>
      </c>
      <c r="E24" s="37">
        <v>1.214E-3</v>
      </c>
      <c r="F24" s="1"/>
      <c r="G24" s="27"/>
      <c r="H24" s="27"/>
      <c r="I24" s="27"/>
      <c r="J24" s="27"/>
      <c r="K24" s="27"/>
      <c r="L24" s="27"/>
      <c r="M24" s="27"/>
      <c r="N24" s="43"/>
    </row>
    <row r="25" spans="2:14" ht="15" customHeight="1" x14ac:dyDescent="0.25">
      <c r="B25" s="19"/>
      <c r="C25" s="7" t="s">
        <v>57</v>
      </c>
      <c r="D25" s="8"/>
      <c r="E25" s="12">
        <v>2.441E-3</v>
      </c>
      <c r="F25" s="1"/>
      <c r="G25" s="1"/>
      <c r="H25" s="1"/>
      <c r="I25" s="1"/>
      <c r="J25" s="1"/>
      <c r="K25" s="1"/>
      <c r="L25" s="1"/>
      <c r="M25" s="1"/>
      <c r="N25" s="17"/>
    </row>
    <row r="26" spans="2:14" ht="15.75" customHeight="1" x14ac:dyDescent="0.25">
      <c r="B26" s="19"/>
      <c r="C26" s="5" t="s">
        <v>8</v>
      </c>
      <c r="D26" s="6"/>
      <c r="E26" s="11">
        <v>0.51334000000000002</v>
      </c>
      <c r="F26" s="1"/>
      <c r="G26" s="74" t="s">
        <v>17</v>
      </c>
      <c r="H26" s="75"/>
      <c r="I26" s="75"/>
      <c r="J26" s="75"/>
      <c r="K26" s="75"/>
      <c r="L26" s="75"/>
      <c r="M26" s="75"/>
      <c r="N26" s="76"/>
    </row>
    <row r="27" spans="2:14" ht="15" customHeight="1" x14ac:dyDescent="0.25">
      <c r="B27" s="19"/>
      <c r="C27" s="7" t="s">
        <v>9</v>
      </c>
      <c r="D27" s="8"/>
      <c r="E27" s="12">
        <v>0.51334000000000002</v>
      </c>
      <c r="F27" s="1"/>
      <c r="G27" s="1"/>
      <c r="H27" s="1"/>
      <c r="I27" s="1"/>
      <c r="J27" s="1"/>
      <c r="K27" s="1"/>
      <c r="L27" s="1"/>
      <c r="M27" s="1"/>
      <c r="N27" s="17"/>
    </row>
    <row r="28" spans="2:14" ht="15.75" customHeight="1" x14ac:dyDescent="0.25">
      <c r="B28" s="19"/>
      <c r="C28" s="5" t="s">
        <v>72</v>
      </c>
      <c r="D28" s="6" t="s">
        <v>26</v>
      </c>
      <c r="E28" s="11">
        <v>2.9413000000000002E-2</v>
      </c>
      <c r="F28" s="1"/>
      <c r="G28" s="1"/>
      <c r="H28" s="1"/>
      <c r="I28" s="1"/>
      <c r="J28" s="1"/>
      <c r="K28" s="1"/>
      <c r="L28" s="1"/>
      <c r="M28" s="1"/>
      <c r="N28" s="17"/>
    </row>
    <row r="29" spans="2:14" ht="15" customHeight="1" x14ac:dyDescent="0.25">
      <c r="B29" s="19"/>
      <c r="C29" s="7" t="s">
        <v>58</v>
      </c>
      <c r="D29" s="8"/>
      <c r="E29" s="12">
        <v>2.9413000000000002E-2</v>
      </c>
      <c r="F29" s="1"/>
      <c r="G29" s="1"/>
      <c r="H29" s="1"/>
      <c r="I29" s="1"/>
      <c r="J29" s="1"/>
      <c r="K29" s="1"/>
      <c r="L29" s="1"/>
      <c r="M29" s="1"/>
      <c r="N29" s="17"/>
    </row>
    <row r="30" spans="2:14" ht="15.75" customHeight="1" x14ac:dyDescent="0.25">
      <c r="B30" s="19"/>
      <c r="C30" s="5"/>
      <c r="D30" s="6"/>
      <c r="E30" s="11"/>
      <c r="F30" s="1"/>
      <c r="G30" s="1"/>
      <c r="H30" s="1"/>
      <c r="I30" s="1"/>
      <c r="J30" s="1"/>
      <c r="K30" s="1"/>
      <c r="L30" s="1"/>
      <c r="M30" s="1"/>
      <c r="N30" s="17"/>
    </row>
    <row r="31" spans="2:14" ht="15" customHeight="1" x14ac:dyDescent="0.25">
      <c r="B31" s="19"/>
      <c r="C31" s="7" t="s">
        <v>10</v>
      </c>
      <c r="D31" s="8"/>
      <c r="E31" s="12">
        <v>6.4000000000000005E-4</v>
      </c>
      <c r="F31" s="1"/>
      <c r="G31" s="1"/>
      <c r="H31" s="1"/>
      <c r="I31" s="1"/>
      <c r="J31" s="1"/>
      <c r="K31" s="1"/>
      <c r="L31" s="1"/>
      <c r="M31" s="1"/>
      <c r="N31" s="17"/>
    </row>
    <row r="32" spans="2:14" ht="15" customHeight="1" x14ac:dyDescent="0.25">
      <c r="B32" s="19"/>
      <c r="C32" s="5"/>
      <c r="D32" s="6"/>
      <c r="E32" s="11"/>
      <c r="F32" s="1"/>
      <c r="G32" s="1"/>
      <c r="H32" s="1"/>
      <c r="I32" s="1"/>
      <c r="J32" s="1"/>
      <c r="K32" s="1"/>
      <c r="L32" s="1"/>
      <c r="M32" s="1"/>
      <c r="N32" s="17"/>
    </row>
    <row r="33" spans="2:14" ht="15" customHeight="1" x14ac:dyDescent="0.25">
      <c r="B33" s="19"/>
      <c r="C33" s="9" t="s">
        <v>11</v>
      </c>
      <c r="D33" s="10"/>
      <c r="E33" s="13">
        <v>1</v>
      </c>
      <c r="F33" s="1"/>
      <c r="G33" s="1"/>
      <c r="H33" s="1"/>
      <c r="I33" s="1"/>
      <c r="J33" s="1"/>
      <c r="K33" s="1"/>
      <c r="L33" s="1"/>
      <c r="M33" s="1"/>
      <c r="N33" s="17"/>
    </row>
    <row r="34" spans="2:14" ht="15" customHeight="1" x14ac:dyDescent="0.25">
      <c r="B34" s="19"/>
      <c r="F34" s="1"/>
      <c r="G34" s="1"/>
      <c r="H34" s="1"/>
      <c r="I34" s="1"/>
      <c r="J34" s="1"/>
      <c r="K34" s="1"/>
      <c r="L34" s="1"/>
      <c r="M34" s="1"/>
      <c r="N34" s="17"/>
    </row>
    <row r="35" spans="2:14" ht="15" customHeight="1" x14ac:dyDescent="0.25">
      <c r="B35" s="19"/>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thickBot="1" x14ac:dyDescent="0.3">
      <c r="B43" s="20"/>
      <c r="C43" s="21"/>
      <c r="D43" s="21"/>
      <c r="E43" s="21"/>
      <c r="F43" s="21"/>
      <c r="G43" s="21"/>
      <c r="H43" s="21"/>
      <c r="I43" s="21"/>
      <c r="J43" s="21"/>
      <c r="K43" s="21"/>
      <c r="L43" s="21"/>
      <c r="M43" s="21"/>
      <c r="N43" s="22"/>
    </row>
    <row r="44" spans="2:14" ht="15" customHeight="1" thickBot="1" x14ac:dyDescent="0.3"/>
    <row r="45" spans="2:14" ht="103.5" customHeight="1" thickBot="1" x14ac:dyDescent="0.3">
      <c r="B45" s="68" t="s">
        <v>129</v>
      </c>
      <c r="C45" s="69"/>
      <c r="D45" s="69"/>
      <c r="E45" s="69"/>
      <c r="F45" s="69"/>
      <c r="G45" s="69"/>
      <c r="H45" s="69"/>
      <c r="I45" s="69"/>
      <c r="J45" s="69"/>
      <c r="K45" s="69"/>
      <c r="L45" s="69"/>
      <c r="M45" s="69"/>
      <c r="N45" s="70"/>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sheetData>
  <sortState ref="C23:E24">
    <sortCondition descending="1" ref="E23"/>
  </sortState>
  <mergeCells count="4">
    <mergeCell ref="B45:N45"/>
    <mergeCell ref="C3:N3"/>
    <mergeCell ref="G7:N7"/>
    <mergeCell ref="G26:N2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8A65B-00DA-4478-8631-46ED2621C8A3}">
  <dimension ref="B1:N46"/>
  <sheetViews>
    <sheetView showGridLines="0" zoomScale="75" zoomScaleNormal="75" workbookViewId="0"/>
  </sheetViews>
  <sheetFormatPr defaultRowHeight="15" x14ac:dyDescent="0.25"/>
  <cols>
    <col min="1" max="1" width="2.85546875" customWidth="1"/>
    <col min="2" max="2" width="3.85546875" customWidth="1"/>
    <col min="3" max="3" width="56"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71" t="s">
        <v>109</v>
      </c>
      <c r="D3" s="72"/>
      <c r="E3" s="72"/>
      <c r="F3" s="72"/>
      <c r="G3" s="72"/>
      <c r="H3" s="72"/>
      <c r="I3" s="72"/>
      <c r="J3" s="72"/>
      <c r="K3" s="72"/>
      <c r="L3" s="72"/>
      <c r="M3" s="72"/>
      <c r="N3" s="73"/>
    </row>
    <row r="4" spans="2:14" ht="15.75" customHeight="1" x14ac:dyDescent="0.25">
      <c r="B4" s="19"/>
      <c r="C4" s="14"/>
      <c r="D4" s="1"/>
      <c r="E4" s="1"/>
      <c r="F4" s="1"/>
      <c r="G4" s="1"/>
      <c r="H4" s="1"/>
      <c r="I4" s="1"/>
      <c r="J4" s="1"/>
      <c r="K4" s="1"/>
      <c r="L4" s="1"/>
      <c r="M4" s="1"/>
      <c r="N4" s="17"/>
    </row>
    <row r="5" spans="2:14" ht="18" customHeight="1" x14ac:dyDescent="0.25">
      <c r="B5" s="19"/>
      <c r="C5" s="40"/>
      <c r="D5" s="27"/>
      <c r="E5" s="27"/>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74" t="s">
        <v>16</v>
      </c>
      <c r="H7" s="75"/>
      <c r="I7" s="75"/>
      <c r="J7" s="75"/>
      <c r="K7" s="75"/>
      <c r="L7" s="75"/>
      <c r="M7" s="75"/>
      <c r="N7" s="76"/>
    </row>
    <row r="8" spans="2:14" ht="15" customHeight="1" x14ac:dyDescent="0.25">
      <c r="B8" s="19"/>
      <c r="C8" s="5" t="s">
        <v>67</v>
      </c>
      <c r="D8" s="6" t="s">
        <v>50</v>
      </c>
      <c r="E8" s="11">
        <v>0.56256399999999995</v>
      </c>
      <c r="F8" s="1"/>
      <c r="G8" s="23" t="s">
        <v>15</v>
      </c>
      <c r="H8" s="24">
        <v>1</v>
      </c>
      <c r="I8" s="1"/>
      <c r="J8" s="23" t="s">
        <v>12</v>
      </c>
      <c r="K8" s="23" t="s">
        <v>3</v>
      </c>
      <c r="L8" s="1"/>
      <c r="M8" s="1"/>
      <c r="N8" s="17"/>
    </row>
    <row r="9" spans="2:14" ht="15" customHeight="1" x14ac:dyDescent="0.25">
      <c r="B9" s="19"/>
      <c r="C9" s="5" t="s">
        <v>68</v>
      </c>
      <c r="D9" s="6" t="s">
        <v>50</v>
      </c>
      <c r="E9" s="11">
        <v>0.42743900000000001</v>
      </c>
      <c r="F9" s="1"/>
      <c r="G9" s="1"/>
      <c r="H9" s="1"/>
      <c r="I9" s="1"/>
      <c r="J9" s="23" t="s">
        <v>10</v>
      </c>
      <c r="K9" s="25">
        <v>5.1580000000000003E-3</v>
      </c>
      <c r="L9" s="1"/>
      <c r="M9" s="1"/>
      <c r="N9" s="17"/>
    </row>
    <row r="10" spans="2:14" ht="15" customHeight="1" x14ac:dyDescent="0.25">
      <c r="B10" s="19"/>
      <c r="C10" s="5" t="s">
        <v>110</v>
      </c>
      <c r="D10" s="6" t="s">
        <v>50</v>
      </c>
      <c r="E10" s="11">
        <v>3.8000000000000002E-5</v>
      </c>
      <c r="F10" s="1"/>
      <c r="G10" s="1"/>
      <c r="H10" s="1"/>
      <c r="I10" s="1"/>
      <c r="J10" s="23" t="s">
        <v>13</v>
      </c>
      <c r="K10" s="25">
        <v>4.764E-3</v>
      </c>
      <c r="L10" s="1"/>
      <c r="M10" s="1"/>
      <c r="N10" s="17"/>
    </row>
    <row r="11" spans="2:14" ht="15" customHeight="1" x14ac:dyDescent="0.25">
      <c r="B11" s="19"/>
      <c r="C11" s="5" t="s">
        <v>105</v>
      </c>
      <c r="D11" s="6" t="s">
        <v>50</v>
      </c>
      <c r="E11" s="11">
        <v>3.6999999999999998E-5</v>
      </c>
      <c r="F11" s="1"/>
      <c r="G11" s="1"/>
      <c r="H11" s="1"/>
      <c r="I11" s="1"/>
      <c r="J11" s="23" t="s">
        <v>63</v>
      </c>
      <c r="K11" s="25">
        <v>0.99007800000000001</v>
      </c>
      <c r="L11" s="1"/>
      <c r="M11" s="1"/>
      <c r="N11" s="17"/>
    </row>
    <row r="12" spans="2:14" ht="15.75" customHeight="1" x14ac:dyDescent="0.25">
      <c r="B12" s="19"/>
      <c r="C12" s="7" t="s">
        <v>56</v>
      </c>
      <c r="D12" s="8"/>
      <c r="E12" s="12">
        <v>0.99007800000000001</v>
      </c>
      <c r="F12" s="1"/>
      <c r="G12" s="1"/>
      <c r="H12" s="1"/>
      <c r="I12" s="1"/>
      <c r="J12" s="1"/>
      <c r="K12" s="1"/>
      <c r="L12" s="1"/>
      <c r="M12" s="1"/>
      <c r="N12" s="17"/>
    </row>
    <row r="13" spans="2:14" ht="15" customHeight="1" x14ac:dyDescent="0.25">
      <c r="B13" s="19"/>
      <c r="C13" s="5" t="s">
        <v>8</v>
      </c>
      <c r="D13" s="6"/>
      <c r="E13" s="11">
        <v>4.764E-3</v>
      </c>
      <c r="F13" s="1"/>
      <c r="G13" s="1"/>
      <c r="H13" s="1"/>
      <c r="I13" s="1"/>
      <c r="J13" s="1"/>
      <c r="K13" s="1"/>
      <c r="L13" s="1"/>
      <c r="M13" s="1"/>
      <c r="N13" s="17"/>
    </row>
    <row r="14" spans="2:14" ht="15.75" customHeight="1" x14ac:dyDescent="0.25">
      <c r="B14" s="19"/>
      <c r="C14" s="7" t="s">
        <v>9</v>
      </c>
      <c r="D14" s="8"/>
      <c r="E14" s="12">
        <v>4.764E-3</v>
      </c>
      <c r="F14" s="1"/>
      <c r="G14" s="1"/>
      <c r="H14" s="1"/>
      <c r="I14" s="1"/>
      <c r="J14" s="1"/>
      <c r="K14" s="1"/>
      <c r="L14" s="1"/>
      <c r="M14" s="1"/>
      <c r="N14" s="17"/>
    </row>
    <row r="15" spans="2:14" ht="15" customHeight="1" x14ac:dyDescent="0.25">
      <c r="B15" s="19"/>
      <c r="C15" s="5"/>
      <c r="D15" s="6"/>
      <c r="E15" s="11"/>
      <c r="F15" s="1"/>
      <c r="G15" s="1"/>
      <c r="H15" s="1"/>
      <c r="I15" s="1"/>
      <c r="J15" s="1"/>
      <c r="K15" s="1"/>
      <c r="L15" s="1"/>
      <c r="M15" s="1"/>
      <c r="N15" s="17"/>
    </row>
    <row r="16" spans="2:14" ht="15.75" customHeight="1" x14ac:dyDescent="0.25">
      <c r="B16" s="19"/>
      <c r="C16" s="7" t="s">
        <v>10</v>
      </c>
      <c r="D16" s="8"/>
      <c r="E16" s="12">
        <v>5.1580000000000003E-3</v>
      </c>
      <c r="F16" s="1"/>
      <c r="G16" s="1"/>
      <c r="H16" s="1"/>
      <c r="I16" s="1"/>
      <c r="J16" s="1"/>
      <c r="K16" s="1"/>
      <c r="L16" s="1"/>
      <c r="M16" s="1"/>
      <c r="N16" s="17"/>
    </row>
    <row r="17" spans="2:14" ht="15" customHeight="1" x14ac:dyDescent="0.25">
      <c r="B17" s="19"/>
      <c r="C17" s="5"/>
      <c r="D17" s="6"/>
      <c r="E17" s="11"/>
      <c r="F17" s="1"/>
      <c r="G17" s="1"/>
      <c r="H17" s="1"/>
      <c r="I17" s="1"/>
      <c r="J17" s="1"/>
      <c r="K17" s="1"/>
      <c r="L17" s="1"/>
      <c r="M17" s="1"/>
      <c r="N17" s="17"/>
    </row>
    <row r="18" spans="2:14" ht="15" customHeight="1" x14ac:dyDescent="0.25">
      <c r="B18" s="19"/>
      <c r="C18" s="9" t="s">
        <v>11</v>
      </c>
      <c r="D18" s="10"/>
      <c r="E18" s="13">
        <v>1</v>
      </c>
      <c r="F18" s="1"/>
      <c r="G18" s="1"/>
      <c r="H18" s="1"/>
      <c r="I18" s="1"/>
      <c r="J18" s="1"/>
      <c r="K18" s="1"/>
      <c r="L18" s="1"/>
      <c r="M18" s="1"/>
      <c r="N18" s="17"/>
    </row>
    <row r="19" spans="2:14" ht="15" customHeight="1" x14ac:dyDescent="0.25">
      <c r="B19" s="19"/>
      <c r="C19" s="1"/>
      <c r="D19" s="1"/>
      <c r="E19" s="1"/>
      <c r="F19" s="1"/>
      <c r="G19" s="1"/>
      <c r="H19" s="1"/>
      <c r="I19" s="1"/>
      <c r="J19" s="1"/>
      <c r="K19" s="1"/>
      <c r="L19" s="1"/>
      <c r="M19" s="1"/>
      <c r="N19" s="17"/>
    </row>
    <row r="20" spans="2:14" ht="15" customHeight="1" x14ac:dyDescent="0.25">
      <c r="B20" s="19"/>
      <c r="C20" s="1"/>
      <c r="D20" s="1"/>
      <c r="E20" s="1"/>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27"/>
      <c r="H24" s="27"/>
      <c r="I24" s="27"/>
      <c r="J24" s="27"/>
      <c r="K24" s="27"/>
      <c r="L24" s="27"/>
      <c r="M24" s="27"/>
      <c r="N24" s="43"/>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74" t="s">
        <v>17</v>
      </c>
      <c r="H26" s="75"/>
      <c r="I26" s="75"/>
      <c r="J26" s="75"/>
      <c r="K26" s="75"/>
      <c r="L26" s="75"/>
      <c r="M26" s="75"/>
      <c r="N26" s="76"/>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75" thickBot="1" x14ac:dyDescent="0.3">
      <c r="B43" s="20"/>
      <c r="C43" s="21"/>
      <c r="D43" s="21"/>
      <c r="E43" s="21"/>
      <c r="F43" s="21"/>
      <c r="G43" s="21"/>
      <c r="H43" s="21"/>
      <c r="I43" s="21"/>
      <c r="J43" s="21"/>
      <c r="K43" s="21"/>
      <c r="L43" s="21"/>
      <c r="M43" s="21"/>
      <c r="N43" s="22"/>
    </row>
    <row r="44" spans="2:14" ht="15.75" thickBot="1" x14ac:dyDescent="0.3"/>
    <row r="45" spans="2:14" ht="108.75" customHeight="1" thickBot="1" x14ac:dyDescent="0.3">
      <c r="B45" s="68" t="s">
        <v>129</v>
      </c>
      <c r="C45" s="69"/>
      <c r="D45" s="69"/>
      <c r="E45" s="69"/>
      <c r="F45" s="69"/>
      <c r="G45" s="69"/>
      <c r="H45" s="69"/>
      <c r="I45" s="69"/>
      <c r="J45" s="69"/>
      <c r="K45" s="69"/>
      <c r="L45" s="69"/>
      <c r="M45" s="69"/>
      <c r="N45" s="70"/>
    </row>
    <row r="46" spans="2:14" ht="108.75" customHeight="1" x14ac:dyDescent="0.25"/>
  </sheetData>
  <mergeCells count="4">
    <mergeCell ref="B45:N45"/>
    <mergeCell ref="C3:N3"/>
    <mergeCell ref="G7:N7"/>
    <mergeCell ref="G26:N2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506F1-4D95-4C3A-A211-9F1AD5A7FBA4}">
  <dimension ref="B1:N45"/>
  <sheetViews>
    <sheetView showGridLines="0" zoomScale="75" zoomScaleNormal="75" workbookViewId="0"/>
  </sheetViews>
  <sheetFormatPr defaultRowHeight="15" x14ac:dyDescent="0.25"/>
  <cols>
    <col min="1" max="1" width="2.85546875" customWidth="1"/>
    <col min="2" max="2" width="3.85546875" customWidth="1"/>
    <col min="3" max="3" width="56"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71" t="s">
        <v>66</v>
      </c>
      <c r="D3" s="72"/>
      <c r="E3" s="72"/>
      <c r="F3" s="72"/>
      <c r="G3" s="72"/>
      <c r="H3" s="72"/>
      <c r="I3" s="72"/>
      <c r="J3" s="72"/>
      <c r="K3" s="72"/>
      <c r="L3" s="72"/>
      <c r="M3" s="72"/>
      <c r="N3" s="73"/>
    </row>
    <row r="4" spans="2:14" ht="15.75" customHeight="1" x14ac:dyDescent="0.25">
      <c r="B4" s="19"/>
      <c r="C4" s="14"/>
      <c r="D4" s="1"/>
      <c r="E4" s="1"/>
      <c r="F4" s="1"/>
      <c r="G4" s="1"/>
      <c r="H4" s="1"/>
      <c r="I4" s="1"/>
      <c r="J4" s="1"/>
      <c r="K4" s="1"/>
      <c r="L4" s="1"/>
      <c r="M4" s="1"/>
      <c r="N4" s="17"/>
    </row>
    <row r="5" spans="2:14" ht="18" customHeight="1" x14ac:dyDescent="0.25">
      <c r="B5" s="19"/>
      <c r="C5" s="40"/>
      <c r="D5" s="27"/>
      <c r="E5" s="27"/>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74" t="s">
        <v>16</v>
      </c>
      <c r="H7" s="75"/>
      <c r="I7" s="75"/>
      <c r="J7" s="75"/>
      <c r="K7" s="75"/>
      <c r="L7" s="75"/>
      <c r="M7" s="75"/>
      <c r="N7" s="76"/>
    </row>
    <row r="8" spans="2:14" ht="15" customHeight="1" x14ac:dyDescent="0.25">
      <c r="B8" s="19"/>
      <c r="C8" s="5" t="s">
        <v>67</v>
      </c>
      <c r="D8" s="6" t="s">
        <v>50</v>
      </c>
      <c r="E8" s="11">
        <v>0.57069499999999995</v>
      </c>
      <c r="F8" s="1"/>
      <c r="G8" s="23" t="s">
        <v>15</v>
      </c>
      <c r="H8" s="24">
        <v>1</v>
      </c>
      <c r="I8" s="1"/>
      <c r="J8" s="23" t="s">
        <v>12</v>
      </c>
      <c r="K8" s="23" t="s">
        <v>3</v>
      </c>
      <c r="L8" s="1"/>
      <c r="M8" s="1"/>
      <c r="N8" s="17"/>
    </row>
    <row r="9" spans="2:14" ht="15" customHeight="1" x14ac:dyDescent="0.25">
      <c r="B9" s="19"/>
      <c r="C9" s="5" t="s">
        <v>68</v>
      </c>
      <c r="D9" s="6" t="s">
        <v>50</v>
      </c>
      <c r="E9" s="11">
        <v>0.36685499999999999</v>
      </c>
      <c r="F9" s="1"/>
      <c r="G9" s="1"/>
      <c r="H9" s="1"/>
      <c r="I9" s="1"/>
      <c r="J9" s="23" t="s">
        <v>10</v>
      </c>
      <c r="K9" s="25">
        <v>1.2163E-2</v>
      </c>
      <c r="L9" s="1"/>
      <c r="M9" s="1"/>
      <c r="N9" s="17"/>
    </row>
    <row r="10" spans="2:14" ht="15" customHeight="1" x14ac:dyDescent="0.25">
      <c r="B10" s="19"/>
      <c r="C10" s="5" t="s">
        <v>69</v>
      </c>
      <c r="D10" s="6" t="s">
        <v>50</v>
      </c>
      <c r="E10" s="11">
        <v>4.6922999999999999E-2</v>
      </c>
      <c r="F10" s="1"/>
      <c r="G10" s="1"/>
      <c r="H10" s="1"/>
      <c r="I10" s="1"/>
      <c r="J10" s="23" t="s">
        <v>13</v>
      </c>
      <c r="K10" s="25">
        <v>2.715E-3</v>
      </c>
      <c r="L10" s="1"/>
      <c r="M10" s="1"/>
      <c r="N10" s="17"/>
    </row>
    <row r="11" spans="2:14" ht="15" customHeight="1" x14ac:dyDescent="0.25">
      <c r="B11" s="19"/>
      <c r="C11" s="5" t="s">
        <v>70</v>
      </c>
      <c r="D11" s="6" t="s">
        <v>50</v>
      </c>
      <c r="E11" s="11">
        <v>6.4899999999999995E-4</v>
      </c>
      <c r="F11" s="1"/>
      <c r="G11" s="1"/>
      <c r="H11" s="1"/>
      <c r="I11" s="1"/>
      <c r="J11" s="23" t="s">
        <v>63</v>
      </c>
      <c r="K11" s="25">
        <v>0.98512200000000005</v>
      </c>
      <c r="L11" s="1"/>
      <c r="M11" s="1"/>
      <c r="N11" s="17"/>
    </row>
    <row r="12" spans="2:14" ht="15.75" customHeight="1" x14ac:dyDescent="0.25">
      <c r="B12" s="19"/>
      <c r="C12" s="7" t="s">
        <v>56</v>
      </c>
      <c r="D12" s="8"/>
      <c r="E12" s="12">
        <v>0.98512200000000005</v>
      </c>
      <c r="F12" s="1"/>
      <c r="G12" s="1"/>
      <c r="H12" s="1"/>
      <c r="I12" s="1"/>
      <c r="J12" s="1"/>
      <c r="K12" s="1"/>
      <c r="L12" s="1"/>
      <c r="M12" s="1"/>
      <c r="N12" s="17"/>
    </row>
    <row r="13" spans="2:14" ht="15" customHeight="1" x14ac:dyDescent="0.25">
      <c r="B13" s="19"/>
      <c r="C13" s="5" t="s">
        <v>8</v>
      </c>
      <c r="D13" s="6"/>
      <c r="E13" s="11">
        <v>2.715E-3</v>
      </c>
      <c r="F13" s="1"/>
      <c r="G13" s="1"/>
      <c r="H13" s="1"/>
      <c r="I13" s="1"/>
      <c r="J13" s="1"/>
      <c r="K13" s="1"/>
      <c r="L13" s="1"/>
      <c r="M13" s="1"/>
      <c r="N13" s="17"/>
    </row>
    <row r="14" spans="2:14" ht="15.75" customHeight="1" x14ac:dyDescent="0.25">
      <c r="B14" s="19"/>
      <c r="C14" s="7" t="s">
        <v>9</v>
      </c>
      <c r="D14" s="8"/>
      <c r="E14" s="12">
        <v>2.715E-3</v>
      </c>
      <c r="F14" s="1"/>
      <c r="G14" s="1"/>
      <c r="H14" s="1"/>
      <c r="I14" s="1"/>
      <c r="J14" s="1"/>
      <c r="K14" s="1"/>
      <c r="L14" s="1"/>
      <c r="M14" s="1"/>
      <c r="N14" s="17"/>
    </row>
    <row r="15" spans="2:14" ht="15" customHeight="1" x14ac:dyDescent="0.25">
      <c r="B15" s="19"/>
      <c r="C15" s="5"/>
      <c r="D15" s="6"/>
      <c r="E15" s="11"/>
      <c r="F15" s="1"/>
      <c r="G15" s="1"/>
      <c r="H15" s="1"/>
      <c r="I15" s="1"/>
      <c r="J15" s="1"/>
      <c r="K15" s="1"/>
      <c r="L15" s="1"/>
      <c r="M15" s="1"/>
      <c r="N15" s="17"/>
    </row>
    <row r="16" spans="2:14" ht="15.75" customHeight="1" x14ac:dyDescent="0.25">
      <c r="B16" s="19"/>
      <c r="C16" s="7" t="s">
        <v>10</v>
      </c>
      <c r="D16" s="8"/>
      <c r="E16" s="12">
        <v>1.2163E-2</v>
      </c>
      <c r="F16" s="1"/>
      <c r="G16" s="1"/>
      <c r="H16" s="1"/>
      <c r="I16" s="1"/>
      <c r="J16" s="1"/>
      <c r="K16" s="1"/>
      <c r="L16" s="1"/>
      <c r="M16" s="1"/>
      <c r="N16" s="17"/>
    </row>
    <row r="17" spans="2:14" ht="15" customHeight="1" x14ac:dyDescent="0.25">
      <c r="B17" s="19"/>
      <c r="C17" s="5"/>
      <c r="D17" s="6"/>
      <c r="E17" s="11"/>
      <c r="F17" s="1"/>
      <c r="G17" s="1"/>
      <c r="H17" s="1"/>
      <c r="I17" s="1"/>
      <c r="J17" s="1"/>
      <c r="K17" s="1"/>
      <c r="L17" s="1"/>
      <c r="M17" s="1"/>
      <c r="N17" s="17"/>
    </row>
    <row r="18" spans="2:14" ht="15" customHeight="1" x14ac:dyDescent="0.25">
      <c r="B18" s="19"/>
      <c r="C18" s="9" t="s">
        <v>11</v>
      </c>
      <c r="D18" s="10"/>
      <c r="E18" s="13">
        <v>1</v>
      </c>
      <c r="F18" s="1"/>
      <c r="G18" s="1"/>
      <c r="H18" s="1"/>
      <c r="I18" s="1"/>
      <c r="J18" s="1"/>
      <c r="K18" s="1"/>
      <c r="L18" s="1"/>
      <c r="M18" s="1"/>
      <c r="N18" s="17"/>
    </row>
    <row r="19" spans="2:14" ht="15" customHeight="1" x14ac:dyDescent="0.25">
      <c r="B19" s="19"/>
      <c r="C19" s="1"/>
      <c r="D19" s="1"/>
      <c r="E19" s="1"/>
      <c r="F19" s="1"/>
      <c r="G19" s="1"/>
      <c r="H19" s="1"/>
      <c r="I19" s="1"/>
      <c r="J19" s="1"/>
      <c r="K19" s="1"/>
      <c r="L19" s="1"/>
      <c r="M19" s="1"/>
      <c r="N19" s="17"/>
    </row>
    <row r="20" spans="2:14" ht="15" customHeight="1" x14ac:dyDescent="0.25">
      <c r="B20" s="19"/>
      <c r="C20" s="1"/>
      <c r="D20" s="1"/>
      <c r="E20" s="1"/>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27"/>
      <c r="H24" s="27"/>
      <c r="I24" s="27"/>
      <c r="J24" s="27"/>
      <c r="K24" s="27"/>
      <c r="L24" s="27"/>
      <c r="M24" s="27"/>
      <c r="N24" s="43"/>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74" t="s">
        <v>17</v>
      </c>
      <c r="H26" s="75"/>
      <c r="I26" s="75"/>
      <c r="J26" s="75"/>
      <c r="K26" s="75"/>
      <c r="L26" s="75"/>
      <c r="M26" s="75"/>
      <c r="N26" s="76"/>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75" thickBot="1" x14ac:dyDescent="0.3">
      <c r="B43" s="20"/>
      <c r="C43" s="21"/>
      <c r="D43" s="21"/>
      <c r="E43" s="21"/>
      <c r="F43" s="21"/>
      <c r="G43" s="21"/>
      <c r="H43" s="21"/>
      <c r="I43" s="21"/>
      <c r="J43" s="21"/>
      <c r="K43" s="21"/>
      <c r="L43" s="21"/>
      <c r="M43" s="21"/>
      <c r="N43" s="22"/>
    </row>
    <row r="44" spans="2:14" ht="15.75" thickBot="1" x14ac:dyDescent="0.3"/>
    <row r="45" spans="2:14" ht="105" customHeight="1" thickBot="1" x14ac:dyDescent="0.3">
      <c r="B45" s="68" t="s">
        <v>129</v>
      </c>
      <c r="C45" s="69"/>
      <c r="D45" s="69"/>
      <c r="E45" s="69"/>
      <c r="F45" s="69"/>
      <c r="G45" s="69"/>
      <c r="H45" s="69"/>
      <c r="I45" s="69"/>
      <c r="J45" s="69"/>
      <c r="K45" s="69"/>
      <c r="L45" s="69"/>
      <c r="M45" s="69"/>
      <c r="N45" s="70"/>
    </row>
  </sheetData>
  <mergeCells count="4">
    <mergeCell ref="B45:N45"/>
    <mergeCell ref="C3:N3"/>
    <mergeCell ref="G7:N7"/>
    <mergeCell ref="G26:N2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C4EA3-5C34-4B1E-97C7-D47332E8FC8D}">
  <dimension ref="B1:N50"/>
  <sheetViews>
    <sheetView showGridLines="0" zoomScale="75" zoomScaleNormal="75" workbookViewId="0"/>
  </sheetViews>
  <sheetFormatPr defaultRowHeight="15" x14ac:dyDescent="0.25"/>
  <cols>
    <col min="1" max="1" width="2.85546875" style="26" customWidth="1"/>
    <col min="2" max="2" width="3.85546875" style="26" customWidth="1"/>
    <col min="3" max="3" width="58.85546875" style="26" bestFit="1" customWidth="1"/>
    <col min="4" max="4" width="13.7109375" style="26" customWidth="1"/>
    <col min="5" max="5" width="16.7109375" style="26" customWidth="1"/>
    <col min="6" max="6" width="9.140625" style="26"/>
    <col min="7" max="7" width="10.7109375" style="26" customWidth="1"/>
    <col min="8" max="8" width="9.5703125" style="26" customWidth="1"/>
    <col min="9" max="10" width="9.28515625" style="26" customWidth="1"/>
    <col min="11" max="12" width="16.42578125" style="26" customWidth="1"/>
    <col min="13" max="16384" width="9.140625" style="26"/>
  </cols>
  <sheetData>
    <row r="1" spans="2:14" ht="15.75" customHeight="1" thickBot="1" x14ac:dyDescent="0.3"/>
    <row r="2" spans="2:14" ht="15" customHeight="1" x14ac:dyDescent="0.25">
      <c r="B2" s="44"/>
      <c r="C2" s="41"/>
      <c r="D2" s="41"/>
      <c r="E2" s="41"/>
      <c r="F2" s="41"/>
      <c r="G2" s="41"/>
      <c r="H2" s="41"/>
      <c r="I2" s="41"/>
      <c r="J2" s="41"/>
      <c r="K2" s="41"/>
      <c r="L2" s="41"/>
      <c r="M2" s="41"/>
      <c r="N2" s="42"/>
    </row>
    <row r="3" spans="2:14" ht="20.25" customHeight="1" x14ac:dyDescent="0.25">
      <c r="B3" s="45"/>
      <c r="C3" s="71" t="s">
        <v>195</v>
      </c>
      <c r="D3" s="72"/>
      <c r="E3" s="72"/>
      <c r="F3" s="72"/>
      <c r="G3" s="72"/>
      <c r="H3" s="72"/>
      <c r="I3" s="72"/>
      <c r="J3" s="72"/>
      <c r="K3" s="72"/>
      <c r="L3" s="72"/>
      <c r="M3" s="72"/>
      <c r="N3" s="73"/>
    </row>
    <row r="4" spans="2:14" ht="15.75" customHeight="1" x14ac:dyDescent="0.25">
      <c r="B4" s="45"/>
      <c r="C4" s="40"/>
      <c r="D4" s="27"/>
      <c r="E4" s="27"/>
      <c r="F4" s="27"/>
      <c r="G4" s="27"/>
      <c r="H4" s="27"/>
      <c r="I4" s="27"/>
      <c r="J4" s="27"/>
      <c r="K4" s="27"/>
      <c r="L4" s="27"/>
      <c r="M4" s="27"/>
      <c r="N4" s="43"/>
    </row>
    <row r="5" spans="2:14" ht="18" customHeight="1" x14ac:dyDescent="0.25">
      <c r="B5" s="45"/>
      <c r="C5" s="40"/>
      <c r="D5" s="27"/>
      <c r="E5" s="27"/>
      <c r="F5" s="27"/>
      <c r="G5" s="27"/>
      <c r="H5" s="27"/>
      <c r="I5" s="27"/>
      <c r="J5" s="27"/>
      <c r="K5" s="27"/>
      <c r="L5" s="27"/>
      <c r="M5" s="27"/>
      <c r="N5" s="43"/>
    </row>
    <row r="6" spans="2:14" ht="15" customHeight="1" x14ac:dyDescent="0.25">
      <c r="B6" s="45"/>
      <c r="C6" s="27"/>
      <c r="D6" s="27"/>
      <c r="E6" s="27"/>
      <c r="F6" s="27"/>
      <c r="G6" s="27"/>
      <c r="H6" s="27"/>
      <c r="I6" s="27"/>
      <c r="J6" s="27"/>
      <c r="K6" s="27"/>
      <c r="L6" s="27"/>
      <c r="M6" s="27"/>
      <c r="N6" s="43"/>
    </row>
    <row r="7" spans="2:14" ht="32.25" customHeight="1" x14ac:dyDescent="0.25">
      <c r="B7" s="45"/>
      <c r="C7" s="30" t="s">
        <v>1</v>
      </c>
      <c r="D7" s="29" t="s">
        <v>2</v>
      </c>
      <c r="E7" s="28" t="s">
        <v>3</v>
      </c>
      <c r="F7" s="27"/>
      <c r="G7" s="74" t="s">
        <v>16</v>
      </c>
      <c r="H7" s="75"/>
      <c r="I7" s="75"/>
      <c r="J7" s="75"/>
      <c r="K7" s="75"/>
      <c r="L7" s="75"/>
      <c r="M7" s="75"/>
      <c r="N7" s="76"/>
    </row>
    <row r="8" spans="2:14" ht="15" customHeight="1" x14ac:dyDescent="0.25">
      <c r="B8" s="45"/>
      <c r="C8" s="31" t="s">
        <v>72</v>
      </c>
      <c r="D8" s="32" t="s">
        <v>20</v>
      </c>
      <c r="E8" s="37">
        <v>2.7389E-2</v>
      </c>
      <c r="F8" s="27"/>
      <c r="G8" s="49" t="s">
        <v>15</v>
      </c>
      <c r="H8" s="50">
        <v>1</v>
      </c>
      <c r="I8" s="27"/>
      <c r="J8" s="49" t="s">
        <v>12</v>
      </c>
      <c r="K8" s="49" t="s">
        <v>3</v>
      </c>
      <c r="L8" s="27"/>
      <c r="M8" s="27"/>
      <c r="N8" s="43"/>
    </row>
    <row r="9" spans="2:14" ht="15.75" customHeight="1" x14ac:dyDescent="0.25">
      <c r="B9" s="45"/>
      <c r="C9" s="33" t="s">
        <v>24</v>
      </c>
      <c r="D9" s="34"/>
      <c r="E9" s="38">
        <v>2.7389E-2</v>
      </c>
      <c r="F9" s="27"/>
      <c r="G9" s="27"/>
      <c r="H9" s="27"/>
      <c r="I9" s="27"/>
      <c r="J9" s="49" t="s">
        <v>10</v>
      </c>
      <c r="K9" s="51">
        <v>1.0855999999999999E-2</v>
      </c>
      <c r="L9" s="27"/>
      <c r="M9" s="27"/>
      <c r="N9" s="43"/>
    </row>
    <row r="10" spans="2:14" ht="15" customHeight="1" x14ac:dyDescent="0.25">
      <c r="B10" s="45"/>
      <c r="C10" s="31" t="s">
        <v>28</v>
      </c>
      <c r="D10" s="32" t="s">
        <v>26</v>
      </c>
      <c r="E10" s="37">
        <v>1.8957999999999999E-2</v>
      </c>
      <c r="F10" s="27"/>
      <c r="G10" s="27"/>
      <c r="H10" s="27"/>
      <c r="I10" s="27"/>
      <c r="J10" s="49" t="s">
        <v>13</v>
      </c>
      <c r="K10" s="51">
        <v>2.0788000000000001E-2</v>
      </c>
      <c r="L10" s="27"/>
      <c r="M10" s="27"/>
      <c r="N10" s="43"/>
    </row>
    <row r="11" spans="2:14" ht="15" customHeight="1" x14ac:dyDescent="0.25">
      <c r="B11" s="45"/>
      <c r="C11" s="31" t="s">
        <v>29</v>
      </c>
      <c r="D11" s="32" t="s">
        <v>26</v>
      </c>
      <c r="E11" s="37">
        <v>9.3790000000000002E-3</v>
      </c>
      <c r="F11" s="27"/>
      <c r="G11" s="27"/>
      <c r="H11" s="27"/>
      <c r="I11" s="27"/>
      <c r="J11" s="49" t="s">
        <v>60</v>
      </c>
      <c r="K11" s="51">
        <v>3.0974000000000002E-2</v>
      </c>
      <c r="L11" s="27"/>
      <c r="M11" s="27"/>
      <c r="N11" s="43"/>
    </row>
    <row r="12" spans="2:14" ht="15" customHeight="1" x14ac:dyDescent="0.25">
      <c r="B12" s="45"/>
      <c r="C12" s="31" t="s">
        <v>23</v>
      </c>
      <c r="D12" s="32" t="s">
        <v>26</v>
      </c>
      <c r="E12" s="37">
        <v>1.8760000000000001E-3</v>
      </c>
      <c r="F12" s="27"/>
      <c r="G12" s="27"/>
      <c r="H12" s="27"/>
      <c r="I12" s="27"/>
      <c r="J12" s="49" t="s">
        <v>61</v>
      </c>
      <c r="K12" s="51">
        <v>2.7389E-2</v>
      </c>
      <c r="L12" s="27"/>
      <c r="M12" s="27"/>
      <c r="N12" s="43"/>
    </row>
    <row r="13" spans="2:14" ht="15" customHeight="1" x14ac:dyDescent="0.25">
      <c r="B13" s="45"/>
      <c r="C13" s="31" t="s">
        <v>25</v>
      </c>
      <c r="D13" s="32" t="s">
        <v>26</v>
      </c>
      <c r="E13" s="37">
        <v>3.8299999999999999E-4</v>
      </c>
      <c r="F13" s="27"/>
      <c r="G13" s="27"/>
      <c r="H13" s="27"/>
      <c r="I13" s="27"/>
      <c r="J13" s="49" t="s">
        <v>63</v>
      </c>
      <c r="K13" s="51">
        <v>0.88628899999999999</v>
      </c>
      <c r="L13" s="27"/>
      <c r="M13" s="27"/>
      <c r="N13" s="43"/>
    </row>
    <row r="14" spans="2:14" ht="15" customHeight="1" x14ac:dyDescent="0.25">
      <c r="B14" s="45"/>
      <c r="C14" s="31" t="s">
        <v>35</v>
      </c>
      <c r="D14" s="32" t="s">
        <v>26</v>
      </c>
      <c r="E14" s="37">
        <v>3.7800000000000003E-4</v>
      </c>
      <c r="F14" s="27"/>
      <c r="G14" s="27"/>
      <c r="H14" s="27"/>
      <c r="I14" s="27"/>
      <c r="J14" s="49" t="s">
        <v>78</v>
      </c>
      <c r="K14" s="51">
        <v>1.0976E-2</v>
      </c>
      <c r="L14" s="27"/>
      <c r="M14" s="27"/>
      <c r="N14" s="43"/>
    </row>
    <row r="15" spans="2:14" ht="15.75" customHeight="1" x14ac:dyDescent="0.25">
      <c r="B15" s="45"/>
      <c r="C15" s="33" t="s">
        <v>46</v>
      </c>
      <c r="D15" s="34"/>
      <c r="E15" s="38">
        <v>3.0974000000000002E-2</v>
      </c>
      <c r="F15" s="27"/>
      <c r="G15" s="27"/>
      <c r="H15" s="27"/>
      <c r="I15" s="27"/>
      <c r="J15" s="49" t="s">
        <v>64</v>
      </c>
      <c r="K15" s="51">
        <v>1.2728E-2</v>
      </c>
      <c r="L15" s="27"/>
      <c r="M15" s="27"/>
      <c r="N15" s="43"/>
    </row>
    <row r="16" spans="2:14" ht="15" customHeight="1" x14ac:dyDescent="0.25">
      <c r="B16" s="45"/>
      <c r="C16" s="31" t="s">
        <v>67</v>
      </c>
      <c r="D16" s="32" t="s">
        <v>50</v>
      </c>
      <c r="E16" s="37">
        <v>0.60056100000000001</v>
      </c>
      <c r="F16" s="27"/>
      <c r="G16" s="27"/>
      <c r="H16" s="27"/>
      <c r="I16" s="27"/>
      <c r="J16" s="27"/>
      <c r="K16" s="27"/>
      <c r="L16" s="27"/>
      <c r="M16" s="27"/>
      <c r="N16" s="43"/>
    </row>
    <row r="17" spans="2:14" ht="15" customHeight="1" x14ac:dyDescent="0.25">
      <c r="B17" s="45"/>
      <c r="C17" s="31" t="s">
        <v>68</v>
      </c>
      <c r="D17" s="32" t="s">
        <v>50</v>
      </c>
      <c r="E17" s="37">
        <v>0.28416200000000003</v>
      </c>
      <c r="F17" s="27"/>
      <c r="G17" s="27"/>
      <c r="H17" s="27"/>
      <c r="I17" s="27"/>
      <c r="J17" s="27"/>
      <c r="K17" s="27"/>
      <c r="L17" s="27"/>
      <c r="M17" s="27"/>
      <c r="N17" s="43"/>
    </row>
    <row r="18" spans="2:14" ht="15" customHeight="1" x14ac:dyDescent="0.25">
      <c r="B18" s="45"/>
      <c r="C18" s="31" t="s">
        <v>105</v>
      </c>
      <c r="D18" s="32" t="s">
        <v>50</v>
      </c>
      <c r="E18" s="37">
        <v>1.5219999999999999E-3</v>
      </c>
      <c r="F18" s="27"/>
      <c r="G18" s="27"/>
      <c r="H18" s="27"/>
      <c r="I18" s="27"/>
      <c r="J18" s="27"/>
      <c r="K18" s="27"/>
      <c r="L18" s="27"/>
      <c r="M18" s="27"/>
      <c r="N18" s="43"/>
    </row>
    <row r="19" spans="2:14" ht="15" customHeight="1" x14ac:dyDescent="0.25">
      <c r="B19" s="45"/>
      <c r="C19" s="31" t="s">
        <v>75</v>
      </c>
      <c r="D19" s="32" t="s">
        <v>50</v>
      </c>
      <c r="E19" s="37">
        <v>4.3999999999999999E-5</v>
      </c>
      <c r="F19" s="27"/>
      <c r="G19" s="27"/>
      <c r="H19" s="27"/>
      <c r="I19" s="27"/>
      <c r="J19" s="27"/>
      <c r="K19" s="27"/>
      <c r="L19" s="27"/>
      <c r="M19" s="27"/>
      <c r="N19" s="43"/>
    </row>
    <row r="20" spans="2:14" ht="15.75" customHeight="1" x14ac:dyDescent="0.25">
      <c r="B20" s="45"/>
      <c r="C20" s="33" t="s">
        <v>56</v>
      </c>
      <c r="D20" s="34"/>
      <c r="E20" s="38">
        <v>0.88628899999999999</v>
      </c>
      <c r="F20" s="27"/>
      <c r="G20" s="27"/>
      <c r="H20" s="27"/>
      <c r="I20" s="27"/>
      <c r="J20" s="27"/>
      <c r="K20" s="27"/>
      <c r="L20" s="27"/>
      <c r="M20" s="27"/>
      <c r="N20" s="43"/>
    </row>
    <row r="21" spans="2:14" ht="15" customHeight="1" x14ac:dyDescent="0.25">
      <c r="B21" s="45"/>
      <c r="C21" s="31" t="s">
        <v>187</v>
      </c>
      <c r="D21" s="32" t="s">
        <v>76</v>
      </c>
      <c r="E21" s="37">
        <v>1.0976E-2</v>
      </c>
      <c r="F21" s="27"/>
      <c r="G21" s="27"/>
      <c r="H21" s="27"/>
      <c r="I21" s="27"/>
      <c r="J21" s="27"/>
      <c r="K21" s="27"/>
      <c r="L21" s="27"/>
      <c r="M21" s="27"/>
      <c r="N21" s="43"/>
    </row>
    <row r="22" spans="2:14" ht="15.75" customHeight="1" x14ac:dyDescent="0.25">
      <c r="B22" s="45"/>
      <c r="C22" s="33" t="s">
        <v>77</v>
      </c>
      <c r="D22" s="34"/>
      <c r="E22" s="38">
        <v>1.0976E-2</v>
      </c>
      <c r="F22" s="27"/>
      <c r="G22" s="27"/>
      <c r="H22" s="27"/>
      <c r="I22" s="27"/>
      <c r="J22" s="27"/>
      <c r="K22" s="27"/>
      <c r="L22" s="27"/>
      <c r="M22" s="27"/>
      <c r="N22" s="43"/>
    </row>
    <row r="23" spans="2:14" ht="15" customHeight="1" x14ac:dyDescent="0.25">
      <c r="B23" s="45"/>
      <c r="C23" s="31" t="s">
        <v>198</v>
      </c>
      <c r="D23" s="32" t="s">
        <v>50</v>
      </c>
      <c r="E23" s="37">
        <v>5.9709999999999997E-3</v>
      </c>
      <c r="F23" s="27"/>
      <c r="G23" s="27"/>
      <c r="H23" s="27"/>
      <c r="I23" s="27"/>
      <c r="J23" s="27"/>
      <c r="K23" s="27"/>
      <c r="L23" s="27"/>
      <c r="M23" s="27"/>
      <c r="N23" s="43"/>
    </row>
    <row r="24" spans="2:14" ht="15.75" customHeight="1" x14ac:dyDescent="0.25">
      <c r="B24" s="45"/>
      <c r="C24" s="31" t="s">
        <v>197</v>
      </c>
      <c r="D24" s="32" t="s">
        <v>50</v>
      </c>
      <c r="E24" s="37">
        <v>5.9649999999999998E-3</v>
      </c>
      <c r="F24" s="27"/>
      <c r="G24" s="27"/>
      <c r="H24" s="27"/>
      <c r="I24" s="27"/>
      <c r="J24" s="27"/>
      <c r="K24" s="27"/>
      <c r="L24" s="27"/>
      <c r="M24" s="27"/>
      <c r="N24" s="43"/>
    </row>
    <row r="25" spans="2:14" ht="15" customHeight="1" x14ac:dyDescent="0.25">
      <c r="B25" s="45"/>
      <c r="C25" s="31" t="s">
        <v>199</v>
      </c>
      <c r="D25" s="32" t="s">
        <v>50</v>
      </c>
      <c r="E25" s="37">
        <v>7.8200000000000003E-4</v>
      </c>
      <c r="F25" s="27"/>
      <c r="G25" s="27"/>
      <c r="H25" s="27"/>
      <c r="I25" s="27"/>
      <c r="J25" s="27"/>
      <c r="K25" s="27"/>
      <c r="L25" s="27"/>
      <c r="M25" s="27"/>
      <c r="N25" s="43"/>
    </row>
    <row r="26" spans="2:14" ht="15.75" customHeight="1" x14ac:dyDescent="0.25">
      <c r="B26" s="45"/>
      <c r="C26" s="31" t="s">
        <v>196</v>
      </c>
      <c r="D26" s="32" t="s">
        <v>50</v>
      </c>
      <c r="E26" s="54">
        <v>7.9999999999999996E-6</v>
      </c>
      <c r="F26" s="27"/>
      <c r="G26" s="74" t="s">
        <v>17</v>
      </c>
      <c r="H26" s="75"/>
      <c r="I26" s="75"/>
      <c r="J26" s="75"/>
      <c r="K26" s="75"/>
      <c r="L26" s="75"/>
      <c r="M26" s="75"/>
      <c r="N26" s="76"/>
    </row>
    <row r="27" spans="2:14" ht="15" customHeight="1" x14ac:dyDescent="0.25">
      <c r="B27" s="45"/>
      <c r="C27" s="31" t="s">
        <v>200</v>
      </c>
      <c r="D27" s="32" t="s">
        <v>50</v>
      </c>
      <c r="E27" s="55">
        <v>1.9999999999999999E-6</v>
      </c>
      <c r="F27" s="27"/>
      <c r="G27" s="27"/>
      <c r="H27" s="27"/>
      <c r="I27" s="27"/>
      <c r="J27" s="27"/>
      <c r="K27" s="27"/>
      <c r="L27" s="27"/>
      <c r="M27" s="27"/>
      <c r="N27" s="43"/>
    </row>
    <row r="28" spans="2:14" ht="15.75" customHeight="1" x14ac:dyDescent="0.25">
      <c r="B28" s="45"/>
      <c r="C28" s="33" t="s">
        <v>57</v>
      </c>
      <c r="D28" s="34"/>
      <c r="E28" s="38">
        <v>1.2728E-2</v>
      </c>
      <c r="F28" s="27"/>
      <c r="G28" s="27"/>
      <c r="H28" s="27"/>
      <c r="I28" s="27"/>
      <c r="J28" s="27"/>
      <c r="K28" s="27"/>
      <c r="L28" s="27"/>
      <c r="M28" s="27"/>
      <c r="N28" s="43"/>
    </row>
    <row r="29" spans="2:14" ht="15" customHeight="1" x14ac:dyDescent="0.25">
      <c r="B29" s="45"/>
      <c r="C29" s="31" t="s">
        <v>8</v>
      </c>
      <c r="D29" s="32"/>
      <c r="E29" s="37">
        <v>2.0788000000000001E-2</v>
      </c>
      <c r="F29" s="27"/>
      <c r="G29" s="27"/>
      <c r="H29" s="27"/>
      <c r="I29" s="27"/>
      <c r="J29" s="27"/>
      <c r="K29" s="27"/>
      <c r="L29" s="27"/>
      <c r="M29" s="27"/>
      <c r="N29" s="43"/>
    </row>
    <row r="30" spans="2:14" ht="15" customHeight="1" x14ac:dyDescent="0.25">
      <c r="B30" s="45"/>
      <c r="C30" s="33" t="s">
        <v>9</v>
      </c>
      <c r="D30" s="34"/>
      <c r="E30" s="38">
        <v>2.0788000000000001E-2</v>
      </c>
      <c r="F30" s="27"/>
      <c r="G30" s="27"/>
      <c r="H30" s="27"/>
      <c r="I30" s="27"/>
      <c r="J30" s="27"/>
      <c r="K30" s="27"/>
      <c r="L30" s="27"/>
      <c r="M30" s="27"/>
      <c r="N30" s="43"/>
    </row>
    <row r="31" spans="2:14" ht="15" customHeight="1" x14ac:dyDescent="0.25">
      <c r="B31" s="45"/>
      <c r="C31" s="31"/>
      <c r="D31" s="32"/>
      <c r="E31" s="37"/>
      <c r="F31" s="27"/>
      <c r="G31" s="27"/>
      <c r="H31" s="27"/>
      <c r="I31" s="27"/>
      <c r="J31" s="27"/>
      <c r="K31" s="27"/>
      <c r="L31" s="27"/>
      <c r="M31" s="27"/>
      <c r="N31" s="43"/>
    </row>
    <row r="32" spans="2:14" ht="15" customHeight="1" x14ac:dyDescent="0.25">
      <c r="B32" s="45"/>
      <c r="C32" s="33" t="s">
        <v>10</v>
      </c>
      <c r="D32" s="34"/>
      <c r="E32" s="38">
        <v>1.0855999999999999E-2</v>
      </c>
      <c r="F32" s="27"/>
      <c r="G32" s="27"/>
      <c r="H32" s="27"/>
      <c r="I32" s="27"/>
      <c r="J32" s="27"/>
      <c r="K32" s="27"/>
      <c r="L32" s="27"/>
      <c r="M32" s="27"/>
      <c r="N32" s="43"/>
    </row>
    <row r="33" spans="2:14" ht="15" customHeight="1" x14ac:dyDescent="0.25">
      <c r="B33" s="45"/>
      <c r="C33" s="31"/>
      <c r="D33" s="32"/>
      <c r="E33" s="37"/>
      <c r="F33" s="27"/>
      <c r="G33" s="27"/>
      <c r="H33" s="27"/>
      <c r="I33" s="27"/>
      <c r="J33" s="27"/>
      <c r="K33" s="27"/>
      <c r="L33" s="27"/>
      <c r="M33" s="27"/>
      <c r="N33" s="43"/>
    </row>
    <row r="34" spans="2:14" ht="15" customHeight="1" x14ac:dyDescent="0.25">
      <c r="B34" s="45"/>
      <c r="C34" s="35" t="s">
        <v>11</v>
      </c>
      <c r="D34" s="36"/>
      <c r="E34" s="39">
        <v>1</v>
      </c>
      <c r="F34" s="27"/>
      <c r="G34" s="27"/>
      <c r="H34" s="27"/>
      <c r="I34" s="27"/>
      <c r="J34" s="27"/>
      <c r="K34" s="27"/>
      <c r="L34" s="27"/>
      <c r="M34" s="27"/>
      <c r="N34" s="43"/>
    </row>
    <row r="35" spans="2:14" ht="15" customHeight="1" x14ac:dyDescent="0.25">
      <c r="B35" s="45"/>
      <c r="F35" s="27"/>
      <c r="G35" s="27"/>
      <c r="H35" s="27"/>
      <c r="I35" s="27"/>
      <c r="J35" s="27"/>
      <c r="K35" s="27"/>
      <c r="L35" s="27"/>
      <c r="M35" s="27"/>
      <c r="N35" s="43"/>
    </row>
    <row r="36" spans="2:14" ht="15" customHeight="1" x14ac:dyDescent="0.25">
      <c r="B36" s="45"/>
      <c r="C36" s="27" t="s">
        <v>186</v>
      </c>
      <c r="F36" s="27"/>
      <c r="G36" s="27"/>
      <c r="H36" s="27"/>
      <c r="I36" s="27"/>
      <c r="J36" s="27"/>
      <c r="K36" s="27"/>
      <c r="L36" s="27"/>
      <c r="M36" s="27"/>
      <c r="N36" s="43"/>
    </row>
    <row r="37" spans="2:14" ht="15" customHeight="1" x14ac:dyDescent="0.25">
      <c r="B37" s="45"/>
      <c r="F37" s="27"/>
      <c r="G37" s="27"/>
      <c r="H37" s="27"/>
      <c r="I37" s="27"/>
      <c r="J37" s="27"/>
      <c r="K37" s="27"/>
      <c r="L37" s="27"/>
      <c r="M37" s="27"/>
      <c r="N37" s="43"/>
    </row>
    <row r="38" spans="2:14" ht="15" customHeight="1" x14ac:dyDescent="0.25">
      <c r="B38" s="45"/>
      <c r="F38" s="27"/>
      <c r="G38" s="27"/>
      <c r="H38" s="27"/>
      <c r="I38" s="27"/>
      <c r="J38" s="27"/>
      <c r="K38" s="27"/>
      <c r="L38" s="27"/>
      <c r="M38" s="27"/>
      <c r="N38" s="43"/>
    </row>
    <row r="39" spans="2:14" ht="15" customHeight="1" x14ac:dyDescent="0.25">
      <c r="B39" s="45"/>
      <c r="C39" s="27"/>
      <c r="D39" s="27"/>
      <c r="E39" s="27"/>
      <c r="F39" s="27"/>
      <c r="G39" s="27"/>
      <c r="H39" s="27"/>
      <c r="I39" s="27"/>
      <c r="J39" s="27"/>
      <c r="K39" s="27"/>
      <c r="L39" s="27"/>
      <c r="M39" s="27"/>
      <c r="N39" s="43"/>
    </row>
    <row r="40" spans="2:14" ht="15" customHeight="1" x14ac:dyDescent="0.25">
      <c r="B40" s="45"/>
      <c r="C40" s="27"/>
      <c r="D40" s="27"/>
      <c r="E40" s="27"/>
      <c r="F40" s="27"/>
      <c r="G40" s="27"/>
      <c r="H40" s="27"/>
      <c r="I40" s="27"/>
      <c r="J40" s="27"/>
      <c r="K40" s="27"/>
      <c r="L40" s="27"/>
      <c r="M40" s="27"/>
      <c r="N40" s="43"/>
    </row>
    <row r="41" spans="2:14" ht="15" customHeight="1" x14ac:dyDescent="0.25">
      <c r="B41" s="45"/>
      <c r="C41" s="27"/>
      <c r="D41" s="27"/>
      <c r="E41" s="27"/>
      <c r="F41" s="27"/>
      <c r="G41" s="27"/>
      <c r="H41" s="27"/>
      <c r="I41" s="27"/>
      <c r="J41" s="27"/>
      <c r="K41" s="27"/>
      <c r="L41" s="27"/>
      <c r="M41" s="27"/>
      <c r="N41" s="43"/>
    </row>
    <row r="42" spans="2:14" ht="15" customHeight="1" x14ac:dyDescent="0.25">
      <c r="B42" s="45"/>
      <c r="C42" s="27"/>
      <c r="D42" s="27"/>
      <c r="E42" s="27"/>
      <c r="F42" s="27"/>
      <c r="G42" s="27"/>
      <c r="H42" s="27"/>
      <c r="I42" s="27"/>
      <c r="J42" s="27"/>
      <c r="K42" s="27"/>
      <c r="L42" s="27"/>
      <c r="M42" s="27"/>
      <c r="N42" s="43"/>
    </row>
    <row r="43" spans="2:14" ht="15" customHeight="1" thickBot="1" x14ac:dyDescent="0.3">
      <c r="B43" s="46"/>
      <c r="C43" s="47"/>
      <c r="D43" s="47"/>
      <c r="E43" s="47"/>
      <c r="F43" s="47"/>
      <c r="G43" s="47"/>
      <c r="H43" s="47"/>
      <c r="I43" s="47"/>
      <c r="J43" s="47"/>
      <c r="K43" s="47"/>
      <c r="L43" s="47"/>
      <c r="M43" s="47"/>
      <c r="N43" s="48"/>
    </row>
    <row r="44" spans="2:14" ht="15" customHeight="1" thickBot="1" x14ac:dyDescent="0.3"/>
    <row r="45" spans="2:14" ht="117.75" customHeight="1" thickBot="1" x14ac:dyDescent="0.3">
      <c r="B45" s="68" t="s">
        <v>129</v>
      </c>
      <c r="C45" s="69"/>
      <c r="D45" s="69"/>
      <c r="E45" s="69"/>
      <c r="F45" s="69"/>
      <c r="G45" s="69"/>
      <c r="H45" s="69"/>
      <c r="I45" s="69"/>
      <c r="J45" s="69"/>
      <c r="K45" s="69"/>
      <c r="L45" s="69"/>
      <c r="M45" s="69"/>
      <c r="N45" s="70"/>
    </row>
    <row r="46" spans="2:14" ht="15" customHeight="1" x14ac:dyDescent="0.25"/>
    <row r="47" spans="2:14" ht="15" customHeight="1" x14ac:dyDescent="0.25"/>
    <row r="48" spans="2:14" ht="15" customHeight="1" x14ac:dyDescent="0.25"/>
    <row r="49" ht="15" customHeight="1" x14ac:dyDescent="0.25"/>
    <row r="50" ht="15" customHeight="1" x14ac:dyDescent="0.25"/>
  </sheetData>
  <sortState ref="C23:E27">
    <sortCondition descending="1" ref="E23"/>
  </sortState>
  <mergeCells count="4">
    <mergeCell ref="B45:N45"/>
    <mergeCell ref="C3:N3"/>
    <mergeCell ref="G7:N7"/>
    <mergeCell ref="G26:N26"/>
  </mergeCells>
  <pageMargins left="0.7" right="0.7" top="0.75" bottom="0.75" header="0.3" footer="0.3"/>
  <pageSetup paperSize="9" orientation="portrait"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D0253-3652-422A-9CA5-4AEBE490BD3C}">
  <dimension ref="B1:N59"/>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71" t="s">
        <v>71</v>
      </c>
      <c r="D3" s="72"/>
      <c r="E3" s="72"/>
      <c r="F3" s="72"/>
      <c r="G3" s="72"/>
      <c r="H3" s="72"/>
      <c r="I3" s="72"/>
      <c r="J3" s="72"/>
      <c r="K3" s="72"/>
      <c r="L3" s="72"/>
      <c r="M3" s="72"/>
      <c r="N3" s="73"/>
    </row>
    <row r="4" spans="2:14" ht="15.75" customHeight="1" x14ac:dyDescent="0.25">
      <c r="B4" s="19"/>
      <c r="C4" s="14"/>
      <c r="D4" s="1"/>
      <c r="E4" s="1"/>
      <c r="F4" s="1"/>
      <c r="G4" s="1"/>
      <c r="H4" s="1"/>
      <c r="I4" s="1"/>
      <c r="J4" s="1"/>
      <c r="K4" s="1"/>
      <c r="L4" s="1"/>
      <c r="M4" s="1"/>
      <c r="N4" s="17"/>
    </row>
    <row r="5" spans="2:14" ht="18" customHeight="1" x14ac:dyDescent="0.25">
      <c r="B5" s="19"/>
      <c r="C5" s="40"/>
      <c r="D5" s="27"/>
      <c r="E5" s="27"/>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74" t="s">
        <v>16</v>
      </c>
      <c r="H7" s="75"/>
      <c r="I7" s="75"/>
      <c r="J7" s="75"/>
      <c r="K7" s="75"/>
      <c r="L7" s="75"/>
      <c r="M7" s="75"/>
      <c r="N7" s="76"/>
    </row>
    <row r="8" spans="2:14" ht="15" customHeight="1" x14ac:dyDescent="0.25">
      <c r="B8" s="19"/>
      <c r="C8" s="5" t="s">
        <v>72</v>
      </c>
      <c r="D8" s="6" t="s">
        <v>20</v>
      </c>
      <c r="E8" s="11">
        <v>3.5950000000000001E-3</v>
      </c>
      <c r="F8" s="1"/>
      <c r="G8" s="23" t="s">
        <v>15</v>
      </c>
      <c r="H8" s="24">
        <v>1</v>
      </c>
      <c r="I8" s="1"/>
      <c r="J8" s="23" t="s">
        <v>12</v>
      </c>
      <c r="K8" s="23" t="s">
        <v>3</v>
      </c>
      <c r="L8" s="1"/>
      <c r="M8" s="1"/>
      <c r="N8" s="17"/>
    </row>
    <row r="9" spans="2:14" ht="15.75" customHeight="1" x14ac:dyDescent="0.25">
      <c r="B9" s="19"/>
      <c r="C9" s="7" t="s">
        <v>24</v>
      </c>
      <c r="D9" s="8"/>
      <c r="E9" s="12">
        <v>3.5950000000000001E-3</v>
      </c>
      <c r="F9" s="1"/>
      <c r="G9" s="1"/>
      <c r="H9" s="1"/>
      <c r="I9" s="1"/>
      <c r="J9" s="23" t="s">
        <v>10</v>
      </c>
      <c r="K9" s="25">
        <v>2.4641E-2</v>
      </c>
      <c r="L9" s="1"/>
      <c r="M9" s="1"/>
      <c r="N9" s="17"/>
    </row>
    <row r="10" spans="2:14" ht="15" customHeight="1" x14ac:dyDescent="0.25">
      <c r="B10" s="19"/>
      <c r="C10" s="5" t="s">
        <v>25</v>
      </c>
      <c r="D10" s="6" t="s">
        <v>26</v>
      </c>
      <c r="E10" s="11">
        <v>7.7314999999999995E-2</v>
      </c>
      <c r="F10" s="1"/>
      <c r="G10" s="1"/>
      <c r="H10" s="1"/>
      <c r="I10" s="1"/>
      <c r="J10" s="23" t="s">
        <v>13</v>
      </c>
      <c r="K10" s="25">
        <v>8.0877000000000004E-2</v>
      </c>
      <c r="L10" s="1"/>
      <c r="M10" s="1"/>
      <c r="N10" s="17"/>
    </row>
    <row r="11" spans="2:14" ht="15" customHeight="1" x14ac:dyDescent="0.25">
      <c r="B11" s="19"/>
      <c r="C11" s="5" t="s">
        <v>23</v>
      </c>
      <c r="D11" s="6" t="s">
        <v>26</v>
      </c>
      <c r="E11" s="11">
        <v>5.6621999999999999E-2</v>
      </c>
      <c r="F11" s="1"/>
      <c r="G11" s="1"/>
      <c r="H11" s="1"/>
      <c r="I11" s="1"/>
      <c r="J11" s="23" t="s">
        <v>60</v>
      </c>
      <c r="K11" s="25">
        <v>0.39798699999999998</v>
      </c>
      <c r="L11" s="1"/>
      <c r="M11" s="1"/>
      <c r="N11" s="17"/>
    </row>
    <row r="12" spans="2:14" ht="15" customHeight="1" x14ac:dyDescent="0.25">
      <c r="B12" s="19"/>
      <c r="C12" s="5" t="s">
        <v>35</v>
      </c>
      <c r="D12" s="6" t="s">
        <v>26</v>
      </c>
      <c r="E12" s="11">
        <v>5.4788999999999997E-2</v>
      </c>
      <c r="F12" s="1"/>
      <c r="G12" s="1"/>
      <c r="H12" s="1"/>
      <c r="I12" s="1"/>
      <c r="J12" s="23" t="s">
        <v>61</v>
      </c>
      <c r="K12" s="25">
        <v>3.5950000000000001E-3</v>
      </c>
      <c r="L12" s="1"/>
      <c r="M12" s="1"/>
      <c r="N12" s="17"/>
    </row>
    <row r="13" spans="2:14" ht="15" customHeight="1" x14ac:dyDescent="0.25">
      <c r="B13" s="19"/>
      <c r="C13" s="5" t="s">
        <v>32</v>
      </c>
      <c r="D13" s="6" t="s">
        <v>26</v>
      </c>
      <c r="E13" s="11">
        <v>3.2767999999999999E-2</v>
      </c>
      <c r="F13" s="1"/>
      <c r="G13" s="1"/>
      <c r="H13" s="1"/>
      <c r="I13" s="1"/>
      <c r="J13" s="23" t="s">
        <v>63</v>
      </c>
      <c r="K13" s="25">
        <v>0.48837199999999997</v>
      </c>
      <c r="L13" s="1"/>
      <c r="M13" s="1"/>
      <c r="N13" s="17"/>
    </row>
    <row r="14" spans="2:14" ht="15" customHeight="1" x14ac:dyDescent="0.25">
      <c r="B14" s="19"/>
      <c r="C14" s="5" t="s">
        <v>28</v>
      </c>
      <c r="D14" s="6" t="s">
        <v>26</v>
      </c>
      <c r="E14" s="11">
        <v>2.7677E-2</v>
      </c>
      <c r="F14" s="1"/>
      <c r="G14" s="1"/>
      <c r="H14" s="1"/>
      <c r="I14" s="1"/>
      <c r="J14" s="23" t="s">
        <v>78</v>
      </c>
      <c r="K14" s="25">
        <v>4.5279999999999999E-3</v>
      </c>
      <c r="L14" s="1"/>
      <c r="M14" s="1"/>
      <c r="N14" s="17"/>
    </row>
    <row r="15" spans="2:14" ht="15" customHeight="1" x14ac:dyDescent="0.25">
      <c r="B15" s="19"/>
      <c r="C15" s="5" t="s">
        <v>38</v>
      </c>
      <c r="D15" s="6" t="s">
        <v>26</v>
      </c>
      <c r="E15" s="11">
        <v>2.4042000000000001E-2</v>
      </c>
      <c r="F15" s="1"/>
      <c r="G15" s="1"/>
      <c r="H15" s="1"/>
      <c r="I15" s="1"/>
      <c r="J15" s="1"/>
      <c r="K15" s="1"/>
      <c r="L15" s="1"/>
      <c r="M15" s="1"/>
      <c r="N15" s="17"/>
    </row>
    <row r="16" spans="2:14" ht="15" customHeight="1" x14ac:dyDescent="0.25">
      <c r="B16" s="19"/>
      <c r="C16" s="5" t="s">
        <v>27</v>
      </c>
      <c r="D16" s="6" t="s">
        <v>26</v>
      </c>
      <c r="E16" s="11">
        <v>2.2346000000000001E-2</v>
      </c>
      <c r="F16" s="1"/>
      <c r="G16" s="1"/>
      <c r="H16" s="1"/>
      <c r="I16" s="1"/>
      <c r="J16" s="1"/>
      <c r="K16" s="1"/>
      <c r="L16" s="1"/>
      <c r="M16" s="1"/>
      <c r="N16" s="17"/>
    </row>
    <row r="17" spans="2:14" ht="15" customHeight="1" x14ac:dyDescent="0.25">
      <c r="B17" s="19"/>
      <c r="C17" s="5" t="s">
        <v>42</v>
      </c>
      <c r="D17" s="6" t="s">
        <v>26</v>
      </c>
      <c r="E17" s="11">
        <v>2.0941999999999999E-2</v>
      </c>
      <c r="F17" s="1"/>
      <c r="G17" s="1"/>
      <c r="H17" s="1"/>
      <c r="I17" s="1"/>
      <c r="J17" s="1"/>
      <c r="K17" s="1"/>
      <c r="L17" s="1"/>
      <c r="M17" s="1"/>
      <c r="N17" s="17"/>
    </row>
    <row r="18" spans="2:14" ht="15" customHeight="1" x14ac:dyDescent="0.25">
      <c r="B18" s="19"/>
      <c r="C18" s="5" t="s">
        <v>36</v>
      </c>
      <c r="D18" s="6" t="s">
        <v>26</v>
      </c>
      <c r="E18" s="11">
        <v>2.0278999999999998E-2</v>
      </c>
      <c r="F18" s="1"/>
      <c r="G18" s="1"/>
      <c r="H18" s="1"/>
      <c r="I18" s="1"/>
      <c r="J18" s="1"/>
      <c r="K18" s="1"/>
      <c r="L18" s="1"/>
      <c r="M18" s="1"/>
      <c r="N18" s="17"/>
    </row>
    <row r="19" spans="2:14" ht="15" customHeight="1" x14ac:dyDescent="0.25">
      <c r="B19" s="19"/>
      <c r="C19" s="5" t="s">
        <v>29</v>
      </c>
      <c r="D19" s="6" t="s">
        <v>26</v>
      </c>
      <c r="E19" s="11">
        <v>1.8422999999999998E-2</v>
      </c>
      <c r="F19" s="1"/>
      <c r="G19" s="1"/>
      <c r="H19" s="1"/>
      <c r="I19" s="1"/>
      <c r="J19" s="1"/>
      <c r="K19" s="1"/>
      <c r="L19" s="1"/>
      <c r="M19" s="1"/>
      <c r="N19" s="17"/>
    </row>
    <row r="20" spans="2:14" ht="15" customHeight="1" x14ac:dyDescent="0.25">
      <c r="B20" s="19"/>
      <c r="C20" s="5" t="s">
        <v>40</v>
      </c>
      <c r="D20" s="6" t="s">
        <v>26</v>
      </c>
      <c r="E20" s="11">
        <v>1.7323000000000002E-2</v>
      </c>
      <c r="F20" s="1"/>
      <c r="G20" s="1"/>
      <c r="H20" s="1"/>
      <c r="I20" s="1"/>
      <c r="J20" s="1"/>
      <c r="K20" s="1"/>
      <c r="L20" s="1"/>
      <c r="M20" s="1"/>
      <c r="N20" s="17"/>
    </row>
    <row r="21" spans="2:14" ht="15" customHeight="1" x14ac:dyDescent="0.25">
      <c r="B21" s="19"/>
      <c r="C21" s="5" t="s">
        <v>31</v>
      </c>
      <c r="D21" s="6" t="s">
        <v>26</v>
      </c>
      <c r="E21" s="11">
        <v>1.0980999999999999E-2</v>
      </c>
      <c r="F21" s="1"/>
      <c r="G21" s="1"/>
      <c r="H21" s="1"/>
      <c r="I21" s="1"/>
      <c r="J21" s="1"/>
      <c r="K21" s="1"/>
      <c r="L21" s="1"/>
      <c r="M21" s="1"/>
      <c r="N21" s="17"/>
    </row>
    <row r="22" spans="2:14" ht="15" customHeight="1" x14ac:dyDescent="0.25">
      <c r="B22" s="19"/>
      <c r="C22" s="5" t="s">
        <v>34</v>
      </c>
      <c r="D22" s="6" t="s">
        <v>26</v>
      </c>
      <c r="E22" s="11">
        <v>7.8239999999999994E-3</v>
      </c>
      <c r="F22" s="1"/>
      <c r="G22" s="1"/>
      <c r="H22" s="1"/>
      <c r="I22" s="1"/>
      <c r="J22" s="1"/>
      <c r="K22" s="1"/>
      <c r="L22" s="1"/>
      <c r="M22" s="1"/>
      <c r="N22" s="17"/>
    </row>
    <row r="23" spans="2:14" ht="15" customHeight="1" x14ac:dyDescent="0.25">
      <c r="B23" s="19"/>
      <c r="C23" s="5" t="s">
        <v>39</v>
      </c>
      <c r="D23" s="6" t="s">
        <v>26</v>
      </c>
      <c r="E23" s="11">
        <v>6.2820000000000003E-3</v>
      </c>
      <c r="F23" s="1"/>
      <c r="G23" s="1"/>
      <c r="H23" s="1"/>
      <c r="I23" s="1"/>
      <c r="J23" s="1"/>
      <c r="K23" s="1"/>
      <c r="L23" s="1"/>
      <c r="M23" s="1"/>
      <c r="N23" s="17"/>
    </row>
    <row r="24" spans="2:14" ht="15" customHeight="1" x14ac:dyDescent="0.25">
      <c r="B24" s="19"/>
      <c r="C24" s="5" t="s">
        <v>21</v>
      </c>
      <c r="D24" s="6" t="s">
        <v>26</v>
      </c>
      <c r="E24" s="11">
        <v>3.7399999999999998E-4</v>
      </c>
      <c r="F24" s="1"/>
      <c r="G24" s="27"/>
      <c r="H24" s="27"/>
      <c r="I24" s="27"/>
      <c r="J24" s="27"/>
      <c r="K24" s="27"/>
      <c r="L24" s="27"/>
      <c r="M24" s="27"/>
      <c r="N24" s="43"/>
    </row>
    <row r="25" spans="2:14" ht="15.75" customHeight="1" x14ac:dyDescent="0.25">
      <c r="B25" s="19"/>
      <c r="C25" s="7" t="s">
        <v>46</v>
      </c>
      <c r="D25" s="8"/>
      <c r="E25" s="12">
        <v>0.39798699999999998</v>
      </c>
      <c r="F25" s="1"/>
      <c r="G25" s="1"/>
      <c r="H25" s="1"/>
      <c r="I25" s="1"/>
      <c r="J25" s="1"/>
      <c r="K25" s="1"/>
      <c r="L25" s="1"/>
      <c r="M25" s="1"/>
      <c r="N25" s="17"/>
    </row>
    <row r="26" spans="2:14" ht="15" customHeight="1" x14ac:dyDescent="0.25">
      <c r="B26" s="19"/>
      <c r="C26" s="5" t="s">
        <v>67</v>
      </c>
      <c r="D26" s="6" t="s">
        <v>50</v>
      </c>
      <c r="E26" s="11">
        <v>0.45486199999999999</v>
      </c>
      <c r="F26" s="1"/>
      <c r="G26" s="74" t="s">
        <v>17</v>
      </c>
      <c r="H26" s="75"/>
      <c r="I26" s="75"/>
      <c r="J26" s="75"/>
      <c r="K26" s="75"/>
      <c r="L26" s="75"/>
      <c r="M26" s="75"/>
      <c r="N26" s="76"/>
    </row>
    <row r="27" spans="2:14" ht="15" customHeight="1" x14ac:dyDescent="0.25">
      <c r="B27" s="19"/>
      <c r="C27" s="5" t="s">
        <v>73</v>
      </c>
      <c r="D27" s="6" t="s">
        <v>50</v>
      </c>
      <c r="E27" s="11">
        <v>2.564E-2</v>
      </c>
      <c r="F27" s="1"/>
      <c r="G27" s="1"/>
      <c r="H27" s="1"/>
      <c r="I27" s="1"/>
      <c r="J27" s="1"/>
      <c r="K27" s="1"/>
      <c r="L27" s="1"/>
      <c r="M27" s="1"/>
      <c r="N27" s="17"/>
    </row>
    <row r="28" spans="2:14" ht="15" customHeight="1" x14ac:dyDescent="0.25">
      <c r="B28" s="19"/>
      <c r="C28" s="5" t="s">
        <v>68</v>
      </c>
      <c r="D28" s="6" t="s">
        <v>50</v>
      </c>
      <c r="E28" s="11">
        <v>7.6010000000000001E-3</v>
      </c>
      <c r="F28" s="1"/>
      <c r="G28" s="1"/>
      <c r="H28" s="1"/>
      <c r="I28" s="1"/>
      <c r="J28" s="1"/>
      <c r="K28" s="1"/>
      <c r="L28" s="1"/>
      <c r="M28" s="1"/>
      <c r="N28" s="17"/>
    </row>
    <row r="29" spans="2:14" ht="15" customHeight="1" x14ac:dyDescent="0.25">
      <c r="B29" s="19"/>
      <c r="C29" s="5" t="s">
        <v>74</v>
      </c>
      <c r="D29" s="6" t="s">
        <v>50</v>
      </c>
      <c r="E29" s="11">
        <v>1.9000000000000001E-4</v>
      </c>
      <c r="F29" s="1"/>
      <c r="G29" s="1"/>
      <c r="H29" s="1"/>
      <c r="I29" s="1"/>
      <c r="J29" s="1"/>
      <c r="K29" s="1"/>
      <c r="L29" s="1"/>
      <c r="M29" s="1"/>
      <c r="N29" s="17"/>
    </row>
    <row r="30" spans="2:14" ht="15" customHeight="1" x14ac:dyDescent="0.25">
      <c r="B30" s="19"/>
      <c r="C30" s="5" t="s">
        <v>75</v>
      </c>
      <c r="D30" s="6" t="s">
        <v>50</v>
      </c>
      <c r="E30" s="11">
        <v>7.8999999999999996E-5</v>
      </c>
      <c r="F30" s="1"/>
      <c r="G30" s="1"/>
      <c r="H30" s="1"/>
      <c r="I30" s="1"/>
      <c r="J30" s="1"/>
      <c r="K30" s="1"/>
      <c r="L30" s="1"/>
      <c r="M30" s="1"/>
      <c r="N30" s="17"/>
    </row>
    <row r="31" spans="2:14" ht="15.75" customHeight="1" x14ac:dyDescent="0.25">
      <c r="B31" s="19"/>
      <c r="C31" s="7" t="s">
        <v>56</v>
      </c>
      <c r="D31" s="8"/>
      <c r="E31" s="12">
        <v>0.48837199999999997</v>
      </c>
      <c r="F31" s="1"/>
      <c r="G31" s="1"/>
      <c r="H31" s="1"/>
      <c r="I31" s="1"/>
      <c r="J31" s="1"/>
      <c r="K31" s="1"/>
      <c r="L31" s="1"/>
      <c r="M31" s="1"/>
      <c r="N31" s="17"/>
    </row>
    <row r="32" spans="2:14" ht="15" customHeight="1" x14ac:dyDescent="0.25">
      <c r="B32" s="19"/>
      <c r="C32" s="31" t="s">
        <v>187</v>
      </c>
      <c r="D32" s="6" t="s">
        <v>76</v>
      </c>
      <c r="E32" s="11">
        <v>4.5279999999999999E-3</v>
      </c>
      <c r="F32" s="1"/>
      <c r="G32" s="1"/>
      <c r="H32" s="1"/>
      <c r="I32" s="1"/>
      <c r="J32" s="1"/>
      <c r="K32" s="1"/>
      <c r="L32" s="1"/>
      <c r="M32" s="1"/>
      <c r="N32" s="17"/>
    </row>
    <row r="33" spans="2:14" ht="15.75" customHeight="1" x14ac:dyDescent="0.25">
      <c r="B33" s="19"/>
      <c r="C33" s="7" t="s">
        <v>77</v>
      </c>
      <c r="D33" s="8"/>
      <c r="E33" s="12">
        <v>4.5279999999999999E-3</v>
      </c>
      <c r="F33" s="1"/>
      <c r="G33" s="1"/>
      <c r="H33" s="1"/>
      <c r="I33" s="1"/>
      <c r="J33" s="1"/>
      <c r="K33" s="1"/>
      <c r="L33" s="1"/>
      <c r="M33" s="1"/>
      <c r="N33" s="17"/>
    </row>
    <row r="34" spans="2:14" ht="15" customHeight="1" x14ac:dyDescent="0.25">
      <c r="B34" s="19"/>
      <c r="C34" s="5" t="s">
        <v>8</v>
      </c>
      <c r="D34" s="6"/>
      <c r="E34" s="11">
        <v>8.0877000000000004E-2</v>
      </c>
      <c r="F34" s="1"/>
      <c r="G34" s="1"/>
      <c r="H34" s="1"/>
      <c r="I34" s="1"/>
      <c r="J34" s="1"/>
      <c r="K34" s="1"/>
      <c r="L34" s="1"/>
      <c r="M34" s="1"/>
      <c r="N34" s="17"/>
    </row>
    <row r="35" spans="2:14" ht="15.75" customHeight="1" x14ac:dyDescent="0.25">
      <c r="B35" s="19"/>
      <c r="C35" s="7" t="s">
        <v>9</v>
      </c>
      <c r="D35" s="8"/>
      <c r="E35" s="12">
        <v>8.0877000000000004E-2</v>
      </c>
      <c r="F35" s="1"/>
      <c r="G35" s="1"/>
      <c r="H35" s="1"/>
      <c r="I35" s="1"/>
      <c r="J35" s="1"/>
      <c r="K35" s="1"/>
      <c r="L35" s="1"/>
      <c r="M35" s="1"/>
      <c r="N35" s="17"/>
    </row>
    <row r="36" spans="2:14" ht="15" customHeight="1" x14ac:dyDescent="0.25">
      <c r="B36" s="19"/>
      <c r="C36" s="5"/>
      <c r="D36" s="6"/>
      <c r="E36" s="11"/>
      <c r="F36" s="1"/>
      <c r="G36" s="1"/>
      <c r="H36" s="1"/>
      <c r="I36" s="1"/>
      <c r="J36" s="1"/>
      <c r="K36" s="1"/>
      <c r="L36" s="1"/>
      <c r="M36" s="1"/>
      <c r="N36" s="17"/>
    </row>
    <row r="37" spans="2:14" ht="15.75" customHeight="1" x14ac:dyDescent="0.25">
      <c r="B37" s="19"/>
      <c r="C37" s="7" t="s">
        <v>10</v>
      </c>
      <c r="D37" s="8"/>
      <c r="E37" s="12">
        <v>2.4641E-2</v>
      </c>
      <c r="F37" s="1"/>
      <c r="G37" s="1"/>
      <c r="H37" s="1"/>
      <c r="I37" s="1"/>
      <c r="J37" s="1"/>
      <c r="K37" s="1"/>
      <c r="L37" s="1"/>
      <c r="M37" s="1"/>
      <c r="N37" s="17"/>
    </row>
    <row r="38" spans="2:14" ht="15" customHeight="1" x14ac:dyDescent="0.25">
      <c r="B38" s="19"/>
      <c r="C38" s="5"/>
      <c r="D38" s="6"/>
      <c r="E38" s="11"/>
      <c r="F38" s="1"/>
      <c r="G38" s="1"/>
      <c r="H38" s="1"/>
      <c r="I38" s="1"/>
      <c r="J38" s="1"/>
      <c r="K38" s="1"/>
      <c r="L38" s="1"/>
      <c r="M38" s="1"/>
      <c r="N38" s="17"/>
    </row>
    <row r="39" spans="2:14" ht="15" customHeight="1" x14ac:dyDescent="0.25">
      <c r="B39" s="19"/>
      <c r="C39" s="9" t="s">
        <v>11</v>
      </c>
      <c r="D39" s="10"/>
      <c r="E39" s="13">
        <v>1</v>
      </c>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27" t="s">
        <v>186</v>
      </c>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thickBot="1" x14ac:dyDescent="0.3">
      <c r="B43" s="20"/>
      <c r="C43" s="21"/>
      <c r="D43" s="21"/>
      <c r="E43" s="21"/>
      <c r="F43" s="21"/>
      <c r="G43" s="21"/>
      <c r="H43" s="21"/>
      <c r="I43" s="21"/>
      <c r="J43" s="21"/>
      <c r="K43" s="21"/>
      <c r="L43" s="21"/>
      <c r="M43" s="21"/>
      <c r="N43" s="22"/>
    </row>
    <row r="44" spans="2:14" ht="15" customHeight="1" thickBot="1" x14ac:dyDescent="0.3"/>
    <row r="45" spans="2:14" ht="117" customHeight="1" thickBot="1" x14ac:dyDescent="0.3">
      <c r="B45" s="68" t="s">
        <v>129</v>
      </c>
      <c r="C45" s="69"/>
      <c r="D45" s="69"/>
      <c r="E45" s="69"/>
      <c r="F45" s="69"/>
      <c r="G45" s="69"/>
      <c r="H45" s="69"/>
      <c r="I45" s="69"/>
      <c r="J45" s="69"/>
      <c r="K45" s="69"/>
      <c r="L45" s="69"/>
      <c r="M45" s="69"/>
      <c r="N45" s="70"/>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mergeCells count="4">
    <mergeCell ref="B45:N45"/>
    <mergeCell ref="C3:N3"/>
    <mergeCell ref="G7:N7"/>
    <mergeCell ref="G26:N2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14B11-B5FE-48FB-B161-733DA3854A27}">
  <dimension ref="B1:N91"/>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71" t="s">
        <v>18</v>
      </c>
      <c r="D3" s="72"/>
      <c r="E3" s="72"/>
      <c r="F3" s="72"/>
      <c r="G3" s="72"/>
      <c r="H3" s="72"/>
      <c r="I3" s="72"/>
      <c r="J3" s="72"/>
      <c r="K3" s="72"/>
      <c r="L3" s="72"/>
      <c r="M3" s="72"/>
      <c r="N3" s="73"/>
    </row>
    <row r="4" spans="2:14" ht="15.75" customHeight="1" x14ac:dyDescent="0.25">
      <c r="B4" s="19"/>
      <c r="C4" s="14"/>
      <c r="D4" s="1"/>
      <c r="E4" s="1"/>
      <c r="F4" s="1"/>
      <c r="G4" s="1"/>
      <c r="H4" s="1"/>
      <c r="I4" s="1"/>
      <c r="J4" s="1"/>
      <c r="K4" s="1"/>
      <c r="L4" s="1"/>
      <c r="M4" s="1"/>
      <c r="N4" s="17"/>
    </row>
    <row r="5" spans="2:14" ht="18" customHeight="1" x14ac:dyDescent="0.25">
      <c r="B5" s="19"/>
      <c r="C5" s="40"/>
      <c r="D5" s="27"/>
      <c r="E5" s="27"/>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74" t="s">
        <v>16</v>
      </c>
      <c r="H7" s="75"/>
      <c r="I7" s="75"/>
      <c r="J7" s="75"/>
      <c r="K7" s="75"/>
      <c r="L7" s="75"/>
      <c r="M7" s="75"/>
      <c r="N7" s="76"/>
    </row>
    <row r="8" spans="2:14" ht="15" customHeight="1" x14ac:dyDescent="0.25">
      <c r="B8" s="19"/>
      <c r="C8" s="5" t="s">
        <v>19</v>
      </c>
      <c r="D8" s="6" t="s">
        <v>20</v>
      </c>
      <c r="E8" s="11">
        <v>3.8059000000000003E-2</v>
      </c>
      <c r="F8" s="1"/>
      <c r="G8" s="23" t="s">
        <v>15</v>
      </c>
      <c r="H8" s="24">
        <v>1</v>
      </c>
      <c r="I8" s="1"/>
      <c r="J8" s="23" t="s">
        <v>12</v>
      </c>
      <c r="K8" s="23" t="s">
        <v>3</v>
      </c>
      <c r="L8" s="1"/>
      <c r="M8" s="1"/>
      <c r="N8" s="17"/>
    </row>
    <row r="9" spans="2:14" ht="15" customHeight="1" x14ac:dyDescent="0.25">
      <c r="B9" s="19"/>
      <c r="C9" s="5" t="s">
        <v>21</v>
      </c>
      <c r="D9" s="6" t="s">
        <v>20</v>
      </c>
      <c r="E9" s="11">
        <v>1.3050000000000001E-2</v>
      </c>
      <c r="F9" s="1"/>
      <c r="G9" s="1"/>
      <c r="H9" s="1"/>
      <c r="I9" s="1"/>
      <c r="J9" s="23" t="s">
        <v>10</v>
      </c>
      <c r="K9" s="25">
        <v>2.8643999999999999E-2</v>
      </c>
      <c r="L9" s="1"/>
      <c r="M9" s="1"/>
      <c r="N9" s="17"/>
    </row>
    <row r="10" spans="2:14" ht="15.75" customHeight="1" x14ac:dyDescent="0.25">
      <c r="B10" s="19"/>
      <c r="C10" s="7" t="s">
        <v>22</v>
      </c>
      <c r="D10" s="8"/>
      <c r="E10" s="12">
        <v>5.1109000000000002E-2</v>
      </c>
      <c r="F10" s="1"/>
      <c r="G10" s="1"/>
      <c r="H10" s="1"/>
      <c r="I10" s="1"/>
      <c r="J10" s="23" t="s">
        <v>13</v>
      </c>
      <c r="K10" s="25">
        <v>2.2508E-2</v>
      </c>
      <c r="L10" s="1"/>
      <c r="M10" s="1"/>
      <c r="N10" s="17"/>
    </row>
    <row r="11" spans="2:14" ht="15" customHeight="1" x14ac:dyDescent="0.25">
      <c r="B11" s="19"/>
      <c r="C11" s="5" t="s">
        <v>23</v>
      </c>
      <c r="D11" s="6" t="s">
        <v>20</v>
      </c>
      <c r="E11" s="11">
        <v>5.3340000000000002E-3</v>
      </c>
      <c r="F11" s="1"/>
      <c r="G11" s="1"/>
      <c r="H11" s="1"/>
      <c r="I11" s="1"/>
      <c r="J11" s="23" t="s">
        <v>59</v>
      </c>
      <c r="K11" s="25">
        <v>5.1109000000000002E-2</v>
      </c>
      <c r="L11" s="1"/>
      <c r="M11" s="1"/>
      <c r="N11" s="17"/>
    </row>
    <row r="12" spans="2:14" ht="15.75" customHeight="1" x14ac:dyDescent="0.25">
      <c r="B12" s="19"/>
      <c r="C12" s="7" t="s">
        <v>24</v>
      </c>
      <c r="D12" s="8"/>
      <c r="E12" s="12">
        <v>5.3340000000000002E-3</v>
      </c>
      <c r="F12" s="1"/>
      <c r="G12" s="1"/>
      <c r="H12" s="1"/>
      <c r="I12" s="1"/>
      <c r="J12" s="23" t="s">
        <v>60</v>
      </c>
      <c r="K12" s="25">
        <v>0.78794699999999995</v>
      </c>
      <c r="L12" s="1"/>
      <c r="M12" s="1"/>
      <c r="N12" s="17"/>
    </row>
    <row r="13" spans="2:14" ht="15" customHeight="1" x14ac:dyDescent="0.25">
      <c r="B13" s="19"/>
      <c r="C13" s="5" t="s">
        <v>25</v>
      </c>
      <c r="D13" s="6" t="s">
        <v>26</v>
      </c>
      <c r="E13" s="11">
        <v>0.110744</v>
      </c>
      <c r="F13" s="1"/>
      <c r="G13" s="1"/>
      <c r="H13" s="1"/>
      <c r="I13" s="1"/>
      <c r="J13" s="23" t="s">
        <v>61</v>
      </c>
      <c r="K13" s="25">
        <v>5.3340000000000002E-3</v>
      </c>
      <c r="L13" s="1"/>
      <c r="M13" s="1"/>
      <c r="N13" s="17"/>
    </row>
    <row r="14" spans="2:14" ht="15" customHeight="1" x14ac:dyDescent="0.25">
      <c r="B14" s="19"/>
      <c r="C14" s="5" t="s">
        <v>27</v>
      </c>
      <c r="D14" s="6" t="s">
        <v>26</v>
      </c>
      <c r="E14" s="11">
        <v>7.5592000000000006E-2</v>
      </c>
      <c r="F14" s="1"/>
      <c r="G14" s="1"/>
      <c r="H14" s="1"/>
      <c r="I14" s="1"/>
      <c r="J14" s="23" t="s">
        <v>62</v>
      </c>
      <c r="K14" s="25">
        <v>1.6440000000000001E-3</v>
      </c>
      <c r="L14" s="1"/>
      <c r="M14" s="1"/>
      <c r="N14" s="17"/>
    </row>
    <row r="15" spans="2:14" ht="15" customHeight="1" x14ac:dyDescent="0.25">
      <c r="B15" s="19"/>
      <c r="C15" s="5" t="s">
        <v>23</v>
      </c>
      <c r="D15" s="6" t="s">
        <v>26</v>
      </c>
      <c r="E15" s="11">
        <v>7.4441999999999994E-2</v>
      </c>
      <c r="F15" s="1"/>
      <c r="G15" s="1"/>
      <c r="H15" s="1"/>
      <c r="I15" s="1"/>
      <c r="J15" s="23" t="s">
        <v>63</v>
      </c>
      <c r="K15" s="25">
        <v>9.2059000000000002E-2</v>
      </c>
      <c r="L15" s="1"/>
      <c r="M15" s="1"/>
      <c r="N15" s="17"/>
    </row>
    <row r="16" spans="2:14" ht="15" customHeight="1" x14ac:dyDescent="0.25">
      <c r="B16" s="19"/>
      <c r="C16" s="5" t="s">
        <v>28</v>
      </c>
      <c r="D16" s="6" t="s">
        <v>26</v>
      </c>
      <c r="E16" s="11">
        <v>6.6633999999999999E-2</v>
      </c>
      <c r="F16" s="1"/>
      <c r="G16" s="1"/>
      <c r="H16" s="1"/>
      <c r="I16" s="1"/>
      <c r="J16" s="23" t="s">
        <v>64</v>
      </c>
      <c r="K16" s="25">
        <v>1.0593E-2</v>
      </c>
      <c r="L16" s="1"/>
      <c r="M16" s="1"/>
      <c r="N16" s="17"/>
    </row>
    <row r="17" spans="2:14" ht="15" customHeight="1" x14ac:dyDescent="0.25">
      <c r="B17" s="19"/>
      <c r="C17" s="5" t="s">
        <v>29</v>
      </c>
      <c r="D17" s="6" t="s">
        <v>26</v>
      </c>
      <c r="E17" s="11">
        <v>6.6434000000000007E-2</v>
      </c>
      <c r="F17" s="1"/>
      <c r="G17" s="1"/>
      <c r="H17" s="1"/>
      <c r="I17" s="1"/>
      <c r="J17" s="23" t="s">
        <v>65</v>
      </c>
      <c r="K17" s="25">
        <v>1.6200000000000001E-4</v>
      </c>
      <c r="L17" s="1"/>
      <c r="M17" s="1"/>
      <c r="N17" s="17"/>
    </row>
    <row r="18" spans="2:14" ht="15" customHeight="1" x14ac:dyDescent="0.25">
      <c r="B18" s="19"/>
      <c r="C18" s="5" t="s">
        <v>19</v>
      </c>
      <c r="D18" s="6" t="s">
        <v>26</v>
      </c>
      <c r="E18" s="11">
        <v>5.5279000000000002E-2</v>
      </c>
      <c r="F18" s="1"/>
      <c r="G18" s="1"/>
      <c r="H18" s="1"/>
      <c r="I18" s="1"/>
      <c r="J18" s="1"/>
      <c r="K18" s="1"/>
      <c r="L18" s="1"/>
      <c r="M18" s="1"/>
      <c r="N18" s="17"/>
    </row>
    <row r="19" spans="2:14" ht="15" customHeight="1" x14ac:dyDescent="0.25">
      <c r="B19" s="19"/>
      <c r="C19" s="5" t="s">
        <v>30</v>
      </c>
      <c r="D19" s="6" t="s">
        <v>26</v>
      </c>
      <c r="E19" s="11">
        <v>5.1899000000000001E-2</v>
      </c>
      <c r="F19" s="1"/>
      <c r="G19" s="1"/>
      <c r="H19" s="1"/>
      <c r="I19" s="1"/>
      <c r="J19" s="1"/>
      <c r="K19" s="1"/>
      <c r="L19" s="1"/>
      <c r="M19" s="1"/>
      <c r="N19" s="17"/>
    </row>
    <row r="20" spans="2:14" ht="15" customHeight="1" x14ac:dyDescent="0.25">
      <c r="B20" s="19"/>
      <c r="C20" s="5" t="s">
        <v>31</v>
      </c>
      <c r="D20" s="6" t="s">
        <v>26</v>
      </c>
      <c r="E20" s="11">
        <v>3.8885999999999997E-2</v>
      </c>
      <c r="F20" s="1"/>
      <c r="G20" s="1"/>
      <c r="H20" s="1"/>
      <c r="I20" s="1"/>
      <c r="J20" s="1"/>
      <c r="K20" s="1"/>
      <c r="L20" s="1"/>
      <c r="M20" s="1"/>
      <c r="N20" s="17"/>
    </row>
    <row r="21" spans="2:14" ht="15" customHeight="1" x14ac:dyDescent="0.25">
      <c r="B21" s="19"/>
      <c r="C21" s="5" t="s">
        <v>32</v>
      </c>
      <c r="D21" s="6" t="s">
        <v>26</v>
      </c>
      <c r="E21" s="11">
        <v>3.7943999999999999E-2</v>
      </c>
      <c r="F21" s="1"/>
      <c r="G21" s="1"/>
      <c r="H21" s="1"/>
      <c r="I21" s="1"/>
      <c r="J21" s="1"/>
      <c r="K21" s="1"/>
      <c r="L21" s="1"/>
      <c r="M21" s="1"/>
      <c r="N21" s="17"/>
    </row>
    <row r="22" spans="2:14" ht="15" customHeight="1" x14ac:dyDescent="0.25">
      <c r="B22" s="19"/>
      <c r="C22" s="5" t="s">
        <v>33</v>
      </c>
      <c r="D22" s="6" t="s">
        <v>26</v>
      </c>
      <c r="E22" s="11">
        <v>2.8634E-2</v>
      </c>
      <c r="F22" s="1"/>
      <c r="G22" s="1"/>
      <c r="H22" s="1"/>
      <c r="I22" s="1"/>
      <c r="J22" s="1"/>
      <c r="K22" s="1"/>
      <c r="L22" s="1"/>
      <c r="M22" s="1"/>
      <c r="N22" s="17"/>
    </row>
    <row r="23" spans="2:14" ht="15" customHeight="1" x14ac:dyDescent="0.25">
      <c r="B23" s="19"/>
      <c r="C23" s="5" t="s">
        <v>34</v>
      </c>
      <c r="D23" s="6" t="s">
        <v>26</v>
      </c>
      <c r="E23" s="11">
        <v>2.7512999999999999E-2</v>
      </c>
      <c r="F23" s="1"/>
      <c r="G23" s="1"/>
      <c r="H23" s="1"/>
      <c r="I23" s="1"/>
      <c r="J23" s="1"/>
      <c r="K23" s="1"/>
      <c r="L23" s="1"/>
      <c r="M23" s="1"/>
      <c r="N23" s="17"/>
    </row>
    <row r="24" spans="2:14" ht="15" customHeight="1" x14ac:dyDescent="0.25">
      <c r="B24" s="19"/>
      <c r="C24" s="5" t="s">
        <v>21</v>
      </c>
      <c r="D24" s="6" t="s">
        <v>26</v>
      </c>
      <c r="E24" s="11">
        <v>2.7300000000000001E-2</v>
      </c>
      <c r="F24" s="1"/>
      <c r="G24" s="27"/>
      <c r="H24" s="27"/>
      <c r="I24" s="27"/>
      <c r="J24" s="27"/>
      <c r="K24" s="27"/>
      <c r="L24" s="27"/>
      <c r="M24" s="27"/>
      <c r="N24" s="43"/>
    </row>
    <row r="25" spans="2:14" ht="15" customHeight="1" x14ac:dyDescent="0.25">
      <c r="B25" s="19"/>
      <c r="C25" s="5" t="s">
        <v>35</v>
      </c>
      <c r="D25" s="6" t="s">
        <v>26</v>
      </c>
      <c r="E25" s="11">
        <v>2.4861000000000001E-2</v>
      </c>
      <c r="F25" s="1"/>
      <c r="G25" s="1"/>
      <c r="H25" s="1"/>
      <c r="I25" s="1"/>
      <c r="J25" s="1"/>
      <c r="K25" s="1"/>
      <c r="L25" s="1"/>
      <c r="M25" s="1"/>
      <c r="N25" s="17"/>
    </row>
    <row r="26" spans="2:14" ht="15" customHeight="1" x14ac:dyDescent="0.25">
      <c r="B26" s="19"/>
      <c r="C26" s="5" t="s">
        <v>36</v>
      </c>
      <c r="D26" s="6" t="s">
        <v>26</v>
      </c>
      <c r="E26" s="11">
        <v>2.0400000000000001E-2</v>
      </c>
      <c r="F26" s="1"/>
      <c r="G26" s="74" t="s">
        <v>17</v>
      </c>
      <c r="H26" s="75"/>
      <c r="I26" s="75"/>
      <c r="J26" s="75"/>
      <c r="K26" s="75"/>
      <c r="L26" s="75"/>
      <c r="M26" s="75"/>
      <c r="N26" s="76"/>
    </row>
    <row r="27" spans="2:14" ht="15" customHeight="1" x14ac:dyDescent="0.25">
      <c r="B27" s="19"/>
      <c r="C27" s="5" t="s">
        <v>37</v>
      </c>
      <c r="D27" s="6" t="s">
        <v>26</v>
      </c>
      <c r="E27" s="11">
        <v>1.6707E-2</v>
      </c>
      <c r="F27" s="1"/>
      <c r="G27" s="1"/>
      <c r="H27" s="1"/>
      <c r="I27" s="1"/>
      <c r="J27" s="1"/>
      <c r="K27" s="1"/>
      <c r="L27" s="1"/>
      <c r="M27" s="1"/>
      <c r="N27" s="17"/>
    </row>
    <row r="28" spans="2:14" ht="15" customHeight="1" x14ac:dyDescent="0.25">
      <c r="B28" s="19"/>
      <c r="C28" s="5" t="s">
        <v>38</v>
      </c>
      <c r="D28" s="6" t="s">
        <v>26</v>
      </c>
      <c r="E28" s="11">
        <v>1.5803999999999999E-2</v>
      </c>
      <c r="F28" s="1"/>
      <c r="G28" s="1"/>
      <c r="H28" s="1"/>
      <c r="I28" s="1"/>
      <c r="J28" s="1"/>
      <c r="K28" s="1"/>
      <c r="L28" s="1"/>
      <c r="M28" s="1"/>
      <c r="N28" s="17"/>
    </row>
    <row r="29" spans="2:14" ht="15" customHeight="1" x14ac:dyDescent="0.25">
      <c r="B29" s="19"/>
      <c r="C29" s="5" t="s">
        <v>39</v>
      </c>
      <c r="D29" s="6" t="s">
        <v>26</v>
      </c>
      <c r="E29" s="11">
        <v>1.2408000000000001E-2</v>
      </c>
      <c r="F29" s="1"/>
      <c r="G29" s="1"/>
      <c r="H29" s="1"/>
      <c r="I29" s="1"/>
      <c r="J29" s="1"/>
      <c r="K29" s="1"/>
      <c r="L29" s="1"/>
      <c r="M29" s="1"/>
      <c r="N29" s="17"/>
    </row>
    <row r="30" spans="2:14" ht="15" customHeight="1" x14ac:dyDescent="0.25">
      <c r="B30" s="19"/>
      <c r="C30" s="5" t="s">
        <v>40</v>
      </c>
      <c r="D30" s="6" t="s">
        <v>26</v>
      </c>
      <c r="E30" s="11">
        <v>1.1953999999999999E-2</v>
      </c>
      <c r="F30" s="1"/>
      <c r="G30" s="1"/>
      <c r="H30" s="1"/>
      <c r="I30" s="1"/>
      <c r="J30" s="1"/>
      <c r="K30" s="1"/>
      <c r="L30" s="1"/>
      <c r="M30" s="1"/>
      <c r="N30" s="17"/>
    </row>
    <row r="31" spans="2:14" ht="15" customHeight="1" x14ac:dyDescent="0.25">
      <c r="B31" s="19"/>
      <c r="C31" s="5" t="s">
        <v>41</v>
      </c>
      <c r="D31" s="6" t="s">
        <v>26</v>
      </c>
      <c r="E31" s="11">
        <v>9.1050000000000002E-3</v>
      </c>
      <c r="F31" s="1"/>
      <c r="G31" s="1"/>
      <c r="H31" s="1"/>
      <c r="I31" s="1"/>
      <c r="J31" s="1"/>
      <c r="K31" s="1"/>
      <c r="L31" s="1"/>
      <c r="M31" s="1"/>
      <c r="N31" s="17"/>
    </row>
    <row r="32" spans="2:14" ht="15" customHeight="1" x14ac:dyDescent="0.25">
      <c r="B32" s="19"/>
      <c r="C32" s="5" t="s">
        <v>42</v>
      </c>
      <c r="D32" s="6" t="s">
        <v>26</v>
      </c>
      <c r="E32" s="11">
        <v>8.4410000000000006E-3</v>
      </c>
      <c r="F32" s="1"/>
      <c r="G32" s="1"/>
      <c r="H32" s="1"/>
      <c r="I32" s="1"/>
      <c r="J32" s="1"/>
      <c r="K32" s="1"/>
      <c r="L32" s="1"/>
      <c r="M32" s="1"/>
      <c r="N32" s="17"/>
    </row>
    <row r="33" spans="2:14" ht="15" customHeight="1" x14ac:dyDescent="0.25">
      <c r="B33" s="19"/>
      <c r="C33" s="5" t="s">
        <v>43</v>
      </c>
      <c r="D33" s="6" t="s">
        <v>26</v>
      </c>
      <c r="E33" s="11">
        <v>4.0600000000000002E-3</v>
      </c>
      <c r="F33" s="1"/>
      <c r="G33" s="1"/>
      <c r="H33" s="1"/>
      <c r="I33" s="1"/>
      <c r="J33" s="1"/>
      <c r="K33" s="1"/>
      <c r="L33" s="1"/>
      <c r="M33" s="1"/>
      <c r="N33" s="17"/>
    </row>
    <row r="34" spans="2:14" ht="15" customHeight="1" x14ac:dyDescent="0.25">
      <c r="B34" s="19"/>
      <c r="C34" s="5" t="s">
        <v>44</v>
      </c>
      <c r="D34" s="6" t="s">
        <v>26</v>
      </c>
      <c r="E34" s="11">
        <v>2.7950000000000002E-3</v>
      </c>
      <c r="F34" s="1"/>
      <c r="G34" s="1"/>
      <c r="H34" s="1"/>
      <c r="I34" s="1"/>
      <c r="J34" s="1"/>
      <c r="K34" s="1"/>
      <c r="L34" s="1"/>
      <c r="M34" s="1"/>
      <c r="N34" s="17"/>
    </row>
    <row r="35" spans="2:14" ht="15" customHeight="1" x14ac:dyDescent="0.25">
      <c r="B35" s="19"/>
      <c r="C35" s="5" t="s">
        <v>45</v>
      </c>
      <c r="D35" s="6" t="s">
        <v>26</v>
      </c>
      <c r="E35" s="11">
        <v>1.11E-4</v>
      </c>
      <c r="F35" s="1"/>
      <c r="G35" s="1"/>
      <c r="H35" s="1"/>
      <c r="I35" s="1"/>
      <c r="J35" s="1"/>
      <c r="K35" s="1"/>
      <c r="L35" s="1"/>
      <c r="M35" s="1"/>
      <c r="N35" s="17"/>
    </row>
    <row r="36" spans="2:14" ht="15.75" customHeight="1" x14ac:dyDescent="0.25">
      <c r="B36" s="19"/>
      <c r="C36" s="7" t="s">
        <v>46</v>
      </c>
      <c r="D36" s="8"/>
      <c r="E36" s="12">
        <v>0.78794699999999995</v>
      </c>
      <c r="F36" s="1"/>
      <c r="G36" s="1"/>
      <c r="H36" s="1"/>
      <c r="I36" s="1"/>
      <c r="J36" s="1"/>
      <c r="K36" s="1"/>
      <c r="L36" s="1"/>
      <c r="M36" s="1"/>
      <c r="N36" s="17"/>
    </row>
    <row r="37" spans="2:14" ht="15" customHeight="1" x14ac:dyDescent="0.25">
      <c r="B37" s="19"/>
      <c r="C37" s="5" t="s">
        <v>47</v>
      </c>
      <c r="D37" s="6" t="s">
        <v>20</v>
      </c>
      <c r="E37" s="11">
        <v>1.6440000000000001E-3</v>
      </c>
      <c r="F37" s="1"/>
      <c r="G37" s="1"/>
      <c r="H37" s="1"/>
      <c r="I37" s="1"/>
      <c r="J37" s="1"/>
      <c r="K37" s="1"/>
      <c r="L37" s="1"/>
      <c r="M37" s="1"/>
      <c r="N37" s="17"/>
    </row>
    <row r="38" spans="2:14" ht="15.75" customHeight="1" x14ac:dyDescent="0.25">
      <c r="B38" s="19"/>
      <c r="C38" s="7" t="s">
        <v>48</v>
      </c>
      <c r="D38" s="8"/>
      <c r="E38" s="12">
        <v>1.6440000000000001E-3</v>
      </c>
      <c r="F38" s="1"/>
      <c r="G38" s="1"/>
      <c r="H38" s="1"/>
      <c r="I38" s="1"/>
      <c r="J38" s="1"/>
      <c r="K38" s="1"/>
      <c r="L38" s="1"/>
      <c r="M38" s="1"/>
      <c r="N38" s="17"/>
    </row>
    <row r="39" spans="2:14" ht="15" customHeight="1" x14ac:dyDescent="0.25">
      <c r="B39" s="19"/>
      <c r="C39" s="5" t="s">
        <v>49</v>
      </c>
      <c r="D39" s="6" t="s">
        <v>50</v>
      </c>
      <c r="E39" s="11">
        <v>3.7830000000000003E-2</v>
      </c>
      <c r="F39" s="1"/>
      <c r="G39" s="1"/>
      <c r="H39" s="1"/>
      <c r="I39" s="1"/>
      <c r="J39" s="1"/>
      <c r="K39" s="1"/>
      <c r="L39" s="1"/>
      <c r="M39" s="1"/>
      <c r="N39" s="17"/>
    </row>
    <row r="40" spans="2:14" ht="15" customHeight="1" x14ac:dyDescent="0.25">
      <c r="B40" s="19"/>
      <c r="C40" s="5" t="s">
        <v>51</v>
      </c>
      <c r="D40" s="6" t="s">
        <v>50</v>
      </c>
      <c r="E40" s="11">
        <v>3.3442E-2</v>
      </c>
      <c r="F40" s="1"/>
      <c r="G40" s="1"/>
      <c r="H40" s="1"/>
      <c r="I40" s="1"/>
      <c r="J40" s="1"/>
      <c r="K40" s="1"/>
      <c r="L40" s="1"/>
      <c r="M40" s="1"/>
      <c r="N40" s="17"/>
    </row>
    <row r="41" spans="2:14" ht="15" customHeight="1" x14ac:dyDescent="0.25">
      <c r="B41" s="19"/>
      <c r="C41" s="5" t="s">
        <v>52</v>
      </c>
      <c r="D41" s="6" t="s">
        <v>50</v>
      </c>
      <c r="E41" s="11">
        <v>7.0749999999999997E-3</v>
      </c>
      <c r="F41" s="1"/>
      <c r="G41" s="1"/>
      <c r="H41" s="1"/>
      <c r="I41" s="1"/>
      <c r="J41" s="1"/>
      <c r="K41" s="1"/>
      <c r="L41" s="1"/>
      <c r="M41" s="1"/>
      <c r="N41" s="17"/>
    </row>
    <row r="42" spans="2:14" ht="15" customHeight="1" x14ac:dyDescent="0.25">
      <c r="B42" s="19"/>
      <c r="C42" s="5" t="s">
        <v>53</v>
      </c>
      <c r="D42" s="6" t="s">
        <v>50</v>
      </c>
      <c r="E42" s="11">
        <v>6.5449999999999996E-3</v>
      </c>
      <c r="F42" s="1"/>
      <c r="G42" s="1"/>
      <c r="H42" s="1"/>
      <c r="I42" s="1"/>
      <c r="J42" s="1"/>
      <c r="K42" s="1"/>
      <c r="L42" s="1"/>
      <c r="M42" s="1"/>
      <c r="N42" s="17"/>
    </row>
    <row r="43" spans="2:14" ht="15" customHeight="1" x14ac:dyDescent="0.25">
      <c r="B43" s="19"/>
      <c r="C43" s="5" t="s">
        <v>54</v>
      </c>
      <c r="D43" s="6" t="s">
        <v>50</v>
      </c>
      <c r="E43" s="11">
        <v>6.0410000000000004E-3</v>
      </c>
      <c r="F43" s="1"/>
      <c r="G43" s="1"/>
      <c r="H43" s="1"/>
      <c r="I43" s="1"/>
      <c r="J43" s="1"/>
      <c r="K43" s="1"/>
      <c r="L43" s="1"/>
      <c r="M43" s="1"/>
      <c r="N43" s="17"/>
    </row>
    <row r="44" spans="2:14" ht="15" customHeight="1" x14ac:dyDescent="0.25">
      <c r="B44" s="19"/>
      <c r="C44" s="5" t="s">
        <v>55</v>
      </c>
      <c r="D44" s="6" t="s">
        <v>50</v>
      </c>
      <c r="E44" s="11">
        <v>1.126E-3</v>
      </c>
      <c r="F44" s="1"/>
      <c r="G44" s="1"/>
      <c r="H44" s="1"/>
      <c r="I44" s="1"/>
      <c r="J44" s="1"/>
      <c r="K44" s="1"/>
      <c r="L44" s="1"/>
      <c r="M44" s="1"/>
      <c r="N44" s="17"/>
    </row>
    <row r="45" spans="2:14" ht="15.75" customHeight="1" x14ac:dyDescent="0.25">
      <c r="B45" s="19"/>
      <c r="C45" s="7" t="s">
        <v>56</v>
      </c>
      <c r="D45" s="8"/>
      <c r="E45" s="12">
        <v>9.2059000000000002E-2</v>
      </c>
      <c r="F45" s="1"/>
      <c r="G45" s="1"/>
      <c r="H45" s="1"/>
      <c r="I45" s="1"/>
      <c r="J45" s="1"/>
      <c r="K45" s="1"/>
      <c r="L45" s="1"/>
      <c r="M45" s="1"/>
      <c r="N45" s="17"/>
    </row>
    <row r="46" spans="2:14" s="26" customFormat="1" ht="15" customHeight="1" x14ac:dyDescent="0.25">
      <c r="B46" s="45"/>
      <c r="C46" s="31" t="s">
        <v>153</v>
      </c>
      <c r="D46" s="32" t="s">
        <v>50</v>
      </c>
      <c r="E46" s="37">
        <v>2.882E-3</v>
      </c>
      <c r="F46" s="27"/>
      <c r="G46" s="27"/>
      <c r="H46" s="27"/>
      <c r="I46" s="27"/>
      <c r="J46" s="27"/>
      <c r="K46" s="27"/>
      <c r="L46" s="27"/>
      <c r="M46" s="27"/>
      <c r="N46" s="43"/>
    </row>
    <row r="47" spans="2:14" s="26" customFormat="1" ht="15" customHeight="1" x14ac:dyDescent="0.25">
      <c r="B47" s="45"/>
      <c r="C47" s="31" t="s">
        <v>159</v>
      </c>
      <c r="D47" s="32" t="s">
        <v>50</v>
      </c>
      <c r="E47" s="37">
        <v>2.931E-3</v>
      </c>
      <c r="F47" s="27"/>
      <c r="G47" s="27"/>
      <c r="H47" s="27"/>
      <c r="I47" s="27"/>
      <c r="J47" s="27"/>
      <c r="K47" s="27"/>
      <c r="L47" s="27"/>
      <c r="M47" s="27"/>
      <c r="N47" s="43"/>
    </row>
    <row r="48" spans="2:14" s="26" customFormat="1" ht="15" customHeight="1" x14ac:dyDescent="0.25">
      <c r="B48" s="45"/>
      <c r="C48" s="31" t="s">
        <v>163</v>
      </c>
      <c r="D48" s="32" t="s">
        <v>50</v>
      </c>
      <c r="E48" s="37">
        <v>1.371E-3</v>
      </c>
      <c r="F48" s="27"/>
      <c r="G48" s="27"/>
      <c r="H48" s="27"/>
      <c r="I48" s="27"/>
      <c r="J48" s="27"/>
      <c r="K48" s="27"/>
      <c r="L48" s="27"/>
      <c r="M48" s="27"/>
      <c r="N48" s="43"/>
    </row>
    <row r="49" spans="2:14" s="26" customFormat="1" ht="15" customHeight="1" x14ac:dyDescent="0.25">
      <c r="B49" s="45"/>
      <c r="C49" s="31" t="s">
        <v>164</v>
      </c>
      <c r="D49" s="32" t="s">
        <v>50</v>
      </c>
      <c r="E49" s="37">
        <v>8.2899999999999998E-4</v>
      </c>
      <c r="F49" s="27"/>
      <c r="G49" s="27"/>
      <c r="H49" s="27"/>
      <c r="I49" s="27"/>
      <c r="J49" s="27"/>
      <c r="K49" s="27"/>
      <c r="L49" s="27"/>
      <c r="M49" s="27"/>
      <c r="N49" s="43"/>
    </row>
    <row r="50" spans="2:14" s="26" customFormat="1" ht="15" customHeight="1" x14ac:dyDescent="0.25">
      <c r="B50" s="45"/>
      <c r="C50" s="31" t="s">
        <v>161</v>
      </c>
      <c r="D50" s="32" t="s">
        <v>50</v>
      </c>
      <c r="E50" s="37">
        <v>5.7700000000000004E-4</v>
      </c>
      <c r="F50" s="27"/>
      <c r="G50" s="27"/>
      <c r="H50" s="27"/>
      <c r="I50" s="27"/>
      <c r="J50" s="27"/>
      <c r="K50" s="27"/>
      <c r="L50" s="27"/>
      <c r="M50" s="27"/>
      <c r="N50" s="43"/>
    </row>
    <row r="51" spans="2:14" s="26" customFormat="1" ht="15" customHeight="1" x14ac:dyDescent="0.25">
      <c r="B51" s="45"/>
      <c r="C51" s="31" t="s">
        <v>155</v>
      </c>
      <c r="D51" s="32" t="s">
        <v>50</v>
      </c>
      <c r="E51" s="37">
        <v>5.7200000000000003E-4</v>
      </c>
      <c r="F51" s="27"/>
      <c r="G51" s="27"/>
      <c r="H51" s="27"/>
      <c r="I51" s="27"/>
      <c r="J51" s="27"/>
      <c r="K51" s="27"/>
      <c r="L51" s="27"/>
      <c r="M51" s="27"/>
      <c r="N51" s="43"/>
    </row>
    <row r="52" spans="2:14" s="26" customFormat="1" ht="15" customHeight="1" x14ac:dyDescent="0.25">
      <c r="B52" s="45"/>
      <c r="C52" s="31" t="s">
        <v>158</v>
      </c>
      <c r="D52" s="32" t="s">
        <v>50</v>
      </c>
      <c r="E52" s="37">
        <v>2.8600000000000001E-4</v>
      </c>
      <c r="F52" s="27"/>
      <c r="G52" s="27"/>
      <c r="H52" s="27"/>
      <c r="I52" s="27"/>
      <c r="J52" s="27"/>
      <c r="K52" s="27"/>
      <c r="L52" s="27"/>
      <c r="M52" s="27"/>
      <c r="N52" s="43"/>
    </row>
    <row r="53" spans="2:14" s="26" customFormat="1" ht="15" customHeight="1" x14ac:dyDescent="0.25">
      <c r="B53" s="45"/>
      <c r="C53" s="31" t="s">
        <v>156</v>
      </c>
      <c r="D53" s="32" t="s">
        <v>50</v>
      </c>
      <c r="E53" s="37">
        <v>2.8499999999999999E-4</v>
      </c>
      <c r="F53" s="27"/>
      <c r="G53" s="27"/>
      <c r="H53" s="27"/>
      <c r="I53" s="27"/>
      <c r="J53" s="27"/>
      <c r="K53" s="27"/>
      <c r="L53" s="27"/>
      <c r="M53" s="27"/>
      <c r="N53" s="43"/>
    </row>
    <row r="54" spans="2:14" s="26" customFormat="1" ht="15" customHeight="1" x14ac:dyDescent="0.25">
      <c r="B54" s="45"/>
      <c r="C54" s="31" t="s">
        <v>157</v>
      </c>
      <c r="D54" s="32" t="s">
        <v>50</v>
      </c>
      <c r="E54" s="37">
        <v>2.8499999999999999E-4</v>
      </c>
      <c r="F54" s="27"/>
      <c r="G54" s="27"/>
      <c r="H54" s="27"/>
      <c r="I54" s="27"/>
      <c r="J54" s="27"/>
      <c r="K54" s="27"/>
      <c r="L54" s="27"/>
      <c r="M54" s="27"/>
      <c r="N54" s="43"/>
    </row>
    <row r="55" spans="2:14" s="26" customFormat="1" ht="15" customHeight="1" x14ac:dyDescent="0.25">
      <c r="B55" s="45"/>
      <c r="C55" s="31" t="s">
        <v>154</v>
      </c>
      <c r="D55" s="32" t="s">
        <v>50</v>
      </c>
      <c r="E55" s="37">
        <v>2.8400000000000002E-4</v>
      </c>
      <c r="F55" s="27"/>
      <c r="G55" s="27"/>
      <c r="H55" s="27"/>
      <c r="I55" s="27"/>
      <c r="J55" s="27"/>
      <c r="K55" s="27"/>
      <c r="L55" s="27"/>
      <c r="M55" s="27"/>
      <c r="N55" s="43"/>
    </row>
    <row r="56" spans="2:14" s="26" customFormat="1" ht="15" customHeight="1" x14ac:dyDescent="0.25">
      <c r="B56" s="45"/>
      <c r="C56" s="31" t="s">
        <v>162</v>
      </c>
      <c r="D56" s="32" t="s">
        <v>50</v>
      </c>
      <c r="E56" s="37">
        <v>1.65E-4</v>
      </c>
      <c r="F56" s="27"/>
      <c r="G56" s="27"/>
      <c r="H56" s="27"/>
      <c r="I56" s="27"/>
      <c r="J56" s="27"/>
      <c r="K56" s="27"/>
      <c r="L56" s="27"/>
      <c r="M56" s="27"/>
      <c r="N56" s="43"/>
    </row>
    <row r="57" spans="2:14" s="26" customFormat="1" ht="15" customHeight="1" x14ac:dyDescent="0.25">
      <c r="B57" s="45"/>
      <c r="C57" s="31" t="s">
        <v>160</v>
      </c>
      <c r="D57" s="32" t="s">
        <v>50</v>
      </c>
      <c r="E57" s="37">
        <v>1.26E-4</v>
      </c>
      <c r="F57" s="27"/>
      <c r="G57" s="27"/>
      <c r="H57" s="27"/>
      <c r="I57" s="27"/>
      <c r="J57" s="27"/>
      <c r="K57" s="27"/>
      <c r="L57" s="27"/>
      <c r="M57" s="27"/>
      <c r="N57" s="43"/>
    </row>
    <row r="58" spans="2:14" ht="15.75" customHeight="1" x14ac:dyDescent="0.25">
      <c r="B58" s="19"/>
      <c r="C58" s="7" t="s">
        <v>57</v>
      </c>
      <c r="D58" s="8"/>
      <c r="E58" s="12">
        <v>1.0593E-2</v>
      </c>
      <c r="F58" s="1"/>
      <c r="G58" s="1"/>
      <c r="H58" s="1"/>
      <c r="I58" s="1"/>
      <c r="J58" s="1"/>
      <c r="K58" s="1"/>
      <c r="L58" s="1"/>
      <c r="M58" s="1"/>
      <c r="N58" s="17"/>
    </row>
    <row r="59" spans="2:14" ht="15" customHeight="1" x14ac:dyDescent="0.25">
      <c r="B59" s="19"/>
      <c r="C59" s="5" t="s">
        <v>8</v>
      </c>
      <c r="D59" s="6"/>
      <c r="E59" s="11">
        <v>2.2508E-2</v>
      </c>
      <c r="F59" s="1"/>
      <c r="G59" s="1"/>
      <c r="H59" s="1"/>
      <c r="I59" s="1"/>
      <c r="J59" s="1"/>
      <c r="K59" s="1"/>
      <c r="L59" s="1"/>
      <c r="M59" s="1"/>
      <c r="N59" s="17"/>
    </row>
    <row r="60" spans="2:14" ht="15.75" customHeight="1" x14ac:dyDescent="0.25">
      <c r="B60" s="19"/>
      <c r="C60" s="7" t="s">
        <v>9</v>
      </c>
      <c r="D60" s="8"/>
      <c r="E60" s="12">
        <v>2.2508E-2</v>
      </c>
      <c r="F60" s="1"/>
      <c r="G60" s="1"/>
      <c r="H60" s="1"/>
      <c r="I60" s="1"/>
      <c r="J60" s="1"/>
      <c r="K60" s="1"/>
      <c r="L60" s="1"/>
      <c r="M60" s="1"/>
      <c r="N60" s="17"/>
    </row>
    <row r="61" spans="2:14" ht="15" customHeight="1" x14ac:dyDescent="0.25">
      <c r="B61" s="19"/>
      <c r="C61" s="5" t="s">
        <v>38</v>
      </c>
      <c r="D61" s="6" t="s">
        <v>26</v>
      </c>
      <c r="E61" s="11">
        <v>1.6200000000000001E-4</v>
      </c>
      <c r="F61" s="1"/>
      <c r="G61" s="1"/>
      <c r="H61" s="1"/>
      <c r="I61" s="1"/>
      <c r="J61" s="1"/>
      <c r="K61" s="1"/>
      <c r="L61" s="1"/>
      <c r="M61" s="1"/>
      <c r="N61" s="17"/>
    </row>
    <row r="62" spans="2:14" ht="15.75" customHeight="1" x14ac:dyDescent="0.25">
      <c r="B62" s="19"/>
      <c r="C62" s="7" t="s">
        <v>58</v>
      </c>
      <c r="D62" s="8"/>
      <c r="E62" s="12">
        <v>1.6200000000000001E-4</v>
      </c>
      <c r="F62" s="1"/>
      <c r="G62" s="1"/>
      <c r="H62" s="1"/>
      <c r="I62" s="1"/>
      <c r="J62" s="1"/>
      <c r="K62" s="1"/>
      <c r="L62" s="1"/>
      <c r="M62" s="1"/>
      <c r="N62" s="17"/>
    </row>
    <row r="63" spans="2:14" ht="15" customHeight="1" x14ac:dyDescent="0.25">
      <c r="B63" s="19"/>
      <c r="C63" s="5"/>
      <c r="D63" s="6"/>
      <c r="E63" s="11"/>
      <c r="F63" s="1"/>
      <c r="G63" s="1"/>
      <c r="H63" s="1"/>
      <c r="I63" s="1"/>
      <c r="J63" s="1"/>
      <c r="K63" s="1"/>
      <c r="L63" s="1"/>
      <c r="M63" s="1"/>
      <c r="N63" s="17"/>
    </row>
    <row r="64" spans="2:14" ht="15.75" customHeight="1" x14ac:dyDescent="0.25">
      <c r="B64" s="19"/>
      <c r="C64" s="7" t="s">
        <v>10</v>
      </c>
      <c r="D64" s="8"/>
      <c r="E64" s="12">
        <v>2.8643999999999999E-2</v>
      </c>
      <c r="F64" s="1"/>
      <c r="G64" s="1"/>
      <c r="H64" s="1"/>
      <c r="I64" s="1"/>
      <c r="J64" s="1"/>
      <c r="K64" s="1"/>
      <c r="L64" s="1"/>
      <c r="M64" s="1"/>
      <c r="N64" s="17"/>
    </row>
    <row r="65" spans="2:14" ht="15" customHeight="1" x14ac:dyDescent="0.25">
      <c r="B65" s="19"/>
      <c r="C65" s="5"/>
      <c r="D65" s="6"/>
      <c r="E65" s="11"/>
      <c r="F65" s="1"/>
      <c r="G65" s="1"/>
      <c r="H65" s="1"/>
      <c r="I65" s="1"/>
      <c r="J65" s="1"/>
      <c r="K65" s="1"/>
      <c r="L65" s="1"/>
      <c r="M65" s="1"/>
      <c r="N65" s="17"/>
    </row>
    <row r="66" spans="2:14" ht="15" customHeight="1" x14ac:dyDescent="0.25">
      <c r="B66" s="19"/>
      <c r="C66" s="9" t="s">
        <v>11</v>
      </c>
      <c r="D66" s="10"/>
      <c r="E66" s="13">
        <v>1</v>
      </c>
      <c r="F66" s="1"/>
      <c r="G66" s="1"/>
      <c r="H66" s="1"/>
      <c r="I66" s="1"/>
      <c r="J66" s="1"/>
      <c r="K66" s="1"/>
      <c r="L66" s="1"/>
      <c r="M66" s="1"/>
      <c r="N66" s="17"/>
    </row>
    <row r="67" spans="2:14" s="26" customFormat="1" ht="15" customHeight="1" x14ac:dyDescent="0.25">
      <c r="B67" s="45"/>
      <c r="C67" s="27"/>
      <c r="D67" s="27"/>
      <c r="E67" s="27"/>
      <c r="F67" s="27"/>
      <c r="G67" s="27"/>
      <c r="H67" s="27"/>
      <c r="I67" s="27"/>
      <c r="J67" s="27"/>
      <c r="K67" s="27"/>
      <c r="L67" s="27"/>
      <c r="M67" s="27"/>
      <c r="N67" s="43"/>
    </row>
    <row r="68" spans="2:14" ht="15" customHeight="1" x14ac:dyDescent="0.25">
      <c r="B68" s="19"/>
      <c r="D68" s="1"/>
      <c r="E68" s="1"/>
      <c r="F68" s="1"/>
      <c r="G68" s="1"/>
      <c r="H68" s="1"/>
      <c r="I68" s="1"/>
      <c r="J68" s="1"/>
      <c r="K68" s="1"/>
      <c r="L68" s="1"/>
      <c r="M68" s="1"/>
      <c r="N68" s="17"/>
    </row>
    <row r="69" spans="2:14" ht="15" customHeight="1" thickBot="1" x14ac:dyDescent="0.3">
      <c r="B69" s="20"/>
      <c r="C69" s="21"/>
      <c r="D69" s="21"/>
      <c r="E69" s="21"/>
      <c r="F69" s="21"/>
      <c r="G69" s="21"/>
      <c r="H69" s="21"/>
      <c r="I69" s="21"/>
      <c r="J69" s="21"/>
      <c r="K69" s="21"/>
      <c r="L69" s="21"/>
      <c r="M69" s="21"/>
      <c r="N69" s="22"/>
    </row>
    <row r="70" spans="2:14" ht="15" customHeight="1" thickBot="1" x14ac:dyDescent="0.3"/>
    <row r="71" spans="2:14" ht="106.5" customHeight="1" thickBot="1" x14ac:dyDescent="0.3">
      <c r="B71" s="68" t="s">
        <v>129</v>
      </c>
      <c r="C71" s="69"/>
      <c r="D71" s="69"/>
      <c r="E71" s="69"/>
      <c r="F71" s="69"/>
      <c r="G71" s="69"/>
      <c r="H71" s="69"/>
      <c r="I71" s="69"/>
      <c r="J71" s="69"/>
      <c r="K71" s="69"/>
      <c r="L71" s="69"/>
      <c r="M71" s="69"/>
      <c r="N71" s="70"/>
    </row>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sheetData>
  <sortState ref="C47:E57">
    <sortCondition descending="1" ref="E46"/>
  </sortState>
  <mergeCells count="4">
    <mergeCell ref="B71:N71"/>
    <mergeCell ref="C3:N3"/>
    <mergeCell ref="G7:N7"/>
    <mergeCell ref="G26:N2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D5E46-8B5E-49B0-ABD1-4A0736AE2C77}">
  <dimension ref="B1:N90"/>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71" t="s">
        <v>89</v>
      </c>
      <c r="D3" s="72"/>
      <c r="E3" s="72"/>
      <c r="F3" s="72"/>
      <c r="G3" s="72"/>
      <c r="H3" s="72"/>
      <c r="I3" s="72"/>
      <c r="J3" s="72"/>
      <c r="K3" s="72"/>
      <c r="L3" s="72"/>
      <c r="M3" s="72"/>
      <c r="N3" s="73"/>
    </row>
    <row r="4" spans="2:14" ht="15.75" customHeight="1" x14ac:dyDescent="0.25">
      <c r="B4" s="19"/>
      <c r="C4" s="14"/>
      <c r="D4" s="1"/>
      <c r="E4" s="1"/>
      <c r="F4" s="1"/>
      <c r="G4" s="1"/>
      <c r="H4" s="1"/>
      <c r="I4" s="1"/>
      <c r="J4" s="1"/>
      <c r="K4" s="1"/>
      <c r="L4" s="1"/>
      <c r="M4" s="1"/>
      <c r="N4" s="17"/>
    </row>
    <row r="5" spans="2:14" ht="18" customHeight="1" x14ac:dyDescent="0.25">
      <c r="B5" s="19"/>
      <c r="C5" s="40"/>
      <c r="D5" s="27"/>
      <c r="E5" s="27"/>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74" t="s">
        <v>16</v>
      </c>
      <c r="H7" s="75"/>
      <c r="I7" s="75"/>
      <c r="J7" s="75"/>
      <c r="K7" s="75"/>
      <c r="L7" s="75"/>
      <c r="M7" s="75"/>
      <c r="N7" s="76"/>
    </row>
    <row r="8" spans="2:14" ht="15" customHeight="1" x14ac:dyDescent="0.25">
      <c r="B8" s="19"/>
      <c r="C8" s="5" t="s">
        <v>23</v>
      </c>
      <c r="D8" s="6" t="s">
        <v>20</v>
      </c>
      <c r="E8" s="11">
        <v>2.4320000000000001E-3</v>
      </c>
      <c r="F8" s="1"/>
      <c r="G8" s="23" t="s">
        <v>15</v>
      </c>
      <c r="H8" s="24">
        <v>1</v>
      </c>
      <c r="I8" s="1"/>
      <c r="J8" s="23" t="s">
        <v>12</v>
      </c>
      <c r="K8" s="23" t="s">
        <v>3</v>
      </c>
      <c r="L8" s="1"/>
      <c r="M8" s="1"/>
      <c r="N8" s="17"/>
    </row>
    <row r="9" spans="2:14" ht="15.75" customHeight="1" x14ac:dyDescent="0.25">
      <c r="B9" s="19"/>
      <c r="C9" s="7" t="s">
        <v>24</v>
      </c>
      <c r="D9" s="8"/>
      <c r="E9" s="12">
        <v>2.4320000000000001E-3</v>
      </c>
      <c r="F9" s="1"/>
      <c r="G9" s="1"/>
      <c r="H9" s="1"/>
      <c r="I9" s="1"/>
      <c r="J9" s="23" t="s">
        <v>10</v>
      </c>
      <c r="K9" s="25">
        <v>3.0245999999999999E-2</v>
      </c>
      <c r="L9" s="1"/>
      <c r="M9" s="1"/>
      <c r="N9" s="17"/>
    </row>
    <row r="10" spans="2:14" ht="15" customHeight="1" x14ac:dyDescent="0.25">
      <c r="B10" s="19"/>
      <c r="C10" s="5" t="s">
        <v>25</v>
      </c>
      <c r="D10" s="6" t="s">
        <v>26</v>
      </c>
      <c r="E10" s="11">
        <v>0.11559700000000001</v>
      </c>
      <c r="F10" s="1"/>
      <c r="G10" s="1"/>
      <c r="H10" s="1"/>
      <c r="I10" s="1"/>
      <c r="J10" s="23" t="s">
        <v>13</v>
      </c>
      <c r="K10" s="25">
        <v>9.6959999999999998E-3</v>
      </c>
      <c r="L10" s="1"/>
      <c r="M10" s="1"/>
      <c r="N10" s="17"/>
    </row>
    <row r="11" spans="2:14" ht="15" customHeight="1" x14ac:dyDescent="0.25">
      <c r="B11" s="19"/>
      <c r="C11" s="5" t="s">
        <v>28</v>
      </c>
      <c r="D11" s="6" t="s">
        <v>26</v>
      </c>
      <c r="E11" s="11">
        <v>0.106489</v>
      </c>
      <c r="F11" s="1"/>
      <c r="G11" s="1"/>
      <c r="H11" s="1"/>
      <c r="I11" s="1"/>
      <c r="J11" s="23" t="s">
        <v>60</v>
      </c>
      <c r="K11" s="25">
        <v>0.71484800000000004</v>
      </c>
      <c r="L11" s="1"/>
      <c r="M11" s="1"/>
      <c r="N11" s="17"/>
    </row>
    <row r="12" spans="2:14" ht="15" customHeight="1" x14ac:dyDescent="0.25">
      <c r="B12" s="19"/>
      <c r="C12" s="5" t="s">
        <v>35</v>
      </c>
      <c r="D12" s="6" t="s">
        <v>26</v>
      </c>
      <c r="E12" s="11">
        <v>8.7091000000000002E-2</v>
      </c>
      <c r="F12" s="1"/>
      <c r="G12" s="1"/>
      <c r="H12" s="1"/>
      <c r="I12" s="1"/>
      <c r="J12" s="23" t="s">
        <v>61</v>
      </c>
      <c r="K12" s="25">
        <v>2.4320000000000001E-3</v>
      </c>
      <c r="L12" s="1"/>
      <c r="M12" s="1"/>
      <c r="N12" s="17"/>
    </row>
    <row r="13" spans="2:14" ht="15" customHeight="1" x14ac:dyDescent="0.25">
      <c r="B13" s="19"/>
      <c r="C13" s="5" t="s">
        <v>23</v>
      </c>
      <c r="D13" s="6" t="s">
        <v>26</v>
      </c>
      <c r="E13" s="11">
        <v>8.6315000000000003E-2</v>
      </c>
      <c r="F13" s="1"/>
      <c r="G13" s="1"/>
      <c r="H13" s="1"/>
      <c r="I13" s="1"/>
      <c r="J13" s="23" t="s">
        <v>63</v>
      </c>
      <c r="K13" s="25">
        <v>0.20511499999999999</v>
      </c>
      <c r="L13" s="1"/>
      <c r="M13" s="1"/>
      <c r="N13" s="17"/>
    </row>
    <row r="14" spans="2:14" ht="15" customHeight="1" x14ac:dyDescent="0.25">
      <c r="B14" s="19"/>
      <c r="C14" s="5" t="s">
        <v>31</v>
      </c>
      <c r="D14" s="6" t="s">
        <v>26</v>
      </c>
      <c r="E14" s="11">
        <v>6.0176E-2</v>
      </c>
      <c r="F14" s="1"/>
      <c r="G14" s="1"/>
      <c r="H14" s="1"/>
      <c r="I14" s="1"/>
      <c r="J14" s="23" t="s">
        <v>64</v>
      </c>
      <c r="K14" s="25">
        <v>3.7567000000000003E-2</v>
      </c>
      <c r="L14" s="1"/>
      <c r="M14" s="1"/>
      <c r="N14" s="17"/>
    </row>
    <row r="15" spans="2:14" ht="15" customHeight="1" x14ac:dyDescent="0.25">
      <c r="B15" s="19"/>
      <c r="C15" s="5" t="s">
        <v>42</v>
      </c>
      <c r="D15" s="6" t="s">
        <v>26</v>
      </c>
      <c r="E15" s="11">
        <v>5.6854000000000002E-2</v>
      </c>
      <c r="F15" s="1"/>
      <c r="G15" s="1"/>
      <c r="H15" s="1"/>
      <c r="I15" s="1"/>
      <c r="J15" s="23" t="s">
        <v>65</v>
      </c>
      <c r="K15" s="25">
        <v>9.6000000000000002E-5</v>
      </c>
      <c r="L15" s="1"/>
      <c r="M15" s="1"/>
      <c r="N15" s="17"/>
    </row>
    <row r="16" spans="2:14" ht="15" customHeight="1" x14ac:dyDescent="0.25">
      <c r="B16" s="19"/>
      <c r="C16" s="5" t="s">
        <v>27</v>
      </c>
      <c r="D16" s="6" t="s">
        <v>26</v>
      </c>
      <c r="E16" s="11">
        <v>4.6442999999999998E-2</v>
      </c>
      <c r="F16" s="1"/>
      <c r="G16" s="1"/>
      <c r="H16" s="1"/>
      <c r="I16" s="1"/>
      <c r="J16" s="1"/>
      <c r="K16" s="1"/>
      <c r="L16" s="1"/>
      <c r="M16" s="1"/>
      <c r="N16" s="17"/>
    </row>
    <row r="17" spans="2:14" ht="15" customHeight="1" x14ac:dyDescent="0.25">
      <c r="B17" s="19"/>
      <c r="C17" s="5" t="s">
        <v>29</v>
      </c>
      <c r="D17" s="6" t="s">
        <v>26</v>
      </c>
      <c r="E17" s="11">
        <v>3.4132000000000003E-2</v>
      </c>
      <c r="F17" s="1"/>
      <c r="G17" s="1"/>
      <c r="H17" s="1"/>
      <c r="I17" s="1"/>
      <c r="J17" s="1"/>
      <c r="K17" s="1"/>
      <c r="L17" s="1"/>
      <c r="M17" s="1"/>
      <c r="N17" s="17"/>
    </row>
    <row r="18" spans="2:14" ht="15" customHeight="1" x14ac:dyDescent="0.25">
      <c r="B18" s="19"/>
      <c r="C18" s="5" t="s">
        <v>30</v>
      </c>
      <c r="D18" s="6" t="s">
        <v>26</v>
      </c>
      <c r="E18" s="11">
        <v>2.605E-2</v>
      </c>
      <c r="F18" s="1"/>
      <c r="G18" s="1"/>
      <c r="H18" s="1"/>
      <c r="I18" s="1"/>
      <c r="J18" s="1"/>
      <c r="K18" s="1"/>
      <c r="L18" s="1"/>
      <c r="M18" s="1"/>
      <c r="N18" s="17"/>
    </row>
    <row r="19" spans="2:14" ht="15" customHeight="1" x14ac:dyDescent="0.25">
      <c r="B19" s="19"/>
      <c r="C19" s="5" t="s">
        <v>19</v>
      </c>
      <c r="D19" s="6" t="s">
        <v>26</v>
      </c>
      <c r="E19" s="11">
        <v>1.4687E-2</v>
      </c>
      <c r="F19" s="1"/>
      <c r="G19" s="1"/>
      <c r="H19" s="1"/>
      <c r="I19" s="1"/>
      <c r="J19" s="1"/>
      <c r="K19" s="1"/>
      <c r="L19" s="1"/>
      <c r="M19" s="1"/>
      <c r="N19" s="17"/>
    </row>
    <row r="20" spans="2:14" ht="15" customHeight="1" x14ac:dyDescent="0.25">
      <c r="B20" s="19"/>
      <c r="C20" s="5" t="s">
        <v>90</v>
      </c>
      <c r="D20" s="6" t="s">
        <v>26</v>
      </c>
      <c r="E20" s="11">
        <v>1.3648E-2</v>
      </c>
      <c r="F20" s="1"/>
      <c r="G20" s="1"/>
      <c r="H20" s="1"/>
      <c r="I20" s="1"/>
      <c r="J20" s="1"/>
      <c r="K20" s="1"/>
      <c r="L20" s="1"/>
      <c r="M20" s="1"/>
      <c r="N20" s="17"/>
    </row>
    <row r="21" spans="2:14" ht="15" customHeight="1" x14ac:dyDescent="0.25">
      <c r="B21" s="19"/>
      <c r="C21" s="5" t="s">
        <v>33</v>
      </c>
      <c r="D21" s="6" t="s">
        <v>26</v>
      </c>
      <c r="E21" s="11">
        <v>1.252E-2</v>
      </c>
      <c r="F21" s="1"/>
      <c r="G21" s="1"/>
      <c r="H21" s="1"/>
      <c r="I21" s="1"/>
      <c r="J21" s="1"/>
      <c r="K21" s="1"/>
      <c r="L21" s="1"/>
      <c r="M21" s="1"/>
      <c r="N21" s="17"/>
    </row>
    <row r="22" spans="2:14" ht="15" customHeight="1" x14ac:dyDescent="0.25">
      <c r="B22" s="19"/>
      <c r="C22" s="5" t="s">
        <v>39</v>
      </c>
      <c r="D22" s="6" t="s">
        <v>26</v>
      </c>
      <c r="E22" s="11">
        <v>1.1981E-2</v>
      </c>
      <c r="F22" s="1"/>
      <c r="G22" s="1"/>
      <c r="H22" s="1"/>
      <c r="I22" s="1"/>
      <c r="J22" s="1"/>
      <c r="K22" s="1"/>
      <c r="L22" s="1"/>
      <c r="M22" s="1"/>
      <c r="N22" s="17"/>
    </row>
    <row r="23" spans="2:14" ht="15" customHeight="1" x14ac:dyDescent="0.25">
      <c r="B23" s="19"/>
      <c r="C23" s="5" t="s">
        <v>91</v>
      </c>
      <c r="D23" s="6" t="s">
        <v>26</v>
      </c>
      <c r="E23" s="11">
        <v>1.0208E-2</v>
      </c>
      <c r="F23" s="1"/>
      <c r="G23" s="1"/>
      <c r="H23" s="1"/>
      <c r="I23" s="1"/>
      <c r="J23" s="1"/>
      <c r="K23" s="1"/>
      <c r="L23" s="1"/>
      <c r="M23" s="1"/>
      <c r="N23" s="17"/>
    </row>
    <row r="24" spans="2:14" ht="15" customHeight="1" x14ac:dyDescent="0.25">
      <c r="B24" s="19"/>
      <c r="C24" s="5" t="s">
        <v>21</v>
      </c>
      <c r="D24" s="6" t="s">
        <v>26</v>
      </c>
      <c r="E24" s="11">
        <v>8.5660000000000007E-3</v>
      </c>
      <c r="F24" s="1"/>
      <c r="G24" s="27"/>
      <c r="H24" s="27"/>
      <c r="I24" s="27"/>
      <c r="J24" s="27"/>
      <c r="K24" s="27"/>
      <c r="L24" s="27"/>
      <c r="M24" s="27"/>
      <c r="N24" s="43"/>
    </row>
    <row r="25" spans="2:14" ht="15" customHeight="1" x14ac:dyDescent="0.25">
      <c r="B25" s="19"/>
      <c r="C25" s="5" t="s">
        <v>32</v>
      </c>
      <c r="D25" s="6" t="s">
        <v>26</v>
      </c>
      <c r="E25" s="11">
        <v>6.4390000000000003E-3</v>
      </c>
      <c r="F25" s="1"/>
      <c r="G25" s="1"/>
      <c r="H25" s="1"/>
      <c r="I25" s="1"/>
      <c r="J25" s="1"/>
      <c r="K25" s="1"/>
      <c r="L25" s="1"/>
      <c r="M25" s="1"/>
      <c r="N25" s="17"/>
    </row>
    <row r="26" spans="2:14" ht="15" customHeight="1" x14ac:dyDescent="0.25">
      <c r="B26" s="19"/>
      <c r="C26" s="5" t="s">
        <v>43</v>
      </c>
      <c r="D26" s="6" t="s">
        <v>26</v>
      </c>
      <c r="E26" s="11">
        <v>4.9370000000000004E-3</v>
      </c>
      <c r="F26" s="1"/>
      <c r="G26" s="74" t="s">
        <v>17</v>
      </c>
      <c r="H26" s="75"/>
      <c r="I26" s="75"/>
      <c r="J26" s="75"/>
      <c r="K26" s="75"/>
      <c r="L26" s="75"/>
      <c r="M26" s="75"/>
      <c r="N26" s="76"/>
    </row>
    <row r="27" spans="2:14" ht="15" customHeight="1" x14ac:dyDescent="0.25">
      <c r="B27" s="19"/>
      <c r="C27" s="5" t="s">
        <v>38</v>
      </c>
      <c r="D27" s="6" t="s">
        <v>26</v>
      </c>
      <c r="E27" s="11">
        <v>4.7920000000000003E-3</v>
      </c>
      <c r="F27" s="1"/>
      <c r="G27" s="1"/>
      <c r="H27" s="1"/>
      <c r="I27" s="1"/>
      <c r="J27" s="1"/>
      <c r="K27" s="1"/>
      <c r="L27" s="1"/>
      <c r="M27" s="1"/>
      <c r="N27" s="17"/>
    </row>
    <row r="28" spans="2:14" ht="15" customHeight="1" x14ac:dyDescent="0.25">
      <c r="B28" s="19"/>
      <c r="C28" s="5" t="s">
        <v>36</v>
      </c>
      <c r="D28" s="6" t="s">
        <v>26</v>
      </c>
      <c r="E28" s="11">
        <v>4.3829999999999997E-3</v>
      </c>
      <c r="F28" s="1"/>
      <c r="G28" s="1"/>
      <c r="H28" s="1"/>
      <c r="I28" s="1"/>
      <c r="J28" s="1"/>
      <c r="K28" s="1"/>
      <c r="L28" s="1"/>
      <c r="M28" s="1"/>
      <c r="N28" s="17"/>
    </row>
    <row r="29" spans="2:14" ht="15" customHeight="1" x14ac:dyDescent="0.25">
      <c r="B29" s="19"/>
      <c r="C29" s="5" t="s">
        <v>40</v>
      </c>
      <c r="D29" s="6" t="s">
        <v>26</v>
      </c>
      <c r="E29" s="11">
        <v>1.5319999999999999E-3</v>
      </c>
      <c r="F29" s="1"/>
      <c r="G29" s="1"/>
      <c r="H29" s="1"/>
      <c r="I29" s="1"/>
      <c r="J29" s="1"/>
      <c r="K29" s="1"/>
      <c r="L29" s="1"/>
      <c r="M29" s="1"/>
      <c r="N29" s="17"/>
    </row>
    <row r="30" spans="2:14" ht="15" customHeight="1" x14ac:dyDescent="0.25">
      <c r="B30" s="19"/>
      <c r="C30" s="5" t="s">
        <v>92</v>
      </c>
      <c r="D30" s="6" t="s">
        <v>26</v>
      </c>
      <c r="E30" s="11">
        <v>1.2520000000000001E-3</v>
      </c>
      <c r="F30" s="1"/>
      <c r="G30" s="1"/>
      <c r="H30" s="1"/>
      <c r="I30" s="1"/>
      <c r="J30" s="1"/>
      <c r="K30" s="1"/>
      <c r="L30" s="1"/>
      <c r="M30" s="1"/>
      <c r="N30" s="17"/>
    </row>
    <row r="31" spans="2:14" ht="15" customHeight="1" x14ac:dyDescent="0.25">
      <c r="B31" s="19"/>
      <c r="C31" s="5" t="s">
        <v>34</v>
      </c>
      <c r="D31" s="6" t="s">
        <v>26</v>
      </c>
      <c r="E31" s="11">
        <v>7.5600000000000005E-4</v>
      </c>
      <c r="F31" s="1"/>
      <c r="G31" s="1"/>
      <c r="H31" s="1"/>
      <c r="I31" s="1"/>
      <c r="J31" s="1"/>
      <c r="K31" s="1"/>
      <c r="L31" s="1"/>
      <c r="M31" s="1"/>
      <c r="N31" s="17"/>
    </row>
    <row r="32" spans="2:14" ht="15.75" customHeight="1" x14ac:dyDescent="0.25">
      <c r="B32" s="19"/>
      <c r="C32" s="7" t="s">
        <v>46</v>
      </c>
      <c r="D32" s="8"/>
      <c r="E32" s="12">
        <v>0.71484800000000004</v>
      </c>
      <c r="F32" s="1"/>
      <c r="G32" s="1"/>
      <c r="H32" s="1"/>
      <c r="I32" s="1"/>
      <c r="J32" s="1"/>
      <c r="K32" s="1"/>
      <c r="L32" s="1"/>
      <c r="M32" s="1"/>
      <c r="N32" s="17"/>
    </row>
    <row r="33" spans="2:14" ht="15" customHeight="1" x14ac:dyDescent="0.25">
      <c r="B33" s="19"/>
      <c r="C33" s="5" t="s">
        <v>93</v>
      </c>
      <c r="D33" s="6" t="s">
        <v>50</v>
      </c>
      <c r="E33" s="11">
        <v>0.177152</v>
      </c>
      <c r="F33" s="1"/>
      <c r="G33" s="1"/>
      <c r="H33" s="1"/>
      <c r="I33" s="1"/>
      <c r="J33" s="1"/>
      <c r="K33" s="1"/>
      <c r="L33" s="1"/>
      <c r="M33" s="1"/>
      <c r="N33" s="17"/>
    </row>
    <row r="34" spans="2:14" ht="15" customHeight="1" x14ac:dyDescent="0.25">
      <c r="B34" s="19"/>
      <c r="C34" s="5" t="s">
        <v>49</v>
      </c>
      <c r="D34" s="6" t="s">
        <v>50</v>
      </c>
      <c r="E34" s="11">
        <v>2.7701E-2</v>
      </c>
      <c r="F34" s="1"/>
      <c r="G34" s="1"/>
      <c r="H34" s="1"/>
      <c r="I34" s="1"/>
      <c r="J34" s="1"/>
      <c r="K34" s="1"/>
      <c r="L34" s="1"/>
      <c r="M34" s="1"/>
      <c r="N34" s="17"/>
    </row>
    <row r="35" spans="2:14" ht="15" customHeight="1" x14ac:dyDescent="0.25">
      <c r="B35" s="19"/>
      <c r="C35" s="5" t="s">
        <v>54</v>
      </c>
      <c r="D35" s="6" t="s">
        <v>50</v>
      </c>
      <c r="E35" s="11">
        <v>2.6200000000000003E-4</v>
      </c>
      <c r="F35" s="1"/>
      <c r="G35" s="1"/>
      <c r="H35" s="1"/>
      <c r="I35" s="1"/>
      <c r="J35" s="1"/>
      <c r="K35" s="1"/>
      <c r="L35" s="1"/>
      <c r="M35" s="1"/>
      <c r="N35" s="17"/>
    </row>
    <row r="36" spans="2:14" ht="15.75" customHeight="1" x14ac:dyDescent="0.25">
      <c r="B36" s="19"/>
      <c r="C36" s="7" t="s">
        <v>56</v>
      </c>
      <c r="D36" s="8"/>
      <c r="E36" s="12">
        <v>0.20511499999999999</v>
      </c>
      <c r="F36" s="1"/>
      <c r="G36" s="1"/>
      <c r="H36" s="1"/>
      <c r="I36" s="1"/>
      <c r="J36" s="1"/>
      <c r="K36" s="1"/>
      <c r="L36" s="1"/>
      <c r="M36" s="1"/>
      <c r="N36" s="17"/>
    </row>
    <row r="37" spans="2:14" ht="15" customHeight="1" x14ac:dyDescent="0.25">
      <c r="B37" s="19"/>
      <c r="C37" s="5" t="s">
        <v>153</v>
      </c>
      <c r="D37" s="6" t="s">
        <v>50</v>
      </c>
      <c r="E37" s="11">
        <v>3.3830000000000002E-3</v>
      </c>
      <c r="F37" s="1"/>
      <c r="G37" s="1"/>
      <c r="H37" s="1"/>
      <c r="I37" s="1"/>
      <c r="J37" s="1"/>
      <c r="K37" s="1"/>
      <c r="L37" s="1"/>
      <c r="M37" s="1"/>
      <c r="N37" s="17"/>
    </row>
    <row r="38" spans="2:14" ht="15.75" customHeight="1" x14ac:dyDescent="0.25">
      <c r="B38" s="19"/>
      <c r="C38" s="31" t="s">
        <v>166</v>
      </c>
      <c r="D38" s="32" t="s">
        <v>50</v>
      </c>
      <c r="E38" s="37">
        <v>7.4809999999999998E-3</v>
      </c>
      <c r="F38" s="1"/>
      <c r="G38" s="1"/>
      <c r="H38" s="1"/>
      <c r="I38" s="1"/>
      <c r="J38" s="1"/>
      <c r="K38" s="1"/>
      <c r="L38" s="1"/>
      <c r="M38" s="1"/>
      <c r="N38" s="17"/>
    </row>
    <row r="39" spans="2:14" ht="15" customHeight="1" x14ac:dyDescent="0.25">
      <c r="B39" s="19"/>
      <c r="C39" s="31" t="s">
        <v>178</v>
      </c>
      <c r="D39" s="32" t="s">
        <v>50</v>
      </c>
      <c r="E39" s="37">
        <v>3.5969999999999999E-3</v>
      </c>
      <c r="F39" s="1"/>
      <c r="G39" s="1"/>
      <c r="H39" s="1"/>
      <c r="I39" s="1"/>
      <c r="J39" s="1"/>
      <c r="K39" s="1"/>
      <c r="L39" s="1"/>
      <c r="M39" s="1"/>
      <c r="N39" s="17"/>
    </row>
    <row r="40" spans="2:14" ht="15.75" customHeight="1" x14ac:dyDescent="0.25">
      <c r="B40" s="19"/>
      <c r="C40" s="31" t="s">
        <v>176</v>
      </c>
      <c r="D40" s="32" t="s">
        <v>50</v>
      </c>
      <c r="E40" s="37">
        <v>2.696E-3</v>
      </c>
      <c r="F40" s="1"/>
      <c r="G40" s="1"/>
      <c r="H40" s="1"/>
      <c r="I40" s="1"/>
      <c r="J40" s="1"/>
      <c r="K40" s="1"/>
      <c r="L40" s="1"/>
      <c r="M40" s="1"/>
      <c r="N40" s="17"/>
    </row>
    <row r="41" spans="2:14" ht="15" customHeight="1" x14ac:dyDescent="0.25">
      <c r="B41" s="19"/>
      <c r="C41" s="31" t="s">
        <v>159</v>
      </c>
      <c r="D41" s="32" t="s">
        <v>50</v>
      </c>
      <c r="E41" s="37">
        <v>2.6719999999999999E-3</v>
      </c>
      <c r="F41" s="1"/>
      <c r="G41" s="1"/>
      <c r="H41" s="1"/>
      <c r="I41" s="1"/>
      <c r="J41" s="1"/>
      <c r="K41" s="1"/>
      <c r="L41" s="1"/>
      <c r="M41" s="1"/>
      <c r="N41" s="17"/>
    </row>
    <row r="42" spans="2:14" ht="15.75" customHeight="1" x14ac:dyDescent="0.25">
      <c r="B42" s="19"/>
      <c r="C42" s="31" t="s">
        <v>182</v>
      </c>
      <c r="D42" s="32" t="s">
        <v>50</v>
      </c>
      <c r="E42" s="37">
        <v>2.5070000000000001E-3</v>
      </c>
      <c r="F42" s="1"/>
      <c r="G42" s="1"/>
      <c r="H42" s="1"/>
      <c r="I42" s="1"/>
      <c r="J42" s="1"/>
      <c r="K42" s="1"/>
      <c r="L42" s="1"/>
      <c r="M42" s="1"/>
      <c r="N42" s="17"/>
    </row>
    <row r="43" spans="2:14" ht="15" customHeight="1" x14ac:dyDescent="0.25">
      <c r="B43" s="19"/>
      <c r="C43" s="31" t="s">
        <v>179</v>
      </c>
      <c r="D43" s="32" t="s">
        <v>50</v>
      </c>
      <c r="E43" s="37">
        <v>2.1489999999999999E-3</v>
      </c>
      <c r="F43" s="1"/>
      <c r="G43" s="1"/>
      <c r="H43" s="1"/>
      <c r="I43" s="1"/>
      <c r="J43" s="1"/>
      <c r="K43" s="1"/>
      <c r="L43" s="1"/>
      <c r="M43" s="1"/>
      <c r="N43" s="17"/>
    </row>
    <row r="44" spans="2:14" ht="15.75" customHeight="1" x14ac:dyDescent="0.25">
      <c r="B44" s="19"/>
      <c r="C44" s="31" t="s">
        <v>172</v>
      </c>
      <c r="D44" s="32" t="s">
        <v>50</v>
      </c>
      <c r="E44" s="37">
        <v>1.9009999999999999E-3</v>
      </c>
      <c r="F44" s="1"/>
      <c r="G44" s="1"/>
      <c r="H44" s="1"/>
      <c r="I44" s="1"/>
      <c r="J44" s="1"/>
      <c r="K44" s="1"/>
      <c r="L44" s="1"/>
      <c r="M44" s="1"/>
      <c r="N44" s="17"/>
    </row>
    <row r="45" spans="2:14" ht="15" customHeight="1" x14ac:dyDescent="0.25">
      <c r="B45" s="19"/>
      <c r="C45" s="31" t="s">
        <v>168</v>
      </c>
      <c r="D45" s="32" t="s">
        <v>50</v>
      </c>
      <c r="E45" s="37">
        <v>1.897E-3</v>
      </c>
      <c r="F45" s="1"/>
      <c r="G45" s="1"/>
      <c r="H45" s="1"/>
      <c r="I45" s="1"/>
      <c r="J45" s="1"/>
      <c r="K45" s="1"/>
      <c r="L45" s="1"/>
      <c r="M45" s="1"/>
      <c r="N45" s="17"/>
    </row>
    <row r="46" spans="2:14" ht="15" customHeight="1" x14ac:dyDescent="0.25">
      <c r="B46" s="19"/>
      <c r="C46" s="31" t="s">
        <v>169</v>
      </c>
      <c r="D46" s="32" t="s">
        <v>50</v>
      </c>
      <c r="E46" s="37">
        <v>1.6280000000000001E-3</v>
      </c>
      <c r="F46" s="1"/>
      <c r="G46" s="1"/>
      <c r="H46" s="1"/>
      <c r="I46" s="1"/>
      <c r="J46" s="1"/>
      <c r="K46" s="1"/>
      <c r="L46" s="1"/>
      <c r="M46" s="1"/>
      <c r="N46" s="17"/>
    </row>
    <row r="47" spans="2:14" ht="15" customHeight="1" x14ac:dyDescent="0.25">
      <c r="B47" s="19"/>
      <c r="C47" s="31" t="s">
        <v>170</v>
      </c>
      <c r="D47" s="32" t="s">
        <v>50</v>
      </c>
      <c r="E47" s="37">
        <v>1.3630000000000001E-3</v>
      </c>
      <c r="F47" s="1"/>
      <c r="G47" s="1"/>
      <c r="H47" s="1"/>
      <c r="I47" s="1"/>
      <c r="J47" s="1"/>
      <c r="K47" s="1"/>
      <c r="L47" s="1"/>
      <c r="M47" s="1"/>
      <c r="N47" s="17"/>
    </row>
    <row r="48" spans="2:14" s="26" customFormat="1" ht="15" customHeight="1" x14ac:dyDescent="0.25">
      <c r="B48" s="45"/>
      <c r="C48" s="31" t="s">
        <v>175</v>
      </c>
      <c r="D48" s="32" t="s">
        <v>50</v>
      </c>
      <c r="E48" s="37">
        <v>1.353E-3</v>
      </c>
      <c r="F48" s="27"/>
      <c r="G48" s="27"/>
      <c r="H48" s="27"/>
      <c r="I48" s="27"/>
      <c r="J48" s="27"/>
      <c r="K48" s="27"/>
      <c r="L48" s="27"/>
      <c r="M48" s="27"/>
      <c r="N48" s="43"/>
    </row>
    <row r="49" spans="2:14" s="26" customFormat="1" ht="15" customHeight="1" x14ac:dyDescent="0.25">
      <c r="B49" s="45"/>
      <c r="C49" s="31" t="s">
        <v>181</v>
      </c>
      <c r="D49" s="32" t="s">
        <v>50</v>
      </c>
      <c r="E49" s="37">
        <v>1.2570000000000001E-3</v>
      </c>
      <c r="F49" s="27"/>
      <c r="G49" s="27"/>
      <c r="H49" s="27"/>
      <c r="I49" s="27"/>
      <c r="J49" s="27"/>
      <c r="K49" s="27"/>
      <c r="L49" s="27"/>
      <c r="M49" s="27"/>
      <c r="N49" s="43"/>
    </row>
    <row r="50" spans="2:14" s="26" customFormat="1" ht="15" customHeight="1" x14ac:dyDescent="0.25">
      <c r="B50" s="45"/>
      <c r="C50" s="31" t="s">
        <v>177</v>
      </c>
      <c r="D50" s="32" t="s">
        <v>50</v>
      </c>
      <c r="E50" s="37">
        <v>1.0870000000000001E-3</v>
      </c>
      <c r="F50" s="27"/>
      <c r="G50" s="27"/>
      <c r="H50" s="27"/>
      <c r="I50" s="27"/>
      <c r="J50" s="27"/>
      <c r="K50" s="27"/>
      <c r="L50" s="27"/>
      <c r="M50" s="27"/>
      <c r="N50" s="43"/>
    </row>
    <row r="51" spans="2:14" s="26" customFormat="1" ht="15" customHeight="1" x14ac:dyDescent="0.25">
      <c r="B51" s="45"/>
      <c r="C51" s="31" t="s">
        <v>165</v>
      </c>
      <c r="D51" s="32" t="s">
        <v>50</v>
      </c>
      <c r="E51" s="37">
        <v>8.03E-4</v>
      </c>
      <c r="F51" s="27"/>
      <c r="G51" s="27"/>
      <c r="H51" s="27"/>
      <c r="I51" s="27"/>
      <c r="J51" s="27"/>
      <c r="K51" s="27"/>
      <c r="L51" s="27"/>
      <c r="M51" s="27"/>
      <c r="N51" s="43"/>
    </row>
    <row r="52" spans="2:14" s="26" customFormat="1" ht="15" customHeight="1" x14ac:dyDescent="0.25">
      <c r="B52" s="45"/>
      <c r="C52" s="31" t="s">
        <v>171</v>
      </c>
      <c r="D52" s="32" t="s">
        <v>50</v>
      </c>
      <c r="E52" s="37">
        <v>5.4500000000000002E-4</v>
      </c>
      <c r="F52" s="27"/>
      <c r="G52" s="27"/>
      <c r="H52" s="27"/>
      <c r="I52" s="27"/>
      <c r="J52" s="27"/>
      <c r="K52" s="27"/>
      <c r="L52" s="27"/>
      <c r="M52" s="27"/>
      <c r="N52" s="43"/>
    </row>
    <row r="53" spans="2:14" s="26" customFormat="1" ht="15" customHeight="1" x14ac:dyDescent="0.25">
      <c r="B53" s="45"/>
      <c r="C53" s="31" t="s">
        <v>174</v>
      </c>
      <c r="D53" s="32" t="s">
        <v>50</v>
      </c>
      <c r="E53" s="37">
        <v>5.3799999999999996E-4</v>
      </c>
      <c r="F53" s="27"/>
      <c r="G53" s="27"/>
      <c r="H53" s="27"/>
      <c r="I53" s="27"/>
      <c r="J53" s="27"/>
      <c r="K53" s="27"/>
      <c r="L53" s="27"/>
      <c r="M53" s="27"/>
      <c r="N53" s="43"/>
    </row>
    <row r="54" spans="2:14" s="26" customFormat="1" ht="15" customHeight="1" x14ac:dyDescent="0.25">
      <c r="B54" s="45"/>
      <c r="C54" s="31" t="s">
        <v>173</v>
      </c>
      <c r="D54" s="32" t="s">
        <v>50</v>
      </c>
      <c r="E54" s="37">
        <v>2.7099999999999997E-4</v>
      </c>
      <c r="F54" s="27"/>
      <c r="G54" s="27"/>
      <c r="H54" s="27"/>
      <c r="I54" s="27"/>
      <c r="J54" s="27"/>
      <c r="K54" s="27"/>
      <c r="L54" s="27"/>
      <c r="M54" s="27"/>
      <c r="N54" s="43"/>
    </row>
    <row r="55" spans="2:14" s="26" customFormat="1" ht="15" customHeight="1" x14ac:dyDescent="0.25">
      <c r="B55" s="45"/>
      <c r="C55" s="31" t="s">
        <v>167</v>
      </c>
      <c r="D55" s="32" t="s">
        <v>50</v>
      </c>
      <c r="E55" s="37">
        <v>2.7E-4</v>
      </c>
      <c r="F55" s="27"/>
      <c r="G55" s="27"/>
      <c r="H55" s="27"/>
      <c r="I55" s="27"/>
      <c r="J55" s="27"/>
      <c r="K55" s="27"/>
      <c r="L55" s="27"/>
      <c r="M55" s="27"/>
      <c r="N55" s="43"/>
    </row>
    <row r="56" spans="2:14" s="26" customFormat="1" ht="15" customHeight="1" x14ac:dyDescent="0.25">
      <c r="B56" s="45"/>
      <c r="C56" s="31" t="s">
        <v>180</v>
      </c>
      <c r="D56" s="32" t="s">
        <v>50</v>
      </c>
      <c r="E56" s="37">
        <v>1.25E-4</v>
      </c>
      <c r="F56" s="27"/>
      <c r="G56" s="27"/>
      <c r="H56" s="27"/>
      <c r="I56" s="27"/>
      <c r="J56" s="27"/>
      <c r="K56" s="27"/>
      <c r="L56" s="27"/>
      <c r="M56" s="27"/>
      <c r="N56" s="43"/>
    </row>
    <row r="57" spans="2:14" s="26" customFormat="1" ht="15" customHeight="1" x14ac:dyDescent="0.25">
      <c r="B57" s="45"/>
      <c r="C57" s="31" t="s">
        <v>183</v>
      </c>
      <c r="D57" s="32" t="s">
        <v>50</v>
      </c>
      <c r="E57" s="54">
        <v>4.3999999999999999E-5</v>
      </c>
      <c r="F57" s="27"/>
      <c r="G57" s="27"/>
      <c r="H57" s="27"/>
      <c r="I57" s="27"/>
      <c r="J57" s="27"/>
      <c r="K57" s="27"/>
      <c r="L57" s="27"/>
      <c r="M57" s="27"/>
      <c r="N57" s="43"/>
    </row>
    <row r="58" spans="2:14" s="26" customFormat="1" ht="15" customHeight="1" x14ac:dyDescent="0.25">
      <c r="B58" s="45"/>
      <c r="C58" s="7" t="s">
        <v>57</v>
      </c>
      <c r="D58" s="8"/>
      <c r="E58" s="12">
        <v>3.7567000000000003E-2</v>
      </c>
      <c r="F58" s="27"/>
      <c r="G58" s="27"/>
      <c r="H58" s="27"/>
      <c r="I58" s="27"/>
      <c r="J58" s="27"/>
      <c r="K58" s="27"/>
      <c r="L58" s="27"/>
      <c r="M58" s="27"/>
      <c r="N58" s="43"/>
    </row>
    <row r="59" spans="2:14" s="26" customFormat="1" ht="15" customHeight="1" x14ac:dyDescent="0.25">
      <c r="B59" s="45"/>
      <c r="C59" s="5" t="s">
        <v>8</v>
      </c>
      <c r="D59" s="6"/>
      <c r="E59" s="11">
        <v>9.6959999999999998E-3</v>
      </c>
      <c r="F59" s="27"/>
      <c r="G59" s="27"/>
      <c r="H59" s="27"/>
      <c r="I59" s="27"/>
      <c r="J59" s="27"/>
      <c r="K59" s="27"/>
      <c r="L59" s="27"/>
      <c r="M59" s="27"/>
      <c r="N59" s="43"/>
    </row>
    <row r="60" spans="2:14" s="26" customFormat="1" ht="15" customHeight="1" x14ac:dyDescent="0.25">
      <c r="B60" s="45"/>
      <c r="C60" s="7" t="s">
        <v>9</v>
      </c>
      <c r="D60" s="8"/>
      <c r="E60" s="12">
        <v>9.6959999999999998E-3</v>
      </c>
      <c r="F60" s="27"/>
      <c r="G60" s="27"/>
      <c r="H60" s="27"/>
      <c r="I60" s="27"/>
      <c r="J60" s="27"/>
      <c r="K60" s="27"/>
      <c r="L60" s="27"/>
      <c r="M60" s="27"/>
      <c r="N60" s="43"/>
    </row>
    <row r="61" spans="2:14" s="26" customFormat="1" ht="15" customHeight="1" x14ac:dyDescent="0.25">
      <c r="B61" s="45"/>
      <c r="C61" s="5" t="s">
        <v>27</v>
      </c>
      <c r="D61" s="6" t="s">
        <v>26</v>
      </c>
      <c r="E61" s="11">
        <v>9.6000000000000002E-5</v>
      </c>
      <c r="F61" s="27"/>
      <c r="G61" s="27"/>
      <c r="H61" s="27"/>
      <c r="I61" s="27"/>
      <c r="J61" s="27"/>
      <c r="K61" s="27"/>
      <c r="L61" s="27"/>
      <c r="M61" s="27"/>
      <c r="N61" s="43"/>
    </row>
    <row r="62" spans="2:14" s="26" customFormat="1" ht="15" customHeight="1" x14ac:dyDescent="0.25">
      <c r="B62" s="45"/>
      <c r="C62" s="7" t="s">
        <v>58</v>
      </c>
      <c r="D62" s="8"/>
      <c r="E62" s="12">
        <v>9.6000000000000002E-5</v>
      </c>
      <c r="F62" s="27"/>
      <c r="G62" s="27"/>
      <c r="H62" s="27"/>
      <c r="I62" s="27"/>
      <c r="J62" s="27"/>
      <c r="K62" s="27"/>
      <c r="L62" s="27"/>
      <c r="M62" s="27"/>
      <c r="N62" s="43"/>
    </row>
    <row r="63" spans="2:14" s="26" customFormat="1" ht="15" customHeight="1" x14ac:dyDescent="0.25">
      <c r="B63" s="45"/>
      <c r="C63" s="5"/>
      <c r="D63" s="6"/>
      <c r="E63" s="11"/>
      <c r="F63" s="27"/>
      <c r="G63" s="27"/>
      <c r="H63" s="27"/>
      <c r="I63" s="27"/>
      <c r="J63" s="27"/>
      <c r="K63" s="27"/>
      <c r="L63" s="27"/>
      <c r="M63" s="27"/>
      <c r="N63" s="43"/>
    </row>
    <row r="64" spans="2:14" s="26" customFormat="1" ht="15" customHeight="1" x14ac:dyDescent="0.25">
      <c r="B64" s="45"/>
      <c r="C64" s="7" t="s">
        <v>10</v>
      </c>
      <c r="D64" s="8"/>
      <c r="E64" s="12">
        <v>3.0245999999999999E-2</v>
      </c>
      <c r="F64" s="27"/>
      <c r="G64" s="27"/>
      <c r="H64" s="27"/>
      <c r="I64" s="27"/>
      <c r="J64" s="27"/>
      <c r="K64" s="27"/>
      <c r="L64" s="27"/>
      <c r="M64" s="27"/>
      <c r="N64" s="43"/>
    </row>
    <row r="65" spans="2:14" s="26" customFormat="1" ht="15" customHeight="1" x14ac:dyDescent="0.25">
      <c r="B65" s="45"/>
      <c r="C65" s="5"/>
      <c r="D65" s="6"/>
      <c r="E65" s="11"/>
      <c r="F65" s="27"/>
      <c r="G65" s="27"/>
      <c r="H65" s="27"/>
      <c r="I65" s="27"/>
      <c r="J65" s="27"/>
      <c r="K65" s="27"/>
      <c r="L65" s="27"/>
      <c r="M65" s="27"/>
      <c r="N65" s="43"/>
    </row>
    <row r="66" spans="2:14" s="26" customFormat="1" ht="15" customHeight="1" x14ac:dyDescent="0.25">
      <c r="B66" s="45"/>
      <c r="C66" s="9" t="s">
        <v>11</v>
      </c>
      <c r="D66" s="10"/>
      <c r="E66" s="13">
        <v>1</v>
      </c>
      <c r="F66" s="27"/>
      <c r="G66" s="27"/>
      <c r="H66" s="27"/>
      <c r="I66" s="27"/>
      <c r="J66" s="27"/>
      <c r="K66" s="27"/>
      <c r="L66" s="27"/>
      <c r="M66" s="27"/>
      <c r="N66" s="43"/>
    </row>
    <row r="67" spans="2:14" s="26" customFormat="1" ht="15" customHeight="1" x14ac:dyDescent="0.25">
      <c r="B67" s="45"/>
      <c r="C67" s="27"/>
      <c r="D67" s="27"/>
      <c r="E67" s="27"/>
      <c r="F67" s="27"/>
      <c r="G67" s="27"/>
      <c r="H67" s="27"/>
      <c r="I67" s="27"/>
      <c r="J67" s="27"/>
      <c r="K67" s="27"/>
      <c r="L67" s="27"/>
      <c r="M67" s="27"/>
      <c r="N67" s="43"/>
    </row>
    <row r="68" spans="2:14" ht="15" customHeight="1" thickBot="1" x14ac:dyDescent="0.3">
      <c r="B68" s="20"/>
      <c r="C68" s="21"/>
      <c r="D68" s="21"/>
      <c r="E68" s="21"/>
      <c r="F68" s="21"/>
      <c r="G68" s="21"/>
      <c r="H68" s="21"/>
      <c r="I68" s="21"/>
      <c r="J68" s="21"/>
      <c r="K68" s="21"/>
      <c r="L68" s="21"/>
      <c r="M68" s="21"/>
      <c r="N68" s="22"/>
    </row>
    <row r="69" spans="2:14" ht="15" customHeight="1" thickBot="1" x14ac:dyDescent="0.3"/>
    <row r="70" spans="2:14" ht="117.75" customHeight="1" thickBot="1" x14ac:dyDescent="0.3">
      <c r="B70" s="68" t="s">
        <v>129</v>
      </c>
      <c r="C70" s="69"/>
      <c r="D70" s="69"/>
      <c r="E70" s="69"/>
      <c r="F70" s="69"/>
      <c r="G70" s="69"/>
      <c r="H70" s="69"/>
      <c r="I70" s="69"/>
      <c r="J70" s="69"/>
      <c r="K70" s="69"/>
      <c r="L70" s="69"/>
      <c r="M70" s="69"/>
      <c r="N70" s="70"/>
    </row>
    <row r="71" spans="2:14" ht="15" customHeight="1" x14ac:dyDescent="0.25"/>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sheetData>
  <sortState ref="C38:E57">
    <sortCondition descending="1" ref="E37"/>
  </sortState>
  <mergeCells count="4">
    <mergeCell ref="B70:N70"/>
    <mergeCell ref="C3:N3"/>
    <mergeCell ref="G7:N7"/>
    <mergeCell ref="G26:N2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D29FA-B9FD-4C16-883C-E7B856624148}">
  <dimension ref="B1:N57"/>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71" t="s">
        <v>111</v>
      </c>
      <c r="D3" s="72"/>
      <c r="E3" s="72"/>
      <c r="F3" s="72"/>
      <c r="G3" s="72"/>
      <c r="H3" s="72"/>
      <c r="I3" s="72"/>
      <c r="J3" s="72"/>
      <c r="K3" s="72"/>
      <c r="L3" s="72"/>
      <c r="M3" s="72"/>
      <c r="N3" s="73"/>
    </row>
    <row r="4" spans="2:14" ht="15.75" customHeight="1" x14ac:dyDescent="0.25">
      <c r="B4" s="19"/>
      <c r="C4" s="14"/>
      <c r="D4" s="1"/>
      <c r="E4" s="1"/>
      <c r="F4" s="1"/>
      <c r="G4" s="1"/>
      <c r="H4" s="1"/>
      <c r="I4" s="1"/>
      <c r="J4" s="1"/>
      <c r="K4" s="1"/>
      <c r="L4" s="1"/>
      <c r="M4" s="1"/>
      <c r="N4" s="17"/>
    </row>
    <row r="5" spans="2:14" ht="18" customHeight="1" x14ac:dyDescent="0.25">
      <c r="B5" s="19"/>
      <c r="C5" s="40"/>
      <c r="D5" s="27"/>
      <c r="E5" s="27"/>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74" t="s">
        <v>16</v>
      </c>
      <c r="H7" s="75"/>
      <c r="I7" s="75"/>
      <c r="J7" s="75"/>
      <c r="K7" s="75"/>
      <c r="L7" s="75"/>
      <c r="M7" s="75"/>
      <c r="N7" s="76"/>
    </row>
    <row r="8" spans="2:14" ht="15" customHeight="1" x14ac:dyDescent="0.25">
      <c r="B8" s="19"/>
      <c r="C8" s="5" t="s">
        <v>19</v>
      </c>
      <c r="D8" s="6" t="s">
        <v>20</v>
      </c>
      <c r="E8" s="11">
        <v>1.3070999999999999E-2</v>
      </c>
      <c r="F8" s="1"/>
      <c r="G8" s="23" t="s">
        <v>15</v>
      </c>
      <c r="H8" s="51">
        <f>100%-H9</f>
        <v>0.96885100000000002</v>
      </c>
      <c r="I8" s="1"/>
      <c r="J8" s="23" t="s">
        <v>12</v>
      </c>
      <c r="K8" s="23" t="s">
        <v>3</v>
      </c>
      <c r="L8" s="1"/>
      <c r="M8" s="1"/>
      <c r="N8" s="17"/>
    </row>
    <row r="9" spans="2:14" ht="15.75" customHeight="1" x14ac:dyDescent="0.25">
      <c r="B9" s="19"/>
      <c r="C9" s="7" t="s">
        <v>22</v>
      </c>
      <c r="D9" s="8"/>
      <c r="E9" s="12">
        <v>1.3070999999999999E-2</v>
      </c>
      <c r="F9" s="1"/>
      <c r="G9" s="23" t="s">
        <v>106</v>
      </c>
      <c r="H9" s="25">
        <v>3.1149E-2</v>
      </c>
      <c r="I9" s="1"/>
      <c r="J9" s="23" t="s">
        <v>10</v>
      </c>
      <c r="K9" s="25">
        <v>1.2898E-2</v>
      </c>
      <c r="L9" s="1"/>
      <c r="M9" s="1"/>
      <c r="N9" s="17"/>
    </row>
    <row r="10" spans="2:14" ht="15" customHeight="1" x14ac:dyDescent="0.25">
      <c r="B10" s="19"/>
      <c r="C10" s="5" t="s">
        <v>72</v>
      </c>
      <c r="D10" s="6" t="s">
        <v>20</v>
      </c>
      <c r="E10" s="11">
        <v>8.7500999999999995E-2</v>
      </c>
      <c r="F10" s="1"/>
      <c r="G10" s="1"/>
      <c r="H10" s="1"/>
      <c r="I10" s="1"/>
      <c r="J10" s="23" t="s">
        <v>13</v>
      </c>
      <c r="K10" s="25">
        <v>0.32366400000000001</v>
      </c>
      <c r="L10" s="1"/>
      <c r="M10" s="1"/>
      <c r="N10" s="17"/>
    </row>
    <row r="11" spans="2:14" ht="15" customHeight="1" x14ac:dyDescent="0.25">
      <c r="B11" s="19"/>
      <c r="C11" s="5" t="s">
        <v>83</v>
      </c>
      <c r="D11" s="6" t="s">
        <v>20</v>
      </c>
      <c r="E11" s="11">
        <v>4.3762000000000002E-2</v>
      </c>
      <c r="F11" s="1"/>
      <c r="G11" s="1"/>
      <c r="H11" s="1"/>
      <c r="I11" s="1"/>
      <c r="J11" s="23" t="s">
        <v>59</v>
      </c>
      <c r="K11" s="25">
        <v>1.3070999999999999E-2</v>
      </c>
      <c r="L11" s="1"/>
      <c r="M11" s="1"/>
      <c r="N11" s="17"/>
    </row>
    <row r="12" spans="2:14" ht="15.75" customHeight="1" x14ac:dyDescent="0.25">
      <c r="B12" s="19"/>
      <c r="C12" s="7" t="s">
        <v>24</v>
      </c>
      <c r="D12" s="8"/>
      <c r="E12" s="12">
        <v>0.13126299999999999</v>
      </c>
      <c r="F12" s="1"/>
      <c r="G12" s="1"/>
      <c r="H12" s="1"/>
      <c r="I12" s="1"/>
      <c r="J12" s="23" t="s">
        <v>60</v>
      </c>
      <c r="K12" s="25">
        <v>0.30821599999999999</v>
      </c>
      <c r="L12" s="1"/>
      <c r="M12" s="1"/>
      <c r="N12" s="17"/>
    </row>
    <row r="13" spans="2:14" ht="15" customHeight="1" x14ac:dyDescent="0.25">
      <c r="B13" s="19"/>
      <c r="C13" s="5" t="s">
        <v>23</v>
      </c>
      <c r="D13" s="6" t="s">
        <v>26</v>
      </c>
      <c r="E13" s="11">
        <v>7.5792999999999999E-2</v>
      </c>
      <c r="F13" s="1"/>
      <c r="G13" s="1"/>
      <c r="H13" s="1"/>
      <c r="I13" s="1"/>
      <c r="J13" s="23" t="s">
        <v>61</v>
      </c>
      <c r="K13" s="25">
        <v>0.13126299999999999</v>
      </c>
      <c r="L13" s="1"/>
      <c r="M13" s="1"/>
      <c r="N13" s="17"/>
    </row>
    <row r="14" spans="2:14" ht="15" customHeight="1" x14ac:dyDescent="0.25">
      <c r="B14" s="19"/>
      <c r="C14" s="5" t="s">
        <v>28</v>
      </c>
      <c r="D14" s="6" t="s">
        <v>26</v>
      </c>
      <c r="E14" s="11">
        <v>7.1834999999999996E-2</v>
      </c>
      <c r="F14" s="1"/>
      <c r="G14" s="1"/>
      <c r="H14" s="1"/>
      <c r="I14" s="1"/>
      <c r="J14" s="23" t="s">
        <v>62</v>
      </c>
      <c r="K14" s="25">
        <v>7.4984999999999996E-2</v>
      </c>
      <c r="L14" s="1"/>
      <c r="M14" s="1"/>
      <c r="N14" s="17"/>
    </row>
    <row r="15" spans="2:14" ht="15" customHeight="1" x14ac:dyDescent="0.25">
      <c r="B15" s="19"/>
      <c r="C15" s="5" t="s">
        <v>98</v>
      </c>
      <c r="D15" s="6" t="s">
        <v>26</v>
      </c>
      <c r="E15" s="11">
        <v>4.3563999999999999E-2</v>
      </c>
      <c r="F15" s="1"/>
      <c r="G15" s="1"/>
      <c r="H15" s="1"/>
      <c r="I15" s="1"/>
      <c r="J15" s="23" t="s">
        <v>63</v>
      </c>
      <c r="K15" s="25">
        <v>0.13580800000000001</v>
      </c>
      <c r="L15" s="1"/>
      <c r="M15" s="1"/>
      <c r="N15" s="17"/>
    </row>
    <row r="16" spans="2:14" ht="15" customHeight="1" x14ac:dyDescent="0.25">
      <c r="B16" s="19"/>
      <c r="C16" s="5" t="s">
        <v>112</v>
      </c>
      <c r="D16" s="6" t="s">
        <v>26</v>
      </c>
      <c r="E16" s="11">
        <v>2.7373999999999999E-2</v>
      </c>
      <c r="F16" s="1"/>
      <c r="G16" s="1"/>
      <c r="H16" s="1"/>
      <c r="I16" s="1"/>
      <c r="J16" s="23"/>
      <c r="K16" s="25"/>
      <c r="L16" s="1"/>
      <c r="M16" s="1"/>
      <c r="N16" s="17"/>
    </row>
    <row r="17" spans="2:14" ht="15" customHeight="1" x14ac:dyDescent="0.25">
      <c r="B17" s="19"/>
      <c r="C17" s="5" t="s">
        <v>25</v>
      </c>
      <c r="D17" s="6" t="s">
        <v>26</v>
      </c>
      <c r="E17" s="11">
        <v>2.6568000000000001E-2</v>
      </c>
      <c r="F17" s="1"/>
      <c r="G17" s="1"/>
      <c r="H17" s="1"/>
      <c r="I17" s="1"/>
      <c r="J17" s="1"/>
      <c r="K17" s="1"/>
      <c r="L17" s="1"/>
      <c r="M17" s="1"/>
      <c r="N17" s="17"/>
    </row>
    <row r="18" spans="2:14" ht="15" customHeight="1" x14ac:dyDescent="0.25">
      <c r="B18" s="19"/>
      <c r="C18" s="5" t="s">
        <v>96</v>
      </c>
      <c r="D18" s="6" t="s">
        <v>97</v>
      </c>
      <c r="E18" s="11">
        <v>2.2124999999999999E-2</v>
      </c>
      <c r="F18" s="1"/>
      <c r="G18" s="1"/>
      <c r="H18" s="1"/>
      <c r="I18" s="1"/>
      <c r="J18" s="1"/>
      <c r="K18" s="1"/>
      <c r="L18" s="1"/>
      <c r="M18" s="1"/>
      <c r="N18" s="17"/>
    </row>
    <row r="19" spans="2:14" ht="15" customHeight="1" x14ac:dyDescent="0.25">
      <c r="B19" s="19"/>
      <c r="C19" s="5" t="s">
        <v>113</v>
      </c>
      <c r="D19" s="6" t="s">
        <v>26</v>
      </c>
      <c r="E19" s="11">
        <v>1.8447000000000002E-2</v>
      </c>
      <c r="F19" s="1"/>
      <c r="G19" s="1"/>
      <c r="H19" s="1"/>
      <c r="I19" s="1"/>
      <c r="J19" s="1"/>
      <c r="K19" s="1"/>
      <c r="L19" s="1"/>
      <c r="M19" s="1"/>
      <c r="N19" s="17"/>
    </row>
    <row r="20" spans="2:14" ht="15" customHeight="1" x14ac:dyDescent="0.25">
      <c r="B20" s="19"/>
      <c r="C20" s="5" t="s">
        <v>42</v>
      </c>
      <c r="D20" s="6" t="s">
        <v>26</v>
      </c>
      <c r="E20" s="11">
        <v>9.0570000000000008E-3</v>
      </c>
      <c r="F20" s="1"/>
      <c r="G20" s="1"/>
      <c r="H20" s="1"/>
      <c r="I20" s="1"/>
      <c r="J20" s="1"/>
      <c r="K20" s="1"/>
      <c r="L20" s="1"/>
      <c r="M20" s="1"/>
      <c r="N20" s="17"/>
    </row>
    <row r="21" spans="2:14" ht="15" customHeight="1" x14ac:dyDescent="0.25">
      <c r="B21" s="19"/>
      <c r="C21" s="5" t="s">
        <v>100</v>
      </c>
      <c r="D21" s="6" t="s">
        <v>97</v>
      </c>
      <c r="E21" s="11">
        <v>9.0240000000000008E-3</v>
      </c>
      <c r="F21" s="1"/>
      <c r="G21" s="1"/>
      <c r="H21" s="1"/>
      <c r="I21" s="1"/>
      <c r="J21" s="1"/>
      <c r="K21" s="1"/>
      <c r="L21" s="1"/>
      <c r="M21" s="1"/>
      <c r="N21" s="17"/>
    </row>
    <row r="22" spans="2:14" ht="15" customHeight="1" x14ac:dyDescent="0.25">
      <c r="B22" s="19"/>
      <c r="C22" s="5" t="s">
        <v>31</v>
      </c>
      <c r="D22" s="6" t="s">
        <v>26</v>
      </c>
      <c r="E22" s="11">
        <v>4.4289999999999998E-3</v>
      </c>
      <c r="F22" s="1"/>
      <c r="G22" s="1"/>
      <c r="H22" s="1"/>
      <c r="I22" s="1"/>
      <c r="J22" s="1"/>
      <c r="K22" s="1"/>
      <c r="L22" s="1"/>
      <c r="M22" s="1"/>
      <c r="N22" s="17"/>
    </row>
    <row r="23" spans="2:14" ht="15.75" customHeight="1" x14ac:dyDescent="0.25">
      <c r="B23" s="19"/>
      <c r="C23" s="7" t="s">
        <v>46</v>
      </c>
      <c r="D23" s="8"/>
      <c r="E23" s="12">
        <v>0.30821599999999999</v>
      </c>
      <c r="F23" s="1"/>
      <c r="G23" s="1"/>
      <c r="H23" s="1"/>
      <c r="I23" s="1"/>
      <c r="J23" s="1"/>
      <c r="K23" s="1"/>
      <c r="L23" s="1"/>
      <c r="M23" s="1"/>
      <c r="N23" s="17"/>
    </row>
    <row r="24" spans="2:14" ht="15" customHeight="1" x14ac:dyDescent="0.25">
      <c r="B24" s="19"/>
      <c r="C24" s="5" t="s">
        <v>47</v>
      </c>
      <c r="D24" s="6" t="s">
        <v>20</v>
      </c>
      <c r="E24" s="11">
        <v>6.1740000000000003E-2</v>
      </c>
      <c r="F24" s="1"/>
      <c r="G24" s="27"/>
      <c r="H24" s="27"/>
      <c r="I24" s="27"/>
      <c r="J24" s="27"/>
      <c r="K24" s="27"/>
      <c r="L24" s="27"/>
      <c r="M24" s="27"/>
      <c r="N24" s="43"/>
    </row>
    <row r="25" spans="2:14" ht="15" customHeight="1" x14ac:dyDescent="0.25">
      <c r="B25" s="19"/>
      <c r="C25" s="5" t="s">
        <v>19</v>
      </c>
      <c r="D25" s="6" t="s">
        <v>20</v>
      </c>
      <c r="E25" s="11">
        <v>1.3245E-2</v>
      </c>
      <c r="F25" s="1"/>
      <c r="G25" s="1"/>
      <c r="H25" s="1"/>
      <c r="I25" s="1"/>
      <c r="J25" s="1"/>
      <c r="K25" s="1"/>
      <c r="L25" s="1"/>
      <c r="M25" s="1"/>
      <c r="N25" s="17"/>
    </row>
    <row r="26" spans="2:14" ht="15.75" customHeight="1" x14ac:dyDescent="0.25">
      <c r="B26" s="19"/>
      <c r="C26" s="7" t="s">
        <v>48</v>
      </c>
      <c r="D26" s="8"/>
      <c r="E26" s="12">
        <v>7.4984999999999996E-2</v>
      </c>
      <c r="F26" s="1"/>
      <c r="G26" s="74" t="s">
        <v>17</v>
      </c>
      <c r="H26" s="75"/>
      <c r="I26" s="75"/>
      <c r="J26" s="75"/>
      <c r="K26" s="75"/>
      <c r="L26" s="75"/>
      <c r="M26" s="75"/>
      <c r="N26" s="76"/>
    </row>
    <row r="27" spans="2:14" ht="15" customHeight="1" x14ac:dyDescent="0.25">
      <c r="B27" s="19"/>
      <c r="C27" s="5" t="s">
        <v>67</v>
      </c>
      <c r="D27" s="6" t="s">
        <v>50</v>
      </c>
      <c r="E27" s="11">
        <v>0.10084899999999999</v>
      </c>
      <c r="F27" s="1"/>
      <c r="G27" s="1"/>
      <c r="H27" s="1"/>
      <c r="I27" s="1"/>
      <c r="J27" s="1"/>
      <c r="K27" s="1"/>
      <c r="L27" s="1"/>
      <c r="M27" s="1"/>
      <c r="N27" s="17"/>
    </row>
    <row r="28" spans="2:14" ht="15" customHeight="1" x14ac:dyDescent="0.25">
      <c r="B28" s="19"/>
      <c r="C28" s="5" t="s">
        <v>114</v>
      </c>
      <c r="D28" s="6" t="s">
        <v>50</v>
      </c>
      <c r="E28" s="11">
        <v>3.4958999999999997E-2</v>
      </c>
      <c r="F28" s="1"/>
      <c r="G28" s="1"/>
      <c r="H28" s="1"/>
      <c r="I28" s="1"/>
      <c r="J28" s="1"/>
      <c r="K28" s="1"/>
      <c r="L28" s="1"/>
      <c r="M28" s="1"/>
      <c r="N28" s="17"/>
    </row>
    <row r="29" spans="2:14" ht="15.75" customHeight="1" x14ac:dyDescent="0.25">
      <c r="B29" s="19"/>
      <c r="C29" s="7" t="s">
        <v>56</v>
      </c>
      <c r="D29" s="8"/>
      <c r="E29" s="12">
        <v>0.13580800000000001</v>
      </c>
      <c r="F29" s="1"/>
      <c r="G29" s="1"/>
      <c r="H29" s="1"/>
      <c r="I29" s="1"/>
      <c r="J29" s="1"/>
      <c r="K29" s="1"/>
      <c r="L29" s="1"/>
      <c r="M29" s="1"/>
      <c r="N29" s="17"/>
    </row>
    <row r="30" spans="2:14" ht="15" customHeight="1" x14ac:dyDescent="0.25">
      <c r="B30" s="19"/>
      <c r="C30" s="5" t="s">
        <v>8</v>
      </c>
      <c r="D30" s="6"/>
      <c r="E30" s="11">
        <v>0.32366400000000001</v>
      </c>
      <c r="F30" s="1"/>
      <c r="G30" s="1"/>
      <c r="H30" s="1"/>
      <c r="I30" s="1"/>
      <c r="J30" s="1"/>
      <c r="K30" s="1"/>
      <c r="L30" s="1"/>
      <c r="M30" s="1"/>
      <c r="N30" s="17"/>
    </row>
    <row r="31" spans="2:14" ht="15.75" customHeight="1" x14ac:dyDescent="0.25">
      <c r="B31" s="19"/>
      <c r="C31" s="7" t="s">
        <v>9</v>
      </c>
      <c r="D31" s="8"/>
      <c r="E31" s="12">
        <v>0.32366400000000001</v>
      </c>
      <c r="F31" s="1"/>
      <c r="G31" s="1"/>
      <c r="H31" s="1"/>
      <c r="I31" s="1"/>
      <c r="J31" s="1"/>
      <c r="K31" s="1"/>
      <c r="L31" s="1"/>
      <c r="M31" s="1"/>
      <c r="N31" s="17"/>
    </row>
    <row r="32" spans="2:14" ht="15" customHeight="1" x14ac:dyDescent="0.25">
      <c r="B32" s="19"/>
      <c r="C32" s="5"/>
      <c r="D32" s="6"/>
      <c r="E32" s="11"/>
      <c r="F32" s="1"/>
      <c r="G32" s="1"/>
      <c r="H32" s="1"/>
      <c r="I32" s="1"/>
      <c r="J32" s="1"/>
      <c r="K32" s="1"/>
      <c r="L32" s="1"/>
      <c r="M32" s="1"/>
      <c r="N32" s="17"/>
    </row>
    <row r="33" spans="2:14" ht="15.75" customHeight="1" x14ac:dyDescent="0.25">
      <c r="B33" s="19"/>
      <c r="C33" s="7" t="s">
        <v>10</v>
      </c>
      <c r="D33" s="8"/>
      <c r="E33" s="12">
        <v>1.2898E-2</v>
      </c>
      <c r="F33" s="1"/>
      <c r="G33" s="1"/>
      <c r="H33" s="1"/>
      <c r="I33" s="1"/>
      <c r="J33" s="1"/>
      <c r="K33" s="1"/>
      <c r="L33" s="1"/>
      <c r="M33" s="1"/>
      <c r="N33" s="17"/>
    </row>
    <row r="34" spans="2:14" ht="15" customHeight="1" x14ac:dyDescent="0.25">
      <c r="B34" s="19"/>
      <c r="C34" s="5"/>
      <c r="D34" s="6"/>
      <c r="E34" s="11"/>
      <c r="F34" s="1"/>
      <c r="G34" s="1"/>
      <c r="H34" s="1"/>
      <c r="I34" s="1"/>
      <c r="J34" s="1"/>
      <c r="K34" s="1"/>
      <c r="L34" s="1"/>
      <c r="M34" s="1"/>
      <c r="N34" s="17"/>
    </row>
    <row r="35" spans="2:14" ht="15.75" customHeight="1" x14ac:dyDescent="0.25">
      <c r="B35" s="19"/>
      <c r="C35" s="9" t="s">
        <v>11</v>
      </c>
      <c r="D35" s="10"/>
      <c r="E35" s="13">
        <v>1</v>
      </c>
      <c r="F35" s="1"/>
      <c r="G35" s="1"/>
      <c r="H35" s="1"/>
      <c r="I35" s="1"/>
      <c r="J35" s="1"/>
      <c r="K35" s="1"/>
      <c r="L35" s="1"/>
      <c r="M35" s="1"/>
      <c r="N35" s="17"/>
    </row>
    <row r="36" spans="2:14" ht="15" customHeight="1" x14ac:dyDescent="0.25">
      <c r="B36" s="19"/>
      <c r="F36" s="1"/>
      <c r="G36" s="1"/>
      <c r="H36" s="1"/>
      <c r="I36" s="1"/>
      <c r="J36" s="1"/>
      <c r="K36" s="1"/>
      <c r="L36" s="1"/>
      <c r="M36" s="1"/>
      <c r="N36" s="17"/>
    </row>
    <row r="37" spans="2:14" ht="15" customHeight="1" x14ac:dyDescent="0.25">
      <c r="B37" s="19"/>
      <c r="C37" s="52" t="s">
        <v>115</v>
      </c>
      <c r="D37" s="52"/>
      <c r="E37" s="53">
        <v>0.30007</v>
      </c>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thickBot="1" x14ac:dyDescent="0.3">
      <c r="B43" s="20"/>
      <c r="C43" s="21"/>
      <c r="D43" s="21"/>
      <c r="E43" s="21"/>
      <c r="F43" s="21"/>
      <c r="G43" s="21"/>
      <c r="H43" s="21"/>
      <c r="I43" s="21"/>
      <c r="J43" s="21"/>
      <c r="K43" s="21"/>
      <c r="L43" s="21"/>
      <c r="M43" s="21"/>
      <c r="N43" s="22"/>
    </row>
    <row r="44" spans="2:14" ht="15" customHeight="1" thickBot="1" x14ac:dyDescent="0.3"/>
    <row r="45" spans="2:14" ht="115.5" customHeight="1" thickBot="1" x14ac:dyDescent="0.3">
      <c r="B45" s="68" t="s">
        <v>129</v>
      </c>
      <c r="C45" s="69"/>
      <c r="D45" s="69"/>
      <c r="E45" s="69"/>
      <c r="F45" s="69"/>
      <c r="G45" s="69"/>
      <c r="H45" s="69"/>
      <c r="I45" s="69"/>
      <c r="J45" s="69"/>
      <c r="K45" s="69"/>
      <c r="L45" s="69"/>
      <c r="M45" s="69"/>
      <c r="N45" s="70"/>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sheetData>
  <mergeCells count="4">
    <mergeCell ref="B45:N45"/>
    <mergeCell ref="C3:N3"/>
    <mergeCell ref="G7:N7"/>
    <mergeCell ref="G26:N2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BEFAF-4842-4DEE-9EE7-1C1741E91AC3}">
  <dimension ref="B1:N52"/>
  <sheetViews>
    <sheetView showGridLines="0" zoomScale="75" zoomScaleNormal="75" workbookViewId="0"/>
  </sheetViews>
  <sheetFormatPr defaultRowHeight="15" x14ac:dyDescent="0.25"/>
  <cols>
    <col min="1" max="1" width="2.85546875" customWidth="1"/>
    <col min="2" max="2" width="3.85546875" customWidth="1"/>
    <col min="3" max="3" width="56.71093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71" t="s">
        <v>94</v>
      </c>
      <c r="D3" s="72"/>
      <c r="E3" s="72"/>
      <c r="F3" s="72"/>
      <c r="G3" s="72"/>
      <c r="H3" s="72"/>
      <c r="I3" s="72"/>
      <c r="J3" s="72"/>
      <c r="K3" s="72"/>
      <c r="L3" s="72"/>
      <c r="M3" s="72"/>
      <c r="N3" s="73"/>
    </row>
    <row r="4" spans="2:14" ht="15.75" customHeight="1" x14ac:dyDescent="0.25">
      <c r="B4" s="19"/>
      <c r="C4" s="14"/>
      <c r="D4" s="1"/>
      <c r="E4" s="1"/>
      <c r="F4" s="1"/>
      <c r="G4" s="1"/>
      <c r="H4" s="1"/>
      <c r="I4" s="1"/>
      <c r="J4" s="1"/>
      <c r="K4" s="1"/>
      <c r="L4" s="1"/>
      <c r="M4" s="1"/>
      <c r="N4" s="17"/>
    </row>
    <row r="5" spans="2:14" ht="18" customHeight="1" x14ac:dyDescent="0.25">
      <c r="B5" s="19"/>
      <c r="C5" s="40"/>
      <c r="D5" s="27"/>
      <c r="E5" s="27"/>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74" t="s">
        <v>16</v>
      </c>
      <c r="H7" s="75"/>
      <c r="I7" s="75"/>
      <c r="J7" s="75"/>
      <c r="K7" s="75"/>
      <c r="L7" s="75"/>
      <c r="M7" s="75"/>
      <c r="N7" s="76"/>
    </row>
    <row r="8" spans="2:14" ht="15" customHeight="1" x14ac:dyDescent="0.25">
      <c r="B8" s="19"/>
      <c r="C8" s="31" t="s">
        <v>191</v>
      </c>
      <c r="D8" s="6" t="s">
        <v>95</v>
      </c>
      <c r="E8" s="11">
        <v>5.8869999999999999E-2</v>
      </c>
      <c r="F8" s="1"/>
      <c r="G8" s="23" t="s">
        <v>15</v>
      </c>
      <c r="H8" s="25">
        <f>74.1244%-E8</f>
        <v>0.68237399999999993</v>
      </c>
      <c r="I8" s="1"/>
      <c r="J8" s="23" t="s">
        <v>12</v>
      </c>
      <c r="K8" s="23" t="s">
        <v>3</v>
      </c>
      <c r="L8" s="1"/>
      <c r="M8" s="1"/>
      <c r="N8" s="17"/>
    </row>
    <row r="9" spans="2:14" ht="15" customHeight="1" x14ac:dyDescent="0.25">
      <c r="B9" s="19"/>
      <c r="C9" s="5" t="s">
        <v>35</v>
      </c>
      <c r="D9" s="6" t="s">
        <v>26</v>
      </c>
      <c r="E9" s="11">
        <v>5.8539000000000001E-2</v>
      </c>
      <c r="F9" s="1"/>
      <c r="G9" s="23" t="s">
        <v>106</v>
      </c>
      <c r="H9" s="25">
        <v>0.182417</v>
      </c>
      <c r="I9" s="1"/>
      <c r="J9" s="23" t="s">
        <v>10</v>
      </c>
      <c r="K9" s="25">
        <v>2.0976999999999999E-2</v>
      </c>
      <c r="L9" s="1"/>
      <c r="M9" s="1"/>
      <c r="N9" s="17"/>
    </row>
    <row r="10" spans="2:14" ht="15" customHeight="1" x14ac:dyDescent="0.25">
      <c r="B10" s="19"/>
      <c r="C10" s="5" t="s">
        <v>96</v>
      </c>
      <c r="D10" s="6" t="s">
        <v>97</v>
      </c>
      <c r="E10" s="11">
        <v>5.8303000000000001E-2</v>
      </c>
      <c r="F10" s="1"/>
      <c r="G10" s="23" t="s">
        <v>107</v>
      </c>
      <c r="H10" s="25">
        <f>4.689%+E8</f>
        <v>0.10575999999999999</v>
      </c>
      <c r="I10" s="1"/>
      <c r="J10" s="23" t="s">
        <v>13</v>
      </c>
      <c r="K10" s="25">
        <v>0.27046500000000001</v>
      </c>
      <c r="L10" s="1"/>
      <c r="M10" s="1"/>
      <c r="N10" s="17"/>
    </row>
    <row r="11" spans="2:14" ht="15" customHeight="1" x14ac:dyDescent="0.25">
      <c r="B11" s="19"/>
      <c r="C11" s="5" t="s">
        <v>98</v>
      </c>
      <c r="D11" s="6" t="s">
        <v>26</v>
      </c>
      <c r="E11" s="11">
        <v>5.7397999999999998E-2</v>
      </c>
      <c r="F11" s="1"/>
      <c r="G11" s="23" t="s">
        <v>108</v>
      </c>
      <c r="H11" s="25">
        <v>2.9448999999999999E-2</v>
      </c>
      <c r="I11" s="1"/>
      <c r="J11" s="23" t="s">
        <v>60</v>
      </c>
      <c r="K11" s="25">
        <v>0.50844100000000003</v>
      </c>
      <c r="L11" s="1"/>
      <c r="M11" s="1"/>
      <c r="N11" s="17"/>
    </row>
    <row r="12" spans="2:14" ht="15" customHeight="1" x14ac:dyDescent="0.25">
      <c r="B12" s="19"/>
      <c r="C12" s="5" t="s">
        <v>34</v>
      </c>
      <c r="D12" s="6" t="s">
        <v>26</v>
      </c>
      <c r="E12" s="11">
        <v>5.6107999999999998E-2</v>
      </c>
      <c r="F12" s="1"/>
      <c r="G12" s="1"/>
      <c r="H12" s="1"/>
      <c r="I12" s="1"/>
      <c r="J12" s="23" t="s">
        <v>63</v>
      </c>
      <c r="K12" s="25">
        <v>0.131684</v>
      </c>
      <c r="L12" s="1"/>
      <c r="M12" s="1"/>
      <c r="N12" s="17"/>
    </row>
    <row r="13" spans="2:14" ht="15" customHeight="1" x14ac:dyDescent="0.25">
      <c r="B13" s="19"/>
      <c r="C13" s="5" t="s">
        <v>99</v>
      </c>
      <c r="D13" s="6" t="s">
        <v>97</v>
      </c>
      <c r="E13" s="11">
        <v>5.3239000000000002E-2</v>
      </c>
      <c r="F13" s="1"/>
      <c r="G13" s="1"/>
      <c r="H13" s="1"/>
      <c r="I13" s="1"/>
      <c r="J13" s="23" t="s">
        <v>78</v>
      </c>
      <c r="K13" s="25">
        <v>6.8432999999999994E-2</v>
      </c>
      <c r="L13" s="1"/>
      <c r="M13" s="1"/>
      <c r="N13" s="17"/>
    </row>
    <row r="14" spans="2:14" ht="15" customHeight="1" x14ac:dyDescent="0.25">
      <c r="B14" s="19"/>
      <c r="C14" s="5" t="s">
        <v>100</v>
      </c>
      <c r="D14" s="6" t="s">
        <v>97</v>
      </c>
      <c r="E14" s="11">
        <v>4.7557000000000002E-2</v>
      </c>
      <c r="F14" s="1"/>
      <c r="G14" s="1"/>
      <c r="H14" s="1"/>
      <c r="I14" s="1"/>
      <c r="J14" s="1"/>
      <c r="K14" s="1"/>
      <c r="L14" s="1"/>
      <c r="M14" s="1"/>
      <c r="N14" s="17"/>
    </row>
    <row r="15" spans="2:14" ht="15" customHeight="1" x14ac:dyDescent="0.25">
      <c r="B15" s="19"/>
      <c r="C15" s="31" t="s">
        <v>190</v>
      </c>
      <c r="D15" s="6" t="s">
        <v>101</v>
      </c>
      <c r="E15" s="11">
        <v>4.0840000000000001E-2</v>
      </c>
      <c r="F15" s="1"/>
      <c r="G15" s="1"/>
      <c r="H15" s="1"/>
      <c r="I15" s="1"/>
      <c r="J15" s="1"/>
      <c r="K15" s="1"/>
      <c r="L15" s="1"/>
      <c r="M15" s="1"/>
      <c r="N15" s="17"/>
    </row>
    <row r="16" spans="2:14" ht="15" customHeight="1" x14ac:dyDescent="0.25">
      <c r="B16" s="19"/>
      <c r="C16" s="5" t="s">
        <v>102</v>
      </c>
      <c r="D16" s="6" t="s">
        <v>103</v>
      </c>
      <c r="E16" s="11">
        <v>2.9448999999999999E-2</v>
      </c>
      <c r="F16" s="1"/>
      <c r="G16" s="1"/>
      <c r="H16" s="1"/>
      <c r="I16" s="1"/>
      <c r="J16" s="1"/>
      <c r="K16" s="1"/>
      <c r="L16" s="1"/>
      <c r="M16" s="1"/>
      <c r="N16" s="17"/>
    </row>
    <row r="17" spans="2:14" ht="15" customHeight="1" x14ac:dyDescent="0.25">
      <c r="B17" s="19"/>
      <c r="C17" s="31" t="s">
        <v>192</v>
      </c>
      <c r="D17" s="6" t="s">
        <v>97</v>
      </c>
      <c r="E17" s="11">
        <v>2.3317999999999998E-2</v>
      </c>
      <c r="F17" s="1"/>
      <c r="G17" s="1"/>
      <c r="H17" s="1"/>
      <c r="I17" s="1"/>
      <c r="J17" s="1"/>
      <c r="K17" s="1"/>
      <c r="L17" s="1"/>
      <c r="M17" s="1"/>
      <c r="N17" s="17"/>
    </row>
    <row r="18" spans="2:14" ht="15" customHeight="1" x14ac:dyDescent="0.25">
      <c r="B18" s="19"/>
      <c r="C18" s="5" t="s">
        <v>29</v>
      </c>
      <c r="D18" s="6" t="s">
        <v>26</v>
      </c>
      <c r="E18" s="11">
        <v>1.2597000000000001E-2</v>
      </c>
      <c r="F18" s="1"/>
      <c r="G18" s="1"/>
      <c r="H18" s="1"/>
      <c r="I18" s="1"/>
      <c r="J18" s="1"/>
      <c r="K18" s="1"/>
      <c r="L18" s="1"/>
      <c r="M18" s="1"/>
      <c r="N18" s="17"/>
    </row>
    <row r="19" spans="2:14" ht="15" customHeight="1" x14ac:dyDescent="0.25">
      <c r="B19" s="19"/>
      <c r="C19" s="5" t="s">
        <v>23</v>
      </c>
      <c r="D19" s="6" t="s">
        <v>26</v>
      </c>
      <c r="E19" s="11">
        <v>6.1729999999999997E-3</v>
      </c>
      <c r="F19" s="1"/>
      <c r="G19" s="1"/>
      <c r="H19" s="1"/>
      <c r="I19" s="1"/>
      <c r="J19" s="1"/>
      <c r="K19" s="1"/>
      <c r="L19" s="1"/>
      <c r="M19" s="1"/>
      <c r="N19" s="17"/>
    </row>
    <row r="20" spans="2:14" ht="15" customHeight="1" x14ac:dyDescent="0.25">
      <c r="B20" s="19"/>
      <c r="C20" s="5" t="s">
        <v>104</v>
      </c>
      <c r="D20" s="6" t="s">
        <v>101</v>
      </c>
      <c r="E20" s="11">
        <v>6.0499999999999998E-3</v>
      </c>
      <c r="F20" s="1"/>
      <c r="G20" s="1"/>
      <c r="H20" s="1"/>
      <c r="I20" s="1"/>
      <c r="J20" s="1"/>
      <c r="K20" s="1"/>
      <c r="L20" s="1"/>
      <c r="M20" s="1"/>
      <c r="N20" s="17"/>
    </row>
    <row r="21" spans="2:14" ht="15.75" customHeight="1" x14ac:dyDescent="0.25">
      <c r="B21" s="19"/>
      <c r="C21" s="7" t="s">
        <v>46</v>
      </c>
      <c r="D21" s="8"/>
      <c r="E21" s="12">
        <v>0.50844100000000003</v>
      </c>
      <c r="F21" s="1"/>
      <c r="G21" s="1"/>
      <c r="H21" s="1"/>
      <c r="I21" s="1"/>
      <c r="J21" s="1"/>
      <c r="K21" s="1"/>
      <c r="L21" s="1"/>
      <c r="M21" s="1"/>
      <c r="N21" s="17"/>
    </row>
    <row r="22" spans="2:14" ht="15" customHeight="1" x14ac:dyDescent="0.25">
      <c r="B22" s="19"/>
      <c r="C22" s="5" t="s">
        <v>105</v>
      </c>
      <c r="D22" s="6" t="s">
        <v>50</v>
      </c>
      <c r="E22" s="11">
        <v>0.12017700000000001</v>
      </c>
      <c r="F22" s="1"/>
      <c r="G22" s="1"/>
      <c r="H22" s="1"/>
      <c r="I22" s="1"/>
      <c r="J22" s="1"/>
      <c r="K22" s="1"/>
      <c r="L22" s="1"/>
      <c r="M22" s="1"/>
      <c r="N22" s="17"/>
    </row>
    <row r="23" spans="2:14" ht="15" customHeight="1" x14ac:dyDescent="0.25">
      <c r="B23" s="19"/>
      <c r="C23" s="5" t="s">
        <v>93</v>
      </c>
      <c r="D23" s="6" t="s">
        <v>50</v>
      </c>
      <c r="E23" s="11">
        <v>1.1507E-2</v>
      </c>
      <c r="F23" s="1"/>
      <c r="G23" s="1"/>
      <c r="H23" s="1"/>
      <c r="I23" s="1"/>
      <c r="J23" s="1"/>
      <c r="K23" s="1"/>
      <c r="L23" s="1"/>
      <c r="M23" s="1"/>
      <c r="N23" s="17"/>
    </row>
    <row r="24" spans="2:14" ht="15.75" customHeight="1" x14ac:dyDescent="0.25">
      <c r="B24" s="19"/>
      <c r="C24" s="7" t="s">
        <v>56</v>
      </c>
      <c r="D24" s="8"/>
      <c r="E24" s="12">
        <v>0.131684</v>
      </c>
      <c r="F24" s="1"/>
      <c r="G24" s="27"/>
      <c r="H24" s="27"/>
      <c r="I24" s="27"/>
      <c r="J24" s="27"/>
      <c r="K24" s="27"/>
      <c r="L24" s="27"/>
      <c r="M24" s="27"/>
      <c r="N24" s="43"/>
    </row>
    <row r="25" spans="2:14" ht="15" customHeight="1" x14ac:dyDescent="0.25">
      <c r="B25" s="19"/>
      <c r="C25" s="31" t="s">
        <v>187</v>
      </c>
      <c r="D25" s="6" t="s">
        <v>76</v>
      </c>
      <c r="E25" s="11">
        <v>6.8432999999999994E-2</v>
      </c>
      <c r="F25" s="1"/>
      <c r="G25" s="1"/>
      <c r="H25" s="1"/>
      <c r="I25" s="1"/>
      <c r="J25" s="1"/>
      <c r="K25" s="1"/>
      <c r="L25" s="1"/>
      <c r="M25" s="1"/>
      <c r="N25" s="17"/>
    </row>
    <row r="26" spans="2:14" ht="15.75" customHeight="1" x14ac:dyDescent="0.25">
      <c r="B26" s="19"/>
      <c r="C26" s="7" t="s">
        <v>77</v>
      </c>
      <c r="D26" s="8"/>
      <c r="E26" s="12">
        <v>6.8432999999999994E-2</v>
      </c>
      <c r="F26" s="1"/>
      <c r="G26" s="74" t="s">
        <v>17</v>
      </c>
      <c r="H26" s="75"/>
      <c r="I26" s="75"/>
      <c r="J26" s="75"/>
      <c r="K26" s="75"/>
      <c r="L26" s="75"/>
      <c r="M26" s="75"/>
      <c r="N26" s="76"/>
    </row>
    <row r="27" spans="2:14" ht="15" customHeight="1" x14ac:dyDescent="0.25">
      <c r="B27" s="19"/>
      <c r="C27" s="5" t="s">
        <v>8</v>
      </c>
      <c r="D27" s="6"/>
      <c r="E27" s="11">
        <v>0.27046500000000001</v>
      </c>
      <c r="F27" s="1"/>
      <c r="G27" s="1"/>
      <c r="H27" s="1"/>
      <c r="I27" s="1"/>
      <c r="J27" s="1"/>
      <c r="K27" s="1"/>
      <c r="L27" s="1"/>
      <c r="M27" s="1"/>
      <c r="N27" s="17"/>
    </row>
    <row r="28" spans="2:14" ht="15.75" customHeight="1" x14ac:dyDescent="0.25">
      <c r="B28" s="19"/>
      <c r="C28" s="7" t="s">
        <v>9</v>
      </c>
      <c r="D28" s="8"/>
      <c r="E28" s="12">
        <v>0.27046500000000001</v>
      </c>
      <c r="F28" s="1"/>
      <c r="G28" s="1"/>
      <c r="H28" s="1"/>
      <c r="I28" s="1"/>
      <c r="J28" s="1"/>
      <c r="K28" s="1"/>
      <c r="L28" s="1"/>
      <c r="M28" s="1"/>
      <c r="N28" s="17"/>
    </row>
    <row r="29" spans="2:14" ht="15" customHeight="1" x14ac:dyDescent="0.25">
      <c r="B29" s="19"/>
      <c r="C29" s="5"/>
      <c r="D29" s="6"/>
      <c r="E29" s="11"/>
      <c r="F29" s="1"/>
      <c r="G29" s="1"/>
      <c r="H29" s="1"/>
      <c r="I29" s="1"/>
      <c r="J29" s="1"/>
      <c r="K29" s="1"/>
      <c r="L29" s="1"/>
      <c r="M29" s="1"/>
      <c r="N29" s="17"/>
    </row>
    <row r="30" spans="2:14" ht="15.75" customHeight="1" x14ac:dyDescent="0.25">
      <c r="B30" s="19"/>
      <c r="C30" s="7" t="s">
        <v>10</v>
      </c>
      <c r="D30" s="8"/>
      <c r="E30" s="12">
        <v>2.0976999999999999E-2</v>
      </c>
      <c r="F30" s="1"/>
      <c r="G30" s="1"/>
      <c r="H30" s="1"/>
      <c r="I30" s="1"/>
      <c r="J30" s="1"/>
      <c r="K30" s="1"/>
      <c r="L30" s="1"/>
      <c r="M30" s="1"/>
      <c r="N30" s="17"/>
    </row>
    <row r="31" spans="2:14" ht="15" customHeight="1" x14ac:dyDescent="0.25">
      <c r="B31" s="19"/>
      <c r="C31" s="5"/>
      <c r="D31" s="6"/>
      <c r="E31" s="11"/>
      <c r="F31" s="1"/>
      <c r="G31" s="1"/>
      <c r="H31" s="1"/>
      <c r="I31" s="1"/>
      <c r="J31" s="1"/>
      <c r="K31" s="1"/>
      <c r="L31" s="1"/>
      <c r="M31" s="1"/>
      <c r="N31" s="17"/>
    </row>
    <row r="32" spans="2:14" ht="15" customHeight="1" x14ac:dyDescent="0.25">
      <c r="B32" s="19"/>
      <c r="C32" s="9" t="s">
        <v>11</v>
      </c>
      <c r="D32" s="10"/>
      <c r="E32" s="13">
        <v>1</v>
      </c>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27" t="s">
        <v>188</v>
      </c>
      <c r="D34" s="1"/>
      <c r="E34" s="1"/>
      <c r="F34" s="1"/>
      <c r="G34" s="1"/>
      <c r="H34" s="1"/>
      <c r="I34" s="1"/>
      <c r="J34" s="1"/>
      <c r="K34" s="1"/>
      <c r="L34" s="1"/>
      <c r="M34" s="1"/>
      <c r="N34" s="17"/>
    </row>
    <row r="35" spans="2:14" ht="15" customHeight="1" x14ac:dyDescent="0.25">
      <c r="B35" s="19"/>
      <c r="C35" s="27" t="s">
        <v>186</v>
      </c>
      <c r="D35" s="1"/>
      <c r="E35" s="1"/>
      <c r="F35" s="1"/>
      <c r="G35" s="1"/>
      <c r="H35" s="1"/>
      <c r="I35" s="1"/>
      <c r="J35" s="1"/>
      <c r="K35" s="1"/>
      <c r="L35" s="1"/>
      <c r="M35" s="1"/>
      <c r="N35" s="17"/>
    </row>
    <row r="36" spans="2:14" ht="15" customHeight="1" x14ac:dyDescent="0.25">
      <c r="B36" s="19"/>
      <c r="C36" s="56" t="s">
        <v>189</v>
      </c>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thickBot="1" x14ac:dyDescent="0.3">
      <c r="B43" s="20"/>
      <c r="C43" s="21"/>
      <c r="D43" s="21"/>
      <c r="E43" s="21"/>
      <c r="F43" s="21"/>
      <c r="G43" s="21"/>
      <c r="H43" s="21"/>
      <c r="I43" s="21"/>
      <c r="J43" s="21"/>
      <c r="K43" s="21"/>
      <c r="L43" s="21"/>
      <c r="M43" s="21"/>
      <c r="N43" s="22"/>
    </row>
    <row r="44" spans="2:14" ht="15" customHeight="1" thickBot="1" x14ac:dyDescent="0.3"/>
    <row r="45" spans="2:14" ht="111" customHeight="1" thickBot="1" x14ac:dyDescent="0.3">
      <c r="B45" s="68" t="s">
        <v>129</v>
      </c>
      <c r="C45" s="69"/>
      <c r="D45" s="69"/>
      <c r="E45" s="69"/>
      <c r="F45" s="69"/>
      <c r="G45" s="69"/>
      <c r="H45" s="69"/>
      <c r="I45" s="69"/>
      <c r="J45" s="69"/>
      <c r="K45" s="69"/>
      <c r="L45" s="69"/>
      <c r="M45" s="69"/>
      <c r="N45" s="70"/>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sheetData>
  <mergeCells count="4">
    <mergeCell ref="B45:N45"/>
    <mergeCell ref="C3:N3"/>
    <mergeCell ref="G7:N7"/>
    <mergeCell ref="G26:N2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669A7-B84D-4D98-BABE-A00927689B45}">
  <dimension ref="B1:N45"/>
  <sheetViews>
    <sheetView showGridLines="0" zoomScale="75" zoomScaleNormal="75" workbookViewId="0"/>
  </sheetViews>
  <sheetFormatPr defaultRowHeight="15" x14ac:dyDescent="0.25"/>
  <cols>
    <col min="1" max="1" width="2.85546875" customWidth="1"/>
    <col min="2" max="2" width="3.85546875" customWidth="1"/>
    <col min="3" max="3" width="56"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71" t="s">
        <v>116</v>
      </c>
      <c r="D3" s="72"/>
      <c r="E3" s="72"/>
      <c r="F3" s="72"/>
      <c r="G3" s="72"/>
      <c r="H3" s="72"/>
      <c r="I3" s="72"/>
      <c r="J3" s="72"/>
      <c r="K3" s="72"/>
      <c r="L3" s="72"/>
      <c r="M3" s="72"/>
      <c r="N3" s="73"/>
    </row>
    <row r="4" spans="2:14" ht="15.75" customHeight="1" x14ac:dyDescent="0.25">
      <c r="B4" s="19"/>
      <c r="C4" s="14"/>
      <c r="D4" s="1"/>
      <c r="E4" s="1"/>
      <c r="F4" s="1"/>
      <c r="G4" s="1"/>
      <c r="H4" s="1"/>
      <c r="I4" s="1"/>
      <c r="J4" s="1"/>
      <c r="K4" s="1"/>
      <c r="L4" s="1"/>
      <c r="M4" s="1"/>
      <c r="N4" s="17"/>
    </row>
    <row r="5" spans="2:14" ht="18" customHeight="1" x14ac:dyDescent="0.25">
      <c r="B5" s="19"/>
      <c r="C5" s="40"/>
      <c r="D5" s="27"/>
      <c r="E5" s="27"/>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74" t="s">
        <v>16</v>
      </c>
      <c r="H7" s="75"/>
      <c r="I7" s="75"/>
      <c r="J7" s="75"/>
      <c r="K7" s="75"/>
      <c r="L7" s="75"/>
      <c r="M7" s="75"/>
      <c r="N7" s="76"/>
    </row>
    <row r="8" spans="2:14" ht="15" customHeight="1" x14ac:dyDescent="0.25">
      <c r="B8" s="19"/>
      <c r="C8" s="5" t="s">
        <v>67</v>
      </c>
      <c r="D8" s="6" t="s">
        <v>50</v>
      </c>
      <c r="E8" s="11">
        <v>0.56119399999999997</v>
      </c>
      <c r="F8" s="1"/>
      <c r="G8" s="23" t="s">
        <v>15</v>
      </c>
      <c r="H8" s="24">
        <v>1</v>
      </c>
      <c r="I8" s="1"/>
      <c r="J8" s="23" t="s">
        <v>12</v>
      </c>
      <c r="K8" s="23" t="s">
        <v>3</v>
      </c>
      <c r="L8" s="1"/>
      <c r="M8" s="1"/>
      <c r="N8" s="17"/>
    </row>
    <row r="9" spans="2:14" ht="15" customHeight="1" x14ac:dyDescent="0.25">
      <c r="B9" s="19"/>
      <c r="C9" s="5" t="s">
        <v>68</v>
      </c>
      <c r="D9" s="6" t="s">
        <v>50</v>
      </c>
      <c r="E9" s="11">
        <v>0.427176</v>
      </c>
      <c r="F9" s="1"/>
      <c r="G9" s="1"/>
      <c r="H9" s="1"/>
      <c r="I9" s="1"/>
      <c r="J9" s="23" t="s">
        <v>10</v>
      </c>
      <c r="K9" s="25">
        <v>1.0725E-2</v>
      </c>
      <c r="L9" s="1"/>
      <c r="M9" s="1"/>
      <c r="N9" s="17"/>
    </row>
    <row r="10" spans="2:14" ht="15" customHeight="1" x14ac:dyDescent="0.25">
      <c r="B10" s="19"/>
      <c r="C10" s="5" t="s">
        <v>105</v>
      </c>
      <c r="D10" s="6" t="s">
        <v>50</v>
      </c>
      <c r="E10" s="11">
        <v>4.5000000000000003E-5</v>
      </c>
      <c r="F10" s="1"/>
      <c r="G10" s="1"/>
      <c r="H10" s="1"/>
      <c r="I10" s="1"/>
      <c r="J10" s="23" t="s">
        <v>13</v>
      </c>
      <c r="K10" s="25">
        <v>8.5999999999999998E-4</v>
      </c>
      <c r="L10" s="1"/>
      <c r="M10" s="1"/>
      <c r="N10" s="17"/>
    </row>
    <row r="11" spans="2:14" ht="15.75" customHeight="1" x14ac:dyDescent="0.25">
      <c r="B11" s="19"/>
      <c r="C11" s="7" t="s">
        <v>56</v>
      </c>
      <c r="D11" s="8"/>
      <c r="E11" s="12">
        <v>0.98841500000000004</v>
      </c>
      <c r="F11" s="1"/>
      <c r="G11" s="1"/>
      <c r="H11" s="1"/>
      <c r="I11" s="1"/>
      <c r="J11" s="23" t="s">
        <v>63</v>
      </c>
      <c r="K11" s="25">
        <v>0.98841500000000004</v>
      </c>
      <c r="L11" s="1"/>
      <c r="M11" s="1"/>
      <c r="N11" s="17"/>
    </row>
    <row r="12" spans="2:14" ht="15" customHeight="1" x14ac:dyDescent="0.25">
      <c r="B12" s="19"/>
      <c r="C12" s="5" t="s">
        <v>8</v>
      </c>
      <c r="D12" s="6"/>
      <c r="E12" s="11">
        <v>8.5999999999999998E-4</v>
      </c>
      <c r="F12" s="1"/>
      <c r="G12" s="1"/>
      <c r="H12" s="1"/>
      <c r="I12" s="1"/>
      <c r="J12" s="1"/>
      <c r="K12" s="1"/>
      <c r="L12" s="1"/>
      <c r="M12" s="1"/>
      <c r="N12" s="17"/>
    </row>
    <row r="13" spans="2:14" ht="15.75" customHeight="1" x14ac:dyDescent="0.25">
      <c r="B13" s="19"/>
      <c r="C13" s="7" t="s">
        <v>9</v>
      </c>
      <c r="D13" s="8"/>
      <c r="E13" s="12">
        <v>8.5999999999999998E-4</v>
      </c>
      <c r="F13" s="1"/>
      <c r="G13" s="1"/>
      <c r="H13" s="1"/>
      <c r="I13" s="1"/>
      <c r="J13" s="1"/>
      <c r="K13" s="1"/>
      <c r="L13" s="1"/>
      <c r="M13" s="1"/>
      <c r="N13" s="17"/>
    </row>
    <row r="14" spans="2:14" ht="15" customHeight="1" x14ac:dyDescent="0.25">
      <c r="B14" s="19"/>
      <c r="C14" s="5"/>
      <c r="D14" s="6"/>
      <c r="E14" s="11"/>
      <c r="F14" s="1"/>
      <c r="G14" s="1"/>
      <c r="H14" s="1"/>
      <c r="I14" s="1"/>
      <c r="J14" s="1"/>
      <c r="K14" s="1"/>
      <c r="L14" s="1"/>
      <c r="M14" s="1"/>
      <c r="N14" s="17"/>
    </row>
    <row r="15" spans="2:14" ht="15.75" customHeight="1" x14ac:dyDescent="0.25">
      <c r="B15" s="19"/>
      <c r="C15" s="7" t="s">
        <v>10</v>
      </c>
      <c r="D15" s="8"/>
      <c r="E15" s="12">
        <v>1.0725E-2</v>
      </c>
      <c r="F15" s="1"/>
      <c r="G15" s="1"/>
      <c r="H15" s="1"/>
      <c r="I15" s="1"/>
      <c r="J15" s="1"/>
      <c r="K15" s="1"/>
      <c r="L15" s="1"/>
      <c r="M15" s="1"/>
      <c r="N15" s="17"/>
    </row>
    <row r="16" spans="2:14" ht="15" customHeight="1" x14ac:dyDescent="0.25">
      <c r="B16" s="19"/>
      <c r="C16" s="5"/>
      <c r="D16" s="6"/>
      <c r="E16" s="11"/>
      <c r="F16" s="1"/>
      <c r="G16" s="1"/>
      <c r="H16" s="1"/>
      <c r="I16" s="1"/>
      <c r="J16" s="1"/>
      <c r="K16" s="1"/>
      <c r="L16" s="1"/>
      <c r="M16" s="1"/>
      <c r="N16" s="17"/>
    </row>
    <row r="17" spans="2:14" ht="15" customHeight="1" x14ac:dyDescent="0.25">
      <c r="B17" s="19"/>
      <c r="C17" s="9" t="s">
        <v>11</v>
      </c>
      <c r="D17" s="10"/>
      <c r="E17" s="13">
        <v>1</v>
      </c>
      <c r="F17" s="1"/>
      <c r="G17" s="1"/>
      <c r="H17" s="1"/>
      <c r="I17" s="1"/>
      <c r="J17" s="1"/>
      <c r="K17" s="1"/>
      <c r="L17" s="1"/>
      <c r="M17" s="1"/>
      <c r="N17" s="17"/>
    </row>
    <row r="18" spans="2:14" ht="15" customHeight="1" x14ac:dyDescent="0.25">
      <c r="B18" s="19"/>
      <c r="C18" s="1"/>
      <c r="D18" s="1"/>
      <c r="E18" s="1"/>
      <c r="F18" s="1"/>
      <c r="G18" s="1"/>
      <c r="H18" s="1"/>
      <c r="I18" s="1"/>
      <c r="J18" s="1"/>
      <c r="K18" s="1"/>
      <c r="L18" s="1"/>
      <c r="M18" s="1"/>
      <c r="N18" s="17"/>
    </row>
    <row r="19" spans="2:14" ht="15" customHeight="1" x14ac:dyDescent="0.25">
      <c r="B19" s="19"/>
      <c r="C19" s="1"/>
      <c r="D19" s="1"/>
      <c r="E19" s="1"/>
      <c r="F19" s="1"/>
      <c r="G19" s="1"/>
      <c r="H19" s="1"/>
      <c r="I19" s="1"/>
      <c r="J19" s="1"/>
      <c r="K19" s="1"/>
      <c r="L19" s="1"/>
      <c r="M19" s="1"/>
      <c r="N19" s="17"/>
    </row>
    <row r="20" spans="2:14" ht="15" customHeight="1" x14ac:dyDescent="0.25">
      <c r="B20" s="19"/>
      <c r="C20" s="1"/>
      <c r="D20" s="1"/>
      <c r="E20" s="1"/>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27"/>
      <c r="H24" s="27"/>
      <c r="I24" s="27"/>
      <c r="J24" s="27"/>
      <c r="K24" s="27"/>
      <c r="L24" s="27"/>
      <c r="M24" s="27"/>
      <c r="N24" s="43"/>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74" t="s">
        <v>17</v>
      </c>
      <c r="H26" s="75"/>
      <c r="I26" s="75"/>
      <c r="J26" s="75"/>
      <c r="K26" s="75"/>
      <c r="L26" s="75"/>
      <c r="M26" s="75"/>
      <c r="N26" s="76"/>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75" thickBot="1" x14ac:dyDescent="0.3">
      <c r="B43" s="20"/>
      <c r="C43" s="21"/>
      <c r="D43" s="21"/>
      <c r="E43" s="21"/>
      <c r="F43" s="21"/>
      <c r="G43" s="21"/>
      <c r="H43" s="21"/>
      <c r="I43" s="21"/>
      <c r="J43" s="21"/>
      <c r="K43" s="21"/>
      <c r="L43" s="21"/>
      <c r="M43" s="21"/>
      <c r="N43" s="22"/>
    </row>
    <row r="44" spans="2:14" ht="15.75" thickBot="1" x14ac:dyDescent="0.3"/>
    <row r="45" spans="2:14" ht="117" customHeight="1" thickBot="1" x14ac:dyDescent="0.3">
      <c r="B45" s="68" t="s">
        <v>129</v>
      </c>
      <c r="C45" s="69"/>
      <c r="D45" s="69"/>
      <c r="E45" s="69"/>
      <c r="F45" s="69"/>
      <c r="G45" s="69"/>
      <c r="H45" s="69"/>
      <c r="I45" s="69"/>
      <c r="J45" s="69"/>
      <c r="K45" s="69"/>
      <c r="L45" s="69"/>
      <c r="M45" s="69"/>
      <c r="N45" s="70"/>
    </row>
  </sheetData>
  <mergeCells count="4">
    <mergeCell ref="B45:N45"/>
    <mergeCell ref="C3:N3"/>
    <mergeCell ref="G7:N7"/>
    <mergeCell ref="G26:N2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59BA1-0C93-4E24-A411-6BA1B88D8F3B}">
  <dimension ref="B1:N45"/>
  <sheetViews>
    <sheetView showGridLines="0" zoomScale="75" zoomScaleNormal="75" workbookViewId="0"/>
  </sheetViews>
  <sheetFormatPr defaultRowHeight="15" x14ac:dyDescent="0.25"/>
  <cols>
    <col min="1" max="1" width="2.85546875" customWidth="1"/>
    <col min="2" max="2" width="3.85546875" customWidth="1"/>
    <col min="3" max="3" width="56"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71" t="s">
        <v>117</v>
      </c>
      <c r="D3" s="72"/>
      <c r="E3" s="72"/>
      <c r="F3" s="72"/>
      <c r="G3" s="72"/>
      <c r="H3" s="72"/>
      <c r="I3" s="72"/>
      <c r="J3" s="72"/>
      <c r="K3" s="72"/>
      <c r="L3" s="72"/>
      <c r="M3" s="72"/>
      <c r="N3" s="73"/>
    </row>
    <row r="4" spans="2:14" ht="15.75" customHeight="1" x14ac:dyDescent="0.25">
      <c r="B4" s="19"/>
      <c r="C4" s="14"/>
      <c r="D4" s="1"/>
      <c r="E4" s="1"/>
      <c r="F4" s="1"/>
      <c r="G4" s="1"/>
      <c r="H4" s="1"/>
      <c r="I4" s="1"/>
      <c r="J4" s="1"/>
      <c r="K4" s="1"/>
      <c r="L4" s="1"/>
      <c r="M4" s="1"/>
      <c r="N4" s="17"/>
    </row>
    <row r="5" spans="2:14" ht="18" customHeight="1" x14ac:dyDescent="0.25">
      <c r="B5" s="19"/>
      <c r="C5" s="40"/>
      <c r="D5" s="27"/>
      <c r="E5" s="27"/>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74" t="s">
        <v>16</v>
      </c>
      <c r="H7" s="75"/>
      <c r="I7" s="75"/>
      <c r="J7" s="75"/>
      <c r="K7" s="75"/>
      <c r="L7" s="75"/>
      <c r="M7" s="75"/>
      <c r="N7" s="76"/>
    </row>
    <row r="8" spans="2:14" ht="15" customHeight="1" x14ac:dyDescent="0.25">
      <c r="B8" s="19"/>
      <c r="C8" s="5" t="s">
        <v>69</v>
      </c>
      <c r="D8" s="6" t="s">
        <v>50</v>
      </c>
      <c r="E8" s="11">
        <v>0.84494899999999995</v>
      </c>
      <c r="F8" s="1"/>
      <c r="G8" s="23" t="s">
        <v>15</v>
      </c>
      <c r="H8" s="24">
        <v>1</v>
      </c>
      <c r="I8" s="1"/>
      <c r="J8" s="23" t="s">
        <v>12</v>
      </c>
      <c r="K8" s="23" t="s">
        <v>3</v>
      </c>
      <c r="L8" s="1"/>
      <c r="M8" s="1"/>
      <c r="N8" s="17"/>
    </row>
    <row r="9" spans="2:14" ht="15" customHeight="1" x14ac:dyDescent="0.25">
      <c r="B9" s="19"/>
      <c r="C9" s="5" t="s">
        <v>105</v>
      </c>
      <c r="D9" s="6" t="s">
        <v>50</v>
      </c>
      <c r="E9" s="11">
        <v>6.1892999999999997E-2</v>
      </c>
      <c r="F9" s="1"/>
      <c r="G9" s="1"/>
      <c r="H9" s="1"/>
      <c r="I9" s="1"/>
      <c r="J9" s="23" t="s">
        <v>10</v>
      </c>
      <c r="K9" s="25">
        <v>2.7581000000000001E-2</v>
      </c>
      <c r="L9" s="1"/>
      <c r="M9" s="1"/>
      <c r="N9" s="17"/>
    </row>
    <row r="10" spans="2:14" ht="15" customHeight="1" x14ac:dyDescent="0.25">
      <c r="B10" s="19"/>
      <c r="C10" s="5" t="s">
        <v>75</v>
      </c>
      <c r="D10" s="6" t="s">
        <v>50</v>
      </c>
      <c r="E10" s="11">
        <v>2.7740000000000001E-2</v>
      </c>
      <c r="F10" s="1"/>
      <c r="G10" s="1"/>
      <c r="H10" s="1"/>
      <c r="I10" s="1"/>
      <c r="J10" s="23" t="s">
        <v>13</v>
      </c>
      <c r="K10" s="25">
        <v>1.4080000000000001E-2</v>
      </c>
      <c r="L10" s="1"/>
      <c r="M10" s="1"/>
      <c r="N10" s="17"/>
    </row>
    <row r="11" spans="2:14" ht="15" customHeight="1" x14ac:dyDescent="0.25">
      <c r="B11" s="19"/>
      <c r="C11" s="5" t="s">
        <v>68</v>
      </c>
      <c r="D11" s="6" t="s">
        <v>50</v>
      </c>
      <c r="E11" s="11">
        <v>2.3757E-2</v>
      </c>
      <c r="F11" s="1"/>
      <c r="G11" s="1"/>
      <c r="H11" s="1"/>
      <c r="I11" s="1"/>
      <c r="J11" s="23" t="s">
        <v>63</v>
      </c>
      <c r="K11" s="25">
        <v>0.95833900000000005</v>
      </c>
      <c r="L11" s="1"/>
      <c r="M11" s="1"/>
      <c r="N11" s="17"/>
    </row>
    <row r="12" spans="2:14" ht="15.75" customHeight="1" x14ac:dyDescent="0.25">
      <c r="B12" s="19"/>
      <c r="C12" s="7" t="s">
        <v>56</v>
      </c>
      <c r="D12" s="8"/>
      <c r="E12" s="12">
        <v>0.95833900000000005</v>
      </c>
      <c r="F12" s="1"/>
      <c r="G12" s="1"/>
      <c r="H12" s="1"/>
      <c r="I12" s="1"/>
      <c r="J12" s="1"/>
      <c r="K12" s="1"/>
      <c r="L12" s="1"/>
      <c r="M12" s="1"/>
      <c r="N12" s="17"/>
    </row>
    <row r="13" spans="2:14" ht="15" customHeight="1" x14ac:dyDescent="0.25">
      <c r="B13" s="19"/>
      <c r="C13" s="5" t="s">
        <v>8</v>
      </c>
      <c r="D13" s="6"/>
      <c r="E13" s="11">
        <v>1.4080000000000001E-2</v>
      </c>
      <c r="F13" s="1"/>
      <c r="G13" s="1"/>
      <c r="H13" s="1"/>
      <c r="I13" s="1"/>
      <c r="J13" s="1"/>
      <c r="K13" s="1"/>
      <c r="L13" s="1"/>
      <c r="M13" s="1"/>
      <c r="N13" s="17"/>
    </row>
    <row r="14" spans="2:14" ht="15.75" customHeight="1" x14ac:dyDescent="0.25">
      <c r="B14" s="19"/>
      <c r="C14" s="7" t="s">
        <v>9</v>
      </c>
      <c r="D14" s="8"/>
      <c r="E14" s="12">
        <v>1.4080000000000001E-2</v>
      </c>
      <c r="F14" s="1"/>
      <c r="G14" s="1"/>
      <c r="H14" s="1"/>
      <c r="I14" s="1"/>
      <c r="J14" s="1"/>
      <c r="K14" s="1"/>
      <c r="L14" s="1"/>
      <c r="M14" s="1"/>
      <c r="N14" s="17"/>
    </row>
    <row r="15" spans="2:14" ht="15" customHeight="1" x14ac:dyDescent="0.25">
      <c r="B15" s="19"/>
      <c r="C15" s="5"/>
      <c r="D15" s="6"/>
      <c r="E15" s="11"/>
      <c r="F15" s="1"/>
      <c r="G15" s="1"/>
      <c r="H15" s="1"/>
      <c r="I15" s="1"/>
      <c r="J15" s="1"/>
      <c r="K15" s="1"/>
      <c r="L15" s="1"/>
      <c r="M15" s="1"/>
      <c r="N15" s="17"/>
    </row>
    <row r="16" spans="2:14" ht="15.75" customHeight="1" x14ac:dyDescent="0.25">
      <c r="B16" s="19"/>
      <c r="C16" s="7" t="s">
        <v>10</v>
      </c>
      <c r="D16" s="8"/>
      <c r="E16" s="12">
        <v>2.7581000000000001E-2</v>
      </c>
      <c r="F16" s="1"/>
      <c r="G16" s="1"/>
      <c r="H16" s="1"/>
      <c r="I16" s="1"/>
      <c r="J16" s="1"/>
      <c r="K16" s="1"/>
      <c r="L16" s="1"/>
      <c r="M16" s="1"/>
      <c r="N16" s="17"/>
    </row>
    <row r="17" spans="2:14" ht="15" customHeight="1" x14ac:dyDescent="0.25">
      <c r="B17" s="19"/>
      <c r="C17" s="5"/>
      <c r="D17" s="6"/>
      <c r="E17" s="11"/>
      <c r="F17" s="1"/>
      <c r="G17" s="1"/>
      <c r="H17" s="1"/>
      <c r="I17" s="1"/>
      <c r="J17" s="1"/>
      <c r="K17" s="1"/>
      <c r="L17" s="1"/>
      <c r="M17" s="1"/>
      <c r="N17" s="17"/>
    </row>
    <row r="18" spans="2:14" ht="15" customHeight="1" x14ac:dyDescent="0.25">
      <c r="B18" s="19"/>
      <c r="C18" s="9" t="s">
        <v>11</v>
      </c>
      <c r="D18" s="10"/>
      <c r="E18" s="13">
        <v>1</v>
      </c>
      <c r="F18" s="1"/>
      <c r="G18" s="1"/>
      <c r="H18" s="1"/>
      <c r="I18" s="1"/>
      <c r="J18" s="1"/>
      <c r="K18" s="1"/>
      <c r="L18" s="1"/>
      <c r="M18" s="1"/>
      <c r="N18" s="17"/>
    </row>
    <row r="19" spans="2:14" ht="15" customHeight="1" x14ac:dyDescent="0.25">
      <c r="B19" s="19"/>
      <c r="C19" s="1"/>
      <c r="D19" s="1"/>
      <c r="E19" s="1"/>
      <c r="F19" s="1"/>
      <c r="G19" s="1"/>
      <c r="H19" s="1"/>
      <c r="I19" s="1"/>
      <c r="J19" s="1"/>
      <c r="K19" s="1"/>
      <c r="L19" s="1"/>
      <c r="M19" s="1"/>
      <c r="N19" s="17"/>
    </row>
    <row r="20" spans="2:14" ht="15" customHeight="1" x14ac:dyDescent="0.25">
      <c r="B20" s="19"/>
      <c r="C20" s="1"/>
      <c r="D20" s="1"/>
      <c r="E20" s="1"/>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27"/>
      <c r="H24" s="27"/>
      <c r="I24" s="27"/>
      <c r="J24" s="27"/>
      <c r="K24" s="27"/>
      <c r="L24" s="27"/>
      <c r="M24" s="27"/>
      <c r="N24" s="43"/>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74" t="s">
        <v>17</v>
      </c>
      <c r="H26" s="75"/>
      <c r="I26" s="75"/>
      <c r="J26" s="75"/>
      <c r="K26" s="75"/>
      <c r="L26" s="75"/>
      <c r="M26" s="75"/>
      <c r="N26" s="76"/>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75" thickBot="1" x14ac:dyDescent="0.3">
      <c r="B43" s="20"/>
      <c r="C43" s="21"/>
      <c r="D43" s="21"/>
      <c r="E43" s="21"/>
      <c r="F43" s="21"/>
      <c r="G43" s="21"/>
      <c r="H43" s="21"/>
      <c r="I43" s="21"/>
      <c r="J43" s="21"/>
      <c r="K43" s="21"/>
      <c r="L43" s="21"/>
      <c r="M43" s="21"/>
      <c r="N43" s="22"/>
    </row>
    <row r="44" spans="2:14" ht="15.75" thickBot="1" x14ac:dyDescent="0.3"/>
    <row r="45" spans="2:14" ht="115.5" customHeight="1" thickBot="1" x14ac:dyDescent="0.3">
      <c r="B45" s="68" t="s">
        <v>129</v>
      </c>
      <c r="C45" s="69"/>
      <c r="D45" s="69"/>
      <c r="E45" s="69"/>
      <c r="F45" s="69"/>
      <c r="G45" s="69"/>
      <c r="H45" s="69"/>
      <c r="I45" s="69"/>
      <c r="J45" s="69"/>
      <c r="K45" s="69"/>
      <c r="L45" s="69"/>
      <c r="M45" s="69"/>
      <c r="N45" s="70"/>
    </row>
  </sheetData>
  <mergeCells count="4">
    <mergeCell ref="B45:N45"/>
    <mergeCell ref="C3:N3"/>
    <mergeCell ref="G7:N7"/>
    <mergeCell ref="G26:N2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25607-C885-489F-B2D3-5EE677B18AD2}">
  <dimension ref="B1:N45"/>
  <sheetViews>
    <sheetView showGridLines="0" zoomScale="75" zoomScaleNormal="75" workbookViewId="0"/>
  </sheetViews>
  <sheetFormatPr defaultRowHeight="15" x14ac:dyDescent="0.25"/>
  <cols>
    <col min="1" max="1" width="2.85546875" style="26" customWidth="1"/>
    <col min="2" max="2" width="3.85546875" style="26" customWidth="1"/>
    <col min="3" max="3" width="49.85546875" style="26" customWidth="1"/>
    <col min="4" max="4" width="13.7109375" style="26" customWidth="1"/>
    <col min="5" max="5" width="16.7109375" style="26" customWidth="1"/>
    <col min="6" max="6" width="9.140625" style="26"/>
    <col min="7" max="7" width="10.7109375" style="26" customWidth="1"/>
    <col min="8" max="8" width="9.5703125" style="26" customWidth="1"/>
    <col min="9" max="10" width="9.28515625" style="26" customWidth="1"/>
    <col min="11" max="12" width="16.42578125" style="26" customWidth="1"/>
    <col min="13" max="16384" width="9.140625" style="26"/>
  </cols>
  <sheetData>
    <row r="1" spans="2:14" ht="15.75" customHeight="1" thickBot="1" x14ac:dyDescent="0.3"/>
    <row r="2" spans="2:14" ht="15" customHeight="1" x14ac:dyDescent="0.25">
      <c r="B2" s="44"/>
      <c r="C2" s="41"/>
      <c r="D2" s="41"/>
      <c r="E2" s="41"/>
      <c r="F2" s="41"/>
      <c r="G2" s="41"/>
      <c r="H2" s="41"/>
      <c r="I2" s="41"/>
      <c r="J2" s="41"/>
      <c r="K2" s="41"/>
      <c r="L2" s="41"/>
      <c r="M2" s="41"/>
      <c r="N2" s="42"/>
    </row>
    <row r="3" spans="2:14" ht="20.25" customHeight="1" x14ac:dyDescent="0.25">
      <c r="B3" s="45"/>
      <c r="C3" s="71" t="s">
        <v>193</v>
      </c>
      <c r="D3" s="72"/>
      <c r="E3" s="72"/>
      <c r="F3" s="72"/>
      <c r="G3" s="72"/>
      <c r="H3" s="72"/>
      <c r="I3" s="72"/>
      <c r="J3" s="72"/>
      <c r="K3" s="72"/>
      <c r="L3" s="72"/>
      <c r="M3" s="72"/>
      <c r="N3" s="73"/>
    </row>
    <row r="4" spans="2:14" ht="15.75" customHeight="1" x14ac:dyDescent="0.25">
      <c r="B4" s="45"/>
      <c r="C4" s="40"/>
      <c r="D4" s="27"/>
      <c r="E4" s="27"/>
      <c r="F4" s="27"/>
      <c r="G4" s="27"/>
      <c r="H4" s="27"/>
      <c r="I4" s="27"/>
      <c r="J4" s="27"/>
      <c r="K4" s="27"/>
      <c r="L4" s="27"/>
      <c r="M4" s="27"/>
      <c r="N4" s="43"/>
    </row>
    <row r="5" spans="2:14" ht="18" customHeight="1" x14ac:dyDescent="0.25">
      <c r="B5" s="45"/>
      <c r="C5" s="40"/>
      <c r="D5" s="27"/>
      <c r="E5" s="27"/>
      <c r="F5" s="27"/>
      <c r="G5" s="27"/>
      <c r="H5" s="27"/>
      <c r="I5" s="27"/>
      <c r="J5" s="27"/>
      <c r="K5" s="27"/>
      <c r="L5" s="27"/>
      <c r="M5" s="27"/>
      <c r="N5" s="43"/>
    </row>
    <row r="6" spans="2:14" ht="15" customHeight="1" x14ac:dyDescent="0.25">
      <c r="B6" s="45"/>
      <c r="C6" s="27"/>
      <c r="D6" s="27"/>
      <c r="E6" s="27"/>
      <c r="F6" s="27"/>
      <c r="G6" s="27"/>
      <c r="H6" s="27"/>
      <c r="I6" s="27"/>
      <c r="J6" s="27"/>
      <c r="K6" s="27"/>
      <c r="L6" s="27"/>
      <c r="M6" s="27"/>
      <c r="N6" s="43"/>
    </row>
    <row r="7" spans="2:14" ht="32.25" customHeight="1" x14ac:dyDescent="0.25">
      <c r="B7" s="45"/>
      <c r="C7" s="57" t="s">
        <v>1</v>
      </c>
      <c r="D7" s="58" t="s">
        <v>2</v>
      </c>
      <c r="E7" s="57" t="s">
        <v>3</v>
      </c>
      <c r="F7" s="27"/>
      <c r="G7" s="74" t="s">
        <v>16</v>
      </c>
      <c r="H7" s="75"/>
      <c r="I7" s="75"/>
      <c r="J7" s="75"/>
      <c r="K7" s="75"/>
      <c r="L7" s="75"/>
      <c r="M7" s="75"/>
      <c r="N7" s="76"/>
    </row>
    <row r="8" spans="2:14" ht="15" customHeight="1" x14ac:dyDescent="0.25">
      <c r="B8" s="45"/>
      <c r="C8" s="59" t="s">
        <v>68</v>
      </c>
      <c r="D8" s="59" t="s">
        <v>50</v>
      </c>
      <c r="E8" s="60">
        <v>0.58289599999999997</v>
      </c>
      <c r="F8" s="27"/>
      <c r="G8" s="49" t="s">
        <v>15</v>
      </c>
      <c r="H8" s="50">
        <v>1</v>
      </c>
      <c r="I8" s="27"/>
      <c r="J8" s="49" t="s">
        <v>12</v>
      </c>
      <c r="K8" s="49" t="s">
        <v>3</v>
      </c>
      <c r="L8" s="27"/>
      <c r="M8" s="27"/>
      <c r="N8" s="43"/>
    </row>
    <row r="9" spans="2:14" ht="15" customHeight="1" x14ac:dyDescent="0.25">
      <c r="B9" s="45"/>
      <c r="C9" s="59" t="s">
        <v>75</v>
      </c>
      <c r="D9" s="59" t="s">
        <v>50</v>
      </c>
      <c r="E9" s="60">
        <v>0.381498</v>
      </c>
      <c r="F9" s="27"/>
      <c r="G9" s="27"/>
      <c r="H9" s="27"/>
      <c r="I9" s="27"/>
      <c r="J9" s="49" t="s">
        <v>13</v>
      </c>
      <c r="K9" s="51">
        <f>E12</f>
        <v>1.3840999999999999E-2</v>
      </c>
      <c r="L9" s="27"/>
      <c r="M9" s="27"/>
      <c r="N9" s="43"/>
    </row>
    <row r="10" spans="2:14" ht="15" customHeight="1" x14ac:dyDescent="0.25">
      <c r="B10" s="45"/>
      <c r="C10" s="61" t="s">
        <v>56</v>
      </c>
      <c r="D10" s="62"/>
      <c r="E10" s="63">
        <v>0.96439399999999997</v>
      </c>
      <c r="F10" s="27"/>
      <c r="G10" s="27"/>
      <c r="H10" s="27"/>
      <c r="I10" s="27"/>
      <c r="J10" s="49" t="s">
        <v>63</v>
      </c>
      <c r="K10" s="51">
        <f>E10</f>
        <v>0.96439399999999997</v>
      </c>
      <c r="L10" s="27"/>
      <c r="M10" s="27"/>
      <c r="N10" s="43"/>
    </row>
    <row r="11" spans="2:14" ht="15" customHeight="1" x14ac:dyDescent="0.25">
      <c r="B11" s="45"/>
      <c r="C11" s="59" t="s">
        <v>8</v>
      </c>
      <c r="D11" s="59"/>
      <c r="E11" s="60">
        <v>1.3840999999999999E-2</v>
      </c>
      <c r="F11" s="27"/>
      <c r="G11" s="27"/>
      <c r="H11" s="27"/>
      <c r="I11" s="27"/>
      <c r="J11" s="49" t="s">
        <v>10</v>
      </c>
      <c r="K11" s="51">
        <f>E17</f>
        <v>9.5230000000000002E-3</v>
      </c>
      <c r="L11" s="27"/>
      <c r="M11" s="27"/>
      <c r="N11" s="43"/>
    </row>
    <row r="12" spans="2:14" ht="15" customHeight="1" x14ac:dyDescent="0.25">
      <c r="B12" s="45"/>
      <c r="C12" s="61" t="s">
        <v>9</v>
      </c>
      <c r="D12" s="62"/>
      <c r="E12" s="63">
        <v>1.3840999999999999E-2</v>
      </c>
      <c r="F12" s="27"/>
      <c r="G12" s="27"/>
      <c r="H12" s="27"/>
      <c r="I12" s="27"/>
      <c r="J12" s="49" t="s">
        <v>88</v>
      </c>
      <c r="K12" s="51">
        <f>E15</f>
        <v>1.2241999999999999E-2</v>
      </c>
      <c r="L12" s="27"/>
      <c r="M12" s="27"/>
      <c r="N12" s="43"/>
    </row>
    <row r="13" spans="2:14" ht="15" customHeight="1" x14ac:dyDescent="0.25">
      <c r="B13" s="45"/>
      <c r="C13" s="59" t="s">
        <v>184</v>
      </c>
      <c r="D13" s="59" t="s">
        <v>50</v>
      </c>
      <c r="E13" s="60">
        <v>6.1310000000000002E-3</v>
      </c>
      <c r="F13" s="27"/>
      <c r="G13" s="27"/>
      <c r="H13" s="27"/>
      <c r="I13" s="27"/>
      <c r="L13" s="27"/>
      <c r="M13" s="27"/>
      <c r="N13" s="43"/>
    </row>
    <row r="14" spans="2:14" ht="15.75" customHeight="1" x14ac:dyDescent="0.25">
      <c r="B14" s="45"/>
      <c r="C14" s="59" t="s">
        <v>185</v>
      </c>
      <c r="D14" s="59" t="s">
        <v>50</v>
      </c>
      <c r="E14" s="60">
        <v>6.1110000000000001E-3</v>
      </c>
      <c r="F14" s="27"/>
      <c r="G14" s="27"/>
      <c r="H14" s="27"/>
      <c r="I14" s="27"/>
      <c r="J14" s="27"/>
      <c r="K14" s="27"/>
      <c r="L14" s="27"/>
      <c r="M14" s="27"/>
      <c r="N14" s="43"/>
    </row>
    <row r="15" spans="2:14" ht="15" customHeight="1" x14ac:dyDescent="0.25">
      <c r="B15" s="45"/>
      <c r="C15" s="61" t="s">
        <v>88</v>
      </c>
      <c r="D15" s="62"/>
      <c r="E15" s="63">
        <v>1.2241999999999999E-2</v>
      </c>
      <c r="F15" s="27"/>
      <c r="G15" s="27"/>
      <c r="H15" s="27"/>
      <c r="I15" s="27"/>
      <c r="J15" s="27"/>
      <c r="K15" s="27"/>
      <c r="L15" s="27"/>
      <c r="M15" s="27"/>
      <c r="N15" s="43"/>
    </row>
    <row r="16" spans="2:14" ht="15.75" customHeight="1" x14ac:dyDescent="0.25">
      <c r="B16" s="45"/>
      <c r="C16" s="64"/>
      <c r="D16" s="64"/>
      <c r="E16" s="64"/>
      <c r="F16" s="27"/>
      <c r="G16" s="27"/>
      <c r="H16" s="27"/>
      <c r="I16" s="27"/>
      <c r="J16" s="27"/>
      <c r="K16" s="27"/>
      <c r="L16" s="27"/>
      <c r="M16" s="27"/>
      <c r="N16" s="43"/>
    </row>
    <row r="17" spans="2:14" ht="15" customHeight="1" x14ac:dyDescent="0.25">
      <c r="B17" s="45"/>
      <c r="C17" s="61" t="s">
        <v>10</v>
      </c>
      <c r="D17" s="62"/>
      <c r="E17" s="63">
        <v>9.5230000000000002E-3</v>
      </c>
      <c r="F17" s="27"/>
      <c r="G17" s="27"/>
      <c r="H17" s="27"/>
      <c r="I17" s="27"/>
      <c r="J17" s="27"/>
      <c r="K17" s="27"/>
      <c r="L17" s="27"/>
      <c r="M17" s="27"/>
      <c r="N17" s="43"/>
    </row>
    <row r="18" spans="2:14" ht="15.75" customHeight="1" x14ac:dyDescent="0.25">
      <c r="B18" s="45"/>
      <c r="C18" s="59"/>
      <c r="D18" s="59"/>
      <c r="E18" s="60"/>
      <c r="F18" s="27"/>
      <c r="G18" s="27"/>
      <c r="H18" s="27"/>
      <c r="I18" s="27"/>
      <c r="J18" s="27"/>
      <c r="K18" s="27"/>
      <c r="L18" s="27"/>
      <c r="M18" s="27"/>
      <c r="N18" s="43"/>
    </row>
    <row r="19" spans="2:14" ht="15" customHeight="1" x14ac:dyDescent="0.25">
      <c r="B19" s="45"/>
      <c r="C19" s="65" t="s">
        <v>11</v>
      </c>
      <c r="D19" s="66"/>
      <c r="E19" s="67">
        <v>1</v>
      </c>
      <c r="F19" s="27"/>
      <c r="G19" s="27"/>
      <c r="H19" s="27"/>
      <c r="I19" s="27"/>
      <c r="J19" s="27"/>
      <c r="K19" s="27"/>
      <c r="L19" s="27"/>
      <c r="M19" s="27"/>
      <c r="N19" s="43"/>
    </row>
    <row r="20" spans="2:14" ht="15" customHeight="1" x14ac:dyDescent="0.25">
      <c r="B20" s="45"/>
      <c r="F20" s="27"/>
      <c r="G20" s="27"/>
      <c r="H20" s="27"/>
      <c r="I20" s="27"/>
      <c r="J20" s="27"/>
      <c r="K20" s="27"/>
      <c r="L20" s="27"/>
      <c r="M20" s="27"/>
      <c r="N20" s="43"/>
    </row>
    <row r="21" spans="2:14" ht="15" customHeight="1" x14ac:dyDescent="0.25">
      <c r="B21" s="45"/>
      <c r="C21" s="27"/>
      <c r="D21" s="27"/>
      <c r="E21" s="27"/>
      <c r="F21" s="27"/>
      <c r="G21" s="27"/>
      <c r="H21" s="27"/>
      <c r="I21" s="27"/>
      <c r="J21" s="27"/>
      <c r="K21" s="27"/>
      <c r="L21" s="27"/>
      <c r="M21" s="27"/>
      <c r="N21" s="43"/>
    </row>
    <row r="22" spans="2:14" ht="15" customHeight="1" x14ac:dyDescent="0.25">
      <c r="B22" s="45"/>
      <c r="C22" s="27"/>
      <c r="D22" s="27"/>
      <c r="E22" s="27"/>
      <c r="F22" s="27"/>
      <c r="G22" s="27"/>
      <c r="H22" s="27"/>
      <c r="I22" s="27"/>
      <c r="J22" s="27"/>
      <c r="K22" s="27"/>
      <c r="L22" s="27"/>
      <c r="M22" s="27"/>
      <c r="N22" s="43"/>
    </row>
    <row r="23" spans="2:14" ht="15" customHeight="1" x14ac:dyDescent="0.25">
      <c r="B23" s="45"/>
      <c r="C23" s="27"/>
      <c r="D23" s="27"/>
      <c r="E23" s="27"/>
      <c r="F23" s="27"/>
      <c r="G23" s="27"/>
      <c r="H23" s="27"/>
      <c r="I23" s="27"/>
      <c r="J23" s="27"/>
      <c r="K23" s="27"/>
      <c r="L23" s="27"/>
      <c r="M23" s="27"/>
      <c r="N23" s="43"/>
    </row>
    <row r="24" spans="2:14" ht="15" customHeight="1" x14ac:dyDescent="0.25">
      <c r="B24" s="45"/>
      <c r="C24" s="27"/>
      <c r="D24" s="27"/>
      <c r="E24" s="27"/>
      <c r="F24" s="27"/>
      <c r="G24" s="27"/>
      <c r="H24" s="27"/>
      <c r="I24" s="27"/>
      <c r="J24" s="27"/>
      <c r="K24" s="27"/>
      <c r="L24" s="27"/>
      <c r="M24" s="27"/>
      <c r="N24" s="43"/>
    </row>
    <row r="25" spans="2:14" ht="15" customHeight="1" x14ac:dyDescent="0.25">
      <c r="B25" s="45"/>
      <c r="C25" s="27"/>
      <c r="D25" s="27"/>
      <c r="E25" s="27"/>
      <c r="F25" s="27"/>
      <c r="G25" s="27"/>
      <c r="H25" s="27"/>
      <c r="I25" s="27"/>
      <c r="J25" s="27"/>
      <c r="K25" s="27"/>
      <c r="L25" s="27"/>
      <c r="M25" s="27"/>
      <c r="N25" s="43"/>
    </row>
    <row r="26" spans="2:14" ht="15" customHeight="1" x14ac:dyDescent="0.25">
      <c r="B26" s="45"/>
      <c r="C26" s="27"/>
      <c r="D26" s="27"/>
      <c r="E26" s="27"/>
      <c r="F26" s="27"/>
      <c r="G26" s="74" t="s">
        <v>17</v>
      </c>
      <c r="H26" s="75"/>
      <c r="I26" s="75"/>
      <c r="J26" s="75"/>
      <c r="K26" s="75"/>
      <c r="L26" s="75"/>
      <c r="M26" s="75"/>
      <c r="N26" s="76"/>
    </row>
    <row r="27" spans="2:14" ht="15" customHeight="1" x14ac:dyDescent="0.25">
      <c r="B27" s="45"/>
      <c r="C27" s="27"/>
      <c r="D27" s="27"/>
      <c r="E27" s="27"/>
      <c r="F27" s="27"/>
      <c r="G27" s="27"/>
      <c r="H27" s="27"/>
      <c r="I27" s="27"/>
      <c r="J27" s="27"/>
      <c r="K27" s="27"/>
      <c r="L27" s="27"/>
      <c r="M27" s="27"/>
      <c r="N27" s="43"/>
    </row>
    <row r="28" spans="2:14" ht="15" customHeight="1" x14ac:dyDescent="0.25">
      <c r="B28" s="45"/>
      <c r="C28" s="27"/>
      <c r="D28" s="27"/>
      <c r="E28" s="27"/>
      <c r="F28" s="27"/>
      <c r="G28" s="27"/>
      <c r="H28" s="27"/>
      <c r="I28" s="27"/>
      <c r="J28" s="27"/>
      <c r="K28" s="27"/>
      <c r="L28" s="27"/>
      <c r="M28" s="27"/>
      <c r="N28" s="43"/>
    </row>
    <row r="29" spans="2:14" ht="15" customHeight="1" x14ac:dyDescent="0.25">
      <c r="B29" s="45"/>
      <c r="C29" s="27"/>
      <c r="D29" s="27"/>
      <c r="E29" s="27"/>
      <c r="F29" s="27"/>
      <c r="G29" s="27"/>
      <c r="H29" s="27"/>
      <c r="I29" s="27"/>
      <c r="J29" s="27"/>
      <c r="K29" s="27"/>
      <c r="L29" s="27"/>
      <c r="M29" s="27"/>
      <c r="N29" s="43"/>
    </row>
    <row r="30" spans="2:14" ht="15" customHeight="1" x14ac:dyDescent="0.25">
      <c r="B30" s="45"/>
      <c r="C30" s="27"/>
      <c r="D30" s="27"/>
      <c r="E30" s="27"/>
      <c r="F30" s="27"/>
      <c r="G30" s="27"/>
      <c r="H30" s="27"/>
      <c r="I30" s="27"/>
      <c r="J30" s="27"/>
      <c r="K30" s="27"/>
      <c r="L30" s="27"/>
      <c r="M30" s="27"/>
      <c r="N30" s="43"/>
    </row>
    <row r="31" spans="2:14" ht="15" customHeight="1" x14ac:dyDescent="0.25">
      <c r="B31" s="45"/>
      <c r="C31" s="27"/>
      <c r="D31" s="27"/>
      <c r="E31" s="27"/>
      <c r="F31" s="27"/>
      <c r="G31" s="27"/>
      <c r="H31" s="27"/>
      <c r="I31" s="27"/>
      <c r="J31" s="27"/>
      <c r="K31" s="27"/>
      <c r="L31" s="27"/>
      <c r="M31" s="27"/>
      <c r="N31" s="43"/>
    </row>
    <row r="32" spans="2:14" ht="15" customHeight="1" x14ac:dyDescent="0.25">
      <c r="B32" s="45"/>
      <c r="C32" s="27"/>
      <c r="D32" s="27"/>
      <c r="E32" s="27"/>
      <c r="F32" s="27"/>
      <c r="G32" s="27"/>
      <c r="H32" s="27"/>
      <c r="I32" s="27"/>
      <c r="J32" s="27"/>
      <c r="K32" s="27"/>
      <c r="L32" s="27"/>
      <c r="M32" s="27"/>
      <c r="N32" s="43"/>
    </row>
    <row r="33" spans="2:14" ht="15" customHeight="1" x14ac:dyDescent="0.25">
      <c r="B33" s="45"/>
      <c r="C33" s="27"/>
      <c r="D33" s="27"/>
      <c r="E33" s="27"/>
      <c r="F33" s="27"/>
      <c r="G33" s="27"/>
      <c r="H33" s="27"/>
      <c r="I33" s="27"/>
      <c r="J33" s="27"/>
      <c r="K33" s="27"/>
      <c r="L33" s="27"/>
      <c r="M33" s="27"/>
      <c r="N33" s="43"/>
    </row>
    <row r="34" spans="2:14" ht="15" customHeight="1" x14ac:dyDescent="0.25">
      <c r="B34" s="45"/>
      <c r="C34" s="27"/>
      <c r="D34" s="27"/>
      <c r="E34" s="27"/>
      <c r="F34" s="27"/>
      <c r="G34" s="27"/>
      <c r="H34" s="27"/>
      <c r="I34" s="27"/>
      <c r="J34" s="27"/>
      <c r="K34" s="27"/>
      <c r="L34" s="27"/>
      <c r="M34" s="27"/>
      <c r="N34" s="43"/>
    </row>
    <row r="35" spans="2:14" ht="15" customHeight="1" x14ac:dyDescent="0.25">
      <c r="B35" s="45"/>
      <c r="C35" s="27"/>
      <c r="D35" s="27"/>
      <c r="E35" s="27"/>
      <c r="F35" s="27"/>
      <c r="G35" s="27"/>
      <c r="H35" s="27"/>
      <c r="I35" s="27"/>
      <c r="J35" s="27"/>
      <c r="K35" s="27"/>
      <c r="L35" s="27"/>
      <c r="M35" s="27"/>
      <c r="N35" s="43"/>
    </row>
    <row r="36" spans="2:14" ht="15" customHeight="1" x14ac:dyDescent="0.25">
      <c r="B36" s="45"/>
      <c r="C36" s="27"/>
      <c r="D36" s="27"/>
      <c r="E36" s="27"/>
      <c r="F36" s="27"/>
      <c r="G36" s="27"/>
      <c r="H36" s="27"/>
      <c r="I36" s="27"/>
      <c r="J36" s="27"/>
      <c r="K36" s="27"/>
      <c r="L36" s="27"/>
      <c r="M36" s="27"/>
      <c r="N36" s="43"/>
    </row>
    <row r="37" spans="2:14" ht="15" customHeight="1" x14ac:dyDescent="0.25">
      <c r="B37" s="45"/>
      <c r="C37" s="27"/>
      <c r="D37" s="27"/>
      <c r="E37" s="27"/>
      <c r="F37" s="27"/>
      <c r="G37" s="27"/>
      <c r="H37" s="27"/>
      <c r="I37" s="27"/>
      <c r="J37" s="27"/>
      <c r="K37" s="27"/>
      <c r="L37" s="27"/>
      <c r="M37" s="27"/>
      <c r="N37" s="43"/>
    </row>
    <row r="38" spans="2:14" ht="15" customHeight="1" x14ac:dyDescent="0.25">
      <c r="B38" s="45"/>
      <c r="C38" s="27"/>
      <c r="D38" s="27"/>
      <c r="E38" s="27"/>
      <c r="F38" s="27"/>
      <c r="G38" s="27"/>
      <c r="H38" s="27"/>
      <c r="I38" s="27"/>
      <c r="J38" s="27"/>
      <c r="K38" s="27"/>
      <c r="L38" s="27"/>
      <c r="M38" s="27"/>
      <c r="N38" s="43"/>
    </row>
    <row r="39" spans="2:14" ht="15" customHeight="1" x14ac:dyDescent="0.25">
      <c r="B39" s="45"/>
      <c r="C39" s="27"/>
      <c r="D39" s="27"/>
      <c r="E39" s="27"/>
      <c r="F39" s="27"/>
      <c r="G39" s="27"/>
      <c r="H39" s="27"/>
      <c r="I39" s="27"/>
      <c r="J39" s="27"/>
      <c r="K39" s="27"/>
      <c r="L39" s="27"/>
      <c r="M39" s="27"/>
      <c r="N39" s="43"/>
    </row>
    <row r="40" spans="2:14" ht="15" customHeight="1" x14ac:dyDescent="0.25">
      <c r="B40" s="45"/>
      <c r="C40" s="27"/>
      <c r="D40" s="27"/>
      <c r="E40" s="27"/>
      <c r="F40" s="27"/>
      <c r="G40" s="27"/>
      <c r="H40" s="27"/>
      <c r="I40" s="27"/>
      <c r="J40" s="27"/>
      <c r="K40" s="27"/>
      <c r="L40" s="27"/>
      <c r="M40" s="27"/>
      <c r="N40" s="43"/>
    </row>
    <row r="41" spans="2:14" ht="15" customHeight="1" x14ac:dyDescent="0.25">
      <c r="B41" s="45"/>
      <c r="C41" s="27"/>
      <c r="D41" s="27"/>
      <c r="E41" s="27"/>
      <c r="F41" s="27"/>
      <c r="G41" s="27"/>
      <c r="H41" s="27"/>
      <c r="I41" s="27"/>
      <c r="J41" s="27"/>
      <c r="K41" s="27"/>
      <c r="L41" s="27"/>
      <c r="M41" s="27"/>
      <c r="N41" s="43"/>
    </row>
    <row r="42" spans="2:14" ht="15" customHeight="1" x14ac:dyDescent="0.25">
      <c r="B42" s="45"/>
      <c r="C42" s="27"/>
      <c r="D42" s="27"/>
      <c r="E42" s="27"/>
      <c r="F42" s="27"/>
      <c r="G42" s="27"/>
      <c r="H42" s="27"/>
      <c r="I42" s="27"/>
      <c r="J42" s="27"/>
      <c r="K42" s="27"/>
      <c r="L42" s="27"/>
      <c r="M42" s="27"/>
      <c r="N42" s="43"/>
    </row>
    <row r="43" spans="2:14" ht="15.75" thickBot="1" x14ac:dyDescent="0.3">
      <c r="B43" s="46"/>
      <c r="C43" s="47"/>
      <c r="D43" s="47"/>
      <c r="E43" s="47"/>
      <c r="F43" s="47"/>
      <c r="G43" s="47"/>
      <c r="H43" s="47"/>
      <c r="I43" s="47"/>
      <c r="J43" s="47"/>
      <c r="K43" s="47"/>
      <c r="L43" s="47"/>
      <c r="M43" s="47"/>
      <c r="N43" s="48"/>
    </row>
    <row r="44" spans="2:14" ht="15.75" thickBot="1" x14ac:dyDescent="0.3"/>
    <row r="45" spans="2:14" ht="111.75" customHeight="1" thickBot="1" x14ac:dyDescent="0.3">
      <c r="B45" s="68" t="s">
        <v>129</v>
      </c>
      <c r="C45" s="69"/>
      <c r="D45" s="69"/>
      <c r="E45" s="69"/>
      <c r="F45" s="69"/>
      <c r="G45" s="69"/>
      <c r="H45" s="69"/>
      <c r="I45" s="69"/>
      <c r="J45" s="69"/>
      <c r="K45" s="69"/>
      <c r="L45" s="69"/>
      <c r="M45" s="69"/>
      <c r="N45" s="70"/>
    </row>
  </sheetData>
  <mergeCells count="4">
    <mergeCell ref="C3:N3"/>
    <mergeCell ref="G7:N7"/>
    <mergeCell ref="G26:N26"/>
    <mergeCell ref="B45:N45"/>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AF4B4-6CC4-4EFE-B997-7566E127BDC3}">
  <dimension ref="B1:N45"/>
  <sheetViews>
    <sheetView showGridLines="0" zoomScale="75" zoomScaleNormal="75" workbookViewId="0"/>
  </sheetViews>
  <sheetFormatPr defaultRowHeight="15" x14ac:dyDescent="0.25"/>
  <cols>
    <col min="1" max="1" width="2.85546875" style="26" customWidth="1"/>
    <col min="2" max="2" width="3.85546875" style="26" customWidth="1"/>
    <col min="3" max="3" width="49.85546875" style="26" customWidth="1"/>
    <col min="4" max="4" width="13.7109375" style="26" customWidth="1"/>
    <col min="5" max="5" width="16.7109375" style="26" customWidth="1"/>
    <col min="6" max="6" width="9.140625" style="26"/>
    <col min="7" max="7" width="10.7109375" style="26" customWidth="1"/>
    <col min="8" max="8" width="9.5703125" style="26" customWidth="1"/>
    <col min="9" max="10" width="9.28515625" style="26" customWidth="1"/>
    <col min="11" max="12" width="16.42578125" style="26" customWidth="1"/>
    <col min="13" max="16384" width="9.140625" style="26"/>
  </cols>
  <sheetData>
    <row r="1" spans="2:14" ht="15.75" customHeight="1" thickBot="1" x14ac:dyDescent="0.3"/>
    <row r="2" spans="2:14" ht="15" customHeight="1" x14ac:dyDescent="0.25">
      <c r="B2" s="44"/>
      <c r="C2" s="41"/>
      <c r="D2" s="41"/>
      <c r="E2" s="41"/>
      <c r="F2" s="41"/>
      <c r="G2" s="41"/>
      <c r="H2" s="41"/>
      <c r="I2" s="41"/>
      <c r="J2" s="41"/>
      <c r="K2" s="41"/>
      <c r="L2" s="41"/>
      <c r="M2" s="41"/>
      <c r="N2" s="42"/>
    </row>
    <row r="3" spans="2:14" ht="20.25" customHeight="1" x14ac:dyDescent="0.25">
      <c r="B3" s="45"/>
      <c r="C3" s="71" t="s">
        <v>194</v>
      </c>
      <c r="D3" s="72"/>
      <c r="E3" s="72"/>
      <c r="F3" s="72"/>
      <c r="G3" s="72"/>
      <c r="H3" s="72"/>
      <c r="I3" s="72"/>
      <c r="J3" s="72"/>
      <c r="K3" s="72"/>
      <c r="L3" s="72"/>
      <c r="M3" s="72"/>
      <c r="N3" s="73"/>
    </row>
    <row r="4" spans="2:14" ht="15.75" customHeight="1" x14ac:dyDescent="0.25">
      <c r="B4" s="45"/>
      <c r="C4" s="40"/>
      <c r="D4" s="27"/>
      <c r="E4" s="27"/>
      <c r="F4" s="27"/>
      <c r="G4" s="27"/>
      <c r="H4" s="27"/>
      <c r="I4" s="27"/>
      <c r="J4" s="27"/>
      <c r="K4" s="27"/>
      <c r="L4" s="27"/>
      <c r="M4" s="27"/>
      <c r="N4" s="43"/>
    </row>
    <row r="5" spans="2:14" ht="18" customHeight="1" x14ac:dyDescent="0.25">
      <c r="B5" s="45"/>
      <c r="C5" s="40"/>
      <c r="D5" s="27"/>
      <c r="E5" s="27"/>
      <c r="F5" s="27"/>
      <c r="G5" s="27"/>
      <c r="H5" s="27"/>
      <c r="I5" s="27"/>
      <c r="J5" s="27"/>
      <c r="K5" s="27"/>
      <c r="L5" s="27"/>
      <c r="M5" s="27"/>
      <c r="N5" s="43"/>
    </row>
    <row r="6" spans="2:14" ht="15" customHeight="1" x14ac:dyDescent="0.25">
      <c r="B6" s="45"/>
      <c r="C6" s="27"/>
      <c r="D6" s="27"/>
      <c r="E6" s="27"/>
      <c r="F6" s="27"/>
      <c r="G6" s="27"/>
      <c r="H6" s="27"/>
      <c r="I6" s="27"/>
      <c r="J6" s="27"/>
      <c r="K6" s="27"/>
      <c r="L6" s="27"/>
      <c r="M6" s="27"/>
      <c r="N6" s="43"/>
    </row>
    <row r="7" spans="2:14" ht="32.25" customHeight="1" x14ac:dyDescent="0.25">
      <c r="B7" s="45"/>
      <c r="C7" s="57" t="s">
        <v>1</v>
      </c>
      <c r="D7" s="58" t="s">
        <v>2</v>
      </c>
      <c r="E7" s="57" t="s">
        <v>3</v>
      </c>
      <c r="F7" s="27"/>
      <c r="G7" s="74" t="s">
        <v>16</v>
      </c>
      <c r="H7" s="75"/>
      <c r="I7" s="75"/>
      <c r="J7" s="75"/>
      <c r="K7" s="75"/>
      <c r="L7" s="75"/>
      <c r="M7" s="75"/>
      <c r="N7" s="76"/>
    </row>
    <row r="8" spans="2:14" ht="15" customHeight="1" x14ac:dyDescent="0.25">
      <c r="B8" s="45"/>
      <c r="C8" s="59" t="s">
        <v>105</v>
      </c>
      <c r="D8" s="59" t="s">
        <v>50</v>
      </c>
      <c r="E8" s="60">
        <v>0.68972800000000001</v>
      </c>
      <c r="F8" s="27"/>
      <c r="G8" s="49" t="s">
        <v>15</v>
      </c>
      <c r="H8" s="50">
        <v>1</v>
      </c>
      <c r="I8" s="27"/>
      <c r="J8" s="49" t="s">
        <v>12</v>
      </c>
      <c r="K8" s="49" t="s">
        <v>3</v>
      </c>
      <c r="L8" s="27"/>
      <c r="M8" s="27"/>
      <c r="N8" s="43"/>
    </row>
    <row r="9" spans="2:14" ht="15" customHeight="1" x14ac:dyDescent="0.25">
      <c r="B9" s="45"/>
      <c r="C9" s="59" t="s">
        <v>74</v>
      </c>
      <c r="D9" s="59" t="s">
        <v>50</v>
      </c>
      <c r="E9" s="60">
        <v>0.25411800000000001</v>
      </c>
      <c r="F9" s="27"/>
      <c r="G9" s="27"/>
      <c r="H9" s="27"/>
      <c r="I9" s="27"/>
      <c r="J9" s="49" t="s">
        <v>13</v>
      </c>
      <c r="K9" s="51">
        <f>E12</f>
        <v>2.1122999999999999E-2</v>
      </c>
      <c r="L9" s="27"/>
      <c r="M9" s="27"/>
      <c r="N9" s="43"/>
    </row>
    <row r="10" spans="2:14" ht="15" customHeight="1" x14ac:dyDescent="0.25">
      <c r="B10" s="45"/>
      <c r="C10" s="61" t="s">
        <v>56</v>
      </c>
      <c r="D10" s="62"/>
      <c r="E10" s="63">
        <v>0.94384599999999996</v>
      </c>
      <c r="F10" s="27"/>
      <c r="G10" s="27"/>
      <c r="H10" s="27"/>
      <c r="I10" s="27"/>
      <c r="J10" s="49" t="s">
        <v>63</v>
      </c>
      <c r="K10" s="51">
        <f>E10</f>
        <v>0.94384599999999996</v>
      </c>
      <c r="L10" s="27"/>
      <c r="M10" s="27"/>
      <c r="N10" s="43"/>
    </row>
    <row r="11" spans="2:14" ht="15" customHeight="1" x14ac:dyDescent="0.25">
      <c r="B11" s="45"/>
      <c r="C11" s="59" t="s">
        <v>8</v>
      </c>
      <c r="D11" s="59"/>
      <c r="E11" s="60">
        <v>2.1122999999999999E-2</v>
      </c>
      <c r="F11" s="27"/>
      <c r="G11" s="27"/>
      <c r="H11" s="27"/>
      <c r="I11" s="27"/>
      <c r="J11" s="49" t="s">
        <v>10</v>
      </c>
      <c r="K11" s="51">
        <f>E17</f>
        <v>2.2516000000000001E-2</v>
      </c>
      <c r="L11" s="27"/>
      <c r="M11" s="27"/>
      <c r="N11" s="43"/>
    </row>
    <row r="12" spans="2:14" ht="15" customHeight="1" x14ac:dyDescent="0.25">
      <c r="B12" s="45"/>
      <c r="C12" s="61" t="s">
        <v>9</v>
      </c>
      <c r="D12" s="62"/>
      <c r="E12" s="63">
        <v>2.1122999999999999E-2</v>
      </c>
      <c r="F12" s="27"/>
      <c r="G12" s="27"/>
      <c r="H12" s="27"/>
      <c r="I12" s="27"/>
      <c r="J12" s="49" t="s">
        <v>88</v>
      </c>
      <c r="K12" s="51">
        <f>E15</f>
        <v>1.2515E-2</v>
      </c>
      <c r="L12" s="27"/>
      <c r="M12" s="27"/>
      <c r="N12" s="43"/>
    </row>
    <row r="13" spans="2:14" ht="15" customHeight="1" x14ac:dyDescent="0.25">
      <c r="B13" s="45"/>
      <c r="C13" s="59" t="s">
        <v>184</v>
      </c>
      <c r="D13" s="59" t="s">
        <v>50</v>
      </c>
      <c r="E13" s="60">
        <v>6.2290000000000002E-3</v>
      </c>
      <c r="F13" s="27"/>
      <c r="G13" s="27"/>
      <c r="H13" s="27"/>
      <c r="I13" s="27"/>
      <c r="L13" s="27"/>
      <c r="M13" s="27"/>
      <c r="N13" s="43"/>
    </row>
    <row r="14" spans="2:14" ht="15.75" customHeight="1" x14ac:dyDescent="0.25">
      <c r="B14" s="45"/>
      <c r="C14" s="59" t="s">
        <v>185</v>
      </c>
      <c r="D14" s="59" t="s">
        <v>50</v>
      </c>
      <c r="E14" s="60">
        <v>6.2859999999999999E-3</v>
      </c>
      <c r="F14" s="27"/>
      <c r="G14" s="27"/>
      <c r="H14" s="27"/>
      <c r="I14" s="27"/>
      <c r="J14" s="27"/>
      <c r="K14" s="27"/>
      <c r="L14" s="27"/>
      <c r="M14" s="27"/>
      <c r="N14" s="43"/>
    </row>
    <row r="15" spans="2:14" ht="15" customHeight="1" x14ac:dyDescent="0.25">
      <c r="B15" s="45"/>
      <c r="C15" s="61" t="s">
        <v>88</v>
      </c>
      <c r="D15" s="62"/>
      <c r="E15" s="63">
        <v>1.2515E-2</v>
      </c>
      <c r="F15" s="27"/>
      <c r="G15" s="27"/>
      <c r="H15" s="27"/>
      <c r="I15" s="27"/>
      <c r="J15" s="27"/>
      <c r="K15" s="27"/>
      <c r="L15" s="27"/>
      <c r="M15" s="27"/>
      <c r="N15" s="43"/>
    </row>
    <row r="16" spans="2:14" ht="15.75" customHeight="1" x14ac:dyDescent="0.25">
      <c r="B16" s="45"/>
      <c r="C16" s="64"/>
      <c r="D16" s="64"/>
      <c r="E16" s="64"/>
      <c r="F16" s="27"/>
      <c r="G16" s="27"/>
      <c r="H16" s="27"/>
      <c r="I16" s="27"/>
      <c r="J16" s="27"/>
      <c r="K16" s="27"/>
      <c r="L16" s="27"/>
      <c r="M16" s="27"/>
      <c r="N16" s="43"/>
    </row>
    <row r="17" spans="2:14" ht="15" customHeight="1" x14ac:dyDescent="0.25">
      <c r="B17" s="45"/>
      <c r="C17" s="61" t="s">
        <v>10</v>
      </c>
      <c r="D17" s="62"/>
      <c r="E17" s="63">
        <v>2.2516000000000001E-2</v>
      </c>
      <c r="F17" s="27"/>
      <c r="G17" s="27"/>
      <c r="H17" s="27"/>
      <c r="I17" s="27"/>
      <c r="J17" s="27"/>
      <c r="K17" s="27"/>
      <c r="L17" s="27"/>
      <c r="M17" s="27"/>
      <c r="N17" s="43"/>
    </row>
    <row r="18" spans="2:14" ht="15.75" customHeight="1" x14ac:dyDescent="0.25">
      <c r="B18" s="45"/>
      <c r="C18" s="59"/>
      <c r="D18" s="59"/>
      <c r="E18" s="60"/>
      <c r="F18" s="27"/>
      <c r="G18" s="27"/>
      <c r="H18" s="27"/>
      <c r="I18" s="27"/>
      <c r="J18" s="27"/>
      <c r="K18" s="27"/>
      <c r="L18" s="27"/>
      <c r="M18" s="27"/>
      <c r="N18" s="43"/>
    </row>
    <row r="19" spans="2:14" ht="15" customHeight="1" x14ac:dyDescent="0.25">
      <c r="B19" s="45"/>
      <c r="C19" s="65" t="s">
        <v>11</v>
      </c>
      <c r="D19" s="66"/>
      <c r="E19" s="67">
        <v>1</v>
      </c>
      <c r="F19" s="27"/>
      <c r="G19" s="27"/>
      <c r="H19" s="27"/>
      <c r="I19" s="27"/>
      <c r="J19" s="27"/>
      <c r="K19" s="27"/>
      <c r="L19" s="27"/>
      <c r="M19" s="27"/>
      <c r="N19" s="43"/>
    </row>
    <row r="20" spans="2:14" ht="15" customHeight="1" x14ac:dyDescent="0.25">
      <c r="B20" s="45"/>
      <c r="F20" s="27"/>
      <c r="G20" s="27"/>
      <c r="H20" s="27"/>
      <c r="I20" s="27"/>
      <c r="J20" s="27"/>
      <c r="K20" s="27"/>
      <c r="L20" s="27"/>
      <c r="M20" s="27"/>
      <c r="N20" s="43"/>
    </row>
    <row r="21" spans="2:14" ht="15" customHeight="1" x14ac:dyDescent="0.25">
      <c r="B21" s="45"/>
      <c r="C21" s="27"/>
      <c r="D21" s="27"/>
      <c r="E21" s="27"/>
      <c r="F21" s="27"/>
      <c r="G21" s="27"/>
      <c r="H21" s="27"/>
      <c r="I21" s="27"/>
      <c r="J21" s="27"/>
      <c r="K21" s="27"/>
      <c r="L21" s="27"/>
      <c r="M21" s="27"/>
      <c r="N21" s="43"/>
    </row>
    <row r="22" spans="2:14" ht="15" customHeight="1" x14ac:dyDescent="0.25">
      <c r="B22" s="45"/>
      <c r="C22" s="27"/>
      <c r="D22" s="27"/>
      <c r="E22" s="27"/>
      <c r="F22" s="27"/>
      <c r="G22" s="27"/>
      <c r="H22" s="27"/>
      <c r="I22" s="27"/>
      <c r="J22" s="27"/>
      <c r="K22" s="27"/>
      <c r="L22" s="27"/>
      <c r="M22" s="27"/>
      <c r="N22" s="43"/>
    </row>
    <row r="23" spans="2:14" ht="15" customHeight="1" x14ac:dyDescent="0.25">
      <c r="B23" s="45"/>
      <c r="C23" s="27"/>
      <c r="D23" s="27"/>
      <c r="E23" s="27"/>
      <c r="F23" s="27"/>
      <c r="G23" s="27"/>
      <c r="H23" s="27"/>
      <c r="I23" s="27"/>
      <c r="J23" s="27"/>
      <c r="K23" s="27"/>
      <c r="L23" s="27"/>
      <c r="M23" s="27"/>
      <c r="N23" s="43"/>
    </row>
    <row r="24" spans="2:14" ht="15" customHeight="1" x14ac:dyDescent="0.25">
      <c r="B24" s="45"/>
      <c r="C24" s="27"/>
      <c r="D24" s="27"/>
      <c r="E24" s="27"/>
      <c r="F24" s="27"/>
      <c r="G24" s="27"/>
      <c r="H24" s="27"/>
      <c r="I24" s="27"/>
      <c r="J24" s="27"/>
      <c r="K24" s="27"/>
      <c r="L24" s="27"/>
      <c r="M24" s="27"/>
      <c r="N24" s="43"/>
    </row>
    <row r="25" spans="2:14" ht="15" customHeight="1" x14ac:dyDescent="0.25">
      <c r="B25" s="45"/>
      <c r="C25" s="27"/>
      <c r="D25" s="27"/>
      <c r="E25" s="27"/>
      <c r="F25" s="27"/>
      <c r="G25" s="27"/>
      <c r="H25" s="27"/>
      <c r="I25" s="27"/>
      <c r="J25" s="27"/>
      <c r="K25" s="27"/>
      <c r="L25" s="27"/>
      <c r="M25" s="27"/>
      <c r="N25" s="43"/>
    </row>
    <row r="26" spans="2:14" ht="15" customHeight="1" x14ac:dyDescent="0.25">
      <c r="B26" s="45"/>
      <c r="C26" s="27"/>
      <c r="D26" s="27"/>
      <c r="E26" s="27"/>
      <c r="F26" s="27"/>
      <c r="G26" s="74" t="s">
        <v>17</v>
      </c>
      <c r="H26" s="75"/>
      <c r="I26" s="75"/>
      <c r="J26" s="75"/>
      <c r="K26" s="75"/>
      <c r="L26" s="75"/>
      <c r="M26" s="75"/>
      <c r="N26" s="76"/>
    </row>
    <row r="27" spans="2:14" ht="15" customHeight="1" x14ac:dyDescent="0.25">
      <c r="B27" s="45"/>
      <c r="C27" s="27"/>
      <c r="D27" s="27"/>
      <c r="E27" s="27"/>
      <c r="F27" s="27"/>
      <c r="G27" s="27"/>
      <c r="H27" s="27"/>
      <c r="I27" s="27"/>
      <c r="J27" s="27"/>
      <c r="K27" s="27"/>
      <c r="L27" s="27"/>
      <c r="M27" s="27"/>
      <c r="N27" s="43"/>
    </row>
    <row r="28" spans="2:14" ht="15" customHeight="1" x14ac:dyDescent="0.25">
      <c r="B28" s="45"/>
      <c r="C28" s="27"/>
      <c r="D28" s="27"/>
      <c r="E28" s="27"/>
      <c r="F28" s="27"/>
      <c r="G28" s="27"/>
      <c r="H28" s="27"/>
      <c r="I28" s="27"/>
      <c r="J28" s="27"/>
      <c r="K28" s="27"/>
      <c r="L28" s="27"/>
      <c r="M28" s="27"/>
      <c r="N28" s="43"/>
    </row>
    <row r="29" spans="2:14" ht="15" customHeight="1" x14ac:dyDescent="0.25">
      <c r="B29" s="45"/>
      <c r="C29" s="27"/>
      <c r="D29" s="27"/>
      <c r="E29" s="27"/>
      <c r="F29" s="27"/>
      <c r="G29" s="27"/>
      <c r="H29" s="27"/>
      <c r="I29" s="27"/>
      <c r="J29" s="27"/>
      <c r="K29" s="27"/>
      <c r="L29" s="27"/>
      <c r="M29" s="27"/>
      <c r="N29" s="43"/>
    </row>
    <row r="30" spans="2:14" ht="15" customHeight="1" x14ac:dyDescent="0.25">
      <c r="B30" s="45"/>
      <c r="C30" s="27"/>
      <c r="D30" s="27"/>
      <c r="E30" s="27"/>
      <c r="F30" s="27"/>
      <c r="G30" s="27"/>
      <c r="H30" s="27"/>
      <c r="I30" s="27"/>
      <c r="J30" s="27"/>
      <c r="K30" s="27"/>
      <c r="L30" s="27"/>
      <c r="M30" s="27"/>
      <c r="N30" s="43"/>
    </row>
    <row r="31" spans="2:14" ht="15" customHeight="1" x14ac:dyDescent="0.25">
      <c r="B31" s="45"/>
      <c r="C31" s="27"/>
      <c r="D31" s="27"/>
      <c r="E31" s="27"/>
      <c r="F31" s="27"/>
      <c r="G31" s="27"/>
      <c r="H31" s="27"/>
      <c r="I31" s="27"/>
      <c r="J31" s="27"/>
      <c r="K31" s="27"/>
      <c r="L31" s="27"/>
      <c r="M31" s="27"/>
      <c r="N31" s="43"/>
    </row>
    <row r="32" spans="2:14" ht="15" customHeight="1" x14ac:dyDescent="0.25">
      <c r="B32" s="45"/>
      <c r="C32" s="27"/>
      <c r="D32" s="27"/>
      <c r="E32" s="27"/>
      <c r="F32" s="27"/>
      <c r="G32" s="27"/>
      <c r="H32" s="27"/>
      <c r="I32" s="27"/>
      <c r="J32" s="27"/>
      <c r="K32" s="27"/>
      <c r="L32" s="27"/>
      <c r="M32" s="27"/>
      <c r="N32" s="43"/>
    </row>
    <row r="33" spans="2:14" ht="15" customHeight="1" x14ac:dyDescent="0.25">
      <c r="B33" s="45"/>
      <c r="C33" s="27"/>
      <c r="D33" s="27"/>
      <c r="E33" s="27"/>
      <c r="F33" s="27"/>
      <c r="G33" s="27"/>
      <c r="H33" s="27"/>
      <c r="I33" s="27"/>
      <c r="J33" s="27"/>
      <c r="K33" s="27"/>
      <c r="L33" s="27"/>
      <c r="M33" s="27"/>
      <c r="N33" s="43"/>
    </row>
    <row r="34" spans="2:14" ht="15" customHeight="1" x14ac:dyDescent="0.25">
      <c r="B34" s="45"/>
      <c r="C34" s="27"/>
      <c r="D34" s="27"/>
      <c r="E34" s="27"/>
      <c r="F34" s="27"/>
      <c r="G34" s="27"/>
      <c r="H34" s="27"/>
      <c r="I34" s="27"/>
      <c r="J34" s="27"/>
      <c r="K34" s="27"/>
      <c r="L34" s="27"/>
      <c r="M34" s="27"/>
      <c r="N34" s="43"/>
    </row>
    <row r="35" spans="2:14" ht="15" customHeight="1" x14ac:dyDescent="0.25">
      <c r="B35" s="45"/>
      <c r="C35" s="27"/>
      <c r="D35" s="27"/>
      <c r="E35" s="27"/>
      <c r="F35" s="27"/>
      <c r="G35" s="27"/>
      <c r="H35" s="27"/>
      <c r="I35" s="27"/>
      <c r="J35" s="27"/>
      <c r="K35" s="27"/>
      <c r="L35" s="27"/>
      <c r="M35" s="27"/>
      <c r="N35" s="43"/>
    </row>
    <row r="36" spans="2:14" ht="15" customHeight="1" x14ac:dyDescent="0.25">
      <c r="B36" s="45"/>
      <c r="C36" s="27"/>
      <c r="D36" s="27"/>
      <c r="E36" s="27"/>
      <c r="F36" s="27"/>
      <c r="G36" s="27"/>
      <c r="H36" s="27"/>
      <c r="I36" s="27"/>
      <c r="J36" s="27"/>
      <c r="K36" s="27"/>
      <c r="L36" s="27"/>
      <c r="M36" s="27"/>
      <c r="N36" s="43"/>
    </row>
    <row r="37" spans="2:14" ht="15" customHeight="1" x14ac:dyDescent="0.25">
      <c r="B37" s="45"/>
      <c r="C37" s="27"/>
      <c r="D37" s="27"/>
      <c r="E37" s="27"/>
      <c r="F37" s="27"/>
      <c r="G37" s="27"/>
      <c r="H37" s="27"/>
      <c r="I37" s="27"/>
      <c r="J37" s="27"/>
      <c r="K37" s="27"/>
      <c r="L37" s="27"/>
      <c r="M37" s="27"/>
      <c r="N37" s="43"/>
    </row>
    <row r="38" spans="2:14" ht="15" customHeight="1" x14ac:dyDescent="0.25">
      <c r="B38" s="45"/>
      <c r="C38" s="27"/>
      <c r="D38" s="27"/>
      <c r="E38" s="27"/>
      <c r="F38" s="27"/>
      <c r="G38" s="27"/>
      <c r="H38" s="27"/>
      <c r="I38" s="27"/>
      <c r="J38" s="27"/>
      <c r="K38" s="27"/>
      <c r="L38" s="27"/>
      <c r="M38" s="27"/>
      <c r="N38" s="43"/>
    </row>
    <row r="39" spans="2:14" ht="15" customHeight="1" x14ac:dyDescent="0.25">
      <c r="B39" s="45"/>
      <c r="C39" s="27"/>
      <c r="D39" s="27"/>
      <c r="E39" s="27"/>
      <c r="F39" s="27"/>
      <c r="G39" s="27"/>
      <c r="H39" s="27"/>
      <c r="I39" s="27"/>
      <c r="J39" s="27"/>
      <c r="K39" s="27"/>
      <c r="L39" s="27"/>
      <c r="M39" s="27"/>
      <c r="N39" s="43"/>
    </row>
    <row r="40" spans="2:14" ht="15" customHeight="1" x14ac:dyDescent="0.25">
      <c r="B40" s="45"/>
      <c r="C40" s="27"/>
      <c r="D40" s="27"/>
      <c r="E40" s="27"/>
      <c r="F40" s="27"/>
      <c r="G40" s="27"/>
      <c r="H40" s="27"/>
      <c r="I40" s="27"/>
      <c r="J40" s="27"/>
      <c r="K40" s="27"/>
      <c r="L40" s="27"/>
      <c r="M40" s="27"/>
      <c r="N40" s="43"/>
    </row>
    <row r="41" spans="2:14" ht="15" customHeight="1" x14ac:dyDescent="0.25">
      <c r="B41" s="45"/>
      <c r="C41" s="27"/>
      <c r="D41" s="27"/>
      <c r="E41" s="27"/>
      <c r="F41" s="27"/>
      <c r="G41" s="27"/>
      <c r="H41" s="27"/>
      <c r="I41" s="27"/>
      <c r="J41" s="27"/>
      <c r="K41" s="27"/>
      <c r="L41" s="27"/>
      <c r="M41" s="27"/>
      <c r="N41" s="43"/>
    </row>
    <row r="42" spans="2:14" ht="15" customHeight="1" x14ac:dyDescent="0.25">
      <c r="B42" s="45"/>
      <c r="C42" s="27"/>
      <c r="D42" s="27"/>
      <c r="E42" s="27"/>
      <c r="F42" s="27"/>
      <c r="G42" s="27"/>
      <c r="H42" s="27"/>
      <c r="I42" s="27"/>
      <c r="J42" s="27"/>
      <c r="K42" s="27"/>
      <c r="L42" s="27"/>
      <c r="M42" s="27"/>
      <c r="N42" s="43"/>
    </row>
    <row r="43" spans="2:14" ht="15.75" thickBot="1" x14ac:dyDescent="0.3">
      <c r="B43" s="46"/>
      <c r="C43" s="47"/>
      <c r="D43" s="47"/>
      <c r="E43" s="47"/>
      <c r="F43" s="47"/>
      <c r="G43" s="47"/>
      <c r="H43" s="47"/>
      <c r="I43" s="47"/>
      <c r="J43" s="47"/>
      <c r="K43" s="47"/>
      <c r="L43" s="47"/>
      <c r="M43" s="47"/>
      <c r="N43" s="48"/>
    </row>
    <row r="44" spans="2:14" ht="15.75" thickBot="1" x14ac:dyDescent="0.3"/>
    <row r="45" spans="2:14" ht="113.25" customHeight="1" thickBot="1" x14ac:dyDescent="0.3">
      <c r="B45" s="68" t="s">
        <v>129</v>
      </c>
      <c r="C45" s="69"/>
      <c r="D45" s="69"/>
      <c r="E45" s="69"/>
      <c r="F45" s="69"/>
      <c r="G45" s="69"/>
      <c r="H45" s="69"/>
      <c r="I45" s="69"/>
      <c r="J45" s="69"/>
      <c r="K45" s="69"/>
      <c r="L45" s="69"/>
      <c r="M45" s="69"/>
      <c r="N45" s="70"/>
    </row>
  </sheetData>
  <mergeCells count="4">
    <mergeCell ref="C3:N3"/>
    <mergeCell ref="G7:N7"/>
    <mergeCell ref="G26:N26"/>
    <mergeCell ref="B45:N45"/>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90D86-7F9F-4B06-8952-C53BD6A2E2DC}">
  <dimension ref="B1:N45"/>
  <sheetViews>
    <sheetView showGridLines="0" zoomScale="75" zoomScaleNormal="75" workbookViewId="0"/>
  </sheetViews>
  <sheetFormatPr defaultRowHeight="15" x14ac:dyDescent="0.25"/>
  <cols>
    <col min="1" max="1" width="2.85546875" customWidth="1"/>
    <col min="2" max="2" width="3.85546875" customWidth="1"/>
    <col min="3" max="3" width="59"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71" t="s">
        <v>0</v>
      </c>
      <c r="D3" s="72"/>
      <c r="E3" s="72"/>
      <c r="F3" s="72"/>
      <c r="G3" s="72"/>
      <c r="H3" s="72"/>
      <c r="I3" s="72"/>
      <c r="J3" s="72"/>
      <c r="K3" s="72"/>
      <c r="L3" s="72"/>
      <c r="M3" s="72"/>
      <c r="N3" s="73"/>
    </row>
    <row r="4" spans="2:14" ht="15.75" customHeight="1" x14ac:dyDescent="0.25">
      <c r="B4" s="19"/>
      <c r="C4" s="14"/>
      <c r="D4" s="1"/>
      <c r="E4" s="1"/>
      <c r="F4" s="1"/>
      <c r="G4" s="1"/>
      <c r="H4" s="1"/>
      <c r="I4" s="1"/>
      <c r="J4" s="1"/>
      <c r="K4" s="1"/>
      <c r="L4" s="1"/>
      <c r="M4" s="1"/>
      <c r="N4" s="17"/>
    </row>
    <row r="5" spans="2:14" ht="18" customHeight="1" x14ac:dyDescent="0.25">
      <c r="B5" s="19"/>
      <c r="C5" s="40"/>
      <c r="D5" s="27"/>
      <c r="E5" s="27"/>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74" t="s">
        <v>16</v>
      </c>
      <c r="H7" s="75"/>
      <c r="I7" s="75"/>
      <c r="J7" s="75"/>
      <c r="K7" s="75"/>
      <c r="L7" s="75"/>
      <c r="M7" s="75"/>
      <c r="N7" s="76"/>
    </row>
    <row r="8" spans="2:14" ht="15" customHeight="1" x14ac:dyDescent="0.25">
      <c r="B8" s="19"/>
      <c r="C8" s="5" t="s">
        <v>4</v>
      </c>
      <c r="D8" s="6"/>
      <c r="E8" s="11">
        <v>0.61697599999999997</v>
      </c>
      <c r="F8" s="1"/>
      <c r="G8" s="23" t="s">
        <v>15</v>
      </c>
      <c r="H8" s="24">
        <v>1</v>
      </c>
      <c r="I8" s="1"/>
      <c r="J8" s="23" t="s">
        <v>12</v>
      </c>
      <c r="K8" s="23" t="s">
        <v>3</v>
      </c>
      <c r="L8" s="1"/>
      <c r="M8" s="1"/>
      <c r="N8" s="17"/>
    </row>
    <row r="9" spans="2:14" ht="15" customHeight="1" x14ac:dyDescent="0.25">
      <c r="B9" s="19"/>
      <c r="C9" s="5" t="s">
        <v>5</v>
      </c>
      <c r="D9" s="6"/>
      <c r="E9" s="11">
        <v>0.30672700000000003</v>
      </c>
      <c r="F9" s="1"/>
      <c r="G9" s="1"/>
      <c r="H9" s="1"/>
      <c r="I9" s="1"/>
      <c r="J9" s="23" t="s">
        <v>10</v>
      </c>
      <c r="K9" s="25">
        <v>-2.3530000000000001E-3</v>
      </c>
      <c r="L9" s="1"/>
      <c r="M9" s="1"/>
      <c r="N9" s="17"/>
    </row>
    <row r="10" spans="2:14" ht="15" customHeight="1" x14ac:dyDescent="0.25">
      <c r="B10" s="19"/>
      <c r="C10" s="5" t="s">
        <v>6</v>
      </c>
      <c r="D10" s="6"/>
      <c r="E10" s="11">
        <v>6.5886E-2</v>
      </c>
      <c r="F10" s="1"/>
      <c r="G10" s="1"/>
      <c r="H10" s="1"/>
      <c r="I10" s="1"/>
      <c r="J10" s="23" t="s">
        <v>13</v>
      </c>
      <c r="K10" s="25">
        <v>1.2763999999999999E-2</v>
      </c>
      <c r="L10" s="1"/>
      <c r="M10" s="1"/>
      <c r="N10" s="17"/>
    </row>
    <row r="11" spans="2:14" ht="15.75" customHeight="1" x14ac:dyDescent="0.25">
      <c r="B11" s="19"/>
      <c r="C11" s="7" t="s">
        <v>7</v>
      </c>
      <c r="D11" s="8"/>
      <c r="E11" s="12">
        <v>0.98958900000000005</v>
      </c>
      <c r="F11" s="1"/>
      <c r="G11" s="1"/>
      <c r="H11" s="1"/>
      <c r="I11" s="1"/>
      <c r="J11" s="23" t="s">
        <v>14</v>
      </c>
      <c r="K11" s="25">
        <v>0.98958900000000005</v>
      </c>
      <c r="L11" s="1"/>
      <c r="M11" s="1"/>
      <c r="N11" s="17"/>
    </row>
    <row r="12" spans="2:14" ht="15" customHeight="1" x14ac:dyDescent="0.25">
      <c r="B12" s="19"/>
      <c r="C12" s="5" t="s">
        <v>8</v>
      </c>
      <c r="D12" s="6"/>
      <c r="E12" s="11">
        <v>1.2763999999999999E-2</v>
      </c>
      <c r="F12" s="1"/>
      <c r="G12" s="1"/>
      <c r="H12" s="1"/>
      <c r="I12" s="1"/>
      <c r="J12" s="1"/>
      <c r="K12" s="1"/>
      <c r="L12" s="1"/>
      <c r="M12" s="1"/>
      <c r="N12" s="17"/>
    </row>
    <row r="13" spans="2:14" ht="15.75" customHeight="1" x14ac:dyDescent="0.25">
      <c r="B13" s="19"/>
      <c r="C13" s="7" t="s">
        <v>9</v>
      </c>
      <c r="D13" s="8"/>
      <c r="E13" s="12">
        <v>1.2763999999999999E-2</v>
      </c>
      <c r="F13" s="1"/>
      <c r="G13" s="1"/>
      <c r="H13" s="1"/>
      <c r="I13" s="1"/>
      <c r="J13" s="1"/>
      <c r="K13" s="1"/>
      <c r="L13" s="1"/>
      <c r="M13" s="1"/>
      <c r="N13" s="17"/>
    </row>
    <row r="14" spans="2:14" ht="15" customHeight="1" x14ac:dyDescent="0.25">
      <c r="B14" s="19"/>
      <c r="C14" s="5"/>
      <c r="D14" s="6"/>
      <c r="E14" s="11"/>
      <c r="F14" s="1"/>
      <c r="G14" s="1"/>
      <c r="H14" s="1"/>
      <c r="I14" s="1"/>
      <c r="J14" s="1"/>
      <c r="K14" s="1"/>
      <c r="L14" s="1"/>
      <c r="M14" s="1"/>
      <c r="N14" s="17"/>
    </row>
    <row r="15" spans="2:14" ht="15.75" customHeight="1" x14ac:dyDescent="0.25">
      <c r="B15" s="19"/>
      <c r="C15" s="7" t="s">
        <v>10</v>
      </c>
      <c r="D15" s="8"/>
      <c r="E15" s="12">
        <v>-2.3530000000000001E-3</v>
      </c>
      <c r="F15" s="1"/>
      <c r="G15" s="1"/>
      <c r="H15" s="1"/>
      <c r="I15" s="1"/>
      <c r="J15" s="1"/>
      <c r="K15" s="1"/>
      <c r="L15" s="1"/>
      <c r="M15" s="1"/>
      <c r="N15" s="17"/>
    </row>
    <row r="16" spans="2:14" ht="15" customHeight="1" x14ac:dyDescent="0.25">
      <c r="B16" s="19"/>
      <c r="C16" s="5"/>
      <c r="D16" s="6"/>
      <c r="E16" s="11"/>
      <c r="F16" s="1"/>
      <c r="G16" s="1"/>
      <c r="H16" s="1"/>
      <c r="I16" s="1"/>
      <c r="J16" s="1"/>
      <c r="K16" s="1"/>
      <c r="L16" s="1"/>
      <c r="M16" s="1"/>
      <c r="N16" s="17"/>
    </row>
    <row r="17" spans="2:14" ht="15" customHeight="1" x14ac:dyDescent="0.25">
      <c r="B17" s="19"/>
      <c r="C17" s="9" t="s">
        <v>11</v>
      </c>
      <c r="D17" s="10"/>
      <c r="E17" s="13">
        <v>1</v>
      </c>
      <c r="F17" s="1"/>
      <c r="G17" s="1"/>
      <c r="H17" s="1"/>
      <c r="I17" s="1"/>
      <c r="J17" s="1"/>
      <c r="K17" s="1"/>
      <c r="L17" s="1"/>
      <c r="M17" s="1"/>
      <c r="N17" s="17"/>
    </row>
    <row r="18" spans="2:14" ht="15" customHeight="1" x14ac:dyDescent="0.25">
      <c r="B18" s="19"/>
      <c r="C18" s="1"/>
      <c r="D18" s="1"/>
      <c r="E18" s="1"/>
      <c r="F18" s="1"/>
      <c r="G18" s="1"/>
      <c r="H18" s="1"/>
      <c r="I18" s="1"/>
      <c r="J18" s="1"/>
      <c r="K18" s="1"/>
      <c r="L18" s="1"/>
      <c r="M18" s="1"/>
      <c r="N18" s="17"/>
    </row>
    <row r="19" spans="2:14" ht="15" customHeight="1" x14ac:dyDescent="0.25">
      <c r="B19" s="19"/>
      <c r="C19" s="1"/>
      <c r="D19" s="1"/>
      <c r="E19" s="1"/>
      <c r="F19" s="1"/>
      <c r="G19" s="1"/>
      <c r="H19" s="1"/>
      <c r="I19" s="1"/>
      <c r="J19" s="1"/>
      <c r="K19" s="1"/>
      <c r="L19" s="1"/>
      <c r="M19" s="1"/>
      <c r="N19" s="17"/>
    </row>
    <row r="20" spans="2:14" ht="15" customHeight="1" x14ac:dyDescent="0.25">
      <c r="B20" s="19"/>
      <c r="C20" s="1"/>
      <c r="D20" s="1"/>
      <c r="E20" s="1"/>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27"/>
      <c r="H24" s="27"/>
      <c r="I24" s="27"/>
      <c r="J24" s="27"/>
      <c r="K24" s="27"/>
      <c r="L24" s="27"/>
      <c r="M24" s="27"/>
      <c r="N24" s="43"/>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74" t="s">
        <v>17</v>
      </c>
      <c r="H26" s="75"/>
      <c r="I26" s="75"/>
      <c r="J26" s="75"/>
      <c r="K26" s="75"/>
      <c r="L26" s="75"/>
      <c r="M26" s="75"/>
      <c r="N26" s="76"/>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75" thickBot="1" x14ac:dyDescent="0.3">
      <c r="B43" s="20"/>
      <c r="C43" s="21"/>
      <c r="D43" s="21"/>
      <c r="E43" s="21"/>
      <c r="F43" s="21"/>
      <c r="G43" s="21"/>
      <c r="H43" s="21"/>
      <c r="I43" s="21"/>
      <c r="J43" s="21"/>
      <c r="K43" s="21"/>
      <c r="L43" s="21"/>
      <c r="M43" s="21"/>
      <c r="N43" s="22"/>
    </row>
    <row r="44" spans="2:14" ht="15.75" thickBot="1" x14ac:dyDescent="0.3"/>
    <row r="45" spans="2:14" ht="108.75" customHeight="1" thickBot="1" x14ac:dyDescent="0.3">
      <c r="B45" s="68" t="s">
        <v>129</v>
      </c>
      <c r="C45" s="69"/>
      <c r="D45" s="69"/>
      <c r="E45" s="69"/>
      <c r="F45" s="69"/>
      <c r="G45" s="69"/>
      <c r="H45" s="69"/>
      <c r="I45" s="69"/>
      <c r="J45" s="69"/>
      <c r="K45" s="69"/>
      <c r="L45" s="69"/>
      <c r="M45" s="69"/>
      <c r="N45" s="70"/>
    </row>
  </sheetData>
  <mergeCells count="4">
    <mergeCell ref="B45:N45"/>
    <mergeCell ref="C3:N3"/>
    <mergeCell ref="G7:N7"/>
    <mergeCell ref="G26:N26"/>
  </mergeCells>
  <pageMargins left="0.7" right="0.7" top="0.75" bottom="0.75"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IDFC OF</vt:lpstr>
      <vt:lpstr>IDFC CF</vt:lpstr>
      <vt:lpstr>IDFC LDF</vt:lpstr>
      <vt:lpstr>IDFC MMF</vt:lpstr>
      <vt:lpstr>IDFC USTF</vt:lpstr>
      <vt:lpstr>IDFC DBF</vt:lpstr>
      <vt:lpstr>IDFC BOND IP</vt:lpstr>
      <vt:lpstr>IDFC BOND MT</vt:lpstr>
      <vt:lpstr>IDFC BOND ST</vt:lpstr>
      <vt:lpstr>IDFC BPDF</vt:lpstr>
      <vt:lpstr>IDFC-CBF</vt:lpstr>
      <vt:lpstr>IDFC FRF</vt:lpstr>
      <vt:lpstr>IDFC CRF</vt:lpstr>
      <vt:lpstr>IDFC GSF-IP</vt:lpstr>
      <vt:lpstr>IDFC GSF - CMP</vt:lpstr>
      <vt:lpstr>IDFC GIF 2027</vt:lpstr>
      <vt:lpstr>IDFC GIF 2028</vt:lpstr>
      <vt:lpstr>IDFC ASBF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 Menon</dc:creator>
  <cp:lastModifiedBy>IDFCMF Products2</cp:lastModifiedBy>
  <dcterms:created xsi:type="dcterms:W3CDTF">2022-01-03T03:16:19Z</dcterms:created>
  <dcterms:modified xsi:type="dcterms:W3CDTF">2022-01-03T05:33:53Z</dcterms:modified>
</cp:coreProperties>
</file>