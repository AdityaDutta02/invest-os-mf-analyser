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MONTH END DELIVERABLES-1\Portfolios_All\2021\Dec 2021\"/>
    </mc:Choice>
  </mc:AlternateContent>
  <xr:revisionPtr revIDLastSave="0" documentId="13_ncr:1_{A813EE01-CC9B-4430-8E4B-6E4C7B5547CA}" xr6:coauthVersionLast="36" xr6:coauthVersionMax="36" xr10:uidLastSave="{00000000-0000-0000-0000-000000000000}"/>
  <bookViews>
    <workbookView xWindow="0" yWindow="0" windowWidth="20490" windowHeight="7545" xr2:uid="{F82796E9-2AFC-4188-A109-3C10B873F47E}"/>
  </bookViews>
  <sheets>
    <sheet name="IDFC CF" sheetId="7" r:id="rId1"/>
    <sheet name="IDFC OF" sheetId="16" r:id="rId2"/>
    <sheet name="IDFC LDF" sheetId="14" r:id="rId3"/>
    <sheet name="IDFC MMF" sheetId="15" r:id="rId4"/>
    <sheet name="IDFC USTF" sheetId="17"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2" r:id="rId14"/>
    <sheet name="IDFC GSF - CMP" sheetId="13" r:id="rId15"/>
    <sheet name="IDFC GIF 2027" sheetId="18" r:id="rId16"/>
    <sheet name="IDFC GIF 2028" sheetId="19" r:id="rId17"/>
    <sheet name="IDFC ASBF" sheetId="2" r:id="rId1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19" l="1"/>
  <c r="K10" i="19"/>
  <c r="K9" i="19"/>
  <c r="K11" i="18"/>
  <c r="K10" i="18"/>
  <c r="K9" i="18"/>
  <c r="H10" i="9"/>
  <c r="H8" i="9"/>
  <c r="H8" i="11"/>
</calcChain>
</file>

<file path=xl/sharedStrings.xml><?xml version="1.0" encoding="utf-8"?>
<sst xmlns="http://schemas.openxmlformats.org/spreadsheetml/2006/main" count="1009" uniqueCount="203">
  <si>
    <t>IDFC ALL SEASONS BOND FUND (30 November, 2021 )</t>
  </si>
  <si>
    <t>Name</t>
  </si>
  <si>
    <t>Rating</t>
  </si>
  <si>
    <t>Total</t>
  </si>
  <si>
    <t>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</si>
  <si>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</si>
  <si>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</si>
  <si>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</si>
  <si>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</si>
  <si>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</si>
  <si>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</si>
  <si>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</si>
  <si>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</si>
  <si>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</si>
  <si>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</si>
  <si>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</si>
  <si>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</si>
  <si>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</si>
  <si>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(30 November, 2021 )</t>
  </si>
  <si>
    <t>Axis Bank Limited</t>
  </si>
  <si>
    <t xml:space="preserve"> A1+</t>
  </si>
  <si>
    <t>Export Import Bank of India</t>
  </si>
  <si>
    <t>Certificate of Deposit Total</t>
  </si>
  <si>
    <t>Housing Development Finance Corporation Limited</t>
  </si>
  <si>
    <t>Commercial Paper Total</t>
  </si>
  <si>
    <t>National Bank For Agriculture and Rural Development</t>
  </si>
  <si>
    <t xml:space="preserve"> AAA</t>
  </si>
  <si>
    <t>Power Finance Corporation Limited</t>
  </si>
  <si>
    <t>REC Limited</t>
  </si>
  <si>
    <t>Indian Railway Finance Corporation Limited</t>
  </si>
  <si>
    <t>Hindustan Petroleum Corporation Limited</t>
  </si>
  <si>
    <t>National Highways Auth Of Ind</t>
  </si>
  <si>
    <t>National Housing Bank</t>
  </si>
  <si>
    <t>Small Industries Dev Bank of India</t>
  </si>
  <si>
    <t>ICICI Bank Limited</t>
  </si>
  <si>
    <t>Reliance Industries Limited</t>
  </si>
  <si>
    <t>Power Grid Corporation of India Limited</t>
  </si>
  <si>
    <t>Housing &amp; Urban Development Corporation Limited</t>
  </si>
  <si>
    <t>LIC Housing Finance Limited</t>
  </si>
  <si>
    <t>NTPC Limited</t>
  </si>
  <si>
    <t>Indian Oil Corporation Limited</t>
  </si>
  <si>
    <t>NHPC Limited</t>
  </si>
  <si>
    <t>Larsen &amp; Toubro Limited</t>
  </si>
  <si>
    <t>Oil &amp; Natural Gas Corporation Limited</t>
  </si>
  <si>
    <t>Bajaj Finance Limited</t>
  </si>
  <si>
    <t>Tata Sons Private Ltd</t>
  </si>
  <si>
    <t>Corporate Bond Total</t>
  </si>
  <si>
    <t>Kotak Mahindra Bank Limited</t>
  </si>
  <si>
    <t>Floating Rate Note Total</t>
  </si>
  <si>
    <t>7.32% GOI (MD 28/01/2024)</t>
  </si>
  <si>
    <t>SOV</t>
  </si>
  <si>
    <t>7.37% GOI (MD 16/04/2023)</t>
  </si>
  <si>
    <t>7.16% GOI (MD 20/05/2023)</t>
  </si>
  <si>
    <t>4.26% GOI (MD 17/05/2023)</t>
  </si>
  <si>
    <t>7.68% GOI (MD 15/12/2023)</t>
  </si>
  <si>
    <t>8.13% GOI (MD 21/09/2022)</t>
  </si>
  <si>
    <t>Government Bond Total</t>
  </si>
  <si>
    <t>State Government Bond Total</t>
  </si>
  <si>
    <t>Zero Coupon Bond Total</t>
  </si>
  <si>
    <t>Certificate of Deposit</t>
  </si>
  <si>
    <t>Corporate Bond</t>
  </si>
  <si>
    <t>Commercial Paper</t>
  </si>
  <si>
    <t>Floating Rate Note</t>
  </si>
  <si>
    <t>Government Bond</t>
  </si>
  <si>
    <t>State Government Bond</t>
  </si>
  <si>
    <t>Zero Coupon Bond</t>
  </si>
  <si>
    <t>IDFC BOND FUND - INCOME PLAN (30 November, 2021 )</t>
  </si>
  <si>
    <t>5.63% GOI (MD 12/04/2026)</t>
  </si>
  <si>
    <t>6.1% GOI (MD 12/07/2031)</t>
  </si>
  <si>
    <t>7.73% GOI (MD 19/12/2034)</t>
  </si>
  <si>
    <t>IDFC BOND FUND - MEDIUM TERM PLAN (30 November, 2021 )</t>
  </si>
  <si>
    <t>Kotak Mahindra Prime Limited</t>
  </si>
  <si>
    <t>7.17% GOI (MD 08/01/2028)</t>
  </si>
  <si>
    <t>6.79% GOI (MD 15/05/2027)</t>
  </si>
  <si>
    <t>8.24% GOI (MD 15/02/2027)</t>
  </si>
  <si>
    <t xml:space="preserve"> AAA(SO)</t>
  </si>
  <si>
    <t>PTC Total</t>
  </si>
  <si>
    <t>PTC</t>
  </si>
  <si>
    <t>IDFC BOND FUND - SHORT TERM PLAN (30 November, 2021 )</t>
  </si>
  <si>
    <t>8.28% GOI (M/D 21/09/2027)</t>
  </si>
  <si>
    <t>IDFC CASH FUND (30 November, 2021 )</t>
  </si>
  <si>
    <t>Reliance Jio Infocomm Limited</t>
  </si>
  <si>
    <t>Reliance Retail Ventures Limited</t>
  </si>
  <si>
    <t>HDFC Securities Limited</t>
  </si>
  <si>
    <t>ICICI Securities Limited</t>
  </si>
  <si>
    <t>91 Days Tbill (MD 02/12/2021)</t>
  </si>
  <si>
    <t>91 Days Tbill (MD 23/12/2021)</t>
  </si>
  <si>
    <t>182 Days Tbill (MD 09/12/2021)</t>
  </si>
  <si>
    <t>91 Days Tbill (MD 09/12/2021)</t>
  </si>
  <si>
    <t>364 Days Tbill (MD 23/12/2021)</t>
  </si>
  <si>
    <t>182 Days Tbill (MD 23/12/2021)</t>
  </si>
  <si>
    <t>182 Days Tbill (MD 16/12/2021)</t>
  </si>
  <si>
    <t>Treasury Bill Total</t>
  </si>
  <si>
    <t>Treasury Bill</t>
  </si>
  <si>
    <t>IDFC CORPORATE BOND FUND (30 November, 2021 )</t>
  </si>
  <si>
    <t>UltraTech Cement Limited</t>
  </si>
  <si>
    <t>Mahindra &amp; Mahindra Limited</t>
  </si>
  <si>
    <t>HDB Financial Services Limited</t>
  </si>
  <si>
    <t>5.22% GOI (MD 15/06/2025)</t>
  </si>
  <si>
    <t>IDFC CREDIT RISK FUND (30 November, 2021 )</t>
  </si>
  <si>
    <t xml:space="preserve"> AA(CE)</t>
  </si>
  <si>
    <t>Bharti Hexacom Limited</t>
  </si>
  <si>
    <t xml:space="preserve"> AA+</t>
  </si>
  <si>
    <t>Summit Digitel Infrastructure Private Limited</t>
  </si>
  <si>
    <t>Tata Steel Limited</t>
  </si>
  <si>
    <t>Hindalco Industries Limited</t>
  </si>
  <si>
    <t xml:space="preserve"> AA</t>
  </si>
  <si>
    <t>Tata Power Company Limited</t>
  </si>
  <si>
    <t>AA+</t>
  </si>
  <si>
    <t>AA</t>
  </si>
  <si>
    <t>IDFC DYNAMIC BOND FUND (30 November, 2021 )</t>
  </si>
  <si>
    <t>8.20% GOI (MD 24/09/2025)</t>
  </si>
  <si>
    <t>IDFC FLOATING RATE FUND (30 November, 2021 )</t>
  </si>
  <si>
    <t>Kotak Mahindra Investments Limited</t>
  </si>
  <si>
    <t>Sikka Ports and Terminals Limited</t>
  </si>
  <si>
    <t>Jamnagar Utilities &amp; Power Private Limited</t>
  </si>
  <si>
    <t>GOI FRB 2024 (MD 07/11/2024)</t>
  </si>
  <si>
    <t>Interest Rate Swaps</t>
  </si>
  <si>
    <t>IDFC GOVERNMENT SECURITIES FUND - INVESTMENT PLAN (30 November, 2021 )</t>
  </si>
  <si>
    <t>IDFC GOVERNMENT SECURITIES FUND-CONSTANT MATURITY (30 November, 2021 )</t>
  </si>
  <si>
    <t>IDFC LOW DURATION FUND (30 November, 2021 )</t>
  </si>
  <si>
    <t>Grasim Industries Limited</t>
  </si>
  <si>
    <t>8.33% GOI 2026 (M/D 09/07/2026)</t>
  </si>
  <si>
    <t>6.84% GOI (MD 19/12/2022)</t>
  </si>
  <si>
    <t>Sundaram Finance Limited</t>
  </si>
  <si>
    <t>IDFC MONEY MANAGER FUND (30 November, 2021 )</t>
  </si>
  <si>
    <t>8.20% GOI (MD 15/02/2022)</t>
  </si>
  <si>
    <t>182 Days Tbill (MD 02/12/2021)</t>
  </si>
  <si>
    <t>IDFC OVERNIGHT FUND (30 November, 2021 )</t>
  </si>
  <si>
    <t>IDFC ULTRA SHORT TERM FUND (30 November, 2021 )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</si>
  <si>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</si>
  <si>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8.05% Gujarat SDL (MD 25/02/2025)</t>
  </si>
  <si>
    <t>8.38% Haryana SDL (MD 27/01/2026)</t>
  </si>
  <si>
    <t>8.48% Karnataka SDL (MD 17/10/2022)</t>
  </si>
  <si>
    <t>4.75% Haryana SDL (MD 06/05/2022)</t>
  </si>
  <si>
    <t>8.75% Tamilnadu SDL (MD 22/02/2022)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</si>
  <si>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</si>
  <si>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</si>
  <si>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</si>
  <si>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</si>
  <si>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</si>
  <si>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</si>
  <si>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</si>
  <si>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 NADU SDL (MD 05/09/2022)</t>
  </si>
  <si>
    <t>8.90% TAMILNADU SDL(MD/20/09/2022)</t>
  </si>
  <si>
    <t>8.86% Tamil Nadu SDL (MD 03/10/2022)</t>
  </si>
  <si>
    <t>8.79% Gujrat SDL (MD 25/10/2022)</t>
  </si>
  <si>
    <t>8.85% Maharashtra SDL (MD 03/10/2022)</t>
  </si>
  <si>
    <t>8.90% RAJASTHAN SDL - (MD 20/09/2022)</t>
  </si>
  <si>
    <t>7.42% Maharashtra SDL (MD 11/05/2022)</t>
  </si>
  <si>
    <t>4.54% Maharashtra SDL (MD 03/06/2022)</t>
  </si>
  <si>
    <t>6.64% Rajasthan SDL (MD 25/09/2022)</t>
  </si>
  <si>
    <t>8.99% Madhya Pradesh SDL (MD 07/03/2022)</t>
  </si>
  <si>
    <t>8.79% Maharashtra SDL (MD 21/12/2021)</t>
  </si>
  <si>
    <t>8.90% Andhra pradesh SDL (MD 04/07/2022)</t>
  </si>
  <si>
    <t>8.84% Gujrat SDL (MD 17/10/2022)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</si>
  <si>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</si>
  <si>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</si>
  <si>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</si>
  <si>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</si>
  <si>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</si>
  <si>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</si>
  <si>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</si>
  <si>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</si>
  <si>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</si>
  <si>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</si>
  <si>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</si>
  <si>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</si>
  <si>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</si>
  <si>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</si>
  <si>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5.93% ODISHA SDL (MD 08/04/2022)</t>
  </si>
  <si>
    <t>5.41% Andhra Pradesh SDL (MD 12/08/2024)</t>
  </si>
  <si>
    <t>5.68% Maharashtra SDL (MD 23/09/2024)</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</si>
  <si>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</si>
  <si>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</si>
  <si>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</si>
  <si>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</si>
  <si>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</si>
  <si>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</si>
  <si>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</si>
  <si>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</si>
  <si>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</si>
  <si>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</si>
  <si>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</si>
  <si>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</si>
  <si>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</si>
  <si>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</si>
  <si>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</si>
  <si>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</si>
  <si>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</si>
  <si>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</si>
  <si>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9.10% Tamil Nadu SDL(MD 09/05/2022)</t>
  </si>
  <si>
    <t>^PTC originated by Reliance Industries Limited</t>
  </si>
  <si>
    <t>First Business Receivables Trust^</t>
  </si>
  <si>
    <t>* Corporate Guarantee from Tata Power</t>
  </si>
  <si>
    <t>^^AT1 Bonds under Basel III</t>
  </si>
  <si>
    <t>IndusInd Bank Limited^^</t>
  </si>
  <si>
    <t>Bank of Baroda^^</t>
  </si>
  <si>
    <t>Indian Bank^^</t>
  </si>
  <si>
    <t>IDFC GILT 2027 INDEX FUND (30 November, 2021 )</t>
  </si>
  <si>
    <t xml:space="preserve"> IDFC GILT 2028 INDEX FUND (30 November, 2021 )</t>
  </si>
  <si>
    <t>Tata Power Renewable Energy Limited*</t>
  </si>
  <si>
    <t>National Highways Auth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</si>
</sst>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Black]\(0.00%\)"/>
    <numFmt numFmtId="165" formatCode="0.000%;[Black]\(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30">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165" fontId="1" fillId="0" borderId="2" xfId="0" applyNumberFormat="1" applyFont="1" applyBorder="1" applyAlignment="1">
      <alignment vertic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1" fillId="0" borderId="29" xfId="0" applyFont="1" applyBorder="1" applyAlignment="1">
      <alignment vertical="center"/>
    </xf>
    <xf numFmtId="164" fontId="1" fillId="0" borderId="29" xfId="0" applyNumberFormat="1" applyFont="1" applyBorder="1" applyAlignment="1">
      <alignment vertical="center"/>
    </xf>
    <xf numFmtId="0" fontId="0" fillId="0" borderId="0" xfId="0" applyFill="1" applyBorder="1"/>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25" xfId="0" applyBorder="1" applyAlignment="1">
      <alignment horizontal="center" vertical="center"/>
    </xf>
    <xf numFmtId="0" fontId="0" fillId="0" borderId="25"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357-4496-8D71-BFB89FBA8BF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2357-4496-8D71-BFB89FBA8BF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141-466C-9E46-AEB0A43447BE}"/>
                </c:ext>
              </c:extLst>
            </c:dLbl>
            <c:dLbl>
              <c:idx val="1"/>
              <c:layout>
                <c:manualLayout>
                  <c:x val="-0.14047969110927508"/>
                  <c:y val="-0.150793963254593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141-466C-9E46-AEB0A43447B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141-466C-9E46-AEB0A43447BE}"/>
                </c:ext>
              </c:extLst>
            </c:dLbl>
            <c:dLbl>
              <c:idx val="3"/>
              <c:layout>
                <c:manualLayout>
                  <c:x val="6.1868181894822023E-2"/>
                  <c:y val="8.14394253349910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141-466C-9E46-AEB0A43447B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141-466C-9E46-AEB0A43447B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CF'!$J$9:$J$13</c:f>
              <c:strCache>
                <c:ptCount val="5"/>
                <c:pt idx="0">
                  <c:v>Net Current Asset</c:v>
                </c:pt>
                <c:pt idx="1">
                  <c:v>TRI Party Repo</c:v>
                </c:pt>
                <c:pt idx="2">
                  <c:v>Corporate Bond</c:v>
                </c:pt>
                <c:pt idx="3">
                  <c:v>Commercial Paper</c:v>
                </c:pt>
                <c:pt idx="4">
                  <c:v>Treasury Bill</c:v>
                </c:pt>
              </c:strCache>
            </c:strRef>
          </c:cat>
          <c:val>
            <c:numRef>
              <c:f>'IDFC CF'!$K$9:$K$13</c:f>
              <c:numCache>
                <c:formatCode>0.00%</c:formatCode>
                <c:ptCount val="5"/>
                <c:pt idx="0">
                  <c:v>3.6819999999999999E-3</c:v>
                </c:pt>
                <c:pt idx="1">
                  <c:v>0.35889300000000002</c:v>
                </c:pt>
                <c:pt idx="2">
                  <c:v>6.0725000000000001E-2</c:v>
                </c:pt>
                <c:pt idx="3">
                  <c:v>0.347055</c:v>
                </c:pt>
                <c:pt idx="4">
                  <c:v>0.22964499999999999</c:v>
                </c:pt>
              </c:numCache>
            </c:numRef>
          </c:val>
          <c:extLst>
            <c:ext xmlns:c16="http://schemas.microsoft.com/office/drawing/2014/chart" uri="{C3380CC4-5D6E-409C-BE32-E72D297353CC}">
              <c16:uniqueId val="{0000000C-6141-466C-9E46-AEB0A43447B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BDD-4BD5-A975-19FCB57DF58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4BDD-4BD5-A975-19FCB57DF58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5B0-4B82-9F17-8D63063E4BEA}"/>
                </c:ext>
              </c:extLst>
            </c:dLbl>
            <c:dLbl>
              <c:idx val="1"/>
              <c:layout>
                <c:manualLayout>
                  <c:x val="-0.40050346490414607"/>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5B0-4B82-9F17-8D63063E4BE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5.0379999999999999E-3</c:v>
                </c:pt>
                <c:pt idx="1">
                  <c:v>0.99496200000000001</c:v>
                </c:pt>
              </c:numCache>
            </c:numRef>
          </c:val>
          <c:extLst>
            <c:ext xmlns:c16="http://schemas.microsoft.com/office/drawing/2014/chart" uri="{C3380CC4-5D6E-409C-BE32-E72D297353CC}">
              <c16:uniqueId val="{0000000C-45B0-4B82-9F17-8D63063E4BE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DA9-445D-8E67-CD5F6081B5E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0.00%</c:formatCode>
                <c:ptCount val="1"/>
                <c:pt idx="0">
                  <c:v>1</c:v>
                </c:pt>
              </c:numCache>
            </c:numRef>
          </c:val>
          <c:extLst>
            <c:ext xmlns:c16="http://schemas.microsoft.com/office/drawing/2014/chart" uri="{C3380CC4-5D6E-409C-BE32-E72D297353CC}">
              <c16:uniqueId val="{0000000C-ADA9-445D-8E67-CD5F6081B5E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9.995026050009273E-2"/>
                  <c:y val="7.754999956878336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47C-4FE1-89CB-68111E79C915}"/>
                </c:ext>
              </c:extLst>
            </c:dLbl>
            <c:dLbl>
              <c:idx val="1"/>
              <c:layout>
                <c:manualLayout>
                  <c:x val="3.9133268138056621E-2"/>
                  <c:y val="-0.145167872635854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47C-4FE1-89CB-68111E79C915}"/>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47C-4FE1-89CB-68111E79C915}"/>
                </c:ext>
              </c:extLst>
            </c:dLbl>
            <c:dLbl>
              <c:idx val="3"/>
              <c:layout>
                <c:manualLayout>
                  <c:x val="5.0491493702473488E-2"/>
                  <c:y val="9.61081836292916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47C-4FE1-89CB-68111E79C91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47C-4FE1-89CB-68111E79C915}"/>
                </c:ext>
              </c:extLst>
            </c:dLbl>
            <c:dLbl>
              <c:idx val="5"/>
              <c:layout>
                <c:manualLayout>
                  <c:x val="0.17499199109747257"/>
                  <c:y val="0.533856197876689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47C-4FE1-89CB-68111E79C915}"/>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47C-4FE1-89CB-68111E79C915}"/>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47C-4FE1-89CB-68111E79C915}"/>
                </c:ext>
              </c:extLst>
            </c:dLbl>
            <c:dLbl>
              <c:idx val="8"/>
              <c:layout>
                <c:manualLayout>
                  <c:x val="3.3967020182434369E-3"/>
                  <c:y val="-0.250224663866633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647C-4FE1-89CB-68111E79C915}"/>
                </c:ext>
              </c:extLst>
            </c:dLbl>
            <c:dLbl>
              <c:idx val="9"/>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647C-4FE1-89CB-68111E79C915}"/>
                </c:ext>
              </c:extLst>
            </c:dLbl>
            <c:dLbl>
              <c:idx val="1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7-647C-4FE1-89CB-68111E79C91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LDF'!$J$9:$J$19</c:f>
              <c:strCache>
                <c:ptCount val="11"/>
                <c:pt idx="0">
                  <c:v>Net Current Asset</c:v>
                </c:pt>
                <c:pt idx="1">
                  <c:v>TRI Party Repo</c:v>
                </c:pt>
                <c:pt idx="2">
                  <c:v>Certificate of Deposit</c:v>
                </c:pt>
                <c:pt idx="3">
                  <c:v>Corporate Bond</c:v>
                </c:pt>
                <c:pt idx="4">
                  <c:v>Commercial Paper</c:v>
                </c:pt>
                <c:pt idx="5">
                  <c:v>Floating Rate Note</c:v>
                </c:pt>
                <c:pt idx="6">
                  <c:v>Government Bond</c:v>
                </c:pt>
                <c:pt idx="8">
                  <c:v>State Government Bond</c:v>
                </c:pt>
                <c:pt idx="9">
                  <c:v>Treasury Bill</c:v>
                </c:pt>
                <c:pt idx="10">
                  <c:v>Zero Coupon Bond</c:v>
                </c:pt>
              </c:strCache>
            </c:strRef>
          </c:cat>
          <c:val>
            <c:numRef>
              <c:f>'IDFC LDF'!$K$9:$K$19</c:f>
              <c:numCache>
                <c:formatCode>0.00%</c:formatCode>
                <c:ptCount val="11"/>
                <c:pt idx="0">
                  <c:v>1.3827000000000001E-2</c:v>
                </c:pt>
                <c:pt idx="1">
                  <c:v>0.16586699999999999</c:v>
                </c:pt>
                <c:pt idx="2">
                  <c:v>6.0421000000000002E-2</c:v>
                </c:pt>
                <c:pt idx="3">
                  <c:v>0.39226299999999997</c:v>
                </c:pt>
                <c:pt idx="4">
                  <c:v>0.13502500000000001</c:v>
                </c:pt>
                <c:pt idx="5">
                  <c:v>1.2359999999999999E-2</c:v>
                </c:pt>
                <c:pt idx="6">
                  <c:v>1.3155E-2</c:v>
                </c:pt>
                <c:pt idx="8">
                  <c:v>1.4459E-2</c:v>
                </c:pt>
                <c:pt idx="9">
                  <c:v>0.17889099999999999</c:v>
                </c:pt>
                <c:pt idx="10">
                  <c:v>1.3733E-2</c:v>
                </c:pt>
              </c:numCache>
            </c:numRef>
          </c:val>
          <c:extLst>
            <c:ext xmlns:c16="http://schemas.microsoft.com/office/drawing/2014/chart" uri="{C3380CC4-5D6E-409C-BE32-E72D297353CC}">
              <c16:uniqueId val="{0000000C-647C-4FE1-89CB-68111E79C91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612-451D-A634-F86A66B1454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6612-451D-A634-F86A66B1454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FF1-4815-94B5-6451C4C481B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FF1-4815-94B5-6451C4C481BC}"/>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FF1-4815-94B5-6451C4C481BC}"/>
                </c:ext>
              </c:extLst>
            </c:dLbl>
            <c:dLbl>
              <c:idx val="3"/>
              <c:layout>
                <c:manualLayout>
                  <c:x val="7.0976580282925014E-2"/>
                  <c:y val="1.08872190758527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FF1-4815-94B5-6451C4C481B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FF1-4815-94B5-6451C4C481B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FF1-4815-94B5-6451C4C481B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FF1-4815-94B5-6451C4C481B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1.029E-3</c:v>
                </c:pt>
                <c:pt idx="1">
                  <c:v>0.20244799999999999</c:v>
                </c:pt>
                <c:pt idx="2">
                  <c:v>0.15145500000000001</c:v>
                </c:pt>
                <c:pt idx="3">
                  <c:v>0.34636899999999998</c:v>
                </c:pt>
                <c:pt idx="4">
                  <c:v>1.273E-3</c:v>
                </c:pt>
                <c:pt idx="5">
                  <c:v>0.12945000000000001</c:v>
                </c:pt>
                <c:pt idx="6">
                  <c:v>0.16797599999999999</c:v>
                </c:pt>
              </c:numCache>
            </c:numRef>
          </c:val>
          <c:extLst>
            <c:ext xmlns:c16="http://schemas.microsoft.com/office/drawing/2014/chart" uri="{C3380CC4-5D6E-409C-BE32-E72D297353CC}">
              <c16:uniqueId val="{0000000C-1FF1-4815-94B5-6451C4C481B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24340319346"/>
                  <c:y val="-6.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319-43A8-9D3A-D1971BBCF9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0319-43A8-9D3A-D1971BBCF97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876-4775-9395-3203081F737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876-4775-9395-3203081F737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876-4775-9395-3203081F7376}"/>
                </c:ext>
              </c:extLst>
            </c:dLbl>
            <c:dLbl>
              <c:idx val="3"/>
              <c:layout>
                <c:manualLayout>
                  <c:x val="-2.9788143452089903E-2"/>
                  <c:y val="4.38157377833193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876-4775-9395-3203081F7376}"/>
                </c:ext>
              </c:extLst>
            </c:dLbl>
            <c:dLbl>
              <c:idx val="4"/>
              <c:layout>
                <c:manualLayout>
                  <c:x val="5.0398843345866563E-2"/>
                  <c:y val="0.282360838300852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876-4775-9395-3203081F7376}"/>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876-4775-9395-3203081F7376}"/>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876-4775-9395-3203081F7376}"/>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876-4775-9395-3203081F7376}"/>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C876-4775-9395-3203081F73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USTF'!$J$9:$J$17</c:f>
              <c:strCache>
                <c:ptCount val="9"/>
                <c:pt idx="0">
                  <c:v>Net Current Asset</c:v>
                </c:pt>
                <c:pt idx="1">
                  <c:v>TRI Party Repo</c:v>
                </c:pt>
                <c:pt idx="2">
                  <c:v>Certificate of Deposit</c:v>
                </c:pt>
                <c:pt idx="3">
                  <c:v>Corporate Bond</c:v>
                </c:pt>
                <c:pt idx="4">
                  <c:v>Commercial Paper</c:v>
                </c:pt>
                <c:pt idx="5">
                  <c:v>Floating Rate Note</c:v>
                </c:pt>
                <c:pt idx="6">
                  <c:v>State Government Bond</c:v>
                </c:pt>
                <c:pt idx="7">
                  <c:v>Treasury Bill</c:v>
                </c:pt>
                <c:pt idx="8">
                  <c:v>Zero Coupon Bond</c:v>
                </c:pt>
              </c:strCache>
            </c:strRef>
          </c:cat>
          <c:val>
            <c:numRef>
              <c:f>'IDFC USTF'!$K$9:$K$17</c:f>
              <c:numCache>
                <c:formatCode>0.00%</c:formatCode>
                <c:ptCount val="9"/>
                <c:pt idx="0">
                  <c:v>2.3376999999999998E-2</c:v>
                </c:pt>
                <c:pt idx="1">
                  <c:v>0.242367</c:v>
                </c:pt>
                <c:pt idx="2">
                  <c:v>7.4098999999999998E-2</c:v>
                </c:pt>
                <c:pt idx="3">
                  <c:v>0.25651800000000002</c:v>
                </c:pt>
                <c:pt idx="4">
                  <c:v>0.276866</c:v>
                </c:pt>
                <c:pt idx="5">
                  <c:v>2.1371000000000001E-2</c:v>
                </c:pt>
                <c:pt idx="6">
                  <c:v>3.2780000000000001E-3</c:v>
                </c:pt>
                <c:pt idx="7">
                  <c:v>7.5764999999999999E-2</c:v>
                </c:pt>
                <c:pt idx="8">
                  <c:v>2.6359E-2</c:v>
                </c:pt>
              </c:numCache>
            </c:numRef>
          </c:val>
          <c:extLst>
            <c:ext xmlns:c16="http://schemas.microsoft.com/office/drawing/2014/chart" uri="{C3380CC4-5D6E-409C-BE32-E72D297353CC}">
              <c16:uniqueId val="{0000000C-C876-4775-9395-3203081F737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E7-40F4-9E1D-ABBE82747E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86E7-40F4-9E1D-ABBE82747EC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60E-40C3-A1C5-A581575C5781}"/>
                </c:ext>
              </c:extLst>
            </c:dLbl>
            <c:dLbl>
              <c:idx val="1"/>
              <c:layout>
                <c:manualLayout>
                  <c:x val="-3.4906337992547505E-2"/>
                  <c:y val="0.1220034995625546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60E-40C3-A1C5-A581575C578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60E-40C3-A1C5-A581575C578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5.9500000000000004E-4</c:v>
                </c:pt>
                <c:pt idx="1">
                  <c:v>0.75341800000000003</c:v>
                </c:pt>
                <c:pt idx="2">
                  <c:v>0.24598700000000001</c:v>
                </c:pt>
              </c:numCache>
            </c:numRef>
          </c:val>
          <c:extLst>
            <c:ext xmlns:c16="http://schemas.microsoft.com/office/drawing/2014/chart" uri="{C3380CC4-5D6E-409C-BE32-E72D297353CC}">
              <c16:uniqueId val="{0000000C-460E-40C3-A1C5-A581575C578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2F2-47EF-8B14-6778890EE85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52F2-47EF-8B14-6778890EE85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54-4354-AF39-1A4BF70D37B9}"/>
                </c:ext>
              </c:extLst>
            </c:dLbl>
            <c:dLbl>
              <c:idx val="1"/>
              <c:layout>
                <c:manualLayout>
                  <c:x val="-4.6683639919742365E-2"/>
                  <c:y val="0.166183377077865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454-4354-AF39-1A4BF70D37B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454-4354-AF39-1A4BF70D37B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2.8600000000000001E-3</c:v>
                </c:pt>
                <c:pt idx="1">
                  <c:v>0.688948</c:v>
                </c:pt>
                <c:pt idx="2">
                  <c:v>0.30819200000000002</c:v>
                </c:pt>
              </c:numCache>
            </c:numRef>
          </c:val>
          <c:extLst>
            <c:ext xmlns:c16="http://schemas.microsoft.com/office/drawing/2014/chart" uri="{C3380CC4-5D6E-409C-BE32-E72D297353CC}">
              <c16:uniqueId val="{0000000C-A454-4354-AF39-1A4BF70D37B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8F3-4E4E-8D54-C2338A40A57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28F3-4E4E-8D54-C2338A40A57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0.19307761048070277"/>
                  <c:y val="2.61912260967379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E4A-4D71-8D0F-0902AD1BDA3B}"/>
                </c:ext>
              </c:extLst>
            </c:dLbl>
            <c:dLbl>
              <c:idx val="1"/>
              <c:layout>
                <c:manualLayout>
                  <c:x val="-6.916757996256892E-2"/>
                  <c:y val="0.2347889590724236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E4A-4D71-8D0F-0902AD1BDA3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E4A-4D71-8D0F-0902AD1BDA3B}"/>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E4A-4D71-8D0F-0902AD1BDA3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E4A-4D71-8D0F-0902AD1BDA3B}"/>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E4A-4D71-8D0F-0902AD1BDA3B}"/>
                </c:ext>
              </c:extLst>
            </c:dLbl>
            <c:dLbl>
              <c:idx val="6"/>
              <c:layout>
                <c:manualLayout>
                  <c:x val="0.21584633023655769"/>
                  <c:y val="4.213204118715929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E4A-4D71-8D0F-0902AD1BDA3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MT'!$J$9:$J$15</c:f>
              <c:strCache>
                <c:ptCount val="7"/>
                <c:pt idx="0">
                  <c:v>Net Current Asset</c:v>
                </c:pt>
                <c:pt idx="1">
                  <c:v>TRI Party Repo</c:v>
                </c:pt>
                <c:pt idx="2">
                  <c:v>Corporate Bond</c:v>
                </c:pt>
                <c:pt idx="3">
                  <c:v>Commercial Paper</c:v>
                </c:pt>
                <c:pt idx="4">
                  <c:v>Government Bond</c:v>
                </c:pt>
                <c:pt idx="5">
                  <c:v>PTC</c:v>
                </c:pt>
                <c:pt idx="6">
                  <c:v>State Government Bond</c:v>
                </c:pt>
              </c:strCache>
            </c:strRef>
          </c:cat>
          <c:val>
            <c:numRef>
              <c:f>'IDFC BOND MT'!$K$9:$K$15</c:f>
              <c:numCache>
                <c:formatCode>0.00%</c:formatCode>
                <c:ptCount val="7"/>
                <c:pt idx="0">
                  <c:v>4.2097000000000002E-2</c:v>
                </c:pt>
                <c:pt idx="1">
                  <c:v>0.60340400000000005</c:v>
                </c:pt>
                <c:pt idx="2">
                  <c:v>8.0591999999999997E-2</c:v>
                </c:pt>
                <c:pt idx="3">
                  <c:v>2.1281999999999999E-2</c:v>
                </c:pt>
                <c:pt idx="4">
                  <c:v>0.23355500000000001</c:v>
                </c:pt>
                <c:pt idx="5">
                  <c:v>9.1070000000000005E-3</c:v>
                </c:pt>
                <c:pt idx="6">
                  <c:v>9.9629999999999996E-3</c:v>
                </c:pt>
              </c:numCache>
            </c:numRef>
          </c:val>
          <c:extLst>
            <c:ext xmlns:c16="http://schemas.microsoft.com/office/drawing/2014/chart" uri="{C3380CC4-5D6E-409C-BE32-E72D297353CC}">
              <c16:uniqueId val="{0000000C-DE4A-4D71-8D0F-0902AD1BDA3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F80-448A-9BBE-3786C865E5A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8F80-448A-9BBE-3786C865E5A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3B2-4490-87FC-A538C6A3772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3B2-4490-87FC-A538C6A37728}"/>
                </c:ext>
              </c:extLst>
            </c:dLbl>
            <c:dLbl>
              <c:idx val="2"/>
              <c:layout>
                <c:manualLayout>
                  <c:x val="0.3957695290765314"/>
                  <c:y val="2.341470101873827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3B2-4490-87FC-A538C6A37728}"/>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3B2-4490-87FC-A538C6A37728}"/>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3B2-4490-87FC-A538C6A37728}"/>
                </c:ext>
              </c:extLst>
            </c:dLbl>
            <c:dLbl>
              <c:idx val="5"/>
              <c:layout>
                <c:manualLayout>
                  <c:x val="-7.0030012308418627E-2"/>
                  <c:y val="-7.35040655282616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3B2-4490-87FC-A538C6A377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ST'!$J$9:$J$14</c:f>
              <c:strCache>
                <c:ptCount val="6"/>
                <c:pt idx="0">
                  <c:v>Net Current Asset</c:v>
                </c:pt>
                <c:pt idx="1">
                  <c:v>TRI Party Repo</c:v>
                </c:pt>
                <c:pt idx="2">
                  <c:v>Corporate Bond</c:v>
                </c:pt>
                <c:pt idx="3">
                  <c:v>Commercial Paper</c:v>
                </c:pt>
                <c:pt idx="4">
                  <c:v>Government Bond</c:v>
                </c:pt>
                <c:pt idx="5">
                  <c:v>PTC</c:v>
                </c:pt>
              </c:strCache>
            </c:strRef>
          </c:cat>
          <c:val>
            <c:numRef>
              <c:f>'IDFC BOND ST'!$K$9:$K$14</c:f>
              <c:numCache>
                <c:formatCode>0.00%</c:formatCode>
                <c:ptCount val="6"/>
                <c:pt idx="0">
                  <c:v>2.2998999999999999E-2</c:v>
                </c:pt>
                <c:pt idx="1">
                  <c:v>0.243029</c:v>
                </c:pt>
                <c:pt idx="2">
                  <c:v>0.475964</c:v>
                </c:pt>
                <c:pt idx="3">
                  <c:v>3.8049999999999998E-3</c:v>
                </c:pt>
                <c:pt idx="4">
                  <c:v>0.249026</c:v>
                </c:pt>
                <c:pt idx="5">
                  <c:v>5.1770000000000002E-3</c:v>
                </c:pt>
              </c:numCache>
            </c:numRef>
          </c:val>
          <c:extLst>
            <c:ext xmlns:c16="http://schemas.microsoft.com/office/drawing/2014/chart" uri="{C3380CC4-5D6E-409C-BE32-E72D297353CC}">
              <c16:uniqueId val="{0000000C-C3B2-4490-87FC-A538C6A377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405286343612335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5A8-446C-B354-EBF037AAB26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75A8-446C-B354-EBF037AAB26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B54-49A5-93EC-8EFDFC1D73FE}"/>
                </c:ext>
              </c:extLst>
            </c:dLbl>
            <c:dLbl>
              <c:idx val="1"/>
              <c:layout>
                <c:manualLayout>
                  <c:x val="0.11856370871199987"/>
                  <c:y val="3.905511811023621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B54-49A5-93EC-8EFDFC1D73F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B54-49A5-93EC-8EFDFC1D73FE}"/>
                </c:ext>
              </c:extLst>
            </c:dLbl>
            <c:dLbl>
              <c:idx val="3"/>
              <c:layout>
                <c:manualLayout>
                  <c:x val="0.22207228245291608"/>
                  <c:y val="-3.4505068081959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B54-49A5-93EC-8EFDFC1D73FE}"/>
                </c:ext>
              </c:extLst>
            </c:dLbl>
            <c:dLbl>
              <c:idx val="4"/>
              <c:layout>
                <c:manualLayout>
                  <c:x val="-0.13090509028983796"/>
                  <c:y val="0.618530473746030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B54-49A5-93EC-8EFDFC1D73FE}"/>
                </c:ext>
              </c:extLst>
            </c:dLbl>
            <c:dLbl>
              <c:idx val="5"/>
              <c:layout>
                <c:manualLayout>
                  <c:x val="-0.16098214436257566"/>
                  <c:y val="-0.137608561360769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B54-49A5-93EC-8EFDFC1D73FE}"/>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B54-49A5-93EC-8EFDFC1D73FE}"/>
                </c:ext>
              </c:extLst>
            </c:dLbl>
            <c:dLbl>
              <c:idx val="7"/>
              <c:layout>
                <c:manualLayout>
                  <c:x val="-0.2668193697415232"/>
                  <c:y val="5.05029799451864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B54-49A5-93EC-8EFDFC1D73FE}"/>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BB54-49A5-93EC-8EFDFC1D73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BPDF'!$K$9:$K$17</c:f>
              <c:numCache>
                <c:formatCode>0.00%</c:formatCode>
                <c:ptCount val="9"/>
                <c:pt idx="0">
                  <c:v>2.8892999999999999E-2</c:v>
                </c:pt>
                <c:pt idx="1">
                  <c:v>4.9709999999999997E-3</c:v>
                </c:pt>
                <c:pt idx="2">
                  <c:v>4.9827999999999997E-2</c:v>
                </c:pt>
                <c:pt idx="3">
                  <c:v>0.80145699999999997</c:v>
                </c:pt>
                <c:pt idx="4">
                  <c:v>1.2153000000000001E-2</c:v>
                </c:pt>
                <c:pt idx="5">
                  <c:v>1.6069999999999999E-3</c:v>
                </c:pt>
                <c:pt idx="6">
                  <c:v>9.0509000000000006E-2</c:v>
                </c:pt>
                <c:pt idx="7">
                  <c:v>1.0423E-2</c:v>
                </c:pt>
                <c:pt idx="8">
                  <c:v>1.5899999999999999E-4</c:v>
                </c:pt>
              </c:numCache>
            </c:numRef>
          </c:val>
          <c:extLst>
            <c:ext xmlns:c16="http://schemas.microsoft.com/office/drawing/2014/chart" uri="{C3380CC4-5D6E-409C-BE32-E72D297353CC}">
              <c16:uniqueId val="{0000000C-BB54-49A5-93EC-8EFDFC1D73F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119838473081658"/>
                  <c:y val="-6.637168141592920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EF9-46F2-B9EE-5B85DAC19C7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0EF9-46F2-B9EE-5B85DAC19C7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212-4E9B-82B6-E88BF48B825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212-4E9B-82B6-E88BF48B8252}"/>
                </c:ext>
              </c:extLst>
            </c:dLbl>
            <c:dLbl>
              <c:idx val="2"/>
              <c:layout>
                <c:manualLayout>
                  <c:x val="-5.0683707363132066E-4"/>
                  <c:y val="0.103035247647713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212-4E9B-82B6-E88BF48B825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212-4E9B-82B6-E88BF48B825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212-4E9B-82B6-E88BF48B825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212-4E9B-82B6-E88BF48B825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212-4E9B-82B6-E88BF48B825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Net Current Asset</c:v>
                </c:pt>
                <c:pt idx="1">
                  <c:v>TRI Party Repo</c:v>
                </c:pt>
                <c:pt idx="2">
                  <c:v>Corporate Bond</c:v>
                </c:pt>
                <c:pt idx="3">
                  <c:v>Commercial Paper</c:v>
                </c:pt>
                <c:pt idx="4">
                  <c:v>Government Bond</c:v>
                </c:pt>
                <c:pt idx="5">
                  <c:v>State Government Bond</c:v>
                </c:pt>
                <c:pt idx="6">
                  <c:v>Zero Coupon Bond</c:v>
                </c:pt>
              </c:strCache>
            </c:strRef>
          </c:cat>
          <c:val>
            <c:numRef>
              <c:f>'IDFC-CBF'!$K$9:$K$15</c:f>
              <c:numCache>
                <c:formatCode>0.00%</c:formatCode>
                <c:ptCount val="7"/>
                <c:pt idx="0">
                  <c:v>3.2607999999999998E-2</c:v>
                </c:pt>
                <c:pt idx="1">
                  <c:v>1.6081000000000002E-2</c:v>
                </c:pt>
                <c:pt idx="2">
                  <c:v>0.70782400000000001</c:v>
                </c:pt>
                <c:pt idx="3">
                  <c:v>2.3890000000000001E-3</c:v>
                </c:pt>
                <c:pt idx="4">
                  <c:v>0.20372999999999999</c:v>
                </c:pt>
                <c:pt idx="5">
                  <c:v>3.7274000000000002E-2</c:v>
                </c:pt>
                <c:pt idx="6">
                  <c:v>9.3999999999999994E-5</c:v>
                </c:pt>
              </c:numCache>
            </c:numRef>
          </c:val>
          <c:extLst>
            <c:ext xmlns:c16="http://schemas.microsoft.com/office/drawing/2014/chart" uri="{C3380CC4-5D6E-409C-BE32-E72D297353CC}">
              <c16:uniqueId val="{0000000C-C212-4E9B-82B6-E88BF48B825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0110396398522989"/>
                  <c:y val="-7.70925110132158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A53-46CE-A946-F49A5831022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A53-46CE-A946-F49A5831022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0.96997199999999983</c:v>
                </c:pt>
                <c:pt idx="1">
                  <c:v>2.9973E-2</c:v>
                </c:pt>
              </c:numCache>
            </c:numRef>
          </c:val>
          <c:extLst>
            <c:ext xmlns:c16="http://schemas.microsoft.com/office/drawing/2014/chart" uri="{C3380CC4-5D6E-409C-BE32-E72D297353CC}">
              <c16:uniqueId val="{0000000C-2A53-46CE-A946-F49A5831022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86B-4711-85A0-3C9F7243DAF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86B-4711-85A0-3C9F7243DAF4}"/>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86B-4711-85A0-3C9F7243DAF4}"/>
                </c:ext>
              </c:extLst>
            </c:dLbl>
            <c:dLbl>
              <c:idx val="3"/>
              <c:layout>
                <c:manualLayout>
                  <c:x val="1.9929521657758519E-3"/>
                  <c:y val="7.15334369611565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86B-4711-85A0-3C9F7243DAF4}"/>
                </c:ext>
              </c:extLst>
            </c:dLbl>
            <c:dLbl>
              <c:idx val="4"/>
              <c:layout>
                <c:manualLayout>
                  <c:x val="7.1009121718457566E-2"/>
                  <c:y val="0.2521271734237103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86B-4711-85A0-3C9F7243DAF4}"/>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86B-4711-85A0-3C9F7243DAF4}"/>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86B-4711-85A0-3C9F7243DAF4}"/>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086B-4711-85A0-3C9F7243DAF4}"/>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086B-4711-85A0-3C9F7243DAF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8">
                  <c:v>Treasury Bill</c:v>
                </c:pt>
              </c:strCache>
            </c:strRef>
          </c:cat>
          <c:val>
            <c:numRef>
              <c:f>'IDFC FRF'!$K$9:$K$17</c:f>
              <c:numCache>
                <c:formatCode>0.00%</c:formatCode>
                <c:ptCount val="9"/>
                <c:pt idx="0">
                  <c:v>1.2963000000000001E-2</c:v>
                </c:pt>
                <c:pt idx="1">
                  <c:v>0.23300799999999999</c:v>
                </c:pt>
                <c:pt idx="2">
                  <c:v>1.2534999999999999E-2</c:v>
                </c:pt>
                <c:pt idx="3">
                  <c:v>0.32291300000000001</c:v>
                </c:pt>
                <c:pt idx="4">
                  <c:v>0.210788</c:v>
                </c:pt>
                <c:pt idx="5">
                  <c:v>0.131609</c:v>
                </c:pt>
                <c:pt idx="6">
                  <c:v>3.3707000000000001E-2</c:v>
                </c:pt>
                <c:pt idx="8">
                  <c:v>4.2417999999999997E-2</c:v>
                </c:pt>
              </c:numCache>
            </c:numRef>
          </c:val>
          <c:extLst>
            <c:ext xmlns:c16="http://schemas.microsoft.com/office/drawing/2014/chart" uri="{C3380CC4-5D6E-409C-BE32-E72D297353CC}">
              <c16:uniqueId val="{0000000C-086B-4711-85A0-3C9F7243DAF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8.0141884031091404E-2"/>
                  <c:y val="0.156003762803985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F36-4769-97A4-97DB5D9568A9}"/>
                </c:ext>
              </c:extLst>
            </c:dLbl>
            <c:dLbl>
              <c:idx val="1"/>
              <c:layout>
                <c:manualLayout>
                  <c:x val="2.6064678210726871E-2"/>
                  <c:y val="-6.40007664971082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F36-4769-97A4-97DB5D9568A9}"/>
                </c:ext>
              </c:extLst>
            </c:dLbl>
            <c:dLbl>
              <c:idx val="2"/>
              <c:layout>
                <c:manualLayout>
                  <c:x val="5.2985465949518626E-2"/>
                  <c:y val="-5.9478433558637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F36-4769-97A4-97DB5D9568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CRF'!$G$8:$G$10</c:f>
              <c:strCache>
                <c:ptCount val="3"/>
                <c:pt idx="0">
                  <c:v>AAA EQUIVALENT</c:v>
                </c:pt>
                <c:pt idx="1">
                  <c:v>AA+</c:v>
                </c:pt>
                <c:pt idx="2">
                  <c:v>AA</c:v>
                </c:pt>
              </c:strCache>
            </c:strRef>
          </c:cat>
          <c:val>
            <c:numRef>
              <c:f>'IDFC CRF'!$H$8:$H$10</c:f>
              <c:numCache>
                <c:formatCode>0.00%</c:formatCode>
                <c:ptCount val="3"/>
                <c:pt idx="0">
                  <c:v>0.68007099999999998</c:v>
                </c:pt>
                <c:pt idx="1">
                  <c:v>0.21260499999999999</c:v>
                </c:pt>
                <c:pt idx="2">
                  <c:v>0.107324</c:v>
                </c:pt>
              </c:numCache>
            </c:numRef>
          </c:val>
          <c:extLst>
            <c:ext xmlns:c16="http://schemas.microsoft.com/office/drawing/2014/chart" uri="{C3380CC4-5D6E-409C-BE32-E72D297353CC}">
              <c16:uniqueId val="{0000000C-4F36-4769-97A4-97DB5D9568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00F-46F9-9497-2FE35B12AE0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00F-46F9-9497-2FE35B12AE0B}"/>
                </c:ext>
              </c:extLst>
            </c:dLbl>
            <c:dLbl>
              <c:idx val="2"/>
              <c:layout>
                <c:manualLayout>
                  <c:x val="-0.12925609941155641"/>
                  <c:y val="1.16852461276038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00F-46F9-9497-2FE35B12AE0B}"/>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00F-46F9-9497-2FE35B12AE0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00F-46F9-9497-2FE35B12AE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2.1076000000000001E-2</c:v>
                </c:pt>
                <c:pt idx="1">
                  <c:v>0.25952999999999998</c:v>
                </c:pt>
                <c:pt idx="2">
                  <c:v>0.512324</c:v>
                </c:pt>
                <c:pt idx="3">
                  <c:v>0.1338</c:v>
                </c:pt>
                <c:pt idx="4">
                  <c:v>7.3270000000000002E-2</c:v>
                </c:pt>
              </c:numCache>
            </c:numRef>
          </c:val>
          <c:extLst>
            <c:ext xmlns:c16="http://schemas.microsoft.com/office/drawing/2014/chart" uri="{C3380CC4-5D6E-409C-BE32-E72D297353CC}">
              <c16:uniqueId val="{0000000C-700F-46F9-9497-2FE35B12AE0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209774233252963"/>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E96-4E11-ABFE-1832D6B77C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0E96-4E11-ABFE-1832D6B77C4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4A9-488B-8D0A-688762DDAF2A}"/>
                </c:ext>
              </c:extLst>
            </c:dLbl>
            <c:dLbl>
              <c:idx val="1"/>
              <c:layout>
                <c:manualLayout>
                  <c:x val="-5.4445952553575344E-2"/>
                  <c:y val="0.2239835520559929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4A9-488B-8D0A-688762DDAF2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4A9-488B-8D0A-688762DDAF2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2.4350000000000001E-3</c:v>
                </c:pt>
                <c:pt idx="1">
                  <c:v>0.68854000000000004</c:v>
                </c:pt>
                <c:pt idx="2">
                  <c:v>0.30902499999999999</c:v>
                </c:pt>
              </c:numCache>
            </c:numRef>
          </c:val>
          <c:extLst>
            <c:ext xmlns:c16="http://schemas.microsoft.com/office/drawing/2014/chart" uri="{C3380CC4-5D6E-409C-BE32-E72D297353CC}">
              <c16:uniqueId val="{0000000C-B4A9-488B-8D0A-688762DDAF2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C43-4DFF-A460-D2D005E168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9C43-4DFF-A460-D2D005E168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AC2-49A2-9F90-283930A4B343}"/>
                </c:ext>
              </c:extLst>
            </c:dLbl>
            <c:dLbl>
              <c:idx val="1"/>
              <c:layout>
                <c:manualLayout>
                  <c:x val="0.1244588511018563"/>
                  <c:y val="-1.05938757655293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AC2-49A2-9F90-283930A4B343}"/>
                </c:ext>
              </c:extLst>
            </c:dLbl>
            <c:dLbl>
              <c:idx val="2"/>
              <c:layout>
                <c:manualLayout>
                  <c:x val="-9.0951541924497128E-2"/>
                  <c:y val="7.42537182852143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AC2-49A2-9F90-283930A4B34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2.2126E-2</c:v>
                </c:pt>
                <c:pt idx="1">
                  <c:v>2.5186E-2</c:v>
                </c:pt>
                <c:pt idx="2">
                  <c:v>0.95268799999999998</c:v>
                </c:pt>
              </c:numCache>
            </c:numRef>
          </c:val>
          <c:extLst>
            <c:ext xmlns:c16="http://schemas.microsoft.com/office/drawing/2014/chart" uri="{C3380CC4-5D6E-409C-BE32-E72D297353CC}">
              <c16:uniqueId val="{0000000C-9AC2-49A2-9F90-283930A4B34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24403547522297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025156384359876"/>
                      <c:h val="0.16447368421052633"/>
                    </c:manualLayout>
                  </c15:layout>
                </c:ext>
                <c:ext xmlns:c16="http://schemas.microsoft.com/office/drawing/2014/chart" uri="{C3380CC4-5D6E-409C-BE32-E72D297353CC}">
                  <c16:uniqueId val="{00000000-F39E-40B6-A24F-05F01312C7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2027'!$G$8</c:f>
              <c:strCache>
                <c:ptCount val="1"/>
                <c:pt idx="0">
                  <c:v>AAA EQUIVALENT</c:v>
                </c:pt>
              </c:strCache>
            </c:strRef>
          </c:cat>
          <c:val>
            <c:numRef>
              <c:f>'IDFC GIF 2027'!$H$8</c:f>
              <c:numCache>
                <c:formatCode>0%</c:formatCode>
                <c:ptCount val="1"/>
                <c:pt idx="0">
                  <c:v>1</c:v>
                </c:pt>
              </c:numCache>
            </c:numRef>
          </c:val>
          <c:extLst>
            <c:ext xmlns:c16="http://schemas.microsoft.com/office/drawing/2014/chart" uri="{C3380CC4-5D6E-409C-BE32-E72D297353CC}">
              <c16:uniqueId val="{00000001-F39E-40B6-A24F-05F01312C76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2027'!$K$8</c:f>
              <c:strCache>
                <c:ptCount val="1"/>
                <c:pt idx="0">
                  <c:v>Total</c:v>
                </c:pt>
              </c:strCache>
            </c:strRef>
          </c:tx>
          <c:dLbls>
            <c:dLbl>
              <c:idx val="0"/>
              <c:layout>
                <c:manualLayout>
                  <c:x val="4.6385371528772958E-2"/>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EE41-43C1-A754-2E8F5B52DDA6}"/>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EE41-43C1-A754-2E8F5B52DDA6}"/>
                </c:ext>
              </c:extLst>
            </c:dLbl>
            <c:dLbl>
              <c:idx val="2"/>
              <c:layout>
                <c:manualLayout>
                  <c:x val="4.7047581311436729E-2"/>
                  <c:y val="2.1744356955380576E-2"/>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2055674518201285"/>
                      <c:h val="0.15777777777777777"/>
                    </c:manualLayout>
                  </c15:layout>
                </c:ext>
                <c:ext xmlns:c16="http://schemas.microsoft.com/office/drawing/2014/chart" uri="{C3380CC4-5D6E-409C-BE32-E72D297353CC}">
                  <c16:uniqueId val="{00000002-EE41-43C1-A754-2E8F5B52DD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2027'!$J$9:$J$11</c:f>
              <c:strCache>
                <c:ptCount val="3"/>
                <c:pt idx="0">
                  <c:v>TRI Party Repo</c:v>
                </c:pt>
                <c:pt idx="1">
                  <c:v>Government Bond</c:v>
                </c:pt>
                <c:pt idx="2">
                  <c:v>Net Current Asset</c:v>
                </c:pt>
              </c:strCache>
            </c:strRef>
          </c:cat>
          <c:val>
            <c:numRef>
              <c:f>'IDFC GIF 2027'!$K$9:$K$11</c:f>
              <c:numCache>
                <c:formatCode>0.00%</c:formatCode>
                <c:ptCount val="3"/>
                <c:pt idx="0">
                  <c:v>4.1928E-2</c:v>
                </c:pt>
                <c:pt idx="1">
                  <c:v>0.94793499999999997</c:v>
                </c:pt>
                <c:pt idx="2">
                  <c:v>1.0137E-2</c:v>
                </c:pt>
              </c:numCache>
            </c:numRef>
          </c:val>
          <c:extLst>
            <c:ext xmlns:c16="http://schemas.microsoft.com/office/drawing/2014/chart" uri="{C3380CC4-5D6E-409C-BE32-E72D297353CC}">
              <c16:uniqueId val="{00000003-EE41-43C1-A754-2E8F5B52DDA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81577838102141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447368421052633"/>
                    </c:manualLayout>
                  </c15:layout>
                </c:ext>
                <c:ext xmlns:c16="http://schemas.microsoft.com/office/drawing/2014/chart" uri="{C3380CC4-5D6E-409C-BE32-E72D297353CC}">
                  <c16:uniqueId val="{00000000-5AE2-4A02-B60F-CC7CF2BCE4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2028'!$G$8</c:f>
              <c:strCache>
                <c:ptCount val="1"/>
                <c:pt idx="0">
                  <c:v>AAA EQUIVALENT</c:v>
                </c:pt>
              </c:strCache>
            </c:strRef>
          </c:cat>
          <c:val>
            <c:numRef>
              <c:f>'IDFC GIF 2028'!$H$8</c:f>
              <c:numCache>
                <c:formatCode>0%</c:formatCode>
                <c:ptCount val="1"/>
                <c:pt idx="0">
                  <c:v>1</c:v>
                </c:pt>
              </c:numCache>
            </c:numRef>
          </c:val>
          <c:extLst>
            <c:ext xmlns:c16="http://schemas.microsoft.com/office/drawing/2014/chart" uri="{C3380CC4-5D6E-409C-BE32-E72D297353CC}">
              <c16:uniqueId val="{00000001-5AE2-4A02-B60F-CC7CF2BCE40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2028'!$K$8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34A9-491D-B169-23BD42D92666}"/>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34A9-491D-B169-23BD42D92666}"/>
                </c:ext>
              </c:extLst>
            </c:dLbl>
            <c:dLbl>
              <c:idx val="2"/>
              <c:layout>
                <c:manualLayout>
                  <c:x val="5.6683639919742367E-2"/>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8361884368308351"/>
                      <c:h val="0.11666666666666667"/>
                    </c:manualLayout>
                  </c15:layout>
                </c:ext>
                <c:ext xmlns:c16="http://schemas.microsoft.com/office/drawing/2014/chart" uri="{C3380CC4-5D6E-409C-BE32-E72D297353CC}">
                  <c16:uniqueId val="{00000002-34A9-491D-B169-23BD42D9266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2028'!$J$9:$J$11</c:f>
              <c:strCache>
                <c:ptCount val="3"/>
                <c:pt idx="0">
                  <c:v>TRI Party Repo</c:v>
                </c:pt>
                <c:pt idx="1">
                  <c:v>Government Bond</c:v>
                </c:pt>
                <c:pt idx="2">
                  <c:v>Net Current Asset</c:v>
                </c:pt>
              </c:strCache>
            </c:strRef>
          </c:cat>
          <c:val>
            <c:numRef>
              <c:f>'IDFC GIF 2028'!$K$9:$K$11</c:f>
              <c:numCache>
                <c:formatCode>0.00%</c:formatCode>
                <c:ptCount val="3"/>
                <c:pt idx="0">
                  <c:v>3.0373000000000001E-2</c:v>
                </c:pt>
                <c:pt idx="1">
                  <c:v>0.950797</c:v>
                </c:pt>
                <c:pt idx="2">
                  <c:v>1.883E-2</c:v>
                </c:pt>
              </c:numCache>
            </c:numRef>
          </c:val>
          <c:extLst>
            <c:ext xmlns:c16="http://schemas.microsoft.com/office/drawing/2014/chart" uri="{C3380CC4-5D6E-409C-BE32-E72D297353CC}">
              <c16:uniqueId val="{00000003-34A9-491D-B169-23BD42D9266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305282503499"/>
                  <c:y val="-7.12719298245614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BC8-48C2-AB5D-DE0368C8DA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CBC8-48C2-AB5D-DE0368C8DA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manualLayout>
                  <c:x val="0.19031917584177788"/>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3C0-4B84-9EAC-F37C6E9ACD9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3C0-4B84-9EAC-F37C6E9ACD9E}"/>
                </c:ext>
              </c:extLst>
            </c:dLbl>
            <c:dLbl>
              <c:idx val="2"/>
              <c:layout>
                <c:manualLayout>
                  <c:x val="-0.11459323205584312"/>
                  <c:y val="-3.25746281714785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3C0-4B84-9EAC-F37C6E9ACD9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-3.4060000000000002E-3</c:v>
                </c:pt>
                <c:pt idx="1">
                  <c:v>4.4783999999999997E-2</c:v>
                </c:pt>
                <c:pt idx="2">
                  <c:v>0.95862199999999997</c:v>
                </c:pt>
              </c:numCache>
            </c:numRef>
          </c:val>
          <c:extLst>
            <c:ext xmlns:c16="http://schemas.microsoft.com/office/drawing/2014/chart" uri="{C3380CC4-5D6E-409C-BE32-E72D297353CC}">
              <c16:uniqueId val="{0000000C-63C0-4B84-9EAC-F37C6E9ACD9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AB7B33F-4842-412E-9488-D34994523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2F5B688A-2265-4446-AF77-8F77FEE53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A87F5F5-5F48-4050-955A-146AA90AA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1C5D2B3-FC86-44FE-B229-E2F4369A2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571500</xdr:colOff>
      <xdr:row>7</xdr:row>
      <xdr:rowOff>38100</xdr:rowOff>
    </xdr:from>
    <xdr:to>
      <xdr:col>13</xdr:col>
      <xdr:colOff>508000</xdr:colOff>
      <xdr:row>22</xdr:row>
      <xdr:rowOff>38100</xdr:rowOff>
    </xdr:to>
    <xdr:graphicFrame macro="">
      <xdr:nvGraphicFramePr>
        <xdr:cNvPr id="2" name="Chart 1">
          <a:extLst>
            <a:ext uri="{FF2B5EF4-FFF2-40B4-BE49-F238E27FC236}">
              <a16:creationId xmlns:a16="http://schemas.microsoft.com/office/drawing/2014/main" id="{9D399095-C0E0-408F-952D-8DC8A59D3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2B497092-81FC-4950-98CA-BA21E3B1E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BC63D57-905D-459B-8C56-679D73ECA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6108CA6D-FB6D-4227-987F-F76B40A7B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0E84B3C-749F-4E59-A1F1-4EB8E4A06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D79C0C37-AFAC-4688-80C6-3F9C667DF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F12C6CA-BC2C-4F27-B7C0-88C9E59A7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F825026-C8F2-4152-87E9-47232CFA8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C2B5056-89C2-4181-AE7D-D7B642D8D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2AC572A-7A2D-4DD7-B1E9-3E33F5B2B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A5EA674-EA28-4333-A86B-1B4FEC086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F9BDA448-7C47-4037-9CB3-BFBBF5DA4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36AF7F3-4D24-40F9-BD50-6091FDD88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7FBE9456-FB7C-4AF5-B90D-4BE1E3D6E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376DA54-3E98-477D-8FAA-E99C199B1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6341621D-9417-47DC-97BB-DED687195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1AD9761-BC18-4BEE-85B0-C1AAC17E1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90F6CBFA-D81C-4C8E-A873-3CC549659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508000</xdr:colOff>
      <xdr:row>7</xdr:row>
      <xdr:rowOff>63500</xdr:rowOff>
    </xdr:from>
    <xdr:to>
      <xdr:col>13</xdr:col>
      <xdr:colOff>444500</xdr:colOff>
      <xdr:row>22</xdr:row>
      <xdr:rowOff>63500</xdr:rowOff>
    </xdr:to>
    <xdr:graphicFrame macro="">
      <xdr:nvGraphicFramePr>
        <xdr:cNvPr id="2" name="Chart 1">
          <a:extLst>
            <a:ext uri="{FF2B5EF4-FFF2-40B4-BE49-F238E27FC236}">
              <a16:creationId xmlns:a16="http://schemas.microsoft.com/office/drawing/2014/main" id="{4C2CCF94-F5FC-4887-9689-CE62B414A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52421FE5-E6F1-4530-9B9F-AD0C91CB4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50801</xdr:rowOff>
    </xdr:from>
    <xdr:to>
      <xdr:col>13</xdr:col>
      <xdr:colOff>546100</xdr:colOff>
      <xdr:row>22</xdr:row>
      <xdr:rowOff>50801</xdr:rowOff>
    </xdr:to>
    <xdr:graphicFrame macro="">
      <xdr:nvGraphicFramePr>
        <xdr:cNvPr id="2" name="Chart 1">
          <a:extLst>
            <a:ext uri="{FF2B5EF4-FFF2-40B4-BE49-F238E27FC236}">
              <a16:creationId xmlns:a16="http://schemas.microsoft.com/office/drawing/2014/main" id="{B800FBC2-0223-4301-BB91-EC2F2C1F3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48C116EA-E970-459E-97CC-58053B8BF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7F7F616-B7CE-4A85-9B5D-D4D35A89A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38273C3-2D62-4DA0-A32C-916CD627C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0CA3724-8F53-483A-A410-261405ADF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CBB060F-07A2-4508-AB01-2CF2E00FC8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12700</xdr:colOff>
      <xdr:row>7</xdr:row>
      <xdr:rowOff>1</xdr:rowOff>
    </xdr:from>
    <xdr:to>
      <xdr:col>13</xdr:col>
      <xdr:colOff>558800</xdr:colOff>
      <xdr:row>22</xdr:row>
      <xdr:rowOff>1</xdr:rowOff>
    </xdr:to>
    <xdr:graphicFrame macro="">
      <xdr:nvGraphicFramePr>
        <xdr:cNvPr id="2" name="Chart 1">
          <a:extLst>
            <a:ext uri="{FF2B5EF4-FFF2-40B4-BE49-F238E27FC236}">
              <a16:creationId xmlns:a16="http://schemas.microsoft.com/office/drawing/2014/main" id="{AF8C1D5C-D98F-4CA7-8FCD-FF3FA783A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6320A45-49DC-438A-B56A-E9DC2C6CA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1</xdr:rowOff>
    </xdr:from>
    <xdr:to>
      <xdr:col>13</xdr:col>
      <xdr:colOff>546100</xdr:colOff>
      <xdr:row>22</xdr:row>
      <xdr:rowOff>1</xdr:rowOff>
    </xdr:to>
    <xdr:graphicFrame macro="">
      <xdr:nvGraphicFramePr>
        <xdr:cNvPr id="2" name="Chart 1">
          <a:extLst>
            <a:ext uri="{FF2B5EF4-FFF2-40B4-BE49-F238E27FC236}">
              <a16:creationId xmlns:a16="http://schemas.microsoft.com/office/drawing/2014/main" id="{112CDB18-CAEA-4D23-AD0F-983385050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C7AA5AF-4624-4F12-B286-3177F2845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C755929-CD5A-4C8A-B212-389A69EF1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D33664C-1B39-4962-866A-04181A7F4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9579C-FA38-44AC-8CD4-FBDDCC57D962}">
  <dimension ref="B1:N55"/>
  <sheetViews>
    <sheetView showGridLines="0" tabSelected="1"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80</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81</v>
      </c>
      <c r="D8" s="6" t="s">
        <v>20</v>
      </c>
      <c r="E8" s="11">
        <v>7.7706999999999998E-2</v>
      </c>
      <c r="F8" s="1"/>
      <c r="G8" s="23" t="s">
        <v>15</v>
      </c>
      <c r="H8" s="24">
        <v>1</v>
      </c>
      <c r="I8" s="1"/>
      <c r="J8" s="23" t="s">
        <v>12</v>
      </c>
      <c r="K8" s="23" t="s">
        <v>3</v>
      </c>
      <c r="L8" s="1"/>
      <c r="M8" s="1"/>
      <c r="N8" s="17"/>
    </row>
    <row r="9" spans="2:14" ht="15" customHeight="1" x14ac:dyDescent="0.25">
      <c r="B9" s="19"/>
      <c r="C9" s="5" t="s">
        <v>35</v>
      </c>
      <c r="D9" s="6" t="s">
        <v>20</v>
      </c>
      <c r="E9" s="11">
        <v>7.1864999999999998E-2</v>
      </c>
      <c r="F9" s="1"/>
      <c r="G9" s="1"/>
      <c r="H9" s="1"/>
      <c r="I9" s="1"/>
      <c r="J9" s="23" t="s">
        <v>10</v>
      </c>
      <c r="K9" s="25">
        <v>3.6819999999999999E-3</v>
      </c>
      <c r="L9" s="1"/>
      <c r="M9" s="1"/>
      <c r="N9" s="17"/>
    </row>
    <row r="10" spans="2:14" ht="15" customHeight="1" x14ac:dyDescent="0.25">
      <c r="B10" s="19"/>
      <c r="C10" s="5" t="s">
        <v>44</v>
      </c>
      <c r="D10" s="6" t="s">
        <v>20</v>
      </c>
      <c r="E10" s="11">
        <v>5.9983000000000002E-2</v>
      </c>
      <c r="F10" s="1"/>
      <c r="G10" s="1"/>
      <c r="H10" s="1"/>
      <c r="I10" s="1"/>
      <c r="J10" s="23" t="s">
        <v>13</v>
      </c>
      <c r="K10" s="25">
        <v>0.35889300000000002</v>
      </c>
      <c r="L10" s="1"/>
      <c r="M10" s="1"/>
      <c r="N10" s="17"/>
    </row>
    <row r="11" spans="2:14" ht="15" customHeight="1" x14ac:dyDescent="0.25">
      <c r="B11" s="19"/>
      <c r="C11" s="5" t="s">
        <v>82</v>
      </c>
      <c r="D11" s="6" t="s">
        <v>20</v>
      </c>
      <c r="E11" s="11">
        <v>4.4956999999999997E-2</v>
      </c>
      <c r="F11" s="1"/>
      <c r="G11" s="1"/>
      <c r="H11" s="1"/>
      <c r="I11" s="1"/>
      <c r="J11" s="23" t="s">
        <v>60</v>
      </c>
      <c r="K11" s="25">
        <v>6.0725000000000001E-2</v>
      </c>
      <c r="L11" s="1"/>
      <c r="M11" s="1"/>
      <c r="N11" s="17"/>
    </row>
    <row r="12" spans="2:14" ht="15" customHeight="1" x14ac:dyDescent="0.25">
      <c r="B12" s="19"/>
      <c r="C12" s="5" t="s">
        <v>21</v>
      </c>
      <c r="D12" s="6" t="s">
        <v>20</v>
      </c>
      <c r="E12" s="11">
        <v>3.5914000000000001E-2</v>
      </c>
      <c r="F12" s="1"/>
      <c r="G12" s="1"/>
      <c r="H12" s="1"/>
      <c r="I12" s="1"/>
      <c r="J12" s="23" t="s">
        <v>61</v>
      </c>
      <c r="K12" s="25">
        <v>0.347055</v>
      </c>
      <c r="L12" s="1"/>
      <c r="M12" s="1"/>
      <c r="N12" s="17"/>
    </row>
    <row r="13" spans="2:14" ht="15" customHeight="1" x14ac:dyDescent="0.25">
      <c r="B13" s="19"/>
      <c r="C13" s="5" t="s">
        <v>83</v>
      </c>
      <c r="D13" s="6" t="s">
        <v>20</v>
      </c>
      <c r="E13" s="11">
        <v>2.3834000000000001E-2</v>
      </c>
      <c r="F13" s="1"/>
      <c r="G13" s="1"/>
      <c r="H13" s="1"/>
      <c r="I13" s="1"/>
      <c r="J13" s="23" t="s">
        <v>93</v>
      </c>
      <c r="K13" s="25">
        <v>0.22964499999999999</v>
      </c>
      <c r="L13" s="1"/>
      <c r="M13" s="1"/>
      <c r="N13" s="17"/>
    </row>
    <row r="14" spans="2:14" ht="15" customHeight="1" x14ac:dyDescent="0.25">
      <c r="B14" s="19"/>
      <c r="C14" s="5" t="s">
        <v>84</v>
      </c>
      <c r="D14" s="6" t="s">
        <v>20</v>
      </c>
      <c r="E14" s="11">
        <v>2.0854999999999999E-2</v>
      </c>
      <c r="F14" s="1"/>
      <c r="G14" s="1"/>
      <c r="H14" s="1"/>
      <c r="I14" s="1"/>
      <c r="J14" s="1"/>
      <c r="K14" s="1"/>
      <c r="L14" s="1"/>
      <c r="M14" s="1"/>
      <c r="N14" s="17"/>
    </row>
    <row r="15" spans="2:14" ht="15" customHeight="1" x14ac:dyDescent="0.25">
      <c r="B15" s="19"/>
      <c r="C15" s="5" t="s">
        <v>25</v>
      </c>
      <c r="D15" s="6" t="s">
        <v>20</v>
      </c>
      <c r="E15" s="11">
        <v>1.1939999999999999E-2</v>
      </c>
      <c r="F15" s="1"/>
      <c r="G15" s="1"/>
      <c r="H15" s="1"/>
      <c r="I15" s="1"/>
      <c r="J15" s="1"/>
      <c r="K15" s="1"/>
      <c r="L15" s="1"/>
      <c r="M15" s="1"/>
      <c r="N15" s="17"/>
    </row>
    <row r="16" spans="2:14" ht="15.75" customHeight="1" x14ac:dyDescent="0.25">
      <c r="B16" s="19"/>
      <c r="C16" s="7" t="s">
        <v>24</v>
      </c>
      <c r="D16" s="8"/>
      <c r="E16" s="12">
        <v>0.347055</v>
      </c>
      <c r="F16" s="1"/>
      <c r="G16" s="1"/>
      <c r="H16" s="1"/>
      <c r="I16" s="1"/>
      <c r="J16" s="1"/>
      <c r="K16" s="1"/>
      <c r="L16" s="1"/>
      <c r="M16" s="1"/>
      <c r="N16" s="17"/>
    </row>
    <row r="17" spans="2:14" ht="15" customHeight="1" x14ac:dyDescent="0.25">
      <c r="B17" s="19"/>
      <c r="C17" s="5" t="s">
        <v>28</v>
      </c>
      <c r="D17" s="6" t="s">
        <v>26</v>
      </c>
      <c r="E17" s="11">
        <v>2.7074999999999998E-2</v>
      </c>
      <c r="F17" s="1"/>
      <c r="G17" s="1"/>
      <c r="H17" s="1"/>
      <c r="I17" s="1"/>
      <c r="J17" s="1"/>
      <c r="K17" s="1"/>
      <c r="L17" s="1"/>
      <c r="M17" s="1"/>
      <c r="N17" s="17"/>
    </row>
    <row r="18" spans="2:14" ht="15" customHeight="1" x14ac:dyDescent="0.25">
      <c r="B18" s="19"/>
      <c r="C18" s="5" t="s">
        <v>23</v>
      </c>
      <c r="D18" s="6" t="s">
        <v>26</v>
      </c>
      <c r="E18" s="11">
        <v>2.102E-2</v>
      </c>
      <c r="F18" s="1"/>
      <c r="G18" s="1"/>
      <c r="H18" s="1"/>
      <c r="I18" s="1"/>
      <c r="J18" s="1"/>
      <c r="K18" s="1"/>
      <c r="L18" s="1"/>
      <c r="M18" s="1"/>
      <c r="N18" s="17"/>
    </row>
    <row r="19" spans="2:14" ht="15" customHeight="1" x14ac:dyDescent="0.25">
      <c r="B19" s="19"/>
      <c r="C19" s="5" t="s">
        <v>31</v>
      </c>
      <c r="D19" s="6" t="s">
        <v>26</v>
      </c>
      <c r="E19" s="11">
        <v>1.0826000000000001E-2</v>
      </c>
      <c r="F19" s="1"/>
      <c r="G19" s="1"/>
      <c r="H19" s="1"/>
      <c r="I19" s="1"/>
      <c r="J19" s="1"/>
      <c r="K19" s="1"/>
      <c r="L19" s="1"/>
      <c r="M19" s="1"/>
      <c r="N19" s="17"/>
    </row>
    <row r="20" spans="2:14" ht="15" customHeight="1" x14ac:dyDescent="0.25">
      <c r="B20" s="19"/>
      <c r="C20" s="5" t="s">
        <v>27</v>
      </c>
      <c r="D20" s="6" t="s">
        <v>26</v>
      </c>
      <c r="E20" s="11">
        <v>1.804E-3</v>
      </c>
      <c r="F20" s="1"/>
      <c r="G20" s="1"/>
      <c r="H20" s="1"/>
      <c r="I20" s="1"/>
      <c r="J20" s="1"/>
      <c r="K20" s="1"/>
      <c r="L20" s="1"/>
      <c r="M20" s="1"/>
      <c r="N20" s="17"/>
    </row>
    <row r="21" spans="2:14" ht="15.75" customHeight="1" x14ac:dyDescent="0.25">
      <c r="B21" s="19"/>
      <c r="C21" s="7" t="s">
        <v>46</v>
      </c>
      <c r="D21" s="8"/>
      <c r="E21" s="12">
        <v>6.0725000000000001E-2</v>
      </c>
      <c r="F21" s="1"/>
      <c r="G21" s="1"/>
      <c r="H21" s="1"/>
      <c r="I21" s="1"/>
      <c r="J21" s="1"/>
      <c r="K21" s="1"/>
      <c r="L21" s="1"/>
      <c r="M21" s="1"/>
      <c r="N21" s="17"/>
    </row>
    <row r="22" spans="2:14" ht="15" customHeight="1" x14ac:dyDescent="0.25">
      <c r="B22" s="19"/>
      <c r="C22" s="5" t="s">
        <v>85</v>
      </c>
      <c r="D22" s="6" t="s">
        <v>50</v>
      </c>
      <c r="E22" s="11">
        <v>6.9015999999999994E-2</v>
      </c>
      <c r="F22" s="1"/>
      <c r="G22" s="1"/>
      <c r="H22" s="1"/>
      <c r="I22" s="1"/>
      <c r="J22" s="1"/>
      <c r="K22" s="1"/>
      <c r="L22" s="1"/>
      <c r="M22" s="1"/>
      <c r="N22" s="17"/>
    </row>
    <row r="23" spans="2:14" ht="15" customHeight="1" x14ac:dyDescent="0.25">
      <c r="B23" s="19"/>
      <c r="C23" s="5" t="s">
        <v>86</v>
      </c>
      <c r="D23" s="6" t="s">
        <v>50</v>
      </c>
      <c r="E23" s="11">
        <v>6.3495999999999997E-2</v>
      </c>
      <c r="F23" s="1"/>
      <c r="G23" s="1"/>
      <c r="H23" s="1"/>
      <c r="I23" s="1"/>
      <c r="J23" s="1"/>
      <c r="K23" s="1"/>
      <c r="L23" s="1"/>
      <c r="M23" s="1"/>
      <c r="N23" s="17"/>
    </row>
    <row r="24" spans="2:14" ht="15" customHeight="1" x14ac:dyDescent="0.25">
      <c r="B24" s="19"/>
      <c r="C24" s="5" t="s">
        <v>87</v>
      </c>
      <c r="D24" s="6" t="s">
        <v>50</v>
      </c>
      <c r="E24" s="11">
        <v>5.9976000000000002E-2</v>
      </c>
      <c r="F24" s="1"/>
      <c r="G24" s="1"/>
      <c r="H24" s="1"/>
      <c r="I24" s="1"/>
      <c r="J24" s="1"/>
      <c r="K24" s="1"/>
      <c r="L24" s="1"/>
      <c r="M24" s="1"/>
      <c r="N24" s="17"/>
    </row>
    <row r="25" spans="2:14" ht="15" customHeight="1" x14ac:dyDescent="0.25">
      <c r="B25" s="19"/>
      <c r="C25" s="5" t="s">
        <v>88</v>
      </c>
      <c r="D25" s="6" t="s">
        <v>50</v>
      </c>
      <c r="E25" s="11">
        <v>1.1995E-2</v>
      </c>
      <c r="F25" s="1"/>
      <c r="G25" s="1"/>
      <c r="H25" s="1"/>
      <c r="I25" s="1"/>
      <c r="J25" s="1"/>
      <c r="K25" s="1"/>
      <c r="L25" s="1"/>
      <c r="M25" s="1"/>
      <c r="N25" s="17"/>
    </row>
    <row r="26" spans="2:14" ht="15" customHeight="1" x14ac:dyDescent="0.25">
      <c r="B26" s="19"/>
      <c r="C26" s="5" t="s">
        <v>89</v>
      </c>
      <c r="D26" s="6" t="s">
        <v>50</v>
      </c>
      <c r="E26" s="11">
        <v>1.1979999999999999E-2</v>
      </c>
      <c r="F26" s="1"/>
      <c r="G26" s="44" t="s">
        <v>17</v>
      </c>
      <c r="H26" s="45"/>
      <c r="I26" s="45"/>
      <c r="J26" s="45"/>
      <c r="K26" s="45"/>
      <c r="L26" s="45"/>
      <c r="M26" s="45"/>
      <c r="N26" s="46"/>
    </row>
    <row r="27" spans="2:14" ht="15" customHeight="1" x14ac:dyDescent="0.25">
      <c r="B27" s="19"/>
      <c r="C27" s="5" t="s">
        <v>90</v>
      </c>
      <c r="D27" s="6" t="s">
        <v>50</v>
      </c>
      <c r="E27" s="11">
        <v>7.1879999999999999E-3</v>
      </c>
      <c r="F27" s="1"/>
      <c r="G27" s="1"/>
      <c r="H27" s="1"/>
      <c r="I27" s="1"/>
      <c r="J27" s="1"/>
      <c r="K27" s="1"/>
      <c r="L27" s="1"/>
      <c r="M27" s="1"/>
      <c r="N27" s="17"/>
    </row>
    <row r="28" spans="2:14" ht="15" customHeight="1" x14ac:dyDescent="0.25">
      <c r="B28" s="19"/>
      <c r="C28" s="5" t="s">
        <v>91</v>
      </c>
      <c r="D28" s="6" t="s">
        <v>50</v>
      </c>
      <c r="E28" s="11">
        <v>5.9940000000000002E-3</v>
      </c>
      <c r="F28" s="1"/>
      <c r="G28" s="1"/>
      <c r="H28" s="1"/>
      <c r="I28" s="1"/>
      <c r="J28" s="1"/>
      <c r="K28" s="1"/>
      <c r="L28" s="1"/>
      <c r="M28" s="1"/>
      <c r="N28" s="17"/>
    </row>
    <row r="29" spans="2:14" ht="15.75" customHeight="1" x14ac:dyDescent="0.25">
      <c r="B29" s="19"/>
      <c r="C29" s="7" t="s">
        <v>92</v>
      </c>
      <c r="D29" s="8"/>
      <c r="E29" s="12">
        <v>0.22964499999999999</v>
      </c>
      <c r="F29" s="1"/>
      <c r="G29" s="1"/>
      <c r="H29" s="1"/>
      <c r="I29" s="1"/>
      <c r="J29" s="1"/>
      <c r="K29" s="1"/>
      <c r="L29" s="1"/>
      <c r="M29" s="1"/>
      <c r="N29" s="17"/>
    </row>
    <row r="30" spans="2:14" ht="15" customHeight="1" x14ac:dyDescent="0.25">
      <c r="B30" s="19"/>
      <c r="C30" s="5" t="s">
        <v>8</v>
      </c>
      <c r="D30" s="6"/>
      <c r="E30" s="11">
        <v>0.35889300000000002</v>
      </c>
      <c r="F30" s="1"/>
      <c r="G30" s="1"/>
      <c r="H30" s="1"/>
      <c r="I30" s="1"/>
      <c r="J30" s="1"/>
      <c r="K30" s="1"/>
      <c r="L30" s="1"/>
      <c r="M30" s="1"/>
      <c r="N30" s="17"/>
    </row>
    <row r="31" spans="2:14" ht="15.75" customHeight="1" x14ac:dyDescent="0.25">
      <c r="B31" s="19"/>
      <c r="C31" s="7" t="s">
        <v>9</v>
      </c>
      <c r="D31" s="8"/>
      <c r="E31" s="12">
        <v>0.35889300000000002</v>
      </c>
      <c r="F31" s="1"/>
      <c r="G31" s="1"/>
      <c r="H31" s="1"/>
      <c r="I31" s="1"/>
      <c r="J31" s="1"/>
      <c r="K31" s="1"/>
      <c r="L31" s="1"/>
      <c r="M31" s="1"/>
      <c r="N31" s="17"/>
    </row>
    <row r="32" spans="2:14" ht="15" customHeight="1" x14ac:dyDescent="0.25">
      <c r="B32" s="19"/>
      <c r="C32" s="5"/>
      <c r="D32" s="6"/>
      <c r="E32" s="11"/>
      <c r="F32" s="1"/>
      <c r="G32" s="1"/>
      <c r="H32" s="1"/>
      <c r="I32" s="1"/>
      <c r="J32" s="1"/>
      <c r="K32" s="1"/>
      <c r="L32" s="1"/>
      <c r="M32" s="1"/>
      <c r="N32" s="17"/>
    </row>
    <row r="33" spans="2:14" ht="15.75" customHeight="1" x14ac:dyDescent="0.25">
      <c r="B33" s="19"/>
      <c r="C33" s="7" t="s">
        <v>10</v>
      </c>
      <c r="D33" s="8"/>
      <c r="E33" s="12">
        <v>3.6819999999999999E-3</v>
      </c>
      <c r="F33" s="1"/>
      <c r="G33" s="1"/>
      <c r="H33" s="1"/>
      <c r="I33" s="1"/>
      <c r="J33" s="1"/>
      <c r="K33" s="1"/>
      <c r="L33" s="1"/>
      <c r="M33" s="1"/>
      <c r="N33" s="17"/>
    </row>
    <row r="34" spans="2:14" ht="15" customHeight="1" x14ac:dyDescent="0.25">
      <c r="B34" s="19"/>
      <c r="C34" s="5"/>
      <c r="D34" s="6"/>
      <c r="E34" s="11"/>
      <c r="F34" s="1"/>
      <c r="G34" s="1"/>
      <c r="H34" s="1"/>
      <c r="I34" s="1"/>
      <c r="J34" s="1"/>
      <c r="K34" s="1"/>
      <c r="L34" s="1"/>
      <c r="M34" s="1"/>
      <c r="N34" s="17"/>
    </row>
    <row r="35" spans="2:14" ht="15" customHeight="1" x14ac:dyDescent="0.25">
      <c r="B35" s="19"/>
      <c r="C35" s="9" t="s">
        <v>11</v>
      </c>
      <c r="D35" s="10"/>
      <c r="E35" s="13">
        <v>1</v>
      </c>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3.25" customHeight="1" thickBot="1" x14ac:dyDescent="0.3">
      <c r="B45" s="38" t="s">
        <v>130</v>
      </c>
      <c r="C45" s="39"/>
      <c r="D45" s="39"/>
      <c r="E45" s="39"/>
      <c r="F45" s="39"/>
      <c r="G45" s="39"/>
      <c r="H45" s="39"/>
      <c r="I45" s="39"/>
      <c r="J45" s="39"/>
      <c r="K45" s="39"/>
      <c r="L45" s="39"/>
      <c r="M45" s="39"/>
      <c r="N45" s="4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mergeCells count="4">
    <mergeCell ref="B45:N45"/>
    <mergeCell ref="C3:N3"/>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0E2F-96BB-4F69-93ED-40CD2403B8E5}">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128</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8</v>
      </c>
      <c r="D8" s="6"/>
      <c r="E8" s="11">
        <v>0.99496200000000001</v>
      </c>
      <c r="F8" s="1"/>
      <c r="G8" s="23" t="s">
        <v>15</v>
      </c>
      <c r="H8" s="24">
        <v>1</v>
      </c>
      <c r="I8" s="1"/>
      <c r="J8" s="23" t="s">
        <v>12</v>
      </c>
      <c r="K8" s="23" t="s">
        <v>3</v>
      </c>
      <c r="L8" s="1"/>
      <c r="M8" s="1"/>
      <c r="N8" s="17"/>
    </row>
    <row r="9" spans="2:14" ht="15.75" customHeight="1" x14ac:dyDescent="0.25">
      <c r="B9" s="19"/>
      <c r="C9" s="7" t="s">
        <v>9</v>
      </c>
      <c r="D9" s="8"/>
      <c r="E9" s="12">
        <v>0.99496200000000001</v>
      </c>
      <c r="F9" s="1"/>
      <c r="G9" s="1"/>
      <c r="H9" s="1"/>
      <c r="I9" s="1"/>
      <c r="J9" s="23" t="s">
        <v>10</v>
      </c>
      <c r="K9" s="25">
        <v>5.0379999999999999E-3</v>
      </c>
      <c r="L9" s="1"/>
      <c r="M9" s="1"/>
      <c r="N9" s="17"/>
    </row>
    <row r="10" spans="2:14" ht="15" customHeight="1" x14ac:dyDescent="0.25">
      <c r="B10" s="19"/>
      <c r="C10" s="5"/>
      <c r="D10" s="6"/>
      <c r="E10" s="11"/>
      <c r="F10" s="1"/>
      <c r="G10" s="1"/>
      <c r="H10" s="1"/>
      <c r="I10" s="1"/>
      <c r="J10" s="23" t="s">
        <v>13</v>
      </c>
      <c r="K10" s="25">
        <v>0.99496200000000001</v>
      </c>
      <c r="L10" s="1"/>
      <c r="M10" s="1"/>
      <c r="N10" s="17"/>
    </row>
    <row r="11" spans="2:14" ht="15.75" customHeight="1" x14ac:dyDescent="0.25">
      <c r="B11" s="19"/>
      <c r="C11" s="7" t="s">
        <v>10</v>
      </c>
      <c r="D11" s="8"/>
      <c r="E11" s="12">
        <v>5.0379999999999999E-3</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11</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4" t="s">
        <v>17</v>
      </c>
      <c r="H26" s="45"/>
      <c r="I26" s="45"/>
      <c r="J26" s="45"/>
      <c r="K26" s="45"/>
      <c r="L26" s="45"/>
      <c r="M26" s="45"/>
      <c r="N26" s="4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5.75" customHeight="1" thickBot="1" x14ac:dyDescent="0.3">
      <c r="B45" s="38" t="s">
        <v>130</v>
      </c>
      <c r="C45" s="39"/>
      <c r="D45" s="39"/>
      <c r="E45" s="39"/>
      <c r="F45" s="39"/>
      <c r="G45" s="39"/>
      <c r="H45" s="39"/>
      <c r="I45" s="39"/>
      <c r="J45" s="39"/>
      <c r="K45" s="39"/>
      <c r="L45" s="39"/>
      <c r="M45" s="39"/>
      <c r="N45" s="40"/>
    </row>
  </sheetData>
  <mergeCells count="4">
    <mergeCell ref="B45:N45"/>
    <mergeCell ref="C3:N3"/>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33B2E-35FD-45FA-BC55-FC8A334A7644}">
  <dimension ref="B1:N9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27"/>
      <c r="C2" s="28"/>
      <c r="D2" s="28"/>
      <c r="E2" s="28"/>
      <c r="F2" s="28"/>
      <c r="G2" s="28"/>
      <c r="H2" s="28"/>
      <c r="I2" s="28"/>
      <c r="J2" s="28"/>
      <c r="K2" s="28"/>
      <c r="L2" s="28"/>
      <c r="M2" s="28"/>
      <c r="N2" s="29"/>
    </row>
    <row r="3" spans="2:14" ht="20.25" customHeight="1" x14ac:dyDescent="0.25">
      <c r="B3" s="30"/>
      <c r="C3" s="41" t="s">
        <v>120</v>
      </c>
      <c r="D3" s="42"/>
      <c r="E3" s="42"/>
      <c r="F3" s="42"/>
      <c r="G3" s="42"/>
      <c r="H3" s="42"/>
      <c r="I3" s="42"/>
      <c r="J3" s="42"/>
      <c r="K3" s="42"/>
      <c r="L3" s="42"/>
      <c r="M3" s="42"/>
      <c r="N3" s="47"/>
    </row>
    <row r="4" spans="2:14" ht="15.75" customHeight="1" x14ac:dyDescent="0.25">
      <c r="B4" s="30"/>
      <c r="C4" s="14"/>
      <c r="D4" s="1"/>
      <c r="E4" s="1"/>
      <c r="F4" s="1"/>
      <c r="G4" s="1"/>
      <c r="H4" s="1"/>
      <c r="I4" s="1"/>
      <c r="J4" s="1"/>
      <c r="K4" s="1"/>
      <c r="L4" s="1"/>
      <c r="M4" s="1"/>
      <c r="N4" s="31"/>
    </row>
    <row r="5" spans="2:14" ht="18" customHeight="1" x14ac:dyDescent="0.25">
      <c r="B5" s="30"/>
      <c r="C5" s="14"/>
      <c r="D5" s="1"/>
      <c r="E5" s="1"/>
      <c r="F5" s="1"/>
      <c r="G5" s="1"/>
      <c r="H5" s="1"/>
      <c r="I5" s="1"/>
      <c r="J5" s="1"/>
      <c r="K5" s="1"/>
      <c r="L5" s="1"/>
      <c r="M5" s="1"/>
      <c r="N5" s="31"/>
    </row>
    <row r="6" spans="2:14" ht="15" customHeight="1" x14ac:dyDescent="0.25">
      <c r="B6" s="30"/>
      <c r="C6" s="1"/>
      <c r="D6" s="1"/>
      <c r="E6" s="1"/>
      <c r="F6" s="1"/>
      <c r="G6" s="1"/>
      <c r="H6" s="1"/>
      <c r="I6" s="1"/>
      <c r="J6" s="1"/>
      <c r="K6" s="1"/>
      <c r="L6" s="1"/>
      <c r="M6" s="1"/>
      <c r="N6" s="31"/>
    </row>
    <row r="7" spans="2:14" ht="32.25" customHeight="1" x14ac:dyDescent="0.25">
      <c r="B7" s="30"/>
      <c r="C7" s="4" t="s">
        <v>1</v>
      </c>
      <c r="D7" s="3" t="s">
        <v>2</v>
      </c>
      <c r="E7" s="2" t="s">
        <v>3</v>
      </c>
      <c r="F7" s="1"/>
      <c r="G7" s="44" t="s">
        <v>16</v>
      </c>
      <c r="H7" s="45"/>
      <c r="I7" s="45"/>
      <c r="J7" s="45"/>
      <c r="K7" s="45"/>
      <c r="L7" s="45"/>
      <c r="M7" s="45"/>
      <c r="N7" s="48"/>
    </row>
    <row r="8" spans="2:14" ht="15" customHeight="1" x14ac:dyDescent="0.25">
      <c r="B8" s="30"/>
      <c r="C8" s="5" t="s">
        <v>19</v>
      </c>
      <c r="D8" s="6" t="s">
        <v>20</v>
      </c>
      <c r="E8" s="11">
        <v>6.0421000000000002E-2</v>
      </c>
      <c r="F8" s="1"/>
      <c r="G8" s="23" t="s">
        <v>15</v>
      </c>
      <c r="H8" s="25">
        <v>1</v>
      </c>
      <c r="I8" s="1"/>
      <c r="J8" s="23" t="s">
        <v>12</v>
      </c>
      <c r="K8" s="23" t="s">
        <v>3</v>
      </c>
      <c r="L8" s="1"/>
      <c r="M8" s="1"/>
      <c r="N8" s="31"/>
    </row>
    <row r="9" spans="2:14" ht="15.75" customHeight="1" x14ac:dyDescent="0.25">
      <c r="B9" s="30"/>
      <c r="C9" s="7" t="s">
        <v>22</v>
      </c>
      <c r="D9" s="8"/>
      <c r="E9" s="12">
        <v>6.0421000000000002E-2</v>
      </c>
      <c r="F9" s="1"/>
      <c r="G9" s="1"/>
      <c r="H9" s="1"/>
      <c r="I9" s="1"/>
      <c r="J9" s="23" t="s">
        <v>10</v>
      </c>
      <c r="K9" s="25">
        <v>1.3827000000000001E-2</v>
      </c>
      <c r="L9" s="1"/>
      <c r="M9" s="1"/>
      <c r="N9" s="31"/>
    </row>
    <row r="10" spans="2:14" ht="15" customHeight="1" x14ac:dyDescent="0.25">
      <c r="B10" s="30"/>
      <c r="C10" s="5" t="s">
        <v>21</v>
      </c>
      <c r="D10" s="6" t="s">
        <v>20</v>
      </c>
      <c r="E10" s="11">
        <v>3.2662999999999998E-2</v>
      </c>
      <c r="F10" s="1"/>
      <c r="G10" s="1"/>
      <c r="H10" s="1"/>
      <c r="I10" s="1"/>
      <c r="J10" s="23" t="s">
        <v>13</v>
      </c>
      <c r="K10" s="25">
        <v>0.16586699999999999</v>
      </c>
      <c r="L10" s="1"/>
      <c r="M10" s="1"/>
      <c r="N10" s="31"/>
    </row>
    <row r="11" spans="2:14" ht="15" customHeight="1" x14ac:dyDescent="0.25">
      <c r="B11" s="30"/>
      <c r="C11" s="5" t="s">
        <v>113</v>
      </c>
      <c r="D11" s="6" t="s">
        <v>20</v>
      </c>
      <c r="E11" s="11">
        <v>3.1784E-2</v>
      </c>
      <c r="F11" s="1"/>
      <c r="G11" s="1"/>
      <c r="H11" s="1"/>
      <c r="I11" s="1"/>
      <c r="J11" s="23" t="s">
        <v>59</v>
      </c>
      <c r="K11" s="25">
        <v>6.0421000000000002E-2</v>
      </c>
      <c r="L11" s="1"/>
      <c r="M11" s="1"/>
      <c r="N11" s="31"/>
    </row>
    <row r="12" spans="2:14" ht="15" customHeight="1" x14ac:dyDescent="0.25">
      <c r="B12" s="30"/>
      <c r="C12" s="5" t="s">
        <v>35</v>
      </c>
      <c r="D12" s="6" t="s">
        <v>20</v>
      </c>
      <c r="E12" s="11">
        <v>2.4650999999999999E-2</v>
      </c>
      <c r="F12" s="1"/>
      <c r="G12" s="1"/>
      <c r="H12" s="1"/>
      <c r="I12" s="1"/>
      <c r="J12" s="23" t="s">
        <v>60</v>
      </c>
      <c r="K12" s="25">
        <v>0.39226299999999997</v>
      </c>
      <c r="L12" s="1"/>
      <c r="M12" s="1"/>
      <c r="N12" s="31"/>
    </row>
    <row r="13" spans="2:14" ht="15" customHeight="1" x14ac:dyDescent="0.25">
      <c r="B13" s="30"/>
      <c r="C13" s="5" t="s">
        <v>44</v>
      </c>
      <c r="D13" s="6" t="s">
        <v>20</v>
      </c>
      <c r="E13" s="11">
        <v>1.8477E-2</v>
      </c>
      <c r="F13" s="1"/>
      <c r="G13" s="1"/>
      <c r="H13" s="1"/>
      <c r="I13" s="1"/>
      <c r="J13" s="23" t="s">
        <v>61</v>
      </c>
      <c r="K13" s="25">
        <v>0.13502500000000001</v>
      </c>
      <c r="L13" s="1"/>
      <c r="M13" s="1"/>
      <c r="N13" s="31"/>
    </row>
    <row r="14" spans="2:14" ht="15" customHeight="1" x14ac:dyDescent="0.25">
      <c r="B14" s="30"/>
      <c r="C14" s="5" t="s">
        <v>81</v>
      </c>
      <c r="D14" s="6" t="s">
        <v>20</v>
      </c>
      <c r="E14" s="11">
        <v>1.2276E-2</v>
      </c>
      <c r="F14" s="1"/>
      <c r="G14" s="1"/>
      <c r="H14" s="1"/>
      <c r="I14" s="1"/>
      <c r="J14" s="23" t="s">
        <v>62</v>
      </c>
      <c r="K14" s="25">
        <v>1.2359999999999999E-2</v>
      </c>
      <c r="L14" s="1"/>
      <c r="M14" s="1"/>
      <c r="N14" s="31"/>
    </row>
    <row r="15" spans="2:14" ht="15" customHeight="1" x14ac:dyDescent="0.25">
      <c r="B15" s="30"/>
      <c r="C15" s="5" t="s">
        <v>71</v>
      </c>
      <c r="D15" s="6" t="s">
        <v>20</v>
      </c>
      <c r="E15" s="11">
        <v>1.2175E-2</v>
      </c>
      <c r="F15" s="1"/>
      <c r="G15" s="1"/>
      <c r="H15" s="1"/>
      <c r="I15" s="1"/>
      <c r="J15" s="23" t="s">
        <v>63</v>
      </c>
      <c r="K15" s="25">
        <v>1.3155E-2</v>
      </c>
      <c r="L15" s="1"/>
      <c r="M15" s="1"/>
      <c r="N15" s="31"/>
    </row>
    <row r="16" spans="2:14" ht="15" customHeight="1" x14ac:dyDescent="0.25">
      <c r="B16" s="30"/>
      <c r="C16" s="5" t="s">
        <v>23</v>
      </c>
      <c r="D16" s="6" t="s">
        <v>20</v>
      </c>
      <c r="E16" s="11">
        <v>1.7960000000000001E-3</v>
      </c>
      <c r="F16" s="1"/>
      <c r="G16" s="1"/>
      <c r="H16" s="1"/>
      <c r="I16" s="1"/>
      <c r="J16" s="23"/>
      <c r="K16" s="25"/>
      <c r="L16" s="1"/>
      <c r="M16" s="1"/>
      <c r="N16" s="31"/>
    </row>
    <row r="17" spans="2:14" ht="15" customHeight="1" x14ac:dyDescent="0.25">
      <c r="B17" s="30"/>
      <c r="C17" s="5" t="s">
        <v>38</v>
      </c>
      <c r="D17" s="6" t="s">
        <v>20</v>
      </c>
      <c r="E17" s="11">
        <v>1.2030000000000001E-3</v>
      </c>
      <c r="F17" s="1"/>
      <c r="G17" s="1"/>
      <c r="H17" s="1"/>
      <c r="I17" s="1"/>
      <c r="J17" s="23" t="s">
        <v>64</v>
      </c>
      <c r="K17" s="25">
        <v>1.4459E-2</v>
      </c>
      <c r="L17" s="1"/>
      <c r="M17" s="1"/>
      <c r="N17" s="31"/>
    </row>
    <row r="18" spans="2:14" ht="15.75" customHeight="1" x14ac:dyDescent="0.25">
      <c r="B18" s="30"/>
      <c r="C18" s="7" t="s">
        <v>24</v>
      </c>
      <c r="D18" s="8"/>
      <c r="E18" s="12">
        <v>0.13502500000000001</v>
      </c>
      <c r="F18" s="1"/>
      <c r="G18" s="1"/>
      <c r="H18" s="1"/>
      <c r="I18" s="1"/>
      <c r="J18" s="23" t="s">
        <v>93</v>
      </c>
      <c r="K18" s="25">
        <v>0.17889099999999999</v>
      </c>
      <c r="L18" s="1"/>
      <c r="M18" s="1"/>
      <c r="N18" s="31"/>
    </row>
    <row r="19" spans="2:14" ht="15" customHeight="1" x14ac:dyDescent="0.25">
      <c r="B19" s="30"/>
      <c r="C19" s="5" t="s">
        <v>23</v>
      </c>
      <c r="D19" s="6" t="s">
        <v>26</v>
      </c>
      <c r="E19" s="11">
        <v>0.11345</v>
      </c>
      <c r="F19" s="1"/>
      <c r="G19" s="1"/>
      <c r="H19" s="1"/>
      <c r="I19" s="1"/>
      <c r="J19" s="23" t="s">
        <v>65</v>
      </c>
      <c r="K19" s="25">
        <v>1.3733E-2</v>
      </c>
      <c r="L19" s="1"/>
      <c r="M19" s="1"/>
      <c r="N19" s="31"/>
    </row>
    <row r="20" spans="2:14" ht="15" customHeight="1" x14ac:dyDescent="0.25">
      <c r="B20" s="30"/>
      <c r="C20" s="5" t="s">
        <v>25</v>
      </c>
      <c r="D20" s="6" t="s">
        <v>26</v>
      </c>
      <c r="E20" s="11">
        <v>0.109608</v>
      </c>
      <c r="F20" s="1"/>
      <c r="G20" s="1"/>
      <c r="H20" s="1"/>
      <c r="I20" s="1"/>
      <c r="J20" s="1"/>
      <c r="K20" s="1"/>
      <c r="L20" s="1"/>
      <c r="M20" s="1"/>
      <c r="N20" s="31"/>
    </row>
    <row r="21" spans="2:14" ht="15" customHeight="1" x14ac:dyDescent="0.25">
      <c r="B21" s="30"/>
      <c r="C21" s="5" t="s">
        <v>38</v>
      </c>
      <c r="D21" s="6" t="s">
        <v>26</v>
      </c>
      <c r="E21" s="11">
        <v>6.0692999999999997E-2</v>
      </c>
      <c r="F21" s="1"/>
      <c r="G21" s="1"/>
      <c r="H21" s="1"/>
      <c r="I21" s="1"/>
      <c r="J21" s="1"/>
      <c r="K21" s="1"/>
      <c r="L21" s="1"/>
      <c r="M21" s="1"/>
      <c r="N21" s="31"/>
    </row>
    <row r="22" spans="2:14" ht="15" customHeight="1" x14ac:dyDescent="0.25">
      <c r="B22" s="30"/>
      <c r="C22" s="5" t="s">
        <v>35</v>
      </c>
      <c r="D22" s="6" t="s">
        <v>26</v>
      </c>
      <c r="E22" s="11">
        <v>4.8416000000000001E-2</v>
      </c>
      <c r="F22" s="1"/>
      <c r="G22" s="1"/>
      <c r="H22" s="1"/>
      <c r="I22" s="1"/>
      <c r="J22" s="1"/>
      <c r="K22" s="1"/>
      <c r="L22" s="1"/>
      <c r="M22" s="1"/>
      <c r="N22" s="31"/>
    </row>
    <row r="23" spans="2:14" ht="15" customHeight="1" x14ac:dyDescent="0.25">
      <c r="B23" s="30"/>
      <c r="C23" s="5" t="s">
        <v>27</v>
      </c>
      <c r="D23" s="6" t="s">
        <v>26</v>
      </c>
      <c r="E23" s="11">
        <v>1.3167E-2</v>
      </c>
      <c r="F23" s="1"/>
      <c r="G23" s="1"/>
      <c r="H23" s="1"/>
      <c r="I23" s="1"/>
      <c r="J23" s="1"/>
      <c r="K23" s="1"/>
      <c r="L23" s="1"/>
      <c r="M23" s="1"/>
      <c r="N23" s="31"/>
    </row>
    <row r="24" spans="2:14" ht="15" customHeight="1" x14ac:dyDescent="0.25">
      <c r="B24" s="30"/>
      <c r="C24" s="5" t="s">
        <v>28</v>
      </c>
      <c r="D24" s="6" t="s">
        <v>26</v>
      </c>
      <c r="E24" s="11">
        <v>1.2458E-2</v>
      </c>
      <c r="F24" s="1"/>
      <c r="G24" s="1"/>
      <c r="H24" s="1"/>
      <c r="I24" s="1"/>
      <c r="J24" s="1"/>
      <c r="K24" s="1"/>
      <c r="L24" s="1"/>
      <c r="M24" s="1"/>
      <c r="N24" s="31"/>
    </row>
    <row r="25" spans="2:14" ht="15" customHeight="1" x14ac:dyDescent="0.25">
      <c r="B25" s="30"/>
      <c r="C25" s="5" t="s">
        <v>95</v>
      </c>
      <c r="D25" s="6" t="s">
        <v>26</v>
      </c>
      <c r="E25" s="11">
        <v>1.2248999999999999E-2</v>
      </c>
      <c r="F25" s="1"/>
      <c r="G25" s="1"/>
      <c r="H25" s="1"/>
      <c r="I25" s="1"/>
      <c r="J25" s="1"/>
      <c r="K25" s="1"/>
      <c r="L25" s="1"/>
      <c r="M25" s="1"/>
      <c r="N25" s="31"/>
    </row>
    <row r="26" spans="2:14" ht="15" customHeight="1" x14ac:dyDescent="0.25">
      <c r="B26" s="30"/>
      <c r="C26" s="5" t="s">
        <v>97</v>
      </c>
      <c r="D26" s="6" t="s">
        <v>26</v>
      </c>
      <c r="E26" s="11">
        <v>6.6100000000000004E-3</v>
      </c>
      <c r="F26" s="1"/>
      <c r="G26" s="44" t="s">
        <v>17</v>
      </c>
      <c r="H26" s="45"/>
      <c r="I26" s="45"/>
      <c r="J26" s="45"/>
      <c r="K26" s="45"/>
      <c r="L26" s="45"/>
      <c r="M26" s="45"/>
      <c r="N26" s="48"/>
    </row>
    <row r="27" spans="2:14" ht="15" customHeight="1" x14ac:dyDescent="0.25">
      <c r="B27" s="30"/>
      <c r="C27" s="5" t="s">
        <v>121</v>
      </c>
      <c r="D27" s="6" t="s">
        <v>26</v>
      </c>
      <c r="E27" s="11">
        <v>6.2509999999999996E-3</v>
      </c>
      <c r="F27" s="1"/>
      <c r="G27" s="1"/>
      <c r="H27" s="1"/>
      <c r="I27" s="1"/>
      <c r="J27" s="1"/>
      <c r="K27" s="1"/>
      <c r="L27" s="1"/>
      <c r="M27" s="1"/>
      <c r="N27" s="31"/>
    </row>
    <row r="28" spans="2:14" ht="15" customHeight="1" x14ac:dyDescent="0.25">
      <c r="B28" s="30"/>
      <c r="C28" s="5" t="s">
        <v>29</v>
      </c>
      <c r="D28" s="6" t="s">
        <v>26</v>
      </c>
      <c r="E28" s="11">
        <v>5.6340000000000001E-3</v>
      </c>
      <c r="F28" s="1"/>
      <c r="G28" s="1"/>
      <c r="H28" s="1"/>
      <c r="I28" s="1"/>
      <c r="J28" s="1"/>
      <c r="K28" s="1"/>
      <c r="L28" s="1"/>
      <c r="M28" s="1"/>
      <c r="N28" s="31"/>
    </row>
    <row r="29" spans="2:14" ht="15" customHeight="1" x14ac:dyDescent="0.25">
      <c r="B29" s="30"/>
      <c r="C29" s="5" t="s">
        <v>44</v>
      </c>
      <c r="D29" s="6" t="s">
        <v>26</v>
      </c>
      <c r="E29" s="11">
        <v>1.887E-3</v>
      </c>
      <c r="F29" s="1"/>
      <c r="G29" s="1"/>
      <c r="H29" s="1"/>
      <c r="I29" s="1"/>
      <c r="J29" s="1"/>
      <c r="K29" s="1"/>
      <c r="L29" s="1"/>
      <c r="M29" s="1"/>
      <c r="N29" s="31"/>
    </row>
    <row r="30" spans="2:14" ht="15" customHeight="1" x14ac:dyDescent="0.25">
      <c r="B30" s="30"/>
      <c r="C30" s="5" t="s">
        <v>42</v>
      </c>
      <c r="D30" s="6" t="s">
        <v>26</v>
      </c>
      <c r="E30" s="11">
        <v>1.727E-3</v>
      </c>
      <c r="F30" s="1"/>
      <c r="G30" s="1"/>
      <c r="H30" s="1"/>
      <c r="I30" s="1"/>
      <c r="J30" s="1"/>
      <c r="K30" s="1"/>
      <c r="L30" s="1"/>
      <c r="M30" s="1"/>
      <c r="N30" s="31"/>
    </row>
    <row r="31" spans="2:14" ht="15" customHeight="1" x14ac:dyDescent="0.25">
      <c r="B31" s="30"/>
      <c r="C31" s="5" t="s">
        <v>33</v>
      </c>
      <c r="D31" s="6" t="s">
        <v>26</v>
      </c>
      <c r="E31" s="11">
        <v>1.13E-4</v>
      </c>
      <c r="F31" s="1"/>
      <c r="G31" s="1"/>
      <c r="H31" s="1"/>
      <c r="I31" s="1"/>
      <c r="J31" s="1"/>
      <c r="K31" s="1"/>
      <c r="L31" s="1"/>
      <c r="M31" s="1"/>
      <c r="N31" s="31"/>
    </row>
    <row r="32" spans="2:14" ht="15.75" customHeight="1" x14ac:dyDescent="0.25">
      <c r="B32" s="30"/>
      <c r="C32" s="7" t="s">
        <v>46</v>
      </c>
      <c r="D32" s="8"/>
      <c r="E32" s="12">
        <v>0.39226299999999997</v>
      </c>
      <c r="F32" s="1"/>
      <c r="G32" s="1"/>
      <c r="H32" s="1"/>
      <c r="I32" s="1"/>
      <c r="J32" s="1"/>
      <c r="K32" s="1"/>
      <c r="L32" s="1"/>
      <c r="M32" s="1"/>
      <c r="N32" s="31"/>
    </row>
    <row r="33" spans="2:14" ht="15" customHeight="1" x14ac:dyDescent="0.25">
      <c r="B33" s="30"/>
      <c r="C33" s="5" t="s">
        <v>19</v>
      </c>
      <c r="D33" s="6" t="s">
        <v>20</v>
      </c>
      <c r="E33" s="11">
        <v>1.2359999999999999E-2</v>
      </c>
      <c r="F33" s="1"/>
      <c r="G33" s="1"/>
      <c r="H33" s="1"/>
      <c r="I33" s="1"/>
      <c r="J33" s="1"/>
      <c r="K33" s="1"/>
      <c r="L33" s="1"/>
      <c r="M33" s="1"/>
      <c r="N33" s="31"/>
    </row>
    <row r="34" spans="2:14" ht="15.75" customHeight="1" x14ac:dyDescent="0.25">
      <c r="B34" s="30"/>
      <c r="C34" s="7" t="s">
        <v>48</v>
      </c>
      <c r="D34" s="8"/>
      <c r="E34" s="12">
        <v>1.2359999999999999E-2</v>
      </c>
      <c r="F34" s="1"/>
      <c r="G34" s="1"/>
      <c r="H34" s="1"/>
      <c r="I34" s="1"/>
      <c r="J34" s="1"/>
      <c r="K34" s="1"/>
      <c r="L34" s="1"/>
      <c r="M34" s="1"/>
      <c r="N34" s="31"/>
    </row>
    <row r="35" spans="2:14" ht="15" customHeight="1" x14ac:dyDescent="0.25">
      <c r="B35" s="30"/>
      <c r="C35" s="5" t="s">
        <v>67</v>
      </c>
      <c r="D35" s="6" t="s">
        <v>50</v>
      </c>
      <c r="E35" s="11">
        <v>1.2348E-2</v>
      </c>
      <c r="F35" s="1"/>
      <c r="G35" s="1"/>
      <c r="H35" s="1"/>
      <c r="I35" s="1"/>
      <c r="J35" s="1"/>
      <c r="K35" s="1"/>
      <c r="L35" s="1"/>
      <c r="M35" s="1"/>
      <c r="N35" s="31"/>
    </row>
    <row r="36" spans="2:14" ht="15" customHeight="1" x14ac:dyDescent="0.25">
      <c r="B36" s="30"/>
      <c r="C36" s="5" t="s">
        <v>122</v>
      </c>
      <c r="D36" s="6" t="s">
        <v>50</v>
      </c>
      <c r="E36" s="11">
        <v>6.8000000000000005E-4</v>
      </c>
      <c r="F36" s="1"/>
      <c r="G36" s="1"/>
      <c r="H36" s="1"/>
      <c r="I36" s="1"/>
      <c r="J36" s="1"/>
      <c r="K36" s="1"/>
      <c r="L36" s="1"/>
      <c r="M36" s="1"/>
      <c r="N36" s="31"/>
    </row>
    <row r="37" spans="2:14" ht="15" customHeight="1" x14ac:dyDescent="0.25">
      <c r="B37" s="30"/>
      <c r="C37" s="5" t="s">
        <v>123</v>
      </c>
      <c r="D37" s="6" t="s">
        <v>50</v>
      </c>
      <c r="E37" s="11">
        <v>1.27E-4</v>
      </c>
      <c r="F37" s="1"/>
      <c r="G37" s="1"/>
      <c r="H37" s="1"/>
      <c r="I37" s="1"/>
      <c r="J37" s="1"/>
      <c r="K37" s="1"/>
      <c r="L37" s="1"/>
      <c r="M37" s="1"/>
      <c r="N37" s="31"/>
    </row>
    <row r="38" spans="2:14" ht="15.75" customHeight="1" x14ac:dyDescent="0.25">
      <c r="B38" s="30"/>
      <c r="C38" s="7" t="s">
        <v>56</v>
      </c>
      <c r="D38" s="8"/>
      <c r="E38" s="12">
        <v>1.3155E-2</v>
      </c>
      <c r="F38" s="1"/>
      <c r="G38" s="1"/>
      <c r="H38" s="1"/>
      <c r="I38" s="1"/>
      <c r="J38" s="1"/>
      <c r="K38" s="1"/>
      <c r="L38" s="1"/>
      <c r="M38" s="1"/>
      <c r="N38" s="31"/>
    </row>
    <row r="39" spans="2:14" ht="15" customHeight="1" x14ac:dyDescent="0.25">
      <c r="B39" s="30"/>
      <c r="C39" s="5" t="s">
        <v>144</v>
      </c>
      <c r="D39" s="6" t="s">
        <v>50</v>
      </c>
      <c r="E39" s="11">
        <v>3.8440000000000002E-3</v>
      </c>
      <c r="F39" s="1"/>
      <c r="G39" s="1"/>
      <c r="H39" s="1"/>
      <c r="I39" s="1"/>
      <c r="J39" s="1"/>
      <c r="K39" s="1"/>
      <c r="L39" s="1"/>
      <c r="M39" s="1"/>
      <c r="N39" s="31"/>
    </row>
    <row r="40" spans="2:14" ht="15.75" customHeight="1" x14ac:dyDescent="0.25">
      <c r="B40" s="30"/>
      <c r="C40" s="5" t="s">
        <v>133</v>
      </c>
      <c r="D40" s="6" t="s">
        <v>50</v>
      </c>
      <c r="E40" s="11">
        <v>3.8379999999999998E-3</v>
      </c>
      <c r="F40" s="1"/>
      <c r="G40" s="1"/>
      <c r="H40" s="1"/>
      <c r="I40" s="1"/>
      <c r="J40" s="1"/>
      <c r="K40" s="1"/>
      <c r="L40" s="1"/>
      <c r="M40" s="1"/>
      <c r="N40" s="31"/>
    </row>
    <row r="41" spans="2:14" ht="15" customHeight="1" x14ac:dyDescent="0.25">
      <c r="B41" s="30"/>
      <c r="C41" s="5" t="s">
        <v>132</v>
      </c>
      <c r="D41" s="6" t="s">
        <v>50</v>
      </c>
      <c r="E41" s="11">
        <v>2.0149999999999999E-3</v>
      </c>
      <c r="F41" s="1"/>
      <c r="G41" s="1"/>
      <c r="H41" s="1"/>
      <c r="I41" s="1"/>
      <c r="J41" s="1"/>
      <c r="K41" s="1"/>
      <c r="L41" s="1"/>
      <c r="M41" s="1"/>
      <c r="N41" s="31"/>
    </row>
    <row r="42" spans="2:14" ht="15.75" customHeight="1" x14ac:dyDescent="0.25">
      <c r="B42" s="30"/>
      <c r="C42" s="5" t="s">
        <v>146</v>
      </c>
      <c r="D42" s="6" t="s">
        <v>50</v>
      </c>
      <c r="E42" s="11">
        <v>1.926E-3</v>
      </c>
      <c r="F42" s="1"/>
      <c r="G42" s="1"/>
      <c r="H42" s="1"/>
      <c r="I42" s="1"/>
      <c r="J42" s="1"/>
      <c r="K42" s="1"/>
      <c r="L42" s="1"/>
      <c r="M42" s="1"/>
      <c r="N42" s="31"/>
    </row>
    <row r="43" spans="2:14" ht="15" customHeight="1" x14ac:dyDescent="0.25">
      <c r="B43" s="30"/>
      <c r="C43" s="5" t="s">
        <v>131</v>
      </c>
      <c r="D43" s="6" t="s">
        <v>50</v>
      </c>
      <c r="E43" s="11">
        <v>6.6299999999999996E-4</v>
      </c>
      <c r="F43" s="1"/>
      <c r="G43" s="1"/>
      <c r="H43" s="1"/>
      <c r="I43" s="1"/>
      <c r="J43" s="1"/>
      <c r="K43" s="1"/>
      <c r="L43" s="1"/>
      <c r="M43" s="1"/>
      <c r="N43" s="31"/>
    </row>
    <row r="44" spans="2:14" ht="15" customHeight="1" x14ac:dyDescent="0.25">
      <c r="B44" s="30"/>
      <c r="C44" s="5" t="s">
        <v>138</v>
      </c>
      <c r="D44" s="6" t="s">
        <v>50</v>
      </c>
      <c r="E44" s="11">
        <v>5.7799999999999995E-4</v>
      </c>
      <c r="F44" s="1"/>
      <c r="G44" s="1"/>
      <c r="H44" s="1"/>
      <c r="I44" s="1"/>
      <c r="J44" s="1"/>
      <c r="K44" s="1"/>
      <c r="L44" s="1"/>
      <c r="M44" s="1"/>
      <c r="N44" s="31"/>
    </row>
    <row r="45" spans="2:14" ht="15" customHeight="1" x14ac:dyDescent="0.25">
      <c r="B45" s="30"/>
      <c r="C45" s="5" t="s">
        <v>139</v>
      </c>
      <c r="D45" s="6" t="s">
        <v>50</v>
      </c>
      <c r="E45" s="11">
        <v>3.4099999999999999E-4</v>
      </c>
      <c r="F45" s="1"/>
      <c r="G45" s="1"/>
      <c r="H45" s="1"/>
      <c r="I45" s="1"/>
      <c r="J45" s="1"/>
      <c r="K45" s="1"/>
      <c r="L45" s="1"/>
      <c r="M45" s="1"/>
      <c r="N45" s="31"/>
    </row>
    <row r="46" spans="2:14" ht="15" customHeight="1" x14ac:dyDescent="0.25">
      <c r="B46" s="30"/>
      <c r="C46" s="5" t="s">
        <v>134</v>
      </c>
      <c r="D46" s="6" t="s">
        <v>50</v>
      </c>
      <c r="E46" s="11">
        <v>2.9500000000000001E-4</v>
      </c>
      <c r="F46" s="1"/>
      <c r="G46" s="1"/>
      <c r="H46" s="1"/>
      <c r="I46" s="1"/>
      <c r="J46" s="1"/>
      <c r="K46" s="1"/>
      <c r="L46" s="1"/>
      <c r="M46" s="1"/>
      <c r="N46" s="31"/>
    </row>
    <row r="47" spans="2:14" ht="15.75" customHeight="1" x14ac:dyDescent="0.25">
      <c r="B47" s="30"/>
      <c r="C47" s="5" t="s">
        <v>145</v>
      </c>
      <c r="D47" s="6" t="s">
        <v>50</v>
      </c>
      <c r="E47" s="11">
        <v>2.1599999999999999E-4</v>
      </c>
      <c r="F47" s="1"/>
      <c r="G47" s="1"/>
      <c r="H47" s="1"/>
      <c r="I47" s="1"/>
      <c r="J47" s="1"/>
      <c r="K47" s="1"/>
      <c r="L47" s="1"/>
      <c r="M47" s="1"/>
      <c r="N47" s="31"/>
    </row>
    <row r="48" spans="2:14" ht="15" customHeight="1" x14ac:dyDescent="0.25">
      <c r="B48" s="30"/>
      <c r="C48" s="5" t="s">
        <v>147</v>
      </c>
      <c r="D48" s="6" t="s">
        <v>50</v>
      </c>
      <c r="E48" s="11">
        <v>1.9599999999999999E-4</v>
      </c>
      <c r="F48" s="1"/>
      <c r="G48" s="1"/>
      <c r="H48" s="1"/>
      <c r="I48" s="1"/>
      <c r="J48" s="1"/>
      <c r="K48" s="1"/>
      <c r="L48" s="1"/>
      <c r="M48" s="1"/>
      <c r="N48" s="31"/>
    </row>
    <row r="49" spans="2:14" ht="15.75" customHeight="1" x14ac:dyDescent="0.25">
      <c r="B49" s="30"/>
      <c r="C49" s="5" t="s">
        <v>142</v>
      </c>
      <c r="D49" s="6" t="s">
        <v>50</v>
      </c>
      <c r="E49" s="11">
        <v>1.8100000000000001E-4</v>
      </c>
      <c r="F49" s="1"/>
      <c r="G49" s="1"/>
      <c r="H49" s="1"/>
      <c r="I49" s="1"/>
      <c r="J49" s="1"/>
      <c r="K49" s="1"/>
      <c r="L49" s="1"/>
      <c r="M49" s="1"/>
      <c r="N49" s="31"/>
    </row>
    <row r="50" spans="2:14" ht="15" customHeight="1" x14ac:dyDescent="0.25">
      <c r="B50" s="30"/>
      <c r="C50" s="5" t="s">
        <v>143</v>
      </c>
      <c r="D50" s="6" t="s">
        <v>50</v>
      </c>
      <c r="E50" s="11">
        <v>7.7000000000000001E-5</v>
      </c>
      <c r="F50" s="1"/>
      <c r="G50" s="1"/>
      <c r="H50" s="1"/>
      <c r="I50" s="1"/>
      <c r="J50" s="1"/>
      <c r="K50" s="1"/>
      <c r="L50" s="1"/>
      <c r="M50" s="1"/>
      <c r="N50" s="31"/>
    </row>
    <row r="51" spans="2:14" ht="15" customHeight="1" x14ac:dyDescent="0.25">
      <c r="B51" s="30"/>
      <c r="C51" s="5" t="s">
        <v>135</v>
      </c>
      <c r="D51" s="6" t="s">
        <v>50</v>
      </c>
      <c r="E51" s="11">
        <v>7.4999999999999993E-5</v>
      </c>
      <c r="F51" s="1"/>
      <c r="G51" s="1"/>
      <c r="H51" s="1"/>
      <c r="I51" s="1"/>
      <c r="J51" s="1"/>
      <c r="K51" s="1"/>
      <c r="L51" s="1"/>
      <c r="M51" s="1"/>
      <c r="N51" s="31"/>
    </row>
    <row r="52" spans="2:14" ht="15" customHeight="1" x14ac:dyDescent="0.25">
      <c r="B52" s="30"/>
      <c r="C52" s="5" t="s">
        <v>137</v>
      </c>
      <c r="D52" s="6" t="s">
        <v>50</v>
      </c>
      <c r="E52" s="11">
        <v>6.7999999999999999E-5</v>
      </c>
      <c r="F52" s="1"/>
      <c r="G52" s="1"/>
      <c r="H52" s="1"/>
      <c r="I52" s="1"/>
      <c r="J52" s="1"/>
      <c r="K52" s="1"/>
      <c r="L52" s="1"/>
      <c r="M52" s="1"/>
      <c r="N52" s="31"/>
    </row>
    <row r="53" spans="2:14" ht="15" customHeight="1" x14ac:dyDescent="0.25">
      <c r="B53" s="30"/>
      <c r="C53" s="5" t="s">
        <v>136</v>
      </c>
      <c r="D53" s="6" t="s">
        <v>50</v>
      </c>
      <c r="E53" s="11">
        <v>6.3E-5</v>
      </c>
      <c r="F53" s="1"/>
      <c r="G53" s="1"/>
      <c r="H53" s="1"/>
      <c r="I53" s="1"/>
      <c r="J53" s="1"/>
      <c r="K53" s="1"/>
      <c r="L53" s="1"/>
      <c r="M53" s="1"/>
      <c r="N53" s="31"/>
    </row>
    <row r="54" spans="2:14" ht="15.75" customHeight="1" x14ac:dyDescent="0.25">
      <c r="B54" s="30"/>
      <c r="C54" s="5" t="s">
        <v>141</v>
      </c>
      <c r="D54" s="6" t="s">
        <v>50</v>
      </c>
      <c r="E54" s="11">
        <v>5.1E-5</v>
      </c>
      <c r="F54" s="1"/>
      <c r="G54" s="1"/>
      <c r="H54" s="1"/>
      <c r="I54" s="1"/>
      <c r="J54" s="1"/>
      <c r="K54" s="1"/>
      <c r="L54" s="1"/>
      <c r="M54" s="1"/>
      <c r="N54" s="31"/>
    </row>
    <row r="55" spans="2:14" ht="15" customHeight="1" x14ac:dyDescent="0.25">
      <c r="B55" s="30"/>
      <c r="C55" s="5" t="s">
        <v>140</v>
      </c>
      <c r="D55" s="6" t="s">
        <v>50</v>
      </c>
      <c r="E55" s="26">
        <v>3.1999999999999999E-5</v>
      </c>
      <c r="F55" s="1"/>
      <c r="G55" s="1"/>
      <c r="H55" s="1"/>
      <c r="I55" s="1"/>
      <c r="J55" s="1"/>
      <c r="K55" s="1"/>
      <c r="L55" s="1"/>
      <c r="M55" s="1"/>
      <c r="N55" s="31"/>
    </row>
    <row r="56" spans="2:14" ht="15.75" customHeight="1" x14ac:dyDescent="0.25">
      <c r="B56" s="30"/>
      <c r="C56" s="7" t="s">
        <v>57</v>
      </c>
      <c r="D56" s="8"/>
      <c r="E56" s="12">
        <v>1.4459E-2</v>
      </c>
      <c r="F56" s="1"/>
      <c r="G56" s="1"/>
      <c r="H56" s="1"/>
      <c r="I56" s="1"/>
      <c r="J56" s="1"/>
      <c r="K56" s="1"/>
      <c r="L56" s="1"/>
      <c r="M56" s="1"/>
      <c r="N56" s="31"/>
    </row>
    <row r="57" spans="2:14" ht="15" customHeight="1" x14ac:dyDescent="0.25">
      <c r="B57" s="30"/>
      <c r="C57" s="5" t="s">
        <v>90</v>
      </c>
      <c r="D57" s="6" t="s">
        <v>50</v>
      </c>
      <c r="E57" s="11">
        <v>8.0160999999999996E-2</v>
      </c>
      <c r="F57" s="1"/>
      <c r="G57" s="1"/>
      <c r="H57" s="1"/>
      <c r="I57" s="1"/>
      <c r="J57" s="1"/>
      <c r="K57" s="1"/>
      <c r="L57" s="1"/>
      <c r="M57" s="1"/>
      <c r="N57" s="31"/>
    </row>
    <row r="58" spans="2:14" ht="15" customHeight="1" x14ac:dyDescent="0.25">
      <c r="B58" s="30"/>
      <c r="C58" s="5" t="s">
        <v>87</v>
      </c>
      <c r="D58" s="6" t="s">
        <v>50</v>
      </c>
      <c r="E58" s="11">
        <v>4.9391999999999998E-2</v>
      </c>
      <c r="F58" s="1"/>
      <c r="G58" s="1"/>
      <c r="H58" s="1"/>
      <c r="I58" s="1"/>
      <c r="J58" s="1"/>
      <c r="K58" s="1"/>
      <c r="L58" s="1"/>
      <c r="M58" s="1"/>
      <c r="N58" s="31"/>
    </row>
    <row r="59" spans="2:14" ht="15" customHeight="1" x14ac:dyDescent="0.25">
      <c r="B59" s="30"/>
      <c r="C59" s="5" t="s">
        <v>86</v>
      </c>
      <c r="D59" s="6" t="s">
        <v>50</v>
      </c>
      <c r="E59" s="11">
        <v>3.6998000000000003E-2</v>
      </c>
      <c r="F59" s="1"/>
      <c r="G59" s="1"/>
      <c r="H59" s="1"/>
      <c r="I59" s="1"/>
      <c r="J59" s="1"/>
      <c r="K59" s="1"/>
      <c r="L59" s="1"/>
      <c r="M59" s="1"/>
      <c r="N59" s="31"/>
    </row>
    <row r="60" spans="2:14" ht="15" customHeight="1" x14ac:dyDescent="0.25">
      <c r="B60" s="30"/>
      <c r="C60" s="5" t="s">
        <v>91</v>
      </c>
      <c r="D60" s="6" t="s">
        <v>50</v>
      </c>
      <c r="E60" s="11">
        <v>1.234E-2</v>
      </c>
      <c r="F60" s="1"/>
      <c r="G60" s="1"/>
      <c r="H60" s="1"/>
      <c r="I60" s="1"/>
      <c r="J60" s="1"/>
      <c r="K60" s="1"/>
      <c r="L60" s="1"/>
      <c r="M60" s="1"/>
      <c r="N60" s="31"/>
    </row>
    <row r="61" spans="2:14" ht="15.75" customHeight="1" x14ac:dyDescent="0.25">
      <c r="B61" s="30"/>
      <c r="C61" s="7" t="s">
        <v>92</v>
      </c>
      <c r="D61" s="8"/>
      <c r="E61" s="12">
        <v>0.17889099999999999</v>
      </c>
      <c r="F61" s="1"/>
      <c r="G61" s="1"/>
      <c r="H61" s="1"/>
      <c r="I61" s="1"/>
      <c r="J61" s="1"/>
      <c r="K61" s="1"/>
      <c r="L61" s="1"/>
      <c r="M61" s="1"/>
      <c r="N61" s="31"/>
    </row>
    <row r="62" spans="2:14" ht="15" customHeight="1" x14ac:dyDescent="0.25">
      <c r="B62" s="30"/>
      <c r="C62" s="5" t="s">
        <v>8</v>
      </c>
      <c r="D62" s="6"/>
      <c r="E62" s="11">
        <v>0.16586699999999999</v>
      </c>
      <c r="F62" s="1"/>
      <c r="G62" s="1"/>
      <c r="H62" s="1"/>
      <c r="I62" s="1"/>
      <c r="J62" s="1"/>
      <c r="K62" s="1"/>
      <c r="L62" s="1"/>
      <c r="M62" s="1"/>
      <c r="N62" s="31"/>
    </row>
    <row r="63" spans="2:14" ht="15.75" customHeight="1" x14ac:dyDescent="0.25">
      <c r="B63" s="30"/>
      <c r="C63" s="7" t="s">
        <v>9</v>
      </c>
      <c r="D63" s="8"/>
      <c r="E63" s="12">
        <v>0.16586699999999999</v>
      </c>
      <c r="F63" s="1"/>
      <c r="G63" s="1"/>
      <c r="H63" s="1"/>
      <c r="I63" s="1"/>
      <c r="J63" s="1"/>
      <c r="K63" s="1"/>
      <c r="L63" s="1"/>
      <c r="M63" s="1"/>
      <c r="N63" s="31"/>
    </row>
    <row r="64" spans="2:14" ht="15" customHeight="1" x14ac:dyDescent="0.25">
      <c r="B64" s="30"/>
      <c r="C64" s="5" t="s">
        <v>38</v>
      </c>
      <c r="D64" s="6" t="s">
        <v>26</v>
      </c>
      <c r="E64" s="11">
        <v>1.3122999999999999E-2</v>
      </c>
      <c r="F64" s="1"/>
      <c r="G64" s="1"/>
      <c r="H64" s="1"/>
      <c r="I64" s="1"/>
      <c r="J64" s="1"/>
      <c r="K64" s="1"/>
      <c r="L64" s="1"/>
      <c r="M64" s="1"/>
      <c r="N64" s="31"/>
    </row>
    <row r="65" spans="2:14" ht="15" customHeight="1" x14ac:dyDescent="0.25">
      <c r="B65" s="30"/>
      <c r="C65" s="5" t="s">
        <v>124</v>
      </c>
      <c r="D65" s="6" t="s">
        <v>26</v>
      </c>
      <c r="E65" s="11">
        <v>6.0999999999999997E-4</v>
      </c>
      <c r="F65" s="1"/>
      <c r="G65" s="1"/>
      <c r="H65" s="1"/>
      <c r="I65" s="1"/>
      <c r="J65" s="1"/>
      <c r="K65" s="1"/>
      <c r="L65" s="1"/>
      <c r="M65" s="1"/>
      <c r="N65" s="31"/>
    </row>
    <row r="66" spans="2:14" ht="15.75" customHeight="1" x14ac:dyDescent="0.25">
      <c r="B66" s="30"/>
      <c r="C66" s="7" t="s">
        <v>58</v>
      </c>
      <c r="D66" s="8"/>
      <c r="E66" s="12">
        <v>1.3733E-2</v>
      </c>
      <c r="F66" s="1"/>
      <c r="G66" s="1"/>
      <c r="H66" s="1"/>
      <c r="I66" s="1"/>
      <c r="J66" s="1"/>
      <c r="K66" s="1"/>
      <c r="L66" s="1"/>
      <c r="M66" s="1"/>
      <c r="N66" s="31"/>
    </row>
    <row r="67" spans="2:14" ht="15" customHeight="1" x14ac:dyDescent="0.25">
      <c r="B67" s="30"/>
      <c r="C67" s="5"/>
      <c r="D67" s="6"/>
      <c r="E67" s="11"/>
      <c r="F67" s="1"/>
      <c r="G67" s="1"/>
      <c r="H67" s="1"/>
      <c r="I67" s="1"/>
      <c r="J67" s="1"/>
      <c r="K67" s="1"/>
      <c r="L67" s="1"/>
      <c r="M67" s="1"/>
      <c r="N67" s="31"/>
    </row>
    <row r="68" spans="2:14" ht="15.75" customHeight="1" x14ac:dyDescent="0.25">
      <c r="B68" s="30"/>
      <c r="C68" s="7" t="s">
        <v>10</v>
      </c>
      <c r="D68" s="8"/>
      <c r="E68" s="12">
        <v>1.3827000000000001E-2</v>
      </c>
      <c r="F68" s="1"/>
      <c r="G68" s="1"/>
      <c r="H68" s="1"/>
      <c r="I68" s="1"/>
      <c r="J68" s="1"/>
      <c r="K68" s="1"/>
      <c r="L68" s="1"/>
      <c r="M68" s="1"/>
      <c r="N68" s="31"/>
    </row>
    <row r="69" spans="2:14" ht="15" customHeight="1" x14ac:dyDescent="0.25">
      <c r="B69" s="30"/>
      <c r="C69" s="5"/>
      <c r="D69" s="6"/>
      <c r="E69" s="11"/>
      <c r="F69" s="1"/>
      <c r="G69" s="1"/>
      <c r="H69" s="1"/>
      <c r="I69" s="1"/>
      <c r="J69" s="1"/>
      <c r="K69" s="1"/>
      <c r="L69" s="1"/>
      <c r="M69" s="1"/>
      <c r="N69" s="31"/>
    </row>
    <row r="70" spans="2:14" ht="15" customHeight="1" x14ac:dyDescent="0.25">
      <c r="B70" s="30"/>
      <c r="C70" s="9" t="s">
        <v>11</v>
      </c>
      <c r="D70" s="10"/>
      <c r="E70" s="13">
        <v>1</v>
      </c>
      <c r="F70" s="1"/>
      <c r="G70" s="1"/>
      <c r="H70" s="1"/>
      <c r="I70" s="1"/>
      <c r="J70" s="1"/>
      <c r="K70" s="1"/>
      <c r="L70" s="1"/>
      <c r="M70" s="1"/>
      <c r="N70" s="31"/>
    </row>
    <row r="71" spans="2:14" ht="15" customHeight="1" x14ac:dyDescent="0.25">
      <c r="B71" s="30"/>
      <c r="C71" s="1"/>
      <c r="D71" s="1"/>
      <c r="E71" s="1"/>
      <c r="F71" s="1"/>
      <c r="G71" s="1"/>
      <c r="H71" s="1"/>
      <c r="I71" s="1"/>
      <c r="J71" s="1"/>
      <c r="K71" s="1"/>
      <c r="L71" s="1"/>
      <c r="M71" s="1"/>
      <c r="N71" s="31"/>
    </row>
    <row r="72" spans="2:14" ht="15" customHeight="1" x14ac:dyDescent="0.25">
      <c r="B72" s="30"/>
      <c r="C72" s="35" t="s">
        <v>117</v>
      </c>
      <c r="D72" s="35"/>
      <c r="E72" s="36">
        <v>1.1738E-2</v>
      </c>
      <c r="F72" s="1"/>
      <c r="G72" s="1"/>
      <c r="H72" s="1"/>
      <c r="I72" s="1"/>
      <c r="J72" s="1"/>
      <c r="K72" s="1"/>
      <c r="L72" s="1"/>
      <c r="M72" s="1"/>
      <c r="N72" s="31"/>
    </row>
    <row r="73" spans="2:14" ht="15" customHeight="1" x14ac:dyDescent="0.25">
      <c r="B73" s="30"/>
      <c r="F73" s="1"/>
      <c r="G73" s="1"/>
      <c r="H73" s="1"/>
      <c r="I73" s="1"/>
      <c r="J73" s="1"/>
      <c r="K73" s="1"/>
      <c r="L73" s="1"/>
      <c r="M73" s="1"/>
      <c r="N73" s="31"/>
    </row>
    <row r="74" spans="2:14" ht="15" customHeight="1" thickBot="1" x14ac:dyDescent="0.3">
      <c r="B74" s="32"/>
      <c r="C74" s="33"/>
      <c r="D74" s="33"/>
      <c r="E74" s="33"/>
      <c r="F74" s="33"/>
      <c r="G74" s="33"/>
      <c r="H74" s="33"/>
      <c r="I74" s="33"/>
      <c r="J74" s="33"/>
      <c r="K74" s="33"/>
      <c r="L74" s="33"/>
      <c r="M74" s="33"/>
      <c r="N74" s="34"/>
    </row>
    <row r="75" spans="2:14" ht="15" customHeight="1" thickBot="1" x14ac:dyDescent="0.3"/>
    <row r="76" spans="2:14" ht="108.75" customHeight="1" thickBot="1" x14ac:dyDescent="0.3">
      <c r="B76" s="38" t="s">
        <v>130</v>
      </c>
      <c r="C76" s="39"/>
      <c r="D76" s="39"/>
      <c r="E76" s="39"/>
      <c r="F76" s="39"/>
      <c r="G76" s="39"/>
      <c r="H76" s="39"/>
      <c r="I76" s="39"/>
      <c r="J76" s="39"/>
      <c r="K76" s="39"/>
      <c r="L76" s="39"/>
      <c r="M76" s="39"/>
      <c r="N76" s="40"/>
    </row>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sheetData>
  <sortState ref="C39:E55">
    <sortCondition descending="1" ref="E39"/>
  </sortState>
  <mergeCells count="4">
    <mergeCell ref="B76:N76"/>
    <mergeCell ref="C3:N3"/>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001A-58FD-437E-93B2-543B498471E2}">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125</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19</v>
      </c>
      <c r="D8" s="6" t="s">
        <v>20</v>
      </c>
      <c r="E8" s="11">
        <v>9.0328000000000006E-2</v>
      </c>
      <c r="F8" s="1"/>
      <c r="G8" s="23" t="s">
        <v>15</v>
      </c>
      <c r="H8" s="24">
        <v>1</v>
      </c>
      <c r="I8" s="1"/>
      <c r="J8" s="23" t="s">
        <v>12</v>
      </c>
      <c r="K8" s="23" t="s">
        <v>3</v>
      </c>
      <c r="L8" s="1"/>
      <c r="M8" s="1"/>
      <c r="N8" s="17"/>
    </row>
    <row r="9" spans="2:14" ht="15" customHeight="1" x14ac:dyDescent="0.25">
      <c r="B9" s="19"/>
      <c r="C9" s="5" t="s">
        <v>21</v>
      </c>
      <c r="D9" s="6" t="s">
        <v>20</v>
      </c>
      <c r="E9" s="11">
        <v>4.3758999999999999E-2</v>
      </c>
      <c r="F9" s="1"/>
      <c r="G9" s="1"/>
      <c r="H9" s="1"/>
      <c r="I9" s="1"/>
      <c r="J9" s="23" t="s">
        <v>10</v>
      </c>
      <c r="K9" s="25">
        <v>1.029E-3</v>
      </c>
      <c r="L9" s="1"/>
      <c r="M9" s="1"/>
      <c r="N9" s="17"/>
    </row>
    <row r="10" spans="2:14" ht="15" customHeight="1" x14ac:dyDescent="0.25">
      <c r="B10" s="19"/>
      <c r="C10" s="5" t="s">
        <v>25</v>
      </c>
      <c r="D10" s="6" t="s">
        <v>20</v>
      </c>
      <c r="E10" s="11">
        <v>1.7368000000000001E-2</v>
      </c>
      <c r="F10" s="1"/>
      <c r="G10" s="1"/>
      <c r="H10" s="1"/>
      <c r="I10" s="1"/>
      <c r="J10" s="23" t="s">
        <v>13</v>
      </c>
      <c r="K10" s="25">
        <v>0.20244799999999999</v>
      </c>
      <c r="L10" s="1"/>
      <c r="M10" s="1"/>
      <c r="N10" s="17"/>
    </row>
    <row r="11" spans="2:14" ht="15.75" customHeight="1" x14ac:dyDescent="0.25">
      <c r="B11" s="19"/>
      <c r="C11" s="7" t="s">
        <v>22</v>
      </c>
      <c r="D11" s="8"/>
      <c r="E11" s="12">
        <v>0.15145500000000001</v>
      </c>
      <c r="F11" s="1"/>
      <c r="G11" s="1"/>
      <c r="H11" s="1"/>
      <c r="I11" s="1"/>
      <c r="J11" s="23" t="s">
        <v>59</v>
      </c>
      <c r="K11" s="25">
        <v>0.15145500000000001</v>
      </c>
      <c r="L11" s="1"/>
      <c r="M11" s="1"/>
      <c r="N11" s="17"/>
    </row>
    <row r="12" spans="2:14" ht="15" customHeight="1" x14ac:dyDescent="0.25">
      <c r="B12" s="19"/>
      <c r="C12" s="5" t="s">
        <v>71</v>
      </c>
      <c r="D12" s="6" t="s">
        <v>20</v>
      </c>
      <c r="E12" s="11">
        <v>9.5158000000000006E-2</v>
      </c>
      <c r="F12" s="1"/>
      <c r="G12" s="1"/>
      <c r="H12" s="1"/>
      <c r="I12" s="1"/>
      <c r="J12" s="23" t="s">
        <v>61</v>
      </c>
      <c r="K12" s="25">
        <v>0.34636899999999998</v>
      </c>
      <c r="L12" s="1"/>
      <c r="M12" s="1"/>
      <c r="N12" s="17"/>
    </row>
    <row r="13" spans="2:14" ht="15" customHeight="1" x14ac:dyDescent="0.25">
      <c r="B13" s="19"/>
      <c r="C13" s="5" t="s">
        <v>113</v>
      </c>
      <c r="D13" s="6" t="s">
        <v>20</v>
      </c>
      <c r="E13" s="11">
        <v>3.8013999999999999E-2</v>
      </c>
      <c r="F13" s="1"/>
      <c r="G13" s="1"/>
      <c r="H13" s="1"/>
      <c r="I13" s="1"/>
      <c r="J13" s="23" t="s">
        <v>63</v>
      </c>
      <c r="K13" s="25">
        <v>1.273E-3</v>
      </c>
      <c r="L13" s="1"/>
      <c r="M13" s="1"/>
      <c r="N13" s="17"/>
    </row>
    <row r="14" spans="2:14" ht="15" customHeight="1" x14ac:dyDescent="0.25">
      <c r="B14" s="19"/>
      <c r="C14" s="5" t="s">
        <v>81</v>
      </c>
      <c r="D14" s="6" t="s">
        <v>20</v>
      </c>
      <c r="E14" s="11">
        <v>3.4778999999999997E-2</v>
      </c>
      <c r="F14" s="1"/>
      <c r="G14" s="1"/>
      <c r="H14" s="1"/>
      <c r="I14" s="1"/>
      <c r="J14" s="23" t="s">
        <v>64</v>
      </c>
      <c r="K14" s="25">
        <v>0.12945000000000001</v>
      </c>
      <c r="L14" s="1"/>
      <c r="M14" s="1"/>
      <c r="N14" s="17"/>
    </row>
    <row r="15" spans="2:14" ht="15" customHeight="1" x14ac:dyDescent="0.25">
      <c r="B15" s="19"/>
      <c r="C15" s="5" t="s">
        <v>95</v>
      </c>
      <c r="D15" s="6" t="s">
        <v>20</v>
      </c>
      <c r="E15" s="11">
        <v>3.4640999999999998E-2</v>
      </c>
      <c r="F15" s="1"/>
      <c r="G15" s="1"/>
      <c r="H15" s="1"/>
      <c r="I15" s="1"/>
      <c r="J15" s="23" t="s">
        <v>93</v>
      </c>
      <c r="K15" s="25">
        <v>0.16797599999999999</v>
      </c>
      <c r="L15" s="1"/>
      <c r="M15" s="1"/>
      <c r="N15" s="17"/>
    </row>
    <row r="16" spans="2:14" ht="15" customHeight="1" x14ac:dyDescent="0.25">
      <c r="B16" s="19"/>
      <c r="C16" s="5" t="s">
        <v>124</v>
      </c>
      <c r="D16" s="6" t="s">
        <v>20</v>
      </c>
      <c r="E16" s="11">
        <v>3.4616000000000001E-2</v>
      </c>
      <c r="F16" s="1"/>
      <c r="G16" s="1"/>
      <c r="H16" s="1"/>
      <c r="I16" s="1"/>
      <c r="J16" s="1"/>
      <c r="K16" s="1"/>
      <c r="L16" s="1"/>
      <c r="M16" s="1"/>
      <c r="N16" s="17"/>
    </row>
    <row r="17" spans="2:14" ht="15" customHeight="1" x14ac:dyDescent="0.25">
      <c r="B17" s="19"/>
      <c r="C17" s="5" t="s">
        <v>23</v>
      </c>
      <c r="D17" s="6" t="s">
        <v>20</v>
      </c>
      <c r="E17" s="11">
        <v>3.4478000000000002E-2</v>
      </c>
      <c r="F17" s="1"/>
      <c r="G17" s="1"/>
      <c r="H17" s="1"/>
      <c r="I17" s="1"/>
      <c r="J17" s="1"/>
      <c r="K17" s="1"/>
      <c r="L17" s="1"/>
      <c r="M17" s="1"/>
      <c r="N17" s="17"/>
    </row>
    <row r="18" spans="2:14" ht="15" customHeight="1" x14ac:dyDescent="0.25">
      <c r="B18" s="19"/>
      <c r="C18" s="5" t="s">
        <v>38</v>
      </c>
      <c r="D18" s="6" t="s">
        <v>20</v>
      </c>
      <c r="E18" s="11">
        <v>2.5732000000000001E-2</v>
      </c>
      <c r="F18" s="1"/>
      <c r="G18" s="1"/>
      <c r="H18" s="1"/>
      <c r="I18" s="1"/>
      <c r="J18" s="1"/>
      <c r="K18" s="1"/>
      <c r="L18" s="1"/>
      <c r="M18" s="1"/>
      <c r="N18" s="17"/>
    </row>
    <row r="19" spans="2:14" ht="15" customHeight="1" x14ac:dyDescent="0.25">
      <c r="B19" s="19"/>
      <c r="C19" s="5" t="s">
        <v>44</v>
      </c>
      <c r="D19" s="6" t="s">
        <v>20</v>
      </c>
      <c r="E19" s="11">
        <v>1.7493000000000002E-2</v>
      </c>
      <c r="F19" s="1"/>
      <c r="G19" s="1"/>
      <c r="H19" s="1"/>
      <c r="I19" s="1"/>
      <c r="J19" s="1"/>
      <c r="K19" s="1"/>
      <c r="L19" s="1"/>
      <c r="M19" s="1"/>
      <c r="N19" s="17"/>
    </row>
    <row r="20" spans="2:14" ht="15" customHeight="1" x14ac:dyDescent="0.25">
      <c r="B20" s="19"/>
      <c r="C20" s="5" t="s">
        <v>35</v>
      </c>
      <c r="D20" s="6" t="s">
        <v>20</v>
      </c>
      <c r="E20" s="11">
        <v>1.7476999999999999E-2</v>
      </c>
      <c r="F20" s="1"/>
      <c r="G20" s="1"/>
      <c r="H20" s="1"/>
      <c r="I20" s="1"/>
      <c r="J20" s="1"/>
      <c r="K20" s="1"/>
      <c r="L20" s="1"/>
      <c r="M20" s="1"/>
      <c r="N20" s="17"/>
    </row>
    <row r="21" spans="2:14" ht="15" customHeight="1" x14ac:dyDescent="0.25">
      <c r="B21" s="19"/>
      <c r="C21" s="5" t="s">
        <v>84</v>
      </c>
      <c r="D21" s="6" t="s">
        <v>20</v>
      </c>
      <c r="E21" s="11">
        <v>8.744E-3</v>
      </c>
      <c r="F21" s="1"/>
      <c r="G21" s="1"/>
      <c r="H21" s="1"/>
      <c r="I21" s="1"/>
      <c r="J21" s="1"/>
      <c r="K21" s="1"/>
      <c r="L21" s="1"/>
      <c r="M21" s="1"/>
      <c r="N21" s="17"/>
    </row>
    <row r="22" spans="2:14" ht="15" customHeight="1" x14ac:dyDescent="0.25">
      <c r="B22" s="19"/>
      <c r="C22" s="5" t="s">
        <v>21</v>
      </c>
      <c r="D22" s="6" t="s">
        <v>20</v>
      </c>
      <c r="E22" s="11">
        <v>5.2370000000000003E-3</v>
      </c>
      <c r="F22" s="1"/>
      <c r="G22" s="1"/>
      <c r="H22" s="1"/>
      <c r="I22" s="1"/>
      <c r="J22" s="1"/>
      <c r="K22" s="1"/>
      <c r="L22" s="1"/>
      <c r="M22" s="1"/>
      <c r="N22" s="17"/>
    </row>
    <row r="23" spans="2:14" ht="15.75" customHeight="1" x14ac:dyDescent="0.25">
      <c r="B23" s="19"/>
      <c r="C23" s="7" t="s">
        <v>24</v>
      </c>
      <c r="D23" s="8"/>
      <c r="E23" s="12">
        <v>0.34636899999999998</v>
      </c>
      <c r="F23" s="1"/>
      <c r="G23" s="1"/>
      <c r="H23" s="1"/>
      <c r="I23" s="1"/>
      <c r="J23" s="1"/>
      <c r="K23" s="1"/>
      <c r="L23" s="1"/>
      <c r="M23" s="1"/>
      <c r="N23" s="17"/>
    </row>
    <row r="24" spans="2:14" ht="15" customHeight="1" x14ac:dyDescent="0.25">
      <c r="B24" s="19"/>
      <c r="C24" s="5" t="s">
        <v>126</v>
      </c>
      <c r="D24" s="6" t="s">
        <v>50</v>
      </c>
      <c r="E24" s="11">
        <v>1.273E-3</v>
      </c>
      <c r="F24" s="1"/>
      <c r="G24" s="1"/>
      <c r="H24" s="1"/>
      <c r="I24" s="1"/>
      <c r="J24" s="1"/>
      <c r="K24" s="1"/>
      <c r="L24" s="1"/>
      <c r="M24" s="1"/>
      <c r="N24" s="17"/>
    </row>
    <row r="25" spans="2:14" ht="15.75" customHeight="1" x14ac:dyDescent="0.25">
      <c r="B25" s="19"/>
      <c r="C25" s="7" t="s">
        <v>56</v>
      </c>
      <c r="D25" s="8"/>
      <c r="E25" s="12">
        <v>1.273E-3</v>
      </c>
      <c r="F25" s="1"/>
      <c r="G25" s="1"/>
      <c r="H25" s="1"/>
      <c r="I25" s="1"/>
      <c r="J25" s="1"/>
      <c r="K25" s="1"/>
      <c r="L25" s="1"/>
      <c r="M25" s="1"/>
      <c r="N25" s="17"/>
    </row>
    <row r="26" spans="2:14" ht="15" customHeight="1" x14ac:dyDescent="0.25">
      <c r="B26" s="19"/>
      <c r="C26" s="5" t="s">
        <v>148</v>
      </c>
      <c r="D26" s="6" t="s">
        <v>50</v>
      </c>
      <c r="E26" s="11">
        <v>4.7190000000000003E-2</v>
      </c>
      <c r="F26" s="1"/>
      <c r="G26" s="44" t="s">
        <v>17</v>
      </c>
      <c r="H26" s="45"/>
      <c r="I26" s="45"/>
      <c r="J26" s="45"/>
      <c r="K26" s="45"/>
      <c r="L26" s="45"/>
      <c r="M26" s="45"/>
      <c r="N26" s="46"/>
    </row>
    <row r="27" spans="2:14" ht="15.75" customHeight="1" x14ac:dyDescent="0.25">
      <c r="B27" s="19"/>
      <c r="C27" s="5" t="s">
        <v>149</v>
      </c>
      <c r="D27" s="6" t="s">
        <v>50</v>
      </c>
      <c r="E27" s="11">
        <v>6.5731999999999999E-2</v>
      </c>
      <c r="F27" s="1"/>
      <c r="G27" s="1"/>
      <c r="H27" s="1"/>
      <c r="I27" s="1"/>
      <c r="J27" s="1"/>
      <c r="K27" s="1"/>
      <c r="L27" s="1"/>
      <c r="M27" s="1"/>
      <c r="N27" s="17"/>
    </row>
    <row r="28" spans="2:14" ht="15" customHeight="1" x14ac:dyDescent="0.25">
      <c r="B28" s="19"/>
      <c r="C28" s="5" t="s">
        <v>150</v>
      </c>
      <c r="D28" s="6" t="s">
        <v>50</v>
      </c>
      <c r="E28" s="11">
        <v>8.7770000000000001E-3</v>
      </c>
      <c r="F28" s="1"/>
      <c r="G28" s="1"/>
      <c r="H28" s="1"/>
      <c r="I28" s="1"/>
      <c r="J28" s="1"/>
      <c r="K28" s="1"/>
      <c r="L28" s="1"/>
      <c r="M28" s="1"/>
      <c r="N28" s="17"/>
    </row>
    <row r="29" spans="2:14" ht="15" customHeight="1" x14ac:dyDescent="0.25">
      <c r="B29" s="19"/>
      <c r="C29" s="5" t="s">
        <v>134</v>
      </c>
      <c r="D29" s="6" t="s">
        <v>50</v>
      </c>
      <c r="E29" s="11">
        <v>3.5130000000000001E-3</v>
      </c>
      <c r="F29" s="1"/>
      <c r="G29" s="1"/>
      <c r="H29" s="1"/>
      <c r="I29" s="1"/>
      <c r="J29" s="1"/>
      <c r="K29" s="1"/>
      <c r="L29" s="1"/>
      <c r="M29" s="1"/>
      <c r="N29" s="17"/>
    </row>
    <row r="30" spans="2:14" ht="15.75" customHeight="1" x14ac:dyDescent="0.25">
      <c r="B30" s="19"/>
      <c r="C30" s="5" t="s">
        <v>151</v>
      </c>
      <c r="D30" s="6" t="s">
        <v>50</v>
      </c>
      <c r="E30" s="11">
        <v>1.7849999999999999E-3</v>
      </c>
      <c r="F30" s="1"/>
      <c r="G30" s="1"/>
      <c r="H30" s="1"/>
      <c r="I30" s="1"/>
      <c r="J30" s="1"/>
      <c r="K30" s="1"/>
      <c r="L30" s="1"/>
      <c r="M30" s="1"/>
      <c r="N30" s="17"/>
    </row>
    <row r="31" spans="2:14" ht="15" customHeight="1" x14ac:dyDescent="0.25">
      <c r="B31" s="19"/>
      <c r="C31" s="5" t="s">
        <v>136</v>
      </c>
      <c r="D31" s="6" t="s">
        <v>50</v>
      </c>
      <c r="E31" s="11">
        <v>1.6149999999999999E-3</v>
      </c>
      <c r="F31" s="1"/>
      <c r="G31" s="1"/>
      <c r="H31" s="1"/>
      <c r="I31" s="1"/>
      <c r="J31" s="1"/>
      <c r="K31" s="1"/>
      <c r="L31" s="1"/>
      <c r="M31" s="1"/>
      <c r="N31" s="17"/>
    </row>
    <row r="32" spans="2:14" ht="15.75" customHeight="1" x14ac:dyDescent="0.25">
      <c r="B32" s="19"/>
      <c r="C32" s="5" t="s">
        <v>152</v>
      </c>
      <c r="D32" s="6" t="s">
        <v>50</v>
      </c>
      <c r="E32" s="11">
        <v>8.3799999999999999E-4</v>
      </c>
      <c r="F32" s="1"/>
      <c r="G32" s="1"/>
      <c r="H32" s="1"/>
      <c r="I32" s="1"/>
      <c r="J32" s="1"/>
      <c r="K32" s="1"/>
      <c r="L32" s="1"/>
      <c r="M32" s="1"/>
      <c r="N32" s="17"/>
    </row>
    <row r="33" spans="2:14" ht="15" customHeight="1" x14ac:dyDescent="0.25">
      <c r="B33" s="19"/>
      <c r="C33" s="7" t="s">
        <v>57</v>
      </c>
      <c r="D33" s="8"/>
      <c r="E33" s="12">
        <v>0.12945000000000001</v>
      </c>
      <c r="F33" s="1"/>
      <c r="G33" s="1"/>
      <c r="H33" s="1"/>
      <c r="I33" s="1"/>
      <c r="J33" s="1"/>
      <c r="K33" s="1"/>
      <c r="L33" s="1"/>
      <c r="M33" s="1"/>
      <c r="N33" s="17"/>
    </row>
    <row r="34" spans="2:14" ht="15.75" customHeight="1" x14ac:dyDescent="0.25">
      <c r="B34" s="19"/>
      <c r="C34" s="5" t="s">
        <v>127</v>
      </c>
      <c r="D34" s="6" t="s">
        <v>50</v>
      </c>
      <c r="E34" s="11">
        <v>9.8012000000000002E-2</v>
      </c>
      <c r="F34" s="1"/>
      <c r="G34" s="1"/>
      <c r="H34" s="1"/>
      <c r="I34" s="1"/>
      <c r="J34" s="1"/>
      <c r="K34" s="1"/>
      <c r="L34" s="1"/>
      <c r="M34" s="1"/>
      <c r="N34" s="17"/>
    </row>
    <row r="35" spans="2:14" ht="15" customHeight="1" x14ac:dyDescent="0.25">
      <c r="B35" s="19"/>
      <c r="C35" s="5" t="s">
        <v>87</v>
      </c>
      <c r="D35" s="6" t="s">
        <v>50</v>
      </c>
      <c r="E35" s="11">
        <v>6.9963999999999998E-2</v>
      </c>
      <c r="F35" s="1"/>
      <c r="G35" s="1"/>
      <c r="H35" s="1"/>
      <c r="I35" s="1"/>
      <c r="J35" s="1"/>
      <c r="K35" s="1"/>
      <c r="L35" s="1"/>
      <c r="M35" s="1"/>
      <c r="N35" s="17"/>
    </row>
    <row r="36" spans="2:14" ht="15" customHeight="1" x14ac:dyDescent="0.25">
      <c r="B36" s="19"/>
      <c r="C36" s="7" t="s">
        <v>92</v>
      </c>
      <c r="D36" s="8"/>
      <c r="E36" s="12">
        <v>0.16797599999999999</v>
      </c>
      <c r="F36" s="1"/>
      <c r="G36" s="1"/>
      <c r="H36" s="1"/>
      <c r="I36" s="1"/>
      <c r="J36" s="1"/>
      <c r="K36" s="1"/>
      <c r="L36" s="1"/>
      <c r="M36" s="1"/>
      <c r="N36" s="17"/>
    </row>
    <row r="37" spans="2:14" ht="15" customHeight="1" x14ac:dyDescent="0.25">
      <c r="B37" s="19"/>
      <c r="C37" s="5" t="s">
        <v>8</v>
      </c>
      <c r="D37" s="6"/>
      <c r="E37" s="11">
        <v>0.20244799999999999</v>
      </c>
      <c r="F37" s="1"/>
      <c r="G37" s="1"/>
      <c r="H37" s="1"/>
      <c r="I37" s="1"/>
      <c r="J37" s="1"/>
      <c r="K37" s="1"/>
      <c r="L37" s="1"/>
      <c r="M37" s="1"/>
      <c r="N37" s="17"/>
    </row>
    <row r="38" spans="2:14" ht="15" customHeight="1" x14ac:dyDescent="0.25">
      <c r="B38" s="19"/>
      <c r="C38" s="7" t="s">
        <v>9</v>
      </c>
      <c r="D38" s="8"/>
      <c r="E38" s="12">
        <v>0.20244799999999999</v>
      </c>
      <c r="F38" s="1"/>
      <c r="G38" s="1"/>
      <c r="H38" s="1"/>
      <c r="I38" s="1"/>
      <c r="J38" s="1"/>
      <c r="K38" s="1"/>
      <c r="L38" s="1"/>
      <c r="M38" s="1"/>
      <c r="N38" s="17"/>
    </row>
    <row r="39" spans="2:14" ht="15" customHeight="1" x14ac:dyDescent="0.25">
      <c r="B39" s="19"/>
      <c r="C39" s="5"/>
      <c r="D39" s="6"/>
      <c r="E39" s="11"/>
      <c r="F39" s="1"/>
      <c r="G39" s="1"/>
      <c r="H39" s="1"/>
      <c r="I39" s="1"/>
      <c r="J39" s="1"/>
      <c r="K39" s="1"/>
      <c r="L39" s="1"/>
      <c r="M39" s="1"/>
      <c r="N39" s="17"/>
    </row>
    <row r="40" spans="2:14" ht="15" customHeight="1" x14ac:dyDescent="0.25">
      <c r="B40" s="19"/>
      <c r="C40" s="7" t="s">
        <v>10</v>
      </c>
      <c r="D40" s="8"/>
      <c r="E40" s="12">
        <v>1.029E-3</v>
      </c>
      <c r="F40" s="1"/>
      <c r="G40" s="1"/>
      <c r="H40" s="1"/>
      <c r="I40" s="1"/>
      <c r="J40" s="1"/>
      <c r="K40" s="1"/>
      <c r="L40" s="1"/>
      <c r="M40" s="1"/>
      <c r="N40" s="17"/>
    </row>
    <row r="41" spans="2:14" ht="15" customHeight="1" x14ac:dyDescent="0.25">
      <c r="B41" s="19"/>
      <c r="C41" s="5"/>
      <c r="D41" s="6"/>
      <c r="E41" s="11"/>
      <c r="F41" s="1"/>
      <c r="G41" s="1"/>
      <c r="H41" s="1"/>
      <c r="I41" s="1"/>
      <c r="J41" s="1"/>
      <c r="K41" s="1"/>
      <c r="L41" s="1"/>
      <c r="M41" s="1"/>
      <c r="N41" s="17"/>
    </row>
    <row r="42" spans="2:14" ht="15" customHeight="1" x14ac:dyDescent="0.25">
      <c r="B42" s="19"/>
      <c r="C42" s="9" t="s">
        <v>11</v>
      </c>
      <c r="D42" s="10"/>
      <c r="E42" s="13">
        <v>1</v>
      </c>
      <c r="F42" s="1"/>
      <c r="G42" s="1"/>
      <c r="H42" s="1"/>
      <c r="I42" s="1"/>
      <c r="J42" s="1"/>
      <c r="K42" s="1"/>
      <c r="L42" s="1"/>
      <c r="M42" s="1"/>
      <c r="N42" s="17"/>
    </row>
    <row r="43" spans="2:14" ht="15" customHeight="1" x14ac:dyDescent="0.25">
      <c r="B43" s="19"/>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thickBot="1" x14ac:dyDescent="0.3"/>
    <row r="46" spans="2:14" ht="103.5" customHeight="1" thickBot="1" x14ac:dyDescent="0.3">
      <c r="B46" s="38" t="s">
        <v>130</v>
      </c>
      <c r="C46" s="39"/>
      <c r="D46" s="39"/>
      <c r="E46" s="39"/>
      <c r="F46" s="39"/>
      <c r="G46" s="39"/>
      <c r="H46" s="39"/>
      <c r="I46" s="39"/>
      <c r="J46" s="39"/>
      <c r="K46" s="39"/>
      <c r="L46" s="39"/>
      <c r="M46" s="39"/>
      <c r="N46" s="40"/>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sortState ref="C27:E32">
    <sortCondition descending="1" ref="E26"/>
  </sortState>
  <mergeCells count="4">
    <mergeCell ref="B46:N46"/>
    <mergeCell ref="C3:N3"/>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9DDF-07BE-45AD-BDD7-D7A78B7184E3}">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129</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19</v>
      </c>
      <c r="D8" s="6" t="s">
        <v>20</v>
      </c>
      <c r="E8" s="11">
        <v>7.4098999999999998E-2</v>
      </c>
      <c r="F8" s="1"/>
      <c r="G8" s="23" t="s">
        <v>15</v>
      </c>
      <c r="H8" s="24">
        <v>1</v>
      </c>
      <c r="I8" s="1"/>
      <c r="J8" s="23" t="s">
        <v>12</v>
      </c>
      <c r="K8" s="23" t="s">
        <v>3</v>
      </c>
      <c r="L8" s="1"/>
      <c r="M8" s="1"/>
      <c r="N8" s="17"/>
    </row>
    <row r="9" spans="2:14" ht="15.75" customHeight="1" x14ac:dyDescent="0.25">
      <c r="B9" s="19"/>
      <c r="C9" s="7" t="s">
        <v>22</v>
      </c>
      <c r="D9" s="8"/>
      <c r="E9" s="12">
        <v>7.4098999999999998E-2</v>
      </c>
      <c r="F9" s="1"/>
      <c r="G9" s="1"/>
      <c r="H9" s="1"/>
      <c r="I9" s="1"/>
      <c r="J9" s="23" t="s">
        <v>10</v>
      </c>
      <c r="K9" s="25">
        <v>2.3376999999999998E-2</v>
      </c>
      <c r="L9" s="1"/>
      <c r="M9" s="1"/>
      <c r="N9" s="17"/>
    </row>
    <row r="10" spans="2:14" ht="15" customHeight="1" x14ac:dyDescent="0.25">
      <c r="B10" s="19"/>
      <c r="C10" s="5" t="s">
        <v>44</v>
      </c>
      <c r="D10" s="6" t="s">
        <v>20</v>
      </c>
      <c r="E10" s="11">
        <v>8.5407999999999998E-2</v>
      </c>
      <c r="F10" s="1"/>
      <c r="G10" s="1"/>
      <c r="H10" s="1"/>
      <c r="I10" s="1"/>
      <c r="J10" s="23" t="s">
        <v>13</v>
      </c>
      <c r="K10" s="25">
        <v>0.242367</v>
      </c>
      <c r="L10" s="1"/>
      <c r="M10" s="1"/>
      <c r="N10" s="17"/>
    </row>
    <row r="11" spans="2:14" ht="15" customHeight="1" x14ac:dyDescent="0.25">
      <c r="B11" s="19"/>
      <c r="C11" s="5" t="s">
        <v>35</v>
      </c>
      <c r="D11" s="6" t="s">
        <v>20</v>
      </c>
      <c r="E11" s="11">
        <v>8.5241999999999998E-2</v>
      </c>
      <c r="F11" s="1"/>
      <c r="G11" s="1"/>
      <c r="H11" s="1"/>
      <c r="I11" s="1"/>
      <c r="J11" s="23" t="s">
        <v>59</v>
      </c>
      <c r="K11" s="25">
        <v>7.4098999999999998E-2</v>
      </c>
      <c r="L11" s="1"/>
      <c r="M11" s="1"/>
      <c r="N11" s="17"/>
    </row>
    <row r="12" spans="2:14" ht="15" customHeight="1" x14ac:dyDescent="0.25">
      <c r="B12" s="19"/>
      <c r="C12" s="5" t="s">
        <v>81</v>
      </c>
      <c r="D12" s="6" t="s">
        <v>20</v>
      </c>
      <c r="E12" s="11">
        <v>7.4628E-2</v>
      </c>
      <c r="F12" s="1"/>
      <c r="G12" s="1"/>
      <c r="H12" s="1"/>
      <c r="I12" s="1"/>
      <c r="J12" s="23" t="s">
        <v>60</v>
      </c>
      <c r="K12" s="25">
        <v>0.25651800000000002</v>
      </c>
      <c r="L12" s="1"/>
      <c r="M12" s="1"/>
      <c r="N12" s="17"/>
    </row>
    <row r="13" spans="2:14" ht="15" customHeight="1" x14ac:dyDescent="0.25">
      <c r="B13" s="19"/>
      <c r="C13" s="5" t="s">
        <v>71</v>
      </c>
      <c r="D13" s="6" t="s">
        <v>20</v>
      </c>
      <c r="E13" s="11">
        <v>2.1049999999999999E-2</v>
      </c>
      <c r="F13" s="1"/>
      <c r="G13" s="1"/>
      <c r="H13" s="1"/>
      <c r="I13" s="1"/>
      <c r="J13" s="23" t="s">
        <v>61</v>
      </c>
      <c r="K13" s="25">
        <v>0.276866</v>
      </c>
      <c r="L13" s="1"/>
      <c r="M13" s="1"/>
      <c r="N13" s="17"/>
    </row>
    <row r="14" spans="2:14" ht="15" customHeight="1" x14ac:dyDescent="0.25">
      <c r="B14" s="19"/>
      <c r="C14" s="5" t="s">
        <v>113</v>
      </c>
      <c r="D14" s="6" t="s">
        <v>20</v>
      </c>
      <c r="E14" s="11">
        <v>7.3419999999999996E-3</v>
      </c>
      <c r="F14" s="1"/>
      <c r="G14" s="1"/>
      <c r="H14" s="1"/>
      <c r="I14" s="1"/>
      <c r="J14" s="23" t="s">
        <v>62</v>
      </c>
      <c r="K14" s="25">
        <v>2.1371000000000001E-2</v>
      </c>
      <c r="L14" s="1"/>
      <c r="M14" s="1"/>
      <c r="N14" s="17"/>
    </row>
    <row r="15" spans="2:14" ht="15" customHeight="1" x14ac:dyDescent="0.25">
      <c r="B15" s="19"/>
      <c r="C15" s="5" t="s">
        <v>21</v>
      </c>
      <c r="D15" s="6" t="s">
        <v>20</v>
      </c>
      <c r="E15" s="11">
        <v>3.1960000000000001E-3</v>
      </c>
      <c r="F15" s="1"/>
      <c r="G15" s="1"/>
      <c r="H15" s="1"/>
      <c r="I15" s="1"/>
      <c r="J15" s="23" t="s">
        <v>64</v>
      </c>
      <c r="K15" s="25">
        <v>3.2780000000000001E-3</v>
      </c>
      <c r="L15" s="1"/>
      <c r="M15" s="1"/>
      <c r="N15" s="17"/>
    </row>
    <row r="16" spans="2:14" ht="15.75" customHeight="1" x14ac:dyDescent="0.25">
      <c r="B16" s="19"/>
      <c r="C16" s="7" t="s">
        <v>24</v>
      </c>
      <c r="D16" s="8"/>
      <c r="E16" s="12">
        <v>0.276866</v>
      </c>
      <c r="F16" s="1"/>
      <c r="G16" s="1"/>
      <c r="H16" s="1"/>
      <c r="I16" s="1"/>
      <c r="J16" s="23" t="s">
        <v>93</v>
      </c>
      <c r="K16" s="25">
        <v>7.5764999999999999E-2</v>
      </c>
      <c r="L16" s="1"/>
      <c r="M16" s="1"/>
      <c r="N16" s="17"/>
    </row>
    <row r="17" spans="2:14" ht="15" customHeight="1" x14ac:dyDescent="0.25">
      <c r="B17" s="19"/>
      <c r="C17" s="5" t="s">
        <v>25</v>
      </c>
      <c r="D17" s="6" t="s">
        <v>26</v>
      </c>
      <c r="E17" s="11">
        <v>9.7521999999999998E-2</v>
      </c>
      <c r="F17" s="1"/>
      <c r="G17" s="1"/>
      <c r="H17" s="1"/>
      <c r="I17" s="1"/>
      <c r="J17" s="23" t="s">
        <v>65</v>
      </c>
      <c r="K17" s="25">
        <v>2.6359E-2</v>
      </c>
      <c r="L17" s="1"/>
      <c r="M17" s="1"/>
      <c r="N17" s="17"/>
    </row>
    <row r="18" spans="2:14" ht="15" customHeight="1" x14ac:dyDescent="0.25">
      <c r="B18" s="19"/>
      <c r="C18" s="5" t="s">
        <v>28</v>
      </c>
      <c r="D18" s="6" t="s">
        <v>26</v>
      </c>
      <c r="E18" s="11">
        <v>4.7407999999999999E-2</v>
      </c>
      <c r="F18" s="1"/>
      <c r="G18" s="1"/>
      <c r="H18" s="1"/>
      <c r="I18" s="1"/>
      <c r="J18" s="1"/>
      <c r="K18" s="1"/>
      <c r="L18" s="1"/>
      <c r="M18" s="1"/>
      <c r="N18" s="17"/>
    </row>
    <row r="19" spans="2:14" ht="15" customHeight="1" x14ac:dyDescent="0.25">
      <c r="B19" s="19"/>
      <c r="C19" s="5" t="s">
        <v>38</v>
      </c>
      <c r="D19" s="6" t="s">
        <v>26</v>
      </c>
      <c r="E19" s="11">
        <v>4.6944E-2</v>
      </c>
      <c r="F19" s="1"/>
      <c r="G19" s="1"/>
      <c r="H19" s="1"/>
      <c r="I19" s="1"/>
      <c r="J19" s="1"/>
      <c r="K19" s="1"/>
      <c r="L19" s="1"/>
      <c r="M19" s="1"/>
      <c r="N19" s="17"/>
    </row>
    <row r="20" spans="2:14" ht="15" customHeight="1" x14ac:dyDescent="0.25">
      <c r="B20" s="19"/>
      <c r="C20" s="5" t="s">
        <v>23</v>
      </c>
      <c r="D20" s="6" t="s">
        <v>26</v>
      </c>
      <c r="E20" s="11">
        <v>4.2709999999999998E-2</v>
      </c>
      <c r="F20" s="1"/>
      <c r="G20" s="1"/>
      <c r="H20" s="1"/>
      <c r="I20" s="1"/>
      <c r="J20" s="1"/>
      <c r="K20" s="1"/>
      <c r="L20" s="1"/>
      <c r="M20" s="1"/>
      <c r="N20" s="17"/>
    </row>
    <row r="21" spans="2:14" ht="15" customHeight="1" x14ac:dyDescent="0.25">
      <c r="B21" s="19"/>
      <c r="C21" s="5" t="s">
        <v>27</v>
      </c>
      <c r="D21" s="6" t="s">
        <v>26</v>
      </c>
      <c r="E21" s="11">
        <v>2.1933999999999999E-2</v>
      </c>
      <c r="F21" s="1"/>
      <c r="G21" s="1"/>
      <c r="H21" s="1"/>
      <c r="I21" s="1"/>
      <c r="J21" s="1"/>
      <c r="K21" s="1"/>
      <c r="L21" s="1"/>
      <c r="M21" s="1"/>
      <c r="N21" s="17"/>
    </row>
    <row r="22" spans="2:14" ht="15.75" customHeight="1" x14ac:dyDescent="0.25">
      <c r="B22" s="19"/>
      <c r="C22" s="7" t="s">
        <v>46</v>
      </c>
      <c r="D22" s="8"/>
      <c r="E22" s="12">
        <v>0.25651800000000002</v>
      </c>
      <c r="F22" s="1"/>
      <c r="G22" s="1"/>
      <c r="H22" s="1"/>
      <c r="I22" s="1"/>
      <c r="J22" s="1"/>
      <c r="K22" s="1"/>
      <c r="L22" s="1"/>
      <c r="M22" s="1"/>
      <c r="N22" s="17"/>
    </row>
    <row r="23" spans="2:14" ht="15" customHeight="1" x14ac:dyDescent="0.25">
      <c r="B23" s="19"/>
      <c r="C23" s="5" t="s">
        <v>19</v>
      </c>
      <c r="D23" s="6" t="s">
        <v>20</v>
      </c>
      <c r="E23" s="11">
        <v>2.1371000000000001E-2</v>
      </c>
      <c r="F23" s="1"/>
      <c r="G23" s="1"/>
      <c r="H23" s="1"/>
      <c r="I23" s="1"/>
      <c r="J23" s="1"/>
      <c r="K23" s="1"/>
      <c r="L23" s="1"/>
      <c r="M23" s="1"/>
      <c r="N23" s="17"/>
    </row>
    <row r="24" spans="2:14" ht="15.75" customHeight="1" x14ac:dyDescent="0.25">
      <c r="B24" s="19"/>
      <c r="C24" s="7" t="s">
        <v>48</v>
      </c>
      <c r="D24" s="8"/>
      <c r="E24" s="12">
        <v>2.1371000000000001E-2</v>
      </c>
      <c r="F24" s="1"/>
      <c r="G24" s="1"/>
      <c r="H24" s="1"/>
      <c r="I24" s="1"/>
      <c r="J24" s="1"/>
      <c r="K24" s="1"/>
      <c r="L24" s="1"/>
      <c r="M24" s="1"/>
      <c r="N24" s="17"/>
    </row>
    <row r="25" spans="2:14" ht="15" customHeight="1" x14ac:dyDescent="0.25">
      <c r="B25" s="19"/>
      <c r="C25" s="5" t="s">
        <v>155</v>
      </c>
      <c r="D25" s="6" t="s">
        <v>50</v>
      </c>
      <c r="E25" s="11">
        <v>1.109E-3</v>
      </c>
      <c r="F25" s="1"/>
      <c r="G25" s="1"/>
      <c r="H25" s="1"/>
      <c r="I25" s="1"/>
      <c r="J25" s="1"/>
      <c r="K25" s="1"/>
      <c r="L25" s="1"/>
      <c r="M25" s="1"/>
      <c r="N25" s="17"/>
    </row>
    <row r="26" spans="2:14" ht="15.75" customHeight="1" x14ac:dyDescent="0.25">
      <c r="B26" s="19"/>
      <c r="C26" s="5" t="s">
        <v>154</v>
      </c>
      <c r="D26" s="6" t="s">
        <v>50</v>
      </c>
      <c r="E26" s="11">
        <v>1.098E-3</v>
      </c>
      <c r="F26" s="1"/>
      <c r="G26" s="44" t="s">
        <v>17</v>
      </c>
      <c r="H26" s="45"/>
      <c r="I26" s="45"/>
      <c r="J26" s="45"/>
      <c r="K26" s="45"/>
      <c r="L26" s="45"/>
      <c r="M26" s="45"/>
      <c r="N26" s="46"/>
    </row>
    <row r="27" spans="2:14" ht="15" customHeight="1" x14ac:dyDescent="0.25">
      <c r="B27" s="19"/>
      <c r="C27" s="5" t="s">
        <v>153</v>
      </c>
      <c r="D27" s="6" t="s">
        <v>50</v>
      </c>
      <c r="E27" s="11">
        <v>1.0709999999999999E-3</v>
      </c>
      <c r="F27" s="1"/>
      <c r="G27" s="1"/>
      <c r="H27" s="1"/>
      <c r="I27" s="1"/>
      <c r="J27" s="1"/>
      <c r="K27" s="1"/>
      <c r="L27" s="1"/>
      <c r="M27" s="1"/>
      <c r="N27" s="17"/>
    </row>
    <row r="28" spans="2:14" ht="15" customHeight="1" x14ac:dyDescent="0.25">
      <c r="B28" s="19"/>
      <c r="C28" s="7" t="s">
        <v>57</v>
      </c>
      <c r="D28" s="8"/>
      <c r="E28" s="12">
        <v>3.2780000000000001E-3</v>
      </c>
      <c r="F28" s="1"/>
      <c r="G28" s="1"/>
      <c r="H28" s="1"/>
      <c r="I28" s="1"/>
      <c r="J28" s="1"/>
      <c r="K28" s="1"/>
      <c r="L28" s="1"/>
      <c r="M28" s="1"/>
      <c r="N28" s="17"/>
    </row>
    <row r="29" spans="2:14" ht="15.75" customHeight="1" x14ac:dyDescent="0.25">
      <c r="B29" s="19"/>
      <c r="C29" s="5" t="s">
        <v>87</v>
      </c>
      <c r="D29" s="6" t="s">
        <v>50</v>
      </c>
      <c r="E29" s="11">
        <v>5.5508000000000002E-2</v>
      </c>
      <c r="F29" s="1"/>
      <c r="G29" s="1"/>
      <c r="H29" s="1"/>
      <c r="I29" s="1"/>
      <c r="J29" s="1"/>
      <c r="K29" s="1"/>
      <c r="L29" s="1"/>
      <c r="M29" s="1"/>
      <c r="N29" s="17"/>
    </row>
    <row r="30" spans="2:14" ht="15" customHeight="1" x14ac:dyDescent="0.25">
      <c r="B30" s="19"/>
      <c r="C30" s="5" t="s">
        <v>86</v>
      </c>
      <c r="D30" s="6" t="s">
        <v>50</v>
      </c>
      <c r="E30" s="11">
        <v>2.0257000000000001E-2</v>
      </c>
      <c r="F30" s="1"/>
      <c r="G30" s="1"/>
      <c r="H30" s="1"/>
      <c r="I30" s="1"/>
      <c r="J30" s="1"/>
      <c r="K30" s="1"/>
      <c r="L30" s="1"/>
      <c r="M30" s="1"/>
      <c r="N30" s="17"/>
    </row>
    <row r="31" spans="2:14" ht="15.75" customHeight="1" x14ac:dyDescent="0.25">
      <c r="B31" s="19"/>
      <c r="C31" s="7" t="s">
        <v>92</v>
      </c>
      <c r="D31" s="8"/>
      <c r="E31" s="12">
        <v>7.5764999999999999E-2</v>
      </c>
      <c r="F31" s="1"/>
      <c r="G31" s="1"/>
      <c r="H31" s="1"/>
      <c r="I31" s="1"/>
      <c r="J31" s="1"/>
      <c r="K31" s="1"/>
      <c r="L31" s="1"/>
      <c r="M31" s="1"/>
      <c r="N31" s="17"/>
    </row>
    <row r="32" spans="2:14" ht="15" customHeight="1" x14ac:dyDescent="0.25">
      <c r="B32" s="19"/>
      <c r="C32" s="5" t="s">
        <v>8</v>
      </c>
      <c r="D32" s="6"/>
      <c r="E32" s="11">
        <v>0.242367</v>
      </c>
      <c r="F32" s="1"/>
      <c r="G32" s="1"/>
      <c r="H32" s="1"/>
      <c r="I32" s="1"/>
      <c r="J32" s="1"/>
      <c r="K32" s="1"/>
      <c r="L32" s="1"/>
      <c r="M32" s="1"/>
      <c r="N32" s="17"/>
    </row>
    <row r="33" spans="2:14" ht="15.75" customHeight="1" x14ac:dyDescent="0.25">
      <c r="B33" s="19"/>
      <c r="C33" s="7" t="s">
        <v>9</v>
      </c>
      <c r="D33" s="8"/>
      <c r="E33" s="12">
        <v>0.242367</v>
      </c>
      <c r="F33" s="1"/>
      <c r="G33" s="1"/>
      <c r="H33" s="1"/>
      <c r="I33" s="1"/>
      <c r="J33" s="1"/>
      <c r="K33" s="1"/>
      <c r="L33" s="1"/>
      <c r="M33" s="1"/>
      <c r="N33" s="17"/>
    </row>
    <row r="34" spans="2:14" ht="15" customHeight="1" x14ac:dyDescent="0.25">
      <c r="B34" s="19"/>
      <c r="C34" s="5" t="s">
        <v>71</v>
      </c>
      <c r="D34" s="6" t="s">
        <v>26</v>
      </c>
      <c r="E34" s="11">
        <v>2.6359E-2</v>
      </c>
      <c r="F34" s="1"/>
      <c r="G34" s="1"/>
      <c r="H34" s="1"/>
      <c r="I34" s="1"/>
      <c r="J34" s="1"/>
      <c r="K34" s="1"/>
      <c r="L34" s="1"/>
      <c r="M34" s="1"/>
      <c r="N34" s="17"/>
    </row>
    <row r="35" spans="2:14" ht="15.75" customHeight="1" x14ac:dyDescent="0.25">
      <c r="B35" s="19"/>
      <c r="C35" s="7" t="s">
        <v>58</v>
      </c>
      <c r="D35" s="8"/>
      <c r="E35" s="12">
        <v>2.6359E-2</v>
      </c>
      <c r="F35" s="1"/>
      <c r="G35" s="1"/>
      <c r="H35" s="1"/>
      <c r="I35" s="1"/>
      <c r="J35" s="1"/>
      <c r="K35" s="1"/>
      <c r="L35" s="1"/>
      <c r="M35" s="1"/>
      <c r="N35" s="17"/>
    </row>
    <row r="36" spans="2:14" ht="15" customHeight="1" x14ac:dyDescent="0.25">
      <c r="B36" s="19"/>
      <c r="C36" s="5"/>
      <c r="D36" s="6"/>
      <c r="E36" s="11"/>
      <c r="F36" s="1"/>
      <c r="G36" s="1"/>
      <c r="H36" s="1"/>
      <c r="I36" s="1"/>
      <c r="J36" s="1"/>
      <c r="K36" s="1"/>
      <c r="L36" s="1"/>
      <c r="M36" s="1"/>
      <c r="N36" s="17"/>
    </row>
    <row r="37" spans="2:14" ht="15" customHeight="1" x14ac:dyDescent="0.25">
      <c r="B37" s="19"/>
      <c r="C37" s="7" t="s">
        <v>10</v>
      </c>
      <c r="D37" s="8"/>
      <c r="E37" s="12">
        <v>2.3376999999999998E-2</v>
      </c>
      <c r="F37" s="1"/>
      <c r="G37" s="1"/>
      <c r="H37" s="1"/>
      <c r="I37" s="1"/>
      <c r="J37" s="1"/>
      <c r="K37" s="1"/>
      <c r="L37" s="1"/>
      <c r="M37" s="1"/>
      <c r="N37" s="17"/>
    </row>
    <row r="38" spans="2:14" ht="15" customHeight="1" x14ac:dyDescent="0.25">
      <c r="B38" s="19"/>
      <c r="C38" s="5"/>
      <c r="D38" s="6"/>
      <c r="E38" s="11"/>
      <c r="F38" s="1"/>
      <c r="G38" s="1"/>
      <c r="H38" s="1"/>
      <c r="I38" s="1"/>
      <c r="J38" s="1"/>
      <c r="K38" s="1"/>
      <c r="L38" s="1"/>
      <c r="M38" s="1"/>
      <c r="N38" s="17"/>
    </row>
    <row r="39" spans="2:14" ht="15" customHeight="1" x14ac:dyDescent="0.25">
      <c r="B39" s="19"/>
      <c r="C39" s="9" t="s">
        <v>11</v>
      </c>
      <c r="D39" s="10"/>
      <c r="E39" s="13">
        <v>1</v>
      </c>
      <c r="F39" s="1"/>
      <c r="G39" s="1"/>
      <c r="H39" s="1"/>
      <c r="I39" s="1"/>
      <c r="J39" s="1"/>
      <c r="K39" s="1"/>
      <c r="L39" s="1"/>
      <c r="M39" s="1"/>
      <c r="N39" s="17"/>
    </row>
    <row r="40" spans="2:14" ht="15" customHeight="1" x14ac:dyDescent="0.25">
      <c r="B40" s="19"/>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4.75" customHeight="1" thickBot="1" x14ac:dyDescent="0.3">
      <c r="B45" s="38" t="s">
        <v>130</v>
      </c>
      <c r="C45" s="39"/>
      <c r="D45" s="39"/>
      <c r="E45" s="39"/>
      <c r="F45" s="39"/>
      <c r="G45" s="39"/>
      <c r="H45" s="39"/>
      <c r="I45" s="39"/>
      <c r="J45" s="39"/>
      <c r="K45" s="39"/>
      <c r="L45" s="39"/>
      <c r="M45" s="39"/>
      <c r="N45" s="4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sortState ref="C25:E27">
    <sortCondition descending="1" ref="E25"/>
  </sortState>
  <mergeCells count="4">
    <mergeCell ref="B45:N45"/>
    <mergeCell ref="C3:N3"/>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DD7B2-E172-423A-BF20-D6F4ADDD9E20}">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110</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67</v>
      </c>
      <c r="D8" s="6" t="s">
        <v>50</v>
      </c>
      <c r="E8" s="11">
        <v>0.24591299999999999</v>
      </c>
      <c r="F8" s="1"/>
      <c r="G8" s="23" t="s">
        <v>15</v>
      </c>
      <c r="H8" s="24">
        <v>1</v>
      </c>
      <c r="I8" s="1"/>
      <c r="J8" s="23" t="s">
        <v>12</v>
      </c>
      <c r="K8" s="23" t="s">
        <v>3</v>
      </c>
      <c r="L8" s="1"/>
      <c r="M8" s="1"/>
      <c r="N8" s="17"/>
    </row>
    <row r="9" spans="2:14" ht="15" customHeight="1" x14ac:dyDescent="0.25">
      <c r="B9" s="19"/>
      <c r="C9" s="5" t="s">
        <v>111</v>
      </c>
      <c r="D9" s="6" t="s">
        <v>50</v>
      </c>
      <c r="E9" s="11">
        <v>3.8000000000000002E-5</v>
      </c>
      <c r="F9" s="1"/>
      <c r="G9" s="1"/>
      <c r="H9" s="1"/>
      <c r="I9" s="1"/>
      <c r="J9" s="23" t="s">
        <v>10</v>
      </c>
      <c r="K9" s="25">
        <v>5.9500000000000004E-4</v>
      </c>
      <c r="L9" s="1"/>
      <c r="M9" s="1"/>
      <c r="N9" s="17"/>
    </row>
    <row r="10" spans="2:14" ht="15" customHeight="1" x14ac:dyDescent="0.25">
      <c r="B10" s="19"/>
      <c r="C10" s="5" t="s">
        <v>72</v>
      </c>
      <c r="D10" s="6" t="s">
        <v>50</v>
      </c>
      <c r="E10" s="11">
        <v>3.6000000000000001E-5</v>
      </c>
      <c r="F10" s="1"/>
      <c r="G10" s="1"/>
      <c r="H10" s="1"/>
      <c r="I10" s="1"/>
      <c r="J10" s="23" t="s">
        <v>13</v>
      </c>
      <c r="K10" s="25">
        <v>0.75341800000000003</v>
      </c>
      <c r="L10" s="1"/>
      <c r="M10" s="1"/>
      <c r="N10" s="17"/>
    </row>
    <row r="11" spans="2:14" ht="15.75" customHeight="1" x14ac:dyDescent="0.25">
      <c r="B11" s="19"/>
      <c r="C11" s="7" t="s">
        <v>56</v>
      </c>
      <c r="D11" s="8"/>
      <c r="E11" s="12">
        <v>0.24598700000000001</v>
      </c>
      <c r="F11" s="1"/>
      <c r="G11" s="1"/>
      <c r="H11" s="1"/>
      <c r="I11" s="1"/>
      <c r="J11" s="23" t="s">
        <v>63</v>
      </c>
      <c r="K11" s="25">
        <v>0.24598700000000001</v>
      </c>
      <c r="L11" s="1"/>
      <c r="M11" s="1"/>
      <c r="N11" s="17"/>
    </row>
    <row r="12" spans="2:14" ht="15" customHeight="1" x14ac:dyDescent="0.25">
      <c r="B12" s="19"/>
      <c r="C12" s="5" t="s">
        <v>8</v>
      </c>
      <c r="D12" s="6"/>
      <c r="E12" s="11">
        <v>0.75341800000000003</v>
      </c>
      <c r="F12" s="1"/>
      <c r="G12" s="1"/>
      <c r="H12" s="1"/>
      <c r="I12" s="1"/>
      <c r="J12" s="1"/>
      <c r="K12" s="1"/>
      <c r="L12" s="1"/>
      <c r="M12" s="1"/>
      <c r="N12" s="17"/>
    </row>
    <row r="13" spans="2:14" ht="15.75" customHeight="1" x14ac:dyDescent="0.25">
      <c r="B13" s="19"/>
      <c r="C13" s="7" t="s">
        <v>9</v>
      </c>
      <c r="D13" s="8"/>
      <c r="E13" s="12">
        <v>0.75341800000000003</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5.9500000000000004E-4</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4" t="s">
        <v>17</v>
      </c>
      <c r="H26" s="45"/>
      <c r="I26" s="45"/>
      <c r="J26" s="45"/>
      <c r="K26" s="45"/>
      <c r="L26" s="45"/>
      <c r="M26" s="45"/>
      <c r="N26" s="4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0.25" customHeight="1" thickBot="1" x14ac:dyDescent="0.3">
      <c r="B45" s="38" t="s">
        <v>130</v>
      </c>
      <c r="C45" s="39"/>
      <c r="D45" s="39"/>
      <c r="E45" s="39"/>
      <c r="F45" s="39"/>
      <c r="G45" s="39"/>
      <c r="H45" s="39"/>
      <c r="I45" s="39"/>
      <c r="J45" s="39"/>
      <c r="K45" s="39"/>
      <c r="L45" s="39"/>
      <c r="M45" s="39"/>
      <c r="N45" s="40"/>
    </row>
  </sheetData>
  <mergeCells count="4">
    <mergeCell ref="B45:N45"/>
    <mergeCell ref="C3:N3"/>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C77B-BAF0-4C34-86B5-1DA77D83B1A2}">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66</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67</v>
      </c>
      <c r="D8" s="6" t="s">
        <v>50</v>
      </c>
      <c r="E8" s="11">
        <v>0.27677200000000002</v>
      </c>
      <c r="F8" s="1"/>
      <c r="G8" s="23" t="s">
        <v>15</v>
      </c>
      <c r="H8" s="24">
        <v>1</v>
      </c>
      <c r="I8" s="1"/>
      <c r="J8" s="23" t="s">
        <v>12</v>
      </c>
      <c r="K8" s="23" t="s">
        <v>3</v>
      </c>
      <c r="L8" s="1"/>
      <c r="M8" s="1"/>
      <c r="N8" s="17"/>
    </row>
    <row r="9" spans="2:14" ht="15" customHeight="1" x14ac:dyDescent="0.25">
      <c r="B9" s="19"/>
      <c r="C9" s="5" t="s">
        <v>68</v>
      </c>
      <c r="D9" s="6" t="s">
        <v>50</v>
      </c>
      <c r="E9" s="11">
        <v>3.0783000000000001E-2</v>
      </c>
      <c r="F9" s="1"/>
      <c r="G9" s="1"/>
      <c r="H9" s="1"/>
      <c r="I9" s="1"/>
      <c r="J9" s="23" t="s">
        <v>10</v>
      </c>
      <c r="K9" s="25">
        <v>2.8600000000000001E-3</v>
      </c>
      <c r="L9" s="1"/>
      <c r="M9" s="1"/>
      <c r="N9" s="17"/>
    </row>
    <row r="10" spans="2:14" ht="15" customHeight="1" x14ac:dyDescent="0.25">
      <c r="B10" s="19"/>
      <c r="C10" s="5" t="s">
        <v>69</v>
      </c>
      <c r="D10" s="6" t="s">
        <v>50</v>
      </c>
      <c r="E10" s="11">
        <v>6.3699999999999998E-4</v>
      </c>
      <c r="F10" s="1"/>
      <c r="G10" s="1"/>
      <c r="H10" s="1"/>
      <c r="I10" s="1"/>
      <c r="J10" s="23" t="s">
        <v>13</v>
      </c>
      <c r="K10" s="25">
        <v>0.688948</v>
      </c>
      <c r="L10" s="1"/>
      <c r="M10" s="1"/>
      <c r="N10" s="17"/>
    </row>
    <row r="11" spans="2:14" ht="15.75" customHeight="1" x14ac:dyDescent="0.25">
      <c r="B11" s="19"/>
      <c r="C11" s="7" t="s">
        <v>56</v>
      </c>
      <c r="D11" s="8"/>
      <c r="E11" s="12">
        <v>0.30819200000000002</v>
      </c>
      <c r="F11" s="1"/>
      <c r="G11" s="1"/>
      <c r="H11" s="1"/>
      <c r="I11" s="1"/>
      <c r="J11" s="23" t="s">
        <v>63</v>
      </c>
      <c r="K11" s="25">
        <v>0.30819200000000002</v>
      </c>
      <c r="L11" s="1"/>
      <c r="M11" s="1"/>
      <c r="N11" s="17"/>
    </row>
    <row r="12" spans="2:14" ht="15" customHeight="1" x14ac:dyDescent="0.25">
      <c r="B12" s="19"/>
      <c r="C12" s="5" t="s">
        <v>8</v>
      </c>
      <c r="D12" s="6"/>
      <c r="E12" s="11">
        <v>0.688948</v>
      </c>
      <c r="F12" s="1"/>
      <c r="G12" s="1"/>
      <c r="H12" s="1"/>
      <c r="I12" s="1"/>
      <c r="J12" s="1"/>
      <c r="K12" s="1"/>
      <c r="L12" s="1"/>
      <c r="M12" s="1"/>
      <c r="N12" s="17"/>
    </row>
    <row r="13" spans="2:14" ht="15.75" customHeight="1" x14ac:dyDescent="0.25">
      <c r="B13" s="19"/>
      <c r="C13" s="7" t="s">
        <v>9</v>
      </c>
      <c r="D13" s="8"/>
      <c r="E13" s="12">
        <v>0.688948</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2.8600000000000001E-3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4" t="s">
        <v>17</v>
      </c>
      <c r="H26" s="45"/>
      <c r="I26" s="45"/>
      <c r="J26" s="45"/>
      <c r="K26" s="45"/>
      <c r="L26" s="45"/>
      <c r="M26" s="45"/>
      <c r="N26" s="4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9.25" customHeight="1" thickBot="1" x14ac:dyDescent="0.3">
      <c r="B45" s="38" t="s">
        <v>130</v>
      </c>
      <c r="C45" s="39"/>
      <c r="D45" s="39"/>
      <c r="E45" s="39"/>
      <c r="F45" s="39"/>
      <c r="G45" s="39"/>
      <c r="H45" s="39"/>
      <c r="I45" s="39"/>
      <c r="J45" s="39"/>
      <c r="K45" s="39"/>
      <c r="L45" s="39"/>
      <c r="M45" s="39"/>
      <c r="N45" s="40"/>
    </row>
  </sheetData>
  <mergeCells count="4">
    <mergeCell ref="B45:N45"/>
    <mergeCell ref="C3:N3"/>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BDF1-288B-4CFB-8906-18F0FAAA6A22}">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70</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71</v>
      </c>
      <c r="D8" s="6" t="s">
        <v>20</v>
      </c>
      <c r="E8" s="11">
        <v>2.1281999999999999E-2</v>
      </c>
      <c r="F8" s="1"/>
      <c r="G8" s="23" t="s">
        <v>15</v>
      </c>
      <c r="H8" s="24">
        <v>1</v>
      </c>
      <c r="I8" s="1"/>
      <c r="J8" s="23" t="s">
        <v>12</v>
      </c>
      <c r="K8" s="23" t="s">
        <v>3</v>
      </c>
      <c r="L8" s="1"/>
      <c r="M8" s="1"/>
      <c r="N8" s="17"/>
    </row>
    <row r="9" spans="2:14" ht="15.75" customHeight="1" x14ac:dyDescent="0.25">
      <c r="B9" s="19"/>
      <c r="C9" s="7" t="s">
        <v>24</v>
      </c>
      <c r="D9" s="8"/>
      <c r="E9" s="12">
        <v>2.1281999999999999E-2</v>
      </c>
      <c r="F9" s="1"/>
      <c r="G9" s="1"/>
      <c r="H9" s="1"/>
      <c r="I9" s="1"/>
      <c r="J9" s="23" t="s">
        <v>10</v>
      </c>
      <c r="K9" s="25">
        <v>4.2097000000000002E-2</v>
      </c>
      <c r="L9" s="1"/>
      <c r="M9" s="1"/>
      <c r="N9" s="17"/>
    </row>
    <row r="10" spans="2:14" ht="15" customHeight="1" x14ac:dyDescent="0.25">
      <c r="B10" s="19"/>
      <c r="C10" s="5" t="s">
        <v>28</v>
      </c>
      <c r="D10" s="6" t="s">
        <v>26</v>
      </c>
      <c r="E10" s="11">
        <v>3.5097000000000003E-2</v>
      </c>
      <c r="F10" s="1"/>
      <c r="G10" s="1"/>
      <c r="H10" s="1"/>
      <c r="I10" s="1"/>
      <c r="J10" s="23" t="s">
        <v>13</v>
      </c>
      <c r="K10" s="25">
        <v>0.60340400000000005</v>
      </c>
      <c r="L10" s="1"/>
      <c r="M10" s="1"/>
      <c r="N10" s="17"/>
    </row>
    <row r="11" spans="2:14" ht="15" customHeight="1" x14ac:dyDescent="0.25">
      <c r="B11" s="19"/>
      <c r="C11" s="5" t="s">
        <v>23</v>
      </c>
      <c r="D11" s="6" t="s">
        <v>26</v>
      </c>
      <c r="E11" s="11">
        <v>2.3082999999999999E-2</v>
      </c>
      <c r="F11" s="1"/>
      <c r="G11" s="1"/>
      <c r="H11" s="1"/>
      <c r="I11" s="1"/>
      <c r="J11" s="23" t="s">
        <v>60</v>
      </c>
      <c r="K11" s="25">
        <v>8.0591999999999997E-2</v>
      </c>
      <c r="L11" s="1"/>
      <c r="M11" s="1"/>
      <c r="N11" s="17"/>
    </row>
    <row r="12" spans="2:14" ht="15" customHeight="1" x14ac:dyDescent="0.25">
      <c r="B12" s="19"/>
      <c r="C12" s="5" t="s">
        <v>25</v>
      </c>
      <c r="D12" s="6" t="s">
        <v>26</v>
      </c>
      <c r="E12" s="11">
        <v>1.4777999999999999E-2</v>
      </c>
      <c r="F12" s="1"/>
      <c r="G12" s="1"/>
      <c r="H12" s="1"/>
      <c r="I12" s="1"/>
      <c r="J12" s="23" t="s">
        <v>61</v>
      </c>
      <c r="K12" s="25">
        <v>2.1281999999999999E-2</v>
      </c>
      <c r="L12" s="1"/>
      <c r="M12" s="1"/>
      <c r="N12" s="17"/>
    </row>
    <row r="13" spans="2:14" ht="15" customHeight="1" x14ac:dyDescent="0.25">
      <c r="B13" s="19"/>
      <c r="C13" s="5" t="s">
        <v>29</v>
      </c>
      <c r="D13" s="6" t="s">
        <v>26</v>
      </c>
      <c r="E13" s="11">
        <v>7.3379999999999999E-3</v>
      </c>
      <c r="F13" s="1"/>
      <c r="G13" s="1"/>
      <c r="H13" s="1"/>
      <c r="I13" s="1"/>
      <c r="J13" s="23" t="s">
        <v>63</v>
      </c>
      <c r="K13" s="25">
        <v>0.23355500000000001</v>
      </c>
      <c r="L13" s="1"/>
      <c r="M13" s="1"/>
      <c r="N13" s="17"/>
    </row>
    <row r="14" spans="2:14" ht="15" customHeight="1" x14ac:dyDescent="0.25">
      <c r="B14" s="19"/>
      <c r="C14" s="5" t="s">
        <v>35</v>
      </c>
      <c r="D14" s="6" t="s">
        <v>26</v>
      </c>
      <c r="E14" s="11">
        <v>2.9599999999999998E-4</v>
      </c>
      <c r="F14" s="1"/>
      <c r="G14" s="1"/>
      <c r="H14" s="1"/>
      <c r="I14" s="1"/>
      <c r="J14" s="23" t="s">
        <v>77</v>
      </c>
      <c r="K14" s="25">
        <v>9.1070000000000005E-3</v>
      </c>
      <c r="L14" s="1"/>
      <c r="M14" s="1"/>
      <c r="N14" s="17"/>
    </row>
    <row r="15" spans="2:14" ht="15.75" customHeight="1" x14ac:dyDescent="0.25">
      <c r="B15" s="19"/>
      <c r="C15" s="7" t="s">
        <v>46</v>
      </c>
      <c r="D15" s="8"/>
      <c r="E15" s="12">
        <v>8.0591999999999997E-2</v>
      </c>
      <c r="F15" s="1"/>
      <c r="G15" s="1"/>
      <c r="H15" s="1"/>
      <c r="I15" s="1"/>
      <c r="J15" s="23" t="s">
        <v>64</v>
      </c>
      <c r="K15" s="25">
        <v>9.9629999999999996E-3</v>
      </c>
      <c r="L15" s="1"/>
      <c r="M15" s="1"/>
      <c r="N15" s="17"/>
    </row>
    <row r="16" spans="2:14" ht="15" customHeight="1" x14ac:dyDescent="0.25">
      <c r="B16" s="19"/>
      <c r="C16" s="5" t="s">
        <v>67</v>
      </c>
      <c r="D16" s="6" t="s">
        <v>50</v>
      </c>
      <c r="E16" s="11">
        <v>0.23225999999999999</v>
      </c>
      <c r="F16" s="1"/>
      <c r="G16" s="1"/>
      <c r="H16" s="1"/>
      <c r="I16" s="1"/>
      <c r="J16" s="1"/>
      <c r="K16" s="1"/>
      <c r="L16" s="1"/>
      <c r="M16" s="1"/>
      <c r="N16" s="17"/>
    </row>
    <row r="17" spans="2:14" ht="15" customHeight="1" x14ac:dyDescent="0.25">
      <c r="B17" s="19"/>
      <c r="C17" s="5" t="s">
        <v>72</v>
      </c>
      <c r="D17" s="6" t="s">
        <v>50</v>
      </c>
      <c r="E17" s="11">
        <v>1.1999999999999999E-3</v>
      </c>
      <c r="F17" s="1"/>
      <c r="G17" s="1"/>
      <c r="H17" s="1"/>
      <c r="I17" s="1"/>
      <c r="J17" s="1"/>
      <c r="K17" s="1"/>
      <c r="L17" s="1"/>
      <c r="M17" s="1"/>
      <c r="N17" s="17"/>
    </row>
    <row r="18" spans="2:14" ht="15" customHeight="1" x14ac:dyDescent="0.25">
      <c r="B18" s="19"/>
      <c r="C18" s="5" t="s">
        <v>73</v>
      </c>
      <c r="D18" s="6" t="s">
        <v>50</v>
      </c>
      <c r="E18" s="11">
        <v>6.0000000000000002E-5</v>
      </c>
      <c r="F18" s="1"/>
      <c r="G18" s="1"/>
      <c r="H18" s="1"/>
      <c r="I18" s="1"/>
      <c r="J18" s="1"/>
      <c r="K18" s="1"/>
      <c r="L18" s="1"/>
      <c r="M18" s="1"/>
      <c r="N18" s="17"/>
    </row>
    <row r="19" spans="2:14" ht="15" customHeight="1" x14ac:dyDescent="0.25">
      <c r="B19" s="19"/>
      <c r="C19" s="5" t="s">
        <v>74</v>
      </c>
      <c r="D19" s="6" t="s">
        <v>50</v>
      </c>
      <c r="E19" s="26">
        <v>3.4999999999999997E-5</v>
      </c>
      <c r="F19" s="1"/>
      <c r="G19" s="1"/>
      <c r="H19" s="1"/>
      <c r="I19" s="1"/>
      <c r="J19" s="1"/>
      <c r="K19" s="1"/>
      <c r="L19" s="1"/>
      <c r="M19" s="1"/>
      <c r="N19" s="17"/>
    </row>
    <row r="20" spans="2:14" ht="15.75" customHeight="1" x14ac:dyDescent="0.25">
      <c r="B20" s="19"/>
      <c r="C20" s="7" t="s">
        <v>56</v>
      </c>
      <c r="D20" s="8"/>
      <c r="E20" s="12">
        <v>0.23355500000000001</v>
      </c>
      <c r="F20" s="1"/>
      <c r="G20" s="1"/>
      <c r="H20" s="1"/>
      <c r="I20" s="1"/>
      <c r="J20" s="1"/>
      <c r="K20" s="1"/>
      <c r="L20" s="1"/>
      <c r="M20" s="1"/>
      <c r="N20" s="17"/>
    </row>
    <row r="21" spans="2:14" ht="15" customHeight="1" x14ac:dyDescent="0.25">
      <c r="B21" s="19"/>
      <c r="C21" s="5" t="s">
        <v>193</v>
      </c>
      <c r="D21" s="6" t="s">
        <v>75</v>
      </c>
      <c r="E21" s="11">
        <v>9.1070000000000005E-3</v>
      </c>
      <c r="F21" s="1"/>
      <c r="G21" s="1"/>
      <c r="H21" s="1"/>
      <c r="I21" s="1"/>
      <c r="J21" s="1"/>
      <c r="K21" s="1"/>
      <c r="L21" s="1"/>
      <c r="M21" s="1"/>
      <c r="N21" s="17"/>
    </row>
    <row r="22" spans="2:14" ht="15.75" customHeight="1" x14ac:dyDescent="0.25">
      <c r="B22" s="19"/>
      <c r="C22" s="7" t="s">
        <v>76</v>
      </c>
      <c r="D22" s="8"/>
      <c r="E22" s="12">
        <v>9.1070000000000005E-3</v>
      </c>
      <c r="F22" s="1"/>
      <c r="G22" s="1"/>
      <c r="H22" s="1"/>
      <c r="I22" s="1"/>
      <c r="J22" s="1"/>
      <c r="K22" s="1"/>
      <c r="L22" s="1"/>
      <c r="M22" s="1"/>
      <c r="N22" s="17"/>
    </row>
    <row r="23" spans="2:14" ht="15" customHeight="1" x14ac:dyDescent="0.25">
      <c r="B23" s="19"/>
      <c r="C23" s="5" t="s">
        <v>158</v>
      </c>
      <c r="D23" s="6" t="s">
        <v>50</v>
      </c>
      <c r="E23" s="11">
        <v>4.6719999999999999E-3</v>
      </c>
      <c r="F23" s="1"/>
      <c r="G23" s="1"/>
      <c r="H23" s="1"/>
      <c r="I23" s="1"/>
      <c r="J23" s="1"/>
      <c r="K23" s="1"/>
      <c r="L23" s="1"/>
      <c r="M23" s="1"/>
      <c r="N23" s="17"/>
    </row>
    <row r="24" spans="2:14" ht="15.75" customHeight="1" x14ac:dyDescent="0.25">
      <c r="B24" s="19"/>
      <c r="C24" s="5" t="s">
        <v>157</v>
      </c>
      <c r="D24" s="6" t="s">
        <v>50</v>
      </c>
      <c r="E24" s="11">
        <v>4.6699999999999997E-3</v>
      </c>
      <c r="F24" s="1"/>
      <c r="G24" s="1"/>
      <c r="H24" s="1"/>
      <c r="I24" s="1"/>
      <c r="J24" s="1"/>
      <c r="K24" s="1"/>
      <c r="L24" s="1"/>
      <c r="M24" s="1"/>
      <c r="N24" s="17"/>
    </row>
    <row r="25" spans="2:14" ht="15" customHeight="1" x14ac:dyDescent="0.25">
      <c r="B25" s="19"/>
      <c r="C25" s="5" t="s">
        <v>159</v>
      </c>
      <c r="D25" s="6" t="s">
        <v>50</v>
      </c>
      <c r="E25" s="11">
        <v>6.1399999999999996E-4</v>
      </c>
      <c r="F25" s="1"/>
      <c r="G25" s="1"/>
      <c r="H25" s="1"/>
      <c r="I25" s="1"/>
      <c r="J25" s="1"/>
      <c r="K25" s="1"/>
      <c r="L25" s="1"/>
      <c r="M25" s="1"/>
      <c r="N25" s="17"/>
    </row>
    <row r="26" spans="2:14" ht="15.75" customHeight="1" x14ac:dyDescent="0.25">
      <c r="B26" s="19"/>
      <c r="C26" s="5" t="s">
        <v>156</v>
      </c>
      <c r="D26" s="6" t="s">
        <v>50</v>
      </c>
      <c r="E26" s="26">
        <v>6.0000000000000002E-6</v>
      </c>
      <c r="F26" s="1"/>
      <c r="G26" s="44" t="s">
        <v>17</v>
      </c>
      <c r="H26" s="45"/>
      <c r="I26" s="45"/>
      <c r="J26" s="45"/>
      <c r="K26" s="45"/>
      <c r="L26" s="45"/>
      <c r="M26" s="45"/>
      <c r="N26" s="46"/>
    </row>
    <row r="27" spans="2:14" ht="15" customHeight="1" x14ac:dyDescent="0.25">
      <c r="B27" s="19"/>
      <c r="C27" s="5" t="s">
        <v>160</v>
      </c>
      <c r="D27" s="6" t="s">
        <v>50</v>
      </c>
      <c r="E27" s="26">
        <v>9.9999999999999995E-7</v>
      </c>
      <c r="F27" s="1"/>
      <c r="G27" s="1"/>
      <c r="H27" s="1"/>
      <c r="I27" s="1"/>
      <c r="J27" s="1"/>
      <c r="K27" s="1"/>
      <c r="L27" s="1"/>
      <c r="M27" s="1"/>
      <c r="N27" s="17"/>
    </row>
    <row r="28" spans="2:14" ht="15.75" customHeight="1" x14ac:dyDescent="0.25">
      <c r="B28" s="19"/>
      <c r="C28" s="7" t="s">
        <v>57</v>
      </c>
      <c r="D28" s="8"/>
      <c r="E28" s="12">
        <v>9.9629999999999996E-3</v>
      </c>
      <c r="F28" s="1"/>
      <c r="G28" s="1"/>
      <c r="H28" s="1"/>
      <c r="I28" s="1"/>
      <c r="J28" s="1"/>
      <c r="K28" s="1"/>
      <c r="L28" s="1"/>
      <c r="M28" s="1"/>
      <c r="N28" s="17"/>
    </row>
    <row r="29" spans="2:14" ht="15" customHeight="1" x14ac:dyDescent="0.25">
      <c r="B29" s="19"/>
      <c r="C29" s="5" t="s">
        <v>8</v>
      </c>
      <c r="D29" s="6"/>
      <c r="E29" s="11">
        <v>0.60340400000000005</v>
      </c>
      <c r="F29" s="1"/>
      <c r="G29" s="1"/>
      <c r="H29" s="1"/>
      <c r="I29" s="1"/>
      <c r="J29" s="1"/>
      <c r="K29" s="1"/>
      <c r="L29" s="1"/>
      <c r="M29" s="1"/>
      <c r="N29" s="17"/>
    </row>
    <row r="30" spans="2:14" ht="15" customHeight="1" x14ac:dyDescent="0.25">
      <c r="B30" s="19"/>
      <c r="C30" s="7" t="s">
        <v>9</v>
      </c>
      <c r="D30" s="8"/>
      <c r="E30" s="12">
        <v>0.60340400000000005</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 customHeight="1" x14ac:dyDescent="0.25">
      <c r="B32" s="19"/>
      <c r="C32" s="7" t="s">
        <v>10</v>
      </c>
      <c r="D32" s="8"/>
      <c r="E32" s="12">
        <v>4.2097000000000002E-2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 customHeight="1" x14ac:dyDescent="0.25">
      <c r="B34" s="19"/>
      <c r="C34" s="9" t="s">
        <v>11</v>
      </c>
      <c r="D34" s="10"/>
      <c r="E34" s="13">
        <v>1</v>
      </c>
      <c r="F34" s="1"/>
      <c r="G34" s="1"/>
      <c r="H34" s="1"/>
      <c r="I34" s="1"/>
      <c r="J34" s="1"/>
      <c r="K34" s="1"/>
      <c r="L34" s="1"/>
      <c r="M34" s="1"/>
      <c r="N34" s="17"/>
    </row>
    <row r="35" spans="2:14" ht="15" customHeight="1" x14ac:dyDescent="0.25">
      <c r="B35" s="19"/>
      <c r="F35" s="1"/>
      <c r="G35" s="1"/>
      <c r="H35" s="1"/>
      <c r="I35" s="1"/>
      <c r="J35" s="1"/>
      <c r="K35" s="1"/>
      <c r="L35" s="1"/>
      <c r="M35" s="1"/>
      <c r="N35" s="17"/>
    </row>
    <row r="36" spans="2:14" ht="15" customHeight="1" x14ac:dyDescent="0.25">
      <c r="B36" s="19"/>
      <c r="C36" s="1" t="s">
        <v>192</v>
      </c>
      <c r="F36" s="1"/>
      <c r="G36" s="1"/>
      <c r="H36" s="1"/>
      <c r="I36" s="1"/>
      <c r="J36" s="1"/>
      <c r="K36" s="1"/>
      <c r="L36" s="1"/>
      <c r="M36" s="1"/>
      <c r="N36" s="17"/>
    </row>
    <row r="37" spans="2:14" ht="15" customHeight="1" x14ac:dyDescent="0.25">
      <c r="B37" s="19"/>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2.5" customHeight="1" thickBot="1" x14ac:dyDescent="0.3">
      <c r="B45" s="38" t="s">
        <v>130</v>
      </c>
      <c r="C45" s="39"/>
      <c r="D45" s="39"/>
      <c r="E45" s="39"/>
      <c r="F45" s="39"/>
      <c r="G45" s="39"/>
      <c r="H45" s="39"/>
      <c r="I45" s="39"/>
      <c r="J45" s="39"/>
      <c r="K45" s="39"/>
      <c r="L45" s="39"/>
      <c r="M45" s="39"/>
      <c r="N45" s="40"/>
    </row>
    <row r="46" spans="2:14" ht="15" customHeight="1" x14ac:dyDescent="0.25"/>
    <row r="47" spans="2:14" ht="15" customHeight="1" x14ac:dyDescent="0.25"/>
    <row r="48" spans="2:14" ht="15" customHeight="1" x14ac:dyDescent="0.25"/>
    <row r="49" ht="15" customHeight="1" x14ac:dyDescent="0.25"/>
    <row r="50" ht="15" customHeight="1" x14ac:dyDescent="0.25"/>
  </sheetData>
  <sortState ref="C23:E27">
    <sortCondition descending="1" ref="E23"/>
  </sortState>
  <mergeCells count="4">
    <mergeCell ref="B45:N45"/>
    <mergeCell ref="C3:N3"/>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1753D-DC3B-4491-9A94-A1A0AD829769}">
  <dimension ref="B1:N5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78</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71</v>
      </c>
      <c r="D8" s="6" t="s">
        <v>20</v>
      </c>
      <c r="E8" s="11">
        <v>3.8049999999999998E-3</v>
      </c>
      <c r="F8" s="1"/>
      <c r="G8" s="23" t="s">
        <v>15</v>
      </c>
      <c r="H8" s="24">
        <v>1</v>
      </c>
      <c r="I8" s="1"/>
      <c r="J8" s="23" t="s">
        <v>12</v>
      </c>
      <c r="K8" s="23" t="s">
        <v>3</v>
      </c>
      <c r="L8" s="1"/>
      <c r="M8" s="1"/>
      <c r="N8" s="17"/>
    </row>
    <row r="9" spans="2:14" ht="15.75" customHeight="1" x14ac:dyDescent="0.25">
      <c r="B9" s="19"/>
      <c r="C9" s="7" t="s">
        <v>24</v>
      </c>
      <c r="D9" s="8"/>
      <c r="E9" s="12">
        <v>3.8049999999999998E-3</v>
      </c>
      <c r="F9" s="1"/>
      <c r="G9" s="1"/>
      <c r="H9" s="1"/>
      <c r="I9" s="1"/>
      <c r="J9" s="23" t="s">
        <v>10</v>
      </c>
      <c r="K9" s="25">
        <v>2.2998999999999999E-2</v>
      </c>
      <c r="L9" s="1"/>
      <c r="M9" s="1"/>
      <c r="N9" s="17"/>
    </row>
    <row r="10" spans="2:14" ht="15" customHeight="1" x14ac:dyDescent="0.25">
      <c r="B10" s="19"/>
      <c r="C10" s="5" t="s">
        <v>23</v>
      </c>
      <c r="D10" s="6" t="s">
        <v>26</v>
      </c>
      <c r="E10" s="11">
        <v>8.9163000000000006E-2</v>
      </c>
      <c r="F10" s="1"/>
      <c r="G10" s="1"/>
      <c r="H10" s="1"/>
      <c r="I10" s="1"/>
      <c r="J10" s="23" t="s">
        <v>13</v>
      </c>
      <c r="K10" s="25">
        <v>0.243029</v>
      </c>
      <c r="L10" s="1"/>
      <c r="M10" s="1"/>
      <c r="N10" s="17"/>
    </row>
    <row r="11" spans="2:14" ht="15" customHeight="1" x14ac:dyDescent="0.25">
      <c r="B11" s="19"/>
      <c r="C11" s="5" t="s">
        <v>25</v>
      </c>
      <c r="D11" s="6" t="s">
        <v>26</v>
      </c>
      <c r="E11" s="11">
        <v>8.6274000000000003E-2</v>
      </c>
      <c r="F11" s="1"/>
      <c r="G11" s="1"/>
      <c r="H11" s="1"/>
      <c r="I11" s="1"/>
      <c r="J11" s="23" t="s">
        <v>60</v>
      </c>
      <c r="K11" s="25">
        <v>0.475964</v>
      </c>
      <c r="L11" s="1"/>
      <c r="M11" s="1"/>
      <c r="N11" s="17"/>
    </row>
    <row r="12" spans="2:14" ht="15" customHeight="1" x14ac:dyDescent="0.25">
      <c r="B12" s="19"/>
      <c r="C12" s="5" t="s">
        <v>35</v>
      </c>
      <c r="D12" s="6" t="s">
        <v>26</v>
      </c>
      <c r="E12" s="11">
        <v>5.8414000000000001E-2</v>
      </c>
      <c r="F12" s="1"/>
      <c r="G12" s="1"/>
      <c r="H12" s="1"/>
      <c r="I12" s="1"/>
      <c r="J12" s="23" t="s">
        <v>61</v>
      </c>
      <c r="K12" s="25">
        <v>3.8049999999999998E-3</v>
      </c>
      <c r="L12" s="1"/>
      <c r="M12" s="1"/>
      <c r="N12" s="17"/>
    </row>
    <row r="13" spans="2:14" ht="15" customHeight="1" x14ac:dyDescent="0.25">
      <c r="B13" s="19"/>
      <c r="C13" s="5" t="s">
        <v>28</v>
      </c>
      <c r="D13" s="6" t="s">
        <v>26</v>
      </c>
      <c r="E13" s="11">
        <v>4.1798000000000002E-2</v>
      </c>
      <c r="F13" s="1"/>
      <c r="G13" s="1"/>
      <c r="H13" s="1"/>
      <c r="I13" s="1"/>
      <c r="J13" s="23" t="s">
        <v>63</v>
      </c>
      <c r="K13" s="25">
        <v>0.249026</v>
      </c>
      <c r="L13" s="1"/>
      <c r="M13" s="1"/>
      <c r="N13" s="17"/>
    </row>
    <row r="14" spans="2:14" ht="15" customHeight="1" x14ac:dyDescent="0.25">
      <c r="B14" s="19"/>
      <c r="C14" s="5" t="s">
        <v>33</v>
      </c>
      <c r="D14" s="6" t="s">
        <v>26</v>
      </c>
      <c r="E14" s="11">
        <v>3.4928000000000001E-2</v>
      </c>
      <c r="F14" s="1"/>
      <c r="G14" s="1"/>
      <c r="H14" s="1"/>
      <c r="I14" s="1"/>
      <c r="J14" s="23" t="s">
        <v>77</v>
      </c>
      <c r="K14" s="25">
        <v>5.1770000000000002E-3</v>
      </c>
      <c r="L14" s="1"/>
      <c r="M14" s="1"/>
      <c r="N14" s="17"/>
    </row>
    <row r="15" spans="2:14" ht="15" customHeight="1" x14ac:dyDescent="0.25">
      <c r="B15" s="19"/>
      <c r="C15" s="5" t="s">
        <v>38</v>
      </c>
      <c r="D15" s="6" t="s">
        <v>26</v>
      </c>
      <c r="E15" s="11">
        <v>3.2263E-2</v>
      </c>
      <c r="F15" s="1"/>
      <c r="G15" s="1"/>
      <c r="H15" s="1"/>
      <c r="I15" s="1"/>
      <c r="J15" s="1"/>
      <c r="K15" s="1"/>
      <c r="L15" s="1"/>
      <c r="M15" s="1"/>
      <c r="N15" s="17"/>
    </row>
    <row r="16" spans="2:14" ht="15" customHeight="1" x14ac:dyDescent="0.25">
      <c r="B16" s="19"/>
      <c r="C16" s="5" t="s">
        <v>27</v>
      </c>
      <c r="D16" s="6" t="s">
        <v>26</v>
      </c>
      <c r="E16" s="11">
        <v>2.3796000000000001E-2</v>
      </c>
      <c r="F16" s="1"/>
      <c r="G16" s="1"/>
      <c r="H16" s="1"/>
      <c r="I16" s="1"/>
      <c r="J16" s="1"/>
      <c r="K16" s="1"/>
      <c r="L16" s="1"/>
      <c r="M16" s="1"/>
      <c r="N16" s="17"/>
    </row>
    <row r="17" spans="2:14" ht="15" customHeight="1" x14ac:dyDescent="0.25">
      <c r="B17" s="19"/>
      <c r="C17" s="5" t="s">
        <v>42</v>
      </c>
      <c r="D17" s="6" t="s">
        <v>26</v>
      </c>
      <c r="E17" s="11">
        <v>2.231E-2</v>
      </c>
      <c r="F17" s="1"/>
      <c r="G17" s="1"/>
      <c r="H17" s="1"/>
      <c r="I17" s="1"/>
      <c r="J17" s="1"/>
      <c r="K17" s="1"/>
      <c r="L17" s="1"/>
      <c r="M17" s="1"/>
      <c r="N17" s="17"/>
    </row>
    <row r="18" spans="2:14" ht="15" customHeight="1" x14ac:dyDescent="0.25">
      <c r="B18" s="19"/>
      <c r="C18" s="5" t="s">
        <v>36</v>
      </c>
      <c r="D18" s="6" t="s">
        <v>26</v>
      </c>
      <c r="E18" s="11">
        <v>2.1822999999999999E-2</v>
      </c>
      <c r="F18" s="1"/>
      <c r="G18" s="1"/>
      <c r="H18" s="1"/>
      <c r="I18" s="1"/>
      <c r="J18" s="1"/>
      <c r="K18" s="1"/>
      <c r="L18" s="1"/>
      <c r="M18" s="1"/>
      <c r="N18" s="17"/>
    </row>
    <row r="19" spans="2:14" ht="15" customHeight="1" x14ac:dyDescent="0.25">
      <c r="B19" s="19"/>
      <c r="C19" s="5" t="s">
        <v>29</v>
      </c>
      <c r="D19" s="6" t="s">
        <v>26</v>
      </c>
      <c r="E19" s="11">
        <v>1.9623999999999999E-2</v>
      </c>
      <c r="F19" s="1"/>
      <c r="G19" s="1"/>
      <c r="H19" s="1"/>
      <c r="I19" s="1"/>
      <c r="J19" s="1"/>
      <c r="K19" s="1"/>
      <c r="L19" s="1"/>
      <c r="M19" s="1"/>
      <c r="N19" s="17"/>
    </row>
    <row r="20" spans="2:14" ht="15" customHeight="1" x14ac:dyDescent="0.25">
      <c r="B20" s="19"/>
      <c r="C20" s="5" t="s">
        <v>39</v>
      </c>
      <c r="D20" s="6" t="s">
        <v>26</v>
      </c>
      <c r="E20" s="11">
        <v>1.8453000000000001E-2</v>
      </c>
      <c r="F20" s="1"/>
      <c r="G20" s="1"/>
      <c r="H20" s="1"/>
      <c r="I20" s="1"/>
      <c r="J20" s="1"/>
      <c r="K20" s="1"/>
      <c r="L20" s="1"/>
      <c r="M20" s="1"/>
      <c r="N20" s="17"/>
    </row>
    <row r="21" spans="2:14" ht="15" customHeight="1" x14ac:dyDescent="0.25">
      <c r="B21" s="19"/>
      <c r="C21" s="5" t="s">
        <v>32</v>
      </c>
      <c r="D21" s="6" t="s">
        <v>26</v>
      </c>
      <c r="E21" s="11">
        <v>1.1693E-2</v>
      </c>
      <c r="F21" s="1"/>
      <c r="G21" s="1"/>
      <c r="H21" s="1"/>
      <c r="I21" s="1"/>
      <c r="J21" s="1"/>
      <c r="K21" s="1"/>
      <c r="L21" s="1"/>
      <c r="M21" s="1"/>
      <c r="N21" s="17"/>
    </row>
    <row r="22" spans="2:14" ht="15" customHeight="1" x14ac:dyDescent="0.25">
      <c r="B22" s="19"/>
      <c r="C22" s="5" t="s">
        <v>31</v>
      </c>
      <c r="D22" s="6" t="s">
        <v>26</v>
      </c>
      <c r="E22" s="11">
        <v>8.3359999999999997E-3</v>
      </c>
      <c r="F22" s="1"/>
      <c r="G22" s="1"/>
      <c r="H22" s="1"/>
      <c r="I22" s="1"/>
      <c r="J22" s="1"/>
      <c r="K22" s="1"/>
      <c r="L22" s="1"/>
      <c r="M22" s="1"/>
      <c r="N22" s="17"/>
    </row>
    <row r="23" spans="2:14" ht="15" customHeight="1" x14ac:dyDescent="0.25">
      <c r="B23" s="19"/>
      <c r="C23" s="5" t="s">
        <v>40</v>
      </c>
      <c r="D23" s="6" t="s">
        <v>26</v>
      </c>
      <c r="E23" s="11">
        <v>6.6899999999999998E-3</v>
      </c>
      <c r="F23" s="1"/>
      <c r="G23" s="1"/>
      <c r="H23" s="1"/>
      <c r="I23" s="1"/>
      <c r="J23" s="1"/>
      <c r="K23" s="1"/>
      <c r="L23" s="1"/>
      <c r="M23" s="1"/>
      <c r="N23" s="17"/>
    </row>
    <row r="24" spans="2:14" ht="15" customHeight="1" x14ac:dyDescent="0.25">
      <c r="B24" s="19"/>
      <c r="C24" s="5" t="s">
        <v>21</v>
      </c>
      <c r="D24" s="6" t="s">
        <v>26</v>
      </c>
      <c r="E24" s="11">
        <v>3.9899999999999999E-4</v>
      </c>
      <c r="F24" s="1"/>
      <c r="G24" s="1"/>
      <c r="H24" s="1"/>
      <c r="I24" s="1"/>
      <c r="J24" s="1"/>
      <c r="K24" s="1"/>
      <c r="L24" s="1"/>
      <c r="M24" s="1"/>
      <c r="N24" s="17"/>
    </row>
    <row r="25" spans="2:14" ht="15.75" customHeight="1" x14ac:dyDescent="0.25">
      <c r="B25" s="19"/>
      <c r="C25" s="7" t="s">
        <v>46</v>
      </c>
      <c r="D25" s="8"/>
      <c r="E25" s="12">
        <v>0.475964</v>
      </c>
      <c r="F25" s="1"/>
      <c r="G25" s="1"/>
      <c r="H25" s="1"/>
      <c r="I25" s="1"/>
      <c r="J25" s="1"/>
      <c r="K25" s="1"/>
      <c r="L25" s="1"/>
      <c r="M25" s="1"/>
      <c r="N25" s="17"/>
    </row>
    <row r="26" spans="2:14" ht="15" customHeight="1" x14ac:dyDescent="0.25">
      <c r="B26" s="19"/>
      <c r="C26" s="5" t="s">
        <v>67</v>
      </c>
      <c r="D26" s="6" t="s">
        <v>50</v>
      </c>
      <c r="E26" s="11">
        <v>0.24859000000000001</v>
      </c>
      <c r="F26" s="1"/>
      <c r="G26" s="44" t="s">
        <v>17</v>
      </c>
      <c r="H26" s="45"/>
      <c r="I26" s="45"/>
      <c r="J26" s="45"/>
      <c r="K26" s="45"/>
      <c r="L26" s="45"/>
      <c r="M26" s="45"/>
      <c r="N26" s="46"/>
    </row>
    <row r="27" spans="2:14" ht="15" customHeight="1" x14ac:dyDescent="0.25">
      <c r="B27" s="19"/>
      <c r="C27" s="5" t="s">
        <v>79</v>
      </c>
      <c r="D27" s="6" t="s">
        <v>50</v>
      </c>
      <c r="E27" s="11">
        <v>2.03E-4</v>
      </c>
      <c r="F27" s="1"/>
      <c r="G27" s="1"/>
      <c r="H27" s="1"/>
      <c r="I27" s="1"/>
      <c r="J27" s="1"/>
      <c r="K27" s="1"/>
      <c r="L27" s="1"/>
      <c r="M27" s="1"/>
      <c r="N27" s="17"/>
    </row>
    <row r="28" spans="2:14" ht="15" customHeight="1" x14ac:dyDescent="0.25">
      <c r="B28" s="19"/>
      <c r="C28" s="5" t="s">
        <v>73</v>
      </c>
      <c r="D28" s="6" t="s">
        <v>50</v>
      </c>
      <c r="E28" s="11">
        <v>1.4799999999999999E-4</v>
      </c>
      <c r="F28" s="1"/>
      <c r="G28" s="1"/>
      <c r="H28" s="1"/>
      <c r="I28" s="1"/>
      <c r="J28" s="1"/>
      <c r="K28" s="1"/>
      <c r="L28" s="1"/>
      <c r="M28" s="1"/>
      <c r="N28" s="17"/>
    </row>
    <row r="29" spans="2:14" ht="15" customHeight="1" x14ac:dyDescent="0.25">
      <c r="B29" s="19"/>
      <c r="C29" s="5" t="s">
        <v>74</v>
      </c>
      <c r="D29" s="6" t="s">
        <v>50</v>
      </c>
      <c r="E29" s="11">
        <v>8.5000000000000006E-5</v>
      </c>
      <c r="F29" s="1"/>
      <c r="G29" s="1"/>
      <c r="H29" s="1"/>
      <c r="I29" s="1"/>
      <c r="J29" s="1"/>
      <c r="K29" s="1"/>
      <c r="L29" s="1"/>
      <c r="M29" s="1"/>
      <c r="N29" s="17"/>
    </row>
    <row r="30" spans="2:14" ht="15.75" customHeight="1" x14ac:dyDescent="0.25">
      <c r="B30" s="19"/>
      <c r="C30" s="7" t="s">
        <v>56</v>
      </c>
      <c r="D30" s="8"/>
      <c r="E30" s="12">
        <v>0.249026</v>
      </c>
      <c r="F30" s="1"/>
      <c r="G30" s="1"/>
      <c r="H30" s="1"/>
      <c r="I30" s="1"/>
      <c r="J30" s="1"/>
      <c r="K30" s="1"/>
      <c r="L30" s="1"/>
      <c r="M30" s="1"/>
      <c r="N30" s="17"/>
    </row>
    <row r="31" spans="2:14" ht="15" customHeight="1" x14ac:dyDescent="0.25">
      <c r="B31" s="19"/>
      <c r="C31" s="5" t="s">
        <v>193</v>
      </c>
      <c r="D31" s="6" t="s">
        <v>75</v>
      </c>
      <c r="E31" s="11">
        <v>5.1770000000000002E-3</v>
      </c>
      <c r="F31" s="1"/>
      <c r="G31" s="1"/>
      <c r="H31" s="1"/>
      <c r="I31" s="1"/>
      <c r="J31" s="1"/>
      <c r="K31" s="1"/>
      <c r="L31" s="1"/>
      <c r="M31" s="1"/>
      <c r="N31" s="17"/>
    </row>
    <row r="32" spans="2:14" ht="15.75" customHeight="1" x14ac:dyDescent="0.25">
      <c r="B32" s="19"/>
      <c r="C32" s="7" t="s">
        <v>76</v>
      </c>
      <c r="D32" s="8"/>
      <c r="E32" s="12">
        <v>5.1770000000000002E-3</v>
      </c>
      <c r="F32" s="1"/>
      <c r="G32" s="1"/>
      <c r="H32" s="1"/>
      <c r="I32" s="1"/>
      <c r="J32" s="1"/>
      <c r="K32" s="1"/>
      <c r="L32" s="1"/>
      <c r="M32" s="1"/>
      <c r="N32" s="17"/>
    </row>
    <row r="33" spans="2:14" ht="15" customHeight="1" x14ac:dyDescent="0.25">
      <c r="B33" s="19"/>
      <c r="C33" s="5" t="s">
        <v>8</v>
      </c>
      <c r="D33" s="6"/>
      <c r="E33" s="11">
        <v>0.243029</v>
      </c>
      <c r="F33" s="1"/>
      <c r="G33" s="1"/>
      <c r="H33" s="1"/>
      <c r="I33" s="1"/>
      <c r="J33" s="1"/>
      <c r="K33" s="1"/>
      <c r="L33" s="1"/>
      <c r="M33" s="1"/>
      <c r="N33" s="17"/>
    </row>
    <row r="34" spans="2:14" ht="15.75" customHeight="1" x14ac:dyDescent="0.25">
      <c r="B34" s="19"/>
      <c r="C34" s="7" t="s">
        <v>9</v>
      </c>
      <c r="D34" s="8"/>
      <c r="E34" s="12">
        <v>0.243029</v>
      </c>
      <c r="F34" s="1"/>
      <c r="G34" s="1"/>
      <c r="H34" s="1"/>
      <c r="I34" s="1"/>
      <c r="J34" s="1"/>
      <c r="K34" s="1"/>
      <c r="L34" s="1"/>
      <c r="M34" s="1"/>
      <c r="N34" s="17"/>
    </row>
    <row r="35" spans="2:14" ht="15" customHeight="1" x14ac:dyDescent="0.25">
      <c r="B35" s="19"/>
      <c r="C35" s="5"/>
      <c r="D35" s="6"/>
      <c r="E35" s="11"/>
      <c r="F35" s="1"/>
      <c r="G35" s="1"/>
      <c r="H35" s="1"/>
      <c r="I35" s="1"/>
      <c r="J35" s="1"/>
      <c r="K35" s="1"/>
      <c r="L35" s="1"/>
      <c r="M35" s="1"/>
      <c r="N35" s="17"/>
    </row>
    <row r="36" spans="2:14" ht="15.75" customHeight="1" x14ac:dyDescent="0.25">
      <c r="B36" s="19"/>
      <c r="C36" s="7" t="s">
        <v>10</v>
      </c>
      <c r="D36" s="8"/>
      <c r="E36" s="12">
        <v>2.2998999999999999E-2</v>
      </c>
      <c r="F36" s="1"/>
      <c r="G36" s="1"/>
      <c r="H36" s="1"/>
      <c r="I36" s="1"/>
      <c r="J36" s="1"/>
      <c r="K36" s="1"/>
      <c r="L36" s="1"/>
      <c r="M36" s="1"/>
      <c r="N36" s="17"/>
    </row>
    <row r="37" spans="2:14" ht="15" customHeight="1" x14ac:dyDescent="0.25">
      <c r="B37" s="19"/>
      <c r="C37" s="5"/>
      <c r="D37" s="6"/>
      <c r="E37" s="11"/>
      <c r="F37" s="1"/>
      <c r="G37" s="1"/>
      <c r="H37" s="1"/>
      <c r="I37" s="1"/>
      <c r="J37" s="1"/>
      <c r="K37" s="1"/>
      <c r="L37" s="1"/>
      <c r="M37" s="1"/>
      <c r="N37" s="17"/>
    </row>
    <row r="38" spans="2:14" ht="15" customHeight="1" x14ac:dyDescent="0.25">
      <c r="B38" s="19"/>
      <c r="C38" s="9" t="s">
        <v>11</v>
      </c>
      <c r="D38" s="10"/>
      <c r="E38" s="13">
        <v>1</v>
      </c>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t="s">
        <v>192</v>
      </c>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05.75" customHeight="1" thickBot="1" x14ac:dyDescent="0.3">
      <c r="B45" s="38" t="s">
        <v>130</v>
      </c>
      <c r="C45" s="39"/>
      <c r="D45" s="39"/>
      <c r="E45" s="39"/>
      <c r="F45" s="39"/>
      <c r="G45" s="39"/>
      <c r="H45" s="39"/>
      <c r="I45" s="39"/>
      <c r="J45" s="39"/>
      <c r="K45" s="39"/>
      <c r="L45" s="39"/>
      <c r="M45" s="39"/>
      <c r="N45" s="4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mergeCells count="4">
    <mergeCell ref="B45:N45"/>
    <mergeCell ref="C3:N3"/>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91FF2-6731-463D-A25D-1C4F3F396D9B}">
  <dimension ref="B1:N9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18</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19</v>
      </c>
      <c r="D8" s="6" t="s">
        <v>20</v>
      </c>
      <c r="E8" s="11">
        <v>3.7101000000000002E-2</v>
      </c>
      <c r="F8" s="1"/>
      <c r="G8" s="23" t="s">
        <v>15</v>
      </c>
      <c r="H8" s="24">
        <v>1</v>
      </c>
      <c r="I8" s="1"/>
      <c r="J8" s="23" t="s">
        <v>12</v>
      </c>
      <c r="K8" s="23" t="s">
        <v>3</v>
      </c>
      <c r="L8" s="1"/>
      <c r="M8" s="1"/>
      <c r="N8" s="17"/>
    </row>
    <row r="9" spans="2:14" ht="15" customHeight="1" x14ac:dyDescent="0.25">
      <c r="B9" s="19"/>
      <c r="C9" s="5" t="s">
        <v>21</v>
      </c>
      <c r="D9" s="6" t="s">
        <v>20</v>
      </c>
      <c r="E9" s="11">
        <v>1.2727E-2</v>
      </c>
      <c r="F9" s="1"/>
      <c r="G9" s="1"/>
      <c r="H9" s="1"/>
      <c r="I9" s="1"/>
      <c r="J9" s="23" t="s">
        <v>10</v>
      </c>
      <c r="K9" s="25">
        <v>2.8892999999999999E-2</v>
      </c>
      <c r="L9" s="1"/>
      <c r="M9" s="1"/>
      <c r="N9" s="17"/>
    </row>
    <row r="10" spans="2:14" ht="15.75" customHeight="1" x14ac:dyDescent="0.25">
      <c r="B10" s="19"/>
      <c r="C10" s="7" t="s">
        <v>22</v>
      </c>
      <c r="D10" s="8"/>
      <c r="E10" s="12">
        <v>4.9827999999999997E-2</v>
      </c>
      <c r="F10" s="1"/>
      <c r="G10" s="1"/>
      <c r="H10" s="1"/>
      <c r="I10" s="1"/>
      <c r="J10" s="23" t="s">
        <v>13</v>
      </c>
      <c r="K10" s="25">
        <v>4.9709999999999997E-3</v>
      </c>
      <c r="L10" s="1"/>
      <c r="M10" s="1"/>
      <c r="N10" s="17"/>
    </row>
    <row r="11" spans="2:14" ht="15" customHeight="1" x14ac:dyDescent="0.25">
      <c r="B11" s="19"/>
      <c r="C11" s="5" t="s">
        <v>21</v>
      </c>
      <c r="D11" s="6" t="s">
        <v>20</v>
      </c>
      <c r="E11" s="11">
        <v>6.9550000000000002E-3</v>
      </c>
      <c r="F11" s="1"/>
      <c r="G11" s="1"/>
      <c r="H11" s="1"/>
      <c r="I11" s="1"/>
      <c r="J11" s="23" t="s">
        <v>59</v>
      </c>
      <c r="K11" s="25">
        <v>4.9827999999999997E-2</v>
      </c>
      <c r="L11" s="1"/>
      <c r="M11" s="1"/>
      <c r="N11" s="17"/>
    </row>
    <row r="12" spans="2:14" ht="15" customHeight="1" x14ac:dyDescent="0.25">
      <c r="B12" s="19"/>
      <c r="C12" s="5" t="s">
        <v>23</v>
      </c>
      <c r="D12" s="6" t="s">
        <v>20</v>
      </c>
      <c r="E12" s="11">
        <v>5.1980000000000004E-3</v>
      </c>
      <c r="F12" s="1"/>
      <c r="G12" s="1"/>
      <c r="H12" s="1"/>
      <c r="I12" s="1"/>
      <c r="J12" s="23" t="s">
        <v>60</v>
      </c>
      <c r="K12" s="25">
        <v>0.80145699999999997</v>
      </c>
      <c r="L12" s="1"/>
      <c r="M12" s="1"/>
      <c r="N12" s="17"/>
    </row>
    <row r="13" spans="2:14" ht="15.75" customHeight="1" x14ac:dyDescent="0.25">
      <c r="B13" s="19"/>
      <c r="C13" s="7" t="s">
        <v>24</v>
      </c>
      <c r="D13" s="8"/>
      <c r="E13" s="12">
        <v>1.2153000000000001E-2</v>
      </c>
      <c r="F13" s="1"/>
      <c r="G13" s="1"/>
      <c r="H13" s="1"/>
      <c r="I13" s="1"/>
      <c r="J13" s="23" t="s">
        <v>61</v>
      </c>
      <c r="K13" s="25">
        <v>1.2153000000000001E-2</v>
      </c>
      <c r="L13" s="1"/>
      <c r="M13" s="1"/>
      <c r="N13" s="17"/>
    </row>
    <row r="14" spans="2:14" ht="15" customHeight="1" x14ac:dyDescent="0.25">
      <c r="B14" s="19"/>
      <c r="C14" s="5" t="s">
        <v>25</v>
      </c>
      <c r="D14" s="6" t="s">
        <v>26</v>
      </c>
      <c r="E14" s="11">
        <v>0.115573</v>
      </c>
      <c r="F14" s="1"/>
      <c r="G14" s="1"/>
      <c r="H14" s="1"/>
      <c r="I14" s="1"/>
      <c r="J14" s="23" t="s">
        <v>62</v>
      </c>
      <c r="K14" s="25">
        <v>1.6069999999999999E-3</v>
      </c>
      <c r="L14" s="1"/>
      <c r="M14" s="1"/>
      <c r="N14" s="17"/>
    </row>
    <row r="15" spans="2:14" ht="15" customHeight="1" x14ac:dyDescent="0.25">
      <c r="B15" s="19"/>
      <c r="C15" s="5" t="s">
        <v>27</v>
      </c>
      <c r="D15" s="6" t="s">
        <v>26</v>
      </c>
      <c r="E15" s="11">
        <v>7.4165999999999996E-2</v>
      </c>
      <c r="F15" s="1"/>
      <c r="G15" s="1"/>
      <c r="H15" s="1"/>
      <c r="I15" s="1"/>
      <c r="J15" s="23" t="s">
        <v>63</v>
      </c>
      <c r="K15" s="25">
        <v>9.0509000000000006E-2</v>
      </c>
      <c r="L15" s="1"/>
      <c r="M15" s="1"/>
      <c r="N15" s="17"/>
    </row>
    <row r="16" spans="2:14" ht="15" customHeight="1" x14ac:dyDescent="0.25">
      <c r="B16" s="19"/>
      <c r="C16" s="5" t="s">
        <v>23</v>
      </c>
      <c r="D16" s="6" t="s">
        <v>26</v>
      </c>
      <c r="E16" s="11">
        <v>7.3020000000000002E-2</v>
      </c>
      <c r="F16" s="1"/>
      <c r="G16" s="1"/>
      <c r="H16" s="1"/>
      <c r="I16" s="1"/>
      <c r="J16" s="23" t="s">
        <v>64</v>
      </c>
      <c r="K16" s="25">
        <v>1.0423E-2</v>
      </c>
      <c r="L16" s="1"/>
      <c r="M16" s="1"/>
      <c r="N16" s="17"/>
    </row>
    <row r="17" spans="2:14" ht="15" customHeight="1" x14ac:dyDescent="0.25">
      <c r="B17" s="19"/>
      <c r="C17" s="5" t="s">
        <v>28</v>
      </c>
      <c r="D17" s="6" t="s">
        <v>26</v>
      </c>
      <c r="E17" s="11">
        <v>6.6714999999999997E-2</v>
      </c>
      <c r="F17" s="1"/>
      <c r="G17" s="1"/>
      <c r="H17" s="1"/>
      <c r="I17" s="1"/>
      <c r="J17" s="23" t="s">
        <v>65</v>
      </c>
      <c r="K17" s="25">
        <v>1.5899999999999999E-4</v>
      </c>
      <c r="L17" s="1"/>
      <c r="M17" s="1"/>
      <c r="N17" s="17"/>
    </row>
    <row r="18" spans="2:14" ht="15" customHeight="1" x14ac:dyDescent="0.25">
      <c r="B18" s="19"/>
      <c r="C18" s="5" t="s">
        <v>29</v>
      </c>
      <c r="D18" s="6" t="s">
        <v>26</v>
      </c>
      <c r="E18" s="11">
        <v>6.5204999999999999E-2</v>
      </c>
      <c r="F18" s="1"/>
      <c r="G18" s="1"/>
      <c r="H18" s="1"/>
      <c r="I18" s="1"/>
      <c r="J18" s="1"/>
      <c r="K18" s="1"/>
      <c r="L18" s="1"/>
      <c r="M18" s="1"/>
      <c r="N18" s="17"/>
    </row>
    <row r="19" spans="2:14" ht="15" customHeight="1" x14ac:dyDescent="0.25">
      <c r="B19" s="19"/>
      <c r="C19" s="5" t="s">
        <v>19</v>
      </c>
      <c r="D19" s="6" t="s">
        <v>26</v>
      </c>
      <c r="E19" s="11">
        <v>5.4330999999999997E-2</v>
      </c>
      <c r="F19" s="1"/>
      <c r="G19" s="1"/>
      <c r="H19" s="1"/>
      <c r="I19" s="1"/>
      <c r="J19" s="1"/>
      <c r="K19" s="1"/>
      <c r="L19" s="1"/>
      <c r="M19" s="1"/>
      <c r="N19" s="17"/>
    </row>
    <row r="20" spans="2:14" ht="15" customHeight="1" x14ac:dyDescent="0.25">
      <c r="B20" s="19"/>
      <c r="C20" s="5" t="s">
        <v>30</v>
      </c>
      <c r="D20" s="6" t="s">
        <v>26</v>
      </c>
      <c r="E20" s="11">
        <v>5.0953999999999999E-2</v>
      </c>
      <c r="F20" s="1"/>
      <c r="G20" s="1"/>
      <c r="H20" s="1"/>
      <c r="I20" s="1"/>
      <c r="J20" s="1"/>
      <c r="K20" s="1"/>
      <c r="L20" s="1"/>
      <c r="M20" s="1"/>
      <c r="N20" s="17"/>
    </row>
    <row r="21" spans="2:14" ht="15" customHeight="1" x14ac:dyDescent="0.25">
      <c r="B21" s="19"/>
      <c r="C21" s="5" t="s">
        <v>31</v>
      </c>
      <c r="D21" s="6" t="s">
        <v>26</v>
      </c>
      <c r="E21" s="11">
        <v>4.8600999999999998E-2</v>
      </c>
      <c r="F21" s="1"/>
      <c r="G21" s="1"/>
      <c r="H21" s="1"/>
      <c r="I21" s="1"/>
      <c r="J21" s="1"/>
      <c r="K21" s="1"/>
      <c r="L21" s="1"/>
      <c r="M21" s="1"/>
      <c r="N21" s="17"/>
    </row>
    <row r="22" spans="2:14" ht="15" customHeight="1" x14ac:dyDescent="0.25">
      <c r="B22" s="19"/>
      <c r="C22" s="5" t="s">
        <v>32</v>
      </c>
      <c r="D22" s="6" t="s">
        <v>26</v>
      </c>
      <c r="E22" s="11">
        <v>3.8134000000000001E-2</v>
      </c>
      <c r="F22" s="1"/>
      <c r="G22" s="1"/>
      <c r="H22" s="1"/>
      <c r="I22" s="1"/>
      <c r="J22" s="1"/>
      <c r="K22" s="1"/>
      <c r="L22" s="1"/>
      <c r="M22" s="1"/>
      <c r="N22" s="17"/>
    </row>
    <row r="23" spans="2:14" ht="15" customHeight="1" x14ac:dyDescent="0.25">
      <c r="B23" s="19"/>
      <c r="C23" s="5" t="s">
        <v>33</v>
      </c>
      <c r="D23" s="6" t="s">
        <v>26</v>
      </c>
      <c r="E23" s="11">
        <v>3.7192999999999997E-2</v>
      </c>
      <c r="F23" s="1"/>
      <c r="G23" s="1"/>
      <c r="H23" s="1"/>
      <c r="I23" s="1"/>
      <c r="J23" s="1"/>
      <c r="K23" s="1"/>
      <c r="L23" s="1"/>
      <c r="M23" s="1"/>
      <c r="N23" s="17"/>
    </row>
    <row r="24" spans="2:14" ht="15" customHeight="1" x14ac:dyDescent="0.25">
      <c r="B24" s="19"/>
      <c r="C24" s="5" t="s">
        <v>34</v>
      </c>
      <c r="D24" s="6" t="s">
        <v>26</v>
      </c>
      <c r="E24" s="11">
        <v>2.8149E-2</v>
      </c>
      <c r="F24" s="1"/>
      <c r="G24" s="1"/>
      <c r="H24" s="1"/>
      <c r="I24" s="1"/>
      <c r="J24" s="1"/>
      <c r="K24" s="1"/>
      <c r="L24" s="1"/>
      <c r="M24" s="1"/>
      <c r="N24" s="17"/>
    </row>
    <row r="25" spans="2:14" ht="15" customHeight="1" x14ac:dyDescent="0.25">
      <c r="B25" s="19"/>
      <c r="C25" s="5" t="s">
        <v>21</v>
      </c>
      <c r="D25" s="6" t="s">
        <v>26</v>
      </c>
      <c r="E25" s="11">
        <v>2.6806E-2</v>
      </c>
      <c r="F25" s="1"/>
      <c r="G25" s="1"/>
      <c r="H25" s="1"/>
      <c r="I25" s="1"/>
      <c r="J25" s="1"/>
      <c r="K25" s="1"/>
      <c r="L25" s="1"/>
      <c r="M25" s="1"/>
      <c r="N25" s="17"/>
    </row>
    <row r="26" spans="2:14" ht="15" customHeight="1" x14ac:dyDescent="0.25">
      <c r="B26" s="19"/>
      <c r="C26" s="5" t="s">
        <v>35</v>
      </c>
      <c r="D26" s="6" t="s">
        <v>26</v>
      </c>
      <c r="E26" s="11">
        <v>2.5260999999999999E-2</v>
      </c>
      <c r="F26" s="1"/>
      <c r="G26" s="44" t="s">
        <v>17</v>
      </c>
      <c r="H26" s="45"/>
      <c r="I26" s="45"/>
      <c r="J26" s="45"/>
      <c r="K26" s="45"/>
      <c r="L26" s="45"/>
      <c r="M26" s="45"/>
      <c r="N26" s="46"/>
    </row>
    <row r="27" spans="2:14" ht="15" customHeight="1" x14ac:dyDescent="0.25">
      <c r="B27" s="19"/>
      <c r="C27" s="5" t="s">
        <v>36</v>
      </c>
      <c r="D27" s="6" t="s">
        <v>26</v>
      </c>
      <c r="E27" s="11">
        <v>2.0178000000000001E-2</v>
      </c>
      <c r="F27" s="1"/>
      <c r="G27" s="1"/>
      <c r="H27" s="1"/>
      <c r="I27" s="1"/>
      <c r="J27" s="1"/>
      <c r="K27" s="1"/>
      <c r="L27" s="1"/>
      <c r="M27" s="1"/>
      <c r="N27" s="17"/>
    </row>
    <row r="28" spans="2:14" ht="15" customHeight="1" x14ac:dyDescent="0.25">
      <c r="B28" s="19"/>
      <c r="C28" s="5" t="s">
        <v>37</v>
      </c>
      <c r="D28" s="6" t="s">
        <v>26</v>
      </c>
      <c r="E28" s="11">
        <v>1.6393000000000001E-2</v>
      </c>
      <c r="F28" s="1"/>
      <c r="G28" s="1"/>
      <c r="H28" s="1"/>
      <c r="I28" s="1"/>
      <c r="J28" s="1"/>
      <c r="K28" s="1"/>
      <c r="L28" s="1"/>
      <c r="M28" s="1"/>
      <c r="N28" s="17"/>
    </row>
    <row r="29" spans="2:14" ht="15" customHeight="1" x14ac:dyDescent="0.25">
      <c r="B29" s="19"/>
      <c r="C29" s="5" t="s">
        <v>38</v>
      </c>
      <c r="D29" s="6" t="s">
        <v>26</v>
      </c>
      <c r="E29" s="11">
        <v>1.5526E-2</v>
      </c>
      <c r="F29" s="1"/>
      <c r="G29" s="1"/>
      <c r="H29" s="1"/>
      <c r="I29" s="1"/>
      <c r="J29" s="1"/>
      <c r="K29" s="1"/>
      <c r="L29" s="1"/>
      <c r="M29" s="1"/>
      <c r="N29" s="17"/>
    </row>
    <row r="30" spans="2:14" ht="15" customHeight="1" x14ac:dyDescent="0.25">
      <c r="B30" s="19"/>
      <c r="C30" s="5" t="s">
        <v>39</v>
      </c>
      <c r="D30" s="6" t="s">
        <v>26</v>
      </c>
      <c r="E30" s="11">
        <v>1.1729E-2</v>
      </c>
      <c r="F30" s="1"/>
      <c r="G30" s="1"/>
      <c r="H30" s="1"/>
      <c r="I30" s="1"/>
      <c r="J30" s="1"/>
      <c r="K30" s="1"/>
      <c r="L30" s="1"/>
      <c r="M30" s="1"/>
      <c r="N30" s="17"/>
    </row>
    <row r="31" spans="2:14" ht="15" customHeight="1" x14ac:dyDescent="0.25">
      <c r="B31" s="19"/>
      <c r="C31" s="5" t="s">
        <v>40</v>
      </c>
      <c r="D31" s="6" t="s">
        <v>26</v>
      </c>
      <c r="E31" s="11">
        <v>9.4619999999999999E-3</v>
      </c>
      <c r="F31" s="1"/>
      <c r="G31" s="1"/>
      <c r="H31" s="1"/>
      <c r="I31" s="1"/>
      <c r="J31" s="1"/>
      <c r="K31" s="1"/>
      <c r="L31" s="1"/>
      <c r="M31" s="1"/>
      <c r="N31" s="17"/>
    </row>
    <row r="32" spans="2:14" ht="15" customHeight="1" x14ac:dyDescent="0.25">
      <c r="B32" s="19"/>
      <c r="C32" s="5" t="s">
        <v>41</v>
      </c>
      <c r="D32" s="6" t="s">
        <v>26</v>
      </c>
      <c r="E32" s="11">
        <v>8.9390000000000008E-3</v>
      </c>
      <c r="F32" s="1"/>
      <c r="G32" s="1"/>
      <c r="H32" s="1"/>
      <c r="I32" s="1"/>
      <c r="J32" s="1"/>
      <c r="K32" s="1"/>
      <c r="L32" s="1"/>
      <c r="M32" s="1"/>
      <c r="N32" s="17"/>
    </row>
    <row r="33" spans="2:14" ht="15" customHeight="1" x14ac:dyDescent="0.25">
      <c r="B33" s="19"/>
      <c r="C33" s="5" t="s">
        <v>42</v>
      </c>
      <c r="D33" s="6" t="s">
        <v>26</v>
      </c>
      <c r="E33" s="11">
        <v>8.293E-3</v>
      </c>
      <c r="F33" s="1"/>
      <c r="G33" s="1"/>
      <c r="H33" s="1"/>
      <c r="I33" s="1"/>
      <c r="J33" s="1"/>
      <c r="K33" s="1"/>
      <c r="L33" s="1"/>
      <c r="M33" s="1"/>
      <c r="N33" s="17"/>
    </row>
    <row r="34" spans="2:14" ht="15" customHeight="1" x14ac:dyDescent="0.25">
      <c r="B34" s="19"/>
      <c r="C34" s="5" t="s">
        <v>43</v>
      </c>
      <c r="D34" s="6" t="s">
        <v>26</v>
      </c>
      <c r="E34" s="11">
        <v>3.98E-3</v>
      </c>
      <c r="F34" s="1"/>
      <c r="G34" s="1"/>
      <c r="H34" s="1"/>
      <c r="I34" s="1"/>
      <c r="J34" s="1"/>
      <c r="K34" s="1"/>
      <c r="L34" s="1"/>
      <c r="M34" s="1"/>
      <c r="N34" s="17"/>
    </row>
    <row r="35" spans="2:14" ht="15" customHeight="1" x14ac:dyDescent="0.25">
      <c r="B35" s="19"/>
      <c r="C35" s="5" t="s">
        <v>44</v>
      </c>
      <c r="D35" s="6" t="s">
        <v>26</v>
      </c>
      <c r="E35" s="11">
        <v>2.7399999999999998E-3</v>
      </c>
      <c r="F35" s="1"/>
      <c r="G35" s="1"/>
      <c r="H35" s="1"/>
      <c r="I35" s="1"/>
      <c r="J35" s="1"/>
      <c r="K35" s="1"/>
      <c r="L35" s="1"/>
      <c r="M35" s="1"/>
      <c r="N35" s="17"/>
    </row>
    <row r="36" spans="2:14" ht="15" customHeight="1" x14ac:dyDescent="0.25">
      <c r="B36" s="19"/>
      <c r="C36" s="5" t="s">
        <v>45</v>
      </c>
      <c r="D36" s="6" t="s">
        <v>26</v>
      </c>
      <c r="E36" s="11">
        <v>1.0900000000000001E-4</v>
      </c>
      <c r="F36" s="1"/>
      <c r="G36" s="1"/>
      <c r="H36" s="1"/>
      <c r="I36" s="1"/>
      <c r="J36" s="1"/>
      <c r="K36" s="1"/>
      <c r="L36" s="1"/>
      <c r="M36" s="1"/>
      <c r="N36" s="17"/>
    </row>
    <row r="37" spans="2:14" ht="15.75" customHeight="1" x14ac:dyDescent="0.25">
      <c r="B37" s="19"/>
      <c r="C37" s="7" t="s">
        <v>46</v>
      </c>
      <c r="D37" s="8"/>
      <c r="E37" s="12">
        <v>0.80145699999999997</v>
      </c>
      <c r="F37" s="1"/>
      <c r="G37" s="1"/>
      <c r="H37" s="1"/>
      <c r="I37" s="1"/>
      <c r="J37" s="1"/>
      <c r="K37" s="1"/>
      <c r="L37" s="1"/>
      <c r="M37" s="1"/>
      <c r="N37" s="17"/>
    </row>
    <row r="38" spans="2:14" ht="15" customHeight="1" x14ac:dyDescent="0.25">
      <c r="B38" s="19"/>
      <c r="C38" s="5" t="s">
        <v>47</v>
      </c>
      <c r="D38" s="6" t="s">
        <v>20</v>
      </c>
      <c r="E38" s="11">
        <v>1.6069999999999999E-3</v>
      </c>
      <c r="F38" s="1"/>
      <c r="G38" s="1"/>
      <c r="H38" s="1"/>
      <c r="I38" s="1"/>
      <c r="J38" s="1"/>
      <c r="K38" s="1"/>
      <c r="L38" s="1"/>
      <c r="M38" s="1"/>
      <c r="N38" s="17"/>
    </row>
    <row r="39" spans="2:14" ht="15.75" customHeight="1" x14ac:dyDescent="0.25">
      <c r="B39" s="19"/>
      <c r="C39" s="7" t="s">
        <v>48</v>
      </c>
      <c r="D39" s="8"/>
      <c r="E39" s="12">
        <v>1.6069999999999999E-3</v>
      </c>
      <c r="F39" s="1"/>
      <c r="G39" s="1"/>
      <c r="H39" s="1"/>
      <c r="I39" s="1"/>
      <c r="J39" s="1"/>
      <c r="K39" s="1"/>
      <c r="L39" s="1"/>
      <c r="M39" s="1"/>
      <c r="N39" s="17"/>
    </row>
    <row r="40" spans="2:14" ht="15" customHeight="1" x14ac:dyDescent="0.25">
      <c r="B40" s="19"/>
      <c r="C40" s="5" t="s">
        <v>49</v>
      </c>
      <c r="D40" s="6" t="s">
        <v>50</v>
      </c>
      <c r="E40" s="11">
        <v>3.7255999999999997E-2</v>
      </c>
      <c r="F40" s="1"/>
      <c r="G40" s="1"/>
      <c r="H40" s="1"/>
      <c r="I40" s="1"/>
      <c r="J40" s="1"/>
      <c r="K40" s="1"/>
      <c r="L40" s="1"/>
      <c r="M40" s="1"/>
      <c r="N40" s="17"/>
    </row>
    <row r="41" spans="2:14" ht="15" customHeight="1" x14ac:dyDescent="0.25">
      <c r="B41" s="19"/>
      <c r="C41" s="5" t="s">
        <v>51</v>
      </c>
      <c r="D41" s="6" t="s">
        <v>50</v>
      </c>
      <c r="E41" s="11">
        <v>3.2828000000000003E-2</v>
      </c>
      <c r="F41" s="1"/>
      <c r="G41" s="1"/>
      <c r="H41" s="1"/>
      <c r="I41" s="1"/>
      <c r="J41" s="1"/>
      <c r="K41" s="1"/>
      <c r="L41" s="1"/>
      <c r="M41" s="1"/>
      <c r="N41" s="17"/>
    </row>
    <row r="42" spans="2:14" ht="15" customHeight="1" x14ac:dyDescent="0.25">
      <c r="B42" s="19"/>
      <c r="C42" s="5" t="s">
        <v>52</v>
      </c>
      <c r="D42" s="6" t="s">
        <v>50</v>
      </c>
      <c r="E42" s="11">
        <v>6.9519999999999998E-3</v>
      </c>
      <c r="F42" s="1"/>
      <c r="G42" s="1"/>
      <c r="H42" s="1"/>
      <c r="I42" s="1"/>
      <c r="J42" s="1"/>
      <c r="K42" s="1"/>
      <c r="L42" s="1"/>
      <c r="M42" s="1"/>
      <c r="N42" s="17"/>
    </row>
    <row r="43" spans="2:14" ht="15" customHeight="1" x14ac:dyDescent="0.25">
      <c r="B43" s="19"/>
      <c r="C43" s="5" t="s">
        <v>53</v>
      </c>
      <c r="D43" s="6" t="s">
        <v>50</v>
      </c>
      <c r="E43" s="11">
        <v>6.4149999999999997E-3</v>
      </c>
      <c r="F43" s="1"/>
      <c r="G43" s="1"/>
      <c r="H43" s="1"/>
      <c r="I43" s="1"/>
      <c r="J43" s="1"/>
      <c r="K43" s="1"/>
      <c r="L43" s="1"/>
      <c r="M43" s="1"/>
      <c r="N43" s="17"/>
    </row>
    <row r="44" spans="2:14" ht="15" customHeight="1" x14ac:dyDescent="0.25">
      <c r="B44" s="19"/>
      <c r="C44" s="5" t="s">
        <v>54</v>
      </c>
      <c r="D44" s="6" t="s">
        <v>50</v>
      </c>
      <c r="E44" s="11">
        <v>5.9509999999999997E-3</v>
      </c>
      <c r="F44" s="1"/>
      <c r="G44" s="1"/>
      <c r="H44" s="1"/>
      <c r="I44" s="1"/>
      <c r="J44" s="1"/>
      <c r="K44" s="1"/>
      <c r="L44" s="1"/>
      <c r="M44" s="1"/>
      <c r="N44" s="17"/>
    </row>
    <row r="45" spans="2:14" ht="15" customHeight="1" x14ac:dyDescent="0.25">
      <c r="B45" s="19"/>
      <c r="C45" s="5" t="s">
        <v>55</v>
      </c>
      <c r="D45" s="6" t="s">
        <v>50</v>
      </c>
      <c r="E45" s="11">
        <v>1.1069999999999999E-3</v>
      </c>
      <c r="F45" s="1"/>
      <c r="G45" s="1"/>
      <c r="H45" s="1"/>
      <c r="I45" s="1"/>
      <c r="J45" s="1"/>
      <c r="K45" s="1"/>
      <c r="L45" s="1"/>
      <c r="M45" s="1"/>
      <c r="N45" s="17"/>
    </row>
    <row r="46" spans="2:14" ht="15.75" customHeight="1" x14ac:dyDescent="0.25">
      <c r="B46" s="19"/>
      <c r="C46" s="7" t="s">
        <v>56</v>
      </c>
      <c r="D46" s="8"/>
      <c r="E46" s="12">
        <v>9.0509000000000006E-2</v>
      </c>
      <c r="F46" s="1"/>
      <c r="G46" s="1"/>
      <c r="H46" s="1"/>
      <c r="I46" s="1"/>
      <c r="J46" s="1"/>
      <c r="K46" s="1"/>
      <c r="L46" s="1"/>
      <c r="M46" s="1"/>
      <c r="N46" s="17"/>
    </row>
    <row r="47" spans="2:14" ht="15" customHeight="1" x14ac:dyDescent="0.25">
      <c r="B47" s="19"/>
      <c r="C47" s="5" t="s">
        <v>161</v>
      </c>
      <c r="D47" s="6" t="s">
        <v>50</v>
      </c>
      <c r="E47" s="11">
        <v>2.836E-3</v>
      </c>
      <c r="F47" s="1"/>
      <c r="G47" s="1"/>
      <c r="H47" s="1"/>
      <c r="I47" s="1"/>
      <c r="J47" s="1"/>
      <c r="K47" s="1"/>
      <c r="L47" s="1"/>
      <c r="M47" s="1"/>
      <c r="N47" s="17"/>
    </row>
    <row r="48" spans="2:14" ht="15" customHeight="1" x14ac:dyDescent="0.25">
      <c r="B48" s="19"/>
      <c r="C48" s="5" t="s">
        <v>167</v>
      </c>
      <c r="D48" s="6" t="s">
        <v>50</v>
      </c>
      <c r="E48" s="11">
        <v>2.8879999999999999E-3</v>
      </c>
      <c r="F48" s="1"/>
      <c r="G48" s="1"/>
      <c r="H48" s="1"/>
      <c r="I48" s="1"/>
      <c r="J48" s="1"/>
      <c r="K48" s="1"/>
      <c r="L48" s="1"/>
      <c r="M48" s="1"/>
      <c r="N48" s="17"/>
    </row>
    <row r="49" spans="2:14" ht="15" customHeight="1" x14ac:dyDescent="0.25">
      <c r="B49" s="19"/>
      <c r="C49" s="5" t="s">
        <v>171</v>
      </c>
      <c r="D49" s="6" t="s">
        <v>50</v>
      </c>
      <c r="E49" s="11">
        <v>1.346E-3</v>
      </c>
      <c r="F49" s="1"/>
      <c r="G49" s="1"/>
      <c r="H49" s="1"/>
      <c r="I49" s="1"/>
      <c r="J49" s="1"/>
      <c r="K49" s="1"/>
      <c r="L49" s="1"/>
      <c r="M49" s="1"/>
      <c r="N49" s="17"/>
    </row>
    <row r="50" spans="2:14" ht="15" customHeight="1" x14ac:dyDescent="0.25">
      <c r="B50" s="19"/>
      <c r="C50" s="5" t="s">
        <v>172</v>
      </c>
      <c r="D50" s="6" t="s">
        <v>50</v>
      </c>
      <c r="E50" s="11">
        <v>8.1400000000000005E-4</v>
      </c>
      <c r="F50" s="1"/>
      <c r="G50" s="1"/>
      <c r="H50" s="1"/>
      <c r="I50" s="1"/>
      <c r="J50" s="1"/>
      <c r="K50" s="1"/>
      <c r="L50" s="1"/>
      <c r="M50" s="1"/>
      <c r="N50" s="17"/>
    </row>
    <row r="51" spans="2:14" ht="15" customHeight="1" x14ac:dyDescent="0.25">
      <c r="B51" s="19"/>
      <c r="C51" s="5" t="s">
        <v>169</v>
      </c>
      <c r="D51" s="6" t="s">
        <v>50</v>
      </c>
      <c r="E51" s="11">
        <v>5.6700000000000001E-4</v>
      </c>
      <c r="F51" s="1"/>
      <c r="G51" s="1"/>
      <c r="H51" s="1"/>
      <c r="I51" s="1"/>
      <c r="J51" s="1"/>
      <c r="K51" s="1"/>
      <c r="L51" s="1"/>
      <c r="M51" s="1"/>
      <c r="N51" s="17"/>
    </row>
    <row r="52" spans="2:14" ht="15" customHeight="1" x14ac:dyDescent="0.25">
      <c r="B52" s="19"/>
      <c r="C52" s="5" t="s">
        <v>163</v>
      </c>
      <c r="D52" s="6" t="s">
        <v>50</v>
      </c>
      <c r="E52" s="11">
        <v>5.6300000000000002E-4</v>
      </c>
      <c r="F52" s="1"/>
      <c r="G52" s="1"/>
      <c r="H52" s="1"/>
      <c r="I52" s="1"/>
      <c r="J52" s="1"/>
      <c r="K52" s="1"/>
      <c r="L52" s="1"/>
      <c r="M52" s="1"/>
      <c r="N52" s="17"/>
    </row>
    <row r="53" spans="2:14" ht="15" customHeight="1" x14ac:dyDescent="0.25">
      <c r="B53" s="19"/>
      <c r="C53" s="5" t="s">
        <v>164</v>
      </c>
      <c r="D53" s="6" t="s">
        <v>50</v>
      </c>
      <c r="E53" s="11">
        <v>2.81E-4</v>
      </c>
      <c r="F53" s="1"/>
      <c r="G53" s="1"/>
      <c r="H53" s="1"/>
      <c r="I53" s="1"/>
      <c r="J53" s="1"/>
      <c r="K53" s="1"/>
      <c r="L53" s="1"/>
      <c r="M53" s="1"/>
      <c r="N53" s="17"/>
    </row>
    <row r="54" spans="2:14" ht="15" customHeight="1" x14ac:dyDescent="0.25">
      <c r="B54" s="19"/>
      <c r="C54" s="5" t="s">
        <v>165</v>
      </c>
      <c r="D54" s="6" t="s">
        <v>50</v>
      </c>
      <c r="E54" s="11">
        <v>2.81E-4</v>
      </c>
      <c r="F54" s="1"/>
      <c r="G54" s="1"/>
      <c r="H54" s="1"/>
      <c r="I54" s="1"/>
      <c r="J54" s="1"/>
      <c r="K54" s="1"/>
      <c r="L54" s="1"/>
      <c r="M54" s="1"/>
      <c r="N54" s="17"/>
    </row>
    <row r="55" spans="2:14" ht="15" customHeight="1" x14ac:dyDescent="0.25">
      <c r="B55" s="19"/>
      <c r="C55" s="5" t="s">
        <v>166</v>
      </c>
      <c r="D55" s="6" t="s">
        <v>50</v>
      </c>
      <c r="E55" s="11">
        <v>2.81E-4</v>
      </c>
      <c r="F55" s="1"/>
      <c r="G55" s="1"/>
      <c r="H55" s="1"/>
      <c r="I55" s="1"/>
      <c r="J55" s="1"/>
      <c r="K55" s="1"/>
      <c r="L55" s="1"/>
      <c r="M55" s="1"/>
      <c r="N55" s="17"/>
    </row>
    <row r="56" spans="2:14" ht="15" customHeight="1" x14ac:dyDescent="0.25">
      <c r="B56" s="19"/>
      <c r="C56" s="5" t="s">
        <v>162</v>
      </c>
      <c r="D56" s="6" t="s">
        <v>50</v>
      </c>
      <c r="E56" s="11">
        <v>2.7999999999999998E-4</v>
      </c>
      <c r="F56" s="1"/>
      <c r="G56" s="1"/>
      <c r="H56" s="1"/>
      <c r="I56" s="1"/>
      <c r="J56" s="1"/>
      <c r="K56" s="1"/>
      <c r="L56" s="1"/>
      <c r="M56" s="1"/>
      <c r="N56" s="17"/>
    </row>
    <row r="57" spans="2:14" ht="15" customHeight="1" x14ac:dyDescent="0.25">
      <c r="B57" s="19"/>
      <c r="C57" s="5" t="s">
        <v>170</v>
      </c>
      <c r="D57" s="6" t="s">
        <v>50</v>
      </c>
      <c r="E57" s="11">
        <v>1.6200000000000001E-4</v>
      </c>
      <c r="F57" s="1"/>
      <c r="G57" s="1"/>
      <c r="H57" s="1"/>
      <c r="I57" s="1"/>
      <c r="J57" s="1"/>
      <c r="K57" s="1"/>
      <c r="L57" s="1"/>
      <c r="M57" s="1"/>
      <c r="N57" s="17"/>
    </row>
    <row r="58" spans="2:14" ht="15" customHeight="1" x14ac:dyDescent="0.25">
      <c r="B58" s="19"/>
      <c r="C58" s="5" t="s">
        <v>168</v>
      </c>
      <c r="D58" s="6" t="s">
        <v>50</v>
      </c>
      <c r="E58" s="11">
        <v>1.2400000000000001E-4</v>
      </c>
      <c r="F58" s="1"/>
      <c r="G58" s="1"/>
      <c r="H58" s="1"/>
      <c r="I58" s="1"/>
      <c r="J58" s="1"/>
      <c r="K58" s="1"/>
      <c r="L58" s="1"/>
      <c r="M58" s="1"/>
      <c r="N58" s="17"/>
    </row>
    <row r="59" spans="2:14" ht="15.75" customHeight="1" x14ac:dyDescent="0.25">
      <c r="B59" s="19"/>
      <c r="C59" s="7" t="s">
        <v>57</v>
      </c>
      <c r="D59" s="8"/>
      <c r="E59" s="12">
        <v>1.0423E-2</v>
      </c>
      <c r="F59" s="1"/>
      <c r="G59" s="1"/>
      <c r="H59" s="1"/>
      <c r="I59" s="1"/>
      <c r="J59" s="1"/>
      <c r="K59" s="1"/>
      <c r="L59" s="1"/>
      <c r="M59" s="1"/>
      <c r="N59" s="17"/>
    </row>
    <row r="60" spans="2:14" ht="15" customHeight="1" x14ac:dyDescent="0.25">
      <c r="B60" s="19"/>
      <c r="C60" s="5" t="s">
        <v>8</v>
      </c>
      <c r="D60" s="6"/>
      <c r="E60" s="11">
        <v>4.9709999999999997E-3</v>
      </c>
      <c r="F60" s="1"/>
      <c r="G60" s="1"/>
      <c r="H60" s="1"/>
      <c r="I60" s="1"/>
      <c r="J60" s="1"/>
      <c r="K60" s="1"/>
      <c r="L60" s="1"/>
      <c r="M60" s="1"/>
      <c r="N60" s="17"/>
    </row>
    <row r="61" spans="2:14" ht="15.75" customHeight="1" x14ac:dyDescent="0.25">
      <c r="B61" s="19"/>
      <c r="C61" s="7" t="s">
        <v>9</v>
      </c>
      <c r="D61" s="8"/>
      <c r="E61" s="12">
        <v>4.9709999999999997E-3</v>
      </c>
      <c r="F61" s="1"/>
      <c r="G61" s="1"/>
      <c r="H61" s="1"/>
      <c r="I61" s="1"/>
      <c r="J61" s="1"/>
      <c r="K61" s="1"/>
      <c r="L61" s="1"/>
      <c r="M61" s="1"/>
      <c r="N61" s="17"/>
    </row>
    <row r="62" spans="2:14" ht="15" customHeight="1" x14ac:dyDescent="0.25">
      <c r="B62" s="19"/>
      <c r="C62" s="5" t="s">
        <v>38</v>
      </c>
      <c r="D62" s="6" t="s">
        <v>26</v>
      </c>
      <c r="E62" s="11">
        <v>1.5899999999999999E-4</v>
      </c>
      <c r="F62" s="1"/>
      <c r="G62" s="1"/>
      <c r="H62" s="1"/>
      <c r="I62" s="1"/>
      <c r="J62" s="1"/>
      <c r="K62" s="1"/>
      <c r="L62" s="1"/>
      <c r="M62" s="1"/>
      <c r="N62" s="17"/>
    </row>
    <row r="63" spans="2:14" ht="15.75" customHeight="1" x14ac:dyDescent="0.25">
      <c r="B63" s="19"/>
      <c r="C63" s="7" t="s">
        <v>58</v>
      </c>
      <c r="D63" s="8"/>
      <c r="E63" s="12">
        <v>1.5899999999999999E-4</v>
      </c>
      <c r="F63" s="1"/>
      <c r="G63" s="1"/>
      <c r="H63" s="1"/>
      <c r="I63" s="1"/>
      <c r="J63" s="1"/>
      <c r="K63" s="1"/>
      <c r="L63" s="1"/>
      <c r="M63" s="1"/>
      <c r="N63" s="17"/>
    </row>
    <row r="64" spans="2:14" ht="15" customHeight="1" x14ac:dyDescent="0.25">
      <c r="B64" s="19"/>
      <c r="C64" s="5"/>
      <c r="D64" s="6"/>
      <c r="E64" s="11"/>
      <c r="F64" s="1"/>
      <c r="G64" s="1"/>
      <c r="H64" s="1"/>
      <c r="I64" s="1"/>
      <c r="J64" s="1"/>
      <c r="K64" s="1"/>
      <c r="L64" s="1"/>
      <c r="M64" s="1"/>
      <c r="N64" s="17"/>
    </row>
    <row r="65" spans="2:14" ht="15.75" customHeight="1" x14ac:dyDescent="0.25">
      <c r="B65" s="19"/>
      <c r="C65" s="7" t="s">
        <v>10</v>
      </c>
      <c r="D65" s="8"/>
      <c r="E65" s="12">
        <v>2.8892999999999999E-2</v>
      </c>
      <c r="F65" s="1"/>
      <c r="G65" s="1"/>
      <c r="H65" s="1"/>
      <c r="I65" s="1"/>
      <c r="J65" s="1"/>
      <c r="K65" s="1"/>
      <c r="L65" s="1"/>
      <c r="M65" s="1"/>
      <c r="N65" s="17"/>
    </row>
    <row r="66" spans="2:14" ht="15" customHeight="1" x14ac:dyDescent="0.25">
      <c r="B66" s="19"/>
      <c r="C66" s="5"/>
      <c r="D66" s="6"/>
      <c r="E66" s="11"/>
      <c r="F66" s="1"/>
      <c r="G66" s="1"/>
      <c r="H66" s="1"/>
      <c r="I66" s="1"/>
      <c r="J66" s="1"/>
      <c r="K66" s="1"/>
      <c r="L66" s="1"/>
      <c r="M66" s="1"/>
      <c r="N66" s="17"/>
    </row>
    <row r="67" spans="2:14" ht="15" customHeight="1" x14ac:dyDescent="0.25">
      <c r="B67" s="19"/>
      <c r="C67" s="9" t="s">
        <v>11</v>
      </c>
      <c r="D67" s="10"/>
      <c r="E67" s="13">
        <v>1</v>
      </c>
      <c r="F67" s="1"/>
      <c r="G67" s="1"/>
      <c r="H67" s="1"/>
      <c r="I67" s="1"/>
      <c r="J67" s="1"/>
      <c r="K67" s="1"/>
      <c r="L67" s="1"/>
      <c r="M67" s="1"/>
      <c r="N67" s="17"/>
    </row>
    <row r="68" spans="2:14" ht="15" customHeight="1" x14ac:dyDescent="0.25">
      <c r="B68" s="19"/>
      <c r="C68" s="1"/>
      <c r="D68" s="1"/>
      <c r="E68" s="1"/>
      <c r="F68" s="1"/>
      <c r="G68" s="1"/>
      <c r="H68" s="1"/>
      <c r="I68" s="1"/>
      <c r="J68" s="1"/>
      <c r="K68" s="1"/>
      <c r="L68" s="1"/>
      <c r="M68" s="1"/>
      <c r="N68" s="17"/>
    </row>
    <row r="69" spans="2:14" ht="15" customHeight="1" thickBot="1" x14ac:dyDescent="0.3">
      <c r="B69" s="20"/>
      <c r="C69" s="21"/>
      <c r="D69" s="21"/>
      <c r="E69" s="21"/>
      <c r="F69" s="21"/>
      <c r="G69" s="21"/>
      <c r="H69" s="21"/>
      <c r="I69" s="21"/>
      <c r="J69" s="21"/>
      <c r="K69" s="21"/>
      <c r="L69" s="21"/>
      <c r="M69" s="21"/>
      <c r="N69" s="22"/>
    </row>
    <row r="70" spans="2:14" ht="15" customHeight="1" thickBot="1" x14ac:dyDescent="0.3"/>
    <row r="71" spans="2:14" ht="114.75" customHeight="1" thickBot="1" x14ac:dyDescent="0.3">
      <c r="B71" s="38" t="s">
        <v>130</v>
      </c>
      <c r="C71" s="39"/>
      <c r="D71" s="39"/>
      <c r="E71" s="39"/>
      <c r="F71" s="39"/>
      <c r="G71" s="39"/>
      <c r="H71" s="39"/>
      <c r="I71" s="39"/>
      <c r="J71" s="39"/>
      <c r="K71" s="39"/>
      <c r="L71" s="39"/>
      <c r="M71" s="39"/>
      <c r="N71" s="40"/>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sheetData>
  <sortState ref="C48:E58">
    <sortCondition descending="1" ref="E47"/>
  </sortState>
  <mergeCells count="4">
    <mergeCell ref="B71:N71"/>
    <mergeCell ref="C3:N3"/>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D327-1BC8-48D4-9029-FB3E1C19ED55}">
  <dimension ref="B1:N9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94</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23</v>
      </c>
      <c r="D8" s="6" t="s">
        <v>20</v>
      </c>
      <c r="E8" s="11">
        <v>2.3890000000000001E-3</v>
      </c>
      <c r="F8" s="1"/>
      <c r="G8" s="23" t="s">
        <v>15</v>
      </c>
      <c r="H8" s="24">
        <v>1</v>
      </c>
      <c r="I8" s="1"/>
      <c r="J8" s="23" t="s">
        <v>12</v>
      </c>
      <c r="K8" s="23" t="s">
        <v>3</v>
      </c>
      <c r="L8" s="1"/>
      <c r="M8" s="1"/>
      <c r="N8" s="17"/>
    </row>
    <row r="9" spans="2:14" ht="15.75" customHeight="1" x14ac:dyDescent="0.25">
      <c r="B9" s="19"/>
      <c r="C9" s="7" t="s">
        <v>24</v>
      </c>
      <c r="D9" s="8"/>
      <c r="E9" s="12">
        <v>2.3890000000000001E-3</v>
      </c>
      <c r="F9" s="1"/>
      <c r="G9" s="1"/>
      <c r="H9" s="1"/>
      <c r="I9" s="1"/>
      <c r="J9" s="23" t="s">
        <v>10</v>
      </c>
      <c r="K9" s="25">
        <v>3.2607999999999998E-2</v>
      </c>
      <c r="L9" s="1"/>
      <c r="M9" s="1"/>
      <c r="N9" s="17"/>
    </row>
    <row r="10" spans="2:14" ht="15" customHeight="1" x14ac:dyDescent="0.25">
      <c r="B10" s="19"/>
      <c r="C10" s="5" t="s">
        <v>25</v>
      </c>
      <c r="D10" s="6" t="s">
        <v>26</v>
      </c>
      <c r="E10" s="11">
        <v>0.114356</v>
      </c>
      <c r="F10" s="1"/>
      <c r="G10" s="1"/>
      <c r="H10" s="1"/>
      <c r="I10" s="1"/>
      <c r="J10" s="23" t="s">
        <v>13</v>
      </c>
      <c r="K10" s="25">
        <v>1.6081000000000002E-2</v>
      </c>
      <c r="L10" s="1"/>
      <c r="M10" s="1"/>
      <c r="N10" s="17"/>
    </row>
    <row r="11" spans="2:14" ht="15" customHeight="1" x14ac:dyDescent="0.25">
      <c r="B11" s="19"/>
      <c r="C11" s="5" t="s">
        <v>28</v>
      </c>
      <c r="D11" s="6" t="s">
        <v>26</v>
      </c>
      <c r="E11" s="11">
        <v>0.105907</v>
      </c>
      <c r="F11" s="1"/>
      <c r="G11" s="1"/>
      <c r="H11" s="1"/>
      <c r="I11" s="1"/>
      <c r="J11" s="23" t="s">
        <v>60</v>
      </c>
      <c r="K11" s="25">
        <v>0.70782400000000001</v>
      </c>
      <c r="L11" s="1"/>
      <c r="M11" s="1"/>
      <c r="N11" s="17"/>
    </row>
    <row r="12" spans="2:14" ht="15" customHeight="1" x14ac:dyDescent="0.25">
      <c r="B12" s="19"/>
      <c r="C12" s="5" t="s">
        <v>35</v>
      </c>
      <c r="D12" s="6" t="s">
        <v>26</v>
      </c>
      <c r="E12" s="11">
        <v>8.6224999999999996E-2</v>
      </c>
      <c r="F12" s="1"/>
      <c r="G12" s="1"/>
      <c r="H12" s="1"/>
      <c r="I12" s="1"/>
      <c r="J12" s="23" t="s">
        <v>61</v>
      </c>
      <c r="K12" s="25">
        <v>2.3890000000000001E-3</v>
      </c>
      <c r="L12" s="1"/>
      <c r="M12" s="1"/>
      <c r="N12" s="17"/>
    </row>
    <row r="13" spans="2:14" ht="15" customHeight="1" x14ac:dyDescent="0.25">
      <c r="B13" s="19"/>
      <c r="C13" s="5" t="s">
        <v>23</v>
      </c>
      <c r="D13" s="6" t="s">
        <v>26</v>
      </c>
      <c r="E13" s="11">
        <v>8.5289000000000004E-2</v>
      </c>
      <c r="F13" s="1"/>
      <c r="G13" s="1"/>
      <c r="H13" s="1"/>
      <c r="I13" s="1"/>
      <c r="J13" s="23" t="s">
        <v>63</v>
      </c>
      <c r="K13" s="25">
        <v>0.20372999999999999</v>
      </c>
      <c r="L13" s="1"/>
      <c r="M13" s="1"/>
      <c r="N13" s="17"/>
    </row>
    <row r="14" spans="2:14" ht="15" customHeight="1" x14ac:dyDescent="0.25">
      <c r="B14" s="19"/>
      <c r="C14" s="5" t="s">
        <v>32</v>
      </c>
      <c r="D14" s="6" t="s">
        <v>26</v>
      </c>
      <c r="E14" s="11">
        <v>5.9490000000000001E-2</v>
      </c>
      <c r="F14" s="1"/>
      <c r="G14" s="1"/>
      <c r="H14" s="1"/>
      <c r="I14" s="1"/>
      <c r="J14" s="23" t="s">
        <v>64</v>
      </c>
      <c r="K14" s="25">
        <v>3.7274000000000002E-2</v>
      </c>
      <c r="L14" s="1"/>
      <c r="M14" s="1"/>
      <c r="N14" s="17"/>
    </row>
    <row r="15" spans="2:14" ht="15" customHeight="1" x14ac:dyDescent="0.25">
      <c r="B15" s="19"/>
      <c r="C15" s="5" t="s">
        <v>42</v>
      </c>
      <c r="D15" s="6" t="s">
        <v>26</v>
      </c>
      <c r="E15" s="11">
        <v>5.6313000000000002E-2</v>
      </c>
      <c r="F15" s="1"/>
      <c r="G15" s="1"/>
      <c r="H15" s="1"/>
      <c r="I15" s="1"/>
      <c r="J15" s="23" t="s">
        <v>65</v>
      </c>
      <c r="K15" s="25">
        <v>9.3999999999999994E-5</v>
      </c>
      <c r="L15" s="1"/>
      <c r="M15" s="1"/>
      <c r="N15" s="17"/>
    </row>
    <row r="16" spans="2:14" ht="15" customHeight="1" x14ac:dyDescent="0.25">
      <c r="B16" s="19"/>
      <c r="C16" s="5" t="s">
        <v>27</v>
      </c>
      <c r="D16" s="6" t="s">
        <v>26</v>
      </c>
      <c r="E16" s="11">
        <v>4.5927000000000003E-2</v>
      </c>
      <c r="F16" s="1"/>
      <c r="G16" s="1"/>
      <c r="H16" s="1"/>
      <c r="I16" s="1"/>
      <c r="J16" s="1"/>
      <c r="K16" s="1"/>
      <c r="L16" s="1"/>
      <c r="M16" s="1"/>
      <c r="N16" s="17"/>
    </row>
    <row r="17" spans="2:14" ht="15" customHeight="1" x14ac:dyDescent="0.25">
      <c r="B17" s="19"/>
      <c r="C17" s="5" t="s">
        <v>29</v>
      </c>
      <c r="D17" s="6" t="s">
        <v>26</v>
      </c>
      <c r="E17" s="11">
        <v>3.3753999999999999E-2</v>
      </c>
      <c r="F17" s="1"/>
      <c r="G17" s="1"/>
      <c r="H17" s="1"/>
      <c r="I17" s="1"/>
      <c r="J17" s="1"/>
      <c r="K17" s="1"/>
      <c r="L17" s="1"/>
      <c r="M17" s="1"/>
      <c r="N17" s="17"/>
    </row>
    <row r="18" spans="2:14" ht="15" customHeight="1" x14ac:dyDescent="0.25">
      <c r="B18" s="19"/>
      <c r="C18" s="5" t="s">
        <v>30</v>
      </c>
      <c r="D18" s="6" t="s">
        <v>26</v>
      </c>
      <c r="E18" s="11">
        <v>2.5784999999999999E-2</v>
      </c>
      <c r="F18" s="1"/>
      <c r="G18" s="1"/>
      <c r="H18" s="1"/>
      <c r="I18" s="1"/>
      <c r="J18" s="1"/>
      <c r="K18" s="1"/>
      <c r="L18" s="1"/>
      <c r="M18" s="1"/>
      <c r="N18" s="17"/>
    </row>
    <row r="19" spans="2:14" ht="15" customHeight="1" x14ac:dyDescent="0.25">
      <c r="B19" s="19"/>
      <c r="C19" s="5" t="s">
        <v>19</v>
      </c>
      <c r="D19" s="6" t="s">
        <v>26</v>
      </c>
      <c r="E19" s="11">
        <v>1.4579999999999999E-2</v>
      </c>
      <c r="F19" s="1"/>
      <c r="G19" s="1"/>
      <c r="H19" s="1"/>
      <c r="I19" s="1"/>
      <c r="J19" s="1"/>
      <c r="K19" s="1"/>
      <c r="L19" s="1"/>
      <c r="M19" s="1"/>
      <c r="N19" s="17"/>
    </row>
    <row r="20" spans="2:14" ht="15" customHeight="1" x14ac:dyDescent="0.25">
      <c r="B20" s="19"/>
      <c r="C20" s="5" t="s">
        <v>95</v>
      </c>
      <c r="D20" s="6" t="s">
        <v>26</v>
      </c>
      <c r="E20" s="11">
        <v>1.3518000000000001E-2</v>
      </c>
      <c r="F20" s="1"/>
      <c r="G20" s="1"/>
      <c r="H20" s="1"/>
      <c r="I20" s="1"/>
      <c r="J20" s="1"/>
      <c r="K20" s="1"/>
      <c r="L20" s="1"/>
      <c r="M20" s="1"/>
      <c r="N20" s="17"/>
    </row>
    <row r="21" spans="2:14" ht="15" customHeight="1" x14ac:dyDescent="0.25">
      <c r="B21" s="19"/>
      <c r="C21" s="5" t="s">
        <v>34</v>
      </c>
      <c r="D21" s="6" t="s">
        <v>26</v>
      </c>
      <c r="E21" s="11">
        <v>1.2408000000000001E-2</v>
      </c>
      <c r="F21" s="1"/>
      <c r="G21" s="1"/>
      <c r="H21" s="1"/>
      <c r="I21" s="1"/>
      <c r="J21" s="1"/>
      <c r="K21" s="1"/>
      <c r="L21" s="1"/>
      <c r="M21" s="1"/>
      <c r="N21" s="17"/>
    </row>
    <row r="22" spans="2:14" ht="15" customHeight="1" x14ac:dyDescent="0.25">
      <c r="B22" s="19"/>
      <c r="C22" s="5" t="s">
        <v>40</v>
      </c>
      <c r="D22" s="6" t="s">
        <v>26</v>
      </c>
      <c r="E22" s="11">
        <v>1.1846000000000001E-2</v>
      </c>
      <c r="F22" s="1"/>
      <c r="G22" s="1"/>
      <c r="H22" s="1"/>
      <c r="I22" s="1"/>
      <c r="J22" s="1"/>
      <c r="K22" s="1"/>
      <c r="L22" s="1"/>
      <c r="M22" s="1"/>
      <c r="N22" s="17"/>
    </row>
    <row r="23" spans="2:14" ht="15" customHeight="1" x14ac:dyDescent="0.25">
      <c r="B23" s="19"/>
      <c r="C23" s="5" t="s">
        <v>96</v>
      </c>
      <c r="D23" s="6" t="s">
        <v>26</v>
      </c>
      <c r="E23" s="11">
        <v>1.0114E-2</v>
      </c>
      <c r="F23" s="1"/>
      <c r="G23" s="1"/>
      <c r="H23" s="1"/>
      <c r="I23" s="1"/>
      <c r="J23" s="1"/>
      <c r="K23" s="1"/>
      <c r="L23" s="1"/>
      <c r="M23" s="1"/>
      <c r="N23" s="17"/>
    </row>
    <row r="24" spans="2:14" ht="15" customHeight="1" x14ac:dyDescent="0.25">
      <c r="B24" s="19"/>
      <c r="C24" s="5" t="s">
        <v>21</v>
      </c>
      <c r="D24" s="6" t="s">
        <v>26</v>
      </c>
      <c r="E24" s="11">
        <v>8.4790000000000004E-3</v>
      </c>
      <c r="F24" s="1"/>
      <c r="G24" s="1"/>
      <c r="H24" s="1"/>
      <c r="I24" s="1"/>
      <c r="J24" s="1"/>
      <c r="K24" s="1"/>
      <c r="L24" s="1"/>
      <c r="M24" s="1"/>
      <c r="N24" s="17"/>
    </row>
    <row r="25" spans="2:14" ht="15" customHeight="1" x14ac:dyDescent="0.25">
      <c r="B25" s="19"/>
      <c r="C25" s="5" t="s">
        <v>33</v>
      </c>
      <c r="D25" s="6" t="s">
        <v>26</v>
      </c>
      <c r="E25" s="11">
        <v>6.3639999999999999E-3</v>
      </c>
      <c r="F25" s="1"/>
      <c r="G25" s="1"/>
      <c r="H25" s="1"/>
      <c r="I25" s="1"/>
      <c r="J25" s="1"/>
      <c r="K25" s="1"/>
      <c r="L25" s="1"/>
      <c r="M25" s="1"/>
      <c r="N25" s="17"/>
    </row>
    <row r="26" spans="2:14" ht="15" customHeight="1" x14ac:dyDescent="0.25">
      <c r="B26" s="19"/>
      <c r="C26" s="5" t="s">
        <v>43</v>
      </c>
      <c r="D26" s="6" t="s">
        <v>26</v>
      </c>
      <c r="E26" s="11">
        <v>4.8780000000000004E-3</v>
      </c>
      <c r="F26" s="1"/>
      <c r="G26" s="44" t="s">
        <v>17</v>
      </c>
      <c r="H26" s="45"/>
      <c r="I26" s="45"/>
      <c r="J26" s="45"/>
      <c r="K26" s="45"/>
      <c r="L26" s="45"/>
      <c r="M26" s="45"/>
      <c r="N26" s="46"/>
    </row>
    <row r="27" spans="2:14" ht="15" customHeight="1" x14ac:dyDescent="0.25">
      <c r="B27" s="19"/>
      <c r="C27" s="5" t="s">
        <v>38</v>
      </c>
      <c r="D27" s="6" t="s">
        <v>26</v>
      </c>
      <c r="E27" s="11">
        <v>4.7489999999999997E-3</v>
      </c>
      <c r="F27" s="1"/>
      <c r="G27" s="1"/>
      <c r="H27" s="1"/>
      <c r="I27" s="1"/>
      <c r="J27" s="1"/>
      <c r="K27" s="1"/>
      <c r="L27" s="1"/>
      <c r="M27" s="1"/>
      <c r="N27" s="17"/>
    </row>
    <row r="28" spans="2:14" ht="15" customHeight="1" x14ac:dyDescent="0.25">
      <c r="B28" s="19"/>
      <c r="C28" s="5" t="s">
        <v>36</v>
      </c>
      <c r="D28" s="6" t="s">
        <v>26</v>
      </c>
      <c r="E28" s="11">
        <v>4.346E-3</v>
      </c>
      <c r="F28" s="1"/>
      <c r="G28" s="1"/>
      <c r="H28" s="1"/>
      <c r="I28" s="1"/>
      <c r="J28" s="1"/>
      <c r="K28" s="1"/>
      <c r="L28" s="1"/>
      <c r="M28" s="1"/>
      <c r="N28" s="17"/>
    </row>
    <row r="29" spans="2:14" ht="15" customHeight="1" x14ac:dyDescent="0.25">
      <c r="B29" s="19"/>
      <c r="C29" s="5" t="s">
        <v>39</v>
      </c>
      <c r="D29" s="6" t="s">
        <v>26</v>
      </c>
      <c r="E29" s="11">
        <v>1.5150000000000001E-3</v>
      </c>
      <c r="F29" s="1"/>
      <c r="G29" s="1"/>
      <c r="H29" s="1"/>
      <c r="I29" s="1"/>
      <c r="J29" s="1"/>
      <c r="K29" s="1"/>
      <c r="L29" s="1"/>
      <c r="M29" s="1"/>
      <c r="N29" s="17"/>
    </row>
    <row r="30" spans="2:14" ht="15" customHeight="1" x14ac:dyDescent="0.25">
      <c r="B30" s="19"/>
      <c r="C30" s="5" t="s">
        <v>97</v>
      </c>
      <c r="D30" s="6" t="s">
        <v>26</v>
      </c>
      <c r="E30" s="11">
        <v>1.2340000000000001E-3</v>
      </c>
      <c r="F30" s="1"/>
      <c r="G30" s="1"/>
      <c r="H30" s="1"/>
      <c r="I30" s="1"/>
      <c r="J30" s="1"/>
      <c r="K30" s="1"/>
      <c r="L30" s="1"/>
      <c r="M30" s="1"/>
      <c r="N30" s="17"/>
    </row>
    <row r="31" spans="2:14" ht="15" customHeight="1" x14ac:dyDescent="0.25">
      <c r="B31" s="19"/>
      <c r="C31" s="5" t="s">
        <v>31</v>
      </c>
      <c r="D31" s="6" t="s">
        <v>26</v>
      </c>
      <c r="E31" s="11">
        <v>7.4700000000000005E-4</v>
      </c>
      <c r="F31" s="1"/>
      <c r="G31" s="1"/>
      <c r="H31" s="1"/>
      <c r="I31" s="1"/>
      <c r="J31" s="1"/>
      <c r="K31" s="1"/>
      <c r="L31" s="1"/>
      <c r="M31" s="1"/>
      <c r="N31" s="17"/>
    </row>
    <row r="32" spans="2:14" ht="15.75" customHeight="1" x14ac:dyDescent="0.25">
      <c r="B32" s="19"/>
      <c r="C32" s="7" t="s">
        <v>46</v>
      </c>
      <c r="D32" s="8"/>
      <c r="E32" s="12">
        <v>0.70782400000000001</v>
      </c>
      <c r="F32" s="1"/>
      <c r="G32" s="1"/>
      <c r="H32" s="1"/>
      <c r="I32" s="1"/>
      <c r="J32" s="1"/>
      <c r="K32" s="1"/>
      <c r="L32" s="1"/>
      <c r="M32" s="1"/>
      <c r="N32" s="17"/>
    </row>
    <row r="33" spans="2:14" ht="15" customHeight="1" x14ac:dyDescent="0.25">
      <c r="B33" s="19"/>
      <c r="C33" s="5" t="s">
        <v>98</v>
      </c>
      <c r="D33" s="6" t="s">
        <v>50</v>
      </c>
      <c r="E33" s="11">
        <v>0.17596700000000001</v>
      </c>
      <c r="F33" s="1"/>
      <c r="G33" s="1"/>
      <c r="H33" s="1"/>
      <c r="I33" s="1"/>
      <c r="J33" s="1"/>
      <c r="K33" s="1"/>
      <c r="L33" s="1"/>
      <c r="M33" s="1"/>
      <c r="N33" s="17"/>
    </row>
    <row r="34" spans="2:14" ht="15" customHeight="1" x14ac:dyDescent="0.25">
      <c r="B34" s="19"/>
      <c r="C34" s="5" t="s">
        <v>49</v>
      </c>
      <c r="D34" s="6" t="s">
        <v>50</v>
      </c>
      <c r="E34" s="11">
        <v>2.7501999999999999E-2</v>
      </c>
      <c r="F34" s="1"/>
      <c r="G34" s="1"/>
      <c r="H34" s="1"/>
      <c r="I34" s="1"/>
      <c r="J34" s="1"/>
      <c r="K34" s="1"/>
      <c r="L34" s="1"/>
      <c r="M34" s="1"/>
      <c r="N34" s="17"/>
    </row>
    <row r="35" spans="2:14" ht="15" customHeight="1" x14ac:dyDescent="0.25">
      <c r="B35" s="19"/>
      <c r="C35" s="5" t="s">
        <v>54</v>
      </c>
      <c r="D35" s="6" t="s">
        <v>50</v>
      </c>
      <c r="E35" s="11">
        <v>2.61E-4</v>
      </c>
      <c r="F35" s="1"/>
      <c r="G35" s="1"/>
      <c r="H35" s="1"/>
      <c r="I35" s="1"/>
      <c r="J35" s="1"/>
      <c r="K35" s="1"/>
      <c r="L35" s="1"/>
      <c r="M35" s="1"/>
      <c r="N35" s="17"/>
    </row>
    <row r="36" spans="2:14" ht="15.75" customHeight="1" x14ac:dyDescent="0.25">
      <c r="B36" s="19"/>
      <c r="C36" s="7" t="s">
        <v>56</v>
      </c>
      <c r="D36" s="8"/>
      <c r="E36" s="12">
        <v>0.20372999999999999</v>
      </c>
      <c r="F36" s="1"/>
      <c r="G36" s="1"/>
      <c r="H36" s="1"/>
      <c r="I36" s="1"/>
      <c r="J36" s="1"/>
      <c r="K36" s="1"/>
      <c r="L36" s="1"/>
      <c r="M36" s="1"/>
      <c r="N36" s="17"/>
    </row>
    <row r="37" spans="2:14" ht="15" customHeight="1" x14ac:dyDescent="0.25">
      <c r="B37" s="19"/>
      <c r="C37" s="5" t="s">
        <v>161</v>
      </c>
      <c r="D37" s="6" t="s">
        <v>50</v>
      </c>
      <c r="E37" s="11">
        <v>3.356E-3</v>
      </c>
      <c r="F37" s="1"/>
      <c r="G37" s="1"/>
      <c r="H37" s="1"/>
      <c r="I37" s="1"/>
      <c r="J37" s="1"/>
      <c r="K37" s="1"/>
      <c r="L37" s="1"/>
      <c r="M37" s="1"/>
      <c r="N37" s="17"/>
    </row>
    <row r="38" spans="2:14" ht="15.75" customHeight="1" x14ac:dyDescent="0.25">
      <c r="B38" s="19"/>
      <c r="C38" s="5" t="s">
        <v>174</v>
      </c>
      <c r="D38" s="6" t="s">
        <v>50</v>
      </c>
      <c r="E38" s="11">
        <v>7.4349999999999998E-3</v>
      </c>
      <c r="F38" s="1"/>
      <c r="G38" s="1"/>
      <c r="H38" s="1"/>
      <c r="I38" s="1"/>
      <c r="J38" s="1"/>
      <c r="K38" s="1"/>
      <c r="L38" s="1"/>
      <c r="M38" s="1"/>
      <c r="N38" s="17"/>
    </row>
    <row r="39" spans="2:14" ht="15" customHeight="1" x14ac:dyDescent="0.25">
      <c r="B39" s="19"/>
      <c r="C39" s="5" t="s">
        <v>186</v>
      </c>
      <c r="D39" s="6" t="s">
        <v>50</v>
      </c>
      <c r="E39" s="11">
        <v>3.5620000000000001E-3</v>
      </c>
      <c r="F39" s="1"/>
      <c r="G39" s="1"/>
      <c r="H39" s="1"/>
      <c r="I39" s="1"/>
      <c r="J39" s="1"/>
      <c r="K39" s="1"/>
      <c r="L39" s="1"/>
      <c r="M39" s="1"/>
      <c r="N39" s="17"/>
    </row>
    <row r="40" spans="2:14" ht="15.75" customHeight="1" x14ac:dyDescent="0.25">
      <c r="B40" s="19"/>
      <c r="C40" s="5" t="s">
        <v>184</v>
      </c>
      <c r="D40" s="6" t="s">
        <v>50</v>
      </c>
      <c r="E40" s="11">
        <v>2.676E-3</v>
      </c>
      <c r="F40" s="1"/>
      <c r="G40" s="1"/>
      <c r="H40" s="1"/>
      <c r="I40" s="1"/>
      <c r="J40" s="1"/>
      <c r="K40" s="1"/>
      <c r="L40" s="1"/>
      <c r="M40" s="1"/>
      <c r="N40" s="17"/>
    </row>
    <row r="41" spans="2:14" ht="15" customHeight="1" x14ac:dyDescent="0.25">
      <c r="B41" s="19"/>
      <c r="C41" s="5" t="s">
        <v>167</v>
      </c>
      <c r="D41" s="6" t="s">
        <v>50</v>
      </c>
      <c r="E41" s="11">
        <v>2.6540000000000001E-3</v>
      </c>
      <c r="F41" s="1"/>
      <c r="G41" s="1"/>
      <c r="H41" s="1"/>
      <c r="I41" s="1"/>
      <c r="J41" s="1"/>
      <c r="K41" s="1"/>
      <c r="L41" s="1"/>
      <c r="M41" s="1"/>
      <c r="N41" s="17"/>
    </row>
    <row r="42" spans="2:14" ht="15.75" customHeight="1" x14ac:dyDescent="0.25">
      <c r="B42" s="19"/>
      <c r="C42" s="5" t="s">
        <v>190</v>
      </c>
      <c r="D42" s="6" t="s">
        <v>50</v>
      </c>
      <c r="E42" s="11">
        <v>2.4840000000000001E-3</v>
      </c>
      <c r="F42" s="1"/>
      <c r="G42" s="1"/>
      <c r="H42" s="1"/>
      <c r="I42" s="1"/>
      <c r="J42" s="1"/>
      <c r="K42" s="1"/>
      <c r="L42" s="1"/>
      <c r="M42" s="1"/>
      <c r="N42" s="17"/>
    </row>
    <row r="43" spans="2:14" ht="15" customHeight="1" x14ac:dyDescent="0.25">
      <c r="B43" s="19"/>
      <c r="C43" s="5" t="s">
        <v>187</v>
      </c>
      <c r="D43" s="6" t="s">
        <v>50</v>
      </c>
      <c r="E43" s="11">
        <v>2.1280000000000001E-3</v>
      </c>
      <c r="F43" s="1"/>
      <c r="G43" s="1"/>
      <c r="H43" s="1"/>
      <c r="I43" s="1"/>
      <c r="J43" s="1"/>
      <c r="K43" s="1"/>
      <c r="L43" s="1"/>
      <c r="M43" s="1"/>
      <c r="N43" s="17"/>
    </row>
    <row r="44" spans="2:14" ht="15.75" customHeight="1" x14ac:dyDescent="0.25">
      <c r="B44" s="19"/>
      <c r="C44" s="5" t="s">
        <v>180</v>
      </c>
      <c r="D44" s="6" t="s">
        <v>50</v>
      </c>
      <c r="E44" s="11">
        <v>1.887E-3</v>
      </c>
      <c r="F44" s="1"/>
      <c r="G44" s="1"/>
      <c r="H44" s="1"/>
      <c r="I44" s="1"/>
      <c r="J44" s="1"/>
      <c r="K44" s="1"/>
      <c r="L44" s="1"/>
      <c r="M44" s="1"/>
      <c r="N44" s="17"/>
    </row>
    <row r="45" spans="2:14" ht="15" customHeight="1" x14ac:dyDescent="0.25">
      <c r="B45" s="19"/>
      <c r="C45" s="5" t="s">
        <v>176</v>
      </c>
      <c r="D45" s="6" t="s">
        <v>50</v>
      </c>
      <c r="E45" s="11">
        <v>1.8829999999999999E-3</v>
      </c>
      <c r="F45" s="1"/>
      <c r="G45" s="1"/>
      <c r="H45" s="1"/>
      <c r="I45" s="1"/>
      <c r="J45" s="1"/>
      <c r="K45" s="1"/>
      <c r="L45" s="1"/>
      <c r="M45" s="1"/>
      <c r="N45" s="17"/>
    </row>
    <row r="46" spans="2:14" ht="15" customHeight="1" x14ac:dyDescent="0.25">
      <c r="B46" s="19"/>
      <c r="C46" s="5" t="s">
        <v>177</v>
      </c>
      <c r="D46" s="6" t="s">
        <v>50</v>
      </c>
      <c r="E46" s="11">
        <v>1.6149999999999999E-3</v>
      </c>
      <c r="F46" s="1"/>
      <c r="G46" s="1"/>
      <c r="H46" s="1"/>
      <c r="I46" s="1"/>
      <c r="J46" s="1"/>
      <c r="K46" s="1"/>
      <c r="L46" s="1"/>
      <c r="M46" s="1"/>
      <c r="N46" s="17"/>
    </row>
    <row r="47" spans="2:14" ht="15" customHeight="1" x14ac:dyDescent="0.25">
      <c r="B47" s="19"/>
      <c r="C47" s="5" t="s">
        <v>178</v>
      </c>
      <c r="D47" s="6" t="s">
        <v>50</v>
      </c>
      <c r="E47" s="11">
        <v>1.3519999999999999E-3</v>
      </c>
      <c r="F47" s="1"/>
      <c r="G47" s="1"/>
      <c r="H47" s="1"/>
      <c r="I47" s="1"/>
      <c r="J47" s="1"/>
      <c r="K47" s="1"/>
      <c r="L47" s="1"/>
      <c r="M47" s="1"/>
      <c r="N47" s="17"/>
    </row>
    <row r="48" spans="2:14" ht="15.75" customHeight="1" x14ac:dyDescent="0.25">
      <c r="B48" s="19"/>
      <c r="C48" s="5" t="s">
        <v>183</v>
      </c>
      <c r="D48" s="6" t="s">
        <v>50</v>
      </c>
      <c r="E48" s="11">
        <v>1.3420000000000001E-3</v>
      </c>
      <c r="F48" s="1"/>
      <c r="G48" s="1"/>
      <c r="H48" s="1"/>
      <c r="I48" s="1"/>
      <c r="J48" s="1"/>
      <c r="K48" s="1"/>
      <c r="L48" s="1"/>
      <c r="M48" s="1"/>
      <c r="N48" s="17"/>
    </row>
    <row r="49" spans="2:14" ht="15" customHeight="1" x14ac:dyDescent="0.25">
      <c r="B49" s="19"/>
      <c r="C49" s="5" t="s">
        <v>189</v>
      </c>
      <c r="D49" s="6" t="s">
        <v>50</v>
      </c>
      <c r="E49" s="11">
        <v>1.245E-3</v>
      </c>
      <c r="F49" s="1"/>
      <c r="G49" s="1"/>
      <c r="H49" s="1"/>
      <c r="I49" s="1"/>
      <c r="J49" s="1"/>
      <c r="K49" s="1"/>
      <c r="L49" s="1"/>
      <c r="M49" s="1"/>
      <c r="N49" s="17"/>
    </row>
    <row r="50" spans="2:14" ht="15" customHeight="1" x14ac:dyDescent="0.25">
      <c r="B50" s="19"/>
      <c r="C50" s="5" t="s">
        <v>185</v>
      </c>
      <c r="D50" s="6" t="s">
        <v>50</v>
      </c>
      <c r="E50" s="11">
        <v>1.0790000000000001E-3</v>
      </c>
      <c r="F50" s="1"/>
      <c r="G50" s="1"/>
      <c r="H50" s="1"/>
      <c r="I50" s="1"/>
      <c r="J50" s="1"/>
      <c r="K50" s="1"/>
      <c r="L50" s="1"/>
      <c r="M50" s="1"/>
      <c r="N50" s="17"/>
    </row>
    <row r="51" spans="2:14" ht="15" customHeight="1" x14ac:dyDescent="0.25">
      <c r="B51" s="19"/>
      <c r="C51" s="5" t="s">
        <v>173</v>
      </c>
      <c r="D51" s="6" t="s">
        <v>50</v>
      </c>
      <c r="E51" s="11">
        <v>7.9799999999999999E-4</v>
      </c>
      <c r="F51" s="1"/>
      <c r="G51" s="1"/>
      <c r="H51" s="1"/>
      <c r="I51" s="1"/>
      <c r="J51" s="1"/>
      <c r="K51" s="1"/>
      <c r="L51" s="1"/>
      <c r="M51" s="1"/>
      <c r="N51" s="17"/>
    </row>
    <row r="52" spans="2:14" ht="15.75" customHeight="1" x14ac:dyDescent="0.25">
      <c r="B52" s="19"/>
      <c r="C52" s="5" t="s">
        <v>179</v>
      </c>
      <c r="D52" s="6" t="s">
        <v>50</v>
      </c>
      <c r="E52" s="11">
        <v>5.4100000000000003E-4</v>
      </c>
      <c r="F52" s="1"/>
      <c r="G52" s="1"/>
      <c r="H52" s="1"/>
      <c r="I52" s="1"/>
      <c r="J52" s="1"/>
      <c r="K52" s="1"/>
      <c r="L52" s="1"/>
      <c r="M52" s="1"/>
      <c r="N52" s="17"/>
    </row>
    <row r="53" spans="2:14" ht="15" customHeight="1" x14ac:dyDescent="0.25">
      <c r="B53" s="19"/>
      <c r="C53" s="5" t="s">
        <v>182</v>
      </c>
      <c r="D53" s="6" t="s">
        <v>50</v>
      </c>
      <c r="E53" s="11">
        <v>5.3300000000000005E-4</v>
      </c>
      <c r="F53" s="1"/>
      <c r="G53" s="1"/>
      <c r="H53" s="1"/>
      <c r="I53" s="1"/>
      <c r="J53" s="1"/>
      <c r="K53" s="1"/>
      <c r="L53" s="1"/>
      <c r="M53" s="1"/>
      <c r="N53" s="17"/>
    </row>
    <row r="54" spans="2:14" ht="15" customHeight="1" x14ac:dyDescent="0.25">
      <c r="B54" s="19"/>
      <c r="C54" s="5" t="s">
        <v>181</v>
      </c>
      <c r="D54" s="6" t="s">
        <v>50</v>
      </c>
      <c r="E54" s="11">
        <v>2.6899999999999998E-4</v>
      </c>
      <c r="F54" s="1"/>
      <c r="G54" s="1"/>
      <c r="H54" s="1"/>
      <c r="I54" s="1"/>
      <c r="J54" s="1"/>
      <c r="K54" s="1"/>
      <c r="L54" s="1"/>
      <c r="M54" s="1"/>
      <c r="N54" s="17"/>
    </row>
    <row r="55" spans="2:14" ht="15" customHeight="1" x14ac:dyDescent="0.25">
      <c r="B55" s="19"/>
      <c r="C55" s="5" t="s">
        <v>175</v>
      </c>
      <c r="D55" s="6" t="s">
        <v>50</v>
      </c>
      <c r="E55" s="11">
        <v>2.6800000000000001E-4</v>
      </c>
      <c r="F55" s="1"/>
      <c r="G55" s="1"/>
      <c r="H55" s="1"/>
      <c r="I55" s="1"/>
      <c r="J55" s="1"/>
      <c r="K55" s="1"/>
      <c r="L55" s="1"/>
      <c r="M55" s="1"/>
      <c r="N55" s="17"/>
    </row>
    <row r="56" spans="2:14" ht="15.75" customHeight="1" x14ac:dyDescent="0.25">
      <c r="B56" s="19"/>
      <c r="C56" s="5" t="s">
        <v>188</v>
      </c>
      <c r="D56" s="6" t="s">
        <v>50</v>
      </c>
      <c r="E56" s="11">
        <v>1.2400000000000001E-4</v>
      </c>
      <c r="F56" s="1"/>
      <c r="G56" s="1"/>
      <c r="H56" s="1"/>
      <c r="I56" s="1"/>
      <c r="J56" s="1"/>
      <c r="K56" s="1"/>
      <c r="L56" s="1"/>
      <c r="M56" s="1"/>
      <c r="N56" s="17"/>
    </row>
    <row r="57" spans="2:14" ht="15" customHeight="1" x14ac:dyDescent="0.25">
      <c r="B57" s="19"/>
      <c r="C57" s="5" t="s">
        <v>191</v>
      </c>
      <c r="D57" s="6" t="s">
        <v>50</v>
      </c>
      <c r="E57" s="26">
        <v>4.3000000000000002E-5</v>
      </c>
      <c r="F57" s="1"/>
      <c r="G57" s="1"/>
      <c r="H57" s="1"/>
      <c r="I57" s="1"/>
      <c r="J57" s="1"/>
      <c r="K57" s="1"/>
      <c r="L57" s="1"/>
      <c r="M57" s="1"/>
      <c r="N57" s="17"/>
    </row>
    <row r="58" spans="2:14" ht="15" customHeight="1" x14ac:dyDescent="0.25">
      <c r="B58" s="19"/>
      <c r="C58" s="7" t="s">
        <v>57</v>
      </c>
      <c r="D58" s="8"/>
      <c r="E58" s="12">
        <v>3.7274000000000002E-2</v>
      </c>
      <c r="F58" s="1"/>
      <c r="G58" s="1"/>
      <c r="H58" s="1"/>
      <c r="I58" s="1"/>
      <c r="J58" s="1"/>
      <c r="K58" s="1"/>
      <c r="L58" s="1"/>
      <c r="M58" s="1"/>
      <c r="N58" s="17"/>
    </row>
    <row r="59" spans="2:14" ht="15" customHeight="1" x14ac:dyDescent="0.25">
      <c r="B59" s="19"/>
      <c r="C59" s="5" t="s">
        <v>8</v>
      </c>
      <c r="D59" s="6"/>
      <c r="E59" s="11">
        <v>1.6081000000000002E-2</v>
      </c>
      <c r="F59" s="1"/>
      <c r="G59" s="1"/>
      <c r="H59" s="1"/>
      <c r="I59" s="1"/>
      <c r="J59" s="1"/>
      <c r="K59" s="1"/>
      <c r="L59" s="1"/>
      <c r="M59" s="1"/>
      <c r="N59" s="17"/>
    </row>
    <row r="60" spans="2:14" ht="15" customHeight="1" x14ac:dyDescent="0.25">
      <c r="B60" s="19"/>
      <c r="C60" s="7" t="s">
        <v>9</v>
      </c>
      <c r="D60" s="8"/>
      <c r="E60" s="12">
        <v>1.6081000000000002E-2</v>
      </c>
      <c r="F60" s="1"/>
      <c r="G60" s="1"/>
      <c r="H60" s="1"/>
      <c r="I60" s="1"/>
      <c r="J60" s="1"/>
      <c r="K60" s="1"/>
      <c r="L60" s="1"/>
      <c r="M60" s="1"/>
      <c r="N60" s="17"/>
    </row>
    <row r="61" spans="2:14" ht="15" customHeight="1" x14ac:dyDescent="0.25">
      <c r="B61" s="19"/>
      <c r="C61" s="5" t="s">
        <v>27</v>
      </c>
      <c r="D61" s="6" t="s">
        <v>26</v>
      </c>
      <c r="E61" s="11">
        <v>9.3999999999999994E-5</v>
      </c>
      <c r="F61" s="1"/>
      <c r="G61" s="1"/>
      <c r="H61" s="1"/>
      <c r="I61" s="1"/>
      <c r="J61" s="1"/>
      <c r="K61" s="1"/>
      <c r="L61" s="1"/>
      <c r="M61" s="1"/>
      <c r="N61" s="17"/>
    </row>
    <row r="62" spans="2:14" ht="15" customHeight="1" x14ac:dyDescent="0.25">
      <c r="B62" s="19"/>
      <c r="C62" s="7" t="s">
        <v>58</v>
      </c>
      <c r="D62" s="8"/>
      <c r="E62" s="12">
        <v>9.3999999999999994E-5</v>
      </c>
      <c r="F62" s="1"/>
      <c r="G62" s="1"/>
      <c r="H62" s="1"/>
      <c r="I62" s="1"/>
      <c r="J62" s="1"/>
      <c r="K62" s="1"/>
      <c r="L62" s="1"/>
      <c r="M62" s="1"/>
      <c r="N62" s="17"/>
    </row>
    <row r="63" spans="2:14" ht="15" customHeight="1" x14ac:dyDescent="0.25">
      <c r="B63" s="19"/>
      <c r="C63" s="5"/>
      <c r="D63" s="6"/>
      <c r="E63" s="11"/>
      <c r="F63" s="1"/>
      <c r="G63" s="1"/>
      <c r="H63" s="1"/>
      <c r="I63" s="1"/>
      <c r="J63" s="1"/>
      <c r="K63" s="1"/>
      <c r="L63" s="1"/>
      <c r="M63" s="1"/>
      <c r="N63" s="17"/>
    </row>
    <row r="64" spans="2:14" ht="15" customHeight="1" x14ac:dyDescent="0.25">
      <c r="B64" s="19"/>
      <c r="C64" s="7" t="s">
        <v>10</v>
      </c>
      <c r="D64" s="8"/>
      <c r="E64" s="12">
        <v>3.2607999999999998E-2</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9" t="s">
        <v>11</v>
      </c>
      <c r="D66" s="10"/>
      <c r="E66" s="13">
        <v>1</v>
      </c>
      <c r="F66" s="1"/>
      <c r="G66" s="1"/>
      <c r="H66" s="1"/>
      <c r="I66" s="1"/>
      <c r="J66" s="1"/>
      <c r="K66" s="1"/>
      <c r="L66" s="1"/>
      <c r="M66" s="1"/>
      <c r="N66" s="17"/>
    </row>
    <row r="67" spans="2:14" ht="15" customHeight="1" x14ac:dyDescent="0.25">
      <c r="B67" s="19"/>
      <c r="C67" s="1"/>
      <c r="D67" s="1"/>
      <c r="E67" s="1"/>
      <c r="F67" s="1"/>
      <c r="G67" s="1"/>
      <c r="H67" s="1"/>
      <c r="I67" s="1"/>
      <c r="J67" s="1"/>
      <c r="K67" s="1"/>
      <c r="L67" s="1"/>
      <c r="M67" s="1"/>
      <c r="N67" s="17"/>
    </row>
    <row r="68" spans="2:14" ht="15" customHeight="1" thickBot="1" x14ac:dyDescent="0.3">
      <c r="B68" s="20"/>
      <c r="C68" s="21"/>
      <c r="D68" s="21"/>
      <c r="E68" s="21"/>
      <c r="F68" s="21"/>
      <c r="G68" s="21"/>
      <c r="H68" s="21"/>
      <c r="I68" s="21"/>
      <c r="J68" s="21"/>
      <c r="K68" s="21"/>
      <c r="L68" s="21"/>
      <c r="M68" s="21"/>
      <c r="N68" s="22"/>
    </row>
    <row r="69" spans="2:14" ht="15" customHeight="1" thickBot="1" x14ac:dyDescent="0.3"/>
    <row r="70" spans="2:14" ht="108.75" customHeight="1" thickBot="1" x14ac:dyDescent="0.3">
      <c r="B70" s="38" t="s">
        <v>130</v>
      </c>
      <c r="C70" s="39"/>
      <c r="D70" s="39"/>
      <c r="E70" s="39"/>
      <c r="F70" s="39"/>
      <c r="G70" s="39"/>
      <c r="H70" s="39"/>
      <c r="I70" s="39"/>
      <c r="J70" s="39"/>
      <c r="K70" s="39"/>
      <c r="L70" s="39"/>
      <c r="M70" s="39"/>
      <c r="N70" s="40"/>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sheetData>
  <sortState ref="C38:E57">
    <sortCondition descending="1" ref="E37"/>
  </sortState>
  <mergeCells count="4">
    <mergeCell ref="B70:N70"/>
    <mergeCell ref="C3:N3"/>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DAA0C-35C5-43D3-B796-4AA5D0ECFAF7}">
  <dimension ref="B1:N6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112</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19</v>
      </c>
      <c r="D8" s="6" t="s">
        <v>20</v>
      </c>
      <c r="E8" s="11">
        <v>1.2534999999999999E-2</v>
      </c>
      <c r="F8" s="1"/>
      <c r="G8" s="23" t="s">
        <v>15</v>
      </c>
      <c r="H8" s="25">
        <f>141.172%-E40</f>
        <v>0.96997199999999983</v>
      </c>
      <c r="I8" s="1"/>
      <c r="J8" s="23" t="s">
        <v>12</v>
      </c>
      <c r="K8" s="23" t="s">
        <v>3</v>
      </c>
      <c r="L8" s="1"/>
      <c r="M8" s="1"/>
      <c r="N8" s="17"/>
    </row>
    <row r="9" spans="2:14" ht="15.75" customHeight="1" x14ac:dyDescent="0.25">
      <c r="B9" s="19"/>
      <c r="C9" s="7" t="s">
        <v>22</v>
      </c>
      <c r="D9" s="8"/>
      <c r="E9" s="12">
        <v>1.2534999999999999E-2</v>
      </c>
      <c r="F9" s="1"/>
      <c r="G9" s="23" t="s">
        <v>108</v>
      </c>
      <c r="H9" s="25">
        <v>2.9973E-2</v>
      </c>
      <c r="I9" s="1"/>
      <c r="J9" s="23" t="s">
        <v>10</v>
      </c>
      <c r="K9" s="25">
        <v>1.2963000000000001E-2</v>
      </c>
      <c r="L9" s="1"/>
      <c r="M9" s="1"/>
      <c r="N9" s="17"/>
    </row>
    <row r="10" spans="2:14" ht="15" customHeight="1" x14ac:dyDescent="0.25">
      <c r="B10" s="19"/>
      <c r="C10" s="5" t="s">
        <v>71</v>
      </c>
      <c r="D10" s="6" t="s">
        <v>20</v>
      </c>
      <c r="E10" s="11">
        <v>8.3932999999999994E-2</v>
      </c>
      <c r="F10" s="1"/>
      <c r="G10" s="1"/>
      <c r="H10" s="1"/>
      <c r="I10" s="1"/>
      <c r="J10" s="23" t="s">
        <v>13</v>
      </c>
      <c r="K10" s="25">
        <v>0.23300799999999999</v>
      </c>
      <c r="L10" s="1"/>
      <c r="M10" s="1"/>
      <c r="N10" s="17"/>
    </row>
    <row r="11" spans="2:14" ht="15" customHeight="1" x14ac:dyDescent="0.25">
      <c r="B11" s="19"/>
      <c r="C11" s="5" t="s">
        <v>44</v>
      </c>
      <c r="D11" s="6" t="s">
        <v>20</v>
      </c>
      <c r="E11" s="11">
        <v>6.3674999999999995E-2</v>
      </c>
      <c r="F11" s="1"/>
      <c r="G11" s="1"/>
      <c r="H11" s="1"/>
      <c r="I11" s="1"/>
      <c r="J11" s="23" t="s">
        <v>59</v>
      </c>
      <c r="K11" s="25">
        <v>1.2534999999999999E-2</v>
      </c>
      <c r="L11" s="1"/>
      <c r="M11" s="1"/>
      <c r="N11" s="17"/>
    </row>
    <row r="12" spans="2:14" ht="15" customHeight="1" x14ac:dyDescent="0.25">
      <c r="B12" s="19"/>
      <c r="C12" s="5" t="s">
        <v>113</v>
      </c>
      <c r="D12" s="6" t="s">
        <v>20</v>
      </c>
      <c r="E12" s="11">
        <v>4.1973999999999997E-2</v>
      </c>
      <c r="F12" s="1"/>
      <c r="G12" s="1"/>
      <c r="H12" s="1"/>
      <c r="I12" s="1"/>
      <c r="J12" s="23" t="s">
        <v>60</v>
      </c>
      <c r="K12" s="25">
        <v>0.32291300000000001</v>
      </c>
      <c r="L12" s="1"/>
      <c r="M12" s="1"/>
      <c r="N12" s="17"/>
    </row>
    <row r="13" spans="2:14" ht="15" customHeight="1" x14ac:dyDescent="0.25">
      <c r="B13" s="19"/>
      <c r="C13" s="5" t="s">
        <v>35</v>
      </c>
      <c r="D13" s="6" t="s">
        <v>20</v>
      </c>
      <c r="E13" s="11">
        <v>2.1205999999999999E-2</v>
      </c>
      <c r="F13" s="1"/>
      <c r="G13" s="1"/>
      <c r="H13" s="1"/>
      <c r="I13" s="1"/>
      <c r="J13" s="23" t="s">
        <v>61</v>
      </c>
      <c r="K13" s="25">
        <v>0.210788</v>
      </c>
      <c r="L13" s="1"/>
      <c r="M13" s="1"/>
      <c r="N13" s="17"/>
    </row>
    <row r="14" spans="2:14" ht="15.75" customHeight="1" x14ac:dyDescent="0.25">
      <c r="B14" s="19"/>
      <c r="C14" s="7" t="s">
        <v>24</v>
      </c>
      <c r="D14" s="8"/>
      <c r="E14" s="12">
        <v>0.210788</v>
      </c>
      <c r="F14" s="1"/>
      <c r="G14" s="1"/>
      <c r="H14" s="1"/>
      <c r="I14" s="1"/>
      <c r="J14" s="23" t="s">
        <v>62</v>
      </c>
      <c r="K14" s="25">
        <v>0.131609</v>
      </c>
      <c r="L14" s="1"/>
      <c r="M14" s="1"/>
      <c r="N14" s="17"/>
    </row>
    <row r="15" spans="2:14" ht="15" customHeight="1" x14ac:dyDescent="0.25">
      <c r="B15" s="19"/>
      <c r="C15" s="5" t="s">
        <v>28</v>
      </c>
      <c r="D15" s="6" t="s">
        <v>26</v>
      </c>
      <c r="E15" s="11">
        <v>9.4851000000000005E-2</v>
      </c>
      <c r="F15" s="1"/>
      <c r="G15" s="1"/>
      <c r="H15" s="1"/>
      <c r="I15" s="1"/>
      <c r="J15" s="23" t="s">
        <v>63</v>
      </c>
      <c r="K15" s="25">
        <v>3.3707000000000001E-2</v>
      </c>
      <c r="L15" s="1"/>
      <c r="M15" s="1"/>
      <c r="N15" s="17"/>
    </row>
    <row r="16" spans="2:14" ht="15" customHeight="1" x14ac:dyDescent="0.25">
      <c r="B16" s="19"/>
      <c r="C16" s="5" t="s">
        <v>23</v>
      </c>
      <c r="D16" s="6" t="s">
        <v>26</v>
      </c>
      <c r="E16" s="11">
        <v>7.3108999999999993E-2</v>
      </c>
      <c r="F16" s="1"/>
      <c r="G16" s="1"/>
      <c r="H16" s="1"/>
      <c r="I16" s="1"/>
      <c r="J16" s="23"/>
      <c r="K16" s="25"/>
      <c r="L16" s="1"/>
      <c r="M16" s="1"/>
      <c r="N16" s="17"/>
    </row>
    <row r="17" spans="2:14" ht="15" customHeight="1" x14ac:dyDescent="0.25">
      <c r="B17" s="19"/>
      <c r="C17" s="5" t="s">
        <v>103</v>
      </c>
      <c r="D17" s="6" t="s">
        <v>26</v>
      </c>
      <c r="E17" s="11">
        <v>4.1935E-2</v>
      </c>
      <c r="F17" s="1"/>
      <c r="G17" s="1"/>
      <c r="H17" s="1"/>
      <c r="I17" s="1"/>
      <c r="J17" s="23" t="s">
        <v>93</v>
      </c>
      <c r="K17" s="25">
        <v>4.2417999999999997E-2</v>
      </c>
      <c r="L17" s="1"/>
      <c r="M17" s="1"/>
      <c r="N17" s="17"/>
    </row>
    <row r="18" spans="2:14" ht="15" customHeight="1" x14ac:dyDescent="0.25">
      <c r="B18" s="19"/>
      <c r="C18" s="5" t="s">
        <v>114</v>
      </c>
      <c r="D18" s="6" t="s">
        <v>26</v>
      </c>
      <c r="E18" s="11">
        <v>2.6509999999999999E-2</v>
      </c>
      <c r="F18" s="1"/>
      <c r="G18" s="1"/>
      <c r="H18" s="1"/>
      <c r="I18" s="1"/>
      <c r="J18" s="1"/>
      <c r="K18" s="1"/>
      <c r="L18" s="1"/>
      <c r="M18" s="1"/>
      <c r="N18" s="17"/>
    </row>
    <row r="19" spans="2:14" ht="15" customHeight="1" x14ac:dyDescent="0.25">
      <c r="B19" s="19"/>
      <c r="C19" s="5" t="s">
        <v>25</v>
      </c>
      <c r="D19" s="6" t="s">
        <v>26</v>
      </c>
      <c r="E19" s="11">
        <v>2.5635000000000002E-2</v>
      </c>
      <c r="F19" s="1"/>
      <c r="G19" s="1"/>
      <c r="H19" s="1"/>
      <c r="I19" s="1"/>
      <c r="J19" s="1"/>
      <c r="K19" s="1"/>
      <c r="L19" s="1"/>
      <c r="M19" s="1"/>
      <c r="N19" s="17"/>
    </row>
    <row r="20" spans="2:14" ht="15" customHeight="1" x14ac:dyDescent="0.25">
      <c r="B20" s="19"/>
      <c r="C20" s="5" t="s">
        <v>101</v>
      </c>
      <c r="D20" s="6" t="s">
        <v>102</v>
      </c>
      <c r="E20" s="11">
        <v>2.1253000000000001E-2</v>
      </c>
      <c r="F20" s="1"/>
      <c r="G20" s="1"/>
      <c r="H20" s="1"/>
      <c r="I20" s="1"/>
      <c r="J20" s="1"/>
      <c r="K20" s="1"/>
      <c r="L20" s="1"/>
      <c r="M20" s="1"/>
      <c r="N20" s="17"/>
    </row>
    <row r="21" spans="2:14" ht="15" customHeight="1" x14ac:dyDescent="0.25">
      <c r="B21" s="19"/>
      <c r="C21" s="5" t="s">
        <v>115</v>
      </c>
      <c r="D21" s="6" t="s">
        <v>26</v>
      </c>
      <c r="E21" s="11">
        <v>1.7873E-2</v>
      </c>
      <c r="F21" s="1"/>
      <c r="G21" s="1"/>
      <c r="H21" s="1"/>
      <c r="I21" s="1"/>
      <c r="J21" s="1"/>
      <c r="K21" s="1"/>
      <c r="L21" s="1"/>
      <c r="M21" s="1"/>
      <c r="N21" s="17"/>
    </row>
    <row r="22" spans="2:14" ht="15" customHeight="1" x14ac:dyDescent="0.25">
      <c r="B22" s="19"/>
      <c r="C22" s="5" t="s">
        <v>42</v>
      </c>
      <c r="D22" s="6" t="s">
        <v>26</v>
      </c>
      <c r="E22" s="11">
        <v>8.7569999999999992E-3</v>
      </c>
      <c r="F22" s="1"/>
      <c r="G22" s="1"/>
      <c r="H22" s="1"/>
      <c r="I22" s="1"/>
      <c r="J22" s="1"/>
      <c r="K22" s="1"/>
      <c r="L22" s="1"/>
      <c r="M22" s="1"/>
      <c r="N22" s="17"/>
    </row>
    <row r="23" spans="2:14" ht="15" customHeight="1" x14ac:dyDescent="0.25">
      <c r="B23" s="19"/>
      <c r="C23" s="5" t="s">
        <v>105</v>
      </c>
      <c r="D23" s="6" t="s">
        <v>102</v>
      </c>
      <c r="E23" s="11">
        <v>8.7200000000000003E-3</v>
      </c>
      <c r="F23" s="1"/>
      <c r="G23" s="1"/>
      <c r="H23" s="1"/>
      <c r="I23" s="1"/>
      <c r="J23" s="1"/>
      <c r="K23" s="1"/>
      <c r="L23" s="1"/>
      <c r="M23" s="1"/>
      <c r="N23" s="17"/>
    </row>
    <row r="24" spans="2:14" ht="15" customHeight="1" x14ac:dyDescent="0.25">
      <c r="B24" s="19"/>
      <c r="C24" s="5" t="s">
        <v>32</v>
      </c>
      <c r="D24" s="6" t="s">
        <v>26</v>
      </c>
      <c r="E24" s="11">
        <v>4.2700000000000004E-3</v>
      </c>
      <c r="F24" s="1"/>
      <c r="G24" s="1"/>
      <c r="H24" s="1"/>
      <c r="I24" s="1"/>
      <c r="J24" s="1"/>
      <c r="K24" s="1"/>
      <c r="L24" s="1"/>
      <c r="M24" s="1"/>
      <c r="N24" s="17"/>
    </row>
    <row r="25" spans="2:14" ht="15.75" customHeight="1" x14ac:dyDescent="0.25">
      <c r="B25" s="19"/>
      <c r="C25" s="7" t="s">
        <v>46</v>
      </c>
      <c r="D25" s="8"/>
      <c r="E25" s="12">
        <v>0.32291300000000001</v>
      </c>
      <c r="F25" s="1"/>
      <c r="G25" s="1"/>
      <c r="H25" s="1"/>
      <c r="I25" s="1"/>
      <c r="J25" s="1"/>
      <c r="K25" s="1"/>
      <c r="L25" s="1"/>
      <c r="M25" s="1"/>
      <c r="N25" s="17"/>
    </row>
    <row r="26" spans="2:14" ht="15" customHeight="1" x14ac:dyDescent="0.25">
      <c r="B26" s="19"/>
      <c r="C26" s="5" t="s">
        <v>19</v>
      </c>
      <c r="D26" s="6" t="s">
        <v>20</v>
      </c>
      <c r="E26" s="11">
        <v>7.2219000000000005E-2</v>
      </c>
      <c r="F26" s="1"/>
      <c r="G26" s="44" t="s">
        <v>17</v>
      </c>
      <c r="H26" s="45"/>
      <c r="I26" s="45"/>
      <c r="J26" s="45"/>
      <c r="K26" s="45"/>
      <c r="L26" s="45"/>
      <c r="M26" s="45"/>
      <c r="N26" s="46"/>
    </row>
    <row r="27" spans="2:14" ht="15" customHeight="1" x14ac:dyDescent="0.25">
      <c r="B27" s="19"/>
      <c r="C27" s="5" t="s">
        <v>47</v>
      </c>
      <c r="D27" s="6" t="s">
        <v>20</v>
      </c>
      <c r="E27" s="11">
        <v>5.9389999999999998E-2</v>
      </c>
      <c r="F27" s="1"/>
      <c r="G27" s="1"/>
      <c r="H27" s="1"/>
      <c r="I27" s="1"/>
      <c r="J27" s="1"/>
      <c r="K27" s="1"/>
      <c r="L27" s="1"/>
      <c r="M27" s="1"/>
      <c r="N27" s="17"/>
    </row>
    <row r="28" spans="2:14" ht="15.75" customHeight="1" x14ac:dyDescent="0.25">
      <c r="B28" s="19"/>
      <c r="C28" s="7" t="s">
        <v>48</v>
      </c>
      <c r="D28" s="8"/>
      <c r="E28" s="12">
        <v>0.131609</v>
      </c>
      <c r="F28" s="1"/>
      <c r="G28" s="1"/>
      <c r="H28" s="1"/>
      <c r="I28" s="1"/>
      <c r="J28" s="1"/>
      <c r="K28" s="1"/>
      <c r="L28" s="1"/>
      <c r="M28" s="1"/>
      <c r="N28" s="17"/>
    </row>
    <row r="29" spans="2:14" ht="15" customHeight="1" x14ac:dyDescent="0.25">
      <c r="B29" s="19"/>
      <c r="C29" s="5" t="s">
        <v>116</v>
      </c>
      <c r="D29" s="6" t="s">
        <v>50</v>
      </c>
      <c r="E29" s="11">
        <v>3.3707000000000001E-2</v>
      </c>
      <c r="F29" s="1"/>
      <c r="G29" s="1"/>
      <c r="H29" s="1"/>
      <c r="I29" s="1"/>
      <c r="J29" s="1"/>
      <c r="K29" s="1"/>
      <c r="L29" s="1"/>
      <c r="M29" s="1"/>
      <c r="N29" s="17"/>
    </row>
    <row r="30" spans="2:14" ht="15.75" customHeight="1" x14ac:dyDescent="0.25">
      <c r="B30" s="19"/>
      <c r="C30" s="7" t="s">
        <v>56</v>
      </c>
      <c r="D30" s="8"/>
      <c r="E30" s="12">
        <v>3.3707000000000001E-2</v>
      </c>
      <c r="F30" s="1"/>
      <c r="G30" s="1"/>
      <c r="H30" s="1"/>
      <c r="I30" s="1"/>
      <c r="J30" s="1"/>
      <c r="K30" s="1"/>
      <c r="L30" s="1"/>
      <c r="M30" s="1"/>
      <c r="N30" s="17"/>
    </row>
    <row r="31" spans="2:14" ht="15" customHeight="1" x14ac:dyDescent="0.25">
      <c r="B31" s="19"/>
      <c r="C31" s="5" t="s">
        <v>91</v>
      </c>
      <c r="D31" s="6" t="s">
        <v>50</v>
      </c>
      <c r="E31" s="11">
        <v>4.2417999999999997E-2</v>
      </c>
      <c r="F31" s="1"/>
      <c r="G31" s="1"/>
      <c r="H31" s="1"/>
      <c r="I31" s="1"/>
      <c r="J31" s="1"/>
      <c r="K31" s="1"/>
      <c r="L31" s="1"/>
      <c r="M31" s="1"/>
      <c r="N31" s="17"/>
    </row>
    <row r="32" spans="2:14" ht="15.75" customHeight="1" x14ac:dyDescent="0.25">
      <c r="B32" s="19"/>
      <c r="C32" s="7" t="s">
        <v>92</v>
      </c>
      <c r="D32" s="8"/>
      <c r="E32" s="12">
        <v>4.2417999999999997E-2</v>
      </c>
      <c r="F32" s="1"/>
      <c r="G32" s="1"/>
      <c r="H32" s="1"/>
      <c r="I32" s="1"/>
      <c r="J32" s="1"/>
      <c r="K32" s="1"/>
      <c r="L32" s="1"/>
      <c r="M32" s="1"/>
      <c r="N32" s="17"/>
    </row>
    <row r="33" spans="2:14" ht="15" customHeight="1" x14ac:dyDescent="0.25">
      <c r="B33" s="19"/>
      <c r="C33" s="5" t="s">
        <v>8</v>
      </c>
      <c r="D33" s="6"/>
      <c r="E33" s="11">
        <v>0.23300799999999999</v>
      </c>
      <c r="F33" s="1"/>
      <c r="G33" s="1"/>
      <c r="H33" s="1"/>
      <c r="I33" s="1"/>
      <c r="J33" s="1"/>
      <c r="K33" s="1"/>
      <c r="L33" s="1"/>
      <c r="M33" s="1"/>
      <c r="N33" s="17"/>
    </row>
    <row r="34" spans="2:14" ht="15.75" customHeight="1" x14ac:dyDescent="0.25">
      <c r="B34" s="19"/>
      <c r="C34" s="7" t="s">
        <v>9</v>
      </c>
      <c r="D34" s="8"/>
      <c r="E34" s="12">
        <v>0.23300799999999999</v>
      </c>
      <c r="F34" s="1"/>
      <c r="G34" s="1"/>
      <c r="H34" s="1"/>
      <c r="I34" s="1"/>
      <c r="J34" s="1"/>
      <c r="K34" s="1"/>
      <c r="L34" s="1"/>
      <c r="M34" s="1"/>
      <c r="N34" s="17"/>
    </row>
    <row r="35" spans="2:14" ht="15" customHeight="1" x14ac:dyDescent="0.25">
      <c r="B35" s="19"/>
      <c r="C35" s="5"/>
      <c r="D35" s="6"/>
      <c r="E35" s="11"/>
      <c r="F35" s="1"/>
      <c r="G35" s="1"/>
      <c r="H35" s="1"/>
      <c r="I35" s="1"/>
      <c r="J35" s="1"/>
      <c r="K35" s="1"/>
      <c r="L35" s="1"/>
      <c r="M35" s="1"/>
      <c r="N35" s="17"/>
    </row>
    <row r="36" spans="2:14" ht="15.75" customHeight="1" x14ac:dyDescent="0.25">
      <c r="B36" s="19"/>
      <c r="C36" s="7" t="s">
        <v>10</v>
      </c>
      <c r="D36" s="8"/>
      <c r="E36" s="12">
        <v>1.2963000000000001E-2</v>
      </c>
      <c r="F36" s="1"/>
      <c r="G36" s="1"/>
      <c r="H36" s="1"/>
      <c r="I36" s="1"/>
      <c r="J36" s="1"/>
      <c r="K36" s="1"/>
      <c r="L36" s="1"/>
      <c r="M36" s="1"/>
      <c r="N36" s="17"/>
    </row>
    <row r="37" spans="2:14" ht="15" customHeight="1" x14ac:dyDescent="0.25">
      <c r="B37" s="19"/>
      <c r="C37" s="5"/>
      <c r="D37" s="6"/>
      <c r="E37" s="11"/>
      <c r="F37" s="1"/>
      <c r="G37" s="1"/>
      <c r="H37" s="1"/>
      <c r="I37" s="1"/>
      <c r="J37" s="1"/>
      <c r="K37" s="1"/>
      <c r="L37" s="1"/>
      <c r="M37" s="1"/>
      <c r="N37" s="17"/>
    </row>
    <row r="38" spans="2:14" ht="15.75" customHeight="1" x14ac:dyDescent="0.25">
      <c r="B38" s="19"/>
      <c r="C38" s="9" t="s">
        <v>11</v>
      </c>
      <c r="D38" s="10"/>
      <c r="E38" s="13">
        <v>1</v>
      </c>
      <c r="F38" s="1"/>
      <c r="G38" s="1"/>
      <c r="H38" s="1"/>
      <c r="I38" s="1"/>
      <c r="J38" s="1"/>
      <c r="K38" s="1"/>
      <c r="L38" s="1"/>
      <c r="M38" s="1"/>
      <c r="N38" s="17"/>
    </row>
    <row r="39" spans="2:14" ht="15" customHeight="1" x14ac:dyDescent="0.25">
      <c r="B39" s="19"/>
      <c r="F39" s="1"/>
      <c r="G39" s="1"/>
      <c r="H39" s="1"/>
      <c r="I39" s="1"/>
      <c r="J39" s="1"/>
      <c r="K39" s="1"/>
      <c r="L39" s="1"/>
      <c r="M39" s="1"/>
      <c r="N39" s="17"/>
    </row>
    <row r="40" spans="2:14" ht="15" customHeight="1" x14ac:dyDescent="0.25">
      <c r="B40" s="19"/>
      <c r="C40" s="35" t="s">
        <v>117</v>
      </c>
      <c r="D40" s="35"/>
      <c r="E40" s="36">
        <v>0.44174799999999997</v>
      </c>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1" customHeight="1" thickBot="1" x14ac:dyDescent="0.3">
      <c r="B45" s="38" t="s">
        <v>130</v>
      </c>
      <c r="C45" s="39"/>
      <c r="D45" s="39"/>
      <c r="E45" s="39"/>
      <c r="F45" s="39"/>
      <c r="G45" s="39"/>
      <c r="H45" s="39"/>
      <c r="I45" s="39"/>
      <c r="J45" s="39"/>
      <c r="K45" s="39"/>
      <c r="L45" s="39"/>
      <c r="M45" s="39"/>
      <c r="N45" s="4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mergeCells count="4">
    <mergeCell ref="B45:N45"/>
    <mergeCell ref="C3:N3"/>
    <mergeCell ref="G7:N7"/>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05F9-E6D2-42CB-9ECE-3ADA478A1221}">
  <dimension ref="B1:N52"/>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99</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201</v>
      </c>
      <c r="D8" s="6" t="s">
        <v>100</v>
      </c>
      <c r="E8" s="11">
        <v>5.9376999999999999E-2</v>
      </c>
      <c r="F8" s="1"/>
      <c r="G8" s="23" t="s">
        <v>15</v>
      </c>
      <c r="H8" s="25">
        <f>73.9448%-E8</f>
        <v>0.68007099999999998</v>
      </c>
      <c r="I8" s="1"/>
      <c r="J8" s="23" t="s">
        <v>12</v>
      </c>
      <c r="K8" s="23" t="s">
        <v>3</v>
      </c>
      <c r="L8" s="1"/>
      <c r="M8" s="1"/>
      <c r="N8" s="17"/>
    </row>
    <row r="9" spans="2:14" ht="15" customHeight="1" x14ac:dyDescent="0.25">
      <c r="B9" s="19"/>
      <c r="C9" s="5" t="s">
        <v>35</v>
      </c>
      <c r="D9" s="6" t="s">
        <v>26</v>
      </c>
      <c r="E9" s="11">
        <v>5.8963000000000002E-2</v>
      </c>
      <c r="F9" s="1"/>
      <c r="G9" s="23" t="s">
        <v>108</v>
      </c>
      <c r="H9" s="25">
        <v>0.21260499999999999</v>
      </c>
      <c r="I9" s="1"/>
      <c r="J9" s="23" t="s">
        <v>10</v>
      </c>
      <c r="K9" s="25">
        <v>2.1076000000000001E-2</v>
      </c>
      <c r="L9" s="1"/>
      <c r="M9" s="1"/>
      <c r="N9" s="17"/>
    </row>
    <row r="10" spans="2:14" ht="15" customHeight="1" x14ac:dyDescent="0.25">
      <c r="B10" s="19"/>
      <c r="C10" s="5" t="s">
        <v>101</v>
      </c>
      <c r="D10" s="6" t="s">
        <v>102</v>
      </c>
      <c r="E10" s="11">
        <v>5.8518000000000001E-2</v>
      </c>
      <c r="F10" s="1"/>
      <c r="G10" s="23" t="s">
        <v>109</v>
      </c>
      <c r="H10" s="25">
        <f>4.7947%+E8</f>
        <v>0.107324</v>
      </c>
      <c r="I10" s="1"/>
      <c r="J10" s="23" t="s">
        <v>13</v>
      </c>
      <c r="K10" s="25">
        <v>0.25952999999999998</v>
      </c>
      <c r="L10" s="1"/>
      <c r="M10" s="1"/>
      <c r="N10" s="17"/>
    </row>
    <row r="11" spans="2:14" ht="15" customHeight="1" x14ac:dyDescent="0.25">
      <c r="B11" s="19"/>
      <c r="C11" s="5" t="s">
        <v>103</v>
      </c>
      <c r="D11" s="6" t="s">
        <v>26</v>
      </c>
      <c r="E11" s="11">
        <v>5.7730999999999998E-2</v>
      </c>
      <c r="F11" s="1"/>
      <c r="G11" s="1"/>
      <c r="H11" s="1"/>
      <c r="I11" s="1"/>
      <c r="J11" s="23" t="s">
        <v>60</v>
      </c>
      <c r="K11" s="25">
        <v>0.512324</v>
      </c>
      <c r="L11" s="1"/>
      <c r="M11" s="1"/>
      <c r="N11" s="17"/>
    </row>
    <row r="12" spans="2:14" ht="15" customHeight="1" x14ac:dyDescent="0.25">
      <c r="B12" s="19"/>
      <c r="C12" s="5" t="s">
        <v>202</v>
      </c>
      <c r="D12" s="6" t="s">
        <v>26</v>
      </c>
      <c r="E12" s="11">
        <v>5.6730000000000003E-2</v>
      </c>
      <c r="F12" s="1"/>
      <c r="G12" s="1"/>
      <c r="H12" s="1"/>
      <c r="I12" s="1"/>
      <c r="J12" s="23" t="s">
        <v>63</v>
      </c>
      <c r="K12" s="25">
        <v>0.1338</v>
      </c>
      <c r="L12" s="1"/>
      <c r="M12" s="1"/>
      <c r="N12" s="17"/>
    </row>
    <row r="13" spans="2:14" ht="15" customHeight="1" x14ac:dyDescent="0.25">
      <c r="B13" s="19"/>
      <c r="C13" s="5" t="s">
        <v>104</v>
      </c>
      <c r="D13" s="6" t="s">
        <v>102</v>
      </c>
      <c r="E13" s="11">
        <v>5.339E-2</v>
      </c>
      <c r="F13" s="1"/>
      <c r="G13" s="1"/>
      <c r="H13" s="1"/>
      <c r="I13" s="1"/>
      <c r="J13" s="23" t="s">
        <v>77</v>
      </c>
      <c r="K13" s="25">
        <v>7.3270000000000002E-2</v>
      </c>
      <c r="L13" s="1"/>
      <c r="M13" s="1"/>
      <c r="N13" s="17"/>
    </row>
    <row r="14" spans="2:14" ht="15" customHeight="1" x14ac:dyDescent="0.25">
      <c r="B14" s="19"/>
      <c r="C14" s="5" t="s">
        <v>105</v>
      </c>
      <c r="D14" s="6" t="s">
        <v>102</v>
      </c>
      <c r="E14" s="11">
        <v>4.8016000000000003E-2</v>
      </c>
      <c r="F14" s="1"/>
      <c r="G14" s="1"/>
      <c r="H14" s="1"/>
      <c r="I14" s="1"/>
      <c r="J14" s="1"/>
      <c r="K14" s="1"/>
      <c r="L14" s="1"/>
      <c r="M14" s="1"/>
      <c r="N14" s="17"/>
    </row>
    <row r="15" spans="2:14" ht="15" customHeight="1" x14ac:dyDescent="0.25">
      <c r="B15" s="19"/>
      <c r="C15" s="5" t="s">
        <v>196</v>
      </c>
      <c r="D15" s="6" t="s">
        <v>106</v>
      </c>
      <c r="E15" s="11">
        <v>4.1827999999999997E-2</v>
      </c>
      <c r="F15" s="1"/>
      <c r="G15" s="1"/>
      <c r="H15" s="1"/>
      <c r="I15" s="1"/>
      <c r="J15" s="1"/>
      <c r="K15" s="1"/>
      <c r="L15" s="1"/>
      <c r="M15" s="1"/>
      <c r="N15" s="17"/>
    </row>
    <row r="16" spans="2:14" ht="15" customHeight="1" x14ac:dyDescent="0.25">
      <c r="B16" s="19"/>
      <c r="C16" s="5" t="s">
        <v>197</v>
      </c>
      <c r="D16" s="6" t="s">
        <v>102</v>
      </c>
      <c r="E16" s="11">
        <v>2.9239999999999999E-2</v>
      </c>
      <c r="F16" s="1"/>
      <c r="G16" s="1"/>
      <c r="H16" s="1"/>
      <c r="I16" s="1"/>
      <c r="J16" s="1"/>
      <c r="K16" s="1"/>
      <c r="L16" s="1"/>
      <c r="M16" s="1"/>
      <c r="N16" s="17"/>
    </row>
    <row r="17" spans="2:14" ht="15" customHeight="1" x14ac:dyDescent="0.25">
      <c r="B17" s="19"/>
      <c r="C17" s="5" t="s">
        <v>198</v>
      </c>
      <c r="D17" s="6" t="s">
        <v>102</v>
      </c>
      <c r="E17" s="11">
        <v>2.3441E-2</v>
      </c>
      <c r="F17" s="1"/>
      <c r="G17" s="1"/>
      <c r="H17" s="1"/>
      <c r="I17" s="1"/>
      <c r="J17" s="1"/>
      <c r="K17" s="1"/>
      <c r="L17" s="1"/>
      <c r="M17" s="1"/>
      <c r="N17" s="17"/>
    </row>
    <row r="18" spans="2:14" ht="15" customHeight="1" x14ac:dyDescent="0.25">
      <c r="B18" s="19"/>
      <c r="C18" s="5" t="s">
        <v>29</v>
      </c>
      <c r="D18" s="6" t="s">
        <v>26</v>
      </c>
      <c r="E18" s="11">
        <v>1.2716999999999999E-2</v>
      </c>
      <c r="F18" s="1"/>
      <c r="G18" s="1"/>
      <c r="H18" s="1"/>
      <c r="I18" s="1"/>
      <c r="J18" s="1"/>
      <c r="K18" s="1"/>
      <c r="L18" s="1"/>
      <c r="M18" s="1"/>
      <c r="N18" s="17"/>
    </row>
    <row r="19" spans="2:14" ht="15" customHeight="1" x14ac:dyDescent="0.25">
      <c r="B19" s="19"/>
      <c r="C19" s="5" t="s">
        <v>23</v>
      </c>
      <c r="D19" s="6" t="s">
        <v>26</v>
      </c>
      <c r="E19" s="11">
        <v>6.254E-3</v>
      </c>
      <c r="F19" s="1"/>
      <c r="G19" s="1"/>
      <c r="H19" s="1"/>
      <c r="I19" s="1"/>
      <c r="J19" s="1"/>
      <c r="K19" s="1"/>
      <c r="L19" s="1"/>
      <c r="M19" s="1"/>
      <c r="N19" s="17"/>
    </row>
    <row r="20" spans="2:14" ht="15" customHeight="1" x14ac:dyDescent="0.25">
      <c r="B20" s="19"/>
      <c r="C20" s="5" t="s">
        <v>107</v>
      </c>
      <c r="D20" s="6" t="s">
        <v>106</v>
      </c>
      <c r="E20" s="11">
        <v>6.1190000000000003E-3</v>
      </c>
      <c r="F20" s="1"/>
      <c r="G20" s="1"/>
      <c r="H20" s="1"/>
      <c r="I20" s="1"/>
      <c r="J20" s="1"/>
      <c r="K20" s="1"/>
      <c r="L20" s="1"/>
      <c r="M20" s="1"/>
      <c r="N20" s="17"/>
    </row>
    <row r="21" spans="2:14" ht="15.75" customHeight="1" x14ac:dyDescent="0.25">
      <c r="B21" s="19"/>
      <c r="C21" s="7" t="s">
        <v>46</v>
      </c>
      <c r="D21" s="8"/>
      <c r="E21" s="12">
        <v>0.512324</v>
      </c>
      <c r="F21" s="1"/>
      <c r="G21" s="1"/>
      <c r="H21" s="1"/>
      <c r="I21" s="1"/>
      <c r="J21" s="1"/>
      <c r="K21" s="1"/>
      <c r="L21" s="1"/>
      <c r="M21" s="1"/>
      <c r="N21" s="17"/>
    </row>
    <row r="22" spans="2:14" ht="15" customHeight="1" x14ac:dyDescent="0.25">
      <c r="B22" s="19"/>
      <c r="C22" s="5" t="s">
        <v>72</v>
      </c>
      <c r="D22" s="6" t="s">
        <v>50</v>
      </c>
      <c r="E22" s="11">
        <v>0.122141</v>
      </c>
      <c r="F22" s="1"/>
      <c r="G22" s="1"/>
      <c r="H22" s="1"/>
      <c r="I22" s="1"/>
      <c r="J22" s="1"/>
      <c r="K22" s="1"/>
      <c r="L22" s="1"/>
      <c r="M22" s="1"/>
      <c r="N22" s="17"/>
    </row>
    <row r="23" spans="2:14" ht="15" customHeight="1" x14ac:dyDescent="0.25">
      <c r="B23" s="19"/>
      <c r="C23" s="5" t="s">
        <v>98</v>
      </c>
      <c r="D23" s="6" t="s">
        <v>50</v>
      </c>
      <c r="E23" s="11">
        <v>1.1658999999999999E-2</v>
      </c>
      <c r="F23" s="1"/>
      <c r="G23" s="1"/>
      <c r="H23" s="1"/>
      <c r="I23" s="1"/>
      <c r="J23" s="1"/>
      <c r="K23" s="1"/>
      <c r="L23" s="1"/>
      <c r="M23" s="1"/>
      <c r="N23" s="17"/>
    </row>
    <row r="24" spans="2:14" ht="15.75" customHeight="1" x14ac:dyDescent="0.25">
      <c r="B24" s="19"/>
      <c r="C24" s="7" t="s">
        <v>56</v>
      </c>
      <c r="D24" s="8"/>
      <c r="E24" s="12">
        <v>0.1338</v>
      </c>
      <c r="F24" s="1"/>
      <c r="G24" s="1"/>
      <c r="H24" s="1"/>
      <c r="I24" s="1"/>
      <c r="J24" s="1"/>
      <c r="K24" s="1"/>
      <c r="L24" s="1"/>
      <c r="M24" s="1"/>
      <c r="N24" s="17"/>
    </row>
    <row r="25" spans="2:14" ht="15" customHeight="1" x14ac:dyDescent="0.25">
      <c r="B25" s="19"/>
      <c r="C25" s="5" t="s">
        <v>193</v>
      </c>
      <c r="D25" s="6" t="s">
        <v>75</v>
      </c>
      <c r="E25" s="11">
        <v>7.3270000000000002E-2</v>
      </c>
      <c r="F25" s="1"/>
      <c r="G25" s="1"/>
      <c r="H25" s="1"/>
      <c r="I25" s="1"/>
      <c r="J25" s="1"/>
      <c r="K25" s="1"/>
      <c r="L25" s="1"/>
      <c r="M25" s="1"/>
      <c r="N25" s="17"/>
    </row>
    <row r="26" spans="2:14" ht="15.75" customHeight="1" x14ac:dyDescent="0.25">
      <c r="B26" s="19"/>
      <c r="C26" s="7" t="s">
        <v>76</v>
      </c>
      <c r="D26" s="8"/>
      <c r="E26" s="12">
        <v>7.3270000000000002E-2</v>
      </c>
      <c r="F26" s="1"/>
      <c r="G26" s="44" t="s">
        <v>17</v>
      </c>
      <c r="H26" s="45"/>
      <c r="I26" s="45"/>
      <c r="J26" s="45"/>
      <c r="K26" s="45"/>
      <c r="L26" s="45"/>
      <c r="M26" s="45"/>
      <c r="N26" s="46"/>
    </row>
    <row r="27" spans="2:14" ht="15" customHeight="1" x14ac:dyDescent="0.25">
      <c r="B27" s="19"/>
      <c r="C27" s="5" t="s">
        <v>8</v>
      </c>
      <c r="D27" s="6"/>
      <c r="E27" s="11">
        <v>0.25952999999999998</v>
      </c>
      <c r="F27" s="1"/>
      <c r="G27" s="1"/>
      <c r="H27" s="1"/>
      <c r="I27" s="1"/>
      <c r="J27" s="1"/>
      <c r="K27" s="1"/>
      <c r="L27" s="1"/>
      <c r="M27" s="1"/>
      <c r="N27" s="17"/>
    </row>
    <row r="28" spans="2:14" ht="15.75" customHeight="1" x14ac:dyDescent="0.25">
      <c r="B28" s="19"/>
      <c r="C28" s="7" t="s">
        <v>9</v>
      </c>
      <c r="D28" s="8"/>
      <c r="E28" s="12">
        <v>0.25952999999999998</v>
      </c>
      <c r="F28" s="1"/>
      <c r="G28" s="1"/>
      <c r="H28" s="1"/>
      <c r="I28" s="1"/>
      <c r="J28" s="1"/>
      <c r="K28" s="1"/>
      <c r="L28" s="1"/>
      <c r="M28" s="1"/>
      <c r="N28" s="17"/>
    </row>
    <row r="29" spans="2:14" ht="15" customHeight="1" x14ac:dyDescent="0.25">
      <c r="B29" s="19"/>
      <c r="C29" s="5"/>
      <c r="D29" s="6"/>
      <c r="E29" s="11"/>
      <c r="F29" s="1"/>
      <c r="G29" s="1"/>
      <c r="H29" s="1"/>
      <c r="I29" s="1"/>
      <c r="J29" s="1"/>
      <c r="K29" s="1"/>
      <c r="L29" s="1"/>
      <c r="M29" s="1"/>
      <c r="N29" s="17"/>
    </row>
    <row r="30" spans="2:14" ht="15.75" customHeight="1" x14ac:dyDescent="0.25">
      <c r="B30" s="19"/>
      <c r="C30" s="7" t="s">
        <v>10</v>
      </c>
      <c r="D30" s="8"/>
      <c r="E30" s="12">
        <v>2.1076000000000001E-2</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 customHeight="1" x14ac:dyDescent="0.25">
      <c r="B32" s="19"/>
      <c r="C32" s="9" t="s">
        <v>11</v>
      </c>
      <c r="D32" s="10"/>
      <c r="E32" s="13">
        <v>1</v>
      </c>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t="s">
        <v>194</v>
      </c>
      <c r="D34" s="1"/>
      <c r="E34" s="1"/>
      <c r="F34" s="1"/>
      <c r="G34" s="1"/>
      <c r="H34" s="1"/>
      <c r="I34" s="1"/>
      <c r="J34" s="1"/>
      <c r="K34" s="1"/>
      <c r="L34" s="1"/>
      <c r="M34" s="1"/>
      <c r="N34" s="17"/>
    </row>
    <row r="35" spans="2:14" ht="15" customHeight="1" x14ac:dyDescent="0.25">
      <c r="B35" s="19"/>
      <c r="C35" s="1" t="s">
        <v>192</v>
      </c>
      <c r="D35" s="1"/>
      <c r="E35" s="1"/>
      <c r="F35" s="1"/>
      <c r="G35" s="1"/>
      <c r="H35" s="1"/>
      <c r="I35" s="1"/>
      <c r="J35" s="1"/>
      <c r="K35" s="1"/>
      <c r="L35" s="1"/>
      <c r="M35" s="1"/>
      <c r="N35" s="17"/>
    </row>
    <row r="36" spans="2:14" ht="15" customHeight="1" x14ac:dyDescent="0.25">
      <c r="B36" s="19"/>
      <c r="C36" s="37" t="s">
        <v>195</v>
      </c>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09.5" customHeight="1" thickBot="1" x14ac:dyDescent="0.3">
      <c r="B45" s="38" t="s">
        <v>130</v>
      </c>
      <c r="C45" s="39"/>
      <c r="D45" s="39"/>
      <c r="E45" s="39"/>
      <c r="F45" s="39"/>
      <c r="G45" s="39"/>
      <c r="H45" s="39"/>
      <c r="I45" s="39"/>
      <c r="J45" s="39"/>
      <c r="K45" s="39"/>
      <c r="L45" s="39"/>
      <c r="M45" s="39"/>
      <c r="N45" s="40"/>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mergeCells count="4">
    <mergeCell ref="B45:N45"/>
    <mergeCell ref="C3:N3"/>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632E8-EA9B-44DD-9048-F8711C14DD21}">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118</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67</v>
      </c>
      <c r="D8" s="6" t="s">
        <v>50</v>
      </c>
      <c r="E8" s="11">
        <v>0.30897999999999998</v>
      </c>
      <c r="F8" s="1"/>
      <c r="G8" s="23" t="s">
        <v>15</v>
      </c>
      <c r="H8" s="24">
        <v>1</v>
      </c>
      <c r="I8" s="1"/>
      <c r="J8" s="23" t="s">
        <v>12</v>
      </c>
      <c r="K8" s="23" t="s">
        <v>3</v>
      </c>
      <c r="L8" s="1"/>
      <c r="M8" s="1"/>
      <c r="N8" s="17"/>
    </row>
    <row r="9" spans="2:14" ht="15" customHeight="1" x14ac:dyDescent="0.25">
      <c r="B9" s="19"/>
      <c r="C9" s="5" t="s">
        <v>72</v>
      </c>
      <c r="D9" s="6" t="s">
        <v>50</v>
      </c>
      <c r="E9" s="26">
        <v>4.5000000000000003E-5</v>
      </c>
      <c r="F9" s="1"/>
      <c r="G9" s="1"/>
      <c r="H9" s="1"/>
      <c r="I9" s="1"/>
      <c r="J9" s="23" t="s">
        <v>10</v>
      </c>
      <c r="K9" s="25">
        <v>2.4350000000000001E-3</v>
      </c>
      <c r="L9" s="1"/>
      <c r="M9" s="1"/>
      <c r="N9" s="17"/>
    </row>
    <row r="10" spans="2:14" ht="15.75" customHeight="1" x14ac:dyDescent="0.25">
      <c r="B10" s="19"/>
      <c r="C10" s="7" t="s">
        <v>56</v>
      </c>
      <c r="D10" s="8"/>
      <c r="E10" s="12">
        <v>0.30902499999999999</v>
      </c>
      <c r="F10" s="1"/>
      <c r="G10" s="1"/>
      <c r="H10" s="1"/>
      <c r="I10" s="1"/>
      <c r="J10" s="23" t="s">
        <v>13</v>
      </c>
      <c r="K10" s="25">
        <v>0.68854000000000004</v>
      </c>
      <c r="L10" s="1"/>
      <c r="M10" s="1"/>
      <c r="N10" s="17"/>
    </row>
    <row r="11" spans="2:14" ht="15" customHeight="1" x14ac:dyDescent="0.25">
      <c r="B11" s="19"/>
      <c r="C11" s="5" t="s">
        <v>8</v>
      </c>
      <c r="D11" s="6"/>
      <c r="E11" s="11">
        <v>0.68854000000000004</v>
      </c>
      <c r="F11" s="1"/>
      <c r="G11" s="1"/>
      <c r="H11" s="1"/>
      <c r="I11" s="1"/>
      <c r="J11" s="23" t="s">
        <v>63</v>
      </c>
      <c r="K11" s="25">
        <v>0.30902499999999999</v>
      </c>
      <c r="L11" s="1"/>
      <c r="M11" s="1"/>
      <c r="N11" s="17"/>
    </row>
    <row r="12" spans="2:14" ht="15.75" customHeight="1" x14ac:dyDescent="0.25">
      <c r="B12" s="19"/>
      <c r="C12" s="7" t="s">
        <v>9</v>
      </c>
      <c r="D12" s="8"/>
      <c r="E12" s="12">
        <v>0.68854000000000004</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2.4350000000000001E-3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 customHeight="1" x14ac:dyDescent="0.25">
      <c r="B16" s="19"/>
      <c r="C16" s="9" t="s">
        <v>11</v>
      </c>
      <c r="D16" s="10"/>
      <c r="E16" s="13">
        <v>1</v>
      </c>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4" t="s">
        <v>17</v>
      </c>
      <c r="H26" s="45"/>
      <c r="I26" s="45"/>
      <c r="J26" s="45"/>
      <c r="K26" s="45"/>
      <c r="L26" s="45"/>
      <c r="M26" s="45"/>
      <c r="N26" s="4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8.75" customHeight="1" thickBot="1" x14ac:dyDescent="0.3">
      <c r="B45" s="38" t="s">
        <v>130</v>
      </c>
      <c r="C45" s="39"/>
      <c r="D45" s="39"/>
      <c r="E45" s="39"/>
      <c r="F45" s="39"/>
      <c r="G45" s="39"/>
      <c r="H45" s="39"/>
      <c r="I45" s="39"/>
      <c r="J45" s="39"/>
      <c r="K45" s="39"/>
      <c r="L45" s="39"/>
      <c r="M45" s="39"/>
      <c r="N45" s="40"/>
    </row>
  </sheetData>
  <mergeCells count="4">
    <mergeCell ref="B45:N45"/>
    <mergeCell ref="C3:N3"/>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B115C-B6BF-4E4D-953F-BF4626538D6C}">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119</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68</v>
      </c>
      <c r="D8" s="6" t="s">
        <v>50</v>
      </c>
      <c r="E8" s="11">
        <v>0.83991199999999999</v>
      </c>
      <c r="F8" s="1"/>
      <c r="G8" s="23" t="s">
        <v>15</v>
      </c>
      <c r="H8" s="24">
        <v>1</v>
      </c>
      <c r="I8" s="1"/>
      <c r="J8" s="23" t="s">
        <v>12</v>
      </c>
      <c r="K8" s="23" t="s">
        <v>3</v>
      </c>
      <c r="L8" s="1"/>
      <c r="M8" s="1"/>
      <c r="N8" s="17"/>
    </row>
    <row r="9" spans="2:14" ht="15" customHeight="1" x14ac:dyDescent="0.25">
      <c r="B9" s="19"/>
      <c r="C9" s="5" t="s">
        <v>72</v>
      </c>
      <c r="D9" s="6" t="s">
        <v>50</v>
      </c>
      <c r="E9" s="11">
        <v>6.1621000000000002E-2</v>
      </c>
      <c r="F9" s="1"/>
      <c r="G9" s="1"/>
      <c r="H9" s="1"/>
      <c r="I9" s="1"/>
      <c r="J9" s="23" t="s">
        <v>10</v>
      </c>
      <c r="K9" s="25">
        <v>2.2126E-2</v>
      </c>
      <c r="L9" s="1"/>
      <c r="M9" s="1"/>
      <c r="N9" s="17"/>
    </row>
    <row r="10" spans="2:14" ht="15" customHeight="1" x14ac:dyDescent="0.25">
      <c r="B10" s="19"/>
      <c r="C10" s="5" t="s">
        <v>74</v>
      </c>
      <c r="D10" s="6" t="s">
        <v>50</v>
      </c>
      <c r="E10" s="11">
        <v>2.7550999999999999E-2</v>
      </c>
      <c r="F10" s="1"/>
      <c r="G10" s="1"/>
      <c r="H10" s="1"/>
      <c r="I10" s="1"/>
      <c r="J10" s="23" t="s">
        <v>13</v>
      </c>
      <c r="K10" s="25">
        <v>2.5186E-2</v>
      </c>
      <c r="L10" s="1"/>
      <c r="M10" s="1"/>
      <c r="N10" s="17"/>
    </row>
    <row r="11" spans="2:14" ht="15" customHeight="1" x14ac:dyDescent="0.25">
      <c r="B11" s="19"/>
      <c r="C11" s="5" t="s">
        <v>73</v>
      </c>
      <c r="D11" s="6" t="s">
        <v>50</v>
      </c>
      <c r="E11" s="11">
        <v>2.3604E-2</v>
      </c>
      <c r="F11" s="1"/>
      <c r="G11" s="1"/>
      <c r="H11" s="1"/>
      <c r="I11" s="1"/>
      <c r="J11" s="23" t="s">
        <v>63</v>
      </c>
      <c r="K11" s="25">
        <v>0.95268799999999998</v>
      </c>
      <c r="L11" s="1"/>
      <c r="M11" s="1"/>
      <c r="N11" s="17"/>
    </row>
    <row r="12" spans="2:14" ht="15.75" customHeight="1" x14ac:dyDescent="0.25">
      <c r="B12" s="19"/>
      <c r="C12" s="7" t="s">
        <v>56</v>
      </c>
      <c r="D12" s="8"/>
      <c r="E12" s="12">
        <v>0.95268799999999998</v>
      </c>
      <c r="F12" s="1"/>
      <c r="G12" s="1"/>
      <c r="H12" s="1"/>
      <c r="I12" s="1"/>
      <c r="J12" s="1"/>
      <c r="K12" s="1"/>
      <c r="L12" s="1"/>
      <c r="M12" s="1"/>
      <c r="N12" s="17"/>
    </row>
    <row r="13" spans="2:14" ht="15" customHeight="1" x14ac:dyDescent="0.25">
      <c r="B13" s="19"/>
      <c r="C13" s="5" t="s">
        <v>8</v>
      </c>
      <c r="D13" s="6"/>
      <c r="E13" s="11">
        <v>2.5186E-2</v>
      </c>
      <c r="F13" s="1"/>
      <c r="G13" s="1"/>
      <c r="H13" s="1"/>
      <c r="I13" s="1"/>
      <c r="J13" s="1"/>
      <c r="K13" s="1"/>
      <c r="L13" s="1"/>
      <c r="M13" s="1"/>
      <c r="N13" s="17"/>
    </row>
    <row r="14" spans="2:14" ht="15.75" customHeight="1" x14ac:dyDescent="0.25">
      <c r="B14" s="19"/>
      <c r="C14" s="7" t="s">
        <v>9</v>
      </c>
      <c r="D14" s="8"/>
      <c r="E14" s="12">
        <v>2.5186E-2</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7" t="s">
        <v>10</v>
      </c>
      <c r="D16" s="8"/>
      <c r="E16" s="12">
        <v>2.2126E-2</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 customHeight="1" x14ac:dyDescent="0.25">
      <c r="B18" s="19"/>
      <c r="C18" s="9" t="s">
        <v>11</v>
      </c>
      <c r="D18" s="10"/>
      <c r="E18" s="13">
        <v>1</v>
      </c>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4" t="s">
        <v>17</v>
      </c>
      <c r="H26" s="45"/>
      <c r="I26" s="45"/>
      <c r="J26" s="45"/>
      <c r="K26" s="45"/>
      <c r="L26" s="45"/>
      <c r="M26" s="45"/>
      <c r="N26" s="4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8.5" customHeight="1" thickBot="1" x14ac:dyDescent="0.3">
      <c r="B45" s="38" t="s">
        <v>130</v>
      </c>
      <c r="C45" s="39"/>
      <c r="D45" s="39"/>
      <c r="E45" s="39"/>
      <c r="F45" s="39"/>
      <c r="G45" s="39"/>
      <c r="H45" s="39"/>
      <c r="I45" s="39"/>
      <c r="J45" s="39"/>
      <c r="K45" s="39"/>
      <c r="L45" s="39"/>
      <c r="M45" s="39"/>
      <c r="N45" s="40"/>
    </row>
  </sheetData>
  <mergeCells count="4">
    <mergeCell ref="B45:N45"/>
    <mergeCell ref="C3:N3"/>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72E3-2BD2-4DEE-850B-DCFAF788F696}">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199</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73</v>
      </c>
      <c r="D8" s="6" t="s">
        <v>50</v>
      </c>
      <c r="E8" s="11">
        <v>0.54172600000000004</v>
      </c>
      <c r="F8" s="1"/>
      <c r="G8" s="23" t="s">
        <v>15</v>
      </c>
      <c r="H8" s="24">
        <v>1</v>
      </c>
      <c r="I8" s="1"/>
      <c r="J8" s="23" t="s">
        <v>12</v>
      </c>
      <c r="K8" s="23" t="s">
        <v>3</v>
      </c>
      <c r="L8" s="1"/>
      <c r="M8" s="1"/>
      <c r="N8" s="17"/>
    </row>
    <row r="9" spans="2:14" ht="15" customHeight="1" x14ac:dyDescent="0.25">
      <c r="B9" s="19"/>
      <c r="C9" s="5" t="s">
        <v>74</v>
      </c>
      <c r="D9" s="6" t="s">
        <v>50</v>
      </c>
      <c r="E9" s="11">
        <v>0.40620899999999999</v>
      </c>
      <c r="F9" s="1"/>
      <c r="G9" s="1"/>
      <c r="H9" s="1"/>
      <c r="I9" s="1"/>
      <c r="J9" s="23" t="s">
        <v>13</v>
      </c>
      <c r="K9" s="25">
        <f>E12</f>
        <v>4.1928E-2</v>
      </c>
      <c r="L9" s="1"/>
      <c r="M9" s="1"/>
      <c r="N9" s="17"/>
    </row>
    <row r="10" spans="2:14" ht="15" customHeight="1" x14ac:dyDescent="0.25">
      <c r="B10" s="19"/>
      <c r="C10" s="7" t="s">
        <v>56</v>
      </c>
      <c r="D10" s="8"/>
      <c r="E10" s="12">
        <v>0.94793499999999997</v>
      </c>
      <c r="F10" s="1"/>
      <c r="G10" s="1"/>
      <c r="H10" s="1"/>
      <c r="I10" s="1"/>
      <c r="J10" s="23" t="s">
        <v>63</v>
      </c>
      <c r="K10" s="25">
        <f>E10</f>
        <v>0.94793499999999997</v>
      </c>
      <c r="L10" s="1"/>
      <c r="M10" s="1"/>
      <c r="N10" s="17"/>
    </row>
    <row r="11" spans="2:14" ht="15" customHeight="1" x14ac:dyDescent="0.25">
      <c r="B11" s="19"/>
      <c r="C11" s="5" t="s">
        <v>8</v>
      </c>
      <c r="D11" s="6"/>
      <c r="E11" s="11">
        <v>4.1928E-2</v>
      </c>
      <c r="F11" s="1"/>
      <c r="G11" s="1"/>
      <c r="H11" s="1"/>
      <c r="I11" s="1"/>
      <c r="J11" s="23" t="s">
        <v>10</v>
      </c>
      <c r="K11" s="25">
        <f>E14</f>
        <v>1.0137E-2</v>
      </c>
      <c r="L11" s="1"/>
      <c r="M11" s="1"/>
      <c r="N11" s="17"/>
    </row>
    <row r="12" spans="2:14" ht="15" customHeight="1" x14ac:dyDescent="0.25">
      <c r="B12" s="19"/>
      <c r="C12" s="7" t="s">
        <v>9</v>
      </c>
      <c r="D12" s="8"/>
      <c r="E12" s="12">
        <v>4.1928E-2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1.0137E-2</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11</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4" t="s">
        <v>17</v>
      </c>
      <c r="H26" s="45"/>
      <c r="I26" s="45"/>
      <c r="J26" s="45"/>
      <c r="K26" s="45"/>
      <c r="L26" s="45"/>
      <c r="M26" s="45"/>
      <c r="N26" s="4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20" customHeight="1" thickBot="1" x14ac:dyDescent="0.3">
      <c r="B45" s="38" t="s">
        <v>130</v>
      </c>
      <c r="C45" s="39"/>
      <c r="D45" s="39"/>
      <c r="E45" s="39"/>
      <c r="F45" s="39"/>
      <c r="G45" s="39"/>
      <c r="H45" s="39"/>
      <c r="I45" s="39"/>
      <c r="J45" s="39"/>
      <c r="K45" s="39"/>
      <c r="L45" s="39"/>
      <c r="M45" s="39"/>
      <c r="N45" s="40"/>
    </row>
  </sheetData>
  <mergeCells count="4">
    <mergeCell ref="C3:N3"/>
    <mergeCell ref="G7:N7"/>
    <mergeCell ref="G26:N26"/>
    <mergeCell ref="B45:N4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2FF21-BEFE-4F16-A41F-400971117057}">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200</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72</v>
      </c>
      <c r="D8" s="6" t="s">
        <v>50</v>
      </c>
      <c r="E8" s="11">
        <v>0.63878699999999999</v>
      </c>
      <c r="F8" s="1"/>
      <c r="G8" s="23" t="s">
        <v>15</v>
      </c>
      <c r="H8" s="24">
        <v>1</v>
      </c>
      <c r="I8" s="1"/>
      <c r="J8" s="23" t="s">
        <v>12</v>
      </c>
      <c r="K8" s="23" t="s">
        <v>3</v>
      </c>
      <c r="L8" s="1"/>
      <c r="M8" s="1"/>
      <c r="N8" s="17"/>
    </row>
    <row r="9" spans="2:14" ht="15" customHeight="1" x14ac:dyDescent="0.25">
      <c r="B9" s="19"/>
      <c r="C9" s="5" t="s">
        <v>79</v>
      </c>
      <c r="D9" s="6" t="s">
        <v>50</v>
      </c>
      <c r="E9" s="11">
        <v>0.31201000000000001</v>
      </c>
      <c r="F9" s="1"/>
      <c r="G9" s="1"/>
      <c r="H9" s="1"/>
      <c r="I9" s="1"/>
      <c r="J9" s="23" t="s">
        <v>13</v>
      </c>
      <c r="K9" s="25">
        <f>E12</f>
        <v>3.0373000000000001E-2</v>
      </c>
      <c r="L9" s="1"/>
      <c r="M9" s="1"/>
      <c r="N9" s="17"/>
    </row>
    <row r="10" spans="2:14" ht="15" customHeight="1" x14ac:dyDescent="0.25">
      <c r="B10" s="19"/>
      <c r="C10" s="7" t="s">
        <v>56</v>
      </c>
      <c r="D10" s="8"/>
      <c r="E10" s="12">
        <v>0.950797</v>
      </c>
      <c r="F10" s="1"/>
      <c r="G10" s="1"/>
      <c r="H10" s="1"/>
      <c r="I10" s="1"/>
      <c r="J10" s="23" t="s">
        <v>63</v>
      </c>
      <c r="K10" s="25">
        <f>E10</f>
        <v>0.950797</v>
      </c>
      <c r="L10" s="1"/>
      <c r="M10" s="1"/>
      <c r="N10" s="17"/>
    </row>
    <row r="11" spans="2:14" ht="15" customHeight="1" x14ac:dyDescent="0.25">
      <c r="B11" s="19"/>
      <c r="C11" s="5" t="s">
        <v>8</v>
      </c>
      <c r="D11" s="6"/>
      <c r="E11" s="11">
        <v>3.0373000000000001E-2</v>
      </c>
      <c r="F11" s="1"/>
      <c r="G11" s="1"/>
      <c r="H11" s="1"/>
      <c r="I11" s="1"/>
      <c r="J11" s="23" t="s">
        <v>10</v>
      </c>
      <c r="K11" s="25">
        <f>E14</f>
        <v>1.883E-2</v>
      </c>
      <c r="L11" s="1"/>
      <c r="M11" s="1"/>
      <c r="N11" s="17"/>
    </row>
    <row r="12" spans="2:14" ht="15" customHeight="1" x14ac:dyDescent="0.25">
      <c r="B12" s="19"/>
      <c r="C12" s="7" t="s">
        <v>9</v>
      </c>
      <c r="D12" s="8"/>
      <c r="E12" s="12">
        <v>3.0373000000000001E-2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1.883E-2</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11</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4" t="s">
        <v>17</v>
      </c>
      <c r="H26" s="45"/>
      <c r="I26" s="45"/>
      <c r="J26" s="45"/>
      <c r="K26" s="45"/>
      <c r="L26" s="45"/>
      <c r="M26" s="45"/>
      <c r="N26" s="4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8" customHeight="1" thickBot="1" x14ac:dyDescent="0.3">
      <c r="B45" s="38" t="s">
        <v>130</v>
      </c>
      <c r="C45" s="39"/>
      <c r="D45" s="39"/>
      <c r="E45" s="39"/>
      <c r="F45" s="39"/>
      <c r="G45" s="39"/>
      <c r="H45" s="39"/>
      <c r="I45" s="39"/>
      <c r="J45" s="39"/>
      <c r="K45" s="39"/>
      <c r="L45" s="39"/>
      <c r="M45" s="39"/>
      <c r="N45" s="40"/>
    </row>
  </sheetData>
  <mergeCells count="4">
    <mergeCell ref="C3:N3"/>
    <mergeCell ref="G7:N7"/>
    <mergeCell ref="G26:N26"/>
    <mergeCell ref="B45:N4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09F0E-4132-43DA-A939-5A2B972653D9}">
  <dimension ref="B1:N45"/>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1" t="s">
        <v>0</v>
      </c>
      <c r="D3" s="42"/>
      <c r="E3" s="42"/>
      <c r="F3" s="42"/>
      <c r="G3" s="42"/>
      <c r="H3" s="42"/>
      <c r="I3" s="42"/>
      <c r="J3" s="42"/>
      <c r="K3" s="42"/>
      <c r="L3" s="42"/>
      <c r="M3" s="42"/>
      <c r="N3" s="4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4" t="s">
        <v>16</v>
      </c>
      <c r="H7" s="45"/>
      <c r="I7" s="45"/>
      <c r="J7" s="45"/>
      <c r="K7" s="45"/>
      <c r="L7" s="45"/>
      <c r="M7" s="45"/>
      <c r="N7" s="46"/>
    </row>
    <row r="8" spans="2:14" ht="15" customHeight="1" x14ac:dyDescent="0.25">
      <c r="B8" s="19"/>
      <c r="C8" s="5" t="s">
        <v>4</v>
      </c>
      <c r="D8" s="6"/>
      <c r="E8" s="11">
        <v>0.597522</v>
      </c>
      <c r="F8" s="1"/>
      <c r="G8" s="23" t="s">
        <v>15</v>
      </c>
      <c r="H8" s="24">
        <v>1</v>
      </c>
      <c r="I8" s="1"/>
      <c r="J8" s="23" t="s">
        <v>12</v>
      </c>
      <c r="K8" s="23" t="s">
        <v>3</v>
      </c>
      <c r="L8" s="1"/>
      <c r="M8" s="1"/>
      <c r="N8" s="17"/>
    </row>
    <row r="9" spans="2:14" ht="15" customHeight="1" x14ac:dyDescent="0.25">
      <c r="B9" s="19"/>
      <c r="C9" s="5" t="s">
        <v>5</v>
      </c>
      <c r="D9" s="6"/>
      <c r="E9" s="11">
        <v>0.29720800000000003</v>
      </c>
      <c r="F9" s="1"/>
      <c r="G9" s="1"/>
      <c r="H9" s="1"/>
      <c r="I9" s="1"/>
      <c r="J9" s="23" t="s">
        <v>10</v>
      </c>
      <c r="K9" s="25">
        <v>-3.4060000000000002E-3</v>
      </c>
      <c r="L9" s="1"/>
      <c r="M9" s="1"/>
      <c r="N9" s="17"/>
    </row>
    <row r="10" spans="2:14" ht="15" customHeight="1" x14ac:dyDescent="0.25">
      <c r="B10" s="19"/>
      <c r="C10" s="5" t="s">
        <v>6</v>
      </c>
      <c r="D10" s="6"/>
      <c r="E10" s="11">
        <v>6.3892000000000004E-2</v>
      </c>
      <c r="F10" s="1"/>
      <c r="G10" s="1"/>
      <c r="H10" s="1"/>
      <c r="I10" s="1"/>
      <c r="J10" s="23" t="s">
        <v>13</v>
      </c>
      <c r="K10" s="25">
        <v>4.4783999999999997E-2</v>
      </c>
      <c r="L10" s="1"/>
      <c r="M10" s="1"/>
      <c r="N10" s="17"/>
    </row>
    <row r="11" spans="2:14" ht="15.75" customHeight="1" x14ac:dyDescent="0.25">
      <c r="B11" s="19"/>
      <c r="C11" s="7" t="s">
        <v>7</v>
      </c>
      <c r="D11" s="8"/>
      <c r="E11" s="12">
        <v>0.95862199999999997</v>
      </c>
      <c r="F11" s="1"/>
      <c r="G11" s="1"/>
      <c r="H11" s="1"/>
      <c r="I11" s="1"/>
      <c r="J11" s="23" t="s">
        <v>14</v>
      </c>
      <c r="K11" s="25">
        <v>0.95862199999999997</v>
      </c>
      <c r="L11" s="1"/>
      <c r="M11" s="1"/>
      <c r="N11" s="17"/>
    </row>
    <row r="12" spans="2:14" ht="15" customHeight="1" x14ac:dyDescent="0.25">
      <c r="B12" s="19"/>
      <c r="C12" s="5" t="s">
        <v>8</v>
      </c>
      <c r="D12" s="6"/>
      <c r="E12" s="11">
        <v>4.4783999999999997E-2</v>
      </c>
      <c r="F12" s="1"/>
      <c r="G12" s="1"/>
      <c r="H12" s="1"/>
      <c r="I12" s="1"/>
      <c r="J12" s="1"/>
      <c r="K12" s="1"/>
      <c r="L12" s="1"/>
      <c r="M12" s="1"/>
      <c r="N12" s="17"/>
    </row>
    <row r="13" spans="2:14" ht="15.75" customHeight="1" x14ac:dyDescent="0.25">
      <c r="B13" s="19"/>
      <c r="C13" s="7" t="s">
        <v>9</v>
      </c>
      <c r="D13" s="8"/>
      <c r="E13" s="12">
        <v>4.4783999999999997E-2</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-3.4060000000000002E-3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4" t="s">
        <v>17</v>
      </c>
      <c r="H26" s="45"/>
      <c r="I26" s="45"/>
      <c r="J26" s="45"/>
      <c r="K26" s="45"/>
      <c r="L26" s="45"/>
      <c r="M26" s="45"/>
      <c r="N26" s="4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5.75" customHeight="1" thickBot="1" x14ac:dyDescent="0.3">
      <c r="B45" s="38" t="s">
        <v>130</v>
      </c>
      <c r="C45" s="39"/>
      <c r="D45" s="39"/>
      <c r="E45" s="39"/>
      <c r="F45" s="39"/>
      <c r="G45" s="39"/>
      <c r="H45" s="39"/>
      <c r="I45" s="39"/>
      <c r="J45" s="39"/>
      <c r="K45" s="39"/>
      <c r="L45" s="39"/>
      <c r="M45" s="39"/>
      <c r="N45" s="40"/>
    </row>
  </sheetData>
  <mergeCells count="4">
    <mergeCell ref="B45:N45"/>
    <mergeCell ref="C3:N3"/>
    <mergeCell ref="G7:N7"/>
    <mergeCell ref="G26:N26"/>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CF</vt:lpstr>
      <vt:lpstr>IDFC OF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 GIF 2027</vt:lpstr>
      <vt:lpstr>IDFC GIF 2028</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Menon</dc:creator>
  <cp:lastModifiedBy>IDFCMF Products2</cp:lastModifiedBy>
  <dcterms:created xsi:type="dcterms:W3CDTF">2021-12-01T05:00:52Z</dcterms:created>
  <dcterms:modified xsi:type="dcterms:W3CDTF">2021-12-01T05:42:07Z</dcterms:modified>
</cp:coreProperties>
</file>