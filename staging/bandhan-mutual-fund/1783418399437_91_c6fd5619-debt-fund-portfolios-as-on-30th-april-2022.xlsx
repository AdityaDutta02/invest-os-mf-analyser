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defaultThemeVersion="166925"/>
  <mc:AlternateContent xmlns:mc="http://schemas.openxmlformats.org/markup-compatibility/2006">
    <mc:Choice Requires="x15">
      <x15ac:absPath xmlns:x15ac="http://schemas.microsoft.com/office/spreadsheetml/2010/11/ac" url="Z:\MONTH END DELIVERABLES-1\Portfolios_All\2022\May 2022\"/>
    </mc:Choice>
  </mc:AlternateContent>
  <xr:revisionPtr revIDLastSave="0" documentId="13_ncr:1_{6BD77479-4C50-4597-8648-EC5658C97F88}" xr6:coauthVersionLast="36" xr6:coauthVersionMax="36" xr10:uidLastSave="{00000000-0000-0000-0000-000000000000}"/>
  <bookViews>
    <workbookView xWindow="0" yWindow="0" windowWidth="15345" windowHeight="4470" xr2:uid="{0B71F9F7-8C0A-4A3F-AB19-75DE752EE158}"/>
  </bookViews>
  <sheets>
    <sheet name="IDFC OF" sheetId="18" r:id="rId1"/>
    <sheet name="IDFC CF" sheetId="7" r:id="rId2"/>
    <sheet name="IDFC LDF" sheetId="16" r:id="rId3"/>
    <sheet name="IDFC MMF" sheetId="17" r:id="rId4"/>
    <sheet name="IDFC USTF" sheetId="19"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4" r:id="rId14"/>
    <sheet name="IDFC GSF - CMP" sheetId="15" r:id="rId15"/>
    <sheet name="IDFC-GIF2027" sheetId="12" r:id="rId16"/>
    <sheet name="IDFC-GIF2028" sheetId="13" r:id="rId17"/>
    <sheet name="IDFC ASBF" sheetId="2" r:id="rId1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2" i="12" l="1"/>
  <c r="K11" i="12"/>
  <c r="K10" i="12"/>
  <c r="K9" i="12"/>
  <c r="H11" i="9"/>
  <c r="H8" i="9"/>
  <c r="E32" i="11"/>
  <c r="H8" i="11"/>
</calcChain>
</file>

<file path=xl/sharedStrings.xml><?xml version="1.0" encoding="utf-8"?>
<sst xmlns="http://schemas.openxmlformats.org/spreadsheetml/2006/main" count="1109" uniqueCount="235">
  <si>
    <t>IDFC ALL SEASONS BOND FUND (30 April, 2022 )</t>
  </si>
  <si>
    <t>Net Assets as on 30 April, 2022</t>
  </si>
  <si>
    <t>142.42 crs</t>
  </si>
  <si>
    <t>Name</t>
  </si>
  <si>
    <t>Rating</t>
  </si>
  <si>
    <t>Total</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</si>
  <si>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</si>
  <si>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</si>
  <si>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</si>
  <si>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</si>
  <si>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</si>
  <si>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</si>
  <si>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</si>
  <si>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</si>
  <si>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</si>
  <si>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</si>
  <si>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</si>
  <si>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</si>
  <si>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</si>
  <si>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</si>
  <si>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IDFC BANKING &amp; PSU DEBT FUND (30 April, 2022 )</t>
  </si>
  <si>
    <t>17075.76 crs</t>
  </si>
  <si>
    <t>Axis Bank Limited</t>
  </si>
  <si>
    <t xml:space="preserve"> A1+</t>
  </si>
  <si>
    <t>Bank of Baroda</t>
  </si>
  <si>
    <t>HDFC Bank Limited</t>
  </si>
  <si>
    <t>Canara Bank</t>
  </si>
  <si>
    <t>Export Import Bank of India</t>
  </si>
  <si>
    <t>Small Industries Dev Bank of India</t>
  </si>
  <si>
    <t>Indian Bank</t>
  </si>
  <si>
    <t>Certificate of Deposit Total</t>
  </si>
  <si>
    <t>Housing Development Finance Corporation Limited</t>
  </si>
  <si>
    <t>Commercial Paper Total</t>
  </si>
  <si>
    <t>National Bank For Agriculture and Rural Development</t>
  </si>
  <si>
    <t xml:space="preserve"> AAA</t>
  </si>
  <si>
    <t>Indian Railway Finance Corporation Limited</t>
  </si>
  <si>
    <t>REC Limited</t>
  </si>
  <si>
    <t>Power Finance Corporation Limited</t>
  </si>
  <si>
    <t>National Housing Bank</t>
  </si>
  <si>
    <t>Hindustan Petroleum Corporation Limited</t>
  </si>
  <si>
    <t>ICICI Bank Limited</t>
  </si>
  <si>
    <t>National Highways Auth Of Ind</t>
  </si>
  <si>
    <t>Power Grid Corporation of India Limited</t>
  </si>
  <si>
    <t>LIC Housing Finance Limited</t>
  </si>
  <si>
    <t>Reliance Industries Limited</t>
  </si>
  <si>
    <t>Indian Oil Corporation Limited</t>
  </si>
  <si>
    <t>NHPC Limited</t>
  </si>
  <si>
    <t>Larsen &amp; Toubro Limited</t>
  </si>
  <si>
    <t>Housing &amp; Urban Development Corporation Limited</t>
  </si>
  <si>
    <t>NTPC Limited</t>
  </si>
  <si>
    <t>Oil &amp; Natural Gas Corporation Limited</t>
  </si>
  <si>
    <t>Bajaj Finance Limited</t>
  </si>
  <si>
    <t>Corporate Bond Total</t>
  </si>
  <si>
    <t>Kotak Mahindra Bank Limited</t>
  </si>
  <si>
    <t>Floating Rate Note Total</t>
  </si>
  <si>
    <t>7.37% GOI (MD 16/04/2023)</t>
  </si>
  <si>
    <t>SOV</t>
  </si>
  <si>
    <t>7.32% GOI (MD 28/01/2024)</t>
  </si>
  <si>
    <t>7.16% GOI (MD 20/05/2023)</t>
  </si>
  <si>
    <t>6.84% GOI (MD 19/12/2022)</t>
  </si>
  <si>
    <t>8.13% GOI (MD 21/09/2022)</t>
  </si>
  <si>
    <t>Government Bond Total</t>
  </si>
  <si>
    <t>State Government Bond Total</t>
  </si>
  <si>
    <t>182 Days Tbill (MD 21/07/2022)</t>
  </si>
  <si>
    <t>182 Days Tbill (MD 04/08/2022)</t>
  </si>
  <si>
    <t>Treasury Bill Total</t>
  </si>
  <si>
    <t>Zero Coupon Bond Total</t>
  </si>
  <si>
    <t>Certificate of Deposit</t>
  </si>
  <si>
    <t>Corporate Bond</t>
  </si>
  <si>
    <t>Commercial Paper</t>
  </si>
  <si>
    <t>Floating Rate Note</t>
  </si>
  <si>
    <t>Government Bond</t>
  </si>
  <si>
    <t>State Government Bond</t>
  </si>
  <si>
    <t>Treasury Bill</t>
  </si>
  <si>
    <t>Zero Coupon Bond</t>
  </si>
  <si>
    <t>IDFC BOND FUND - INCOME PLAN (30 April, 2022 )</t>
  </si>
  <si>
    <t>571.26 crs</t>
  </si>
  <si>
    <t>5.63% GOI (MD 12/04/2026)</t>
  </si>
  <si>
    <t>6.1% GOI (MD 12/07/2031)</t>
  </si>
  <si>
    <t>5.74% GOI (MD 15/11/2026)</t>
  </si>
  <si>
    <t>6.97% GOI (MD 06/09/2026)</t>
  </si>
  <si>
    <t>6.79% GOI (MD 15/05/2027)</t>
  </si>
  <si>
    <t>7.73% GOI (MD 19/12/2034)</t>
  </si>
  <si>
    <t>IDFC BOND FUND - MEDIUM TERM PLAN (30 April, 2022 )</t>
  </si>
  <si>
    <t>2462.64 crs</t>
  </si>
  <si>
    <t>7.17% GOI (MD 08/01/2028)</t>
  </si>
  <si>
    <t>8.24% GOI (MD 15/02/2027)</t>
  </si>
  <si>
    <t xml:space="preserve"> AAA(SO)</t>
  </si>
  <si>
    <t>PTC Total</t>
  </si>
  <si>
    <t>PTC</t>
  </si>
  <si>
    <t>IDFC BOND FUND - SHORT TERM PLAN (30 April, 2022 )</t>
  </si>
  <si>
    <t>11133.75 crs</t>
  </si>
  <si>
    <t>5.15% GOI (MD 09/11/2025)</t>
  </si>
  <si>
    <t>8.28% GOI (M/D 21/09/2027)</t>
  </si>
  <si>
    <t>IDFC CASH FUND (30 April, 2022 )</t>
  </si>
  <si>
    <t>11871.20 crs</t>
  </si>
  <si>
    <t>Reliance Retail Ventures Limited</t>
  </si>
  <si>
    <t>Reliance Jio Infocomm Limited</t>
  </si>
  <si>
    <t>Kotak Mahindra Prime Limited</t>
  </si>
  <si>
    <t>Kotak Mahindra Investments Limited</t>
  </si>
  <si>
    <t>HDFC Securities Limited</t>
  </si>
  <si>
    <t>Bajaj Housing Finance Limited</t>
  </si>
  <si>
    <t>ICICI Securities Limited</t>
  </si>
  <si>
    <t>Kotak Securities Limited</t>
  </si>
  <si>
    <t>HDB Financial Services Limited</t>
  </si>
  <si>
    <t>L&amp;T Finance Limited</t>
  </si>
  <si>
    <t>8.35% GOI (MD 14/05/2022)</t>
  </si>
  <si>
    <t>8.15% GOI (MD 11/06/2022)</t>
  </si>
  <si>
    <t>91 Days Tbill (MD 09/06/2022)</t>
  </si>
  <si>
    <t>91 Days Tbill (MD 16/06/2022)</t>
  </si>
  <si>
    <t>91 Days Tbill (MD 30/06/2022)</t>
  </si>
  <si>
    <t>364 Days Tbill (MD 16/06/2022)</t>
  </si>
  <si>
    <t>182 Days Tbill (MD 16/06/2022)</t>
  </si>
  <si>
    <t>91 Days Tbill (MD 02/06/2022)</t>
  </si>
  <si>
    <t>182 Days Tbill (MD 02/06/2022)</t>
  </si>
  <si>
    <t>182 Days Tbill (MD 30/06/2022)</t>
  </si>
  <si>
    <t>Average Maturity in Days</t>
  </si>
  <si>
    <t>IDFC CORPORATE BOND FUND (30 April, 2022 )</t>
  </si>
  <si>
    <t>17597.07 crs</t>
  </si>
  <si>
    <t>UltraTech Cement Limited</t>
  </si>
  <si>
    <t>Mahindra &amp; Mahindra Limited</t>
  </si>
  <si>
    <t>5.22% GOI (MD 15/06/2025)</t>
  </si>
  <si>
    <t>7.68% GOI (MD 15/12/2023)</t>
  </si>
  <si>
    <t>IDFC CREDIT RISK FUND (30 April, 2022 )</t>
  </si>
  <si>
    <t>748.24 crs</t>
  </si>
  <si>
    <t xml:space="preserve"> AA(CE)</t>
  </si>
  <si>
    <t>Bharti Hexacom Limited</t>
  </si>
  <si>
    <t xml:space="preserve"> AA+</t>
  </si>
  <si>
    <t>Summit Digitel Infrastructure Private Limited</t>
  </si>
  <si>
    <t>Hindalco Industries Limited</t>
  </si>
  <si>
    <t>Tata Motors Limited</t>
  </si>
  <si>
    <t xml:space="preserve"> AA-</t>
  </si>
  <si>
    <t>Tata Power Company Limited</t>
  </si>
  <si>
    <t xml:space="preserve"> AA</t>
  </si>
  <si>
    <t>AA+</t>
  </si>
  <si>
    <t>AA-</t>
  </si>
  <si>
    <t>AA</t>
  </si>
  <si>
    <t>IDFC DYNAMIC BOND FUND (30 April, 2022 )</t>
  </si>
  <si>
    <t>2622.68 crs</t>
  </si>
  <si>
    <t>8.20% GOI (MD 24/09/2025)</t>
  </si>
  <si>
    <t>IDFC FLOATING RATE FUND (30 April, 2022 )</t>
  </si>
  <si>
    <t>830.82 crs</t>
  </si>
  <si>
    <t>Sikka Ports and Terminals Limited</t>
  </si>
  <si>
    <t>Jamnagar Utilities &amp; Power Private Limited</t>
  </si>
  <si>
    <t>Interest Rate Swaps</t>
  </si>
  <si>
    <t>IDFC GILT 2027 INDEX FUND (30 April, 2022 )</t>
  </si>
  <si>
    <t>2841.20 crs</t>
  </si>
  <si>
    <t>91 Days Tbill (MD 05/05/2022)</t>
  </si>
  <si>
    <t>91 Days Tbill (MD 19/05/2022)</t>
  </si>
  <si>
    <t>91 Days Tbill (MD 12/05/2022)</t>
  </si>
  <si>
    <t>IDFC GILT 2028 INDEX FUND (30 April, 2022 )</t>
  </si>
  <si>
    <t>876.76 crs</t>
  </si>
  <si>
    <t>IDFC GOVERNMENT SECURITIES FUND - INVESTMENT PLAN (30 April, 2022 )</t>
  </si>
  <si>
    <t>1426.12 crs</t>
  </si>
  <si>
    <t>IDFC GOVERNMENT SECURITIES FUND-CONSTANT MATURITY (30 April, 2022 )</t>
  </si>
  <si>
    <t>214.48 crs</t>
  </si>
  <si>
    <t>6.54% GOI (MD 17/01/2032)</t>
  </si>
  <si>
    <t>IDFC LOW DURATION FUND (30 April, 2022 )</t>
  </si>
  <si>
    <t>6250.62 crs</t>
  </si>
  <si>
    <t>Grasim Industries Limited</t>
  </si>
  <si>
    <t>8.33% GOI 2026 (M/D 09/07/2026)</t>
  </si>
  <si>
    <t>IDFC MONEY MANAGER FUND (30 April, 2022 )</t>
  </si>
  <si>
    <t>3348.69 crs</t>
  </si>
  <si>
    <t>182 Days Tbill (MD 01/09/2022)</t>
  </si>
  <si>
    <t>182 Days Tbill (MD 18/08/2022)</t>
  </si>
  <si>
    <t>IDFC OVERNIGHT FUND (30 April, 2022 )</t>
  </si>
  <si>
    <t>1440.90 crs</t>
  </si>
  <si>
    <t>IDFC ULTRA SHORT TERM FUND (30 April, 2022 )</t>
  </si>
  <si>
    <t>4694.72 crs</t>
  </si>
  <si>
    <t>8.05% Gujarat SDL (MD 25/02/2025)</t>
  </si>
  <si>
    <t>8.38% Haryana SDL (MD 27/01/2026)</t>
  </si>
  <si>
    <t>8.48% Karnataka SDL (MD 17/10/2022)</t>
  </si>
  <si>
    <t>4.75% Haryana SDL (MD 06/05/2022)</t>
  </si>
  <si>
    <t>8.84% Tamil Nadu SDL (MD 18/07/2022)</t>
  </si>
  <si>
    <t>8.85% Maharashtra SDL (MD 18/07/2022)</t>
  </si>
  <si>
    <t>8.92% Tamilnadu SDL (MD 08/08/2022)</t>
  </si>
  <si>
    <t>8.92%  Tamilnadu SDL (MD 05/09/2022)</t>
  </si>
  <si>
    <t>8.90% TAMILNADU SDL(MD/20/09/2022)</t>
  </si>
  <si>
    <t>8.86% Tamil Nadu SDL (MD 03/10/2022)</t>
  </si>
  <si>
    <t>8.79% Gujrat SDL (MD 25/10/2022)</t>
  </si>
  <si>
    <t>8.85% Maharashtra SDL (MD 03/10/2022)</t>
  </si>
  <si>
    <t>6.93% Maharastra SDL (MD 09/08/2022)</t>
  </si>
  <si>
    <t>4.68% Haryana SDL (MD 20/05/2022)</t>
  </si>
  <si>
    <t>8.37% Odisha SDL(MD 29/08/2022)</t>
  </si>
  <si>
    <t>6.64% Rajasthan SDL (MD 25/09/2022)</t>
  </si>
  <si>
    <t>8.91% Andhra Pradesh SDL (MD 05/09/2022)</t>
  </si>
  <si>
    <t>8.59% Andhra pradesh SDL (MD 23/01/2023)</t>
  </si>
  <si>
    <t>8.90% Andhra pradesh SDL (MD 04/07/2022)</t>
  </si>
  <si>
    <t>8.90% MAHARASHTRA SDL(MD 20/09/2022)</t>
  </si>
  <si>
    <t>8.84% Gujrat SDL (MD 17/10/2022)</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</si>
  <si>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</si>
  <si>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</si>
  <si>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</si>
  <si>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</si>
  <si>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</si>
  <si>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</si>
  <si>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</si>
  <si>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</si>
  <si>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</si>
  <si>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</si>
  <si>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</si>
  <si>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</si>
  <si>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</si>
  <si>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</si>
  <si>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5.41% Andhra Pradesh SDL (MD 12/08/2024)</t>
  </si>
  <si>
    <t>5.68% Maharashtra SDL (MD 23/09/2024)</t>
  </si>
  <si>
    <t>6.20% Madhya Pradesh SDL (MD 15/04/2023)</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</si>
  <si>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</si>
  <si>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</si>
  <si>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</si>
  <si>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</si>
  <si>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</si>
  <si>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</si>
  <si>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</si>
  <si>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</si>
  <si>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</si>
  <si>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</si>
  <si>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</si>
  <si>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</si>
  <si>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</si>
  <si>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</si>
  <si>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</si>
  <si>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</si>
  <si>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</si>
  <si>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5.46% Tamilnadu SDL (MD 03/06/2024)</t>
  </si>
  <si>
    <t>9.10% Tamil Nadu SDL(MD 09/05/2022)</t>
  </si>
  <si>
    <t>IDFC Banking &amp; PSU Debt Fund - Direct Growth</t>
  </si>
  <si>
    <t>First Business Receivables Trust^</t>
  </si>
  <si>
    <t>^PTC originated by Reliance Industries Limited</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</si>
  <si>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</si>
  <si>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Corporate Guarantee from Tata Power</t>
  </si>
  <si>
    <t>^^AT1 Bonds under Basel III</t>
  </si>
  <si>
    <t>Tata Power Renewable Energy Limited*</t>
  </si>
  <si>
    <t>Indian Bank^^</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</si>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</sst>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22">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7">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0" fontId="0" fillId="0" borderId="0" xfId="0" applyFill="1" applyBorder="1"/>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1" fontId="5" fillId="2" borderId="0"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534-4057-90B9-F464ABA78C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8534-4057-90B9-F464ABA78CB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979-4563-88B9-32EAAD8C9D2C}"/>
                </c:ext>
              </c:extLst>
            </c:dLbl>
            <c:dLbl>
              <c:idx val="1"/>
              <c:layout>
                <c:manualLayout>
                  <c:x val="0.31450673590854678"/>
                  <c:y val="-9.152405949256342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979-4563-88B9-32EAAD8C9D2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1.4909999999999999E-3</c:v>
                </c:pt>
                <c:pt idx="1">
                  <c:v>0.99850899999999998</c:v>
                </c:pt>
              </c:numCache>
            </c:numRef>
          </c:val>
          <c:extLst>
            <c:ext xmlns:c16="http://schemas.microsoft.com/office/drawing/2014/chart" uri="{C3380CC4-5D6E-409C-BE32-E72D297353CC}">
              <c16:uniqueId val="{0000000C-C979-4563-88B9-32EAAD8C9D2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1.991150442477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A8D-4365-AF11-AF25BD512BC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BA8D-4365-AF11-AF25BD512BC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964-4A2C-A495-F77D42375EE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964-4A2C-A495-F77D42375EE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964-4A2C-A495-F77D42375EE0}"/>
                </c:ext>
              </c:extLst>
            </c:dLbl>
            <c:dLbl>
              <c:idx val="3"/>
              <c:layout>
                <c:manualLayout>
                  <c:x val="-9.0902055337301252E-2"/>
                  <c:y val="0.17827468469096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964-4A2C-A495-F77D42375EE0}"/>
                </c:ext>
              </c:extLst>
            </c:dLbl>
            <c:dLbl>
              <c:idx val="4"/>
              <c:layout>
                <c:manualLayout>
                  <c:x val="-6.8912896862196288E-2"/>
                  <c:y val="-1.94777367430841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964-4A2C-A495-F77D42375EE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964-4A2C-A495-F77D42375EE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964-4A2C-A495-F77D42375E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Net Current Asset</c:v>
                </c:pt>
                <c:pt idx="1">
                  <c:v>TRI Party Repo</c:v>
                </c:pt>
                <c:pt idx="2">
                  <c:v>Certificate of Deposit</c:v>
                </c:pt>
                <c:pt idx="3">
                  <c:v>Corporate Bond</c:v>
                </c:pt>
                <c:pt idx="4">
                  <c:v>Commercial Paper</c:v>
                </c:pt>
                <c:pt idx="5">
                  <c:v>Government Bond</c:v>
                </c:pt>
                <c:pt idx="6">
                  <c:v>Treasury Bill</c:v>
                </c:pt>
              </c:strCache>
            </c:strRef>
          </c:cat>
          <c:val>
            <c:numRef>
              <c:f>'IDFC CF'!$K$9:$K$15</c:f>
              <c:numCache>
                <c:formatCode>0.00%</c:formatCode>
                <c:ptCount val="7"/>
                <c:pt idx="0">
                  <c:v>8.0599999999999995E-3</c:v>
                </c:pt>
                <c:pt idx="1">
                  <c:v>9.2452000000000006E-2</c:v>
                </c:pt>
                <c:pt idx="2">
                  <c:v>0.206647</c:v>
                </c:pt>
                <c:pt idx="3">
                  <c:v>0.126942</c:v>
                </c:pt>
                <c:pt idx="4">
                  <c:v>0.293763</c:v>
                </c:pt>
                <c:pt idx="5">
                  <c:v>6.7558000000000007E-2</c:v>
                </c:pt>
                <c:pt idx="6">
                  <c:v>0.20457800000000001</c:v>
                </c:pt>
              </c:numCache>
            </c:numRef>
          </c:val>
          <c:extLst>
            <c:ext xmlns:c16="http://schemas.microsoft.com/office/drawing/2014/chart" uri="{C3380CC4-5D6E-409C-BE32-E72D297353CC}">
              <c16:uniqueId val="{0000000C-5964-4A2C-A495-F77D42375EE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01F-4A2B-911C-3A0A1861A9A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D01F-4A2B-911C-3A0A1861A9A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0.13349483215026384"/>
                  <c:y val="-1.01030205100583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6E4-44BB-B8BE-4B8070295BA3}"/>
                </c:ext>
              </c:extLst>
            </c:dLbl>
            <c:dLbl>
              <c:idx val="1"/>
              <c:layout>
                <c:manualLayout>
                  <c:x val="9.364447217117132E-2"/>
                  <c:y val="-0.159368710832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6E4-44BB-B8BE-4B8070295BA3}"/>
                </c:ext>
              </c:extLst>
            </c:dLbl>
            <c:dLbl>
              <c:idx val="2"/>
              <c:layout>
                <c:manualLayout>
                  <c:x val="-5.5784282318029302E-2"/>
                  <c:y val="-0.1221123906742927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6E4-44BB-B8BE-4B8070295BA3}"/>
                </c:ext>
              </c:extLst>
            </c:dLbl>
            <c:dLbl>
              <c:idx val="3"/>
              <c:layout>
                <c:manualLayout>
                  <c:x val="-6.9614055202414468E-2"/>
                  <c:y val="5.15581317807586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6E4-44BB-B8BE-4B8070295BA3}"/>
                </c:ext>
              </c:extLst>
            </c:dLbl>
            <c:dLbl>
              <c:idx val="4"/>
              <c:layout>
                <c:manualLayout>
                  <c:x val="-2.243436915139355E-2"/>
                  <c:y val="-0.217210666256294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6E4-44BB-B8BE-4B8070295BA3}"/>
                </c:ext>
              </c:extLst>
            </c:dLbl>
            <c:dLbl>
              <c:idx val="5"/>
              <c:layout>
                <c:manualLayout>
                  <c:x val="-0.13292915071911515"/>
                  <c:y val="-2.84302410081475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6E4-44BB-B8BE-4B8070295BA3}"/>
                </c:ext>
              </c:extLst>
            </c:dLbl>
            <c:dLbl>
              <c:idx val="6"/>
              <c:layout>
                <c:manualLayout>
                  <c:x val="-9.8612520865298703E-2"/>
                  <c:y val="-8.28500346251506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6E4-44BB-B8BE-4B8070295BA3}"/>
                </c:ext>
              </c:extLst>
            </c:dLbl>
            <c:dLbl>
              <c:idx val="7"/>
              <c:layout>
                <c:manualLayout>
                  <c:x val="0.14905621406531891"/>
                  <c:y val="-2.502586199526362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76E4-44BB-B8BE-4B8070295BA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Zero Coupon Bond</c:v>
                </c:pt>
              </c:strCache>
            </c:strRef>
          </c:cat>
          <c:val>
            <c:numRef>
              <c:f>'IDFC LDF'!$K$9:$K$16</c:f>
              <c:numCache>
                <c:formatCode>0.00%</c:formatCode>
                <c:ptCount val="8"/>
                <c:pt idx="0">
                  <c:v>1.2213999999999999E-2</c:v>
                </c:pt>
                <c:pt idx="1">
                  <c:v>8.2682000000000005E-2</c:v>
                </c:pt>
                <c:pt idx="2">
                  <c:v>0.23874000000000001</c:v>
                </c:pt>
                <c:pt idx="3">
                  <c:v>0.486095</c:v>
                </c:pt>
                <c:pt idx="4">
                  <c:v>1.1926000000000001E-2</c:v>
                </c:pt>
                <c:pt idx="5">
                  <c:v>0.143236</c:v>
                </c:pt>
                <c:pt idx="6">
                  <c:v>1.6900999999999999E-2</c:v>
                </c:pt>
                <c:pt idx="7">
                  <c:v>8.2059999999999998E-3</c:v>
                </c:pt>
              </c:numCache>
            </c:numRef>
          </c:val>
          <c:extLst>
            <c:ext xmlns:c16="http://schemas.microsoft.com/office/drawing/2014/chart" uri="{C3380CC4-5D6E-409C-BE32-E72D297353CC}">
              <c16:uniqueId val="{0000000C-76E4-44BB-B8BE-4B8070295BA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404635046957459"/>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124-4704-98FB-75B2C6000A7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2124-4704-98FB-75B2C6000A7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98-4BC0-8081-576473814D7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E98-4BC0-8081-576473814D76}"/>
                </c:ext>
              </c:extLst>
            </c:dLbl>
            <c:dLbl>
              <c:idx val="2"/>
              <c:layout>
                <c:manualLayout>
                  <c:x val="-6.5955588527879416E-2"/>
                  <c:y val="0.3462788649790111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E98-4BC0-8081-576473814D76}"/>
                </c:ext>
              </c:extLst>
            </c:dLbl>
            <c:dLbl>
              <c:idx val="3"/>
              <c:layout>
                <c:manualLayout>
                  <c:x val="5.3610834780556074E-2"/>
                  <c:y val="0.2014831533680439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E98-4BC0-8081-576473814D76}"/>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E98-4BC0-8081-576473814D76}"/>
                </c:ext>
              </c:extLst>
            </c:dLbl>
            <c:dLbl>
              <c:idx val="5"/>
              <c:layout>
                <c:manualLayout>
                  <c:x val="-0.16352905967053905"/>
                  <c:y val="-0.1696851248642779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E98-4BC0-8081-576473814D76}"/>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E98-4BC0-8081-576473814D7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Net Current Asset</c:v>
                </c:pt>
                <c:pt idx="1">
                  <c:v>TRI Party Repo</c:v>
                </c:pt>
                <c:pt idx="2">
                  <c:v>Certificate of Deposit</c:v>
                </c:pt>
                <c:pt idx="3">
                  <c:v>Commercial Paper</c:v>
                </c:pt>
                <c:pt idx="4">
                  <c:v>Government Bond</c:v>
                </c:pt>
                <c:pt idx="5">
                  <c:v>State Government Bond</c:v>
                </c:pt>
                <c:pt idx="6">
                  <c:v>Treasury Bill</c:v>
                </c:pt>
              </c:strCache>
            </c:strRef>
          </c:cat>
          <c:val>
            <c:numRef>
              <c:f>'IDFC MMF'!$K$9:$K$15</c:f>
              <c:numCache>
                <c:formatCode>0.00%</c:formatCode>
                <c:ptCount val="7"/>
                <c:pt idx="0">
                  <c:v>-1.735E-3</c:v>
                </c:pt>
                <c:pt idx="1">
                  <c:v>4.0980000000000003E-2</c:v>
                </c:pt>
                <c:pt idx="2">
                  <c:v>0.44858500000000001</c:v>
                </c:pt>
                <c:pt idx="3">
                  <c:v>0.31581599999999999</c:v>
                </c:pt>
                <c:pt idx="4">
                  <c:v>0.121111</c:v>
                </c:pt>
                <c:pt idx="5">
                  <c:v>3.6805999999999998E-2</c:v>
                </c:pt>
                <c:pt idx="6">
                  <c:v>3.8436999999999999E-2</c:v>
                </c:pt>
              </c:numCache>
            </c:numRef>
          </c:val>
          <c:extLst>
            <c:ext xmlns:c16="http://schemas.microsoft.com/office/drawing/2014/chart" uri="{C3380CC4-5D6E-409C-BE32-E72D297353CC}">
              <c16:uniqueId val="{0000000C-5E98-4BC0-8081-576473814D7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521-49F5-81A7-08F02693D6F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D521-49F5-81A7-08F02693D6F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54C-452C-B83A-40D01380E5F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54C-452C-B83A-40D01380E5FD}"/>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54C-452C-B83A-40D01380E5FD}"/>
                </c:ext>
              </c:extLst>
            </c:dLbl>
            <c:dLbl>
              <c:idx val="3"/>
              <c:layout>
                <c:manualLayout>
                  <c:x val="2.1654976479117842E-2"/>
                  <c:y val="4.81499486477233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54C-452C-B83A-40D01380E5F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54C-452C-B83A-40D01380E5FD}"/>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54C-452C-B83A-40D01380E5FD}"/>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54C-452C-B83A-40D01380E5F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USTF'!$J$9:$J$15</c:f>
              <c:strCache>
                <c:ptCount val="7"/>
                <c:pt idx="0">
                  <c:v>Net Current Asset</c:v>
                </c:pt>
                <c:pt idx="1">
                  <c:v>TRI Party Repo</c:v>
                </c:pt>
                <c:pt idx="2">
                  <c:v>Certificate of Deposit</c:v>
                </c:pt>
                <c:pt idx="3">
                  <c:v>Corporate Bond</c:v>
                </c:pt>
                <c:pt idx="4">
                  <c:v>Commercial Paper</c:v>
                </c:pt>
                <c:pt idx="5">
                  <c:v>Government Bond</c:v>
                </c:pt>
                <c:pt idx="6">
                  <c:v>State Government Bond</c:v>
                </c:pt>
              </c:strCache>
            </c:strRef>
          </c:cat>
          <c:val>
            <c:numRef>
              <c:f>'IDFC USTF'!$K$9:$K$15</c:f>
              <c:numCache>
                <c:formatCode>0.00%</c:formatCode>
                <c:ptCount val="7"/>
                <c:pt idx="0">
                  <c:v>6.2859999999999999E-3</c:v>
                </c:pt>
                <c:pt idx="1">
                  <c:v>0.14271800000000001</c:v>
                </c:pt>
                <c:pt idx="2">
                  <c:v>0.18484900000000001</c:v>
                </c:pt>
                <c:pt idx="3">
                  <c:v>0.46383400000000002</c:v>
                </c:pt>
                <c:pt idx="4">
                  <c:v>0.15859999999999999</c:v>
                </c:pt>
                <c:pt idx="5">
                  <c:v>9.0709999999999992E-3</c:v>
                </c:pt>
                <c:pt idx="6">
                  <c:v>3.4641999999999999E-2</c:v>
                </c:pt>
              </c:numCache>
            </c:numRef>
          </c:val>
          <c:extLst>
            <c:ext xmlns:c16="http://schemas.microsoft.com/office/drawing/2014/chart" uri="{C3380CC4-5D6E-409C-BE32-E72D297353CC}">
              <c16:uniqueId val="{0000000C-B54C-452C-B83A-40D01380E5F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72520190863"/>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F7D-45B4-A9CB-B984016A944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4F7D-45B4-A9CB-B984016A944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A37-40D6-9DF4-269FC9AC8ADD}"/>
                </c:ext>
              </c:extLst>
            </c:dLbl>
            <c:dLbl>
              <c:idx val="1"/>
              <c:layout>
                <c:manualLayout>
                  <c:x val="0.18289492319883999"/>
                  <c:y val="6.188626421697288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A37-40D6-9DF4-269FC9AC8ADD}"/>
                </c:ext>
              </c:extLst>
            </c:dLbl>
            <c:dLbl>
              <c:idx val="2"/>
              <c:layout>
                <c:manualLayout>
                  <c:x val="-0.28856463605860833"/>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A37-40D6-9DF4-269FC9AC8AD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6.2399999999999999E-3</c:v>
                </c:pt>
                <c:pt idx="1">
                  <c:v>9.0600000000000001E-4</c:v>
                </c:pt>
                <c:pt idx="2">
                  <c:v>0.99285400000000001</c:v>
                </c:pt>
              </c:numCache>
            </c:numRef>
          </c:val>
          <c:extLst>
            <c:ext xmlns:c16="http://schemas.microsoft.com/office/drawing/2014/chart" uri="{C3380CC4-5D6E-409C-BE32-E72D297353CC}">
              <c16:uniqueId val="{0000000C-EA37-40D6-9DF4-269FC9AC8AD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B3E-441B-A0D2-D1B4836CA5E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1B3E-441B-A0D2-D1B4836CA5E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7EB-48E6-BD8C-41292C22EC40}"/>
                </c:ext>
              </c:extLst>
            </c:dLbl>
            <c:dLbl>
              <c:idx val="1"/>
              <c:layout>
                <c:manualLayout>
                  <c:x val="0.1968135527491611"/>
                  <c:y val="-1.1589151356080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7EB-48E6-BD8C-41292C22EC40}"/>
                </c:ext>
              </c:extLst>
            </c:dLbl>
            <c:dLbl>
              <c:idx val="2"/>
              <c:layout>
                <c:manualLayout>
                  <c:x val="-0.25028840479522502"/>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7EB-48E6-BD8C-41292C22EC4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5.9769999999999997E-3</c:v>
                </c:pt>
                <c:pt idx="1">
                  <c:v>2.1359999999999999E-3</c:v>
                </c:pt>
                <c:pt idx="2">
                  <c:v>0.99188699999999996</c:v>
                </c:pt>
              </c:numCache>
            </c:numRef>
          </c:val>
          <c:extLst>
            <c:ext xmlns:c16="http://schemas.microsoft.com/office/drawing/2014/chart" uri="{C3380CC4-5D6E-409C-BE32-E72D297353CC}">
              <c16:uniqueId val="{0000000C-97EB-48E6-BD8C-41292C22EC4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066305282503499"/>
                  <c:y val="-2.82608695652173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B32-4AC2-B818-CE2760212F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BB32-4AC2-B818-CE2760212F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4.1219713702810704E-2"/>
                  <c:y val="-1.27885177143554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5F5-49BE-BB6C-14E919B89DF3}"/>
                </c:ext>
              </c:extLst>
            </c:dLbl>
            <c:dLbl>
              <c:idx val="1"/>
              <c:layout>
                <c:manualLayout>
                  <c:x val="-0.13951794837208523"/>
                  <c:y val="-7.251419154001098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5F5-49BE-BB6C-14E919B89DF3}"/>
                </c:ext>
              </c:extLst>
            </c:dLbl>
            <c:dLbl>
              <c:idx val="2"/>
              <c:layout>
                <c:manualLayout>
                  <c:x val="0.28360400613734849"/>
                  <c:y val="-8.25559595748205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5F5-49BE-BB6C-14E919B89DF3}"/>
                </c:ext>
              </c:extLst>
            </c:dLbl>
            <c:dLbl>
              <c:idx val="3"/>
              <c:layout>
                <c:manualLayout>
                  <c:x val="-0.32888423342157175"/>
                  <c:y val="-1.93018895893827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5F5-49BE-BB6C-14E919B89DF3}"/>
                </c:ext>
              </c:extLst>
            </c:dLbl>
            <c:dLbl>
              <c:idx val="4"/>
              <c:layout>
                <c:manualLayout>
                  <c:x val="-0.1355285875668111"/>
                  <c:y val="6.037617390849400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5F5-49BE-BB6C-14E919B89DF3}"/>
                </c:ext>
              </c:extLst>
            </c:dLbl>
            <c:dLbl>
              <c:idx val="5"/>
              <c:layout>
                <c:manualLayout>
                  <c:x val="0.29820802913554434"/>
                  <c:y val="-3.38294922437020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5F5-49BE-BB6C-14E919B89DF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MT'!$J$9:$J$14</c:f>
              <c:strCache>
                <c:ptCount val="6"/>
                <c:pt idx="0">
                  <c:v>Net Current Asset</c:v>
                </c:pt>
                <c:pt idx="1">
                  <c:v>TRI Party Repo</c:v>
                </c:pt>
                <c:pt idx="2">
                  <c:v>Corporate Bond</c:v>
                </c:pt>
                <c:pt idx="3">
                  <c:v>Government Bond</c:v>
                </c:pt>
                <c:pt idx="4">
                  <c:v>PTC</c:v>
                </c:pt>
                <c:pt idx="5">
                  <c:v>State Government Bond</c:v>
                </c:pt>
              </c:strCache>
            </c:strRef>
          </c:cat>
          <c:val>
            <c:numRef>
              <c:f>'IDFC BOND MT'!$K$9:$K$14</c:f>
              <c:numCache>
                <c:formatCode>0.00%</c:formatCode>
                <c:ptCount val="6"/>
                <c:pt idx="0">
                  <c:v>2.9420000000000002E-3</c:v>
                </c:pt>
                <c:pt idx="1">
                  <c:v>1.091E-3</c:v>
                </c:pt>
                <c:pt idx="2">
                  <c:v>2.4688999999999999E-2</c:v>
                </c:pt>
                <c:pt idx="3">
                  <c:v>0.94621999999999995</c:v>
                </c:pt>
                <c:pt idx="4">
                  <c:v>1.1419E-2</c:v>
                </c:pt>
                <c:pt idx="5">
                  <c:v>1.3639E-2</c:v>
                </c:pt>
              </c:numCache>
            </c:numRef>
          </c:val>
          <c:extLst>
            <c:ext xmlns:c16="http://schemas.microsoft.com/office/drawing/2014/chart" uri="{C3380CC4-5D6E-409C-BE32-E72D297353CC}">
              <c16:uniqueId val="{0000000C-B5F5-49BE-BB6C-14E919B89DF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1.321585903083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B70-4DC1-B9A0-7ED19D2102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4B70-4DC1-B9A0-7ED19D21029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A72-4ABB-AE5D-D51E0D1DEE68}"/>
                </c:ext>
              </c:extLst>
            </c:dLbl>
            <c:dLbl>
              <c:idx val="1"/>
              <c:layout>
                <c:manualLayout>
                  <c:x val="6.5166669476807909E-2"/>
                  <c:y val="-3.3242912100622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A72-4ABB-AE5D-D51E0D1DEE68}"/>
                </c:ext>
              </c:extLst>
            </c:dLbl>
            <c:dLbl>
              <c:idx val="2"/>
              <c:layout>
                <c:manualLayout>
                  <c:x val="7.2118902696049508E-2"/>
                  <c:y val="-0.204290524620222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A72-4ABB-AE5D-D51E0D1DEE68}"/>
                </c:ext>
              </c:extLst>
            </c:dLbl>
            <c:dLbl>
              <c:idx val="3"/>
              <c:layout>
                <c:manualLayout>
                  <c:x val="-8.9962737527188117E-3"/>
                  <c:y val="-0.3542165825572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A72-4ABB-AE5D-D51E0D1DEE68}"/>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A72-4ABB-AE5D-D51E0D1DEE68}"/>
                </c:ext>
              </c:extLst>
            </c:dLbl>
            <c:dLbl>
              <c:idx val="5"/>
              <c:layout>
                <c:manualLayout>
                  <c:x val="4.5666509298757353E-2"/>
                  <c:y val="0.235487049428941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A72-4ABB-AE5D-D51E0D1DEE68}"/>
                </c:ext>
              </c:extLst>
            </c:dLbl>
            <c:dLbl>
              <c:idx val="6"/>
              <c:layout>
                <c:manualLayout>
                  <c:x val="-9.9473267126405779E-2"/>
                  <c:y val="-5.282941917352822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A72-4ABB-AE5D-D51E0D1DEE6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'IDFC BOND ST'!$K$9:$K$15</c:f>
              <c:numCache>
                <c:formatCode>0.00%</c:formatCode>
                <c:ptCount val="7"/>
                <c:pt idx="0">
                  <c:v>7.8150000000000008E-3</c:v>
                </c:pt>
                <c:pt idx="1">
                  <c:v>1.709E-3</c:v>
                </c:pt>
                <c:pt idx="2">
                  <c:v>0.18610199999999999</c:v>
                </c:pt>
                <c:pt idx="3">
                  <c:v>0.169207</c:v>
                </c:pt>
                <c:pt idx="4">
                  <c:v>4.8701000000000001E-2</c:v>
                </c:pt>
                <c:pt idx="5">
                  <c:v>0.58122600000000002</c:v>
                </c:pt>
                <c:pt idx="6">
                  <c:v>5.2399999999999999E-3</c:v>
                </c:pt>
              </c:numCache>
            </c:numRef>
          </c:val>
          <c:extLst>
            <c:ext xmlns:c16="http://schemas.microsoft.com/office/drawing/2014/chart" uri="{C3380CC4-5D6E-409C-BE32-E72D297353CC}">
              <c16:uniqueId val="{0000000C-EA72-4ABB-AE5D-D51E0D1DEE6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F6C-424C-B211-51A82A238C7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7F6C-424C-B211-51A82A238C7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0.15084076615690706"/>
                  <c:y val="2.90760047890795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155-4272-B89D-3D5CF2A50E05}"/>
                </c:ext>
              </c:extLst>
            </c:dLbl>
            <c:dLbl>
              <c:idx val="1"/>
              <c:layout>
                <c:manualLayout>
                  <c:x val="0.26024439798344262"/>
                  <c:y val="1.11211514764871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155-4272-B89D-3D5CF2A50E05}"/>
                </c:ext>
              </c:extLst>
            </c:dLbl>
            <c:dLbl>
              <c:idx val="2"/>
              <c:layout>
                <c:manualLayout>
                  <c:x val="7.803942066128243E-2"/>
                  <c:y val="0.5876427766174067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155-4272-B89D-3D5CF2A50E05}"/>
                </c:ext>
              </c:extLst>
            </c:dLbl>
            <c:dLbl>
              <c:idx val="3"/>
              <c:layout>
                <c:manualLayout>
                  <c:x val="-0.10238648434470317"/>
                  <c:y val="5.26602987057250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155-4272-B89D-3D5CF2A50E05}"/>
                </c:ext>
              </c:extLst>
            </c:dLbl>
            <c:dLbl>
              <c:idx val="4"/>
              <c:layout>
                <c:manualLayout>
                  <c:x val="-0.13271198300426579"/>
                  <c:y val="-8.588532426787384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155-4272-B89D-3D5CF2A50E05}"/>
                </c:ext>
              </c:extLst>
            </c:dLbl>
            <c:dLbl>
              <c:idx val="5"/>
              <c:layout>
                <c:manualLayout>
                  <c:x val="-0.15045212362373334"/>
                  <c:y val="-0.181934683247834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155-4272-B89D-3D5CF2A50E05}"/>
                </c:ext>
              </c:extLst>
            </c:dLbl>
            <c:dLbl>
              <c:idx val="6"/>
              <c:layout>
                <c:manualLayout>
                  <c:x val="-2.8610328955133286E-2"/>
                  <c:y val="-4.03593557464584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155-4272-B89D-3D5CF2A50E05}"/>
                </c:ext>
              </c:extLst>
            </c:dLbl>
            <c:dLbl>
              <c:idx val="7"/>
              <c:layout>
                <c:manualLayout>
                  <c:x val="-0.13796927953598948"/>
                  <c:y val="-0.1429550717924965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B155-4272-B89D-3D5CF2A50E05}"/>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B155-4272-B89D-3D5CF2A50E05}"/>
                </c:ext>
              </c:extLst>
            </c:dLbl>
            <c:dLbl>
              <c:idx val="9"/>
              <c:layout>
                <c:manualLayout>
                  <c:x val="0.20636960663642956"/>
                  <c:y val="-0.1329661705716308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B155-4272-B89D-3D5CF2A50E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BPDF'!$J$9:$J$18</c:f>
              <c:strCache>
                <c:ptCount val="10"/>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Treasury Bill</c:v>
                </c:pt>
                <c:pt idx="9">
                  <c:v>Zero Coupon Bond</c:v>
                </c:pt>
              </c:strCache>
            </c:strRef>
          </c:cat>
          <c:val>
            <c:numRef>
              <c:f>'IDFC BPDF'!$K$9:$K$18</c:f>
              <c:numCache>
                <c:formatCode>0.00%</c:formatCode>
                <c:ptCount val="10"/>
                <c:pt idx="0">
                  <c:v>2.3744999999999999E-2</c:v>
                </c:pt>
                <c:pt idx="1">
                  <c:v>7.3080000000000003E-3</c:v>
                </c:pt>
                <c:pt idx="2">
                  <c:v>0.17366000000000001</c:v>
                </c:pt>
                <c:pt idx="3">
                  <c:v>0.686975</c:v>
                </c:pt>
                <c:pt idx="4">
                  <c:v>1.1472E-2</c:v>
                </c:pt>
                <c:pt idx="5">
                  <c:v>1.7570000000000001E-3</c:v>
                </c:pt>
                <c:pt idx="6">
                  <c:v>6.7183999999999994E-2</c:v>
                </c:pt>
                <c:pt idx="7">
                  <c:v>2.2804999999999999E-2</c:v>
                </c:pt>
                <c:pt idx="8">
                  <c:v>4.9329999999999999E-3</c:v>
                </c:pt>
                <c:pt idx="9">
                  <c:v>1.6100000000000001E-4</c:v>
                </c:pt>
              </c:numCache>
            </c:numRef>
          </c:val>
          <c:extLst>
            <c:ext xmlns:c16="http://schemas.microsoft.com/office/drawing/2014/chart" uri="{C3380CC4-5D6E-409C-BE32-E72D297353CC}">
              <c16:uniqueId val="{0000000C-B155-4272-B89D-3D5CF2A50E0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9924977659377161"/>
                  <c:y val="-1.321585903083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89B-4F2C-8D2E-DE4C2F7B55D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289B-4F2C-8D2E-DE4C2F7B55D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B23-498A-A9DA-C1963AEBBA48}"/>
                </c:ext>
              </c:extLst>
            </c:dLbl>
            <c:dLbl>
              <c:idx val="1"/>
              <c:layout>
                <c:manualLayout>
                  <c:x val="0.11790310070984175"/>
                  <c:y val="2.52532664186207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B23-498A-A9DA-C1963AEBBA48}"/>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B23-498A-A9DA-C1963AEBBA48}"/>
                </c:ext>
              </c:extLst>
            </c:dLbl>
            <c:dLbl>
              <c:idx val="3"/>
              <c:layout>
                <c:manualLayout>
                  <c:x val="-4.2808005530357955E-3"/>
                  <c:y val="2.92484208704681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B23-498A-A9DA-C1963AEBBA48}"/>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B23-498A-A9DA-C1963AEBBA48}"/>
                </c:ext>
              </c:extLst>
            </c:dLbl>
            <c:dLbl>
              <c:idx val="5"/>
              <c:layout>
                <c:manualLayout>
                  <c:x val="-6.5590466876865233E-2"/>
                  <c:y val="-0.1271073808081682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B23-498A-A9DA-C1963AEBBA48}"/>
                </c:ext>
              </c:extLst>
            </c:dLbl>
            <c:dLbl>
              <c:idx val="6"/>
              <c:layout>
                <c:manualLayout>
                  <c:x val="-0.13089522669409365"/>
                  <c:y val="-0.1342483343428225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B23-498A-A9DA-C1963AEBBA48}"/>
                </c:ext>
              </c:extLst>
            </c:dLbl>
            <c:dLbl>
              <c:idx val="7"/>
              <c:layout>
                <c:manualLayout>
                  <c:x val="-0.12901583233573319"/>
                  <c:y val="9.1650082201263309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7B23-498A-A9DA-C1963AEBBA4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Zero Coupon Bond</c:v>
                </c:pt>
              </c:strCache>
            </c:strRef>
          </c:cat>
          <c:val>
            <c:numRef>
              <c:f>'IDFC-CBF'!$K$9:$K$16</c:f>
              <c:numCache>
                <c:formatCode>0.00%</c:formatCode>
                <c:ptCount val="8"/>
                <c:pt idx="0">
                  <c:v>1.9067000000000001E-2</c:v>
                </c:pt>
                <c:pt idx="1">
                  <c:v>1.1083000000000001E-2</c:v>
                </c:pt>
                <c:pt idx="2">
                  <c:v>1.1091999999999999E-2</c:v>
                </c:pt>
                <c:pt idx="3">
                  <c:v>0.75263999999999998</c:v>
                </c:pt>
                <c:pt idx="4">
                  <c:v>2.807E-3</c:v>
                </c:pt>
                <c:pt idx="5">
                  <c:v>0.16297400000000001</c:v>
                </c:pt>
                <c:pt idx="6">
                  <c:v>4.0226999999999999E-2</c:v>
                </c:pt>
                <c:pt idx="7">
                  <c:v>1.1E-4</c:v>
                </c:pt>
              </c:numCache>
            </c:numRef>
          </c:val>
          <c:extLst>
            <c:ext xmlns:c16="http://schemas.microsoft.com/office/drawing/2014/chart" uri="{C3380CC4-5D6E-409C-BE32-E72D297353CC}">
              <c16:uniqueId val="{0000000C-7B23-498A-A9DA-C1963AEBBA4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8.0767758687551552E-2"/>
                  <c:y val="-1.31578947368421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620445463588998"/>
                      <c:h val="0.16447368421052633"/>
                    </c:manualLayout>
                  </c15:layout>
                </c:ext>
                <c:ext xmlns:c16="http://schemas.microsoft.com/office/drawing/2014/chart" uri="{C3380CC4-5D6E-409C-BE32-E72D297353CC}">
                  <c16:uniqueId val="{0000000D-9892-4F1F-806D-4CF8CE7FEE32}"/>
                </c:ext>
              </c:extLst>
            </c:dLbl>
            <c:dLbl>
              <c:idx val="1"/>
              <c:layout>
                <c:manualLayout>
                  <c:x val="4.2024734863174186E-2"/>
                  <c:y val="-1.85488327117005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892-4F1F-806D-4CF8CE7FEE3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0.00%</c:formatCode>
                <c:ptCount val="2"/>
                <c:pt idx="0">
                  <c:v>0.95783499999999988</c:v>
                </c:pt>
                <c:pt idx="1">
                  <c:v>4.2123000000000001E-2</c:v>
                </c:pt>
              </c:numCache>
            </c:numRef>
          </c:val>
          <c:extLst>
            <c:ext xmlns:c16="http://schemas.microsoft.com/office/drawing/2014/chart" uri="{C3380CC4-5D6E-409C-BE32-E72D297353CC}">
              <c16:uniqueId val="{0000000C-9892-4F1F-806D-4CF8CE7FEE3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939-4530-A2ED-B4338B65E9F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939-4530-A2ED-B4338B65E9FD}"/>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939-4530-A2ED-B4338B65E9FD}"/>
                </c:ext>
              </c:extLst>
            </c:dLbl>
            <c:dLbl>
              <c:idx val="3"/>
              <c:layout>
                <c:manualLayout>
                  <c:x val="-1.1672933281626734E-2"/>
                  <c:y val="0.1695342493952961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939-4530-A2ED-B4338B65E9F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939-4530-A2ED-B4338B65E9FD}"/>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939-4530-A2ED-B4338B65E9FD}"/>
                </c:ext>
              </c:extLst>
            </c:dLbl>
            <c:dLbl>
              <c:idx val="6"/>
              <c:layout>
                <c:manualLayout>
                  <c:x val="-4.1599082769900016E-3"/>
                  <c:y val="-0.103507796819515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939-4530-A2ED-B4338B65E9FD}"/>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939-4530-A2ED-B4338B65E9F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FRF'!$J$9:$J$16</c:f>
              <c:strCache>
                <c:ptCount val="7"/>
                <c:pt idx="0">
                  <c:v>Net Current Asset</c:v>
                </c:pt>
                <c:pt idx="1">
                  <c:v>TRI Party Repo</c:v>
                </c:pt>
                <c:pt idx="2">
                  <c:v>Certificate of Deposit</c:v>
                </c:pt>
                <c:pt idx="3">
                  <c:v>Corporate Bond</c:v>
                </c:pt>
                <c:pt idx="4">
                  <c:v>Commercial Paper</c:v>
                </c:pt>
                <c:pt idx="5">
                  <c:v>Floating Rate Note</c:v>
                </c:pt>
                <c:pt idx="6">
                  <c:v>Government Bond</c:v>
                </c:pt>
              </c:strCache>
            </c:strRef>
          </c:cat>
          <c:val>
            <c:numRef>
              <c:f>'IDFC FRF'!$K$9:$K$16</c:f>
              <c:numCache>
                <c:formatCode>0.00%</c:formatCode>
                <c:ptCount val="8"/>
                <c:pt idx="0">
                  <c:v>8.0960000000000008E-3</c:v>
                </c:pt>
                <c:pt idx="1">
                  <c:v>7.1203000000000002E-2</c:v>
                </c:pt>
                <c:pt idx="2">
                  <c:v>0.17802999999999999</c:v>
                </c:pt>
                <c:pt idx="3">
                  <c:v>0.37004500000000001</c:v>
                </c:pt>
                <c:pt idx="4">
                  <c:v>8.9802000000000007E-2</c:v>
                </c:pt>
                <c:pt idx="5">
                  <c:v>8.4247000000000002E-2</c:v>
                </c:pt>
                <c:pt idx="6">
                  <c:v>0.19853799999999999</c:v>
                </c:pt>
              </c:numCache>
            </c:numRef>
          </c:val>
          <c:extLst>
            <c:ext xmlns:c16="http://schemas.microsoft.com/office/drawing/2014/chart" uri="{C3380CC4-5D6E-409C-BE32-E72D297353CC}">
              <c16:uniqueId val="{0000000C-1939-4530-A2ED-B4338B65E9F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8.8171862617815094E-2"/>
                  <c:y val="0.146127163619965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620445463588998"/>
                      <c:h val="0.16519823788546256"/>
                    </c:manualLayout>
                  </c15:layout>
                </c:ext>
                <c:ext xmlns:c16="http://schemas.microsoft.com/office/drawing/2014/chart" uri="{C3380CC4-5D6E-409C-BE32-E72D297353CC}">
                  <c16:uniqueId val="{0000000D-FB86-4A14-A2D6-BC1C3BE8004E}"/>
                </c:ext>
              </c:extLst>
            </c:dLbl>
            <c:dLbl>
              <c:idx val="1"/>
              <c:layout>
                <c:manualLayout>
                  <c:x val="-3.4224653931106575E-2"/>
                  <c:y val="-4.71275451802004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B86-4A14-A2D6-BC1C3BE8004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B86-4A14-A2D6-BC1C3BE8004E}"/>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B86-4A14-A2D6-BC1C3BE8004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CRF'!$G$8:$G$11</c:f>
              <c:strCache>
                <c:ptCount val="4"/>
                <c:pt idx="0">
                  <c:v>AAA EQUIVALENT</c:v>
                </c:pt>
                <c:pt idx="1">
                  <c:v>AA+</c:v>
                </c:pt>
                <c:pt idx="2">
                  <c:v>AA-</c:v>
                </c:pt>
                <c:pt idx="3">
                  <c:v>AA</c:v>
                </c:pt>
              </c:strCache>
            </c:strRef>
          </c:cat>
          <c:val>
            <c:numRef>
              <c:f>'IDFC CRF'!$H$8:$H$11</c:f>
              <c:numCache>
                <c:formatCode>0.00%</c:formatCode>
                <c:ptCount val="4"/>
                <c:pt idx="0">
                  <c:v>0.74518499999999999</c:v>
                </c:pt>
                <c:pt idx="1">
                  <c:v>0.147423</c:v>
                </c:pt>
                <c:pt idx="2">
                  <c:v>3.3555000000000001E-2</c:v>
                </c:pt>
                <c:pt idx="3">
                  <c:v>7.3837E-2</c:v>
                </c:pt>
              </c:numCache>
            </c:numRef>
          </c:val>
          <c:extLst>
            <c:ext xmlns:c16="http://schemas.microsoft.com/office/drawing/2014/chart" uri="{C3380CC4-5D6E-409C-BE32-E72D297353CC}">
              <c16:uniqueId val="{0000000C-FB86-4A14-A2D6-BC1C3BE8004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588-41C7-A12D-D6A99DB8D36A}"/>
                </c:ext>
              </c:extLst>
            </c:dLbl>
            <c:dLbl>
              <c:idx val="1"/>
              <c:layout>
                <c:manualLayout>
                  <c:x val="-0.14714208636126058"/>
                  <c:y val="-0.1291785065328372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588-41C7-A12D-D6A99DB8D36A}"/>
                </c:ext>
              </c:extLst>
            </c:dLbl>
            <c:dLbl>
              <c:idx val="2"/>
              <c:layout>
                <c:manualLayout>
                  <c:x val="-7.6814733008481004E-2"/>
                  <c:y val="7.799601972830319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588-41C7-A12D-D6A99DB8D36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588-41C7-A12D-D6A99DB8D36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588-41C7-A12D-D6A99DB8D36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2.1877000000000001E-2</c:v>
                </c:pt>
                <c:pt idx="1">
                  <c:v>0.28878999999999999</c:v>
                </c:pt>
                <c:pt idx="2">
                  <c:v>0.46956399999999998</c:v>
                </c:pt>
                <c:pt idx="3">
                  <c:v>0.14674400000000001</c:v>
                </c:pt>
                <c:pt idx="4">
                  <c:v>7.3025000000000007E-2</c:v>
                </c:pt>
              </c:numCache>
            </c:numRef>
          </c:val>
          <c:extLst>
            <c:ext xmlns:c16="http://schemas.microsoft.com/office/drawing/2014/chart" uri="{C3380CC4-5D6E-409C-BE32-E72D297353CC}">
              <c16:uniqueId val="{0000000C-F588-41C7-A12D-D6A99DB8D36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157-41A6-B92F-1F43BEAD565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A157-41A6-B92F-1F43BEAD565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DCC-4F70-8E3B-ABC75857481F}"/>
                </c:ext>
              </c:extLst>
            </c:dLbl>
            <c:dLbl>
              <c:idx val="1"/>
              <c:layout>
                <c:manualLayout>
                  <c:x val="0.1354282655246252"/>
                  <c:y val="6.330708661417322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DCC-4F70-8E3B-ABC75857481F}"/>
                </c:ext>
              </c:extLst>
            </c:dLbl>
            <c:dLbl>
              <c:idx val="2"/>
              <c:layout>
                <c:manualLayout>
                  <c:x val="-0.27464600650828713"/>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DCC-4F70-8E3B-ABC75857481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7.6629999999999997E-3</c:v>
                </c:pt>
                <c:pt idx="1">
                  <c:v>8.8400000000000002E-4</c:v>
                </c:pt>
                <c:pt idx="2">
                  <c:v>0.99145300000000003</c:v>
                </c:pt>
              </c:numCache>
            </c:numRef>
          </c:val>
          <c:extLst>
            <c:ext xmlns:c16="http://schemas.microsoft.com/office/drawing/2014/chart" uri="{C3380CC4-5D6E-409C-BE32-E72D297353CC}">
              <c16:uniqueId val="{0000000C-DDCC-4F70-8E3B-ABC75857481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280438044816134"/>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07E-41FF-848C-7572BE10C2C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507E-41FF-848C-7572BE10C2C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layout>
                <c:manualLayout>
                  <c:x val="0.14388600381055161"/>
                  <c:y val="2.50775153105861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43F-446A-A05B-2BB42672966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43F-446A-A05B-2BB426729660}"/>
                </c:ext>
              </c:extLst>
            </c:dLbl>
            <c:dLbl>
              <c:idx val="2"/>
              <c:layout>
                <c:manualLayout>
                  <c:x val="-0.13838262321064257"/>
                  <c:y val="-6.93018372703412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43F-446A-A05B-2BB4267296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1.9283999999999999E-2</c:v>
                </c:pt>
                <c:pt idx="1">
                  <c:v>1.3794000000000001E-2</c:v>
                </c:pt>
                <c:pt idx="2">
                  <c:v>0.96692199999999995</c:v>
                </c:pt>
              </c:numCache>
            </c:numRef>
          </c:val>
          <c:extLst>
            <c:ext xmlns:c16="http://schemas.microsoft.com/office/drawing/2014/chart" uri="{C3380CC4-5D6E-409C-BE32-E72D297353CC}">
              <c16:uniqueId val="{0000000C-843F-446A-A05B-2BB42672966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3F9-41F7-89A5-ED98E3E65E8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'IDFC-GIF2027'!$G$8</c:f>
              <c:strCache>
                <c:ptCount val="1"/>
                <c:pt idx="0">
                  <c:v>AAA EQUIVALENT</c:v>
                </c:pt>
              </c:strCache>
            </c:strRef>
          </c:cat>
          <c:val>
            <c:numRef>
              <c:f>'IDFC-GIF2027'!$H$8</c:f>
              <c:numCache>
                <c:formatCode>0%</c:formatCode>
                <c:ptCount val="1"/>
                <c:pt idx="0">
                  <c:v>1</c:v>
                </c:pt>
              </c:numCache>
            </c:numRef>
          </c:val>
          <c:extLst>
            <c:ext xmlns:c16="http://schemas.microsoft.com/office/drawing/2014/chart" uri="{C3380CC4-5D6E-409C-BE32-E72D297353CC}">
              <c16:uniqueId val="{0000000C-A3F9-41F7-89A5-ED98E3E65E8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6B8-4AE0-AF4C-99341866AA05}"/>
                </c:ext>
              </c:extLst>
            </c:dLbl>
            <c:dLbl>
              <c:idx val="1"/>
              <c:layout>
                <c:manualLayout>
                  <c:x val="9.7553322429985337E-2"/>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6B8-4AE0-AF4C-99341866AA05}"/>
                </c:ext>
              </c:extLst>
            </c:dLbl>
            <c:dLbl>
              <c:idx val="2"/>
              <c:layout>
                <c:manualLayout>
                  <c:x val="-0.27573572307744187"/>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6B8-4AE0-AF4C-99341866AA05}"/>
                </c:ext>
              </c:extLst>
            </c:dLbl>
            <c:dLbl>
              <c:idx val="3"/>
              <c:layout>
                <c:manualLayout>
                  <c:x val="-4.8927397190982817E-2"/>
                  <c:y val="-2.93669291338582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6B8-4AE0-AF4C-99341866AA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'IDFC-GIF2027'!$J$9:$J$13</c:f>
              <c:strCache>
                <c:ptCount val="4"/>
                <c:pt idx="0">
                  <c:v>Net Current Asset</c:v>
                </c:pt>
                <c:pt idx="1">
                  <c:v>TRI Party Repo</c:v>
                </c:pt>
                <c:pt idx="2">
                  <c:v>Government Bond</c:v>
                </c:pt>
                <c:pt idx="3">
                  <c:v>Treasury Bill</c:v>
                </c:pt>
              </c:strCache>
            </c:strRef>
          </c:cat>
          <c:val>
            <c:numRef>
              <c:f>'IDFC-GIF2027'!$K$9:$K$13</c:f>
              <c:numCache>
                <c:formatCode>0.00%</c:formatCode>
                <c:ptCount val="5"/>
                <c:pt idx="0">
                  <c:v>2.7889999999999998E-3</c:v>
                </c:pt>
                <c:pt idx="1">
                  <c:v>2.6800999999999998E-2</c:v>
                </c:pt>
                <c:pt idx="2">
                  <c:v>0.95401899999999995</c:v>
                </c:pt>
                <c:pt idx="3">
                  <c:v>1.6390999999999999E-2</c:v>
                </c:pt>
              </c:numCache>
            </c:numRef>
          </c:val>
          <c:extLst>
            <c:ext xmlns:c16="http://schemas.microsoft.com/office/drawing/2014/chart" uri="{C3380CC4-5D6E-409C-BE32-E72D297353CC}">
              <c16:uniqueId val="{0000000C-96B8-4AE0-AF4C-99341866AA0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139118852113506"/>
                  <c:y val="-1.09170305676855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384-439F-BD5E-9FAB8C1FA0B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'IDFC-GIF2028'!$G$8</c:f>
              <c:strCache>
                <c:ptCount val="1"/>
                <c:pt idx="0">
                  <c:v>AAA EQUIVALENT</c:v>
                </c:pt>
              </c:strCache>
            </c:strRef>
          </c:cat>
          <c:val>
            <c:numRef>
              <c:f>'IDFC-GIF2028'!$H$8</c:f>
              <c:numCache>
                <c:formatCode>0%</c:formatCode>
                <c:ptCount val="1"/>
                <c:pt idx="0">
                  <c:v>1</c:v>
                </c:pt>
              </c:numCache>
            </c:numRef>
          </c:val>
          <c:extLst>
            <c:ext xmlns:c16="http://schemas.microsoft.com/office/drawing/2014/chart" uri="{C3380CC4-5D6E-409C-BE32-E72D297353CC}">
              <c16:uniqueId val="{0000000C-D384-439F-BD5E-9FAB8C1FA0B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CB1-435A-B838-8DEDEA9FD96F}"/>
                </c:ext>
              </c:extLst>
            </c:dLbl>
            <c:dLbl>
              <c:idx val="1"/>
              <c:layout>
                <c:manualLayout>
                  <c:x val="0.13823559662108617"/>
                  <c:y val="-1.58586176727909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CB1-435A-B838-8DEDEA9FD96F}"/>
                </c:ext>
              </c:extLst>
            </c:dLbl>
            <c:dLbl>
              <c:idx val="2"/>
              <c:layout>
                <c:manualLayout>
                  <c:x val="-0.21490220708492808"/>
                  <c:y val="-3.596850393700787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CB1-435A-B838-8DEDEA9FD96F}"/>
                </c:ext>
              </c:extLst>
            </c:dLbl>
            <c:dLbl>
              <c:idx val="3"/>
              <c:layout>
                <c:manualLayout>
                  <c:x val="-0.1359666323829436"/>
                  <c:y val="-4.38113735783027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CB1-435A-B838-8DEDEA9FD9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'IDFC-GIF2028'!$J$9:$J$12</c:f>
              <c:strCache>
                <c:ptCount val="4"/>
                <c:pt idx="0">
                  <c:v>Net Current Asset</c:v>
                </c:pt>
                <c:pt idx="1">
                  <c:v>TRI Party Repo</c:v>
                </c:pt>
                <c:pt idx="2">
                  <c:v>Government Bond</c:v>
                </c:pt>
                <c:pt idx="3">
                  <c:v>Treasury Bill</c:v>
                </c:pt>
              </c:strCache>
            </c:strRef>
          </c:cat>
          <c:val>
            <c:numRef>
              <c:f>'IDFC-GIF2028'!$K$9:$K$12</c:f>
              <c:numCache>
                <c:formatCode>0.00%</c:formatCode>
                <c:ptCount val="4"/>
                <c:pt idx="0">
                  <c:v>1.7548000000000001E-2</c:v>
                </c:pt>
                <c:pt idx="1">
                  <c:v>1.6365999999999999E-2</c:v>
                </c:pt>
                <c:pt idx="2">
                  <c:v>0.95084199999999996</c:v>
                </c:pt>
                <c:pt idx="3">
                  <c:v>1.5244000000000001E-2</c:v>
                </c:pt>
              </c:numCache>
            </c:numRef>
          </c:val>
          <c:extLst>
            <c:ext xmlns:c16="http://schemas.microsoft.com/office/drawing/2014/chart" uri="{C3380CC4-5D6E-409C-BE32-E72D297353CC}">
              <c16:uniqueId val="{0000000C-1CB1-435A-B838-8DEDEA9FD96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353243184002426"/>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441-44B6-A429-1272BFF1B91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1441-44B6-A429-1272BFF1B91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manualLayout>
                  <c:x val="9.7964895715658667E-2"/>
                  <c:y val="-1.8255818022747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38B-4D48-B5E2-510D8E8BE741}"/>
                </c:ext>
              </c:extLst>
            </c:dLbl>
            <c:dLbl>
              <c:idx val="1"/>
              <c:layout>
                <c:manualLayout>
                  <c:x val="-0.21057402755062468"/>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38B-4D48-B5E2-510D8E8BE741}"/>
                </c:ext>
              </c:extLst>
            </c:dLbl>
            <c:dLbl>
              <c:idx val="2"/>
              <c:layout>
                <c:manualLayout>
                  <c:x val="-0.245245915459711"/>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38B-4D48-B5E2-510D8E8BE7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-4.5800000000000002E-4</c:v>
                </c:pt>
                <c:pt idx="1">
                  <c:v>1.2382000000000001E-2</c:v>
                </c:pt>
                <c:pt idx="2">
                  <c:v>0.98807599999999995</c:v>
                </c:pt>
              </c:numCache>
            </c:numRef>
          </c:val>
          <c:extLst>
            <c:ext xmlns:c16="http://schemas.microsoft.com/office/drawing/2014/chart" uri="{C3380CC4-5D6E-409C-BE32-E72D297353CC}">
              <c16:uniqueId val="{0000000C-E38B-4D48-B5E2-510D8E8BE74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65FB146-E43C-4C8F-A8ED-221ECF01E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ED50004-94BE-4B11-90E5-71D63AFC4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64EEB09-DE12-48E2-B6BA-8ECF3EA60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3A8428EE-7C32-4947-ACB7-B9184C4A2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482E8A8-CF59-4D81-97D3-83228840E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9E72F886-DB4E-429F-9F67-DDE847B22F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4D7C49E-7FF1-41A5-BF32-8290DB9F9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EC8254CD-64F9-428F-89F4-BF17DCDB3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4E1C056-5B79-41FE-9391-14EC6244F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FDA9CF53-5A19-4F57-99BD-EAE05B247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F30EABA-2375-4D77-AEF4-2BD50E430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C300D29-DC57-491F-A517-FEED42038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E2C1209-DBB5-48D6-A6AA-87FCDC872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3402A6B-14DC-474B-B95D-761133362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DC5A236-5D07-4B77-AF1D-29D6CEA38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546100</xdr:colOff>
      <xdr:row>26</xdr:row>
      <xdr:rowOff>50801</xdr:rowOff>
    </xdr:from>
    <xdr:to>
      <xdr:col>13</xdr:col>
      <xdr:colOff>482600</xdr:colOff>
      <xdr:row>41</xdr:row>
      <xdr:rowOff>60326</xdr:rowOff>
    </xdr:to>
    <xdr:graphicFrame macro="">
      <xdr:nvGraphicFramePr>
        <xdr:cNvPr id="3" name="Chart 2">
          <a:extLst>
            <a:ext uri="{FF2B5EF4-FFF2-40B4-BE49-F238E27FC236}">
              <a16:creationId xmlns:a16="http://schemas.microsoft.com/office/drawing/2014/main" id="{123CFC6E-B881-4E8E-979E-3A8776D38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00AF281-5D84-4F35-88B0-F881AE06D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7F90A931-C4B3-4391-AF9B-4DCC997A7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CC331D5-3936-4221-BFDA-34820E740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63B39973-27F1-46AB-9650-8378F32D7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1FCE6FD-AFB0-4A11-B2E5-0B1D5BDCA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81E61FCC-B058-49BF-8FE7-CB2F56156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571500</xdr:colOff>
      <xdr:row>7</xdr:row>
      <xdr:rowOff>25401</xdr:rowOff>
    </xdr:from>
    <xdr:to>
      <xdr:col>13</xdr:col>
      <xdr:colOff>508000</xdr:colOff>
      <xdr:row>22</xdr:row>
      <xdr:rowOff>25401</xdr:rowOff>
    </xdr:to>
    <xdr:graphicFrame macro="">
      <xdr:nvGraphicFramePr>
        <xdr:cNvPr id="2" name="Chart 1">
          <a:extLst>
            <a:ext uri="{FF2B5EF4-FFF2-40B4-BE49-F238E27FC236}">
              <a16:creationId xmlns:a16="http://schemas.microsoft.com/office/drawing/2014/main" id="{37FD13A4-C81A-4757-81B2-2D8A47AF2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D5274931-520E-40A9-8C1B-A3446411A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571500</xdr:colOff>
      <xdr:row>7</xdr:row>
      <xdr:rowOff>25400</xdr:rowOff>
    </xdr:from>
    <xdr:to>
      <xdr:col>13</xdr:col>
      <xdr:colOff>508000</xdr:colOff>
      <xdr:row>22</xdr:row>
      <xdr:rowOff>25400</xdr:rowOff>
    </xdr:to>
    <xdr:graphicFrame macro="">
      <xdr:nvGraphicFramePr>
        <xdr:cNvPr id="2" name="Chart 1">
          <a:extLst>
            <a:ext uri="{FF2B5EF4-FFF2-40B4-BE49-F238E27FC236}">
              <a16:creationId xmlns:a16="http://schemas.microsoft.com/office/drawing/2014/main" id="{4DA48C6B-D64D-4677-BBFD-29534217B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B486D7D1-00E2-4F7C-AE22-57692BDAC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EBAB2F9-EC68-4D11-9CED-33B23150F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38B4962-A767-4B3F-80BC-8CF417BA6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12700</xdr:colOff>
      <xdr:row>7</xdr:row>
      <xdr:rowOff>38101</xdr:rowOff>
    </xdr:from>
    <xdr:to>
      <xdr:col>13</xdr:col>
      <xdr:colOff>558800</xdr:colOff>
      <xdr:row>22</xdr:row>
      <xdr:rowOff>38101</xdr:rowOff>
    </xdr:to>
    <xdr:graphicFrame macro="">
      <xdr:nvGraphicFramePr>
        <xdr:cNvPr id="2" name="Chart 1">
          <a:extLst>
            <a:ext uri="{FF2B5EF4-FFF2-40B4-BE49-F238E27FC236}">
              <a16:creationId xmlns:a16="http://schemas.microsoft.com/office/drawing/2014/main" id="{059F43DC-F3FB-4CCF-BD33-559A5021D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3EFA1E8-3CCC-4584-B9FE-F7F127E51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469900</xdr:colOff>
      <xdr:row>7</xdr:row>
      <xdr:rowOff>12700</xdr:rowOff>
    </xdr:from>
    <xdr:to>
      <xdr:col>13</xdr:col>
      <xdr:colOff>406400</xdr:colOff>
      <xdr:row>22</xdr:row>
      <xdr:rowOff>12700</xdr:rowOff>
    </xdr:to>
    <xdr:graphicFrame macro="">
      <xdr:nvGraphicFramePr>
        <xdr:cNvPr id="2" name="Chart 1">
          <a:extLst>
            <a:ext uri="{FF2B5EF4-FFF2-40B4-BE49-F238E27FC236}">
              <a16:creationId xmlns:a16="http://schemas.microsoft.com/office/drawing/2014/main" id="{2152C428-F87B-41A0-9FED-37779B6CD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C797DC2-9E39-4829-AB4F-41DD2811A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AC9A461-8EE7-4BB3-9060-D33D5C846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5491CA3-5DFF-46D4-9A2E-5815F5B34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E0C81DA-BCE7-45EE-A5F9-D5901CE20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0425BE9-FCFB-4502-949F-1EC5F99E9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86E9-3602-4647-96C9-C0246BCF3B4D}">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165</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166</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9</v>
      </c>
      <c r="D8" s="6"/>
      <c r="E8" s="11">
        <v>0.99850899999999998</v>
      </c>
      <c r="F8" s="1"/>
      <c r="G8" s="24" t="s">
        <v>16</v>
      </c>
      <c r="H8" s="25">
        <v>1</v>
      </c>
      <c r="I8" s="1"/>
      <c r="J8" s="24" t="s">
        <v>13</v>
      </c>
      <c r="K8" s="24" t="s">
        <v>5</v>
      </c>
      <c r="L8" s="1"/>
      <c r="M8" s="1"/>
      <c r="N8" s="18"/>
    </row>
    <row r="9" spans="2:14" ht="15.75" customHeight="1" x14ac:dyDescent="0.25">
      <c r="B9" s="20"/>
      <c r="C9" s="7" t="s">
        <v>10</v>
      </c>
      <c r="D9" s="8"/>
      <c r="E9" s="12">
        <v>0.99850899999999998</v>
      </c>
      <c r="F9" s="1"/>
      <c r="G9" s="1"/>
      <c r="H9" s="1"/>
      <c r="I9" s="1"/>
      <c r="J9" s="24" t="s">
        <v>11</v>
      </c>
      <c r="K9" s="29">
        <v>1.4909999999999999E-3</v>
      </c>
      <c r="L9" s="1"/>
      <c r="M9" s="1"/>
      <c r="N9" s="18"/>
    </row>
    <row r="10" spans="2:14" ht="15" customHeight="1" x14ac:dyDescent="0.25">
      <c r="B10" s="20"/>
      <c r="C10" s="5"/>
      <c r="D10" s="6"/>
      <c r="E10" s="11"/>
      <c r="F10" s="1"/>
      <c r="G10" s="1"/>
      <c r="H10" s="1"/>
      <c r="I10" s="1"/>
      <c r="J10" s="24" t="s">
        <v>14</v>
      </c>
      <c r="K10" s="29">
        <v>0.99850899999999998</v>
      </c>
      <c r="L10" s="1"/>
      <c r="M10" s="1"/>
      <c r="N10" s="18"/>
    </row>
    <row r="11" spans="2:14" ht="15.75" customHeight="1" x14ac:dyDescent="0.25">
      <c r="B11" s="20"/>
      <c r="C11" s="7" t="s">
        <v>11</v>
      </c>
      <c r="D11" s="8"/>
      <c r="E11" s="12">
        <v>1.4909999999999999E-3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12</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116</v>
      </c>
      <c r="H24" s="44"/>
      <c r="I24" s="44"/>
      <c r="J24" s="44"/>
      <c r="K24" s="44"/>
      <c r="L24" s="46">
        <v>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19</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7" customHeight="1" thickBot="1" x14ac:dyDescent="0.3">
      <c r="B45" s="35" t="s">
        <v>234</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F9A81-7F01-43EB-B646-26BF2A52FD07}">
  <dimension ref="B1:N8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94</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95</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25</v>
      </c>
      <c r="D8" s="6" t="s">
        <v>23</v>
      </c>
      <c r="E8" s="11">
        <v>6.8029999999999993E-2</v>
      </c>
      <c r="F8" s="1"/>
      <c r="G8" s="24" t="s">
        <v>16</v>
      </c>
      <c r="H8" s="25">
        <v>1</v>
      </c>
      <c r="I8" s="1"/>
      <c r="J8" s="24" t="s">
        <v>13</v>
      </c>
      <c r="K8" s="24" t="s">
        <v>5</v>
      </c>
      <c r="L8" s="1"/>
      <c r="M8" s="1"/>
      <c r="N8" s="18"/>
    </row>
    <row r="9" spans="2:14" ht="15" customHeight="1" x14ac:dyDescent="0.25">
      <c r="B9" s="20"/>
      <c r="C9" s="5" t="s">
        <v>22</v>
      </c>
      <c r="D9" s="6" t="s">
        <v>23</v>
      </c>
      <c r="E9" s="11">
        <v>6.5153000000000003E-2</v>
      </c>
      <c r="F9" s="1"/>
      <c r="G9" s="1"/>
      <c r="H9" s="1"/>
      <c r="I9" s="1"/>
      <c r="J9" s="24" t="s">
        <v>11</v>
      </c>
      <c r="K9" s="29">
        <v>8.0599999999999995E-3</v>
      </c>
      <c r="L9" s="1"/>
      <c r="M9" s="1"/>
      <c r="N9" s="18"/>
    </row>
    <row r="10" spans="2:14" ht="15" customHeight="1" x14ac:dyDescent="0.25">
      <c r="B10" s="20"/>
      <c r="C10" s="5" t="s">
        <v>29</v>
      </c>
      <c r="D10" s="6" t="s">
        <v>23</v>
      </c>
      <c r="E10" s="11">
        <v>2.9293E-2</v>
      </c>
      <c r="F10" s="1"/>
      <c r="G10" s="1"/>
      <c r="H10" s="1"/>
      <c r="I10" s="1"/>
      <c r="J10" s="24" t="s">
        <v>14</v>
      </c>
      <c r="K10" s="29">
        <v>9.2452000000000006E-2</v>
      </c>
      <c r="L10" s="1"/>
      <c r="M10" s="1"/>
      <c r="N10" s="18"/>
    </row>
    <row r="11" spans="2:14" ht="15" customHeight="1" x14ac:dyDescent="0.25">
      <c r="B11" s="20"/>
      <c r="C11" s="5" t="s">
        <v>26</v>
      </c>
      <c r="D11" s="6" t="s">
        <v>23</v>
      </c>
      <c r="E11" s="11">
        <v>2.1038999999999999E-2</v>
      </c>
      <c r="F11" s="1"/>
      <c r="G11" s="1"/>
      <c r="H11" s="1"/>
      <c r="I11" s="1"/>
      <c r="J11" s="24" t="s">
        <v>67</v>
      </c>
      <c r="K11" s="29">
        <v>0.206647</v>
      </c>
      <c r="L11" s="1"/>
      <c r="M11" s="1"/>
      <c r="N11" s="18"/>
    </row>
    <row r="12" spans="2:14" ht="15" customHeight="1" x14ac:dyDescent="0.25">
      <c r="B12" s="20"/>
      <c r="C12" s="5" t="s">
        <v>24</v>
      </c>
      <c r="D12" s="6" t="s">
        <v>23</v>
      </c>
      <c r="E12" s="11">
        <v>2.1034000000000001E-2</v>
      </c>
      <c r="F12" s="1"/>
      <c r="G12" s="1"/>
      <c r="H12" s="1"/>
      <c r="I12" s="1"/>
      <c r="J12" s="24" t="s">
        <v>68</v>
      </c>
      <c r="K12" s="29">
        <v>0.126942</v>
      </c>
      <c r="L12" s="1"/>
      <c r="M12" s="1"/>
      <c r="N12" s="18"/>
    </row>
    <row r="13" spans="2:14" ht="15" customHeight="1" x14ac:dyDescent="0.25">
      <c r="B13" s="20"/>
      <c r="C13" s="5" t="s">
        <v>53</v>
      </c>
      <c r="D13" s="6" t="s">
        <v>23</v>
      </c>
      <c r="E13" s="11">
        <v>2.098E-3</v>
      </c>
      <c r="F13" s="1"/>
      <c r="G13" s="1"/>
      <c r="H13" s="1"/>
      <c r="I13" s="1"/>
      <c r="J13" s="24" t="s">
        <v>69</v>
      </c>
      <c r="K13" s="29">
        <v>0.293763</v>
      </c>
      <c r="L13" s="1"/>
      <c r="M13" s="1"/>
      <c r="N13" s="18"/>
    </row>
    <row r="14" spans="2:14" ht="15.75" customHeight="1" x14ac:dyDescent="0.25">
      <c r="B14" s="20"/>
      <c r="C14" s="7" t="s">
        <v>30</v>
      </c>
      <c r="D14" s="8"/>
      <c r="E14" s="12">
        <v>0.206647</v>
      </c>
      <c r="F14" s="1"/>
      <c r="G14" s="1"/>
      <c r="H14" s="1"/>
      <c r="I14" s="1"/>
      <c r="J14" s="24" t="s">
        <v>71</v>
      </c>
      <c r="K14" s="29">
        <v>6.7558000000000007E-2</v>
      </c>
      <c r="L14" s="1"/>
      <c r="M14" s="1"/>
      <c r="N14" s="18"/>
    </row>
    <row r="15" spans="2:14" ht="15" customHeight="1" x14ac:dyDescent="0.25">
      <c r="B15" s="20"/>
      <c r="C15" s="5" t="s">
        <v>96</v>
      </c>
      <c r="D15" s="6" t="s">
        <v>23</v>
      </c>
      <c r="E15" s="11">
        <v>5.8791000000000003E-2</v>
      </c>
      <c r="F15" s="1"/>
      <c r="G15" s="1"/>
      <c r="H15" s="1"/>
      <c r="I15" s="1"/>
      <c r="J15" s="24" t="s">
        <v>73</v>
      </c>
      <c r="K15" s="29">
        <v>0.20457800000000001</v>
      </c>
      <c r="L15" s="1"/>
      <c r="M15" s="1"/>
      <c r="N15" s="18"/>
    </row>
    <row r="16" spans="2:14" ht="15" customHeight="1" x14ac:dyDescent="0.25">
      <c r="B16" s="20"/>
      <c r="C16" s="5" t="s">
        <v>97</v>
      </c>
      <c r="D16" s="6" t="s">
        <v>23</v>
      </c>
      <c r="E16" s="11">
        <v>4.6091E-2</v>
      </c>
      <c r="F16" s="1"/>
      <c r="G16" s="1"/>
      <c r="H16" s="1"/>
      <c r="I16" s="1"/>
      <c r="J16" s="1"/>
      <c r="K16" s="1"/>
      <c r="L16" s="1"/>
      <c r="M16" s="1"/>
      <c r="N16" s="18"/>
    </row>
    <row r="17" spans="2:14" ht="15" customHeight="1" x14ac:dyDescent="0.25">
      <c r="B17" s="20"/>
      <c r="C17" s="5" t="s">
        <v>98</v>
      </c>
      <c r="D17" s="6" t="s">
        <v>23</v>
      </c>
      <c r="E17" s="11">
        <v>3.5746E-2</v>
      </c>
      <c r="F17" s="1"/>
      <c r="G17" s="1"/>
      <c r="H17" s="1"/>
      <c r="I17" s="1"/>
      <c r="J17" s="1"/>
      <c r="K17" s="1"/>
      <c r="L17" s="1"/>
      <c r="M17" s="1"/>
      <c r="N17" s="18"/>
    </row>
    <row r="18" spans="2:14" ht="15" customHeight="1" x14ac:dyDescent="0.25">
      <c r="B18" s="20"/>
      <c r="C18" s="5" t="s">
        <v>33</v>
      </c>
      <c r="D18" s="6" t="s">
        <v>23</v>
      </c>
      <c r="E18" s="11">
        <v>3.5718E-2</v>
      </c>
      <c r="F18" s="1"/>
      <c r="G18" s="1"/>
      <c r="H18" s="1"/>
      <c r="I18" s="1"/>
      <c r="J18" s="1"/>
      <c r="K18" s="1"/>
      <c r="L18" s="1"/>
      <c r="M18" s="1"/>
      <c r="N18" s="18"/>
    </row>
    <row r="19" spans="2:14" ht="15" customHeight="1" x14ac:dyDescent="0.25">
      <c r="B19" s="20"/>
      <c r="C19" s="5" t="s">
        <v>99</v>
      </c>
      <c r="D19" s="6" t="s">
        <v>23</v>
      </c>
      <c r="E19" s="11">
        <v>3.3602E-2</v>
      </c>
      <c r="F19" s="1"/>
      <c r="G19" s="1"/>
      <c r="H19" s="1"/>
      <c r="I19" s="1"/>
      <c r="J19" s="1"/>
      <c r="K19" s="1"/>
      <c r="L19" s="1"/>
      <c r="M19" s="1"/>
      <c r="N19" s="18"/>
    </row>
    <row r="20" spans="2:14" ht="15" customHeight="1" x14ac:dyDescent="0.25">
      <c r="B20" s="20"/>
      <c r="C20" s="5" t="s">
        <v>100</v>
      </c>
      <c r="D20" s="6" t="s">
        <v>23</v>
      </c>
      <c r="E20" s="11">
        <v>2.5135999999999999E-2</v>
      </c>
      <c r="F20" s="1"/>
      <c r="G20" s="1"/>
      <c r="H20" s="1"/>
      <c r="I20" s="1"/>
      <c r="J20" s="1"/>
      <c r="K20" s="1"/>
      <c r="L20" s="1"/>
      <c r="M20" s="1"/>
      <c r="N20" s="18"/>
    </row>
    <row r="21" spans="2:14" ht="15" customHeight="1" x14ac:dyDescent="0.25">
      <c r="B21" s="20"/>
      <c r="C21" s="5" t="s">
        <v>27</v>
      </c>
      <c r="D21" s="6" t="s">
        <v>23</v>
      </c>
      <c r="E21" s="11">
        <v>2.085E-2</v>
      </c>
      <c r="F21" s="1"/>
      <c r="G21" s="1"/>
      <c r="H21" s="1"/>
      <c r="I21" s="1"/>
      <c r="J21" s="1"/>
      <c r="K21" s="1"/>
      <c r="L21" s="1"/>
      <c r="M21" s="1"/>
      <c r="N21" s="18"/>
    </row>
    <row r="22" spans="2:14" ht="15" customHeight="1" x14ac:dyDescent="0.25">
      <c r="B22" s="20"/>
      <c r="C22" s="5" t="s">
        <v>101</v>
      </c>
      <c r="D22" s="6" t="s">
        <v>23</v>
      </c>
      <c r="E22" s="11">
        <v>1.6832E-2</v>
      </c>
      <c r="F22" s="1"/>
      <c r="G22" s="1"/>
      <c r="H22" s="1"/>
      <c r="I22" s="1"/>
      <c r="J22" s="1"/>
      <c r="K22" s="1"/>
      <c r="L22" s="1"/>
      <c r="M22" s="1"/>
      <c r="N22" s="18"/>
    </row>
    <row r="23" spans="2:14" ht="15" customHeight="1" x14ac:dyDescent="0.25">
      <c r="B23" s="20"/>
      <c r="C23" s="5" t="s">
        <v>39</v>
      </c>
      <c r="D23" s="6" t="s">
        <v>23</v>
      </c>
      <c r="E23" s="11">
        <v>1.6799999999999999E-2</v>
      </c>
      <c r="F23" s="1"/>
      <c r="G23" s="1"/>
      <c r="H23" s="1"/>
      <c r="I23" s="1"/>
      <c r="J23" s="1"/>
      <c r="K23" s="1"/>
      <c r="L23" s="1"/>
      <c r="M23" s="1"/>
      <c r="N23" s="18"/>
    </row>
    <row r="24" spans="2:14" ht="15" customHeight="1" x14ac:dyDescent="0.25">
      <c r="B24" s="20"/>
      <c r="C24" s="5" t="s">
        <v>102</v>
      </c>
      <c r="D24" s="6" t="s">
        <v>23</v>
      </c>
      <c r="E24" s="11">
        <v>2.0999999999999999E-3</v>
      </c>
      <c r="F24" s="1"/>
      <c r="G24" s="43" t="s">
        <v>116</v>
      </c>
      <c r="H24" s="44"/>
      <c r="I24" s="44"/>
      <c r="J24" s="44"/>
      <c r="K24" s="44"/>
      <c r="L24" s="46">
        <v>35</v>
      </c>
      <c r="M24" s="27"/>
      <c r="N24" s="28"/>
    </row>
    <row r="25" spans="2:14" ht="15" customHeight="1" x14ac:dyDescent="0.25">
      <c r="B25" s="20"/>
      <c r="C25" s="5" t="s">
        <v>103</v>
      </c>
      <c r="D25" s="6" t="s">
        <v>23</v>
      </c>
      <c r="E25" s="11">
        <v>2.0969999999999999E-3</v>
      </c>
      <c r="F25" s="1"/>
      <c r="G25" s="1"/>
      <c r="H25" s="1"/>
      <c r="I25" s="1"/>
      <c r="J25" s="1"/>
      <c r="K25" s="1"/>
      <c r="L25" s="1"/>
      <c r="M25" s="1"/>
      <c r="N25" s="18"/>
    </row>
    <row r="26" spans="2:14" ht="15.75" customHeight="1" x14ac:dyDescent="0.25">
      <c r="B26" s="20"/>
      <c r="C26" s="7" t="s">
        <v>32</v>
      </c>
      <c r="D26" s="8"/>
      <c r="E26" s="12">
        <v>0.293763</v>
      </c>
      <c r="F26" s="1"/>
      <c r="G26" s="43" t="s">
        <v>19</v>
      </c>
      <c r="H26" s="44"/>
      <c r="I26" s="44"/>
      <c r="J26" s="44"/>
      <c r="K26" s="44"/>
      <c r="L26" s="44"/>
      <c r="M26" s="44"/>
      <c r="N26" s="45"/>
    </row>
    <row r="27" spans="2:14" ht="15" customHeight="1" x14ac:dyDescent="0.25">
      <c r="B27" s="20"/>
      <c r="C27" s="5" t="s">
        <v>51</v>
      </c>
      <c r="D27" s="6" t="s">
        <v>34</v>
      </c>
      <c r="E27" s="11">
        <v>3.4653000000000003E-2</v>
      </c>
      <c r="F27" s="1"/>
      <c r="G27" s="1"/>
      <c r="H27" s="1"/>
      <c r="I27" s="1"/>
      <c r="J27" s="1"/>
      <c r="K27" s="1"/>
      <c r="L27" s="1"/>
      <c r="M27" s="1"/>
      <c r="N27" s="18"/>
    </row>
    <row r="28" spans="2:14" ht="15" customHeight="1" x14ac:dyDescent="0.25">
      <c r="B28" s="20"/>
      <c r="C28" s="5" t="s">
        <v>33</v>
      </c>
      <c r="D28" s="6" t="s">
        <v>34</v>
      </c>
      <c r="E28" s="11">
        <v>1.4773E-2</v>
      </c>
      <c r="F28" s="1"/>
      <c r="G28" s="1"/>
      <c r="H28" s="1"/>
      <c r="I28" s="1"/>
      <c r="J28" s="1"/>
      <c r="K28" s="1"/>
      <c r="L28" s="1"/>
      <c r="M28" s="1"/>
      <c r="N28" s="18"/>
    </row>
    <row r="29" spans="2:14" ht="15" customHeight="1" x14ac:dyDescent="0.25">
      <c r="B29" s="20"/>
      <c r="C29" s="5" t="s">
        <v>47</v>
      </c>
      <c r="D29" s="6" t="s">
        <v>34</v>
      </c>
      <c r="E29" s="11">
        <v>1.2182E-2</v>
      </c>
      <c r="F29" s="1"/>
      <c r="G29" s="1"/>
      <c r="H29" s="1"/>
      <c r="I29" s="1"/>
      <c r="J29" s="1"/>
      <c r="K29" s="1"/>
      <c r="L29" s="1"/>
      <c r="M29" s="1"/>
      <c r="N29" s="18"/>
    </row>
    <row r="30" spans="2:14" ht="15" customHeight="1" x14ac:dyDescent="0.25">
      <c r="B30" s="20"/>
      <c r="C30" s="5" t="s">
        <v>31</v>
      </c>
      <c r="D30" s="6" t="s">
        <v>34</v>
      </c>
      <c r="E30" s="11">
        <v>1.0605E-2</v>
      </c>
      <c r="F30" s="1"/>
      <c r="G30" s="1"/>
      <c r="H30" s="1"/>
      <c r="I30" s="1"/>
      <c r="J30" s="1"/>
      <c r="K30" s="1"/>
      <c r="L30" s="1"/>
      <c r="M30" s="1"/>
      <c r="N30" s="18"/>
    </row>
    <row r="31" spans="2:14" ht="15" customHeight="1" x14ac:dyDescent="0.25">
      <c r="B31" s="20"/>
      <c r="C31" s="5" t="s">
        <v>37</v>
      </c>
      <c r="D31" s="6" t="s">
        <v>34</v>
      </c>
      <c r="E31" s="11">
        <v>1.056E-2</v>
      </c>
      <c r="F31" s="1"/>
      <c r="G31" s="1"/>
      <c r="H31" s="1"/>
      <c r="I31" s="1"/>
      <c r="J31" s="1"/>
      <c r="K31" s="1"/>
      <c r="L31" s="1"/>
      <c r="M31" s="1"/>
      <c r="N31" s="18"/>
    </row>
    <row r="32" spans="2:14" ht="15" customHeight="1" x14ac:dyDescent="0.25">
      <c r="B32" s="20"/>
      <c r="C32" s="5" t="s">
        <v>104</v>
      </c>
      <c r="D32" s="6" t="s">
        <v>34</v>
      </c>
      <c r="E32" s="11">
        <v>9.7359999999999999E-3</v>
      </c>
      <c r="F32" s="1"/>
      <c r="G32" s="1"/>
      <c r="H32" s="1"/>
      <c r="I32" s="1"/>
      <c r="J32" s="1"/>
      <c r="K32" s="1"/>
      <c r="L32" s="1"/>
      <c r="M32" s="1"/>
      <c r="N32" s="18"/>
    </row>
    <row r="33" spans="2:14" ht="15" customHeight="1" x14ac:dyDescent="0.25">
      <c r="B33" s="20"/>
      <c r="C33" s="5" t="s">
        <v>27</v>
      </c>
      <c r="D33" s="6" t="s">
        <v>34</v>
      </c>
      <c r="E33" s="11">
        <v>9.1350000000000008E-3</v>
      </c>
      <c r="F33" s="1"/>
      <c r="G33" s="1"/>
      <c r="H33" s="1"/>
      <c r="I33" s="1"/>
      <c r="J33" s="1"/>
      <c r="K33" s="1"/>
      <c r="L33" s="1"/>
      <c r="M33" s="1"/>
      <c r="N33" s="18"/>
    </row>
    <row r="34" spans="2:14" ht="15" customHeight="1" x14ac:dyDescent="0.25">
      <c r="B34" s="20"/>
      <c r="C34" s="5" t="s">
        <v>43</v>
      </c>
      <c r="D34" s="6" t="s">
        <v>34</v>
      </c>
      <c r="E34" s="11">
        <v>8.4740000000000006E-3</v>
      </c>
      <c r="F34" s="1"/>
      <c r="G34" s="1"/>
      <c r="H34" s="1"/>
      <c r="I34" s="1"/>
      <c r="J34" s="1"/>
      <c r="K34" s="1"/>
      <c r="L34" s="1"/>
      <c r="M34" s="1"/>
      <c r="N34" s="18"/>
    </row>
    <row r="35" spans="2:14" ht="15" customHeight="1" x14ac:dyDescent="0.25">
      <c r="B35" s="20"/>
      <c r="C35" s="5" t="s">
        <v>41</v>
      </c>
      <c r="D35" s="6" t="s">
        <v>34</v>
      </c>
      <c r="E35" s="11">
        <v>6.3020000000000003E-3</v>
      </c>
      <c r="F35" s="1"/>
      <c r="G35" s="1"/>
      <c r="H35" s="1"/>
      <c r="I35" s="1"/>
      <c r="J35" s="1"/>
      <c r="K35" s="1"/>
      <c r="L35" s="1"/>
      <c r="M35" s="1"/>
      <c r="N35" s="18"/>
    </row>
    <row r="36" spans="2:14" ht="15" customHeight="1" x14ac:dyDescent="0.25">
      <c r="B36" s="20"/>
      <c r="C36" s="5" t="s">
        <v>101</v>
      </c>
      <c r="D36" s="6" t="s">
        <v>34</v>
      </c>
      <c r="E36" s="11">
        <v>5.9199999999999999E-3</v>
      </c>
      <c r="F36" s="1"/>
      <c r="G36" s="1"/>
      <c r="H36" s="1"/>
      <c r="I36" s="1"/>
      <c r="J36" s="1"/>
      <c r="K36" s="1"/>
      <c r="L36" s="1"/>
      <c r="M36" s="1"/>
      <c r="N36" s="18"/>
    </row>
    <row r="37" spans="2:14" ht="15" customHeight="1" x14ac:dyDescent="0.25">
      <c r="B37" s="20"/>
      <c r="C37" s="5" t="s">
        <v>105</v>
      </c>
      <c r="D37" s="6" t="s">
        <v>34</v>
      </c>
      <c r="E37" s="11">
        <v>2.5430000000000001E-3</v>
      </c>
      <c r="F37" s="1"/>
      <c r="G37" s="1"/>
      <c r="H37" s="1"/>
      <c r="I37" s="1"/>
      <c r="J37" s="1"/>
      <c r="K37" s="1"/>
      <c r="L37" s="1"/>
      <c r="M37" s="1"/>
      <c r="N37" s="18"/>
    </row>
    <row r="38" spans="2:14" ht="15" customHeight="1" x14ac:dyDescent="0.25">
      <c r="B38" s="20"/>
      <c r="C38" s="5" t="s">
        <v>42</v>
      </c>
      <c r="D38" s="6" t="s">
        <v>34</v>
      </c>
      <c r="E38" s="11">
        <v>2.0590000000000001E-3</v>
      </c>
      <c r="F38" s="1"/>
      <c r="G38" s="1"/>
      <c r="H38" s="1"/>
      <c r="I38" s="1"/>
      <c r="J38" s="1"/>
      <c r="K38" s="1"/>
      <c r="L38" s="1"/>
      <c r="M38" s="1"/>
      <c r="N38" s="18"/>
    </row>
    <row r="39" spans="2:14" ht="15.75" customHeight="1" x14ac:dyDescent="0.25">
      <c r="B39" s="20"/>
      <c r="C39" s="7" t="s">
        <v>52</v>
      </c>
      <c r="D39" s="8"/>
      <c r="E39" s="12">
        <v>0.126942</v>
      </c>
      <c r="F39" s="1"/>
      <c r="G39" s="1"/>
      <c r="H39" s="1"/>
      <c r="I39" s="1"/>
      <c r="J39" s="1"/>
      <c r="K39" s="1"/>
      <c r="L39" s="1"/>
      <c r="M39" s="1"/>
      <c r="N39" s="18"/>
    </row>
    <row r="40" spans="2:14" ht="15" customHeight="1" x14ac:dyDescent="0.25">
      <c r="B40" s="20"/>
      <c r="C40" s="5" t="s">
        <v>106</v>
      </c>
      <c r="D40" s="6" t="s">
        <v>56</v>
      </c>
      <c r="E40" s="11">
        <v>4.6403E-2</v>
      </c>
      <c r="F40" s="1"/>
      <c r="G40" s="1"/>
      <c r="H40" s="1"/>
      <c r="I40" s="1"/>
      <c r="J40" s="1"/>
      <c r="K40" s="1"/>
      <c r="L40" s="1"/>
      <c r="M40" s="1"/>
      <c r="N40" s="18"/>
    </row>
    <row r="41" spans="2:14" ht="15" customHeight="1" x14ac:dyDescent="0.25">
      <c r="B41" s="20"/>
      <c r="C41" s="5" t="s">
        <v>107</v>
      </c>
      <c r="D41" s="6" t="s">
        <v>56</v>
      </c>
      <c r="E41" s="11">
        <v>2.1155E-2</v>
      </c>
      <c r="F41" s="1"/>
      <c r="G41" s="1"/>
      <c r="H41" s="1"/>
      <c r="I41" s="1"/>
      <c r="J41" s="1"/>
      <c r="K41" s="1"/>
      <c r="L41" s="1"/>
      <c r="M41" s="1"/>
      <c r="N41" s="18"/>
    </row>
    <row r="42" spans="2:14" ht="15.75" customHeight="1" x14ac:dyDescent="0.25">
      <c r="B42" s="20"/>
      <c r="C42" s="7" t="s">
        <v>61</v>
      </c>
      <c r="D42" s="8"/>
      <c r="E42" s="12">
        <v>6.7558000000000007E-2</v>
      </c>
      <c r="F42" s="1"/>
      <c r="G42" s="1"/>
      <c r="H42" s="1"/>
      <c r="I42" s="1"/>
      <c r="J42" s="1"/>
      <c r="K42" s="1"/>
      <c r="L42" s="1"/>
      <c r="M42" s="1"/>
      <c r="N42" s="18"/>
    </row>
    <row r="43" spans="2:14" ht="15" customHeight="1" x14ac:dyDescent="0.25">
      <c r="B43" s="20"/>
      <c r="C43" s="5" t="s">
        <v>108</v>
      </c>
      <c r="D43" s="6" t="s">
        <v>56</v>
      </c>
      <c r="E43" s="11">
        <v>7.7610999999999999E-2</v>
      </c>
      <c r="F43" s="1"/>
      <c r="G43" s="1"/>
      <c r="H43" s="1"/>
      <c r="I43" s="1"/>
      <c r="J43" s="1"/>
      <c r="K43" s="1"/>
      <c r="L43" s="1"/>
      <c r="M43" s="1"/>
      <c r="N43" s="18"/>
    </row>
    <row r="44" spans="2:14" ht="15" customHeight="1" x14ac:dyDescent="0.25">
      <c r="B44" s="20"/>
      <c r="C44" s="5" t="s">
        <v>109</v>
      </c>
      <c r="D44" s="6" t="s">
        <v>56</v>
      </c>
      <c r="E44" s="11">
        <v>5.9525000000000002E-2</v>
      </c>
      <c r="F44" s="1"/>
      <c r="G44" s="1"/>
      <c r="H44" s="1"/>
      <c r="I44" s="1"/>
      <c r="J44" s="1"/>
      <c r="K44" s="1"/>
      <c r="L44" s="1"/>
      <c r="M44" s="1"/>
      <c r="N44" s="18"/>
    </row>
    <row r="45" spans="2:14" ht="15" customHeight="1" x14ac:dyDescent="0.25">
      <c r="B45" s="20"/>
      <c r="C45" s="5" t="s">
        <v>110</v>
      </c>
      <c r="D45" s="6" t="s">
        <v>56</v>
      </c>
      <c r="E45" s="11">
        <v>4.0183000000000003E-2</v>
      </c>
      <c r="F45" s="1"/>
      <c r="G45" s="1"/>
      <c r="H45" s="1"/>
      <c r="I45" s="1"/>
      <c r="J45" s="1"/>
      <c r="K45" s="1"/>
      <c r="L45" s="1"/>
      <c r="M45" s="1"/>
      <c r="N45" s="18"/>
    </row>
    <row r="46" spans="2:14" ht="15" customHeight="1" x14ac:dyDescent="0.25">
      <c r="B46" s="20"/>
      <c r="C46" s="5" t="s">
        <v>111</v>
      </c>
      <c r="D46" s="6" t="s">
        <v>56</v>
      </c>
      <c r="E46" s="11">
        <v>7.9649999999999999E-3</v>
      </c>
      <c r="F46" s="1"/>
      <c r="G46" s="1"/>
      <c r="H46" s="1"/>
      <c r="I46" s="1"/>
      <c r="J46" s="1"/>
      <c r="K46" s="1"/>
      <c r="L46" s="1"/>
      <c r="M46" s="1"/>
      <c r="N46" s="18"/>
    </row>
    <row r="47" spans="2:14" ht="15" customHeight="1" x14ac:dyDescent="0.25">
      <c r="B47" s="20"/>
      <c r="C47" s="5" t="s">
        <v>112</v>
      </c>
      <c r="D47" s="6" t="s">
        <v>56</v>
      </c>
      <c r="E47" s="11">
        <v>7.5449999999999996E-3</v>
      </c>
      <c r="F47" s="1"/>
      <c r="G47" s="1"/>
      <c r="H47" s="1"/>
      <c r="I47" s="1"/>
      <c r="J47" s="1"/>
      <c r="K47" s="1"/>
      <c r="L47" s="1"/>
      <c r="M47" s="1"/>
      <c r="N47" s="18"/>
    </row>
    <row r="48" spans="2:14" ht="15" customHeight="1" x14ac:dyDescent="0.25">
      <c r="B48" s="20"/>
      <c r="C48" s="5" t="s">
        <v>113</v>
      </c>
      <c r="D48" s="6" t="s">
        <v>56</v>
      </c>
      <c r="E48" s="11">
        <v>5.8780000000000004E-3</v>
      </c>
      <c r="F48" s="1"/>
      <c r="G48" s="1"/>
      <c r="H48" s="1"/>
      <c r="I48" s="1"/>
      <c r="J48" s="1"/>
      <c r="K48" s="1"/>
      <c r="L48" s="1"/>
      <c r="M48" s="1"/>
      <c r="N48" s="18"/>
    </row>
    <row r="49" spans="2:14" ht="15" customHeight="1" x14ac:dyDescent="0.25">
      <c r="B49" s="20"/>
      <c r="C49" s="5" t="s">
        <v>114</v>
      </c>
      <c r="D49" s="6" t="s">
        <v>56</v>
      </c>
      <c r="E49" s="11">
        <v>3.7780000000000001E-3</v>
      </c>
      <c r="F49" s="1"/>
      <c r="G49" s="1"/>
      <c r="H49" s="1"/>
      <c r="I49" s="1"/>
      <c r="J49" s="1"/>
      <c r="K49" s="1"/>
      <c r="L49" s="1"/>
      <c r="M49" s="1"/>
      <c r="N49" s="18"/>
    </row>
    <row r="50" spans="2:14" ht="15" customHeight="1" x14ac:dyDescent="0.25">
      <c r="B50" s="20"/>
      <c r="C50" s="5" t="s">
        <v>115</v>
      </c>
      <c r="D50" s="6" t="s">
        <v>56</v>
      </c>
      <c r="E50" s="11">
        <v>2.0929999999999998E-3</v>
      </c>
      <c r="F50" s="1"/>
      <c r="G50" s="1"/>
      <c r="H50" s="1"/>
      <c r="I50" s="1"/>
      <c r="J50" s="1"/>
      <c r="K50" s="1"/>
      <c r="L50" s="1"/>
      <c r="M50" s="1"/>
      <c r="N50" s="18"/>
    </row>
    <row r="51" spans="2:14" ht="15.75" customHeight="1" x14ac:dyDescent="0.25">
      <c r="B51" s="20"/>
      <c r="C51" s="7" t="s">
        <v>65</v>
      </c>
      <c r="D51" s="8"/>
      <c r="E51" s="12">
        <v>0.20457800000000001</v>
      </c>
      <c r="F51" s="1"/>
      <c r="G51" s="1"/>
      <c r="H51" s="1"/>
      <c r="I51" s="1"/>
      <c r="J51" s="1"/>
      <c r="K51" s="1"/>
      <c r="L51" s="1"/>
      <c r="M51" s="1"/>
      <c r="N51" s="18"/>
    </row>
    <row r="52" spans="2:14" ht="15" customHeight="1" x14ac:dyDescent="0.25">
      <c r="B52" s="20"/>
      <c r="C52" s="5" t="s">
        <v>9</v>
      </c>
      <c r="D52" s="6"/>
      <c r="E52" s="11">
        <v>9.2452000000000006E-2</v>
      </c>
      <c r="F52" s="1"/>
      <c r="G52" s="1"/>
      <c r="H52" s="1"/>
      <c r="I52" s="1"/>
      <c r="J52" s="1"/>
      <c r="K52" s="1"/>
      <c r="L52" s="1"/>
      <c r="M52" s="1"/>
      <c r="N52" s="18"/>
    </row>
    <row r="53" spans="2:14" ht="15.75" customHeight="1" x14ac:dyDescent="0.25">
      <c r="B53" s="20"/>
      <c r="C53" s="7" t="s">
        <v>10</v>
      </c>
      <c r="D53" s="8"/>
      <c r="E53" s="12">
        <v>9.2452000000000006E-2</v>
      </c>
      <c r="F53" s="1"/>
      <c r="G53" s="1"/>
      <c r="H53" s="1"/>
      <c r="I53" s="1"/>
      <c r="J53" s="1"/>
      <c r="K53" s="1"/>
      <c r="L53" s="1"/>
      <c r="M53" s="1"/>
      <c r="N53" s="18"/>
    </row>
    <row r="54" spans="2:14" ht="15" customHeight="1" x14ac:dyDescent="0.25">
      <c r="B54" s="20"/>
      <c r="C54" s="5"/>
      <c r="D54" s="6"/>
      <c r="E54" s="11"/>
      <c r="F54" s="1"/>
      <c r="G54" s="1"/>
      <c r="H54" s="1"/>
      <c r="I54" s="1"/>
      <c r="J54" s="1"/>
      <c r="K54" s="1"/>
      <c r="L54" s="1"/>
      <c r="M54" s="1"/>
      <c r="N54" s="18"/>
    </row>
    <row r="55" spans="2:14" ht="15.75" customHeight="1" x14ac:dyDescent="0.25">
      <c r="B55" s="20"/>
      <c r="C55" s="7" t="s">
        <v>11</v>
      </c>
      <c r="D55" s="8"/>
      <c r="E55" s="12">
        <v>8.0599999999999995E-3</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 customHeight="1" x14ac:dyDescent="0.25">
      <c r="B57" s="20"/>
      <c r="C57" s="9" t="s">
        <v>12</v>
      </c>
      <c r="D57" s="10"/>
      <c r="E57" s="13">
        <v>1</v>
      </c>
      <c r="F57" s="1"/>
      <c r="G57" s="1"/>
      <c r="H57" s="1"/>
      <c r="I57" s="1"/>
      <c r="J57" s="1"/>
      <c r="K57" s="1"/>
      <c r="L57" s="1"/>
      <c r="M57" s="1"/>
      <c r="N57" s="18"/>
    </row>
    <row r="58" spans="2:14" ht="15" customHeight="1" x14ac:dyDescent="0.25">
      <c r="B58" s="20"/>
      <c r="C58" s="1"/>
      <c r="D58" s="1"/>
      <c r="E58" s="1"/>
      <c r="F58" s="1"/>
      <c r="G58" s="1"/>
      <c r="H58" s="1"/>
      <c r="I58" s="1"/>
      <c r="J58" s="1"/>
      <c r="K58" s="1"/>
      <c r="L58" s="1"/>
      <c r="M58" s="1"/>
      <c r="N58" s="18"/>
    </row>
    <row r="59" spans="2:14" ht="15" customHeight="1" thickBot="1" x14ac:dyDescent="0.3">
      <c r="B59" s="21"/>
      <c r="C59" s="22"/>
      <c r="D59" s="22"/>
      <c r="E59" s="22"/>
      <c r="F59" s="22"/>
      <c r="G59" s="22"/>
      <c r="H59" s="22"/>
      <c r="I59" s="22"/>
      <c r="J59" s="22"/>
      <c r="K59" s="22"/>
      <c r="L59" s="22"/>
      <c r="M59" s="22"/>
      <c r="N59" s="23"/>
    </row>
    <row r="60" spans="2:14" ht="15" customHeight="1" thickBot="1" x14ac:dyDescent="0.3"/>
    <row r="61" spans="2:14" ht="114.75" customHeight="1" thickBot="1" x14ac:dyDescent="0.3">
      <c r="B61" s="35" t="s">
        <v>234</v>
      </c>
      <c r="C61" s="36"/>
      <c r="D61" s="36"/>
      <c r="E61" s="36"/>
      <c r="F61" s="36"/>
      <c r="G61" s="36"/>
      <c r="H61" s="36"/>
      <c r="I61" s="36"/>
      <c r="J61" s="36"/>
      <c r="K61" s="36"/>
      <c r="L61" s="36"/>
      <c r="M61" s="36"/>
      <c r="N61" s="37"/>
    </row>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sheetData>
  <mergeCells count="6">
    <mergeCell ref="B61:N61"/>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476FE-575E-4C0D-A326-F5E7176C6A1F}">
  <dimension ref="B1:N7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157</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158</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22</v>
      </c>
      <c r="D8" s="6" t="s">
        <v>23</v>
      </c>
      <c r="E8" s="11">
        <v>9.9875000000000005E-2</v>
      </c>
      <c r="F8" s="1"/>
      <c r="G8" s="24" t="s">
        <v>16</v>
      </c>
      <c r="H8" s="25">
        <v>1</v>
      </c>
      <c r="I8" s="1"/>
      <c r="J8" s="24" t="s">
        <v>13</v>
      </c>
      <c r="K8" s="24" t="s">
        <v>5</v>
      </c>
      <c r="L8" s="1"/>
      <c r="M8" s="1"/>
      <c r="N8" s="18"/>
    </row>
    <row r="9" spans="2:14" ht="15" customHeight="1" x14ac:dyDescent="0.25">
      <c r="B9" s="20"/>
      <c r="C9" s="5" t="s">
        <v>25</v>
      </c>
      <c r="D9" s="6" t="s">
        <v>23</v>
      </c>
      <c r="E9" s="11">
        <v>8.7182999999999997E-2</v>
      </c>
      <c r="F9" s="1"/>
      <c r="G9" s="1"/>
      <c r="H9" s="1"/>
      <c r="I9" s="1"/>
      <c r="J9" s="24" t="s">
        <v>11</v>
      </c>
      <c r="K9" s="29">
        <v>1.2213999999999999E-2</v>
      </c>
      <c r="L9" s="1"/>
      <c r="M9" s="1"/>
      <c r="N9" s="18"/>
    </row>
    <row r="10" spans="2:14" ht="15" customHeight="1" x14ac:dyDescent="0.25">
      <c r="B10" s="20"/>
      <c r="C10" s="5" t="s">
        <v>29</v>
      </c>
      <c r="D10" s="6" t="s">
        <v>23</v>
      </c>
      <c r="E10" s="11">
        <v>4.7833000000000001E-2</v>
      </c>
      <c r="F10" s="1"/>
      <c r="G10" s="1"/>
      <c r="H10" s="1"/>
      <c r="I10" s="1"/>
      <c r="J10" s="24" t="s">
        <v>14</v>
      </c>
      <c r="K10" s="29">
        <v>8.2682000000000005E-2</v>
      </c>
      <c r="L10" s="1"/>
      <c r="M10" s="1"/>
      <c r="N10" s="18"/>
    </row>
    <row r="11" spans="2:14" ht="15" customHeight="1" x14ac:dyDescent="0.25">
      <c r="B11" s="20"/>
      <c r="C11" s="5" t="s">
        <v>33</v>
      </c>
      <c r="D11" s="6" t="s">
        <v>23</v>
      </c>
      <c r="E11" s="11">
        <v>3.849E-3</v>
      </c>
      <c r="F11" s="1"/>
      <c r="G11" s="1"/>
      <c r="H11" s="1"/>
      <c r="I11" s="1"/>
      <c r="J11" s="24" t="s">
        <v>67</v>
      </c>
      <c r="K11" s="29">
        <v>0.23874000000000001</v>
      </c>
      <c r="L11" s="1"/>
      <c r="M11" s="1"/>
      <c r="N11" s="18"/>
    </row>
    <row r="12" spans="2:14" ht="15.75" customHeight="1" x14ac:dyDescent="0.25">
      <c r="B12" s="20"/>
      <c r="C12" s="7" t="s">
        <v>30</v>
      </c>
      <c r="D12" s="8"/>
      <c r="E12" s="12">
        <v>0.23874000000000001</v>
      </c>
      <c r="F12" s="1"/>
      <c r="G12" s="1"/>
      <c r="H12" s="1"/>
      <c r="I12" s="1"/>
      <c r="J12" s="24" t="s">
        <v>68</v>
      </c>
      <c r="K12" s="29">
        <v>0.486095</v>
      </c>
      <c r="L12" s="1"/>
      <c r="M12" s="1"/>
      <c r="N12" s="18"/>
    </row>
    <row r="13" spans="2:14" ht="15" customHeight="1" x14ac:dyDescent="0.25">
      <c r="B13" s="20"/>
      <c r="C13" s="5" t="s">
        <v>99</v>
      </c>
      <c r="D13" s="6" t="s">
        <v>23</v>
      </c>
      <c r="E13" s="11">
        <v>7.9690000000000004E-3</v>
      </c>
      <c r="F13" s="1"/>
      <c r="G13" s="1"/>
      <c r="H13" s="1"/>
      <c r="I13" s="1"/>
      <c r="J13" s="24" t="s">
        <v>69</v>
      </c>
      <c r="K13" s="29">
        <v>1.1926000000000001E-2</v>
      </c>
      <c r="L13" s="1"/>
      <c r="M13" s="1"/>
      <c r="N13" s="18"/>
    </row>
    <row r="14" spans="2:14" ht="15" customHeight="1" x14ac:dyDescent="0.25">
      <c r="B14" s="20"/>
      <c r="C14" s="5" t="s">
        <v>31</v>
      </c>
      <c r="D14" s="6" t="s">
        <v>23</v>
      </c>
      <c r="E14" s="11">
        <v>2.3700000000000001E-3</v>
      </c>
      <c r="F14" s="1"/>
      <c r="G14" s="1"/>
      <c r="H14" s="1"/>
      <c r="I14" s="1"/>
      <c r="J14" s="24" t="s">
        <v>71</v>
      </c>
      <c r="K14" s="29">
        <v>0.143236</v>
      </c>
      <c r="L14" s="1"/>
      <c r="M14" s="1"/>
      <c r="N14" s="18"/>
    </row>
    <row r="15" spans="2:14" ht="15" customHeight="1" x14ac:dyDescent="0.25">
      <c r="B15" s="20"/>
      <c r="C15" s="5" t="s">
        <v>43</v>
      </c>
      <c r="D15" s="6" t="s">
        <v>23</v>
      </c>
      <c r="E15" s="11">
        <v>1.5870000000000001E-3</v>
      </c>
      <c r="F15" s="1"/>
      <c r="G15" s="1"/>
      <c r="H15" s="1"/>
      <c r="I15" s="1"/>
      <c r="J15" s="24" t="s">
        <v>72</v>
      </c>
      <c r="K15" s="29">
        <v>1.6900999999999999E-2</v>
      </c>
      <c r="L15" s="1"/>
      <c r="M15" s="1"/>
      <c r="N15" s="18"/>
    </row>
    <row r="16" spans="2:14" ht="15.75" customHeight="1" x14ac:dyDescent="0.25">
      <c r="B16" s="20"/>
      <c r="C16" s="7" t="s">
        <v>32</v>
      </c>
      <c r="D16" s="8"/>
      <c r="E16" s="12">
        <v>1.1926000000000001E-2</v>
      </c>
      <c r="F16" s="1"/>
      <c r="G16" s="1"/>
      <c r="H16" s="1"/>
      <c r="I16" s="1"/>
      <c r="J16" s="24" t="s">
        <v>74</v>
      </c>
      <c r="K16" s="29">
        <v>8.2059999999999998E-3</v>
      </c>
      <c r="L16" s="1"/>
      <c r="M16" s="1"/>
      <c r="N16" s="18"/>
    </row>
    <row r="17" spans="2:14" ht="15" customHeight="1" x14ac:dyDescent="0.25">
      <c r="B17" s="20"/>
      <c r="C17" s="5" t="s">
        <v>33</v>
      </c>
      <c r="D17" s="6" t="s">
        <v>34</v>
      </c>
      <c r="E17" s="11">
        <v>0.115968</v>
      </c>
      <c r="F17" s="1"/>
      <c r="G17" s="1"/>
      <c r="H17" s="1"/>
      <c r="I17" s="1"/>
      <c r="J17" s="1"/>
      <c r="K17" s="1"/>
      <c r="L17" s="1"/>
      <c r="M17" s="1"/>
      <c r="N17" s="18"/>
    </row>
    <row r="18" spans="2:14" ht="15" customHeight="1" x14ac:dyDescent="0.25">
      <c r="B18" s="20"/>
      <c r="C18" s="5" t="s">
        <v>31</v>
      </c>
      <c r="D18" s="6" t="s">
        <v>34</v>
      </c>
      <c r="E18" s="11">
        <v>9.8008999999999999E-2</v>
      </c>
      <c r="F18" s="1"/>
      <c r="G18" s="1"/>
      <c r="H18" s="1"/>
      <c r="I18" s="1"/>
      <c r="J18" s="1"/>
      <c r="K18" s="1"/>
      <c r="L18" s="1"/>
      <c r="M18" s="1"/>
      <c r="N18" s="18"/>
    </row>
    <row r="19" spans="2:14" ht="15" customHeight="1" x14ac:dyDescent="0.25">
      <c r="B19" s="20"/>
      <c r="C19" s="5" t="s">
        <v>36</v>
      </c>
      <c r="D19" s="6" t="s">
        <v>34</v>
      </c>
      <c r="E19" s="11">
        <v>8.4946999999999995E-2</v>
      </c>
      <c r="F19" s="1"/>
      <c r="G19" s="1"/>
      <c r="H19" s="1"/>
      <c r="I19" s="1"/>
      <c r="J19" s="1"/>
      <c r="K19" s="1"/>
      <c r="L19" s="1"/>
      <c r="M19" s="1"/>
      <c r="N19" s="18"/>
    </row>
    <row r="20" spans="2:14" ht="15" customHeight="1" x14ac:dyDescent="0.25">
      <c r="B20" s="20"/>
      <c r="C20" s="5" t="s">
        <v>44</v>
      </c>
      <c r="D20" s="6" t="s">
        <v>34</v>
      </c>
      <c r="E20" s="11">
        <v>6.7089999999999997E-2</v>
      </c>
      <c r="F20" s="1"/>
      <c r="G20" s="1"/>
      <c r="H20" s="1"/>
      <c r="I20" s="1"/>
      <c r="J20" s="1"/>
      <c r="K20" s="1"/>
      <c r="L20" s="1"/>
      <c r="M20" s="1"/>
      <c r="N20" s="18"/>
    </row>
    <row r="21" spans="2:14" ht="15" customHeight="1" x14ac:dyDescent="0.25">
      <c r="B21" s="20"/>
      <c r="C21" s="5" t="s">
        <v>43</v>
      </c>
      <c r="D21" s="6" t="s">
        <v>34</v>
      </c>
      <c r="E21" s="11">
        <v>4.5041999999999999E-2</v>
      </c>
      <c r="F21" s="1"/>
      <c r="G21" s="1"/>
      <c r="H21" s="1"/>
      <c r="I21" s="1"/>
      <c r="J21" s="1"/>
      <c r="K21" s="1"/>
      <c r="L21" s="1"/>
      <c r="M21" s="1"/>
      <c r="N21" s="18"/>
    </row>
    <row r="22" spans="2:14" ht="15" customHeight="1" x14ac:dyDescent="0.25">
      <c r="B22" s="20"/>
      <c r="C22" s="5" t="s">
        <v>51</v>
      </c>
      <c r="D22" s="6" t="s">
        <v>34</v>
      </c>
      <c r="E22" s="11">
        <v>2.6641999999999999E-2</v>
      </c>
      <c r="F22" s="1"/>
      <c r="G22" s="1"/>
      <c r="H22" s="1"/>
      <c r="I22" s="1"/>
      <c r="J22" s="1"/>
      <c r="K22" s="1"/>
      <c r="L22" s="1"/>
      <c r="M22" s="1"/>
      <c r="N22" s="18"/>
    </row>
    <row r="23" spans="2:14" ht="15" customHeight="1" x14ac:dyDescent="0.25">
      <c r="B23" s="20"/>
      <c r="C23" s="5" t="s">
        <v>35</v>
      </c>
      <c r="D23" s="6" t="s">
        <v>34</v>
      </c>
      <c r="E23" s="11">
        <v>1.6671999999999999E-2</v>
      </c>
      <c r="F23" s="1"/>
      <c r="G23" s="1"/>
      <c r="H23" s="1"/>
      <c r="I23" s="1"/>
      <c r="J23" s="1"/>
      <c r="K23" s="1"/>
      <c r="L23" s="1"/>
      <c r="M23" s="1"/>
      <c r="N23" s="18"/>
    </row>
    <row r="24" spans="2:14" ht="15" customHeight="1" x14ac:dyDescent="0.25">
      <c r="B24" s="20"/>
      <c r="C24" s="5" t="s">
        <v>37</v>
      </c>
      <c r="D24" s="6" t="s">
        <v>34</v>
      </c>
      <c r="E24" s="11">
        <v>1.6177E-2</v>
      </c>
      <c r="F24" s="1"/>
      <c r="G24" s="43" t="s">
        <v>116</v>
      </c>
      <c r="H24" s="44"/>
      <c r="I24" s="44"/>
      <c r="J24" s="44"/>
      <c r="K24" s="44"/>
      <c r="L24" s="46">
        <v>325</v>
      </c>
      <c r="M24" s="27"/>
      <c r="N24" s="28"/>
    </row>
    <row r="25" spans="2:14" ht="15" customHeight="1" x14ac:dyDescent="0.25">
      <c r="B25" s="20"/>
      <c r="C25" s="5" t="s">
        <v>104</v>
      </c>
      <c r="D25" s="6" t="s">
        <v>34</v>
      </c>
      <c r="E25" s="11">
        <v>1.2335E-2</v>
      </c>
      <c r="F25" s="1"/>
      <c r="G25" s="1"/>
      <c r="H25" s="1"/>
      <c r="I25" s="1"/>
      <c r="J25" s="1"/>
      <c r="K25" s="1"/>
      <c r="L25" s="1"/>
      <c r="M25" s="1"/>
      <c r="N25" s="18"/>
    </row>
    <row r="26" spans="2:14" ht="15" customHeight="1" x14ac:dyDescent="0.25">
      <c r="B26" s="20"/>
      <c r="C26" s="5" t="s">
        <v>159</v>
      </c>
      <c r="D26" s="6" t="s">
        <v>34</v>
      </c>
      <c r="E26" s="11">
        <v>3.2130000000000001E-3</v>
      </c>
      <c r="F26" s="1"/>
      <c r="G26" s="43" t="s">
        <v>19</v>
      </c>
      <c r="H26" s="44"/>
      <c r="I26" s="44"/>
      <c r="J26" s="44"/>
      <c r="K26" s="44"/>
      <c r="L26" s="44"/>
      <c r="M26" s="44"/>
      <c r="N26" s="45"/>
    </row>
    <row r="27" spans="2:14" ht="15.75" customHeight="1" x14ac:dyDescent="0.25">
      <c r="B27" s="20"/>
      <c r="C27" s="7" t="s">
        <v>52</v>
      </c>
      <c r="D27" s="8"/>
      <c r="E27" s="12">
        <v>0.486095</v>
      </c>
      <c r="F27" s="1"/>
      <c r="G27" s="1"/>
      <c r="H27" s="1"/>
      <c r="I27" s="1"/>
      <c r="J27" s="1"/>
      <c r="K27" s="1"/>
      <c r="L27" s="1"/>
      <c r="M27" s="1"/>
      <c r="N27" s="18"/>
    </row>
    <row r="28" spans="2:14" ht="15" customHeight="1" x14ac:dyDescent="0.25">
      <c r="B28" s="20"/>
      <c r="C28" s="5" t="s">
        <v>77</v>
      </c>
      <c r="D28" s="6" t="s">
        <v>56</v>
      </c>
      <c r="E28" s="11">
        <v>0.112542</v>
      </c>
      <c r="F28" s="1"/>
      <c r="G28" s="1"/>
      <c r="H28" s="1"/>
      <c r="I28" s="1"/>
      <c r="J28" s="1"/>
      <c r="K28" s="1"/>
      <c r="L28" s="1"/>
      <c r="M28" s="1"/>
      <c r="N28" s="18"/>
    </row>
    <row r="29" spans="2:14" ht="15" customHeight="1" x14ac:dyDescent="0.25">
      <c r="B29" s="20"/>
      <c r="C29" s="5" t="s">
        <v>59</v>
      </c>
      <c r="D29" s="6" t="s">
        <v>56</v>
      </c>
      <c r="E29" s="11">
        <v>2.9846999999999999E-2</v>
      </c>
      <c r="F29" s="1"/>
      <c r="G29" s="1"/>
      <c r="H29" s="1"/>
      <c r="I29" s="1"/>
      <c r="J29" s="1"/>
      <c r="K29" s="1"/>
      <c r="L29" s="1"/>
      <c r="M29" s="1"/>
      <c r="N29" s="18"/>
    </row>
    <row r="30" spans="2:14" ht="15" customHeight="1" x14ac:dyDescent="0.25">
      <c r="B30" s="20"/>
      <c r="C30" s="5" t="s">
        <v>160</v>
      </c>
      <c r="D30" s="6" t="s">
        <v>56</v>
      </c>
      <c r="E30" s="11">
        <v>8.4699999999999999E-4</v>
      </c>
      <c r="F30" s="1"/>
      <c r="G30" s="1"/>
      <c r="H30" s="1"/>
      <c r="I30" s="1"/>
      <c r="J30" s="1"/>
      <c r="K30" s="1"/>
      <c r="L30" s="1"/>
      <c r="M30" s="1"/>
      <c r="N30" s="18"/>
    </row>
    <row r="31" spans="2:14" ht="15.75" customHeight="1" x14ac:dyDescent="0.25">
      <c r="B31" s="20"/>
      <c r="C31" s="7" t="s">
        <v>61</v>
      </c>
      <c r="D31" s="8"/>
      <c r="E31" s="12">
        <v>0.143236</v>
      </c>
      <c r="F31" s="1"/>
      <c r="G31" s="1"/>
      <c r="H31" s="1"/>
      <c r="I31" s="1"/>
      <c r="J31" s="1"/>
      <c r="K31" s="1"/>
      <c r="L31" s="1"/>
      <c r="M31" s="1"/>
      <c r="N31" s="18"/>
    </row>
    <row r="32" spans="2:14" ht="15" customHeight="1" x14ac:dyDescent="0.25">
      <c r="B32" s="20"/>
      <c r="C32" s="5" t="s">
        <v>171</v>
      </c>
      <c r="D32" s="6" t="s">
        <v>56</v>
      </c>
      <c r="E32" s="11">
        <v>4.8830000000000002E-3</v>
      </c>
      <c r="F32" s="1"/>
      <c r="G32" s="1"/>
      <c r="H32" s="1"/>
      <c r="I32" s="1"/>
      <c r="J32" s="1"/>
      <c r="K32" s="1"/>
      <c r="L32" s="1"/>
      <c r="M32" s="1"/>
      <c r="N32" s="18"/>
    </row>
    <row r="33" spans="2:14" ht="15.75" customHeight="1" x14ac:dyDescent="0.25">
      <c r="B33" s="20"/>
      <c r="C33" s="5" t="s">
        <v>177</v>
      </c>
      <c r="D33" s="6" t="s">
        <v>56</v>
      </c>
      <c r="E33" s="11">
        <v>4.8789999999999997E-3</v>
      </c>
      <c r="F33" s="1"/>
      <c r="G33" s="1"/>
      <c r="H33" s="1"/>
      <c r="I33" s="1"/>
      <c r="J33" s="1"/>
      <c r="K33" s="1"/>
      <c r="L33" s="1"/>
      <c r="M33" s="1"/>
      <c r="N33" s="18"/>
    </row>
    <row r="34" spans="2:14" ht="15" customHeight="1" x14ac:dyDescent="0.25">
      <c r="B34" s="20"/>
      <c r="C34" s="5" t="s">
        <v>170</v>
      </c>
      <c r="D34" s="6" t="s">
        <v>56</v>
      </c>
      <c r="E34" s="11">
        <v>2.5209999999999998E-3</v>
      </c>
      <c r="F34" s="1"/>
      <c r="G34" s="1"/>
      <c r="H34" s="1"/>
      <c r="I34" s="1"/>
      <c r="J34" s="1"/>
      <c r="K34" s="1"/>
      <c r="L34" s="1"/>
      <c r="M34" s="1"/>
      <c r="N34" s="18"/>
    </row>
    <row r="35" spans="2:14" ht="15.75" customHeight="1" x14ac:dyDescent="0.25">
      <c r="B35" s="20"/>
      <c r="C35" s="5" t="s">
        <v>179</v>
      </c>
      <c r="D35" s="6" t="s">
        <v>56</v>
      </c>
      <c r="E35" s="11">
        <v>2.447E-3</v>
      </c>
      <c r="F35" s="1"/>
      <c r="G35" s="1"/>
      <c r="H35" s="1"/>
      <c r="I35" s="1"/>
      <c r="J35" s="1"/>
      <c r="K35" s="1"/>
      <c r="L35" s="1"/>
      <c r="M35" s="1"/>
      <c r="N35" s="18"/>
    </row>
    <row r="36" spans="2:14" ht="15" customHeight="1" x14ac:dyDescent="0.25">
      <c r="B36" s="20"/>
      <c r="C36" s="5" t="s">
        <v>169</v>
      </c>
      <c r="D36" s="6" t="s">
        <v>56</v>
      </c>
      <c r="E36" s="11">
        <v>8.3600000000000005E-4</v>
      </c>
      <c r="F36" s="1"/>
      <c r="G36" s="1"/>
      <c r="H36" s="1"/>
      <c r="I36" s="1"/>
      <c r="J36" s="1"/>
      <c r="K36" s="1"/>
      <c r="L36" s="1"/>
      <c r="M36" s="1"/>
      <c r="N36" s="18"/>
    </row>
    <row r="37" spans="2:14" ht="15.75" customHeight="1" x14ac:dyDescent="0.25">
      <c r="B37" s="20"/>
      <c r="C37" s="5" t="s">
        <v>172</v>
      </c>
      <c r="D37" s="6" t="s">
        <v>56</v>
      </c>
      <c r="E37" s="11">
        <v>3.8000000000000002E-4</v>
      </c>
      <c r="F37" s="1"/>
      <c r="G37" s="1"/>
      <c r="H37" s="1"/>
      <c r="I37" s="1"/>
      <c r="J37" s="1"/>
      <c r="K37" s="1"/>
      <c r="L37" s="1"/>
      <c r="M37" s="1"/>
      <c r="N37" s="18"/>
    </row>
    <row r="38" spans="2:14" ht="15" customHeight="1" x14ac:dyDescent="0.25">
      <c r="B38" s="20"/>
      <c r="C38" s="5" t="s">
        <v>178</v>
      </c>
      <c r="D38" s="6" t="s">
        <v>56</v>
      </c>
      <c r="E38" s="11">
        <v>2.7399999999999999E-4</v>
      </c>
      <c r="F38" s="1"/>
      <c r="G38" s="1"/>
      <c r="H38" s="1"/>
      <c r="I38" s="1"/>
      <c r="J38" s="1"/>
      <c r="K38" s="1"/>
      <c r="L38" s="1"/>
      <c r="M38" s="1"/>
      <c r="N38" s="18"/>
    </row>
    <row r="39" spans="2:14" ht="15.75" customHeight="1" x14ac:dyDescent="0.25">
      <c r="B39" s="20"/>
      <c r="C39" s="5" t="s">
        <v>180</v>
      </c>
      <c r="D39" s="6" t="s">
        <v>56</v>
      </c>
      <c r="E39" s="11">
        <v>2.4899999999999998E-4</v>
      </c>
      <c r="F39" s="1"/>
      <c r="G39" s="1"/>
      <c r="H39" s="1"/>
      <c r="I39" s="1"/>
      <c r="J39" s="1"/>
      <c r="K39" s="1"/>
      <c r="L39" s="1"/>
      <c r="M39" s="1"/>
      <c r="N39" s="18"/>
    </row>
    <row r="40" spans="2:14" ht="15" customHeight="1" x14ac:dyDescent="0.25">
      <c r="B40" s="20"/>
      <c r="C40" s="5" t="s">
        <v>175</v>
      </c>
      <c r="D40" s="6" t="s">
        <v>56</v>
      </c>
      <c r="E40" s="11">
        <v>2.3000000000000001E-4</v>
      </c>
      <c r="F40" s="1"/>
      <c r="G40" s="1"/>
      <c r="H40" s="1"/>
      <c r="I40" s="1"/>
      <c r="J40" s="1"/>
      <c r="K40" s="1"/>
      <c r="L40" s="1"/>
      <c r="M40" s="1"/>
      <c r="N40" s="18"/>
    </row>
    <row r="41" spans="2:14" ht="15" customHeight="1" x14ac:dyDescent="0.25">
      <c r="B41" s="20"/>
      <c r="C41" s="5" t="s">
        <v>176</v>
      </c>
      <c r="D41" s="6" t="s">
        <v>56</v>
      </c>
      <c r="E41" s="11">
        <v>9.7E-5</v>
      </c>
      <c r="F41" s="1"/>
      <c r="G41" s="1"/>
      <c r="H41" s="1"/>
      <c r="I41" s="1"/>
      <c r="J41" s="1"/>
      <c r="K41" s="1"/>
      <c r="L41" s="1"/>
      <c r="M41" s="1"/>
      <c r="N41" s="18"/>
    </row>
    <row r="42" spans="2:14" ht="15" customHeight="1" x14ac:dyDescent="0.25">
      <c r="B42" s="20"/>
      <c r="C42" s="5" t="s">
        <v>174</v>
      </c>
      <c r="D42" s="6" t="s">
        <v>56</v>
      </c>
      <c r="E42" s="11">
        <v>6.4999999999999994E-5</v>
      </c>
      <c r="F42" s="1"/>
      <c r="G42" s="1"/>
      <c r="H42" s="1"/>
      <c r="I42" s="1"/>
      <c r="J42" s="1"/>
      <c r="K42" s="1"/>
      <c r="L42" s="1"/>
      <c r="M42" s="1"/>
      <c r="N42" s="18"/>
    </row>
    <row r="43" spans="2:14" ht="15" customHeight="1" x14ac:dyDescent="0.25">
      <c r="B43" s="20"/>
      <c r="C43" s="5" t="s">
        <v>173</v>
      </c>
      <c r="D43" s="6" t="s">
        <v>56</v>
      </c>
      <c r="E43" s="30">
        <v>4.0000000000000003E-5</v>
      </c>
      <c r="F43" s="1"/>
      <c r="G43" s="1"/>
      <c r="H43" s="1"/>
      <c r="I43" s="1"/>
      <c r="J43" s="1"/>
      <c r="K43" s="1"/>
      <c r="L43" s="1"/>
      <c r="M43" s="1"/>
      <c r="N43" s="18"/>
    </row>
    <row r="44" spans="2:14" ht="15" customHeight="1" x14ac:dyDescent="0.25">
      <c r="B44" s="20"/>
      <c r="C44" s="7" t="s">
        <v>62</v>
      </c>
      <c r="D44" s="8"/>
      <c r="E44" s="12">
        <v>1.6900999999999999E-2</v>
      </c>
      <c r="F44" s="1"/>
      <c r="G44" s="1"/>
      <c r="H44" s="1"/>
      <c r="I44" s="1"/>
      <c r="J44" s="1"/>
      <c r="K44" s="1"/>
      <c r="L44" s="1"/>
      <c r="M44" s="1"/>
      <c r="N44" s="18"/>
    </row>
    <row r="45" spans="2:14" ht="15" customHeight="1" x14ac:dyDescent="0.25">
      <c r="B45" s="20"/>
      <c r="C45" s="5" t="s">
        <v>9</v>
      </c>
      <c r="D45" s="6"/>
      <c r="E45" s="11">
        <v>8.2682000000000005E-2</v>
      </c>
      <c r="F45" s="1"/>
      <c r="G45" s="1"/>
      <c r="H45" s="1"/>
      <c r="I45" s="1"/>
      <c r="J45" s="1"/>
      <c r="K45" s="1"/>
      <c r="L45" s="1"/>
      <c r="M45" s="1"/>
      <c r="N45" s="18"/>
    </row>
    <row r="46" spans="2:14" ht="15" customHeight="1" x14ac:dyDescent="0.25">
      <c r="B46" s="20"/>
      <c r="C46" s="7" t="s">
        <v>10</v>
      </c>
      <c r="D46" s="8"/>
      <c r="E46" s="12">
        <v>8.2682000000000005E-2</v>
      </c>
      <c r="F46" s="1"/>
      <c r="G46" s="1"/>
      <c r="H46" s="1"/>
      <c r="I46" s="1"/>
      <c r="J46" s="1"/>
      <c r="K46" s="1"/>
      <c r="L46" s="1"/>
      <c r="M46" s="1"/>
      <c r="N46" s="18"/>
    </row>
    <row r="47" spans="2:14" ht="15" customHeight="1" x14ac:dyDescent="0.25">
      <c r="B47" s="20"/>
      <c r="C47" s="5" t="s">
        <v>43</v>
      </c>
      <c r="D47" s="6" t="s">
        <v>34</v>
      </c>
      <c r="E47" s="11">
        <v>8.2059999999999998E-3</v>
      </c>
      <c r="F47" s="1"/>
      <c r="G47" s="1"/>
      <c r="H47" s="1"/>
      <c r="I47" s="1"/>
      <c r="J47" s="1"/>
      <c r="K47" s="1"/>
      <c r="L47" s="1"/>
      <c r="M47" s="1"/>
      <c r="N47" s="18"/>
    </row>
    <row r="48" spans="2:14" ht="15" customHeight="1" x14ac:dyDescent="0.25">
      <c r="B48" s="20"/>
      <c r="C48" s="7" t="s">
        <v>66</v>
      </c>
      <c r="D48" s="8"/>
      <c r="E48" s="12">
        <v>8.2059999999999998E-3</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7" t="s">
        <v>11</v>
      </c>
      <c r="D50" s="8"/>
      <c r="E50" s="12">
        <v>1.2213999999999999E-2</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 customHeight="1" x14ac:dyDescent="0.25">
      <c r="B52" s="20"/>
      <c r="C52" s="9" t="s">
        <v>12</v>
      </c>
      <c r="D52" s="10"/>
      <c r="E52" s="13">
        <v>1</v>
      </c>
      <c r="F52" s="1"/>
      <c r="G52" s="1"/>
      <c r="H52" s="1"/>
      <c r="I52" s="1"/>
      <c r="J52" s="1"/>
      <c r="K52" s="1"/>
      <c r="L52" s="1"/>
      <c r="M52" s="1"/>
      <c r="N52" s="18"/>
    </row>
    <row r="53" spans="2:14" ht="15" customHeight="1" x14ac:dyDescent="0.25">
      <c r="B53" s="20"/>
      <c r="C53" s="1"/>
      <c r="D53" s="1"/>
      <c r="E53" s="1"/>
      <c r="F53" s="1"/>
      <c r="G53" s="1"/>
      <c r="H53" s="1"/>
      <c r="I53" s="1"/>
      <c r="J53" s="1"/>
      <c r="K53" s="1"/>
      <c r="L53" s="1"/>
      <c r="M53" s="1"/>
      <c r="N53" s="18"/>
    </row>
    <row r="54" spans="2:14" ht="15" customHeight="1" thickBot="1" x14ac:dyDescent="0.3">
      <c r="B54" s="21"/>
      <c r="C54" s="22"/>
      <c r="D54" s="22"/>
      <c r="E54" s="22"/>
      <c r="F54" s="22"/>
      <c r="G54" s="22"/>
      <c r="H54" s="22"/>
      <c r="I54" s="22"/>
      <c r="J54" s="22"/>
      <c r="K54" s="22"/>
      <c r="L54" s="22"/>
      <c r="M54" s="22"/>
      <c r="N54" s="23"/>
    </row>
    <row r="55" spans="2:14" ht="15" customHeight="1" thickBot="1" x14ac:dyDescent="0.3"/>
    <row r="56" spans="2:14" ht="108.75" customHeight="1" thickBot="1" x14ac:dyDescent="0.3">
      <c r="B56" s="35" t="s">
        <v>234</v>
      </c>
      <c r="C56" s="36"/>
      <c r="D56" s="36"/>
      <c r="E56" s="36"/>
      <c r="F56" s="36"/>
      <c r="G56" s="36"/>
      <c r="H56" s="36"/>
      <c r="I56" s="36"/>
      <c r="J56" s="36"/>
      <c r="K56" s="36"/>
      <c r="L56" s="36"/>
      <c r="M56" s="36"/>
      <c r="N56" s="37"/>
    </row>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sortState ref="C32:E43">
    <sortCondition descending="1" ref="E32"/>
  </sortState>
  <mergeCells count="6">
    <mergeCell ref="B56:N56"/>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A2AF6-4B37-4BB4-A79A-753C6E4A520D}">
  <dimension ref="B1:N6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161</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162</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22</v>
      </c>
      <c r="D8" s="6" t="s">
        <v>23</v>
      </c>
      <c r="E8" s="11">
        <v>0.113735</v>
      </c>
      <c r="F8" s="1"/>
      <c r="G8" s="24" t="s">
        <v>16</v>
      </c>
      <c r="H8" s="25">
        <v>1</v>
      </c>
      <c r="I8" s="1"/>
      <c r="J8" s="24" t="s">
        <v>13</v>
      </c>
      <c r="K8" s="24" t="s">
        <v>5</v>
      </c>
      <c r="L8" s="1"/>
      <c r="M8" s="1"/>
      <c r="N8" s="18"/>
    </row>
    <row r="9" spans="2:14" ht="15" customHeight="1" x14ac:dyDescent="0.25">
      <c r="B9" s="20"/>
      <c r="C9" s="5" t="s">
        <v>33</v>
      </c>
      <c r="D9" s="6" t="s">
        <v>23</v>
      </c>
      <c r="E9" s="11">
        <v>8.6171999999999999E-2</v>
      </c>
      <c r="F9" s="1"/>
      <c r="G9" s="1"/>
      <c r="H9" s="1"/>
      <c r="I9" s="1"/>
      <c r="J9" s="24" t="s">
        <v>11</v>
      </c>
      <c r="K9" s="29">
        <v>-1.735E-3</v>
      </c>
      <c r="L9" s="1"/>
      <c r="M9" s="1"/>
      <c r="N9" s="18"/>
    </row>
    <row r="10" spans="2:14" ht="15" customHeight="1" x14ac:dyDescent="0.25">
      <c r="B10" s="20"/>
      <c r="C10" s="5" t="s">
        <v>29</v>
      </c>
      <c r="D10" s="6" t="s">
        <v>23</v>
      </c>
      <c r="E10" s="11">
        <v>5.9339999999999997E-2</v>
      </c>
      <c r="F10" s="1"/>
      <c r="G10" s="1"/>
      <c r="H10" s="1"/>
      <c r="I10" s="1"/>
      <c r="J10" s="24" t="s">
        <v>14</v>
      </c>
      <c r="K10" s="29">
        <v>4.0980000000000003E-2</v>
      </c>
      <c r="L10" s="1"/>
      <c r="M10" s="1"/>
      <c r="N10" s="18"/>
    </row>
    <row r="11" spans="2:14" ht="15" customHeight="1" x14ac:dyDescent="0.25">
      <c r="B11" s="20"/>
      <c r="C11" s="5" t="s">
        <v>26</v>
      </c>
      <c r="D11" s="6" t="s">
        <v>23</v>
      </c>
      <c r="E11" s="11">
        <v>5.1603000000000003E-2</v>
      </c>
      <c r="F11" s="1"/>
      <c r="G11" s="1"/>
      <c r="H11" s="1"/>
      <c r="I11" s="1"/>
      <c r="J11" s="24" t="s">
        <v>67</v>
      </c>
      <c r="K11" s="29">
        <v>0.44858500000000001</v>
      </c>
      <c r="L11" s="1"/>
      <c r="M11" s="1"/>
      <c r="N11" s="18"/>
    </row>
    <row r="12" spans="2:14" ht="15" customHeight="1" x14ac:dyDescent="0.25">
      <c r="B12" s="20"/>
      <c r="C12" s="5" t="s">
        <v>25</v>
      </c>
      <c r="D12" s="6" t="s">
        <v>23</v>
      </c>
      <c r="E12" s="11">
        <v>5.1164000000000001E-2</v>
      </c>
      <c r="F12" s="1"/>
      <c r="G12" s="1"/>
      <c r="H12" s="1"/>
      <c r="I12" s="1"/>
      <c r="J12" s="24" t="s">
        <v>69</v>
      </c>
      <c r="K12" s="29">
        <v>0.31581599999999999</v>
      </c>
      <c r="L12" s="1"/>
      <c r="M12" s="1"/>
      <c r="N12" s="18"/>
    </row>
    <row r="13" spans="2:14" ht="15" customHeight="1" x14ac:dyDescent="0.25">
      <c r="B13" s="20"/>
      <c r="C13" s="5" t="s">
        <v>28</v>
      </c>
      <c r="D13" s="6" t="s">
        <v>23</v>
      </c>
      <c r="E13" s="11">
        <v>5.0229999999999997E-2</v>
      </c>
      <c r="F13" s="1"/>
      <c r="G13" s="1"/>
      <c r="H13" s="1"/>
      <c r="I13" s="1"/>
      <c r="J13" s="24" t="s">
        <v>71</v>
      </c>
      <c r="K13" s="29">
        <v>0.121111</v>
      </c>
      <c r="L13" s="1"/>
      <c r="M13" s="1"/>
      <c r="N13" s="18"/>
    </row>
    <row r="14" spans="2:14" ht="15" customHeight="1" x14ac:dyDescent="0.25">
      <c r="B14" s="20"/>
      <c r="C14" s="5" t="s">
        <v>40</v>
      </c>
      <c r="D14" s="6" t="s">
        <v>23</v>
      </c>
      <c r="E14" s="11">
        <v>2.9132000000000002E-2</v>
      </c>
      <c r="F14" s="1"/>
      <c r="G14" s="1"/>
      <c r="H14" s="1"/>
      <c r="I14" s="1"/>
      <c r="J14" s="24" t="s">
        <v>72</v>
      </c>
      <c r="K14" s="29">
        <v>3.6805999999999998E-2</v>
      </c>
      <c r="L14" s="1"/>
      <c r="M14" s="1"/>
      <c r="N14" s="18"/>
    </row>
    <row r="15" spans="2:14" ht="15" customHeight="1" x14ac:dyDescent="0.25">
      <c r="B15" s="20"/>
      <c r="C15" s="5" t="s">
        <v>53</v>
      </c>
      <c r="D15" s="6" t="s">
        <v>23</v>
      </c>
      <c r="E15" s="11">
        <v>7.2090000000000001E-3</v>
      </c>
      <c r="F15" s="1"/>
      <c r="G15" s="1"/>
      <c r="H15" s="1"/>
      <c r="I15" s="1"/>
      <c r="J15" s="24" t="s">
        <v>73</v>
      </c>
      <c r="K15" s="29">
        <v>3.8436999999999999E-2</v>
      </c>
      <c r="L15" s="1"/>
      <c r="M15" s="1"/>
      <c r="N15" s="18"/>
    </row>
    <row r="16" spans="2:14" ht="15.75" customHeight="1" x14ac:dyDescent="0.25">
      <c r="B16" s="20"/>
      <c r="C16" s="7" t="s">
        <v>30</v>
      </c>
      <c r="D16" s="8"/>
      <c r="E16" s="12">
        <v>0.44858500000000001</v>
      </c>
      <c r="F16" s="1"/>
      <c r="G16" s="1"/>
      <c r="H16" s="1"/>
      <c r="I16" s="1"/>
      <c r="J16" s="1"/>
      <c r="K16" s="1"/>
      <c r="L16" s="1"/>
      <c r="M16" s="1"/>
      <c r="N16" s="18"/>
    </row>
    <row r="17" spans="2:14" ht="15" customHeight="1" x14ac:dyDescent="0.25">
      <c r="B17" s="20"/>
      <c r="C17" s="5" t="s">
        <v>96</v>
      </c>
      <c r="D17" s="6" t="s">
        <v>23</v>
      </c>
      <c r="E17" s="11">
        <v>6.6159999999999997E-2</v>
      </c>
      <c r="F17" s="1"/>
      <c r="G17" s="1"/>
      <c r="H17" s="1"/>
      <c r="I17" s="1"/>
      <c r="J17" s="1"/>
      <c r="K17" s="1"/>
      <c r="L17" s="1"/>
      <c r="M17" s="1"/>
      <c r="N17" s="18"/>
    </row>
    <row r="18" spans="2:14" ht="15" customHeight="1" x14ac:dyDescent="0.25">
      <c r="B18" s="20"/>
      <c r="C18" s="5" t="s">
        <v>97</v>
      </c>
      <c r="D18" s="6" t="s">
        <v>23</v>
      </c>
      <c r="E18" s="11">
        <v>6.5997E-2</v>
      </c>
      <c r="F18" s="1"/>
      <c r="G18" s="1"/>
      <c r="H18" s="1"/>
      <c r="I18" s="1"/>
      <c r="J18" s="1"/>
      <c r="K18" s="1"/>
      <c r="L18" s="1"/>
      <c r="M18" s="1"/>
      <c r="N18" s="18"/>
    </row>
    <row r="19" spans="2:14" ht="15" customHeight="1" x14ac:dyDescent="0.25">
      <c r="B19" s="20"/>
      <c r="C19" s="5" t="s">
        <v>31</v>
      </c>
      <c r="D19" s="6" t="s">
        <v>23</v>
      </c>
      <c r="E19" s="11">
        <v>4.4204E-2</v>
      </c>
      <c r="F19" s="1"/>
      <c r="G19" s="1"/>
      <c r="H19" s="1"/>
      <c r="I19" s="1"/>
      <c r="J19" s="1"/>
      <c r="K19" s="1"/>
      <c r="L19" s="1"/>
      <c r="M19" s="1"/>
      <c r="N19" s="18"/>
    </row>
    <row r="20" spans="2:14" ht="15" customHeight="1" x14ac:dyDescent="0.25">
      <c r="B20" s="20"/>
      <c r="C20" s="5" t="s">
        <v>101</v>
      </c>
      <c r="D20" s="6" t="s">
        <v>23</v>
      </c>
      <c r="E20" s="11">
        <v>4.3830000000000001E-2</v>
      </c>
      <c r="F20" s="1"/>
      <c r="G20" s="1"/>
      <c r="H20" s="1"/>
      <c r="I20" s="1"/>
      <c r="J20" s="1"/>
      <c r="K20" s="1"/>
      <c r="L20" s="1"/>
      <c r="M20" s="1"/>
      <c r="N20" s="18"/>
    </row>
    <row r="21" spans="2:14" ht="15" customHeight="1" x14ac:dyDescent="0.25">
      <c r="B21" s="20"/>
      <c r="C21" s="5" t="s">
        <v>99</v>
      </c>
      <c r="D21" s="6" t="s">
        <v>23</v>
      </c>
      <c r="E21" s="11">
        <v>3.6639999999999999E-2</v>
      </c>
      <c r="F21" s="1"/>
      <c r="G21" s="1"/>
      <c r="H21" s="1"/>
      <c r="I21" s="1"/>
      <c r="J21" s="1"/>
      <c r="K21" s="1"/>
      <c r="L21" s="1"/>
      <c r="M21" s="1"/>
      <c r="N21" s="18"/>
    </row>
    <row r="22" spans="2:14" ht="15" customHeight="1" x14ac:dyDescent="0.25">
      <c r="B22" s="20"/>
      <c r="C22" s="5" t="s">
        <v>102</v>
      </c>
      <c r="D22" s="6" t="s">
        <v>23</v>
      </c>
      <c r="E22" s="11">
        <v>2.9305000000000001E-2</v>
      </c>
      <c r="F22" s="1"/>
      <c r="G22" s="1"/>
      <c r="H22" s="1"/>
      <c r="I22" s="1"/>
      <c r="J22" s="1"/>
      <c r="K22" s="1"/>
      <c r="L22" s="1"/>
      <c r="M22" s="1"/>
      <c r="N22" s="18"/>
    </row>
    <row r="23" spans="2:14" ht="15" customHeight="1" x14ac:dyDescent="0.25">
      <c r="B23" s="20"/>
      <c r="C23" s="5" t="s">
        <v>98</v>
      </c>
      <c r="D23" s="6" t="s">
        <v>23</v>
      </c>
      <c r="E23" s="11">
        <v>7.4619999999999999E-3</v>
      </c>
      <c r="F23" s="1"/>
      <c r="G23" s="1"/>
      <c r="H23" s="1"/>
      <c r="I23" s="1"/>
      <c r="J23" s="1"/>
      <c r="K23" s="1"/>
      <c r="L23" s="1"/>
      <c r="M23" s="1"/>
      <c r="N23" s="18"/>
    </row>
    <row r="24" spans="2:14" ht="15" customHeight="1" x14ac:dyDescent="0.25">
      <c r="B24" s="20"/>
      <c r="C24" s="5" t="s">
        <v>103</v>
      </c>
      <c r="D24" s="6" t="s">
        <v>23</v>
      </c>
      <c r="E24" s="11">
        <v>7.4330000000000004E-3</v>
      </c>
      <c r="F24" s="1"/>
      <c r="G24" s="43" t="s">
        <v>116</v>
      </c>
      <c r="H24" s="44"/>
      <c r="I24" s="44"/>
      <c r="J24" s="44"/>
      <c r="K24" s="44"/>
      <c r="L24" s="46">
        <v>163</v>
      </c>
      <c r="M24" s="27"/>
      <c r="N24" s="28"/>
    </row>
    <row r="25" spans="2:14" ht="15" customHeight="1" x14ac:dyDescent="0.25">
      <c r="B25" s="20"/>
      <c r="C25" s="5" t="s">
        <v>43</v>
      </c>
      <c r="D25" s="6" t="s">
        <v>23</v>
      </c>
      <c r="E25" s="11">
        <v>7.4079999999999997E-3</v>
      </c>
      <c r="F25" s="1"/>
      <c r="G25" s="1"/>
      <c r="H25" s="1"/>
      <c r="I25" s="1"/>
      <c r="J25" s="1"/>
      <c r="K25" s="1"/>
      <c r="L25" s="1"/>
      <c r="M25" s="1"/>
      <c r="N25" s="18"/>
    </row>
    <row r="26" spans="2:14" ht="15" customHeight="1" x14ac:dyDescent="0.25">
      <c r="B26" s="20"/>
      <c r="C26" s="5" t="s">
        <v>105</v>
      </c>
      <c r="D26" s="6" t="s">
        <v>23</v>
      </c>
      <c r="E26" s="11">
        <v>7.3769999999999999E-3</v>
      </c>
      <c r="F26" s="1"/>
      <c r="G26" s="43" t="s">
        <v>19</v>
      </c>
      <c r="H26" s="44"/>
      <c r="I26" s="44"/>
      <c r="J26" s="44"/>
      <c r="K26" s="44"/>
      <c r="L26" s="44"/>
      <c r="M26" s="44"/>
      <c r="N26" s="45"/>
    </row>
    <row r="27" spans="2:14" ht="15.75" customHeight="1" x14ac:dyDescent="0.25">
      <c r="B27" s="20"/>
      <c r="C27" s="7" t="s">
        <v>32</v>
      </c>
      <c r="D27" s="8"/>
      <c r="E27" s="12">
        <v>0.31581599999999999</v>
      </c>
      <c r="F27" s="1"/>
      <c r="G27" s="1"/>
      <c r="H27" s="1"/>
      <c r="I27" s="1"/>
      <c r="J27" s="1"/>
      <c r="K27" s="1"/>
      <c r="L27" s="1"/>
      <c r="M27" s="1"/>
      <c r="N27" s="18"/>
    </row>
    <row r="28" spans="2:14" ht="15" customHeight="1" x14ac:dyDescent="0.25">
      <c r="B28" s="20"/>
      <c r="C28" s="5" t="s">
        <v>59</v>
      </c>
      <c r="D28" s="6" t="s">
        <v>56</v>
      </c>
      <c r="E28" s="11">
        <v>0.121111</v>
      </c>
      <c r="F28" s="1"/>
      <c r="G28" s="1"/>
      <c r="H28" s="1"/>
      <c r="I28" s="1"/>
      <c r="J28" s="1"/>
      <c r="K28" s="1"/>
      <c r="L28" s="1"/>
      <c r="M28" s="1"/>
      <c r="N28" s="18"/>
    </row>
    <row r="29" spans="2:14" ht="15.75" customHeight="1" x14ac:dyDescent="0.25">
      <c r="B29" s="20"/>
      <c r="C29" s="7" t="s">
        <v>61</v>
      </c>
      <c r="D29" s="8"/>
      <c r="E29" s="12">
        <v>0.121111</v>
      </c>
      <c r="F29" s="1"/>
      <c r="G29" s="1"/>
      <c r="H29" s="1"/>
      <c r="I29" s="1"/>
      <c r="J29" s="1"/>
      <c r="K29" s="1"/>
      <c r="L29" s="1"/>
      <c r="M29" s="1"/>
      <c r="N29" s="18"/>
    </row>
    <row r="30" spans="2:14" ht="15" customHeight="1" x14ac:dyDescent="0.25">
      <c r="B30" s="20"/>
      <c r="C30" s="5" t="s">
        <v>181</v>
      </c>
      <c r="D30" s="6" t="s">
        <v>56</v>
      </c>
      <c r="E30" s="11">
        <v>1.5034E-2</v>
      </c>
      <c r="F30" s="1"/>
      <c r="G30" s="1"/>
      <c r="H30" s="1"/>
      <c r="I30" s="1"/>
      <c r="J30" s="1"/>
      <c r="K30" s="1"/>
      <c r="L30" s="1"/>
      <c r="M30" s="1"/>
      <c r="N30" s="18"/>
    </row>
    <row r="31" spans="2:14" ht="15.75" customHeight="1" x14ac:dyDescent="0.25">
      <c r="B31" s="20"/>
      <c r="C31" s="5" t="s">
        <v>182</v>
      </c>
      <c r="D31" s="6" t="s">
        <v>56</v>
      </c>
      <c r="E31" s="11">
        <v>1.2175999999999999E-2</v>
      </c>
      <c r="F31" s="1"/>
      <c r="G31" s="1"/>
      <c r="H31" s="1"/>
      <c r="I31" s="1"/>
      <c r="J31" s="1"/>
      <c r="K31" s="1"/>
      <c r="L31" s="1"/>
      <c r="M31" s="1"/>
      <c r="N31" s="18"/>
    </row>
    <row r="32" spans="2:14" ht="15" customHeight="1" x14ac:dyDescent="0.25">
      <c r="B32" s="20"/>
      <c r="C32" s="5" t="s">
        <v>174</v>
      </c>
      <c r="D32" s="6" t="s">
        <v>56</v>
      </c>
      <c r="E32" s="11">
        <v>3.0149999999999999E-3</v>
      </c>
      <c r="F32" s="1"/>
      <c r="G32" s="1"/>
      <c r="H32" s="1"/>
      <c r="I32" s="1"/>
      <c r="J32" s="1"/>
      <c r="K32" s="1"/>
      <c r="L32" s="1"/>
      <c r="M32" s="1"/>
      <c r="N32" s="18"/>
    </row>
    <row r="33" spans="2:14" ht="15" customHeight="1" x14ac:dyDescent="0.25">
      <c r="B33" s="20"/>
      <c r="C33" s="5" t="s">
        <v>172</v>
      </c>
      <c r="D33" s="6" t="s">
        <v>56</v>
      </c>
      <c r="E33" s="11">
        <v>2.9870000000000001E-3</v>
      </c>
      <c r="F33" s="1"/>
      <c r="G33" s="1"/>
      <c r="H33" s="1"/>
      <c r="I33" s="1"/>
      <c r="J33" s="1"/>
      <c r="K33" s="1"/>
      <c r="L33" s="1"/>
      <c r="M33" s="1"/>
      <c r="N33" s="18"/>
    </row>
    <row r="34" spans="2:14" ht="15" customHeight="1" x14ac:dyDescent="0.25">
      <c r="B34" s="20"/>
      <c r="C34" s="5" t="s">
        <v>186</v>
      </c>
      <c r="D34" s="6" t="s">
        <v>56</v>
      </c>
      <c r="E34" s="11">
        <v>1.531E-3</v>
      </c>
      <c r="F34" s="1"/>
      <c r="G34" s="1"/>
      <c r="H34" s="1"/>
      <c r="I34" s="1"/>
      <c r="J34" s="1"/>
      <c r="K34" s="1"/>
      <c r="L34" s="1"/>
      <c r="M34" s="1"/>
      <c r="N34" s="18"/>
    </row>
    <row r="35" spans="2:14" ht="15.75" customHeight="1" x14ac:dyDescent="0.25">
      <c r="B35" s="20"/>
      <c r="C35" s="5" t="s">
        <v>184</v>
      </c>
      <c r="D35" s="6" t="s">
        <v>56</v>
      </c>
      <c r="E35" s="11">
        <v>1.506E-3</v>
      </c>
      <c r="F35" s="1"/>
      <c r="G35" s="1"/>
      <c r="H35" s="1"/>
      <c r="I35" s="1"/>
      <c r="J35" s="1"/>
      <c r="K35" s="1"/>
      <c r="L35" s="1"/>
      <c r="M35" s="1"/>
      <c r="N35" s="18"/>
    </row>
    <row r="36" spans="2:14" ht="15" customHeight="1" x14ac:dyDescent="0.25">
      <c r="B36" s="20"/>
      <c r="C36" s="5" t="s">
        <v>183</v>
      </c>
      <c r="D36" s="6" t="s">
        <v>56</v>
      </c>
      <c r="E36" s="11">
        <v>4.6900000000000002E-4</v>
      </c>
      <c r="F36" s="1"/>
      <c r="G36" s="1"/>
      <c r="H36" s="1"/>
      <c r="I36" s="1"/>
      <c r="J36" s="1"/>
      <c r="K36" s="1"/>
      <c r="L36" s="1"/>
      <c r="M36" s="1"/>
      <c r="N36" s="18"/>
    </row>
    <row r="37" spans="2:14" ht="15.75" customHeight="1" x14ac:dyDescent="0.25">
      <c r="B37" s="20"/>
      <c r="C37" s="5" t="s">
        <v>185</v>
      </c>
      <c r="D37" s="6" t="s">
        <v>56</v>
      </c>
      <c r="E37" s="11">
        <v>8.7999999999999998E-5</v>
      </c>
      <c r="F37" s="1"/>
      <c r="G37" s="1"/>
      <c r="H37" s="1"/>
      <c r="I37" s="1"/>
      <c r="J37" s="1"/>
      <c r="K37" s="1"/>
      <c r="L37" s="1"/>
      <c r="M37" s="1"/>
      <c r="N37" s="18"/>
    </row>
    <row r="38" spans="2:14" ht="15" customHeight="1" x14ac:dyDescent="0.25">
      <c r="B38" s="20"/>
      <c r="C38" s="7" t="s">
        <v>62</v>
      </c>
      <c r="D38" s="8"/>
      <c r="E38" s="12">
        <v>3.6805999999999998E-2</v>
      </c>
      <c r="F38" s="1"/>
      <c r="G38" s="1"/>
      <c r="H38" s="1"/>
      <c r="I38" s="1"/>
      <c r="J38" s="1"/>
      <c r="K38" s="1"/>
      <c r="L38" s="1"/>
      <c r="M38" s="1"/>
      <c r="N38" s="18"/>
    </row>
    <row r="39" spans="2:14" ht="15.75" customHeight="1" x14ac:dyDescent="0.25">
      <c r="B39" s="20"/>
      <c r="C39" s="5" t="s">
        <v>108</v>
      </c>
      <c r="D39" s="6" t="s">
        <v>56</v>
      </c>
      <c r="E39" s="11">
        <v>1.3384999999999999E-2</v>
      </c>
      <c r="F39" s="1"/>
      <c r="G39" s="1"/>
      <c r="H39" s="1"/>
      <c r="I39" s="1"/>
      <c r="J39" s="1"/>
      <c r="K39" s="1"/>
      <c r="L39" s="1"/>
      <c r="M39" s="1"/>
      <c r="N39" s="18"/>
    </row>
    <row r="40" spans="2:14" ht="15" customHeight="1" x14ac:dyDescent="0.25">
      <c r="B40" s="20"/>
      <c r="C40" s="5" t="s">
        <v>163</v>
      </c>
      <c r="D40" s="6" t="s">
        <v>56</v>
      </c>
      <c r="E40" s="11">
        <v>1.3251000000000001E-2</v>
      </c>
      <c r="F40" s="1"/>
      <c r="G40" s="1"/>
      <c r="H40" s="1"/>
      <c r="I40" s="1"/>
      <c r="J40" s="1"/>
      <c r="K40" s="1"/>
      <c r="L40" s="1"/>
      <c r="M40" s="1"/>
      <c r="N40" s="18"/>
    </row>
    <row r="41" spans="2:14" ht="15" customHeight="1" x14ac:dyDescent="0.25">
      <c r="B41" s="20"/>
      <c r="C41" s="5" t="s">
        <v>164</v>
      </c>
      <c r="D41" s="6" t="s">
        <v>56</v>
      </c>
      <c r="E41" s="11">
        <v>1.1801000000000001E-2</v>
      </c>
      <c r="F41" s="1"/>
      <c r="G41" s="1"/>
      <c r="H41" s="1"/>
      <c r="I41" s="1"/>
      <c r="J41" s="1"/>
      <c r="K41" s="1"/>
      <c r="L41" s="1"/>
      <c r="M41" s="1"/>
      <c r="N41" s="18"/>
    </row>
    <row r="42" spans="2:14" ht="15" customHeight="1" x14ac:dyDescent="0.25">
      <c r="B42" s="20"/>
      <c r="C42" s="7" t="s">
        <v>65</v>
      </c>
      <c r="D42" s="8"/>
      <c r="E42" s="12">
        <v>3.8436999999999999E-2</v>
      </c>
      <c r="F42" s="1"/>
      <c r="G42" s="1"/>
      <c r="H42" s="1"/>
      <c r="I42" s="1"/>
      <c r="J42" s="1"/>
      <c r="K42" s="1"/>
      <c r="L42" s="1"/>
      <c r="M42" s="1"/>
      <c r="N42" s="18"/>
    </row>
    <row r="43" spans="2:14" ht="15" customHeight="1" x14ac:dyDescent="0.25">
      <c r="B43" s="20"/>
      <c r="C43" s="5" t="s">
        <v>9</v>
      </c>
      <c r="D43" s="6"/>
      <c r="E43" s="11">
        <v>4.0980000000000003E-2</v>
      </c>
      <c r="F43" s="1"/>
      <c r="G43" s="1"/>
      <c r="H43" s="1"/>
      <c r="I43" s="1"/>
      <c r="J43" s="1"/>
      <c r="K43" s="1"/>
      <c r="L43" s="1"/>
      <c r="M43" s="1"/>
      <c r="N43" s="18"/>
    </row>
    <row r="44" spans="2:14" ht="15" customHeight="1" x14ac:dyDescent="0.25">
      <c r="B44" s="20"/>
      <c r="C44" s="7" t="s">
        <v>10</v>
      </c>
      <c r="D44" s="8"/>
      <c r="E44" s="12">
        <v>4.0980000000000003E-2</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7" t="s">
        <v>11</v>
      </c>
      <c r="D46" s="8"/>
      <c r="E46" s="12">
        <v>-1.735E-3</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12</v>
      </c>
      <c r="D48" s="10"/>
      <c r="E48" s="13">
        <v>1</v>
      </c>
      <c r="F48" s="1"/>
      <c r="G48" s="1"/>
      <c r="H48" s="1"/>
      <c r="I48" s="1"/>
      <c r="J48" s="1"/>
      <c r="K48" s="1"/>
      <c r="L48" s="1"/>
      <c r="M48" s="1"/>
      <c r="N48" s="18"/>
    </row>
    <row r="49" spans="2:14" ht="15" customHeight="1" x14ac:dyDescent="0.25">
      <c r="B49" s="20"/>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04.25" customHeight="1" thickBot="1" x14ac:dyDescent="0.3">
      <c r="B52" s="35" t="s">
        <v>234</v>
      </c>
      <c r="C52" s="36"/>
      <c r="D52" s="36"/>
      <c r="E52" s="36"/>
      <c r="F52" s="36"/>
      <c r="G52" s="36"/>
      <c r="H52" s="36"/>
      <c r="I52" s="36"/>
      <c r="J52" s="36"/>
      <c r="K52" s="36"/>
      <c r="L52" s="36"/>
      <c r="M52" s="36"/>
      <c r="N52" s="37"/>
    </row>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sheetData>
  <sortState ref="C30:E37">
    <sortCondition descending="1" ref="E30"/>
  </sortState>
  <mergeCells count="6">
    <mergeCell ref="B52:N52"/>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F402D-5977-442D-89FD-090D86CC7992}">
  <dimension ref="B1:N58"/>
  <sheetViews>
    <sheetView showGridLines="0" zoomScale="75" zoomScaleNormal="75" workbookViewId="0">
      <selection activeCell="L24" sqref="L24"/>
    </sheetView>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167</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168</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22</v>
      </c>
      <c r="D8" s="6" t="s">
        <v>23</v>
      </c>
      <c r="E8" s="11">
        <v>8.4926000000000001E-2</v>
      </c>
      <c r="F8" s="1"/>
      <c r="G8" s="24" t="s">
        <v>16</v>
      </c>
      <c r="H8" s="25">
        <v>1</v>
      </c>
      <c r="I8" s="1"/>
      <c r="J8" s="24" t="s">
        <v>13</v>
      </c>
      <c r="K8" s="24" t="s">
        <v>5</v>
      </c>
      <c r="L8" s="1"/>
      <c r="M8" s="1"/>
      <c r="N8" s="18"/>
    </row>
    <row r="9" spans="2:14" ht="15" customHeight="1" x14ac:dyDescent="0.25">
      <c r="B9" s="20"/>
      <c r="C9" s="5" t="s">
        <v>25</v>
      </c>
      <c r="D9" s="6" t="s">
        <v>23</v>
      </c>
      <c r="E9" s="11">
        <v>7.3877999999999999E-2</v>
      </c>
      <c r="F9" s="1"/>
      <c r="G9" s="1"/>
      <c r="H9" s="1"/>
      <c r="I9" s="1"/>
      <c r="J9" s="24" t="s">
        <v>11</v>
      </c>
      <c r="K9" s="29">
        <v>6.2859999999999999E-3</v>
      </c>
      <c r="L9" s="1"/>
      <c r="M9" s="1"/>
      <c r="N9" s="18"/>
    </row>
    <row r="10" spans="2:14" ht="15" customHeight="1" x14ac:dyDescent="0.25">
      <c r="B10" s="20"/>
      <c r="C10" s="5" t="s">
        <v>27</v>
      </c>
      <c r="D10" s="6" t="s">
        <v>23</v>
      </c>
      <c r="E10" s="11">
        <v>1.5803999999999999E-2</v>
      </c>
      <c r="F10" s="1"/>
      <c r="G10" s="1"/>
      <c r="H10" s="1"/>
      <c r="I10" s="1"/>
      <c r="J10" s="24" t="s">
        <v>14</v>
      </c>
      <c r="K10" s="29">
        <v>0.14271800000000001</v>
      </c>
      <c r="L10" s="1"/>
      <c r="M10" s="1"/>
      <c r="N10" s="18"/>
    </row>
    <row r="11" spans="2:14" ht="15" customHeight="1" x14ac:dyDescent="0.25">
      <c r="B11" s="20"/>
      <c r="C11" s="5" t="s">
        <v>33</v>
      </c>
      <c r="D11" s="6" t="s">
        <v>23</v>
      </c>
      <c r="E11" s="11">
        <v>1.0241E-2</v>
      </c>
      <c r="F11" s="1"/>
      <c r="G11" s="1"/>
      <c r="H11" s="1"/>
      <c r="I11" s="1"/>
      <c r="J11" s="24" t="s">
        <v>67</v>
      </c>
      <c r="K11" s="29">
        <v>0.18484900000000001</v>
      </c>
      <c r="L11" s="1"/>
      <c r="M11" s="1"/>
      <c r="N11" s="18"/>
    </row>
    <row r="12" spans="2:14" ht="15.75" customHeight="1" x14ac:dyDescent="0.25">
      <c r="B12" s="20"/>
      <c r="C12" s="7" t="s">
        <v>30</v>
      </c>
      <c r="D12" s="8"/>
      <c r="E12" s="12">
        <v>0.18484900000000001</v>
      </c>
      <c r="F12" s="1"/>
      <c r="G12" s="1"/>
      <c r="H12" s="1"/>
      <c r="I12" s="1"/>
      <c r="J12" s="24" t="s">
        <v>68</v>
      </c>
      <c r="K12" s="29">
        <v>0.46383400000000002</v>
      </c>
      <c r="L12" s="1"/>
      <c r="M12" s="1"/>
      <c r="N12" s="18"/>
    </row>
    <row r="13" spans="2:14" ht="15" customHeight="1" x14ac:dyDescent="0.25">
      <c r="B13" s="20"/>
      <c r="C13" s="5" t="s">
        <v>27</v>
      </c>
      <c r="D13" s="6" t="s">
        <v>23</v>
      </c>
      <c r="E13" s="11">
        <v>5.7993999999999997E-2</v>
      </c>
      <c r="F13" s="1"/>
      <c r="G13" s="1"/>
      <c r="H13" s="1"/>
      <c r="I13" s="1"/>
      <c r="J13" s="24" t="s">
        <v>69</v>
      </c>
      <c r="K13" s="29">
        <v>0.15859999999999999</v>
      </c>
      <c r="L13" s="1"/>
      <c r="M13" s="1"/>
      <c r="N13" s="18"/>
    </row>
    <row r="14" spans="2:14" ht="15" customHeight="1" x14ac:dyDescent="0.25">
      <c r="B14" s="20"/>
      <c r="C14" s="5" t="s">
        <v>98</v>
      </c>
      <c r="D14" s="6" t="s">
        <v>23</v>
      </c>
      <c r="E14" s="11">
        <v>4.2424999999999997E-2</v>
      </c>
      <c r="F14" s="1"/>
      <c r="G14" s="1"/>
      <c r="H14" s="1"/>
      <c r="I14" s="1"/>
      <c r="J14" s="24" t="s">
        <v>71</v>
      </c>
      <c r="K14" s="29">
        <v>9.0709999999999992E-3</v>
      </c>
      <c r="L14" s="1"/>
      <c r="M14" s="1"/>
      <c r="N14" s="18"/>
    </row>
    <row r="15" spans="2:14" ht="15" customHeight="1" x14ac:dyDescent="0.25">
      <c r="B15" s="20"/>
      <c r="C15" s="5" t="s">
        <v>99</v>
      </c>
      <c r="D15" s="6" t="s">
        <v>23</v>
      </c>
      <c r="E15" s="11">
        <v>3.1871999999999998E-2</v>
      </c>
      <c r="F15" s="1"/>
      <c r="G15" s="1"/>
      <c r="H15" s="1"/>
      <c r="I15" s="1"/>
      <c r="J15" s="24" t="s">
        <v>72</v>
      </c>
      <c r="K15" s="29">
        <v>3.4641999999999999E-2</v>
      </c>
      <c r="L15" s="1"/>
      <c r="M15" s="1"/>
      <c r="N15" s="18"/>
    </row>
    <row r="16" spans="2:14" ht="15" customHeight="1" x14ac:dyDescent="0.25">
      <c r="B16" s="20"/>
      <c r="C16" s="5" t="s">
        <v>96</v>
      </c>
      <c r="D16" s="6" t="s">
        <v>23</v>
      </c>
      <c r="E16" s="11">
        <v>1.5716999999999998E-2</v>
      </c>
      <c r="F16" s="1"/>
      <c r="G16" s="1"/>
      <c r="H16" s="1"/>
      <c r="I16" s="1"/>
      <c r="J16" s="1"/>
      <c r="K16" s="1"/>
      <c r="L16" s="1"/>
      <c r="M16" s="1"/>
      <c r="N16" s="18"/>
    </row>
    <row r="17" spans="2:14" ht="15" customHeight="1" x14ac:dyDescent="0.25">
      <c r="B17" s="20"/>
      <c r="C17" s="5" t="s">
        <v>97</v>
      </c>
      <c r="D17" s="6" t="s">
        <v>23</v>
      </c>
      <c r="E17" s="11">
        <v>1.0592000000000001E-2</v>
      </c>
      <c r="F17" s="1"/>
      <c r="G17" s="1"/>
      <c r="H17" s="1"/>
      <c r="I17" s="1"/>
      <c r="J17" s="1"/>
      <c r="K17" s="1"/>
      <c r="L17" s="1"/>
      <c r="M17" s="1"/>
      <c r="N17" s="18"/>
    </row>
    <row r="18" spans="2:14" ht="15.75" customHeight="1" x14ac:dyDescent="0.25">
      <c r="B18" s="20"/>
      <c r="C18" s="7" t="s">
        <v>32</v>
      </c>
      <c r="D18" s="8"/>
      <c r="E18" s="12">
        <v>0.15859999999999999</v>
      </c>
      <c r="F18" s="1"/>
      <c r="G18" s="1"/>
      <c r="H18" s="1"/>
      <c r="I18" s="1"/>
      <c r="J18" s="1"/>
      <c r="K18" s="1"/>
      <c r="L18" s="1"/>
      <c r="M18" s="1"/>
      <c r="N18" s="18"/>
    </row>
    <row r="19" spans="2:14" ht="15" customHeight="1" x14ac:dyDescent="0.25">
      <c r="B19" s="20"/>
      <c r="C19" s="5" t="s">
        <v>36</v>
      </c>
      <c r="D19" s="6" t="s">
        <v>34</v>
      </c>
      <c r="E19" s="11">
        <v>0.114299</v>
      </c>
      <c r="F19" s="1"/>
      <c r="G19" s="1"/>
      <c r="H19" s="1"/>
      <c r="I19" s="1"/>
      <c r="J19" s="1"/>
      <c r="K19" s="1"/>
      <c r="L19" s="1"/>
      <c r="M19" s="1"/>
      <c r="N19" s="18"/>
    </row>
    <row r="20" spans="2:14" ht="15" customHeight="1" x14ac:dyDescent="0.25">
      <c r="B20" s="20"/>
      <c r="C20" s="5" t="s">
        <v>33</v>
      </c>
      <c r="D20" s="6" t="s">
        <v>34</v>
      </c>
      <c r="E20" s="11">
        <v>0.10768</v>
      </c>
      <c r="F20" s="1"/>
      <c r="G20" s="1"/>
      <c r="H20" s="1"/>
      <c r="I20" s="1"/>
      <c r="J20" s="1"/>
      <c r="K20" s="1"/>
      <c r="L20" s="1"/>
      <c r="M20" s="1"/>
      <c r="N20" s="18"/>
    </row>
    <row r="21" spans="2:14" ht="15" customHeight="1" x14ac:dyDescent="0.25">
      <c r="B21" s="20"/>
      <c r="C21" s="5" t="s">
        <v>31</v>
      </c>
      <c r="D21" s="6" t="s">
        <v>34</v>
      </c>
      <c r="E21" s="11">
        <v>8.9246000000000006E-2</v>
      </c>
      <c r="F21" s="1"/>
      <c r="G21" s="1"/>
      <c r="H21" s="1"/>
      <c r="I21" s="1"/>
      <c r="J21" s="1"/>
      <c r="K21" s="1"/>
      <c r="L21" s="1"/>
      <c r="M21" s="1"/>
      <c r="N21" s="18"/>
    </row>
    <row r="22" spans="2:14" ht="15" customHeight="1" x14ac:dyDescent="0.25">
      <c r="B22" s="20"/>
      <c r="C22" s="5" t="s">
        <v>37</v>
      </c>
      <c r="D22" s="6" t="s">
        <v>34</v>
      </c>
      <c r="E22" s="11">
        <v>6.8763000000000005E-2</v>
      </c>
      <c r="F22" s="1"/>
      <c r="G22" s="1"/>
      <c r="H22" s="1"/>
      <c r="I22" s="1"/>
      <c r="J22" s="1"/>
      <c r="K22" s="1"/>
      <c r="L22" s="1"/>
      <c r="M22" s="1"/>
      <c r="N22" s="18"/>
    </row>
    <row r="23" spans="2:14" ht="15" customHeight="1" x14ac:dyDescent="0.25">
      <c r="B23" s="20"/>
      <c r="C23" s="5" t="s">
        <v>43</v>
      </c>
      <c r="D23" s="6" t="s">
        <v>34</v>
      </c>
      <c r="E23" s="11">
        <v>3.2369000000000002E-2</v>
      </c>
      <c r="F23" s="1"/>
      <c r="G23" s="1"/>
      <c r="H23" s="1"/>
      <c r="I23" s="1"/>
      <c r="J23" s="1"/>
      <c r="K23" s="1"/>
      <c r="L23" s="1"/>
      <c r="M23" s="1"/>
      <c r="N23" s="18"/>
    </row>
    <row r="24" spans="2:14" ht="15" customHeight="1" x14ac:dyDescent="0.25">
      <c r="B24" s="20"/>
      <c r="C24" s="5" t="s">
        <v>44</v>
      </c>
      <c r="D24" s="6" t="s">
        <v>34</v>
      </c>
      <c r="E24" s="11">
        <v>3.2199999999999999E-2</v>
      </c>
      <c r="F24" s="1"/>
      <c r="G24" s="43" t="s">
        <v>116</v>
      </c>
      <c r="H24" s="44"/>
      <c r="I24" s="44"/>
      <c r="J24" s="44"/>
      <c r="K24" s="44"/>
      <c r="L24" s="46">
        <v>157</v>
      </c>
      <c r="M24" s="27"/>
      <c r="N24" s="28"/>
    </row>
    <row r="25" spans="2:14" ht="15" customHeight="1" x14ac:dyDescent="0.25">
      <c r="B25" s="20"/>
      <c r="C25" s="5" t="s">
        <v>51</v>
      </c>
      <c r="D25" s="6" t="s">
        <v>34</v>
      </c>
      <c r="E25" s="11">
        <v>1.0692999999999999E-2</v>
      </c>
      <c r="F25" s="1"/>
      <c r="G25" s="1"/>
      <c r="H25" s="1"/>
      <c r="I25" s="1"/>
      <c r="J25" s="1"/>
      <c r="K25" s="1"/>
      <c r="L25" s="1"/>
      <c r="M25" s="1"/>
      <c r="N25" s="18"/>
    </row>
    <row r="26" spans="2:14" ht="15" customHeight="1" x14ac:dyDescent="0.25">
      <c r="B26" s="20"/>
      <c r="C26" s="5" t="s">
        <v>41</v>
      </c>
      <c r="D26" s="6" t="s">
        <v>34</v>
      </c>
      <c r="E26" s="11">
        <v>5.385E-3</v>
      </c>
      <c r="F26" s="1"/>
      <c r="G26" s="43" t="s">
        <v>19</v>
      </c>
      <c r="H26" s="44"/>
      <c r="I26" s="44"/>
      <c r="J26" s="44"/>
      <c r="K26" s="44"/>
      <c r="L26" s="44"/>
      <c r="M26" s="44"/>
      <c r="N26" s="45"/>
    </row>
    <row r="27" spans="2:14" ht="15" customHeight="1" x14ac:dyDescent="0.25">
      <c r="B27" s="20"/>
      <c r="C27" s="5" t="s">
        <v>98</v>
      </c>
      <c r="D27" s="6" t="s">
        <v>34</v>
      </c>
      <c r="E27" s="11">
        <v>3.199E-3</v>
      </c>
      <c r="F27" s="1"/>
      <c r="G27" s="1"/>
      <c r="H27" s="1"/>
      <c r="I27" s="1"/>
      <c r="J27" s="1"/>
      <c r="K27" s="1"/>
      <c r="L27" s="1"/>
      <c r="M27" s="1"/>
      <c r="N27" s="18"/>
    </row>
    <row r="28" spans="2:14" ht="15.75" customHeight="1" x14ac:dyDescent="0.25">
      <c r="B28" s="20"/>
      <c r="C28" s="7" t="s">
        <v>52</v>
      </c>
      <c r="D28" s="8"/>
      <c r="E28" s="12">
        <v>0.46383400000000002</v>
      </c>
      <c r="F28" s="1"/>
      <c r="G28" s="1"/>
      <c r="H28" s="1"/>
      <c r="I28" s="1"/>
      <c r="J28" s="1"/>
      <c r="K28" s="1"/>
      <c r="L28" s="1"/>
      <c r="M28" s="1"/>
      <c r="N28" s="18"/>
    </row>
    <row r="29" spans="2:14" ht="15" customHeight="1" x14ac:dyDescent="0.25">
      <c r="B29" s="20"/>
      <c r="C29" s="5" t="s">
        <v>59</v>
      </c>
      <c r="D29" s="6" t="s">
        <v>56</v>
      </c>
      <c r="E29" s="11">
        <v>9.0709999999999992E-3</v>
      </c>
      <c r="F29" s="1"/>
      <c r="G29" s="1"/>
      <c r="H29" s="1"/>
      <c r="I29" s="1"/>
      <c r="J29" s="1"/>
      <c r="K29" s="1"/>
      <c r="L29" s="1"/>
      <c r="M29" s="1"/>
      <c r="N29" s="18"/>
    </row>
    <row r="30" spans="2:14" ht="15.75" customHeight="1" x14ac:dyDescent="0.25">
      <c r="B30" s="20"/>
      <c r="C30" s="7" t="s">
        <v>61</v>
      </c>
      <c r="D30" s="8"/>
      <c r="E30" s="12">
        <v>9.0709999999999992E-3</v>
      </c>
      <c r="F30" s="1"/>
      <c r="G30" s="1"/>
      <c r="H30" s="1"/>
      <c r="I30" s="1"/>
      <c r="J30" s="1"/>
      <c r="K30" s="1"/>
      <c r="L30" s="1"/>
      <c r="M30" s="1"/>
      <c r="N30" s="18"/>
    </row>
    <row r="31" spans="2:14" ht="15" customHeight="1" x14ac:dyDescent="0.25">
      <c r="B31" s="20"/>
      <c r="C31" s="5" t="s">
        <v>188</v>
      </c>
      <c r="D31" s="6" t="s">
        <v>56</v>
      </c>
      <c r="E31" s="11">
        <v>3.2482999999999998E-2</v>
      </c>
      <c r="F31" s="1"/>
      <c r="G31" s="1"/>
      <c r="H31" s="1"/>
      <c r="I31" s="1"/>
      <c r="J31" s="1"/>
      <c r="K31" s="1"/>
      <c r="L31" s="1"/>
      <c r="M31" s="1"/>
      <c r="N31" s="18"/>
    </row>
    <row r="32" spans="2:14" ht="15.75" customHeight="1" x14ac:dyDescent="0.25">
      <c r="B32" s="20"/>
      <c r="C32" s="5" t="s">
        <v>189</v>
      </c>
      <c r="D32" s="6" t="s">
        <v>56</v>
      </c>
      <c r="E32" s="11">
        <v>1.085E-3</v>
      </c>
      <c r="F32" s="1"/>
      <c r="G32" s="1"/>
      <c r="H32" s="1"/>
      <c r="I32" s="1"/>
      <c r="J32" s="1"/>
      <c r="K32" s="1"/>
      <c r="L32" s="1"/>
      <c r="M32" s="1"/>
      <c r="N32" s="18"/>
    </row>
    <row r="33" spans="2:14" ht="15" customHeight="1" x14ac:dyDescent="0.25">
      <c r="B33" s="20"/>
      <c r="C33" s="5" t="s">
        <v>187</v>
      </c>
      <c r="D33" s="6" t="s">
        <v>56</v>
      </c>
      <c r="E33" s="11">
        <v>1.0740000000000001E-3</v>
      </c>
      <c r="F33" s="1"/>
      <c r="G33" s="1"/>
      <c r="H33" s="1"/>
      <c r="I33" s="1"/>
      <c r="J33" s="1"/>
      <c r="K33" s="1"/>
      <c r="L33" s="1"/>
      <c r="M33" s="1"/>
      <c r="N33" s="18"/>
    </row>
    <row r="34" spans="2:14" ht="15.75" customHeight="1" x14ac:dyDescent="0.25">
      <c r="B34" s="20"/>
      <c r="C34" s="7" t="s">
        <v>62</v>
      </c>
      <c r="D34" s="8"/>
      <c r="E34" s="12">
        <v>3.4641999999999999E-2</v>
      </c>
      <c r="F34" s="1"/>
      <c r="G34" s="1"/>
      <c r="H34" s="1"/>
      <c r="I34" s="1"/>
      <c r="J34" s="1"/>
      <c r="K34" s="1"/>
      <c r="L34" s="1"/>
      <c r="M34" s="1"/>
      <c r="N34" s="18"/>
    </row>
    <row r="35" spans="2:14" ht="15" customHeight="1" x14ac:dyDescent="0.25">
      <c r="B35" s="20"/>
      <c r="C35" s="5" t="s">
        <v>9</v>
      </c>
      <c r="D35" s="6"/>
      <c r="E35" s="11">
        <v>0.14271800000000001</v>
      </c>
      <c r="F35" s="1"/>
      <c r="G35" s="1"/>
      <c r="H35" s="1"/>
      <c r="I35" s="1"/>
      <c r="J35" s="1"/>
      <c r="K35" s="1"/>
      <c r="L35" s="1"/>
      <c r="M35" s="1"/>
      <c r="N35" s="18"/>
    </row>
    <row r="36" spans="2:14" ht="15.75" customHeight="1" x14ac:dyDescent="0.25">
      <c r="B36" s="20"/>
      <c r="C36" s="7" t="s">
        <v>10</v>
      </c>
      <c r="D36" s="8"/>
      <c r="E36" s="12">
        <v>0.14271800000000001</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11</v>
      </c>
      <c r="D38" s="8"/>
      <c r="E38" s="12">
        <v>6.2859999999999999E-3</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12</v>
      </c>
      <c r="D40" s="10"/>
      <c r="E40" s="13">
        <v>1</v>
      </c>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3.5" customHeight="1" thickBot="1" x14ac:dyDescent="0.3">
      <c r="B45" s="35" t="s">
        <v>234</v>
      </c>
      <c r="C45" s="36"/>
      <c r="D45" s="36"/>
      <c r="E45" s="36"/>
      <c r="F45" s="36"/>
      <c r="G45" s="36"/>
      <c r="H45" s="36"/>
      <c r="I45" s="36"/>
      <c r="J45" s="36"/>
      <c r="K45" s="36"/>
      <c r="L45" s="36"/>
      <c r="M45" s="36"/>
      <c r="N45" s="37"/>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C31:E33">
    <sortCondition descending="1" ref="E31"/>
  </sortState>
  <mergeCells count="6">
    <mergeCell ref="B45:N4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B915-FB2D-4FF5-8FD0-E684750304EC}">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137</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138</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77</v>
      </c>
      <c r="D8" s="6" t="s">
        <v>56</v>
      </c>
      <c r="E8" s="11">
        <v>0.93785099999999999</v>
      </c>
      <c r="F8" s="1"/>
      <c r="G8" s="24" t="s">
        <v>16</v>
      </c>
      <c r="H8" s="25">
        <v>1</v>
      </c>
      <c r="I8" s="1"/>
      <c r="J8" s="24" t="s">
        <v>13</v>
      </c>
      <c r="K8" s="24" t="s">
        <v>5</v>
      </c>
      <c r="L8" s="1"/>
      <c r="M8" s="1"/>
      <c r="N8" s="18"/>
    </row>
    <row r="9" spans="2:14" ht="15" customHeight="1" x14ac:dyDescent="0.25">
      <c r="B9" s="20"/>
      <c r="C9" s="5" t="s">
        <v>79</v>
      </c>
      <c r="D9" s="6" t="s">
        <v>56</v>
      </c>
      <c r="E9" s="11">
        <v>4.3761000000000001E-2</v>
      </c>
      <c r="F9" s="1"/>
      <c r="G9" s="1"/>
      <c r="H9" s="1"/>
      <c r="I9" s="1"/>
      <c r="J9" s="24" t="s">
        <v>11</v>
      </c>
      <c r="K9" s="29">
        <v>6.2399999999999999E-3</v>
      </c>
      <c r="L9" s="1"/>
      <c r="M9" s="1"/>
      <c r="N9" s="18"/>
    </row>
    <row r="10" spans="2:14" ht="15" customHeight="1" x14ac:dyDescent="0.25">
      <c r="B10" s="20"/>
      <c r="C10" s="5" t="s">
        <v>80</v>
      </c>
      <c r="D10" s="6" t="s">
        <v>56</v>
      </c>
      <c r="E10" s="11">
        <v>1.1162999999999999E-2</v>
      </c>
      <c r="F10" s="1"/>
      <c r="G10" s="1"/>
      <c r="H10" s="1"/>
      <c r="I10" s="1"/>
      <c r="J10" s="24" t="s">
        <v>14</v>
      </c>
      <c r="K10" s="29">
        <v>9.0600000000000001E-4</v>
      </c>
      <c r="L10" s="1"/>
      <c r="M10" s="1"/>
      <c r="N10" s="18"/>
    </row>
    <row r="11" spans="2:14" ht="15" customHeight="1" x14ac:dyDescent="0.25">
      <c r="B11" s="20"/>
      <c r="C11" s="5" t="s">
        <v>139</v>
      </c>
      <c r="D11" s="6" t="s">
        <v>56</v>
      </c>
      <c r="E11" s="30">
        <v>4.0000000000000003E-5</v>
      </c>
      <c r="F11" s="1"/>
      <c r="G11" s="1"/>
      <c r="H11" s="1"/>
      <c r="I11" s="1"/>
      <c r="J11" s="24" t="s">
        <v>71</v>
      </c>
      <c r="K11" s="29">
        <v>0.99285400000000001</v>
      </c>
      <c r="L11" s="1"/>
      <c r="M11" s="1"/>
      <c r="N11" s="18"/>
    </row>
    <row r="12" spans="2:14" ht="15" customHeight="1" x14ac:dyDescent="0.25">
      <c r="B12" s="20"/>
      <c r="C12" s="5" t="s">
        <v>85</v>
      </c>
      <c r="D12" s="6" t="s">
        <v>56</v>
      </c>
      <c r="E12" s="30">
        <v>3.8999999999999999E-5</v>
      </c>
      <c r="F12" s="1"/>
      <c r="G12" s="1"/>
      <c r="H12" s="1"/>
      <c r="I12" s="1"/>
      <c r="J12" s="1"/>
      <c r="K12" s="1"/>
      <c r="L12" s="1"/>
      <c r="M12" s="1"/>
      <c r="N12" s="18"/>
    </row>
    <row r="13" spans="2:14" ht="15.75" customHeight="1" x14ac:dyDescent="0.25">
      <c r="B13" s="20"/>
      <c r="C13" s="7" t="s">
        <v>61</v>
      </c>
      <c r="D13" s="8"/>
      <c r="E13" s="12">
        <v>0.99285400000000001</v>
      </c>
      <c r="F13" s="1"/>
      <c r="G13" s="1"/>
      <c r="H13" s="1"/>
      <c r="I13" s="1"/>
      <c r="J13" s="1"/>
      <c r="K13" s="1"/>
      <c r="L13" s="1"/>
      <c r="M13" s="1"/>
      <c r="N13" s="18"/>
    </row>
    <row r="14" spans="2:14" ht="15" customHeight="1" x14ac:dyDescent="0.25">
      <c r="B14" s="20"/>
      <c r="C14" s="5" t="s">
        <v>9</v>
      </c>
      <c r="D14" s="6"/>
      <c r="E14" s="11">
        <v>9.0600000000000001E-4</v>
      </c>
      <c r="F14" s="1"/>
      <c r="G14" s="1"/>
      <c r="H14" s="1"/>
      <c r="I14" s="1"/>
      <c r="J14" s="1"/>
      <c r="K14" s="1"/>
      <c r="L14" s="1"/>
      <c r="M14" s="1"/>
      <c r="N14" s="18"/>
    </row>
    <row r="15" spans="2:14" ht="15.75" customHeight="1" x14ac:dyDescent="0.25">
      <c r="B15" s="20"/>
      <c r="C15" s="7" t="s">
        <v>10</v>
      </c>
      <c r="D15" s="8"/>
      <c r="E15" s="12">
        <v>9.0600000000000001E-4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6.2399999999999999E-3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18</v>
      </c>
      <c r="H24" s="44"/>
      <c r="I24" s="44"/>
      <c r="J24" s="44"/>
      <c r="K24" s="44"/>
      <c r="L24" s="26">
        <v>3.97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19</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 customHeight="1" thickBot="1" x14ac:dyDescent="0.3">
      <c r="B45" s="35" t="s">
        <v>234</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9A27C-5755-458D-93A7-93364EF00E93}">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75</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76</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77</v>
      </c>
      <c r="D8" s="6" t="s">
        <v>56</v>
      </c>
      <c r="E8" s="11">
        <v>0.76093</v>
      </c>
      <c r="F8" s="1"/>
      <c r="G8" s="24" t="s">
        <v>16</v>
      </c>
      <c r="H8" s="25">
        <v>1</v>
      </c>
      <c r="I8" s="1"/>
      <c r="J8" s="24" t="s">
        <v>13</v>
      </c>
      <c r="K8" s="24" t="s">
        <v>5</v>
      </c>
      <c r="L8" s="1"/>
      <c r="M8" s="1"/>
      <c r="N8" s="18"/>
    </row>
    <row r="9" spans="2:14" ht="15" customHeight="1" x14ac:dyDescent="0.25">
      <c r="B9" s="20"/>
      <c r="C9" s="5" t="s">
        <v>78</v>
      </c>
      <c r="D9" s="6" t="s">
        <v>56</v>
      </c>
      <c r="E9" s="11">
        <v>0.170655</v>
      </c>
      <c r="F9" s="1"/>
      <c r="G9" s="1"/>
      <c r="H9" s="1"/>
      <c r="I9" s="1"/>
      <c r="J9" s="24" t="s">
        <v>11</v>
      </c>
      <c r="K9" s="29">
        <v>5.9769999999999997E-3</v>
      </c>
      <c r="L9" s="1"/>
      <c r="M9" s="1"/>
      <c r="N9" s="18"/>
    </row>
    <row r="10" spans="2:14" ht="15" customHeight="1" x14ac:dyDescent="0.25">
      <c r="B10" s="20"/>
      <c r="C10" s="5" t="s">
        <v>79</v>
      </c>
      <c r="D10" s="6" t="s">
        <v>56</v>
      </c>
      <c r="E10" s="11">
        <v>4.7272000000000002E-2</v>
      </c>
      <c r="F10" s="1"/>
      <c r="G10" s="1"/>
      <c r="H10" s="1"/>
      <c r="I10" s="1"/>
      <c r="J10" s="24" t="s">
        <v>14</v>
      </c>
      <c r="K10" s="29">
        <v>2.1359999999999999E-3</v>
      </c>
      <c r="L10" s="1"/>
      <c r="M10" s="1"/>
      <c r="N10" s="18"/>
    </row>
    <row r="11" spans="2:14" ht="15" customHeight="1" x14ac:dyDescent="0.25">
      <c r="B11" s="20"/>
      <c r="C11" s="5" t="s">
        <v>80</v>
      </c>
      <c r="D11" s="6" t="s">
        <v>56</v>
      </c>
      <c r="E11" s="11">
        <v>1.0603E-2</v>
      </c>
      <c r="F11" s="1"/>
      <c r="G11" s="1"/>
      <c r="H11" s="1"/>
      <c r="I11" s="1"/>
      <c r="J11" s="24" t="s">
        <v>71</v>
      </c>
      <c r="K11" s="29">
        <v>0.99188699999999996</v>
      </c>
      <c r="L11" s="1"/>
      <c r="M11" s="1"/>
      <c r="N11" s="18"/>
    </row>
    <row r="12" spans="2:14" ht="15" customHeight="1" x14ac:dyDescent="0.25">
      <c r="B12" s="20"/>
      <c r="C12" s="5" t="s">
        <v>81</v>
      </c>
      <c r="D12" s="6" t="s">
        <v>56</v>
      </c>
      <c r="E12" s="11">
        <v>1.748E-3</v>
      </c>
      <c r="F12" s="1"/>
      <c r="G12" s="1"/>
      <c r="H12" s="1"/>
      <c r="I12" s="1"/>
      <c r="J12" s="1"/>
      <c r="K12" s="1"/>
      <c r="L12" s="1"/>
      <c r="M12" s="1"/>
      <c r="N12" s="18"/>
    </row>
    <row r="13" spans="2:14" ht="15" customHeight="1" x14ac:dyDescent="0.25">
      <c r="B13" s="20"/>
      <c r="C13" s="5" t="s">
        <v>82</v>
      </c>
      <c r="D13" s="6" t="s">
        <v>56</v>
      </c>
      <c r="E13" s="11">
        <v>6.7900000000000002E-4</v>
      </c>
      <c r="F13" s="1"/>
      <c r="G13" s="1"/>
      <c r="H13" s="1"/>
      <c r="I13" s="1"/>
      <c r="J13" s="1"/>
      <c r="K13" s="1"/>
      <c r="L13" s="1"/>
      <c r="M13" s="1"/>
      <c r="N13" s="18"/>
    </row>
    <row r="14" spans="2:14" ht="15.75" customHeight="1" x14ac:dyDescent="0.25">
      <c r="B14" s="20"/>
      <c r="C14" s="7" t="s">
        <v>61</v>
      </c>
      <c r="D14" s="8"/>
      <c r="E14" s="12">
        <v>0.99188699999999996</v>
      </c>
      <c r="F14" s="1"/>
      <c r="G14" s="1"/>
      <c r="H14" s="1"/>
      <c r="I14" s="1"/>
      <c r="J14" s="1"/>
      <c r="K14" s="1"/>
      <c r="L14" s="1"/>
      <c r="M14" s="1"/>
      <c r="N14" s="18"/>
    </row>
    <row r="15" spans="2:14" ht="15" customHeight="1" x14ac:dyDescent="0.25">
      <c r="B15" s="20"/>
      <c r="C15" s="5" t="s">
        <v>9</v>
      </c>
      <c r="D15" s="6"/>
      <c r="E15" s="11">
        <v>2.1359999999999999E-3</v>
      </c>
      <c r="F15" s="1"/>
      <c r="G15" s="1"/>
      <c r="H15" s="1"/>
      <c r="I15" s="1"/>
      <c r="J15" s="1"/>
      <c r="K15" s="1"/>
      <c r="L15" s="1"/>
      <c r="M15" s="1"/>
      <c r="N15" s="18"/>
    </row>
    <row r="16" spans="2:14" ht="15.75" customHeight="1" x14ac:dyDescent="0.25">
      <c r="B16" s="20"/>
      <c r="C16" s="7" t="s">
        <v>10</v>
      </c>
      <c r="D16" s="8"/>
      <c r="E16" s="12">
        <v>2.1359999999999999E-3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5.9769999999999997E-3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18</v>
      </c>
      <c r="H24" s="44"/>
      <c r="I24" s="44"/>
      <c r="J24" s="44"/>
      <c r="K24" s="44"/>
      <c r="L24" s="26">
        <v>4.91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19</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4.25" customHeight="1" thickBot="1" x14ac:dyDescent="0.3">
      <c r="B45" s="35" t="s">
        <v>234</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70BF1-58CB-4216-A832-C2D3D298188B}">
  <dimension ref="B1:N4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83</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84</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36</v>
      </c>
      <c r="D8" s="6" t="s">
        <v>34</v>
      </c>
      <c r="E8" s="11">
        <v>1.6497000000000001E-2</v>
      </c>
      <c r="F8" s="1"/>
      <c r="G8" s="24" t="s">
        <v>16</v>
      </c>
      <c r="H8" s="25">
        <v>1</v>
      </c>
      <c r="I8" s="1"/>
      <c r="J8" s="24" t="s">
        <v>13</v>
      </c>
      <c r="K8" s="24" t="s">
        <v>5</v>
      </c>
      <c r="L8" s="1"/>
      <c r="M8" s="1"/>
      <c r="N8" s="18"/>
    </row>
    <row r="9" spans="2:14" ht="15" customHeight="1" x14ac:dyDescent="0.25">
      <c r="B9" s="20"/>
      <c r="C9" s="5" t="s">
        <v>33</v>
      </c>
      <c r="D9" s="6" t="s">
        <v>34</v>
      </c>
      <c r="E9" s="11">
        <v>7.3740000000000003E-3</v>
      </c>
      <c r="F9" s="1"/>
      <c r="G9" s="1"/>
      <c r="H9" s="1"/>
      <c r="I9" s="1"/>
      <c r="J9" s="24" t="s">
        <v>11</v>
      </c>
      <c r="K9" s="29">
        <v>2.9420000000000002E-3</v>
      </c>
      <c r="L9" s="1"/>
      <c r="M9" s="1"/>
      <c r="N9" s="18"/>
    </row>
    <row r="10" spans="2:14" ht="15" customHeight="1" x14ac:dyDescent="0.25">
      <c r="B10" s="20"/>
      <c r="C10" s="5" t="s">
        <v>44</v>
      </c>
      <c r="D10" s="6" t="s">
        <v>34</v>
      </c>
      <c r="E10" s="11">
        <v>8.1800000000000004E-4</v>
      </c>
      <c r="F10" s="1"/>
      <c r="G10" s="1"/>
      <c r="H10" s="1"/>
      <c r="I10" s="1"/>
      <c r="J10" s="24" t="s">
        <v>14</v>
      </c>
      <c r="K10" s="29">
        <v>1.091E-3</v>
      </c>
      <c r="L10" s="1"/>
      <c r="M10" s="1"/>
      <c r="N10" s="18"/>
    </row>
    <row r="11" spans="2:14" ht="15.75" customHeight="1" x14ac:dyDescent="0.25">
      <c r="B11" s="20"/>
      <c r="C11" s="7" t="s">
        <v>52</v>
      </c>
      <c r="D11" s="8"/>
      <c r="E11" s="12">
        <v>2.4688999999999999E-2</v>
      </c>
      <c r="F11" s="1"/>
      <c r="G11" s="1"/>
      <c r="H11" s="1"/>
      <c r="I11" s="1"/>
      <c r="J11" s="24" t="s">
        <v>68</v>
      </c>
      <c r="K11" s="29">
        <v>2.4688999999999999E-2</v>
      </c>
      <c r="L11" s="1"/>
      <c r="M11" s="1"/>
      <c r="N11" s="18"/>
    </row>
    <row r="12" spans="2:14" ht="15" customHeight="1" x14ac:dyDescent="0.25">
      <c r="B12" s="20"/>
      <c r="C12" s="5" t="s">
        <v>77</v>
      </c>
      <c r="D12" s="6" t="s">
        <v>56</v>
      </c>
      <c r="E12" s="11">
        <v>0.94284900000000005</v>
      </c>
      <c r="F12" s="1"/>
      <c r="G12" s="1"/>
      <c r="H12" s="1"/>
      <c r="I12" s="1"/>
      <c r="J12" s="24" t="s">
        <v>71</v>
      </c>
      <c r="K12" s="29">
        <v>0.94621999999999995</v>
      </c>
      <c r="L12" s="1"/>
      <c r="M12" s="1"/>
      <c r="N12" s="18"/>
    </row>
    <row r="13" spans="2:14" ht="15" customHeight="1" x14ac:dyDescent="0.25">
      <c r="B13" s="20"/>
      <c r="C13" s="5" t="s">
        <v>81</v>
      </c>
      <c r="D13" s="6" t="s">
        <v>56</v>
      </c>
      <c r="E13" s="11">
        <v>1.7030000000000001E-3</v>
      </c>
      <c r="F13" s="1"/>
      <c r="G13" s="1"/>
      <c r="H13" s="1"/>
      <c r="I13" s="1"/>
      <c r="J13" s="24" t="s">
        <v>89</v>
      </c>
      <c r="K13" s="29">
        <v>1.1419E-2</v>
      </c>
      <c r="L13" s="1"/>
      <c r="M13" s="1"/>
      <c r="N13" s="18"/>
    </row>
    <row r="14" spans="2:14" ht="15" customHeight="1" x14ac:dyDescent="0.25">
      <c r="B14" s="20"/>
      <c r="C14" s="5" t="s">
        <v>85</v>
      </c>
      <c r="D14" s="6" t="s">
        <v>56</v>
      </c>
      <c r="E14" s="11">
        <v>1.621E-3</v>
      </c>
      <c r="F14" s="1"/>
      <c r="G14" s="1"/>
      <c r="H14" s="1"/>
      <c r="I14" s="1"/>
      <c r="J14" s="24" t="s">
        <v>72</v>
      </c>
      <c r="K14" s="29">
        <v>1.3639E-2</v>
      </c>
      <c r="L14" s="1"/>
      <c r="M14" s="1"/>
      <c r="N14" s="18"/>
    </row>
    <row r="15" spans="2:14" ht="15" customHeight="1" x14ac:dyDescent="0.25">
      <c r="B15" s="20"/>
      <c r="C15" s="5" t="s">
        <v>86</v>
      </c>
      <c r="D15" s="6" t="s">
        <v>56</v>
      </c>
      <c r="E15" s="30">
        <v>4.6999999999999997E-5</v>
      </c>
      <c r="F15" s="1"/>
      <c r="G15" s="1"/>
      <c r="H15" s="1"/>
      <c r="I15" s="1"/>
      <c r="J15" s="1"/>
      <c r="K15" s="1"/>
      <c r="L15" s="1"/>
      <c r="M15" s="1"/>
      <c r="N15" s="18"/>
    </row>
    <row r="16" spans="2:14" ht="15.75" customHeight="1" x14ac:dyDescent="0.25">
      <c r="B16" s="20"/>
      <c r="C16" s="7" t="s">
        <v>61</v>
      </c>
      <c r="D16" s="8"/>
      <c r="E16" s="12">
        <v>0.94621999999999995</v>
      </c>
      <c r="F16" s="1"/>
      <c r="G16" s="1"/>
      <c r="H16" s="1"/>
      <c r="I16" s="1"/>
      <c r="J16" s="1"/>
      <c r="K16" s="1"/>
      <c r="L16" s="1"/>
      <c r="M16" s="1"/>
      <c r="N16" s="18"/>
    </row>
    <row r="17" spans="2:14" ht="15" customHeight="1" x14ac:dyDescent="0.25">
      <c r="B17" s="20"/>
      <c r="C17" s="5" t="s">
        <v>227</v>
      </c>
      <c r="D17" s="6" t="s">
        <v>87</v>
      </c>
      <c r="E17" s="11">
        <v>1.1419E-2</v>
      </c>
      <c r="F17" s="1"/>
      <c r="G17" s="1"/>
      <c r="H17" s="1"/>
      <c r="I17" s="1"/>
      <c r="J17" s="1"/>
      <c r="K17" s="1"/>
      <c r="L17" s="1"/>
      <c r="M17" s="1"/>
      <c r="N17" s="18"/>
    </row>
    <row r="18" spans="2:14" ht="15.75" customHeight="1" x14ac:dyDescent="0.25">
      <c r="B18" s="20"/>
      <c r="C18" s="7" t="s">
        <v>88</v>
      </c>
      <c r="D18" s="8"/>
      <c r="E18" s="12">
        <v>1.1419E-2</v>
      </c>
      <c r="F18" s="1"/>
      <c r="G18" s="1"/>
      <c r="H18" s="1"/>
      <c r="I18" s="1"/>
      <c r="J18" s="1"/>
      <c r="K18" s="1"/>
      <c r="L18" s="1"/>
      <c r="M18" s="1"/>
      <c r="N18" s="18"/>
    </row>
    <row r="19" spans="2:14" ht="15" customHeight="1" x14ac:dyDescent="0.25">
      <c r="B19" s="20"/>
      <c r="C19" s="5" t="s">
        <v>192</v>
      </c>
      <c r="D19" s="6" t="s">
        <v>56</v>
      </c>
      <c r="E19" s="11">
        <v>6.3959999999999998E-3</v>
      </c>
      <c r="F19" s="1"/>
      <c r="G19" s="1"/>
      <c r="H19" s="1"/>
      <c r="I19" s="1"/>
      <c r="J19" s="1"/>
      <c r="K19" s="1"/>
      <c r="L19" s="1"/>
      <c r="M19" s="1"/>
      <c r="N19" s="18"/>
    </row>
    <row r="20" spans="2:14" ht="15.75" customHeight="1" x14ac:dyDescent="0.25">
      <c r="B20" s="20"/>
      <c r="C20" s="5" t="s">
        <v>191</v>
      </c>
      <c r="D20" s="6" t="s">
        <v>56</v>
      </c>
      <c r="E20" s="11">
        <v>6.3930000000000002E-3</v>
      </c>
      <c r="F20" s="1"/>
      <c r="G20" s="1"/>
      <c r="H20" s="1"/>
      <c r="I20" s="1"/>
      <c r="J20" s="1"/>
      <c r="K20" s="1"/>
      <c r="L20" s="1"/>
      <c r="M20" s="1"/>
      <c r="N20" s="18"/>
    </row>
    <row r="21" spans="2:14" ht="15" customHeight="1" x14ac:dyDescent="0.25">
      <c r="B21" s="20"/>
      <c r="C21" s="5" t="s">
        <v>193</v>
      </c>
      <c r="D21" s="6" t="s">
        <v>56</v>
      </c>
      <c r="E21" s="11">
        <v>8.3900000000000001E-4</v>
      </c>
      <c r="F21" s="1"/>
      <c r="G21" s="1"/>
      <c r="H21" s="1"/>
      <c r="I21" s="1"/>
      <c r="J21" s="1"/>
      <c r="K21" s="1"/>
      <c r="L21" s="1"/>
      <c r="M21" s="1"/>
      <c r="N21" s="18"/>
    </row>
    <row r="22" spans="2:14" ht="15.75" customHeight="1" x14ac:dyDescent="0.25">
      <c r="B22" s="20"/>
      <c r="C22" s="5" t="s">
        <v>190</v>
      </c>
      <c r="D22" s="6" t="s">
        <v>56</v>
      </c>
      <c r="E22" s="30">
        <v>9.0000000000000002E-6</v>
      </c>
      <c r="F22" s="1"/>
      <c r="G22" s="1"/>
      <c r="H22" s="1"/>
      <c r="I22" s="1"/>
      <c r="J22" s="1"/>
      <c r="K22" s="1"/>
      <c r="L22" s="1"/>
      <c r="M22" s="1"/>
      <c r="N22" s="18"/>
    </row>
    <row r="23" spans="2:14" ht="15" customHeight="1" x14ac:dyDescent="0.25">
      <c r="B23" s="20"/>
      <c r="C23" s="5" t="s">
        <v>194</v>
      </c>
      <c r="D23" s="6" t="s">
        <v>56</v>
      </c>
      <c r="E23" s="31">
        <v>1.9999999999999999E-6</v>
      </c>
      <c r="F23" s="1"/>
      <c r="G23" s="1"/>
      <c r="H23" s="1"/>
      <c r="I23" s="1"/>
      <c r="J23" s="1"/>
      <c r="K23" s="1"/>
      <c r="L23" s="1"/>
      <c r="M23" s="1"/>
      <c r="N23" s="18"/>
    </row>
    <row r="24" spans="2:14" ht="15.75" customHeight="1" x14ac:dyDescent="0.25">
      <c r="B24" s="20"/>
      <c r="C24" s="7" t="s">
        <v>62</v>
      </c>
      <c r="D24" s="8"/>
      <c r="E24" s="12">
        <v>1.3639E-2</v>
      </c>
      <c r="F24" s="1"/>
      <c r="G24" s="43" t="s">
        <v>18</v>
      </c>
      <c r="H24" s="44"/>
      <c r="I24" s="44"/>
      <c r="J24" s="44"/>
      <c r="K24" s="44"/>
      <c r="L24" s="26">
        <v>3.84</v>
      </c>
      <c r="M24" s="27"/>
      <c r="N24" s="28"/>
    </row>
    <row r="25" spans="2:14" ht="15" customHeight="1" x14ac:dyDescent="0.25">
      <c r="B25" s="20"/>
      <c r="C25" s="5" t="s">
        <v>9</v>
      </c>
      <c r="D25" s="6"/>
      <c r="E25" s="11">
        <v>1.091E-3</v>
      </c>
      <c r="F25" s="1"/>
      <c r="G25" s="1"/>
      <c r="H25" s="1"/>
      <c r="I25" s="1"/>
      <c r="J25" s="1"/>
      <c r="K25" s="1"/>
      <c r="L25" s="1"/>
      <c r="M25" s="1"/>
      <c r="N25" s="18"/>
    </row>
    <row r="26" spans="2:14" ht="15" customHeight="1" x14ac:dyDescent="0.25">
      <c r="B26" s="20"/>
      <c r="C26" s="7" t="s">
        <v>10</v>
      </c>
      <c r="D26" s="8"/>
      <c r="E26" s="12">
        <v>1.091E-3</v>
      </c>
      <c r="F26" s="1"/>
      <c r="G26" s="43" t="s">
        <v>19</v>
      </c>
      <c r="H26" s="44"/>
      <c r="I26" s="44"/>
      <c r="J26" s="44"/>
      <c r="K26" s="44"/>
      <c r="L26" s="44"/>
      <c r="M26" s="44"/>
      <c r="N26" s="45"/>
    </row>
    <row r="27" spans="2:14" ht="15" customHeight="1" x14ac:dyDescent="0.25">
      <c r="B27" s="20"/>
      <c r="C27" s="5"/>
      <c r="D27" s="6"/>
      <c r="E27" s="11"/>
      <c r="F27" s="1"/>
      <c r="G27" s="1"/>
      <c r="H27" s="1"/>
      <c r="I27" s="1"/>
      <c r="J27" s="1"/>
      <c r="K27" s="1"/>
      <c r="L27" s="1"/>
      <c r="M27" s="1"/>
      <c r="N27" s="18"/>
    </row>
    <row r="28" spans="2:14" ht="15" customHeight="1" x14ac:dyDescent="0.25">
      <c r="B28" s="20"/>
      <c r="C28" s="7" t="s">
        <v>11</v>
      </c>
      <c r="D28" s="8"/>
      <c r="E28" s="12">
        <v>2.9420000000000002E-3</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9" t="s">
        <v>12</v>
      </c>
      <c r="D30" s="10"/>
      <c r="E30" s="13">
        <v>1</v>
      </c>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C33" s="1" t="s">
        <v>228</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0" customHeight="1" thickBot="1" x14ac:dyDescent="0.3">
      <c r="B45" s="35" t="s">
        <v>234</v>
      </c>
      <c r="C45" s="36"/>
      <c r="D45" s="36"/>
      <c r="E45" s="36"/>
      <c r="F45" s="36"/>
      <c r="G45" s="36"/>
      <c r="H45" s="36"/>
      <c r="I45" s="36"/>
      <c r="J45" s="36"/>
      <c r="K45" s="36"/>
      <c r="L45" s="36"/>
      <c r="M45" s="36"/>
      <c r="N45" s="37"/>
    </row>
    <row r="46" spans="2:14" ht="15" customHeight="1" x14ac:dyDescent="0.25"/>
  </sheetData>
  <sortState ref="C19:E23">
    <sortCondition descending="1" ref="E19"/>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253C5-5E4B-4691-8038-E1C15816486A}">
  <dimension ref="B1:N5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90</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91</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22</v>
      </c>
      <c r="D8" s="6" t="s">
        <v>23</v>
      </c>
      <c r="E8" s="11">
        <v>0.119377</v>
      </c>
      <c r="F8" s="1"/>
      <c r="G8" s="24" t="s">
        <v>16</v>
      </c>
      <c r="H8" s="25">
        <v>1</v>
      </c>
      <c r="I8" s="1"/>
      <c r="J8" s="24" t="s">
        <v>13</v>
      </c>
      <c r="K8" s="24" t="s">
        <v>5</v>
      </c>
      <c r="L8" s="1"/>
      <c r="M8" s="1"/>
      <c r="N8" s="18"/>
    </row>
    <row r="9" spans="2:14" ht="15" customHeight="1" x14ac:dyDescent="0.25">
      <c r="B9" s="20"/>
      <c r="C9" s="5" t="s">
        <v>25</v>
      </c>
      <c r="D9" s="6" t="s">
        <v>23</v>
      </c>
      <c r="E9" s="11">
        <v>6.6725000000000007E-2</v>
      </c>
      <c r="F9" s="1"/>
      <c r="G9" s="1"/>
      <c r="H9" s="1"/>
      <c r="I9" s="1"/>
      <c r="J9" s="24" t="s">
        <v>11</v>
      </c>
      <c r="K9" s="29">
        <v>7.8150000000000008E-3</v>
      </c>
      <c r="L9" s="1"/>
      <c r="M9" s="1"/>
      <c r="N9" s="18"/>
    </row>
    <row r="10" spans="2:14" ht="15.75" customHeight="1" x14ac:dyDescent="0.25">
      <c r="B10" s="20"/>
      <c r="C10" s="7" t="s">
        <v>30</v>
      </c>
      <c r="D10" s="8"/>
      <c r="E10" s="12">
        <v>0.18610199999999999</v>
      </c>
      <c r="F10" s="1"/>
      <c r="G10" s="1"/>
      <c r="H10" s="1"/>
      <c r="I10" s="1"/>
      <c r="J10" s="24" t="s">
        <v>14</v>
      </c>
      <c r="K10" s="29">
        <v>1.709E-3</v>
      </c>
      <c r="L10" s="1"/>
      <c r="M10" s="1"/>
      <c r="N10" s="18"/>
    </row>
    <row r="11" spans="2:14" ht="15" customHeight="1" x14ac:dyDescent="0.25">
      <c r="B11" s="20"/>
      <c r="C11" s="5" t="s">
        <v>33</v>
      </c>
      <c r="D11" s="6" t="s">
        <v>23</v>
      </c>
      <c r="E11" s="11">
        <v>4.8701000000000001E-2</v>
      </c>
      <c r="F11" s="1"/>
      <c r="G11" s="1"/>
      <c r="H11" s="1"/>
      <c r="I11" s="1"/>
      <c r="J11" s="24" t="s">
        <v>67</v>
      </c>
      <c r="K11" s="29">
        <v>0.18610199999999999</v>
      </c>
      <c r="L11" s="1"/>
      <c r="M11" s="1"/>
      <c r="N11" s="18"/>
    </row>
    <row r="12" spans="2:14" ht="15.75" customHeight="1" x14ac:dyDescent="0.25">
      <c r="B12" s="20"/>
      <c r="C12" s="7" t="s">
        <v>32</v>
      </c>
      <c r="D12" s="8"/>
      <c r="E12" s="12">
        <v>4.8701000000000001E-2</v>
      </c>
      <c r="F12" s="1"/>
      <c r="G12" s="1"/>
      <c r="H12" s="1"/>
      <c r="I12" s="1"/>
      <c r="J12" s="24" t="s">
        <v>68</v>
      </c>
      <c r="K12" s="29">
        <v>0.169207</v>
      </c>
      <c r="L12" s="1"/>
      <c r="M12" s="1"/>
      <c r="N12" s="18"/>
    </row>
    <row r="13" spans="2:14" ht="15" customHeight="1" x14ac:dyDescent="0.25">
      <c r="B13" s="20"/>
      <c r="C13" s="5" t="s">
        <v>31</v>
      </c>
      <c r="D13" s="6" t="s">
        <v>34</v>
      </c>
      <c r="E13" s="11">
        <v>4.8890000000000003E-2</v>
      </c>
      <c r="F13" s="1"/>
      <c r="G13" s="1"/>
      <c r="H13" s="1"/>
      <c r="I13" s="1"/>
      <c r="J13" s="24" t="s">
        <v>69</v>
      </c>
      <c r="K13" s="29">
        <v>4.8701000000000001E-2</v>
      </c>
      <c r="L13" s="1"/>
      <c r="M13" s="1"/>
      <c r="N13" s="18"/>
    </row>
    <row r="14" spans="2:14" ht="15" customHeight="1" x14ac:dyDescent="0.25">
      <c r="B14" s="20"/>
      <c r="C14" s="5" t="s">
        <v>44</v>
      </c>
      <c r="D14" s="6" t="s">
        <v>34</v>
      </c>
      <c r="E14" s="11">
        <v>4.1993999999999997E-2</v>
      </c>
      <c r="F14" s="1"/>
      <c r="G14" s="1"/>
      <c r="H14" s="1"/>
      <c r="I14" s="1"/>
      <c r="J14" s="24" t="s">
        <v>71</v>
      </c>
      <c r="K14" s="29">
        <v>0.58122600000000002</v>
      </c>
      <c r="L14" s="1"/>
      <c r="M14" s="1"/>
      <c r="N14" s="18"/>
    </row>
    <row r="15" spans="2:14" ht="15" customHeight="1" x14ac:dyDescent="0.25">
      <c r="B15" s="20"/>
      <c r="C15" s="5" t="s">
        <v>36</v>
      </c>
      <c r="D15" s="6" t="s">
        <v>34</v>
      </c>
      <c r="E15" s="11">
        <v>2.3612999999999999E-2</v>
      </c>
      <c r="F15" s="1"/>
      <c r="G15" s="1"/>
      <c r="H15" s="1"/>
      <c r="I15" s="1"/>
      <c r="J15" s="24" t="s">
        <v>89</v>
      </c>
      <c r="K15" s="29">
        <v>5.2399999999999999E-3</v>
      </c>
      <c r="L15" s="1"/>
      <c r="M15" s="1"/>
      <c r="N15" s="18"/>
    </row>
    <row r="16" spans="2:14" ht="15" customHeight="1" x14ac:dyDescent="0.25">
      <c r="B16" s="20"/>
      <c r="C16" s="5" t="s">
        <v>33</v>
      </c>
      <c r="D16" s="6" t="s">
        <v>34</v>
      </c>
      <c r="E16" s="11">
        <v>2.2374000000000002E-2</v>
      </c>
      <c r="F16" s="1"/>
      <c r="G16" s="1"/>
      <c r="H16" s="1"/>
      <c r="I16" s="1"/>
      <c r="J16" s="1"/>
      <c r="K16" s="1"/>
      <c r="L16" s="1"/>
      <c r="M16" s="1"/>
      <c r="N16" s="18"/>
    </row>
    <row r="17" spans="2:14" ht="15" customHeight="1" x14ac:dyDescent="0.25">
      <c r="B17" s="20"/>
      <c r="C17" s="5" t="s">
        <v>42</v>
      </c>
      <c r="D17" s="6" t="s">
        <v>34</v>
      </c>
      <c r="E17" s="11">
        <v>1.2232E-2</v>
      </c>
      <c r="F17" s="1"/>
      <c r="G17" s="1"/>
      <c r="H17" s="1"/>
      <c r="I17" s="1"/>
      <c r="J17" s="1"/>
      <c r="K17" s="1"/>
      <c r="L17" s="1"/>
      <c r="M17" s="1"/>
      <c r="N17" s="18"/>
    </row>
    <row r="18" spans="2:14" ht="15" customHeight="1" x14ac:dyDescent="0.25">
      <c r="B18" s="20"/>
      <c r="C18" s="5" t="s">
        <v>37</v>
      </c>
      <c r="D18" s="6" t="s">
        <v>34</v>
      </c>
      <c r="E18" s="11">
        <v>6.8170000000000001E-3</v>
      </c>
      <c r="F18" s="1"/>
      <c r="G18" s="1"/>
      <c r="H18" s="1"/>
      <c r="I18" s="1"/>
      <c r="J18" s="1"/>
      <c r="K18" s="1"/>
      <c r="L18" s="1"/>
      <c r="M18" s="1"/>
      <c r="N18" s="18"/>
    </row>
    <row r="19" spans="2:14" ht="15" customHeight="1" x14ac:dyDescent="0.25">
      <c r="B19" s="20"/>
      <c r="C19" s="5" t="s">
        <v>47</v>
      </c>
      <c r="D19" s="6" t="s">
        <v>34</v>
      </c>
      <c r="E19" s="11">
        <v>4.5719999999999997E-3</v>
      </c>
      <c r="F19" s="1"/>
      <c r="G19" s="1"/>
      <c r="H19" s="1"/>
      <c r="I19" s="1"/>
      <c r="J19" s="1"/>
      <c r="K19" s="1"/>
      <c r="L19" s="1"/>
      <c r="M19" s="1"/>
      <c r="N19" s="18"/>
    </row>
    <row r="20" spans="2:14" ht="15" customHeight="1" x14ac:dyDescent="0.25">
      <c r="B20" s="20"/>
      <c r="C20" s="5" t="s">
        <v>41</v>
      </c>
      <c r="D20" s="6" t="s">
        <v>34</v>
      </c>
      <c r="E20" s="11">
        <v>4.5409999999999999E-3</v>
      </c>
      <c r="F20" s="1"/>
      <c r="G20" s="1"/>
      <c r="H20" s="1"/>
      <c r="I20" s="1"/>
      <c r="J20" s="1"/>
      <c r="K20" s="1"/>
      <c r="L20" s="1"/>
      <c r="M20" s="1"/>
      <c r="N20" s="18"/>
    </row>
    <row r="21" spans="2:14" ht="15" customHeight="1" x14ac:dyDescent="0.25">
      <c r="B21" s="20"/>
      <c r="C21" s="5" t="s">
        <v>38</v>
      </c>
      <c r="D21" s="6" t="s">
        <v>34</v>
      </c>
      <c r="E21" s="11">
        <v>2.274E-3</v>
      </c>
      <c r="F21" s="1"/>
      <c r="G21" s="1"/>
      <c r="H21" s="1"/>
      <c r="I21" s="1"/>
      <c r="J21" s="1"/>
      <c r="K21" s="1"/>
      <c r="L21" s="1"/>
      <c r="M21" s="1"/>
      <c r="N21" s="18"/>
    </row>
    <row r="22" spans="2:14" ht="15" customHeight="1" x14ac:dyDescent="0.25">
      <c r="B22" s="20"/>
      <c r="C22" s="5" t="s">
        <v>49</v>
      </c>
      <c r="D22" s="6" t="s">
        <v>34</v>
      </c>
      <c r="E22" s="11">
        <v>1.4430000000000001E-3</v>
      </c>
      <c r="F22" s="1"/>
      <c r="G22" s="1"/>
      <c r="H22" s="1"/>
      <c r="I22" s="1"/>
      <c r="J22" s="1"/>
      <c r="K22" s="1"/>
      <c r="L22" s="1"/>
      <c r="M22" s="1"/>
      <c r="N22" s="18"/>
    </row>
    <row r="23" spans="2:14" ht="15" customHeight="1" x14ac:dyDescent="0.25">
      <c r="B23" s="20"/>
      <c r="C23" s="5" t="s">
        <v>27</v>
      </c>
      <c r="D23" s="6" t="s">
        <v>34</v>
      </c>
      <c r="E23" s="11">
        <v>4.57E-4</v>
      </c>
      <c r="F23" s="1"/>
      <c r="G23" s="1"/>
      <c r="H23" s="1"/>
      <c r="I23" s="1"/>
      <c r="J23" s="1"/>
      <c r="K23" s="1"/>
      <c r="L23" s="1"/>
      <c r="M23" s="1"/>
      <c r="N23" s="18"/>
    </row>
    <row r="24" spans="2:14" ht="15.75" customHeight="1" x14ac:dyDescent="0.25">
      <c r="B24" s="20"/>
      <c r="C24" s="7" t="s">
        <v>52</v>
      </c>
      <c r="D24" s="8"/>
      <c r="E24" s="12">
        <v>0.169207</v>
      </c>
      <c r="F24" s="1"/>
      <c r="G24" s="43" t="s">
        <v>18</v>
      </c>
      <c r="H24" s="44"/>
      <c r="I24" s="44"/>
      <c r="J24" s="44"/>
      <c r="K24" s="44"/>
      <c r="L24" s="26">
        <v>2.48</v>
      </c>
      <c r="M24" s="27"/>
      <c r="N24" s="28"/>
    </row>
    <row r="25" spans="2:14" ht="15" customHeight="1" x14ac:dyDescent="0.25">
      <c r="B25" s="20"/>
      <c r="C25" s="5" t="s">
        <v>77</v>
      </c>
      <c r="D25" s="6" t="s">
        <v>56</v>
      </c>
      <c r="E25" s="11">
        <v>0.56777100000000003</v>
      </c>
      <c r="F25" s="1"/>
      <c r="G25" s="1"/>
      <c r="H25" s="1"/>
      <c r="I25" s="1"/>
      <c r="J25" s="1"/>
      <c r="K25" s="1"/>
      <c r="L25" s="1"/>
      <c r="M25" s="1"/>
      <c r="N25" s="18"/>
    </row>
    <row r="26" spans="2:14" ht="15" customHeight="1" x14ac:dyDescent="0.25">
      <c r="B26" s="20"/>
      <c r="C26" s="5" t="s">
        <v>92</v>
      </c>
      <c r="D26" s="6" t="s">
        <v>56</v>
      </c>
      <c r="E26" s="11">
        <v>1.0368E-2</v>
      </c>
      <c r="F26" s="1"/>
      <c r="G26" s="43" t="s">
        <v>19</v>
      </c>
      <c r="H26" s="44"/>
      <c r="I26" s="44"/>
      <c r="J26" s="44"/>
      <c r="K26" s="44"/>
      <c r="L26" s="44"/>
      <c r="M26" s="44"/>
      <c r="N26" s="45"/>
    </row>
    <row r="27" spans="2:14" ht="15" customHeight="1" x14ac:dyDescent="0.25">
      <c r="B27" s="20"/>
      <c r="C27" s="5" t="s">
        <v>79</v>
      </c>
      <c r="D27" s="6" t="s">
        <v>56</v>
      </c>
      <c r="E27" s="11">
        <v>2.5990000000000002E-3</v>
      </c>
      <c r="F27" s="1"/>
      <c r="G27" s="1"/>
      <c r="H27" s="1"/>
      <c r="I27" s="1"/>
      <c r="J27" s="1"/>
      <c r="K27" s="1"/>
      <c r="L27" s="1"/>
      <c r="M27" s="1"/>
      <c r="N27" s="18"/>
    </row>
    <row r="28" spans="2:14" ht="15" customHeight="1" x14ac:dyDescent="0.25">
      <c r="B28" s="20"/>
      <c r="C28" s="5" t="s">
        <v>93</v>
      </c>
      <c r="D28" s="6" t="s">
        <v>56</v>
      </c>
      <c r="E28" s="11">
        <v>2.2699999999999999E-4</v>
      </c>
      <c r="F28" s="1"/>
      <c r="G28" s="1"/>
      <c r="H28" s="1"/>
      <c r="I28" s="1"/>
      <c r="J28" s="1"/>
      <c r="K28" s="1"/>
      <c r="L28" s="1"/>
      <c r="M28" s="1"/>
      <c r="N28" s="18"/>
    </row>
    <row r="29" spans="2:14" ht="15" customHeight="1" x14ac:dyDescent="0.25">
      <c r="B29" s="20"/>
      <c r="C29" s="5" t="s">
        <v>81</v>
      </c>
      <c r="D29" s="6" t="s">
        <v>56</v>
      </c>
      <c r="E29" s="11">
        <v>1.66E-4</v>
      </c>
      <c r="F29" s="1"/>
      <c r="G29" s="1"/>
      <c r="H29" s="1"/>
      <c r="I29" s="1"/>
      <c r="J29" s="1"/>
      <c r="K29" s="1"/>
      <c r="L29" s="1"/>
      <c r="M29" s="1"/>
      <c r="N29" s="18"/>
    </row>
    <row r="30" spans="2:14" ht="15" customHeight="1" x14ac:dyDescent="0.25">
      <c r="B30" s="20"/>
      <c r="C30" s="5" t="s">
        <v>86</v>
      </c>
      <c r="D30" s="6" t="s">
        <v>56</v>
      </c>
      <c r="E30" s="11">
        <v>9.5000000000000005E-5</v>
      </c>
      <c r="F30" s="1"/>
      <c r="G30" s="1"/>
      <c r="H30" s="1"/>
      <c r="I30" s="1"/>
      <c r="J30" s="1"/>
      <c r="K30" s="1"/>
      <c r="L30" s="1"/>
      <c r="M30" s="1"/>
      <c r="N30" s="18"/>
    </row>
    <row r="31" spans="2:14" ht="15.75" customHeight="1" x14ac:dyDescent="0.25">
      <c r="B31" s="20"/>
      <c r="C31" s="7" t="s">
        <v>61</v>
      </c>
      <c r="D31" s="8"/>
      <c r="E31" s="12">
        <v>0.58122600000000002</v>
      </c>
      <c r="F31" s="1"/>
      <c r="G31" s="1"/>
      <c r="H31" s="1"/>
      <c r="I31" s="1"/>
      <c r="J31" s="1"/>
      <c r="K31" s="1"/>
      <c r="L31" s="1"/>
      <c r="M31" s="1"/>
      <c r="N31" s="18"/>
    </row>
    <row r="32" spans="2:14" ht="15" customHeight="1" x14ac:dyDescent="0.25">
      <c r="B32" s="20"/>
      <c r="C32" s="5" t="s">
        <v>227</v>
      </c>
      <c r="D32" s="6" t="s">
        <v>87</v>
      </c>
      <c r="E32" s="11">
        <v>5.2399999999999999E-3</v>
      </c>
      <c r="F32" s="1"/>
      <c r="G32" s="1"/>
      <c r="H32" s="1"/>
      <c r="I32" s="1"/>
      <c r="J32" s="1"/>
      <c r="K32" s="1"/>
      <c r="L32" s="1"/>
      <c r="M32" s="1"/>
      <c r="N32" s="18"/>
    </row>
    <row r="33" spans="2:14" ht="15.75" customHeight="1" x14ac:dyDescent="0.25">
      <c r="B33" s="20"/>
      <c r="C33" s="7" t="s">
        <v>88</v>
      </c>
      <c r="D33" s="8"/>
      <c r="E33" s="12">
        <v>5.2399999999999999E-3</v>
      </c>
      <c r="F33" s="1"/>
      <c r="G33" s="1"/>
      <c r="H33" s="1"/>
      <c r="I33" s="1"/>
      <c r="J33" s="1"/>
      <c r="K33" s="1"/>
      <c r="L33" s="1"/>
      <c r="M33" s="1"/>
      <c r="N33" s="18"/>
    </row>
    <row r="34" spans="2:14" ht="15" customHeight="1" x14ac:dyDescent="0.25">
      <c r="B34" s="20"/>
      <c r="C34" s="5" t="s">
        <v>9</v>
      </c>
      <c r="D34" s="6"/>
      <c r="E34" s="11">
        <v>1.709E-3</v>
      </c>
      <c r="F34" s="1"/>
      <c r="G34" s="1"/>
      <c r="H34" s="1"/>
      <c r="I34" s="1"/>
      <c r="J34" s="1"/>
      <c r="K34" s="1"/>
      <c r="L34" s="1"/>
      <c r="M34" s="1"/>
      <c r="N34" s="18"/>
    </row>
    <row r="35" spans="2:14" ht="15.75" customHeight="1" x14ac:dyDescent="0.25">
      <c r="B35" s="20"/>
      <c r="C35" s="7" t="s">
        <v>10</v>
      </c>
      <c r="D35" s="8"/>
      <c r="E35" s="12">
        <v>1.709E-3</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75" customHeight="1" x14ac:dyDescent="0.25">
      <c r="B37" s="20"/>
      <c r="C37" s="7" t="s">
        <v>11</v>
      </c>
      <c r="D37" s="8"/>
      <c r="E37" s="12">
        <v>7.8150000000000008E-3</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9" t="s">
        <v>12</v>
      </c>
      <c r="D39" s="10"/>
      <c r="E39" s="13">
        <v>1</v>
      </c>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t="s">
        <v>228</v>
      </c>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5.75" customHeight="1" thickBot="1" x14ac:dyDescent="0.3">
      <c r="B45" s="35" t="s">
        <v>234</v>
      </c>
      <c r="C45" s="36"/>
      <c r="D45" s="36"/>
      <c r="E45" s="36"/>
      <c r="F45" s="36"/>
      <c r="G45" s="36"/>
      <c r="H45" s="36"/>
      <c r="I45" s="36"/>
      <c r="J45" s="36"/>
      <c r="K45" s="36"/>
      <c r="L45" s="36"/>
      <c r="M45" s="36"/>
      <c r="N45" s="37"/>
    </row>
    <row r="46" spans="2:14" ht="6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8E94-AC2E-4BD5-BD37-F697BFD9FF42}">
  <dimension ref="B1:N9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20</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21</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22</v>
      </c>
      <c r="D8" s="6" t="s">
        <v>23</v>
      </c>
      <c r="E8" s="11">
        <v>5.1143000000000001E-2</v>
      </c>
      <c r="F8" s="1"/>
      <c r="G8" s="24" t="s">
        <v>16</v>
      </c>
      <c r="H8" s="25">
        <v>1</v>
      </c>
      <c r="I8" s="1"/>
      <c r="J8" s="24" t="s">
        <v>13</v>
      </c>
      <c r="K8" s="24" t="s">
        <v>5</v>
      </c>
      <c r="L8" s="1"/>
      <c r="M8" s="1"/>
      <c r="N8" s="18"/>
    </row>
    <row r="9" spans="2:14" ht="15" customHeight="1" x14ac:dyDescent="0.25">
      <c r="B9" s="20"/>
      <c r="C9" s="5" t="s">
        <v>24</v>
      </c>
      <c r="D9" s="6" t="s">
        <v>23</v>
      </c>
      <c r="E9" s="11">
        <v>4.2452999999999998E-2</v>
      </c>
      <c r="F9" s="1"/>
      <c r="G9" s="1"/>
      <c r="H9" s="1"/>
      <c r="I9" s="1"/>
      <c r="J9" s="24" t="s">
        <v>11</v>
      </c>
      <c r="K9" s="29">
        <v>2.3744999999999999E-2</v>
      </c>
      <c r="L9" s="1"/>
      <c r="M9" s="1"/>
      <c r="N9" s="18"/>
    </row>
    <row r="10" spans="2:14" ht="15" customHeight="1" x14ac:dyDescent="0.25">
      <c r="B10" s="20"/>
      <c r="C10" s="5" t="s">
        <v>25</v>
      </c>
      <c r="D10" s="6" t="s">
        <v>23</v>
      </c>
      <c r="E10" s="11">
        <v>3.177E-2</v>
      </c>
      <c r="F10" s="1"/>
      <c r="G10" s="1"/>
      <c r="H10" s="1"/>
      <c r="I10" s="1"/>
      <c r="J10" s="24" t="s">
        <v>14</v>
      </c>
      <c r="K10" s="29">
        <v>7.3080000000000003E-3</v>
      </c>
      <c r="L10" s="1"/>
      <c r="M10" s="1"/>
      <c r="N10" s="18"/>
    </row>
    <row r="11" spans="2:14" ht="15" customHeight="1" x14ac:dyDescent="0.25">
      <c r="B11" s="20"/>
      <c r="C11" s="5" t="s">
        <v>26</v>
      </c>
      <c r="D11" s="6" t="s">
        <v>23</v>
      </c>
      <c r="E11" s="11">
        <v>1.4295E-2</v>
      </c>
      <c r="F11" s="1"/>
      <c r="G11" s="1"/>
      <c r="H11" s="1"/>
      <c r="I11" s="1"/>
      <c r="J11" s="24" t="s">
        <v>67</v>
      </c>
      <c r="K11" s="29">
        <v>0.17366000000000001</v>
      </c>
      <c r="L11" s="1"/>
      <c r="M11" s="1"/>
      <c r="N11" s="18"/>
    </row>
    <row r="12" spans="2:14" ht="15" customHeight="1" x14ac:dyDescent="0.25">
      <c r="B12" s="20"/>
      <c r="C12" s="5" t="s">
        <v>27</v>
      </c>
      <c r="D12" s="6" t="s">
        <v>23</v>
      </c>
      <c r="E12" s="11">
        <v>1.4114E-2</v>
      </c>
      <c r="F12" s="1"/>
      <c r="G12" s="1"/>
      <c r="H12" s="1"/>
      <c r="I12" s="1"/>
      <c r="J12" s="24" t="s">
        <v>68</v>
      </c>
      <c r="K12" s="29">
        <v>0.686975</v>
      </c>
      <c r="L12" s="1"/>
      <c r="M12" s="1"/>
      <c r="N12" s="18"/>
    </row>
    <row r="13" spans="2:14" ht="15" customHeight="1" x14ac:dyDescent="0.25">
      <c r="B13" s="20"/>
      <c r="C13" s="5" t="s">
        <v>28</v>
      </c>
      <c r="D13" s="6" t="s">
        <v>23</v>
      </c>
      <c r="E13" s="11">
        <v>1.4049000000000001E-2</v>
      </c>
      <c r="F13" s="1"/>
      <c r="G13" s="1"/>
      <c r="H13" s="1"/>
      <c r="I13" s="1"/>
      <c r="J13" s="24" t="s">
        <v>69</v>
      </c>
      <c r="K13" s="29">
        <v>1.1472E-2</v>
      </c>
      <c r="L13" s="1"/>
      <c r="M13" s="1"/>
      <c r="N13" s="18"/>
    </row>
    <row r="14" spans="2:14" ht="15" customHeight="1" x14ac:dyDescent="0.25">
      <c r="B14" s="20"/>
      <c r="C14" s="5" t="s">
        <v>29</v>
      </c>
      <c r="D14" s="6" t="s">
        <v>23</v>
      </c>
      <c r="E14" s="11">
        <v>5.836E-3</v>
      </c>
      <c r="F14" s="1"/>
      <c r="G14" s="1"/>
      <c r="H14" s="1"/>
      <c r="I14" s="1"/>
      <c r="J14" s="24" t="s">
        <v>70</v>
      </c>
      <c r="K14" s="29">
        <v>1.7570000000000001E-3</v>
      </c>
      <c r="L14" s="1"/>
      <c r="M14" s="1"/>
      <c r="N14" s="18"/>
    </row>
    <row r="15" spans="2:14" ht="15.75" customHeight="1" x14ac:dyDescent="0.25">
      <c r="B15" s="20"/>
      <c r="C15" s="7" t="s">
        <v>30</v>
      </c>
      <c r="D15" s="8"/>
      <c r="E15" s="12">
        <v>0.17366000000000001</v>
      </c>
      <c r="F15" s="1"/>
      <c r="G15" s="1"/>
      <c r="H15" s="1"/>
      <c r="I15" s="1"/>
      <c r="J15" s="24" t="s">
        <v>71</v>
      </c>
      <c r="K15" s="29">
        <v>6.7183999999999994E-2</v>
      </c>
      <c r="L15" s="1"/>
      <c r="M15" s="1"/>
      <c r="N15" s="18"/>
    </row>
    <row r="16" spans="2:14" ht="15" customHeight="1" x14ac:dyDescent="0.25">
      <c r="B16" s="20"/>
      <c r="C16" s="5" t="s">
        <v>31</v>
      </c>
      <c r="D16" s="6" t="s">
        <v>23</v>
      </c>
      <c r="E16" s="11">
        <v>5.7840000000000001E-3</v>
      </c>
      <c r="F16" s="1"/>
      <c r="G16" s="1"/>
      <c r="H16" s="1"/>
      <c r="I16" s="1"/>
      <c r="J16" s="24" t="s">
        <v>72</v>
      </c>
      <c r="K16" s="29">
        <v>2.2804999999999999E-2</v>
      </c>
      <c r="L16" s="1"/>
      <c r="M16" s="1"/>
      <c r="N16" s="18"/>
    </row>
    <row r="17" spans="2:14" ht="15" customHeight="1" x14ac:dyDescent="0.25">
      <c r="B17" s="20"/>
      <c r="C17" s="5" t="s">
        <v>28</v>
      </c>
      <c r="D17" s="6" t="s">
        <v>23</v>
      </c>
      <c r="E17" s="11">
        <v>5.6880000000000003E-3</v>
      </c>
      <c r="F17" s="1"/>
      <c r="G17" s="1"/>
      <c r="H17" s="1"/>
      <c r="I17" s="1"/>
      <c r="J17" s="24" t="s">
        <v>73</v>
      </c>
      <c r="K17" s="29">
        <v>4.9329999999999999E-3</v>
      </c>
      <c r="L17" s="1"/>
      <c r="M17" s="1"/>
      <c r="N17" s="18"/>
    </row>
    <row r="18" spans="2:14" ht="15.75" customHeight="1" x14ac:dyDescent="0.25">
      <c r="B18" s="20"/>
      <c r="C18" s="7" t="s">
        <v>32</v>
      </c>
      <c r="D18" s="8"/>
      <c r="E18" s="12">
        <v>1.1472E-2</v>
      </c>
      <c r="F18" s="1"/>
      <c r="G18" s="1"/>
      <c r="H18" s="1"/>
      <c r="I18" s="1"/>
      <c r="J18" s="24" t="s">
        <v>74</v>
      </c>
      <c r="K18" s="29">
        <v>1.6100000000000001E-4</v>
      </c>
      <c r="L18" s="1"/>
      <c r="M18" s="1"/>
      <c r="N18" s="18"/>
    </row>
    <row r="19" spans="2:14" ht="15" customHeight="1" x14ac:dyDescent="0.25">
      <c r="B19" s="20"/>
      <c r="C19" s="5" t="s">
        <v>33</v>
      </c>
      <c r="D19" s="6" t="s">
        <v>34</v>
      </c>
      <c r="E19" s="11">
        <v>0.10977000000000001</v>
      </c>
      <c r="F19" s="1"/>
      <c r="G19" s="1"/>
      <c r="H19" s="1"/>
      <c r="I19" s="1"/>
      <c r="J19" s="1"/>
      <c r="K19" s="1"/>
      <c r="L19" s="1"/>
      <c r="M19" s="1"/>
      <c r="N19" s="18"/>
    </row>
    <row r="20" spans="2:14" ht="15" customHeight="1" x14ac:dyDescent="0.25">
      <c r="B20" s="20"/>
      <c r="C20" s="5" t="s">
        <v>35</v>
      </c>
      <c r="D20" s="6" t="s">
        <v>34</v>
      </c>
      <c r="E20" s="11">
        <v>6.7034999999999997E-2</v>
      </c>
      <c r="F20" s="1"/>
      <c r="G20" s="1"/>
      <c r="H20" s="1"/>
      <c r="I20" s="1"/>
      <c r="J20" s="1"/>
      <c r="K20" s="1"/>
      <c r="L20" s="1"/>
      <c r="M20" s="1"/>
      <c r="N20" s="18"/>
    </row>
    <row r="21" spans="2:14" ht="15" customHeight="1" x14ac:dyDescent="0.25">
      <c r="B21" s="20"/>
      <c r="C21" s="5" t="s">
        <v>31</v>
      </c>
      <c r="D21" s="6" t="s">
        <v>34</v>
      </c>
      <c r="E21" s="11">
        <v>6.6980999999999999E-2</v>
      </c>
      <c r="F21" s="1"/>
      <c r="G21" s="1"/>
      <c r="H21" s="1"/>
      <c r="I21" s="1"/>
      <c r="J21" s="1"/>
      <c r="K21" s="1"/>
      <c r="L21" s="1"/>
      <c r="M21" s="1"/>
      <c r="N21" s="18"/>
    </row>
    <row r="22" spans="2:14" ht="15" customHeight="1" x14ac:dyDescent="0.25">
      <c r="B22" s="20"/>
      <c r="C22" s="5" t="s">
        <v>36</v>
      </c>
      <c r="D22" s="6" t="s">
        <v>34</v>
      </c>
      <c r="E22" s="11">
        <v>6.2142000000000003E-2</v>
      </c>
      <c r="F22" s="1"/>
      <c r="G22" s="1"/>
      <c r="H22" s="1"/>
      <c r="I22" s="1"/>
      <c r="J22" s="1"/>
      <c r="K22" s="1"/>
      <c r="L22" s="1"/>
      <c r="M22" s="1"/>
      <c r="N22" s="18"/>
    </row>
    <row r="23" spans="2:14" ht="15" customHeight="1" x14ac:dyDescent="0.25">
      <c r="B23" s="20"/>
      <c r="C23" s="5" t="s">
        <v>22</v>
      </c>
      <c r="D23" s="6" t="s">
        <v>34</v>
      </c>
      <c r="E23" s="11">
        <v>5.8192000000000001E-2</v>
      </c>
      <c r="F23" s="1"/>
      <c r="G23" s="1"/>
      <c r="H23" s="1"/>
      <c r="I23" s="1"/>
      <c r="J23" s="1"/>
      <c r="K23" s="1"/>
      <c r="L23" s="1"/>
      <c r="M23" s="1"/>
      <c r="N23" s="18"/>
    </row>
    <row r="24" spans="2:14" ht="15" customHeight="1" x14ac:dyDescent="0.25">
      <c r="B24" s="20"/>
      <c r="C24" s="5" t="s">
        <v>37</v>
      </c>
      <c r="D24" s="6" t="s">
        <v>34</v>
      </c>
      <c r="E24" s="11">
        <v>4.7218999999999997E-2</v>
      </c>
      <c r="F24" s="1"/>
      <c r="G24" s="43" t="s">
        <v>18</v>
      </c>
      <c r="H24" s="44"/>
      <c r="I24" s="44"/>
      <c r="J24" s="44"/>
      <c r="K24" s="44"/>
      <c r="L24" s="26">
        <v>0.96</v>
      </c>
      <c r="M24" s="27"/>
      <c r="N24" s="28"/>
    </row>
    <row r="25" spans="2:14" ht="15" customHeight="1" x14ac:dyDescent="0.25">
      <c r="B25" s="20"/>
      <c r="C25" s="5" t="s">
        <v>38</v>
      </c>
      <c r="D25" s="6" t="s">
        <v>34</v>
      </c>
      <c r="E25" s="11">
        <v>4.0426999999999998E-2</v>
      </c>
      <c r="F25" s="1"/>
      <c r="G25" s="1"/>
      <c r="H25" s="1"/>
      <c r="I25" s="1"/>
      <c r="J25" s="1"/>
      <c r="K25" s="1"/>
      <c r="L25" s="1"/>
      <c r="M25" s="1"/>
      <c r="N25" s="18"/>
    </row>
    <row r="26" spans="2:14" ht="15" customHeight="1" x14ac:dyDescent="0.25">
      <c r="B26" s="20"/>
      <c r="C26" s="5" t="s">
        <v>39</v>
      </c>
      <c r="D26" s="6" t="s">
        <v>34</v>
      </c>
      <c r="E26" s="11">
        <v>3.9827000000000001E-2</v>
      </c>
      <c r="F26" s="1"/>
      <c r="G26" s="43" t="s">
        <v>19</v>
      </c>
      <c r="H26" s="44"/>
      <c r="I26" s="44"/>
      <c r="J26" s="44"/>
      <c r="K26" s="44"/>
      <c r="L26" s="44"/>
      <c r="M26" s="44"/>
      <c r="N26" s="45"/>
    </row>
    <row r="27" spans="2:14" ht="15" customHeight="1" x14ac:dyDescent="0.25">
      <c r="B27" s="20"/>
      <c r="C27" s="5" t="s">
        <v>28</v>
      </c>
      <c r="D27" s="6" t="s">
        <v>34</v>
      </c>
      <c r="E27" s="11">
        <v>2.5915000000000001E-2</v>
      </c>
      <c r="F27" s="1"/>
      <c r="G27" s="1"/>
      <c r="H27" s="1"/>
      <c r="I27" s="1"/>
      <c r="J27" s="1"/>
      <c r="K27" s="1"/>
      <c r="L27" s="1"/>
      <c r="M27" s="1"/>
      <c r="N27" s="18"/>
    </row>
    <row r="28" spans="2:14" ht="15" customHeight="1" x14ac:dyDescent="0.25">
      <c r="B28" s="20"/>
      <c r="C28" s="5" t="s">
        <v>27</v>
      </c>
      <c r="D28" s="6" t="s">
        <v>34</v>
      </c>
      <c r="E28" s="11">
        <v>2.4438000000000001E-2</v>
      </c>
      <c r="F28" s="1"/>
      <c r="G28" s="1"/>
      <c r="H28" s="1"/>
      <c r="I28" s="1"/>
      <c r="J28" s="1"/>
      <c r="K28" s="1"/>
      <c r="L28" s="1"/>
      <c r="M28" s="1"/>
      <c r="N28" s="18"/>
    </row>
    <row r="29" spans="2:14" ht="15" customHeight="1" x14ac:dyDescent="0.25">
      <c r="B29" s="20"/>
      <c r="C29" s="5" t="s">
        <v>40</v>
      </c>
      <c r="D29" s="6" t="s">
        <v>34</v>
      </c>
      <c r="E29" s="11">
        <v>2.4140999999999999E-2</v>
      </c>
      <c r="F29" s="1"/>
      <c r="G29" s="1"/>
      <c r="H29" s="1"/>
      <c r="I29" s="1"/>
      <c r="J29" s="1"/>
      <c r="K29" s="1"/>
      <c r="L29" s="1"/>
      <c r="M29" s="1"/>
      <c r="N29" s="18"/>
    </row>
    <row r="30" spans="2:14" ht="15" customHeight="1" x14ac:dyDescent="0.25">
      <c r="B30" s="20"/>
      <c r="C30" s="5" t="s">
        <v>41</v>
      </c>
      <c r="D30" s="6" t="s">
        <v>34</v>
      </c>
      <c r="E30" s="11">
        <v>2.0930000000000001E-2</v>
      </c>
      <c r="F30" s="1"/>
      <c r="G30" s="1"/>
      <c r="H30" s="1"/>
      <c r="I30" s="1"/>
      <c r="J30" s="1"/>
      <c r="K30" s="1"/>
      <c r="L30" s="1"/>
      <c r="M30" s="1"/>
      <c r="N30" s="18"/>
    </row>
    <row r="31" spans="2:14" ht="15" customHeight="1" x14ac:dyDescent="0.25">
      <c r="B31" s="20"/>
      <c r="C31" s="5" t="s">
        <v>42</v>
      </c>
      <c r="D31" s="6" t="s">
        <v>34</v>
      </c>
      <c r="E31" s="11">
        <v>1.9980000000000001E-2</v>
      </c>
      <c r="F31" s="1"/>
      <c r="G31" s="1"/>
      <c r="H31" s="1"/>
      <c r="I31" s="1"/>
      <c r="J31" s="1"/>
      <c r="K31" s="1"/>
      <c r="L31" s="1"/>
      <c r="M31" s="1"/>
      <c r="N31" s="18"/>
    </row>
    <row r="32" spans="2:14" ht="15" customHeight="1" x14ac:dyDescent="0.25">
      <c r="B32" s="20"/>
      <c r="C32" s="5" t="s">
        <v>43</v>
      </c>
      <c r="D32" s="6" t="s">
        <v>34</v>
      </c>
      <c r="E32" s="11">
        <v>1.6522999999999999E-2</v>
      </c>
      <c r="F32" s="1"/>
      <c r="G32" s="1"/>
      <c r="H32" s="1"/>
      <c r="I32" s="1"/>
      <c r="J32" s="1"/>
      <c r="K32" s="1"/>
      <c r="L32" s="1"/>
      <c r="M32" s="1"/>
      <c r="N32" s="18"/>
    </row>
    <row r="33" spans="2:14" ht="15" customHeight="1" x14ac:dyDescent="0.25">
      <c r="B33" s="20"/>
      <c r="C33" s="5" t="s">
        <v>44</v>
      </c>
      <c r="D33" s="6" t="s">
        <v>34</v>
      </c>
      <c r="E33" s="11">
        <v>1.4891E-2</v>
      </c>
      <c r="F33" s="1"/>
      <c r="G33" s="1"/>
      <c r="H33" s="1"/>
      <c r="I33" s="1"/>
      <c r="J33" s="1"/>
      <c r="K33" s="1"/>
      <c r="L33" s="1"/>
      <c r="M33" s="1"/>
      <c r="N33" s="18"/>
    </row>
    <row r="34" spans="2:14" ht="15" customHeight="1" x14ac:dyDescent="0.25">
      <c r="B34" s="20"/>
      <c r="C34" s="5" t="s">
        <v>45</v>
      </c>
      <c r="D34" s="6" t="s">
        <v>34</v>
      </c>
      <c r="E34" s="11">
        <v>1.3217E-2</v>
      </c>
      <c r="F34" s="1"/>
      <c r="G34" s="1"/>
      <c r="H34" s="1"/>
      <c r="I34" s="1"/>
      <c r="J34" s="1"/>
      <c r="K34" s="1"/>
      <c r="L34" s="1"/>
      <c r="M34" s="1"/>
      <c r="N34" s="18"/>
    </row>
    <row r="35" spans="2:14" ht="15" customHeight="1" x14ac:dyDescent="0.25">
      <c r="B35" s="20"/>
      <c r="C35" s="5" t="s">
        <v>46</v>
      </c>
      <c r="D35" s="6" t="s">
        <v>34</v>
      </c>
      <c r="E35" s="11">
        <v>9.6010000000000002E-3</v>
      </c>
      <c r="F35" s="1"/>
      <c r="G35" s="1"/>
      <c r="H35" s="1"/>
      <c r="I35" s="1"/>
      <c r="J35" s="1"/>
      <c r="K35" s="1"/>
      <c r="L35" s="1"/>
      <c r="M35" s="1"/>
      <c r="N35" s="18"/>
    </row>
    <row r="36" spans="2:14" ht="15" customHeight="1" x14ac:dyDescent="0.25">
      <c r="B36" s="20"/>
      <c r="C36" s="5" t="s">
        <v>47</v>
      </c>
      <c r="D36" s="6" t="s">
        <v>34</v>
      </c>
      <c r="E36" s="11">
        <v>8.9490000000000004E-3</v>
      </c>
      <c r="F36" s="1"/>
      <c r="G36" s="1"/>
      <c r="H36" s="1"/>
      <c r="I36" s="1"/>
      <c r="J36" s="1"/>
      <c r="K36" s="1"/>
      <c r="L36" s="1"/>
      <c r="M36" s="1"/>
      <c r="N36" s="18"/>
    </row>
    <row r="37" spans="2:14" ht="15" customHeight="1" x14ac:dyDescent="0.25">
      <c r="B37" s="20"/>
      <c r="C37" s="5" t="s">
        <v>48</v>
      </c>
      <c r="D37" s="6" t="s">
        <v>34</v>
      </c>
      <c r="E37" s="11">
        <v>5.0169999999999998E-3</v>
      </c>
      <c r="F37" s="1"/>
      <c r="G37" s="1"/>
      <c r="H37" s="1"/>
      <c r="I37" s="1"/>
      <c r="J37" s="1"/>
      <c r="K37" s="1"/>
      <c r="L37" s="1"/>
      <c r="M37" s="1"/>
      <c r="N37" s="18"/>
    </row>
    <row r="38" spans="2:14" ht="15" customHeight="1" x14ac:dyDescent="0.25">
      <c r="B38" s="20"/>
      <c r="C38" s="5" t="s">
        <v>49</v>
      </c>
      <c r="D38" s="6" t="s">
        <v>34</v>
      </c>
      <c r="E38" s="11">
        <v>4.5100000000000001E-3</v>
      </c>
      <c r="F38" s="1"/>
      <c r="G38" s="1"/>
      <c r="H38" s="1"/>
      <c r="I38" s="1"/>
      <c r="J38" s="1"/>
      <c r="K38" s="1"/>
      <c r="L38" s="1"/>
      <c r="M38" s="1"/>
      <c r="N38" s="18"/>
    </row>
    <row r="39" spans="2:14" ht="15" customHeight="1" x14ac:dyDescent="0.25">
      <c r="B39" s="20"/>
      <c r="C39" s="5" t="s">
        <v>50</v>
      </c>
      <c r="D39" s="6" t="s">
        <v>34</v>
      </c>
      <c r="E39" s="11">
        <v>4.3059999999999999E-3</v>
      </c>
      <c r="F39" s="1"/>
      <c r="G39" s="1"/>
      <c r="H39" s="1"/>
      <c r="I39" s="1"/>
      <c r="J39" s="1"/>
      <c r="K39" s="1"/>
      <c r="L39" s="1"/>
      <c r="M39" s="1"/>
      <c r="N39" s="18"/>
    </row>
    <row r="40" spans="2:14" ht="15" customHeight="1" x14ac:dyDescent="0.25">
      <c r="B40" s="20"/>
      <c r="C40" s="5" t="s">
        <v>51</v>
      </c>
      <c r="D40" s="6" t="s">
        <v>34</v>
      </c>
      <c r="E40" s="11">
        <v>2.9640000000000001E-3</v>
      </c>
      <c r="F40" s="1"/>
      <c r="G40" s="1"/>
      <c r="H40" s="1"/>
      <c r="I40" s="1"/>
      <c r="J40" s="1"/>
      <c r="K40" s="1"/>
      <c r="L40" s="1"/>
      <c r="M40" s="1"/>
      <c r="N40" s="18"/>
    </row>
    <row r="41" spans="2:14" ht="15.75" customHeight="1" x14ac:dyDescent="0.25">
      <c r="B41" s="20"/>
      <c r="C41" s="7" t="s">
        <v>52</v>
      </c>
      <c r="D41" s="8"/>
      <c r="E41" s="12">
        <v>0.686975</v>
      </c>
      <c r="F41" s="1"/>
      <c r="G41" s="1"/>
      <c r="H41" s="1"/>
      <c r="I41" s="1"/>
      <c r="J41" s="1"/>
      <c r="K41" s="1"/>
      <c r="L41" s="1"/>
      <c r="M41" s="1"/>
      <c r="N41" s="18"/>
    </row>
    <row r="42" spans="2:14" ht="15" customHeight="1" x14ac:dyDescent="0.25">
      <c r="B42" s="20"/>
      <c r="C42" s="5" t="s">
        <v>53</v>
      </c>
      <c r="D42" s="6" t="s">
        <v>23</v>
      </c>
      <c r="E42" s="11">
        <v>1.7570000000000001E-3</v>
      </c>
      <c r="F42" s="1"/>
      <c r="G42" s="1"/>
      <c r="H42" s="1"/>
      <c r="I42" s="1"/>
      <c r="J42" s="1"/>
      <c r="K42" s="1"/>
      <c r="L42" s="1"/>
      <c r="M42" s="1"/>
      <c r="N42" s="18"/>
    </row>
    <row r="43" spans="2:14" ht="15.75" customHeight="1" x14ac:dyDescent="0.25">
      <c r="B43" s="20"/>
      <c r="C43" s="7" t="s">
        <v>54</v>
      </c>
      <c r="D43" s="8"/>
      <c r="E43" s="12">
        <v>1.7570000000000001E-3</v>
      </c>
      <c r="F43" s="1"/>
      <c r="G43" s="1"/>
      <c r="H43" s="1"/>
      <c r="I43" s="1"/>
      <c r="J43" s="1"/>
      <c r="K43" s="1"/>
      <c r="L43" s="1"/>
      <c r="M43" s="1"/>
      <c r="N43" s="18"/>
    </row>
    <row r="44" spans="2:14" ht="15" customHeight="1" x14ac:dyDescent="0.25">
      <c r="B44" s="20"/>
      <c r="C44" s="5" t="s">
        <v>55</v>
      </c>
      <c r="D44" s="6" t="s">
        <v>56</v>
      </c>
      <c r="E44" s="11">
        <v>3.0810000000000001E-2</v>
      </c>
      <c r="F44" s="1"/>
      <c r="G44" s="1"/>
      <c r="H44" s="1"/>
      <c r="I44" s="1"/>
      <c r="J44" s="1"/>
      <c r="K44" s="1"/>
      <c r="L44" s="1"/>
      <c r="M44" s="1"/>
      <c r="N44" s="18"/>
    </row>
    <row r="45" spans="2:14" ht="15" customHeight="1" x14ac:dyDescent="0.25">
      <c r="B45" s="20"/>
      <c r="C45" s="5" t="s">
        <v>57</v>
      </c>
      <c r="D45" s="6" t="s">
        <v>56</v>
      </c>
      <c r="E45" s="11">
        <v>2.5329999999999998E-2</v>
      </c>
      <c r="F45" s="1"/>
      <c r="G45" s="1"/>
      <c r="H45" s="1"/>
      <c r="I45" s="1"/>
      <c r="J45" s="1"/>
      <c r="K45" s="1"/>
      <c r="L45" s="1"/>
      <c r="M45" s="1"/>
      <c r="N45" s="18"/>
    </row>
    <row r="46" spans="2:14" ht="15" customHeight="1" x14ac:dyDescent="0.25">
      <c r="B46" s="20"/>
      <c r="C46" s="5" t="s">
        <v>58</v>
      </c>
      <c r="D46" s="6" t="s">
        <v>56</v>
      </c>
      <c r="E46" s="11">
        <v>8.3719999999999992E-3</v>
      </c>
      <c r="F46" s="1"/>
      <c r="G46" s="1"/>
      <c r="H46" s="1"/>
      <c r="I46" s="1"/>
      <c r="J46" s="1"/>
      <c r="K46" s="1"/>
      <c r="L46" s="1"/>
      <c r="M46" s="1"/>
      <c r="N46" s="18"/>
    </row>
    <row r="47" spans="2:14" ht="15" customHeight="1" x14ac:dyDescent="0.25">
      <c r="B47" s="20"/>
      <c r="C47" s="5" t="s">
        <v>59</v>
      </c>
      <c r="D47" s="6" t="s">
        <v>56</v>
      </c>
      <c r="E47" s="11">
        <v>1.4840000000000001E-3</v>
      </c>
      <c r="F47" s="1"/>
      <c r="G47" s="1"/>
      <c r="H47" s="1"/>
      <c r="I47" s="1"/>
      <c r="J47" s="1"/>
      <c r="K47" s="1"/>
      <c r="L47" s="1"/>
      <c r="M47" s="1"/>
      <c r="N47" s="18"/>
    </row>
    <row r="48" spans="2:14" ht="15" customHeight="1" x14ac:dyDescent="0.25">
      <c r="B48" s="20"/>
      <c r="C48" s="5" t="s">
        <v>60</v>
      </c>
      <c r="D48" s="6" t="s">
        <v>56</v>
      </c>
      <c r="E48" s="11">
        <v>1.188E-3</v>
      </c>
      <c r="F48" s="1"/>
      <c r="G48" s="1"/>
      <c r="H48" s="1"/>
      <c r="I48" s="1"/>
      <c r="J48" s="1"/>
      <c r="K48" s="1"/>
      <c r="L48" s="1"/>
      <c r="M48" s="1"/>
      <c r="N48" s="18"/>
    </row>
    <row r="49" spans="2:14" ht="15.75" customHeight="1" x14ac:dyDescent="0.25">
      <c r="B49" s="20"/>
      <c r="C49" s="7" t="s">
        <v>61</v>
      </c>
      <c r="D49" s="8"/>
      <c r="E49" s="12">
        <v>6.7183999999999994E-2</v>
      </c>
      <c r="F49" s="1"/>
      <c r="G49" s="1"/>
      <c r="H49" s="1"/>
      <c r="I49" s="1"/>
      <c r="J49" s="1"/>
      <c r="K49" s="1"/>
      <c r="L49" s="1"/>
      <c r="M49" s="1"/>
      <c r="N49" s="18"/>
    </row>
    <row r="50" spans="2:14" ht="15" customHeight="1" x14ac:dyDescent="0.25">
      <c r="B50" s="20"/>
      <c r="C50" s="5" t="s">
        <v>206</v>
      </c>
      <c r="D50" s="6" t="s">
        <v>56</v>
      </c>
      <c r="E50" s="11">
        <v>1.1823E-2</v>
      </c>
      <c r="F50" s="1"/>
      <c r="G50" s="1"/>
      <c r="H50" s="1"/>
      <c r="I50" s="1"/>
      <c r="J50" s="1"/>
      <c r="K50" s="1"/>
      <c r="L50" s="1"/>
      <c r="M50" s="1"/>
      <c r="N50" s="18"/>
    </row>
    <row r="51" spans="2:14" ht="15" customHeight="1" x14ac:dyDescent="0.25">
      <c r="B51" s="20"/>
      <c r="C51" s="5" t="s">
        <v>201</v>
      </c>
      <c r="D51" s="6" t="s">
        <v>56</v>
      </c>
      <c r="E51" s="11">
        <v>3.0730000000000002E-3</v>
      </c>
      <c r="F51" s="1"/>
      <c r="G51" s="1"/>
      <c r="H51" s="1"/>
      <c r="I51" s="1"/>
      <c r="J51" s="1"/>
      <c r="K51" s="1"/>
      <c r="L51" s="1"/>
      <c r="M51" s="1"/>
      <c r="N51" s="18"/>
    </row>
    <row r="52" spans="2:14" ht="15" customHeight="1" x14ac:dyDescent="0.25">
      <c r="B52" s="20"/>
      <c r="C52" s="5" t="s">
        <v>195</v>
      </c>
      <c r="D52" s="6" t="s">
        <v>56</v>
      </c>
      <c r="E52" s="11">
        <v>3.0409999999999999E-3</v>
      </c>
      <c r="F52" s="1"/>
      <c r="G52" s="1"/>
      <c r="H52" s="1"/>
      <c r="I52" s="1"/>
      <c r="J52" s="1"/>
      <c r="K52" s="1"/>
      <c r="L52" s="1"/>
      <c r="M52" s="1"/>
      <c r="N52" s="18"/>
    </row>
    <row r="53" spans="2:14" ht="15" customHeight="1" x14ac:dyDescent="0.25">
      <c r="B53" s="20"/>
      <c r="C53" s="5" t="s">
        <v>204</v>
      </c>
      <c r="D53" s="6" t="s">
        <v>56</v>
      </c>
      <c r="E53" s="11">
        <v>1.4480000000000001E-3</v>
      </c>
      <c r="F53" s="1"/>
      <c r="G53" s="1"/>
      <c r="H53" s="1"/>
      <c r="I53" s="1"/>
      <c r="J53" s="1"/>
      <c r="K53" s="1"/>
      <c r="L53" s="1"/>
      <c r="M53" s="1"/>
      <c r="N53" s="18"/>
    </row>
    <row r="54" spans="2:14" ht="15" customHeight="1" x14ac:dyDescent="0.25">
      <c r="B54" s="20"/>
      <c r="C54" s="5" t="s">
        <v>205</v>
      </c>
      <c r="D54" s="6" t="s">
        <v>56</v>
      </c>
      <c r="E54" s="11">
        <v>8.7399999999999999E-4</v>
      </c>
      <c r="F54" s="1"/>
      <c r="G54" s="1"/>
      <c r="H54" s="1"/>
      <c r="I54" s="1"/>
      <c r="J54" s="1"/>
      <c r="K54" s="1"/>
      <c r="L54" s="1"/>
      <c r="M54" s="1"/>
      <c r="N54" s="18"/>
    </row>
    <row r="55" spans="2:14" ht="15" customHeight="1" x14ac:dyDescent="0.25">
      <c r="B55" s="20"/>
      <c r="C55" s="5" t="s">
        <v>203</v>
      </c>
      <c r="D55" s="6" t="s">
        <v>56</v>
      </c>
      <c r="E55" s="11">
        <v>6.0800000000000003E-4</v>
      </c>
      <c r="F55" s="1"/>
      <c r="G55" s="1"/>
      <c r="H55" s="1"/>
      <c r="I55" s="1"/>
      <c r="J55" s="1"/>
      <c r="K55" s="1"/>
      <c r="L55" s="1"/>
      <c r="M55" s="1"/>
      <c r="N55" s="18"/>
    </row>
    <row r="56" spans="2:14" ht="15" customHeight="1" x14ac:dyDescent="0.25">
      <c r="B56" s="20"/>
      <c r="C56" s="5" t="s">
        <v>197</v>
      </c>
      <c r="D56" s="6" t="s">
        <v>56</v>
      </c>
      <c r="E56" s="11">
        <v>6.0300000000000002E-4</v>
      </c>
      <c r="F56" s="1"/>
      <c r="G56" s="1"/>
      <c r="H56" s="1"/>
      <c r="I56" s="1"/>
      <c r="J56" s="1"/>
      <c r="K56" s="1"/>
      <c r="L56" s="1"/>
      <c r="M56" s="1"/>
      <c r="N56" s="18"/>
    </row>
    <row r="57" spans="2:14" ht="15" customHeight="1" x14ac:dyDescent="0.25">
      <c r="B57" s="20"/>
      <c r="C57" s="5" t="s">
        <v>198</v>
      </c>
      <c r="D57" s="6" t="s">
        <v>56</v>
      </c>
      <c r="E57" s="11">
        <v>3.01E-4</v>
      </c>
      <c r="F57" s="1"/>
      <c r="G57" s="1"/>
      <c r="H57" s="1"/>
      <c r="I57" s="1"/>
      <c r="J57" s="1"/>
      <c r="K57" s="1"/>
      <c r="L57" s="1"/>
      <c r="M57" s="1"/>
      <c r="N57" s="18"/>
    </row>
    <row r="58" spans="2:14" ht="15" customHeight="1" x14ac:dyDescent="0.25">
      <c r="B58" s="20"/>
      <c r="C58" s="5" t="s">
        <v>199</v>
      </c>
      <c r="D58" s="6" t="s">
        <v>56</v>
      </c>
      <c r="E58" s="11">
        <v>3.01E-4</v>
      </c>
      <c r="F58" s="1"/>
      <c r="G58" s="1"/>
      <c r="H58" s="1"/>
      <c r="I58" s="1"/>
      <c r="J58" s="1"/>
      <c r="K58" s="1"/>
      <c r="L58" s="1"/>
      <c r="M58" s="1"/>
      <c r="N58" s="18"/>
    </row>
    <row r="59" spans="2:14" ht="15" customHeight="1" x14ac:dyDescent="0.25">
      <c r="B59" s="20"/>
      <c r="C59" s="5" t="s">
        <v>200</v>
      </c>
      <c r="D59" s="6" t="s">
        <v>56</v>
      </c>
      <c r="E59" s="11">
        <v>3.01E-4</v>
      </c>
      <c r="F59" s="1"/>
      <c r="G59" s="1"/>
      <c r="H59" s="1"/>
      <c r="I59" s="1"/>
      <c r="J59" s="1"/>
      <c r="K59" s="1"/>
      <c r="L59" s="1"/>
      <c r="M59" s="1"/>
      <c r="N59" s="18"/>
    </row>
    <row r="60" spans="2:14" ht="15" customHeight="1" x14ac:dyDescent="0.25">
      <c r="B60" s="20"/>
      <c r="C60" s="5" t="s">
        <v>196</v>
      </c>
      <c r="D60" s="6" t="s">
        <v>56</v>
      </c>
      <c r="E60" s="11">
        <v>2.9999999999999997E-4</v>
      </c>
      <c r="F60" s="1"/>
      <c r="G60" s="1"/>
      <c r="H60" s="1"/>
      <c r="I60" s="1"/>
      <c r="J60" s="1"/>
      <c r="K60" s="1"/>
      <c r="L60" s="1"/>
      <c r="M60" s="1"/>
      <c r="N60" s="18"/>
    </row>
    <row r="61" spans="2:14" ht="15" customHeight="1" x14ac:dyDescent="0.25">
      <c r="B61" s="20"/>
      <c r="C61" s="5" t="s">
        <v>202</v>
      </c>
      <c r="D61" s="6" t="s">
        <v>56</v>
      </c>
      <c r="E61" s="11">
        <v>1.3200000000000001E-4</v>
      </c>
      <c r="F61" s="1"/>
      <c r="G61" s="1"/>
      <c r="H61" s="1"/>
      <c r="I61" s="1"/>
      <c r="J61" s="1"/>
      <c r="K61" s="1"/>
      <c r="L61" s="1"/>
      <c r="M61" s="1"/>
      <c r="N61" s="18"/>
    </row>
    <row r="62" spans="2:14" ht="15.75" customHeight="1" x14ac:dyDescent="0.25">
      <c r="B62" s="20"/>
      <c r="C62" s="7" t="s">
        <v>62</v>
      </c>
      <c r="D62" s="8"/>
      <c r="E62" s="12">
        <v>2.2804999999999999E-2</v>
      </c>
      <c r="F62" s="1"/>
      <c r="G62" s="1"/>
      <c r="H62" s="1"/>
      <c r="I62" s="1"/>
      <c r="J62" s="1"/>
      <c r="K62" s="1"/>
      <c r="L62" s="1"/>
      <c r="M62" s="1"/>
      <c r="N62" s="18"/>
    </row>
    <row r="63" spans="2:14" ht="15" customHeight="1" x14ac:dyDescent="0.25">
      <c r="B63" s="20"/>
      <c r="C63" s="5" t="s">
        <v>63</v>
      </c>
      <c r="D63" s="6" t="s">
        <v>56</v>
      </c>
      <c r="E63" s="11">
        <v>4.3540000000000002E-3</v>
      </c>
      <c r="F63" s="1"/>
      <c r="G63" s="1"/>
      <c r="H63" s="1"/>
      <c r="I63" s="1"/>
      <c r="J63" s="1"/>
      <c r="K63" s="1"/>
      <c r="L63" s="1"/>
      <c r="M63" s="1"/>
      <c r="N63" s="18"/>
    </row>
    <row r="64" spans="2:14" ht="15" customHeight="1" x14ac:dyDescent="0.25">
      <c r="B64" s="20"/>
      <c r="C64" s="5" t="s">
        <v>64</v>
      </c>
      <c r="D64" s="6" t="s">
        <v>56</v>
      </c>
      <c r="E64" s="11">
        <v>5.7899999999999998E-4</v>
      </c>
      <c r="F64" s="1"/>
      <c r="G64" s="1"/>
      <c r="H64" s="1"/>
      <c r="I64" s="1"/>
      <c r="J64" s="1"/>
      <c r="K64" s="1"/>
      <c r="L64" s="1"/>
      <c r="M64" s="1"/>
      <c r="N64" s="18"/>
    </row>
    <row r="65" spans="2:14" ht="15.75" customHeight="1" x14ac:dyDescent="0.25">
      <c r="B65" s="20"/>
      <c r="C65" s="7" t="s">
        <v>65</v>
      </c>
      <c r="D65" s="8"/>
      <c r="E65" s="12">
        <v>4.9329999999999999E-3</v>
      </c>
      <c r="F65" s="1"/>
      <c r="G65" s="1"/>
      <c r="H65" s="1"/>
      <c r="I65" s="1"/>
      <c r="J65" s="1"/>
      <c r="K65" s="1"/>
      <c r="L65" s="1"/>
      <c r="M65" s="1"/>
      <c r="N65" s="18"/>
    </row>
    <row r="66" spans="2:14" ht="15" customHeight="1" x14ac:dyDescent="0.25">
      <c r="B66" s="20"/>
      <c r="C66" s="5" t="s">
        <v>9</v>
      </c>
      <c r="D66" s="6"/>
      <c r="E66" s="11">
        <v>7.3080000000000003E-3</v>
      </c>
      <c r="F66" s="1"/>
      <c r="G66" s="1"/>
      <c r="H66" s="1"/>
      <c r="I66" s="1"/>
      <c r="J66" s="1"/>
      <c r="K66" s="1"/>
      <c r="L66" s="1"/>
      <c r="M66" s="1"/>
      <c r="N66" s="18"/>
    </row>
    <row r="67" spans="2:14" ht="15.75" customHeight="1" x14ac:dyDescent="0.25">
      <c r="B67" s="20"/>
      <c r="C67" s="7" t="s">
        <v>10</v>
      </c>
      <c r="D67" s="8"/>
      <c r="E67" s="12">
        <v>7.3080000000000003E-3</v>
      </c>
      <c r="F67" s="1"/>
      <c r="G67" s="1"/>
      <c r="H67" s="1"/>
      <c r="I67" s="1"/>
      <c r="J67" s="1"/>
      <c r="K67" s="1"/>
      <c r="L67" s="1"/>
      <c r="M67" s="1"/>
      <c r="N67" s="18"/>
    </row>
    <row r="68" spans="2:14" ht="15" customHeight="1" x14ac:dyDescent="0.25">
      <c r="B68" s="20"/>
      <c r="C68" s="5" t="s">
        <v>43</v>
      </c>
      <c r="D68" s="6" t="s">
        <v>34</v>
      </c>
      <c r="E68" s="11">
        <v>1.6100000000000001E-4</v>
      </c>
      <c r="F68" s="1"/>
      <c r="G68" s="1"/>
      <c r="H68" s="1"/>
      <c r="I68" s="1"/>
      <c r="J68" s="1"/>
      <c r="K68" s="1"/>
      <c r="L68" s="1"/>
      <c r="M68" s="1"/>
      <c r="N68" s="18"/>
    </row>
    <row r="69" spans="2:14" ht="15.75" customHeight="1" x14ac:dyDescent="0.25">
      <c r="B69" s="20"/>
      <c r="C69" s="7" t="s">
        <v>66</v>
      </c>
      <c r="D69" s="8"/>
      <c r="E69" s="12">
        <v>1.6100000000000001E-4</v>
      </c>
      <c r="F69" s="1"/>
      <c r="G69" s="1"/>
      <c r="H69" s="1"/>
      <c r="I69" s="1"/>
      <c r="J69" s="1"/>
      <c r="K69" s="1"/>
      <c r="L69" s="1"/>
      <c r="M69" s="1"/>
      <c r="N69" s="18"/>
    </row>
    <row r="70" spans="2:14" ht="15" customHeight="1" x14ac:dyDescent="0.25">
      <c r="B70" s="20"/>
      <c r="C70" s="5"/>
      <c r="D70" s="6"/>
      <c r="E70" s="11"/>
      <c r="F70" s="1"/>
      <c r="G70" s="1"/>
      <c r="H70" s="1"/>
      <c r="I70" s="1"/>
      <c r="J70" s="1"/>
      <c r="K70" s="1"/>
      <c r="L70" s="1"/>
      <c r="M70" s="1"/>
      <c r="N70" s="18"/>
    </row>
    <row r="71" spans="2:14" ht="15.75" customHeight="1" x14ac:dyDescent="0.25">
      <c r="B71" s="20"/>
      <c r="C71" s="7" t="s">
        <v>11</v>
      </c>
      <c r="D71" s="8"/>
      <c r="E71" s="12">
        <v>2.3744999999999999E-2</v>
      </c>
      <c r="F71" s="1"/>
      <c r="G71" s="1"/>
      <c r="H71" s="1"/>
      <c r="I71" s="1"/>
      <c r="J71" s="1"/>
      <c r="K71" s="1"/>
      <c r="L71" s="1"/>
      <c r="M71" s="1"/>
      <c r="N71" s="18"/>
    </row>
    <row r="72" spans="2:14" ht="15" customHeight="1" x14ac:dyDescent="0.25">
      <c r="B72" s="20"/>
      <c r="C72" s="5"/>
      <c r="D72" s="6"/>
      <c r="E72" s="11"/>
      <c r="F72" s="1"/>
      <c r="G72" s="1"/>
      <c r="H72" s="1"/>
      <c r="I72" s="1"/>
      <c r="J72" s="1"/>
      <c r="K72" s="1"/>
      <c r="L72" s="1"/>
      <c r="M72" s="1"/>
      <c r="N72" s="18"/>
    </row>
    <row r="73" spans="2:14" ht="15" customHeight="1" x14ac:dyDescent="0.25">
      <c r="B73" s="20"/>
      <c r="C73" s="9" t="s">
        <v>12</v>
      </c>
      <c r="D73" s="10"/>
      <c r="E73" s="13">
        <v>1</v>
      </c>
      <c r="F73" s="1"/>
      <c r="G73" s="1"/>
      <c r="H73" s="1"/>
      <c r="I73" s="1"/>
      <c r="J73" s="1"/>
      <c r="K73" s="1"/>
      <c r="L73" s="1"/>
      <c r="M73" s="1"/>
      <c r="N73" s="18"/>
    </row>
    <row r="74" spans="2:14" ht="15" customHeight="1" x14ac:dyDescent="0.25">
      <c r="B74" s="20"/>
      <c r="C74" s="1"/>
      <c r="D74" s="1"/>
      <c r="E74" s="1"/>
      <c r="F74" s="1"/>
      <c r="G74" s="1"/>
      <c r="H74" s="1"/>
      <c r="I74" s="1"/>
      <c r="J74" s="1"/>
      <c r="K74" s="1"/>
      <c r="L74" s="1"/>
      <c r="M74" s="1"/>
      <c r="N74" s="18"/>
    </row>
    <row r="75" spans="2:14" ht="15" customHeight="1" thickBot="1" x14ac:dyDescent="0.3">
      <c r="B75" s="21"/>
      <c r="C75" s="22"/>
      <c r="D75" s="22"/>
      <c r="E75" s="22"/>
      <c r="F75" s="22"/>
      <c r="G75" s="22"/>
      <c r="H75" s="22"/>
      <c r="I75" s="22"/>
      <c r="J75" s="22"/>
      <c r="K75" s="22"/>
      <c r="L75" s="22"/>
      <c r="M75" s="22"/>
      <c r="N75" s="23"/>
    </row>
    <row r="76" spans="2:14" ht="15" customHeight="1" thickBot="1" x14ac:dyDescent="0.3"/>
    <row r="77" spans="2:14" ht="72" customHeight="1" thickBot="1" x14ac:dyDescent="0.3">
      <c r="B77" s="35" t="s">
        <v>229</v>
      </c>
      <c r="C77" s="36"/>
      <c r="D77" s="36"/>
      <c r="E77" s="36"/>
      <c r="F77" s="36"/>
      <c r="G77" s="36"/>
      <c r="H77" s="36"/>
      <c r="I77" s="36"/>
      <c r="J77" s="36"/>
      <c r="K77" s="36"/>
      <c r="L77" s="36"/>
      <c r="M77" s="36"/>
      <c r="N77" s="37"/>
    </row>
    <row r="78" spans="2:14" ht="15" customHeight="1" thickBot="1" x14ac:dyDescent="0.3"/>
    <row r="79" spans="2:14" ht="105.75" customHeight="1" thickBot="1" x14ac:dyDescent="0.3">
      <c r="B79" s="35" t="s">
        <v>234</v>
      </c>
      <c r="C79" s="36"/>
      <c r="D79" s="36"/>
      <c r="E79" s="36"/>
      <c r="F79" s="36"/>
      <c r="G79" s="36"/>
      <c r="H79" s="36"/>
      <c r="I79" s="36"/>
      <c r="J79" s="36"/>
      <c r="K79" s="36"/>
      <c r="L79" s="36"/>
      <c r="M79" s="36"/>
      <c r="N79" s="37"/>
    </row>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sheetData>
  <mergeCells count="7">
    <mergeCell ref="B77:N77"/>
    <mergeCell ref="B79:N79"/>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F0C6D-72ED-4E79-800F-C1B7138838F5}">
  <dimension ref="B1:N9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117</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118</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22</v>
      </c>
      <c r="D8" s="6" t="s">
        <v>23</v>
      </c>
      <c r="E8" s="11">
        <v>1.1091999999999999E-2</v>
      </c>
      <c r="F8" s="1"/>
      <c r="G8" s="24" t="s">
        <v>16</v>
      </c>
      <c r="H8" s="25">
        <v>1</v>
      </c>
      <c r="I8" s="1"/>
      <c r="J8" s="24" t="s">
        <v>13</v>
      </c>
      <c r="K8" s="24" t="s">
        <v>5</v>
      </c>
      <c r="L8" s="1"/>
      <c r="M8" s="1"/>
      <c r="N8" s="18"/>
    </row>
    <row r="9" spans="2:14" ht="15.75" customHeight="1" x14ac:dyDescent="0.25">
      <c r="B9" s="20"/>
      <c r="C9" s="7" t="s">
        <v>30</v>
      </c>
      <c r="D9" s="8"/>
      <c r="E9" s="12">
        <v>1.1091999999999999E-2</v>
      </c>
      <c r="F9" s="1"/>
      <c r="G9" s="1"/>
      <c r="H9" s="1"/>
      <c r="I9" s="1"/>
      <c r="J9" s="24" t="s">
        <v>11</v>
      </c>
      <c r="K9" s="29">
        <v>1.9067000000000001E-2</v>
      </c>
      <c r="L9" s="1"/>
      <c r="M9" s="1"/>
      <c r="N9" s="18"/>
    </row>
    <row r="10" spans="2:14" ht="15" customHeight="1" x14ac:dyDescent="0.25">
      <c r="B10" s="20"/>
      <c r="C10" s="5" t="s">
        <v>31</v>
      </c>
      <c r="D10" s="6" t="s">
        <v>23</v>
      </c>
      <c r="E10" s="11">
        <v>2.807E-3</v>
      </c>
      <c r="F10" s="1"/>
      <c r="G10" s="1"/>
      <c r="H10" s="1"/>
      <c r="I10" s="1"/>
      <c r="J10" s="24" t="s">
        <v>14</v>
      </c>
      <c r="K10" s="29">
        <v>1.1083000000000001E-2</v>
      </c>
      <c r="L10" s="1"/>
      <c r="M10" s="1"/>
      <c r="N10" s="18"/>
    </row>
    <row r="11" spans="2:14" ht="15.75" customHeight="1" x14ac:dyDescent="0.25">
      <c r="B11" s="20"/>
      <c r="C11" s="7" t="s">
        <v>32</v>
      </c>
      <c r="D11" s="8"/>
      <c r="E11" s="12">
        <v>2.807E-3</v>
      </c>
      <c r="F11" s="1"/>
      <c r="G11" s="1"/>
      <c r="H11" s="1"/>
      <c r="I11" s="1"/>
      <c r="J11" s="24" t="s">
        <v>67</v>
      </c>
      <c r="K11" s="29">
        <v>1.1091999999999999E-2</v>
      </c>
      <c r="L11" s="1"/>
      <c r="M11" s="1"/>
      <c r="N11" s="18"/>
    </row>
    <row r="12" spans="2:14" ht="15" customHeight="1" x14ac:dyDescent="0.25">
      <c r="B12" s="20"/>
      <c r="C12" s="5" t="s">
        <v>36</v>
      </c>
      <c r="D12" s="6" t="s">
        <v>34</v>
      </c>
      <c r="E12" s="11">
        <v>0.11373900000000001</v>
      </c>
      <c r="F12" s="1"/>
      <c r="G12" s="1"/>
      <c r="H12" s="1"/>
      <c r="I12" s="1"/>
      <c r="J12" s="24" t="s">
        <v>68</v>
      </c>
      <c r="K12" s="29">
        <v>0.75263999999999998</v>
      </c>
      <c r="L12" s="1"/>
      <c r="M12" s="1"/>
      <c r="N12" s="18"/>
    </row>
    <row r="13" spans="2:14" ht="15" customHeight="1" x14ac:dyDescent="0.25">
      <c r="B13" s="20"/>
      <c r="C13" s="5" t="s">
        <v>33</v>
      </c>
      <c r="D13" s="6" t="s">
        <v>34</v>
      </c>
      <c r="E13" s="11">
        <v>0.112632</v>
      </c>
      <c r="F13" s="1"/>
      <c r="G13" s="1"/>
      <c r="H13" s="1"/>
      <c r="I13" s="1"/>
      <c r="J13" s="24" t="s">
        <v>69</v>
      </c>
      <c r="K13" s="29">
        <v>2.807E-3</v>
      </c>
      <c r="L13" s="1"/>
      <c r="M13" s="1"/>
      <c r="N13" s="18"/>
    </row>
    <row r="14" spans="2:14" ht="15" customHeight="1" x14ac:dyDescent="0.25">
      <c r="B14" s="20"/>
      <c r="C14" s="5" t="s">
        <v>44</v>
      </c>
      <c r="D14" s="6" t="s">
        <v>34</v>
      </c>
      <c r="E14" s="11">
        <v>8.0621999999999999E-2</v>
      </c>
      <c r="F14" s="1"/>
      <c r="G14" s="1"/>
      <c r="H14" s="1"/>
      <c r="I14" s="1"/>
      <c r="J14" s="24" t="s">
        <v>71</v>
      </c>
      <c r="K14" s="29">
        <v>0.16297400000000001</v>
      </c>
      <c r="L14" s="1"/>
      <c r="M14" s="1"/>
      <c r="N14" s="18"/>
    </row>
    <row r="15" spans="2:14" ht="15" customHeight="1" x14ac:dyDescent="0.25">
      <c r="B15" s="20"/>
      <c r="C15" s="5" t="s">
        <v>31</v>
      </c>
      <c r="D15" s="6" t="s">
        <v>34</v>
      </c>
      <c r="E15" s="11">
        <v>7.8892000000000004E-2</v>
      </c>
      <c r="F15" s="1"/>
      <c r="G15" s="1"/>
      <c r="H15" s="1"/>
      <c r="I15" s="1"/>
      <c r="J15" s="24" t="s">
        <v>72</v>
      </c>
      <c r="K15" s="29">
        <v>4.0226999999999999E-2</v>
      </c>
      <c r="L15" s="1"/>
      <c r="M15" s="1"/>
      <c r="N15" s="18"/>
    </row>
    <row r="16" spans="2:14" ht="15" customHeight="1" x14ac:dyDescent="0.25">
      <c r="B16" s="20"/>
      <c r="C16" s="5" t="s">
        <v>38</v>
      </c>
      <c r="D16" s="6" t="s">
        <v>34</v>
      </c>
      <c r="E16" s="11">
        <v>6.4532999999999993E-2</v>
      </c>
      <c r="F16" s="1"/>
      <c r="G16" s="1"/>
      <c r="H16" s="1"/>
      <c r="I16" s="1"/>
      <c r="J16" s="24" t="s">
        <v>74</v>
      </c>
      <c r="K16" s="29">
        <v>1.1E-4</v>
      </c>
      <c r="L16" s="1"/>
      <c r="M16" s="1"/>
      <c r="N16" s="18"/>
    </row>
    <row r="17" spans="2:14" ht="15" customHeight="1" x14ac:dyDescent="0.25">
      <c r="B17" s="20"/>
      <c r="C17" s="5" t="s">
        <v>47</v>
      </c>
      <c r="D17" s="6" t="s">
        <v>34</v>
      </c>
      <c r="E17" s="11">
        <v>6.3239000000000004E-2</v>
      </c>
      <c r="F17" s="1"/>
      <c r="G17" s="1"/>
      <c r="H17" s="1"/>
      <c r="I17" s="1"/>
      <c r="J17" s="1"/>
      <c r="K17" s="1"/>
      <c r="L17" s="1"/>
      <c r="M17" s="1"/>
      <c r="N17" s="18"/>
    </row>
    <row r="18" spans="2:14" ht="15" customHeight="1" x14ac:dyDescent="0.25">
      <c r="B18" s="20"/>
      <c r="C18" s="5" t="s">
        <v>37</v>
      </c>
      <c r="D18" s="6" t="s">
        <v>34</v>
      </c>
      <c r="E18" s="11">
        <v>5.1936000000000003E-2</v>
      </c>
      <c r="F18" s="1"/>
      <c r="G18" s="1"/>
      <c r="H18" s="1"/>
      <c r="I18" s="1"/>
      <c r="J18" s="1"/>
      <c r="K18" s="1"/>
      <c r="L18" s="1"/>
      <c r="M18" s="1"/>
      <c r="N18" s="18"/>
    </row>
    <row r="19" spans="2:14" ht="15" customHeight="1" x14ac:dyDescent="0.25">
      <c r="B19" s="20"/>
      <c r="C19" s="5" t="s">
        <v>35</v>
      </c>
      <c r="D19" s="6" t="s">
        <v>34</v>
      </c>
      <c r="E19" s="11">
        <v>3.8389E-2</v>
      </c>
      <c r="F19" s="1"/>
      <c r="G19" s="1"/>
      <c r="H19" s="1"/>
      <c r="I19" s="1"/>
      <c r="J19" s="1"/>
      <c r="K19" s="1"/>
      <c r="L19" s="1"/>
      <c r="M19" s="1"/>
      <c r="N19" s="18"/>
    </row>
    <row r="20" spans="2:14" ht="15" customHeight="1" x14ac:dyDescent="0.25">
      <c r="B20" s="20"/>
      <c r="C20" s="5" t="s">
        <v>27</v>
      </c>
      <c r="D20" s="6" t="s">
        <v>34</v>
      </c>
      <c r="E20" s="11">
        <v>2.2544999999999999E-2</v>
      </c>
      <c r="F20" s="1"/>
      <c r="G20" s="1"/>
      <c r="H20" s="1"/>
      <c r="I20" s="1"/>
      <c r="J20" s="1"/>
      <c r="K20" s="1"/>
      <c r="L20" s="1"/>
      <c r="M20" s="1"/>
      <c r="N20" s="18"/>
    </row>
    <row r="21" spans="2:14" ht="15" customHeight="1" x14ac:dyDescent="0.25">
      <c r="B21" s="20"/>
      <c r="C21" s="5" t="s">
        <v>39</v>
      </c>
      <c r="D21" s="6" t="s">
        <v>34</v>
      </c>
      <c r="E21" s="11">
        <v>1.8010000000000002E-2</v>
      </c>
      <c r="F21" s="1"/>
      <c r="G21" s="1"/>
      <c r="H21" s="1"/>
      <c r="I21" s="1"/>
      <c r="J21" s="1"/>
      <c r="K21" s="1"/>
      <c r="L21" s="1"/>
      <c r="M21" s="1"/>
      <c r="N21" s="18"/>
    </row>
    <row r="22" spans="2:14" ht="15" customHeight="1" x14ac:dyDescent="0.25">
      <c r="B22" s="20"/>
      <c r="C22" s="5" t="s">
        <v>22</v>
      </c>
      <c r="D22" s="6" t="s">
        <v>34</v>
      </c>
      <c r="E22" s="11">
        <v>1.7926999999999998E-2</v>
      </c>
      <c r="F22" s="1"/>
      <c r="G22" s="1"/>
      <c r="H22" s="1"/>
      <c r="I22" s="1"/>
      <c r="J22" s="1"/>
      <c r="K22" s="1"/>
      <c r="L22" s="1"/>
      <c r="M22" s="1"/>
      <c r="N22" s="18"/>
    </row>
    <row r="23" spans="2:14" ht="15" customHeight="1" x14ac:dyDescent="0.25">
      <c r="B23" s="20"/>
      <c r="C23" s="5" t="s">
        <v>119</v>
      </c>
      <c r="D23" s="6" t="s">
        <v>34</v>
      </c>
      <c r="E23" s="11">
        <v>1.5238E-2</v>
      </c>
      <c r="F23" s="1"/>
      <c r="G23" s="1"/>
      <c r="H23" s="1"/>
      <c r="I23" s="1"/>
      <c r="J23" s="1"/>
      <c r="K23" s="1"/>
      <c r="L23" s="1"/>
      <c r="M23" s="1"/>
      <c r="N23" s="18"/>
    </row>
    <row r="24" spans="2:14" ht="15" customHeight="1" x14ac:dyDescent="0.25">
      <c r="B24" s="20"/>
      <c r="C24" s="5" t="s">
        <v>40</v>
      </c>
      <c r="D24" s="6" t="s">
        <v>34</v>
      </c>
      <c r="E24" s="11">
        <v>1.4007E-2</v>
      </c>
      <c r="F24" s="1"/>
      <c r="G24" s="43" t="s">
        <v>18</v>
      </c>
      <c r="H24" s="44"/>
      <c r="I24" s="44"/>
      <c r="J24" s="44"/>
      <c r="K24" s="44"/>
      <c r="L24" s="26">
        <v>1.91</v>
      </c>
      <c r="M24" s="27"/>
      <c r="N24" s="28"/>
    </row>
    <row r="25" spans="2:14" ht="15" customHeight="1" x14ac:dyDescent="0.25">
      <c r="B25" s="20"/>
      <c r="C25" s="5" t="s">
        <v>45</v>
      </c>
      <c r="D25" s="6" t="s">
        <v>34</v>
      </c>
      <c r="E25" s="11">
        <v>1.3502E-2</v>
      </c>
      <c r="F25" s="1"/>
      <c r="G25" s="1"/>
      <c r="H25" s="1"/>
      <c r="I25" s="1"/>
      <c r="J25" s="1"/>
      <c r="K25" s="1"/>
      <c r="L25" s="1"/>
      <c r="M25" s="1"/>
      <c r="N25" s="18"/>
    </row>
    <row r="26" spans="2:14" ht="15" customHeight="1" x14ac:dyDescent="0.25">
      <c r="B26" s="20"/>
      <c r="C26" s="5" t="s">
        <v>120</v>
      </c>
      <c r="D26" s="6" t="s">
        <v>34</v>
      </c>
      <c r="E26" s="11">
        <v>1.1514999999999999E-2</v>
      </c>
      <c r="F26" s="1"/>
      <c r="G26" s="43" t="s">
        <v>19</v>
      </c>
      <c r="H26" s="44"/>
      <c r="I26" s="44"/>
      <c r="J26" s="44"/>
      <c r="K26" s="44"/>
      <c r="L26" s="44"/>
      <c r="M26" s="44"/>
      <c r="N26" s="45"/>
    </row>
    <row r="27" spans="2:14" ht="15" customHeight="1" x14ac:dyDescent="0.25">
      <c r="B27" s="20"/>
      <c r="C27" s="5" t="s">
        <v>50</v>
      </c>
      <c r="D27" s="6" t="s">
        <v>34</v>
      </c>
      <c r="E27" s="11">
        <v>1.1168000000000001E-2</v>
      </c>
      <c r="F27" s="1"/>
      <c r="G27" s="1"/>
      <c r="H27" s="1"/>
      <c r="I27" s="1"/>
      <c r="J27" s="1"/>
      <c r="K27" s="1"/>
      <c r="L27" s="1"/>
      <c r="M27" s="1"/>
      <c r="N27" s="18"/>
    </row>
    <row r="28" spans="2:14" ht="15" customHeight="1" x14ac:dyDescent="0.25">
      <c r="B28" s="20"/>
      <c r="C28" s="5" t="s">
        <v>49</v>
      </c>
      <c r="D28" s="6" t="s">
        <v>34</v>
      </c>
      <c r="E28" s="11">
        <v>6.8409999999999999E-3</v>
      </c>
      <c r="F28" s="1"/>
      <c r="G28" s="1"/>
      <c r="H28" s="1"/>
      <c r="I28" s="1"/>
      <c r="J28" s="1"/>
      <c r="K28" s="1"/>
      <c r="L28" s="1"/>
      <c r="M28" s="1"/>
      <c r="N28" s="18"/>
    </row>
    <row r="29" spans="2:14" ht="15" customHeight="1" x14ac:dyDescent="0.25">
      <c r="B29" s="20"/>
      <c r="C29" s="5" t="s">
        <v>28</v>
      </c>
      <c r="D29" s="6" t="s">
        <v>34</v>
      </c>
      <c r="E29" s="11">
        <v>6.1999999999999998E-3</v>
      </c>
      <c r="F29" s="1"/>
      <c r="G29" s="1"/>
      <c r="H29" s="1"/>
      <c r="I29" s="1"/>
      <c r="J29" s="1"/>
      <c r="K29" s="1"/>
      <c r="L29" s="1"/>
      <c r="M29" s="1"/>
      <c r="N29" s="18"/>
    </row>
    <row r="30" spans="2:14" ht="15" customHeight="1" x14ac:dyDescent="0.25">
      <c r="B30" s="20"/>
      <c r="C30" s="5" t="s">
        <v>43</v>
      </c>
      <c r="D30" s="6" t="s">
        <v>34</v>
      </c>
      <c r="E30" s="11">
        <v>5.3959999999999998E-3</v>
      </c>
      <c r="F30" s="1"/>
      <c r="G30" s="1"/>
      <c r="H30" s="1"/>
      <c r="I30" s="1"/>
      <c r="J30" s="1"/>
      <c r="K30" s="1"/>
      <c r="L30" s="1"/>
      <c r="M30" s="1"/>
      <c r="N30" s="18"/>
    </row>
    <row r="31" spans="2:14" ht="15" customHeight="1" x14ac:dyDescent="0.25">
      <c r="B31" s="20"/>
      <c r="C31" s="5" t="s">
        <v>42</v>
      </c>
      <c r="D31" s="6" t="s">
        <v>34</v>
      </c>
      <c r="E31" s="11">
        <v>4.8869999999999999E-3</v>
      </c>
      <c r="F31" s="1"/>
      <c r="G31" s="1"/>
      <c r="H31" s="1"/>
      <c r="I31" s="1"/>
      <c r="J31" s="1"/>
      <c r="K31" s="1"/>
      <c r="L31" s="1"/>
      <c r="M31" s="1"/>
      <c r="N31" s="18"/>
    </row>
    <row r="32" spans="2:14" ht="15" customHeight="1" x14ac:dyDescent="0.25">
      <c r="B32" s="20"/>
      <c r="C32" s="5" t="s">
        <v>104</v>
      </c>
      <c r="D32" s="6" t="s">
        <v>34</v>
      </c>
      <c r="E32" s="11">
        <v>1.4220000000000001E-3</v>
      </c>
      <c r="F32" s="1"/>
      <c r="G32" s="1"/>
      <c r="H32" s="1"/>
      <c r="I32" s="1"/>
      <c r="J32" s="1"/>
      <c r="K32" s="1"/>
      <c r="L32" s="1"/>
      <c r="M32" s="1"/>
      <c r="N32" s="18"/>
    </row>
    <row r="33" spans="2:14" ht="15.75" customHeight="1" x14ac:dyDescent="0.25">
      <c r="B33" s="20"/>
      <c r="C33" s="7" t="s">
        <v>52</v>
      </c>
      <c r="D33" s="8"/>
      <c r="E33" s="12">
        <v>0.75263999999999998</v>
      </c>
      <c r="F33" s="1"/>
      <c r="G33" s="1"/>
      <c r="H33" s="1"/>
      <c r="I33" s="1"/>
      <c r="J33" s="1"/>
      <c r="K33" s="1"/>
      <c r="L33" s="1"/>
      <c r="M33" s="1"/>
      <c r="N33" s="18"/>
    </row>
    <row r="34" spans="2:14" ht="15" customHeight="1" x14ac:dyDescent="0.25">
      <c r="B34" s="20"/>
      <c r="C34" s="5" t="s">
        <v>121</v>
      </c>
      <c r="D34" s="6" t="s">
        <v>56</v>
      </c>
      <c r="E34" s="11">
        <v>0.162387</v>
      </c>
      <c r="F34" s="1"/>
      <c r="G34" s="1"/>
      <c r="H34" s="1"/>
      <c r="I34" s="1"/>
      <c r="J34" s="1"/>
      <c r="K34" s="1"/>
      <c r="L34" s="1"/>
      <c r="M34" s="1"/>
      <c r="N34" s="18"/>
    </row>
    <row r="35" spans="2:14" ht="15" customHeight="1" x14ac:dyDescent="0.25">
      <c r="B35" s="20"/>
      <c r="C35" s="5" t="s">
        <v>122</v>
      </c>
      <c r="D35" s="6" t="s">
        <v>56</v>
      </c>
      <c r="E35" s="11">
        <v>2.9399999999999999E-4</v>
      </c>
      <c r="F35" s="1"/>
      <c r="G35" s="1"/>
      <c r="H35" s="1"/>
      <c r="I35" s="1"/>
      <c r="J35" s="1"/>
      <c r="K35" s="1"/>
      <c r="L35" s="1"/>
      <c r="M35" s="1"/>
      <c r="N35" s="18"/>
    </row>
    <row r="36" spans="2:14" ht="15" customHeight="1" x14ac:dyDescent="0.25">
      <c r="B36" s="20"/>
      <c r="C36" s="5" t="s">
        <v>57</v>
      </c>
      <c r="D36" s="6" t="s">
        <v>56</v>
      </c>
      <c r="E36" s="11">
        <v>2.9300000000000002E-4</v>
      </c>
      <c r="F36" s="1"/>
      <c r="G36" s="1"/>
      <c r="H36" s="1"/>
      <c r="I36" s="1"/>
      <c r="J36" s="1"/>
      <c r="K36" s="1"/>
      <c r="L36" s="1"/>
      <c r="M36" s="1"/>
      <c r="N36" s="18"/>
    </row>
    <row r="37" spans="2:14" ht="15.75" customHeight="1" x14ac:dyDescent="0.25">
      <c r="B37" s="20"/>
      <c r="C37" s="7" t="s">
        <v>61</v>
      </c>
      <c r="D37" s="8"/>
      <c r="E37" s="12">
        <v>0.16297400000000001</v>
      </c>
      <c r="F37" s="1"/>
      <c r="G37" s="1"/>
      <c r="H37" s="1"/>
      <c r="I37" s="1"/>
      <c r="J37" s="1"/>
      <c r="K37" s="1"/>
      <c r="L37" s="1"/>
      <c r="M37" s="1"/>
      <c r="N37" s="18"/>
    </row>
    <row r="38" spans="2:14" ht="15" customHeight="1" x14ac:dyDescent="0.25">
      <c r="B38" s="20"/>
      <c r="C38" s="5" t="s">
        <v>195</v>
      </c>
      <c r="D38" s="6" t="s">
        <v>56</v>
      </c>
      <c r="E38" s="11">
        <v>3.8E-3</v>
      </c>
      <c r="F38" s="1"/>
      <c r="G38" s="1"/>
      <c r="H38" s="1"/>
      <c r="I38" s="1"/>
      <c r="J38" s="1"/>
      <c r="K38" s="1"/>
      <c r="L38" s="1"/>
      <c r="M38" s="1"/>
      <c r="N38" s="18"/>
    </row>
    <row r="39" spans="2:14" ht="15.75" customHeight="1" x14ac:dyDescent="0.25">
      <c r="B39" s="20"/>
      <c r="C39" s="5" t="s">
        <v>208</v>
      </c>
      <c r="D39" s="6" t="s">
        <v>56</v>
      </c>
      <c r="E39" s="11">
        <v>8.3490000000000005E-3</v>
      </c>
      <c r="F39" s="1"/>
      <c r="G39" s="1"/>
      <c r="H39" s="1"/>
      <c r="I39" s="1"/>
      <c r="J39" s="1"/>
      <c r="K39" s="1"/>
      <c r="L39" s="1"/>
      <c r="M39" s="1"/>
      <c r="N39" s="18"/>
    </row>
    <row r="40" spans="2:14" ht="15" customHeight="1" x14ac:dyDescent="0.25">
      <c r="B40" s="20"/>
      <c r="C40" s="5" t="s">
        <v>220</v>
      </c>
      <c r="D40" s="6" t="s">
        <v>56</v>
      </c>
      <c r="E40" s="11">
        <v>4.045E-3</v>
      </c>
      <c r="F40" s="1"/>
      <c r="G40" s="1"/>
      <c r="H40" s="1"/>
      <c r="I40" s="1"/>
      <c r="J40" s="1"/>
      <c r="K40" s="1"/>
      <c r="L40" s="1"/>
      <c r="M40" s="1"/>
      <c r="N40" s="18"/>
    </row>
    <row r="41" spans="2:14" ht="15.75" customHeight="1" x14ac:dyDescent="0.25">
      <c r="B41" s="20"/>
      <c r="C41" s="5" t="s">
        <v>201</v>
      </c>
      <c r="D41" s="6" t="s">
        <v>56</v>
      </c>
      <c r="E41" s="11">
        <v>2.9819999999999998E-3</v>
      </c>
      <c r="F41" s="1"/>
      <c r="G41" s="1"/>
      <c r="H41" s="1"/>
      <c r="I41" s="1"/>
      <c r="J41" s="1"/>
      <c r="K41" s="1"/>
      <c r="L41" s="1"/>
      <c r="M41" s="1"/>
      <c r="N41" s="18"/>
    </row>
    <row r="42" spans="2:14" ht="15" customHeight="1" x14ac:dyDescent="0.25">
      <c r="B42" s="20"/>
      <c r="C42" s="5" t="s">
        <v>224</v>
      </c>
      <c r="D42" s="6" t="s">
        <v>56</v>
      </c>
      <c r="E42" s="11">
        <v>2.823E-3</v>
      </c>
      <c r="F42" s="1"/>
      <c r="G42" s="1"/>
      <c r="H42" s="1"/>
      <c r="I42" s="1"/>
      <c r="J42" s="1"/>
      <c r="K42" s="1"/>
      <c r="L42" s="1"/>
      <c r="M42" s="1"/>
      <c r="N42" s="18"/>
    </row>
    <row r="43" spans="2:14" ht="15.75" customHeight="1" x14ac:dyDescent="0.25">
      <c r="B43" s="20"/>
      <c r="C43" s="5" t="s">
        <v>221</v>
      </c>
      <c r="D43" s="6" t="s">
        <v>56</v>
      </c>
      <c r="E43" s="11">
        <v>2.418E-3</v>
      </c>
      <c r="F43" s="1"/>
      <c r="G43" s="1"/>
      <c r="H43" s="1"/>
      <c r="I43" s="1"/>
      <c r="J43" s="1"/>
      <c r="K43" s="1"/>
      <c r="L43" s="1"/>
      <c r="M43" s="1"/>
      <c r="N43" s="18"/>
    </row>
    <row r="44" spans="2:14" ht="15" customHeight="1" x14ac:dyDescent="0.25">
      <c r="B44" s="20"/>
      <c r="C44" s="5" t="s">
        <v>214</v>
      </c>
      <c r="D44" s="6" t="s">
        <v>56</v>
      </c>
      <c r="E44" s="11">
        <v>2.1229999999999999E-3</v>
      </c>
      <c r="F44" s="1"/>
      <c r="G44" s="1"/>
      <c r="H44" s="1"/>
      <c r="I44" s="1"/>
      <c r="J44" s="1"/>
      <c r="K44" s="1"/>
      <c r="L44" s="1"/>
      <c r="M44" s="1"/>
      <c r="N44" s="18"/>
    </row>
    <row r="45" spans="2:14" ht="15.75" customHeight="1" x14ac:dyDescent="0.25">
      <c r="B45" s="20"/>
      <c r="C45" s="5" t="s">
        <v>210</v>
      </c>
      <c r="D45" s="6" t="s">
        <v>56</v>
      </c>
      <c r="E45" s="11">
        <v>2.1180000000000001E-3</v>
      </c>
      <c r="F45" s="1"/>
      <c r="G45" s="1"/>
      <c r="H45" s="1"/>
      <c r="I45" s="1"/>
      <c r="J45" s="1"/>
      <c r="K45" s="1"/>
      <c r="L45" s="1"/>
      <c r="M45" s="1"/>
      <c r="N45" s="18"/>
    </row>
    <row r="46" spans="2:14" ht="15" customHeight="1" x14ac:dyDescent="0.25">
      <c r="B46" s="20"/>
      <c r="C46" s="5" t="s">
        <v>211</v>
      </c>
      <c r="D46" s="6" t="s">
        <v>56</v>
      </c>
      <c r="E46" s="11">
        <v>1.817E-3</v>
      </c>
      <c r="F46" s="1"/>
      <c r="G46" s="1"/>
      <c r="H46" s="1"/>
      <c r="I46" s="1"/>
      <c r="J46" s="1"/>
      <c r="K46" s="1"/>
      <c r="L46" s="1"/>
      <c r="M46" s="1"/>
      <c r="N46" s="18"/>
    </row>
    <row r="47" spans="2:14" ht="15" customHeight="1" x14ac:dyDescent="0.25">
      <c r="B47" s="20"/>
      <c r="C47" s="5" t="s">
        <v>212</v>
      </c>
      <c r="D47" s="6" t="s">
        <v>56</v>
      </c>
      <c r="E47" s="11">
        <v>1.5200000000000001E-3</v>
      </c>
      <c r="F47" s="1"/>
      <c r="G47" s="1"/>
      <c r="H47" s="1"/>
      <c r="I47" s="1"/>
      <c r="J47" s="1"/>
      <c r="K47" s="1"/>
      <c r="L47" s="1"/>
      <c r="M47" s="1"/>
      <c r="N47" s="18"/>
    </row>
    <row r="48" spans="2:14" ht="15" customHeight="1" x14ac:dyDescent="0.25">
      <c r="B48" s="20"/>
      <c r="C48" s="5" t="s">
        <v>217</v>
      </c>
      <c r="D48" s="6" t="s">
        <v>56</v>
      </c>
      <c r="E48" s="11">
        <v>1.506E-3</v>
      </c>
      <c r="F48" s="1"/>
      <c r="G48" s="1"/>
      <c r="H48" s="1"/>
      <c r="I48" s="1"/>
      <c r="J48" s="1"/>
      <c r="K48" s="1"/>
      <c r="L48" s="1"/>
      <c r="M48" s="1"/>
      <c r="N48" s="18"/>
    </row>
    <row r="49" spans="2:14" ht="15" customHeight="1" x14ac:dyDescent="0.25">
      <c r="B49" s="20"/>
      <c r="C49" s="5" t="s">
        <v>223</v>
      </c>
      <c r="D49" s="6" t="s">
        <v>56</v>
      </c>
      <c r="E49" s="11">
        <v>1.4120000000000001E-3</v>
      </c>
      <c r="F49" s="1"/>
      <c r="G49" s="1"/>
      <c r="H49" s="1"/>
      <c r="I49" s="1"/>
      <c r="J49" s="1"/>
      <c r="K49" s="1"/>
      <c r="L49" s="1"/>
      <c r="M49" s="1"/>
      <c r="N49" s="18"/>
    </row>
    <row r="50" spans="2:14" ht="15" customHeight="1" x14ac:dyDescent="0.25">
      <c r="B50" s="20"/>
      <c r="C50" s="5" t="s">
        <v>219</v>
      </c>
      <c r="D50" s="6" t="s">
        <v>56</v>
      </c>
      <c r="E50" s="11">
        <v>1.2130000000000001E-3</v>
      </c>
      <c r="F50" s="1"/>
      <c r="G50" s="1"/>
      <c r="H50" s="1"/>
      <c r="I50" s="1"/>
      <c r="J50" s="1"/>
      <c r="K50" s="1"/>
      <c r="L50" s="1"/>
      <c r="M50" s="1"/>
      <c r="N50" s="18"/>
    </row>
    <row r="51" spans="2:14" ht="15" customHeight="1" x14ac:dyDescent="0.25">
      <c r="B51" s="20"/>
      <c r="C51" s="5" t="s">
        <v>218</v>
      </c>
      <c r="D51" s="6" t="s">
        <v>56</v>
      </c>
      <c r="E51" s="11">
        <v>1.204E-3</v>
      </c>
      <c r="F51" s="1"/>
      <c r="G51" s="1"/>
      <c r="H51" s="1"/>
      <c r="I51" s="1"/>
      <c r="J51" s="1"/>
      <c r="K51" s="1"/>
      <c r="L51" s="1"/>
      <c r="M51" s="1"/>
      <c r="N51" s="18"/>
    </row>
    <row r="52" spans="2:14" ht="15" customHeight="1" x14ac:dyDescent="0.25">
      <c r="B52" s="20"/>
      <c r="C52" s="5" t="s">
        <v>207</v>
      </c>
      <c r="D52" s="6" t="s">
        <v>56</v>
      </c>
      <c r="E52" s="11">
        <v>8.9599999999999999E-4</v>
      </c>
      <c r="F52" s="1"/>
      <c r="G52" s="1"/>
      <c r="H52" s="1"/>
      <c r="I52" s="1"/>
      <c r="J52" s="1"/>
      <c r="K52" s="1"/>
      <c r="L52" s="1"/>
      <c r="M52" s="1"/>
      <c r="N52" s="18"/>
    </row>
    <row r="53" spans="2:14" ht="15" customHeight="1" x14ac:dyDescent="0.25">
      <c r="B53" s="20"/>
      <c r="C53" s="5" t="s">
        <v>213</v>
      </c>
      <c r="D53" s="6" t="s">
        <v>56</v>
      </c>
      <c r="E53" s="11">
        <v>6.0800000000000003E-4</v>
      </c>
      <c r="F53" s="1"/>
      <c r="G53" s="1"/>
      <c r="H53" s="1"/>
      <c r="I53" s="1"/>
      <c r="J53" s="1"/>
      <c r="K53" s="1"/>
      <c r="L53" s="1"/>
      <c r="M53" s="1"/>
      <c r="N53" s="18"/>
    </row>
    <row r="54" spans="2:14" ht="15" customHeight="1" x14ac:dyDescent="0.25">
      <c r="B54" s="20"/>
      <c r="C54" s="5" t="s">
        <v>216</v>
      </c>
      <c r="D54" s="6" t="s">
        <v>56</v>
      </c>
      <c r="E54" s="11">
        <v>6.0099999999999997E-4</v>
      </c>
      <c r="F54" s="1"/>
      <c r="G54" s="1"/>
      <c r="H54" s="1"/>
      <c r="I54" s="1"/>
      <c r="J54" s="1"/>
      <c r="K54" s="1"/>
      <c r="L54" s="1"/>
      <c r="M54" s="1"/>
      <c r="N54" s="18"/>
    </row>
    <row r="55" spans="2:14" ht="15" customHeight="1" x14ac:dyDescent="0.25">
      <c r="B55" s="20"/>
      <c r="C55" s="5" t="s">
        <v>215</v>
      </c>
      <c r="D55" s="6" t="s">
        <v>56</v>
      </c>
      <c r="E55" s="11">
        <v>3.0200000000000002E-4</v>
      </c>
      <c r="F55" s="1"/>
      <c r="G55" s="1"/>
      <c r="H55" s="1"/>
      <c r="I55" s="1"/>
      <c r="J55" s="1"/>
      <c r="K55" s="1"/>
      <c r="L55" s="1"/>
      <c r="M55" s="1"/>
      <c r="N55" s="18"/>
    </row>
    <row r="56" spans="2:14" ht="15" customHeight="1" x14ac:dyDescent="0.25">
      <c r="B56" s="20"/>
      <c r="C56" s="5" t="s">
        <v>209</v>
      </c>
      <c r="D56" s="6" t="s">
        <v>56</v>
      </c>
      <c r="E56" s="11">
        <v>3.01E-4</v>
      </c>
      <c r="F56" s="1"/>
      <c r="G56" s="1"/>
      <c r="H56" s="1"/>
      <c r="I56" s="1"/>
      <c r="J56" s="1"/>
      <c r="K56" s="1"/>
      <c r="L56" s="1"/>
      <c r="M56" s="1"/>
      <c r="N56" s="18"/>
    </row>
    <row r="57" spans="2:14" ht="15" customHeight="1" x14ac:dyDescent="0.25">
      <c r="B57" s="20"/>
      <c r="C57" s="5" t="s">
        <v>222</v>
      </c>
      <c r="D57" s="6" t="s">
        <v>56</v>
      </c>
      <c r="E57" s="11">
        <v>1.3999999999999999E-4</v>
      </c>
      <c r="F57" s="1"/>
      <c r="G57" s="1"/>
      <c r="H57" s="1"/>
      <c r="I57" s="1"/>
      <c r="J57" s="1"/>
      <c r="K57" s="1"/>
      <c r="L57" s="1"/>
      <c r="M57" s="1"/>
      <c r="N57" s="18"/>
    </row>
    <row r="58" spans="2:14" ht="15" customHeight="1" x14ac:dyDescent="0.25">
      <c r="B58" s="20"/>
      <c r="C58" s="5" t="s">
        <v>225</v>
      </c>
      <c r="D58" s="6" t="s">
        <v>56</v>
      </c>
      <c r="E58" s="30">
        <v>4.8999999999999998E-5</v>
      </c>
      <c r="F58" s="1"/>
      <c r="G58" s="1"/>
      <c r="H58" s="1"/>
      <c r="I58" s="1"/>
      <c r="J58" s="1"/>
      <c r="K58" s="1"/>
      <c r="L58" s="1"/>
      <c r="M58" s="1"/>
      <c r="N58" s="18"/>
    </row>
    <row r="59" spans="2:14" ht="15" customHeight="1" x14ac:dyDescent="0.25">
      <c r="B59" s="20"/>
      <c r="C59" s="7" t="s">
        <v>62</v>
      </c>
      <c r="D59" s="8"/>
      <c r="E59" s="12">
        <v>4.0226999999999999E-2</v>
      </c>
      <c r="F59" s="1"/>
      <c r="G59" s="1"/>
      <c r="H59" s="1"/>
      <c r="I59" s="1"/>
      <c r="J59" s="1"/>
      <c r="K59" s="1"/>
      <c r="L59" s="1"/>
      <c r="M59" s="1"/>
      <c r="N59" s="18"/>
    </row>
    <row r="60" spans="2:14" ht="15" customHeight="1" x14ac:dyDescent="0.25">
      <c r="B60" s="20"/>
      <c r="C60" s="5" t="s">
        <v>9</v>
      </c>
      <c r="D60" s="6"/>
      <c r="E60" s="11">
        <v>1.1083000000000001E-2</v>
      </c>
      <c r="F60" s="1"/>
      <c r="G60" s="1"/>
      <c r="H60" s="1"/>
      <c r="I60" s="1"/>
      <c r="J60" s="1"/>
      <c r="K60" s="1"/>
      <c r="L60" s="1"/>
      <c r="M60" s="1"/>
      <c r="N60" s="18"/>
    </row>
    <row r="61" spans="2:14" ht="15" customHeight="1" x14ac:dyDescent="0.25">
      <c r="B61" s="20"/>
      <c r="C61" s="7" t="s">
        <v>10</v>
      </c>
      <c r="D61" s="8"/>
      <c r="E61" s="12">
        <v>1.1083000000000001E-2</v>
      </c>
      <c r="F61" s="1"/>
      <c r="G61" s="1"/>
      <c r="H61" s="1"/>
      <c r="I61" s="1"/>
      <c r="J61" s="1"/>
      <c r="K61" s="1"/>
      <c r="L61" s="1"/>
      <c r="M61" s="1"/>
      <c r="N61" s="18"/>
    </row>
    <row r="62" spans="2:14" ht="15" customHeight="1" x14ac:dyDescent="0.25">
      <c r="B62" s="20"/>
      <c r="C62" s="5" t="s">
        <v>37</v>
      </c>
      <c r="D62" s="6" t="s">
        <v>34</v>
      </c>
      <c r="E62" s="11">
        <v>1.1E-4</v>
      </c>
      <c r="F62" s="1"/>
      <c r="G62" s="1"/>
      <c r="H62" s="1"/>
      <c r="I62" s="1"/>
      <c r="J62" s="1"/>
      <c r="K62" s="1"/>
      <c r="L62" s="1"/>
      <c r="M62" s="1"/>
      <c r="N62" s="18"/>
    </row>
    <row r="63" spans="2:14" ht="15" customHeight="1" x14ac:dyDescent="0.25">
      <c r="B63" s="20"/>
      <c r="C63" s="7" t="s">
        <v>66</v>
      </c>
      <c r="D63" s="8"/>
      <c r="E63" s="12">
        <v>1.1E-4</v>
      </c>
      <c r="F63" s="1"/>
      <c r="G63" s="1"/>
      <c r="H63" s="1"/>
      <c r="I63" s="1"/>
      <c r="J63" s="1"/>
      <c r="K63" s="1"/>
      <c r="L63" s="1"/>
      <c r="M63" s="1"/>
      <c r="N63" s="18"/>
    </row>
    <row r="64" spans="2:14" ht="15" customHeight="1" x14ac:dyDescent="0.25">
      <c r="B64" s="20"/>
      <c r="C64" s="5"/>
      <c r="D64" s="6"/>
      <c r="E64" s="11"/>
      <c r="F64" s="1"/>
      <c r="G64" s="1"/>
      <c r="H64" s="1"/>
      <c r="I64" s="1"/>
      <c r="J64" s="1"/>
      <c r="K64" s="1"/>
      <c r="L64" s="1"/>
      <c r="M64" s="1"/>
      <c r="N64" s="18"/>
    </row>
    <row r="65" spans="2:14" ht="15" customHeight="1" x14ac:dyDescent="0.25">
      <c r="B65" s="20"/>
      <c r="C65" s="7" t="s">
        <v>11</v>
      </c>
      <c r="D65" s="8"/>
      <c r="E65" s="12">
        <v>1.9067000000000001E-2</v>
      </c>
      <c r="F65" s="1"/>
      <c r="G65" s="1"/>
      <c r="H65" s="1"/>
      <c r="I65" s="1"/>
      <c r="J65" s="1"/>
      <c r="K65" s="1"/>
      <c r="L65" s="1"/>
      <c r="M65" s="1"/>
      <c r="N65" s="18"/>
    </row>
    <row r="66" spans="2:14" ht="15" customHeight="1" x14ac:dyDescent="0.25">
      <c r="B66" s="20"/>
      <c r="C66" s="5"/>
      <c r="D66" s="6"/>
      <c r="E66" s="11"/>
      <c r="F66" s="1"/>
      <c r="G66" s="1"/>
      <c r="H66" s="1"/>
      <c r="I66" s="1"/>
      <c r="J66" s="1"/>
      <c r="K66" s="1"/>
      <c r="L66" s="1"/>
      <c r="M66" s="1"/>
      <c r="N66" s="18"/>
    </row>
    <row r="67" spans="2:14" ht="15" customHeight="1" x14ac:dyDescent="0.25">
      <c r="B67" s="20"/>
      <c r="C67" s="9" t="s">
        <v>12</v>
      </c>
      <c r="D67" s="10"/>
      <c r="E67" s="13">
        <v>1</v>
      </c>
      <c r="F67" s="1"/>
      <c r="G67" s="1"/>
      <c r="H67" s="1"/>
      <c r="I67" s="1"/>
      <c r="J67" s="1"/>
      <c r="K67" s="1"/>
      <c r="L67" s="1"/>
      <c r="M67" s="1"/>
      <c r="N67" s="18"/>
    </row>
    <row r="68" spans="2:14" ht="15" customHeight="1" thickBot="1" x14ac:dyDescent="0.3">
      <c r="B68" s="21"/>
      <c r="C68" s="22"/>
      <c r="D68" s="22"/>
      <c r="E68" s="22"/>
      <c r="F68" s="22"/>
      <c r="G68" s="22"/>
      <c r="H68" s="22"/>
      <c r="I68" s="22"/>
      <c r="J68" s="22"/>
      <c r="K68" s="22"/>
      <c r="L68" s="22"/>
      <c r="M68" s="22"/>
      <c r="N68" s="23"/>
    </row>
    <row r="69" spans="2:14" ht="15" customHeight="1" thickBot="1" x14ac:dyDescent="0.3"/>
    <row r="70" spans="2:14" ht="113.25" customHeight="1" thickBot="1" x14ac:dyDescent="0.3">
      <c r="B70" s="35" t="s">
        <v>234</v>
      </c>
      <c r="C70" s="36"/>
      <c r="D70" s="36"/>
      <c r="E70" s="36"/>
      <c r="F70" s="36"/>
      <c r="G70" s="36"/>
      <c r="H70" s="36"/>
      <c r="I70" s="36"/>
      <c r="J70" s="36"/>
      <c r="K70" s="36"/>
      <c r="L70" s="36"/>
      <c r="M70" s="36"/>
      <c r="N70" s="37"/>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sheetData>
  <sortState ref="C39:E58">
    <sortCondition descending="1" ref="E38"/>
  </sortState>
  <mergeCells count="6">
    <mergeCell ref="B70:N70"/>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9A497-C4FD-4DF4-958D-20B85DA8F94F}">
  <dimension ref="B1:N5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140</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141</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25</v>
      </c>
      <c r="D8" s="6" t="s">
        <v>23</v>
      </c>
      <c r="E8" s="11">
        <v>0.118687</v>
      </c>
      <c r="F8" s="1"/>
      <c r="G8" s="24" t="s">
        <v>16</v>
      </c>
      <c r="H8" s="29">
        <f>146.938%-E34</f>
        <v>0.95783499999999988</v>
      </c>
      <c r="I8" s="1"/>
      <c r="J8" s="24" t="s">
        <v>13</v>
      </c>
      <c r="K8" s="24" t="s">
        <v>5</v>
      </c>
      <c r="L8" s="1"/>
      <c r="M8" s="1"/>
      <c r="N8" s="18"/>
    </row>
    <row r="9" spans="2:14" ht="15" customHeight="1" x14ac:dyDescent="0.25">
      <c r="B9" s="20"/>
      <c r="C9" s="5" t="s">
        <v>22</v>
      </c>
      <c r="D9" s="6" t="s">
        <v>23</v>
      </c>
      <c r="E9" s="11">
        <v>5.9343E-2</v>
      </c>
      <c r="F9" s="1"/>
      <c r="G9" s="24" t="s">
        <v>134</v>
      </c>
      <c r="H9" s="29">
        <v>4.2123000000000001E-2</v>
      </c>
      <c r="I9" s="1"/>
      <c r="J9" s="24" t="s">
        <v>11</v>
      </c>
      <c r="K9" s="29">
        <v>8.0960000000000008E-3</v>
      </c>
      <c r="L9" s="1"/>
      <c r="M9" s="1"/>
      <c r="N9" s="18"/>
    </row>
    <row r="10" spans="2:14" ht="15.75" customHeight="1" x14ac:dyDescent="0.25">
      <c r="B10" s="20"/>
      <c r="C10" s="7" t="s">
        <v>30</v>
      </c>
      <c r="D10" s="8"/>
      <c r="E10" s="12">
        <v>0.17802999999999999</v>
      </c>
      <c r="F10" s="1"/>
      <c r="G10" s="1"/>
      <c r="H10" s="1"/>
      <c r="I10" s="1"/>
      <c r="J10" s="24" t="s">
        <v>14</v>
      </c>
      <c r="K10" s="29">
        <v>7.1203000000000002E-2</v>
      </c>
      <c r="L10" s="1"/>
      <c r="M10" s="1"/>
      <c r="N10" s="18"/>
    </row>
    <row r="11" spans="2:14" ht="15" customHeight="1" x14ac:dyDescent="0.25">
      <c r="B11" s="20"/>
      <c r="C11" s="5" t="s">
        <v>97</v>
      </c>
      <c r="D11" s="6" t="s">
        <v>23</v>
      </c>
      <c r="E11" s="11">
        <v>8.9802000000000007E-2</v>
      </c>
      <c r="F11" s="1"/>
      <c r="G11" s="1"/>
      <c r="H11" s="1"/>
      <c r="I11" s="1"/>
      <c r="J11" s="24" t="s">
        <v>67</v>
      </c>
      <c r="K11" s="29">
        <v>0.17802999999999999</v>
      </c>
      <c r="L11" s="1"/>
      <c r="M11" s="1"/>
      <c r="N11" s="18"/>
    </row>
    <row r="12" spans="2:14" ht="15.75" customHeight="1" x14ac:dyDescent="0.25">
      <c r="B12" s="20"/>
      <c r="C12" s="7" t="s">
        <v>32</v>
      </c>
      <c r="D12" s="8"/>
      <c r="E12" s="12">
        <v>8.9802000000000007E-2</v>
      </c>
      <c r="F12" s="1"/>
      <c r="G12" s="1"/>
      <c r="H12" s="1"/>
      <c r="I12" s="1"/>
      <c r="J12" s="24" t="s">
        <v>68</v>
      </c>
      <c r="K12" s="29">
        <v>0.37004500000000001</v>
      </c>
      <c r="L12" s="1"/>
      <c r="M12" s="1"/>
      <c r="N12" s="18"/>
    </row>
    <row r="13" spans="2:14" ht="15" customHeight="1" x14ac:dyDescent="0.25">
      <c r="B13" s="20"/>
      <c r="C13" s="5" t="s">
        <v>36</v>
      </c>
      <c r="D13" s="6" t="s">
        <v>34</v>
      </c>
      <c r="E13" s="11">
        <v>9.7078999999999999E-2</v>
      </c>
      <c r="F13" s="1"/>
      <c r="G13" s="1"/>
      <c r="H13" s="1"/>
      <c r="I13" s="1"/>
      <c r="J13" s="24" t="s">
        <v>69</v>
      </c>
      <c r="K13" s="29">
        <v>8.9802000000000007E-2</v>
      </c>
      <c r="L13" s="1"/>
      <c r="M13" s="1"/>
      <c r="N13" s="18"/>
    </row>
    <row r="14" spans="2:14" ht="15" customHeight="1" x14ac:dyDescent="0.25">
      <c r="B14" s="20"/>
      <c r="C14" s="5" t="s">
        <v>33</v>
      </c>
      <c r="D14" s="6" t="s">
        <v>34</v>
      </c>
      <c r="E14" s="11">
        <v>7.8159999999999993E-2</v>
      </c>
      <c r="F14" s="1"/>
      <c r="G14" s="1"/>
      <c r="H14" s="1"/>
      <c r="I14" s="1"/>
      <c r="J14" s="24" t="s">
        <v>70</v>
      </c>
      <c r="K14" s="29">
        <v>8.4247000000000002E-2</v>
      </c>
      <c r="L14" s="1"/>
      <c r="M14" s="1"/>
      <c r="N14" s="18"/>
    </row>
    <row r="15" spans="2:14" ht="15" customHeight="1" x14ac:dyDescent="0.25">
      <c r="B15" s="20"/>
      <c r="C15" s="5" t="s">
        <v>31</v>
      </c>
      <c r="D15" s="6" t="s">
        <v>34</v>
      </c>
      <c r="E15" s="11">
        <v>7.2644E-2</v>
      </c>
      <c r="F15" s="1"/>
      <c r="G15" s="1"/>
      <c r="H15" s="1"/>
      <c r="I15" s="1"/>
      <c r="J15" s="24" t="s">
        <v>71</v>
      </c>
      <c r="K15" s="29">
        <v>0.19853799999999999</v>
      </c>
      <c r="L15" s="1"/>
      <c r="M15" s="1"/>
      <c r="N15" s="18"/>
    </row>
    <row r="16" spans="2:14" ht="15" customHeight="1" x14ac:dyDescent="0.25">
      <c r="B16" s="20"/>
      <c r="C16" s="5" t="s">
        <v>142</v>
      </c>
      <c r="D16" s="6" t="s">
        <v>34</v>
      </c>
      <c r="E16" s="11">
        <v>3.6950999999999998E-2</v>
      </c>
      <c r="F16" s="1"/>
      <c r="G16" s="1"/>
      <c r="H16" s="1"/>
      <c r="I16" s="1"/>
      <c r="J16" s="24"/>
      <c r="K16" s="29"/>
      <c r="L16" s="1"/>
      <c r="M16" s="1"/>
      <c r="N16" s="18"/>
    </row>
    <row r="17" spans="2:14" ht="15" customHeight="1" x14ac:dyDescent="0.25">
      <c r="B17" s="20"/>
      <c r="C17" s="5" t="s">
        <v>126</v>
      </c>
      <c r="D17" s="6" t="s">
        <v>127</v>
      </c>
      <c r="E17" s="11">
        <v>2.9996999999999999E-2</v>
      </c>
      <c r="F17" s="1"/>
      <c r="G17" s="1"/>
      <c r="H17" s="1"/>
      <c r="I17" s="1"/>
      <c r="J17" s="1"/>
      <c r="K17" s="1"/>
      <c r="L17" s="1"/>
      <c r="M17" s="1"/>
      <c r="N17" s="18"/>
    </row>
    <row r="18" spans="2:14" ht="15" customHeight="1" x14ac:dyDescent="0.25">
      <c r="B18" s="20"/>
      <c r="C18" s="5" t="s">
        <v>143</v>
      </c>
      <c r="D18" s="6" t="s">
        <v>34</v>
      </c>
      <c r="E18" s="11">
        <v>2.4844999999999999E-2</v>
      </c>
      <c r="F18" s="1"/>
      <c r="G18" s="1"/>
      <c r="H18" s="1"/>
      <c r="I18" s="1"/>
      <c r="J18" s="1"/>
      <c r="K18" s="1"/>
      <c r="L18" s="1"/>
      <c r="M18" s="1"/>
      <c r="N18" s="18"/>
    </row>
    <row r="19" spans="2:14" ht="15" customHeight="1" x14ac:dyDescent="0.25">
      <c r="B19" s="20"/>
      <c r="C19" s="5" t="s">
        <v>47</v>
      </c>
      <c r="D19" s="6" t="s">
        <v>34</v>
      </c>
      <c r="E19" s="11">
        <v>1.2262E-2</v>
      </c>
      <c r="F19" s="1"/>
      <c r="G19" s="1"/>
      <c r="H19" s="1"/>
      <c r="I19" s="1"/>
      <c r="J19" s="1"/>
      <c r="K19" s="1"/>
      <c r="L19" s="1"/>
      <c r="M19" s="1"/>
      <c r="N19" s="18"/>
    </row>
    <row r="20" spans="2:14" ht="15" customHeight="1" x14ac:dyDescent="0.25">
      <c r="B20" s="20"/>
      <c r="C20" s="5" t="s">
        <v>129</v>
      </c>
      <c r="D20" s="6" t="s">
        <v>127</v>
      </c>
      <c r="E20" s="11">
        <v>1.2126E-2</v>
      </c>
      <c r="F20" s="1"/>
      <c r="G20" s="1"/>
      <c r="H20" s="1"/>
      <c r="I20" s="1"/>
      <c r="J20" s="1"/>
      <c r="K20" s="1"/>
      <c r="L20" s="1"/>
      <c r="M20" s="1"/>
      <c r="N20" s="18"/>
    </row>
    <row r="21" spans="2:14" ht="15" customHeight="1" x14ac:dyDescent="0.25">
      <c r="B21" s="20"/>
      <c r="C21" s="5" t="s">
        <v>38</v>
      </c>
      <c r="D21" s="6" t="s">
        <v>34</v>
      </c>
      <c r="E21" s="11">
        <v>5.9810000000000002E-3</v>
      </c>
      <c r="F21" s="1"/>
      <c r="G21" s="1"/>
      <c r="H21" s="1"/>
      <c r="I21" s="1"/>
      <c r="J21" s="1"/>
      <c r="K21" s="1"/>
      <c r="L21" s="1"/>
      <c r="M21" s="1"/>
      <c r="N21" s="18"/>
    </row>
    <row r="22" spans="2:14" ht="15.75" customHeight="1" x14ac:dyDescent="0.25">
      <c r="B22" s="20"/>
      <c r="C22" s="7" t="s">
        <v>52</v>
      </c>
      <c r="D22" s="8"/>
      <c r="E22" s="12">
        <v>0.37004500000000001</v>
      </c>
      <c r="F22" s="1"/>
      <c r="G22" s="1"/>
      <c r="H22" s="1"/>
      <c r="I22" s="1"/>
      <c r="J22" s="1"/>
      <c r="K22" s="1"/>
      <c r="L22" s="1"/>
      <c r="M22" s="1"/>
      <c r="N22" s="18"/>
    </row>
    <row r="23" spans="2:14" ht="15" customHeight="1" x14ac:dyDescent="0.25">
      <c r="B23" s="20"/>
      <c r="C23" s="5" t="s">
        <v>53</v>
      </c>
      <c r="D23" s="6" t="s">
        <v>23</v>
      </c>
      <c r="E23" s="11">
        <v>8.4247000000000002E-2</v>
      </c>
      <c r="F23" s="1"/>
      <c r="G23" s="1"/>
      <c r="H23" s="1"/>
      <c r="I23" s="1"/>
      <c r="J23" s="1"/>
      <c r="K23" s="1"/>
      <c r="L23" s="1"/>
      <c r="M23" s="1"/>
      <c r="N23" s="18"/>
    </row>
    <row r="24" spans="2:14" ht="15.75" customHeight="1" x14ac:dyDescent="0.25">
      <c r="B24" s="20"/>
      <c r="C24" s="7" t="s">
        <v>54</v>
      </c>
      <c r="D24" s="8"/>
      <c r="E24" s="12">
        <v>8.4247000000000002E-2</v>
      </c>
      <c r="F24" s="1"/>
      <c r="G24" s="43" t="s">
        <v>18</v>
      </c>
      <c r="H24" s="44"/>
      <c r="I24" s="44"/>
      <c r="J24" s="44"/>
      <c r="K24" s="44"/>
      <c r="L24" s="26">
        <v>1.18</v>
      </c>
      <c r="M24" s="27"/>
      <c r="N24" s="28"/>
    </row>
    <row r="25" spans="2:14" ht="15" customHeight="1" x14ac:dyDescent="0.25">
      <c r="B25" s="20"/>
      <c r="C25" s="5" t="s">
        <v>77</v>
      </c>
      <c r="D25" s="6" t="s">
        <v>56</v>
      </c>
      <c r="E25" s="11">
        <v>0.19853799999999999</v>
      </c>
      <c r="F25" s="1"/>
      <c r="G25" s="1"/>
      <c r="H25" s="1"/>
      <c r="I25" s="1"/>
      <c r="J25" s="1"/>
      <c r="K25" s="1"/>
      <c r="L25" s="1"/>
      <c r="M25" s="1"/>
      <c r="N25" s="18"/>
    </row>
    <row r="26" spans="2:14" ht="15.75" customHeight="1" x14ac:dyDescent="0.25">
      <c r="B26" s="20"/>
      <c r="C26" s="7" t="s">
        <v>61</v>
      </c>
      <c r="D26" s="8"/>
      <c r="E26" s="12">
        <v>0.19853799999999999</v>
      </c>
      <c r="F26" s="1"/>
      <c r="G26" s="43" t="s">
        <v>19</v>
      </c>
      <c r="H26" s="44"/>
      <c r="I26" s="44"/>
      <c r="J26" s="44"/>
      <c r="K26" s="44"/>
      <c r="L26" s="44"/>
      <c r="M26" s="44"/>
      <c r="N26" s="45"/>
    </row>
    <row r="27" spans="2:14" ht="15" customHeight="1" x14ac:dyDescent="0.25">
      <c r="B27" s="20"/>
      <c r="C27" s="5" t="s">
        <v>9</v>
      </c>
      <c r="D27" s="6"/>
      <c r="E27" s="11">
        <v>7.1203000000000002E-2</v>
      </c>
      <c r="F27" s="1"/>
      <c r="G27" s="1"/>
      <c r="H27" s="1"/>
      <c r="I27" s="1"/>
      <c r="J27" s="1"/>
      <c r="K27" s="1"/>
      <c r="L27" s="1"/>
      <c r="M27" s="1"/>
      <c r="N27" s="18"/>
    </row>
    <row r="28" spans="2:14" ht="15.75" customHeight="1" x14ac:dyDescent="0.25">
      <c r="B28" s="20"/>
      <c r="C28" s="7" t="s">
        <v>10</v>
      </c>
      <c r="D28" s="8"/>
      <c r="E28" s="12">
        <v>7.1203000000000002E-2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11</v>
      </c>
      <c r="D30" s="8"/>
      <c r="E30" s="12">
        <v>8.0960000000000008E-3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9" t="s">
        <v>12</v>
      </c>
      <c r="D32" s="10"/>
      <c r="E32" s="13">
        <f>E30+E28+E26+E24+E22+E12+E10</f>
        <v>0.9999610000000001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32" t="s">
        <v>144</v>
      </c>
      <c r="D34" s="32"/>
      <c r="E34" s="33">
        <v>0.51154500000000003</v>
      </c>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51" customHeight="1" thickBot="1" x14ac:dyDescent="0.3">
      <c r="B45" s="35" t="s">
        <v>229</v>
      </c>
      <c r="C45" s="36"/>
      <c r="D45" s="36"/>
      <c r="E45" s="36"/>
      <c r="F45" s="36"/>
      <c r="G45" s="36"/>
      <c r="H45" s="36"/>
      <c r="I45" s="36"/>
      <c r="J45" s="36"/>
      <c r="K45" s="36"/>
      <c r="L45" s="36"/>
      <c r="M45" s="36"/>
      <c r="N45" s="37"/>
    </row>
    <row r="46" spans="2:14" ht="15" customHeight="1" thickBot="1" x14ac:dyDescent="0.3"/>
    <row r="47" spans="2:14" ht="111.75" customHeight="1" thickBot="1" x14ac:dyDescent="0.3">
      <c r="B47" s="35" t="s">
        <v>234</v>
      </c>
      <c r="C47" s="36"/>
      <c r="D47" s="36"/>
      <c r="E47" s="36"/>
      <c r="F47" s="36"/>
      <c r="G47" s="36"/>
      <c r="H47" s="36"/>
      <c r="I47" s="36"/>
      <c r="J47" s="36"/>
      <c r="K47" s="36"/>
      <c r="L47" s="36"/>
      <c r="M47" s="36"/>
      <c r="N47" s="37"/>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mergeCells count="7">
    <mergeCell ref="B45:N45"/>
    <mergeCell ref="B47:N47"/>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7F37F-D249-4F8B-8BDA-409AD8E157A7}">
  <dimension ref="B1:N50"/>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123</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124</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232</v>
      </c>
      <c r="D8" s="6" t="s">
        <v>125</v>
      </c>
      <c r="E8" s="11">
        <v>6.6968E-2</v>
      </c>
      <c r="F8" s="1"/>
      <c r="G8" s="24" t="s">
        <v>16</v>
      </c>
      <c r="H8" s="29">
        <f>81.2153%-E8</f>
        <v>0.74518499999999999</v>
      </c>
      <c r="I8" s="1"/>
      <c r="J8" s="24" t="s">
        <v>13</v>
      </c>
      <c r="K8" s="24" t="s">
        <v>5</v>
      </c>
      <c r="L8" s="1"/>
      <c r="M8" s="1"/>
      <c r="N8" s="18"/>
    </row>
    <row r="9" spans="2:14" ht="15" customHeight="1" x14ac:dyDescent="0.25">
      <c r="B9" s="20"/>
      <c r="C9" s="5" t="s">
        <v>126</v>
      </c>
      <c r="D9" s="6" t="s">
        <v>127</v>
      </c>
      <c r="E9" s="11">
        <v>6.6614999999999994E-2</v>
      </c>
      <c r="F9" s="1"/>
      <c r="G9" s="24" t="s">
        <v>134</v>
      </c>
      <c r="H9" s="29">
        <v>0.147423</v>
      </c>
      <c r="I9" s="1"/>
      <c r="J9" s="24" t="s">
        <v>11</v>
      </c>
      <c r="K9" s="29">
        <v>2.1877000000000001E-2</v>
      </c>
      <c r="L9" s="1"/>
      <c r="M9" s="1"/>
      <c r="N9" s="18"/>
    </row>
    <row r="10" spans="2:14" ht="15" customHeight="1" x14ac:dyDescent="0.25">
      <c r="B10" s="20"/>
      <c r="C10" s="5" t="s">
        <v>128</v>
      </c>
      <c r="D10" s="6" t="s">
        <v>34</v>
      </c>
      <c r="E10" s="11">
        <v>6.5592999999999999E-2</v>
      </c>
      <c r="F10" s="1"/>
      <c r="G10" s="24" t="s">
        <v>135</v>
      </c>
      <c r="H10" s="29">
        <v>3.3555000000000001E-2</v>
      </c>
      <c r="I10" s="1"/>
      <c r="J10" s="24" t="s">
        <v>14</v>
      </c>
      <c r="K10" s="29">
        <v>0.28878999999999999</v>
      </c>
      <c r="L10" s="1"/>
      <c r="M10" s="1"/>
      <c r="N10" s="18"/>
    </row>
    <row r="11" spans="2:14" ht="15" customHeight="1" x14ac:dyDescent="0.25">
      <c r="B11" s="20"/>
      <c r="C11" s="5" t="s">
        <v>44</v>
      </c>
      <c r="D11" s="6" t="s">
        <v>34</v>
      </c>
      <c r="E11" s="11">
        <v>6.5346000000000001E-2</v>
      </c>
      <c r="F11" s="1"/>
      <c r="G11" s="24" t="s">
        <v>136</v>
      </c>
      <c r="H11" s="29">
        <f>0.6869%+E8</f>
        <v>7.3837E-2</v>
      </c>
      <c r="I11" s="1"/>
      <c r="J11" s="24" t="s">
        <v>68</v>
      </c>
      <c r="K11" s="29">
        <v>0.46956399999999998</v>
      </c>
      <c r="L11" s="1"/>
      <c r="M11" s="1"/>
      <c r="N11" s="18"/>
    </row>
    <row r="12" spans="2:14" ht="15" customHeight="1" x14ac:dyDescent="0.25">
      <c r="B12" s="20"/>
      <c r="C12" s="5" t="s">
        <v>41</v>
      </c>
      <c r="D12" s="6" t="s">
        <v>34</v>
      </c>
      <c r="E12" s="11">
        <v>6.2774999999999997E-2</v>
      </c>
      <c r="F12" s="1"/>
      <c r="G12" s="1"/>
      <c r="H12" s="1"/>
      <c r="I12" s="1"/>
      <c r="J12" s="24" t="s">
        <v>71</v>
      </c>
      <c r="K12" s="29">
        <v>0.14674400000000001</v>
      </c>
      <c r="L12" s="1"/>
      <c r="M12" s="1"/>
      <c r="N12" s="18"/>
    </row>
    <row r="13" spans="2:14" ht="15" customHeight="1" x14ac:dyDescent="0.25">
      <c r="B13" s="20"/>
      <c r="C13" s="5" t="s">
        <v>129</v>
      </c>
      <c r="D13" s="6" t="s">
        <v>127</v>
      </c>
      <c r="E13" s="11">
        <v>5.3856000000000001E-2</v>
      </c>
      <c r="F13" s="1"/>
      <c r="G13" s="1"/>
      <c r="H13" s="1"/>
      <c r="I13" s="1"/>
      <c r="J13" s="24" t="s">
        <v>89</v>
      </c>
      <c r="K13" s="29">
        <v>7.3025000000000007E-2</v>
      </c>
      <c r="L13" s="1"/>
      <c r="M13" s="1"/>
      <c r="N13" s="18"/>
    </row>
    <row r="14" spans="2:14" ht="15" customHeight="1" x14ac:dyDescent="0.25">
      <c r="B14" s="20"/>
      <c r="C14" s="5" t="s">
        <v>130</v>
      </c>
      <c r="D14" s="6" t="s">
        <v>131</v>
      </c>
      <c r="E14" s="11">
        <v>3.3555000000000001E-2</v>
      </c>
      <c r="F14" s="1"/>
      <c r="G14" s="1"/>
      <c r="H14" s="1"/>
      <c r="I14" s="1"/>
      <c r="J14" s="1"/>
      <c r="K14" s="1"/>
      <c r="L14" s="1"/>
      <c r="M14" s="1"/>
      <c r="N14" s="18"/>
    </row>
    <row r="15" spans="2:14" ht="15" customHeight="1" x14ac:dyDescent="0.25">
      <c r="B15" s="20"/>
      <c r="C15" s="5" t="s">
        <v>233</v>
      </c>
      <c r="D15" s="6" t="s">
        <v>127</v>
      </c>
      <c r="E15" s="11">
        <v>2.6952E-2</v>
      </c>
      <c r="F15" s="1"/>
      <c r="G15" s="1"/>
      <c r="H15" s="1"/>
      <c r="I15" s="1"/>
      <c r="J15" s="1"/>
      <c r="K15" s="1"/>
      <c r="L15" s="1"/>
      <c r="M15" s="1"/>
      <c r="N15" s="18"/>
    </row>
    <row r="16" spans="2:14" ht="15" customHeight="1" x14ac:dyDescent="0.25">
      <c r="B16" s="20"/>
      <c r="C16" s="5" t="s">
        <v>35</v>
      </c>
      <c r="D16" s="6" t="s">
        <v>34</v>
      </c>
      <c r="E16" s="11">
        <v>1.404E-2</v>
      </c>
      <c r="F16" s="1"/>
      <c r="G16" s="1"/>
      <c r="H16" s="1"/>
      <c r="I16" s="1"/>
      <c r="J16" s="1"/>
      <c r="K16" s="1"/>
      <c r="L16" s="1"/>
      <c r="M16" s="1"/>
      <c r="N16" s="18"/>
    </row>
    <row r="17" spans="2:14" ht="15" customHeight="1" x14ac:dyDescent="0.25">
      <c r="B17" s="20"/>
      <c r="C17" s="5" t="s">
        <v>31</v>
      </c>
      <c r="D17" s="6" t="s">
        <v>34</v>
      </c>
      <c r="E17" s="11">
        <v>6.9950000000000003E-3</v>
      </c>
      <c r="F17" s="1"/>
      <c r="G17" s="1"/>
      <c r="H17" s="1"/>
      <c r="I17" s="1"/>
      <c r="J17" s="1"/>
      <c r="K17" s="1"/>
      <c r="L17" s="1"/>
      <c r="M17" s="1"/>
      <c r="N17" s="18"/>
    </row>
    <row r="18" spans="2:14" ht="15" customHeight="1" x14ac:dyDescent="0.25">
      <c r="B18" s="20"/>
      <c r="C18" s="5" t="s">
        <v>132</v>
      </c>
      <c r="D18" s="6" t="s">
        <v>133</v>
      </c>
      <c r="E18" s="11">
        <v>6.8690000000000001E-3</v>
      </c>
      <c r="F18" s="1"/>
      <c r="G18" s="1"/>
      <c r="H18" s="1"/>
      <c r="I18" s="1"/>
      <c r="J18" s="1"/>
      <c r="K18" s="1"/>
      <c r="L18" s="1"/>
      <c r="M18" s="1"/>
      <c r="N18" s="18"/>
    </row>
    <row r="19" spans="2:14" ht="15.75" customHeight="1" x14ac:dyDescent="0.25">
      <c r="B19" s="20"/>
      <c r="C19" s="7" t="s">
        <v>52</v>
      </c>
      <c r="D19" s="8"/>
      <c r="E19" s="12">
        <v>0.46956399999999998</v>
      </c>
      <c r="F19" s="1"/>
      <c r="G19" s="1"/>
      <c r="H19" s="1"/>
      <c r="I19" s="1"/>
      <c r="J19" s="1"/>
      <c r="K19" s="1"/>
      <c r="L19" s="1"/>
      <c r="M19" s="1"/>
      <c r="N19" s="18"/>
    </row>
    <row r="20" spans="2:14" ht="15" customHeight="1" x14ac:dyDescent="0.25">
      <c r="B20" s="20"/>
      <c r="C20" s="5" t="s">
        <v>85</v>
      </c>
      <c r="D20" s="6" t="s">
        <v>56</v>
      </c>
      <c r="E20" s="11">
        <v>0.13375400000000001</v>
      </c>
      <c r="F20" s="1"/>
      <c r="G20" s="1"/>
      <c r="H20" s="1"/>
      <c r="I20" s="1"/>
      <c r="J20" s="1"/>
      <c r="K20" s="1"/>
      <c r="L20" s="1"/>
      <c r="M20" s="1"/>
      <c r="N20" s="18"/>
    </row>
    <row r="21" spans="2:14" ht="15" customHeight="1" x14ac:dyDescent="0.25">
      <c r="B21" s="20"/>
      <c r="C21" s="5" t="s">
        <v>121</v>
      </c>
      <c r="D21" s="6" t="s">
        <v>56</v>
      </c>
      <c r="E21" s="11">
        <v>1.299E-2</v>
      </c>
      <c r="F21" s="1"/>
      <c r="G21" s="1"/>
      <c r="H21" s="1"/>
      <c r="I21" s="1"/>
      <c r="J21" s="1"/>
      <c r="K21" s="1"/>
      <c r="L21" s="1"/>
      <c r="M21" s="1"/>
      <c r="N21" s="18"/>
    </row>
    <row r="22" spans="2:14" ht="15.75" customHeight="1" x14ac:dyDescent="0.25">
      <c r="B22" s="20"/>
      <c r="C22" s="7" t="s">
        <v>61</v>
      </c>
      <c r="D22" s="8"/>
      <c r="E22" s="12">
        <v>0.14674400000000001</v>
      </c>
      <c r="F22" s="1"/>
      <c r="G22" s="1"/>
      <c r="H22" s="1"/>
      <c r="I22" s="1"/>
      <c r="J22" s="1"/>
      <c r="K22" s="1"/>
      <c r="L22" s="1"/>
      <c r="M22" s="1"/>
      <c r="N22" s="18"/>
    </row>
    <row r="23" spans="2:14" ht="15" customHeight="1" x14ac:dyDescent="0.25">
      <c r="B23" s="20"/>
      <c r="C23" s="5" t="s">
        <v>227</v>
      </c>
      <c r="D23" s="6" t="s">
        <v>87</v>
      </c>
      <c r="E23" s="11">
        <v>7.3025000000000007E-2</v>
      </c>
      <c r="F23" s="1"/>
      <c r="G23" s="1"/>
      <c r="H23" s="1"/>
      <c r="I23" s="1"/>
      <c r="J23" s="1"/>
      <c r="K23" s="1"/>
      <c r="L23" s="1"/>
      <c r="M23" s="1"/>
      <c r="N23" s="18"/>
    </row>
    <row r="24" spans="2:14" ht="15.75" customHeight="1" x14ac:dyDescent="0.25">
      <c r="B24" s="20"/>
      <c r="C24" s="7" t="s">
        <v>88</v>
      </c>
      <c r="D24" s="8"/>
      <c r="E24" s="12">
        <v>7.3025000000000007E-2</v>
      </c>
      <c r="F24" s="1"/>
      <c r="G24" s="43" t="s">
        <v>18</v>
      </c>
      <c r="H24" s="44"/>
      <c r="I24" s="44"/>
      <c r="J24" s="44"/>
      <c r="K24" s="44"/>
      <c r="L24" s="26">
        <v>2.92</v>
      </c>
      <c r="M24" s="27"/>
      <c r="N24" s="28"/>
    </row>
    <row r="25" spans="2:14" ht="15" customHeight="1" x14ac:dyDescent="0.25">
      <c r="B25" s="20"/>
      <c r="C25" s="5" t="s">
        <v>9</v>
      </c>
      <c r="D25" s="6"/>
      <c r="E25" s="11">
        <v>0.28878999999999999</v>
      </c>
      <c r="F25" s="1"/>
      <c r="G25" s="1"/>
      <c r="H25" s="1"/>
      <c r="I25" s="1"/>
      <c r="J25" s="1"/>
      <c r="K25" s="1"/>
      <c r="L25" s="1"/>
      <c r="M25" s="1"/>
      <c r="N25" s="18"/>
    </row>
    <row r="26" spans="2:14" ht="15.75" customHeight="1" x14ac:dyDescent="0.25">
      <c r="B26" s="20"/>
      <c r="C26" s="7" t="s">
        <v>10</v>
      </c>
      <c r="D26" s="8"/>
      <c r="E26" s="12">
        <v>0.28878999999999999</v>
      </c>
      <c r="F26" s="1"/>
      <c r="G26" s="43" t="s">
        <v>19</v>
      </c>
      <c r="H26" s="44"/>
      <c r="I26" s="44"/>
      <c r="J26" s="44"/>
      <c r="K26" s="44"/>
      <c r="L26" s="44"/>
      <c r="M26" s="44"/>
      <c r="N26" s="45"/>
    </row>
    <row r="27" spans="2:14" ht="15" customHeight="1" x14ac:dyDescent="0.25">
      <c r="B27" s="20"/>
      <c r="C27" s="5"/>
      <c r="D27" s="6"/>
      <c r="E27" s="11"/>
      <c r="F27" s="1"/>
      <c r="G27" s="1"/>
      <c r="H27" s="1"/>
      <c r="I27" s="1"/>
      <c r="J27" s="1"/>
      <c r="K27" s="1"/>
      <c r="L27" s="1"/>
      <c r="M27" s="1"/>
      <c r="N27" s="18"/>
    </row>
    <row r="28" spans="2:14" ht="15.75" customHeight="1" x14ac:dyDescent="0.25">
      <c r="B28" s="20"/>
      <c r="C28" s="7" t="s">
        <v>11</v>
      </c>
      <c r="D28" s="8"/>
      <c r="E28" s="12">
        <v>2.1877000000000001E-2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9" t="s">
        <v>12</v>
      </c>
      <c r="D30" s="10"/>
      <c r="E30" s="13">
        <v>1</v>
      </c>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t="s">
        <v>230</v>
      </c>
      <c r="D32" s="1"/>
      <c r="E32" s="1"/>
      <c r="F32" s="1"/>
      <c r="G32" s="1"/>
      <c r="H32" s="1"/>
      <c r="I32" s="1"/>
      <c r="J32" s="1"/>
      <c r="K32" s="1"/>
      <c r="L32" s="1"/>
      <c r="M32" s="1"/>
      <c r="N32" s="18"/>
    </row>
    <row r="33" spans="2:14" ht="15" customHeight="1" x14ac:dyDescent="0.25">
      <c r="B33" s="20"/>
      <c r="C33" s="1" t="s">
        <v>228</v>
      </c>
      <c r="D33" s="1"/>
      <c r="E33" s="1"/>
      <c r="F33" s="1"/>
      <c r="G33" s="1"/>
      <c r="H33" s="1"/>
      <c r="I33" s="1"/>
      <c r="J33" s="1"/>
      <c r="K33" s="1"/>
      <c r="L33" s="1"/>
      <c r="M33" s="1"/>
      <c r="N33" s="18"/>
    </row>
    <row r="34" spans="2:14" ht="15" customHeight="1" x14ac:dyDescent="0.25">
      <c r="B34" s="20"/>
      <c r="C34" s="34" t="s">
        <v>231</v>
      </c>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6.5" customHeight="1" thickBot="1" x14ac:dyDescent="0.3">
      <c r="B45" s="35" t="s">
        <v>234</v>
      </c>
      <c r="C45" s="36"/>
      <c r="D45" s="36"/>
      <c r="E45" s="36"/>
      <c r="F45" s="36"/>
      <c r="G45" s="36"/>
      <c r="H45" s="36"/>
      <c r="I45" s="36"/>
      <c r="J45" s="36"/>
      <c r="K45" s="36"/>
      <c r="L45" s="36"/>
      <c r="M45" s="36"/>
      <c r="N45" s="37"/>
    </row>
    <row r="46" spans="2:14" ht="15" customHeight="1" x14ac:dyDescent="0.25"/>
    <row r="47" spans="2:14" ht="15" customHeight="1" x14ac:dyDescent="0.25"/>
    <row r="48" spans="2:14" ht="15" customHeight="1" x14ac:dyDescent="0.25"/>
    <row r="49" ht="15" customHeight="1" x14ac:dyDescent="0.25"/>
    <row r="50"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60343-5606-4EC6-9E20-1C712D0AA902}">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152</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153</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77</v>
      </c>
      <c r="D8" s="6" t="s">
        <v>56</v>
      </c>
      <c r="E8" s="11">
        <v>0.90421200000000002</v>
      </c>
      <c r="F8" s="1"/>
      <c r="G8" s="24" t="s">
        <v>16</v>
      </c>
      <c r="H8" s="25">
        <v>1</v>
      </c>
      <c r="I8" s="1"/>
      <c r="J8" s="24" t="s">
        <v>13</v>
      </c>
      <c r="K8" s="24" t="s">
        <v>5</v>
      </c>
      <c r="L8" s="1"/>
      <c r="M8" s="1"/>
      <c r="N8" s="18"/>
    </row>
    <row r="9" spans="2:14" ht="15" customHeight="1" x14ac:dyDescent="0.25">
      <c r="B9" s="20"/>
      <c r="C9" s="5" t="s">
        <v>79</v>
      </c>
      <c r="D9" s="6" t="s">
        <v>56</v>
      </c>
      <c r="E9" s="11">
        <v>7.3038000000000006E-2</v>
      </c>
      <c r="F9" s="1"/>
      <c r="G9" s="1"/>
      <c r="H9" s="1"/>
      <c r="I9" s="1"/>
      <c r="J9" s="24" t="s">
        <v>11</v>
      </c>
      <c r="K9" s="29">
        <v>7.6629999999999997E-3</v>
      </c>
      <c r="L9" s="1"/>
      <c r="M9" s="1"/>
      <c r="N9" s="18"/>
    </row>
    <row r="10" spans="2:14" ht="15" customHeight="1" x14ac:dyDescent="0.25">
      <c r="B10" s="20"/>
      <c r="C10" s="5" t="s">
        <v>80</v>
      </c>
      <c r="D10" s="6" t="s">
        <v>56</v>
      </c>
      <c r="E10" s="11">
        <v>1.4158E-2</v>
      </c>
      <c r="F10" s="1"/>
      <c r="G10" s="1"/>
      <c r="H10" s="1"/>
      <c r="I10" s="1"/>
      <c r="J10" s="24" t="s">
        <v>14</v>
      </c>
      <c r="K10" s="29">
        <v>8.8400000000000002E-4</v>
      </c>
      <c r="L10" s="1"/>
      <c r="M10" s="1"/>
      <c r="N10" s="18"/>
    </row>
    <row r="11" spans="2:14" ht="15" customHeight="1" x14ac:dyDescent="0.25">
      <c r="B11" s="20"/>
      <c r="C11" s="5" t="s">
        <v>85</v>
      </c>
      <c r="D11" s="6" t="s">
        <v>56</v>
      </c>
      <c r="E11" s="30">
        <v>4.5000000000000003E-5</v>
      </c>
      <c r="F11" s="1"/>
      <c r="G11" s="1"/>
      <c r="H11" s="1"/>
      <c r="I11" s="1"/>
      <c r="J11" s="24" t="s">
        <v>71</v>
      </c>
      <c r="K11" s="29">
        <v>0.99145300000000003</v>
      </c>
      <c r="L11" s="1"/>
      <c r="M11" s="1"/>
      <c r="N11" s="18"/>
    </row>
    <row r="12" spans="2:14" ht="15.75" customHeight="1" x14ac:dyDescent="0.25">
      <c r="B12" s="20"/>
      <c r="C12" s="7" t="s">
        <v>61</v>
      </c>
      <c r="D12" s="8"/>
      <c r="E12" s="12">
        <v>0.99145300000000003</v>
      </c>
      <c r="F12" s="1"/>
      <c r="G12" s="1"/>
      <c r="H12" s="1"/>
      <c r="I12" s="1"/>
      <c r="J12" s="1"/>
      <c r="K12" s="1"/>
      <c r="L12" s="1"/>
      <c r="M12" s="1"/>
      <c r="N12" s="18"/>
    </row>
    <row r="13" spans="2:14" ht="15" customHeight="1" x14ac:dyDescent="0.25">
      <c r="B13" s="20"/>
      <c r="C13" s="5" t="s">
        <v>9</v>
      </c>
      <c r="D13" s="6"/>
      <c r="E13" s="11">
        <v>8.8400000000000002E-4</v>
      </c>
      <c r="F13" s="1"/>
      <c r="G13" s="1"/>
      <c r="H13" s="1"/>
      <c r="I13" s="1"/>
      <c r="J13" s="1"/>
      <c r="K13" s="1"/>
      <c r="L13" s="1"/>
      <c r="M13" s="1"/>
      <c r="N13" s="18"/>
    </row>
    <row r="14" spans="2:14" ht="15.75" customHeight="1" x14ac:dyDescent="0.25">
      <c r="B14" s="20"/>
      <c r="C14" s="7" t="s">
        <v>10</v>
      </c>
      <c r="D14" s="8"/>
      <c r="E14" s="12">
        <v>8.8400000000000002E-4</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7.6629999999999997E-3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18</v>
      </c>
      <c r="H24" s="44"/>
      <c r="I24" s="44"/>
      <c r="J24" s="44"/>
      <c r="K24" s="44"/>
      <c r="L24" s="26">
        <v>3.99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19</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1.5" customHeight="1" thickBot="1" x14ac:dyDescent="0.3">
      <c r="B45" s="35" t="s">
        <v>234</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2C6B0-F51B-4D6C-A612-50EBFAA9E7EC}">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154</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155</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156</v>
      </c>
      <c r="D8" s="6" t="s">
        <v>56</v>
      </c>
      <c r="E8" s="11">
        <v>0.91616900000000001</v>
      </c>
      <c r="F8" s="1"/>
      <c r="G8" s="24" t="s">
        <v>16</v>
      </c>
      <c r="H8" s="25">
        <v>1</v>
      </c>
      <c r="I8" s="1"/>
      <c r="J8" s="24" t="s">
        <v>13</v>
      </c>
      <c r="K8" s="24" t="s">
        <v>5</v>
      </c>
      <c r="L8" s="1"/>
      <c r="M8" s="1"/>
      <c r="N8" s="18"/>
    </row>
    <row r="9" spans="2:14" ht="15" customHeight="1" x14ac:dyDescent="0.25">
      <c r="B9" s="20"/>
      <c r="C9" s="5" t="s">
        <v>86</v>
      </c>
      <c r="D9" s="6" t="s">
        <v>56</v>
      </c>
      <c r="E9" s="11">
        <v>3.5382999999999998E-2</v>
      </c>
      <c r="F9" s="1"/>
      <c r="G9" s="1"/>
      <c r="H9" s="1"/>
      <c r="I9" s="1"/>
      <c r="J9" s="24" t="s">
        <v>11</v>
      </c>
      <c r="K9" s="29">
        <v>1.9283999999999999E-2</v>
      </c>
      <c r="L9" s="1"/>
      <c r="M9" s="1"/>
      <c r="N9" s="18"/>
    </row>
    <row r="10" spans="2:14" ht="15" customHeight="1" x14ac:dyDescent="0.25">
      <c r="B10" s="20"/>
      <c r="C10" s="5" t="s">
        <v>85</v>
      </c>
      <c r="D10" s="6" t="s">
        <v>56</v>
      </c>
      <c r="E10" s="11">
        <v>8.2950000000000003E-3</v>
      </c>
      <c r="F10" s="1"/>
      <c r="G10" s="1"/>
      <c r="H10" s="1"/>
      <c r="I10" s="1"/>
      <c r="J10" s="24" t="s">
        <v>14</v>
      </c>
      <c r="K10" s="29">
        <v>1.3794000000000001E-2</v>
      </c>
      <c r="L10" s="1"/>
      <c r="M10" s="1"/>
      <c r="N10" s="18"/>
    </row>
    <row r="11" spans="2:14" ht="15" customHeight="1" x14ac:dyDescent="0.25">
      <c r="B11" s="20"/>
      <c r="C11" s="5" t="s">
        <v>81</v>
      </c>
      <c r="D11" s="6" t="s">
        <v>56</v>
      </c>
      <c r="E11" s="11">
        <v>7.0749999999999997E-3</v>
      </c>
      <c r="F11" s="1"/>
      <c r="G11" s="1"/>
      <c r="H11" s="1"/>
      <c r="I11" s="1"/>
      <c r="J11" s="24" t="s">
        <v>71</v>
      </c>
      <c r="K11" s="29">
        <v>0.96692199999999995</v>
      </c>
      <c r="L11" s="1"/>
      <c r="M11" s="1"/>
      <c r="N11" s="18"/>
    </row>
    <row r="12" spans="2:14" ht="15.75" customHeight="1" x14ac:dyDescent="0.25">
      <c r="B12" s="20"/>
      <c r="C12" s="7" t="s">
        <v>61</v>
      </c>
      <c r="D12" s="8"/>
      <c r="E12" s="12">
        <v>0.96692199999999995</v>
      </c>
      <c r="F12" s="1"/>
      <c r="G12" s="1"/>
      <c r="H12" s="1"/>
      <c r="I12" s="1"/>
      <c r="J12" s="1"/>
      <c r="K12" s="1"/>
      <c r="L12" s="1"/>
      <c r="M12" s="1"/>
      <c r="N12" s="18"/>
    </row>
    <row r="13" spans="2:14" ht="15" customHeight="1" x14ac:dyDescent="0.25">
      <c r="B13" s="20"/>
      <c r="C13" s="5" t="s">
        <v>9</v>
      </c>
      <c r="D13" s="6"/>
      <c r="E13" s="11">
        <v>1.3794000000000001E-2</v>
      </c>
      <c r="F13" s="1"/>
      <c r="G13" s="1"/>
      <c r="H13" s="1"/>
      <c r="I13" s="1"/>
      <c r="J13" s="1"/>
      <c r="K13" s="1"/>
      <c r="L13" s="1"/>
      <c r="M13" s="1"/>
      <c r="N13" s="18"/>
    </row>
    <row r="14" spans="2:14" ht="15.75" customHeight="1" x14ac:dyDescent="0.25">
      <c r="B14" s="20"/>
      <c r="C14" s="7" t="s">
        <v>10</v>
      </c>
      <c r="D14" s="8"/>
      <c r="E14" s="12">
        <v>1.3794000000000001E-2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1.9283999999999999E-2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18</v>
      </c>
      <c r="H24" s="44"/>
      <c r="I24" s="44"/>
      <c r="J24" s="44"/>
      <c r="K24" s="44"/>
      <c r="L24" s="26">
        <v>9.34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19</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2.5" customHeight="1" thickBot="1" x14ac:dyDescent="0.3">
      <c r="B45" s="35" t="s">
        <v>234</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43185-48CF-4AFA-BD04-DCA366B5CD81}">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145</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146</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81</v>
      </c>
      <c r="D8" s="6" t="s">
        <v>56</v>
      </c>
      <c r="E8" s="11">
        <v>0.60374700000000003</v>
      </c>
      <c r="F8" s="1"/>
      <c r="G8" s="24" t="s">
        <v>16</v>
      </c>
      <c r="H8" s="25">
        <v>1</v>
      </c>
      <c r="I8" s="1"/>
      <c r="J8" s="24" t="s">
        <v>13</v>
      </c>
      <c r="K8" s="24" t="s">
        <v>5</v>
      </c>
      <c r="L8" s="1"/>
      <c r="M8" s="1"/>
      <c r="N8" s="18"/>
    </row>
    <row r="9" spans="2:14" ht="15" customHeight="1" x14ac:dyDescent="0.25">
      <c r="B9" s="20"/>
      <c r="C9" s="5" t="s">
        <v>86</v>
      </c>
      <c r="D9" s="6" t="s">
        <v>56</v>
      </c>
      <c r="E9" s="11">
        <v>0.35027200000000003</v>
      </c>
      <c r="F9" s="1"/>
      <c r="G9" s="1"/>
      <c r="H9" s="1"/>
      <c r="I9" s="1"/>
      <c r="J9" s="24" t="s">
        <v>11</v>
      </c>
      <c r="K9" s="29">
        <f>E18</f>
        <v>2.7889999999999998E-3</v>
      </c>
      <c r="L9" s="1"/>
      <c r="M9" s="1"/>
      <c r="N9" s="18"/>
    </row>
    <row r="10" spans="2:14" ht="15.75" customHeight="1" x14ac:dyDescent="0.25">
      <c r="B10" s="20"/>
      <c r="C10" s="7" t="s">
        <v>61</v>
      </c>
      <c r="D10" s="8"/>
      <c r="E10" s="12">
        <v>0.95401899999999995</v>
      </c>
      <c r="F10" s="1"/>
      <c r="G10" s="1"/>
      <c r="H10" s="1"/>
      <c r="I10" s="1"/>
      <c r="J10" s="24" t="s">
        <v>14</v>
      </c>
      <c r="K10" s="29">
        <f>E16</f>
        <v>2.6800999999999998E-2</v>
      </c>
      <c r="L10" s="1"/>
      <c r="M10" s="1"/>
      <c r="N10" s="18"/>
    </row>
    <row r="11" spans="2:14" ht="15" customHeight="1" x14ac:dyDescent="0.25">
      <c r="B11" s="20"/>
      <c r="C11" s="5" t="s">
        <v>147</v>
      </c>
      <c r="D11" s="6" t="s">
        <v>56</v>
      </c>
      <c r="E11" s="11">
        <v>5.4850000000000003E-3</v>
      </c>
      <c r="F11" s="1"/>
      <c r="G11" s="1"/>
      <c r="H11" s="1"/>
      <c r="I11" s="1"/>
      <c r="J11" s="24" t="s">
        <v>71</v>
      </c>
      <c r="K11" s="29">
        <f>E10</f>
        <v>0.95401899999999995</v>
      </c>
      <c r="L11" s="1"/>
      <c r="M11" s="1"/>
      <c r="N11" s="18"/>
    </row>
    <row r="12" spans="2:14" ht="15" customHeight="1" x14ac:dyDescent="0.25">
      <c r="B12" s="20"/>
      <c r="C12" s="5" t="s">
        <v>148</v>
      </c>
      <c r="D12" s="6" t="s">
        <v>56</v>
      </c>
      <c r="E12" s="11">
        <v>5.4739999999999997E-3</v>
      </c>
      <c r="F12" s="1"/>
      <c r="G12" s="1"/>
      <c r="H12" s="1"/>
      <c r="I12" s="1"/>
      <c r="J12" s="24" t="s">
        <v>73</v>
      </c>
      <c r="K12" s="29">
        <f>E14</f>
        <v>1.6390999999999999E-2</v>
      </c>
      <c r="L12" s="1"/>
      <c r="M12" s="1"/>
      <c r="N12" s="18"/>
    </row>
    <row r="13" spans="2:14" ht="15" customHeight="1" x14ac:dyDescent="0.25">
      <c r="B13" s="20"/>
      <c r="C13" s="5" t="s">
        <v>149</v>
      </c>
      <c r="D13" s="6" t="s">
        <v>56</v>
      </c>
      <c r="E13" s="11">
        <v>5.4320000000000002E-3</v>
      </c>
      <c r="F13" s="1"/>
      <c r="G13" s="1"/>
      <c r="H13" s="1"/>
      <c r="I13" s="1"/>
      <c r="J13" s="1"/>
      <c r="K13" s="1"/>
      <c r="L13" s="1"/>
      <c r="M13" s="1"/>
      <c r="N13" s="18"/>
    </row>
    <row r="14" spans="2:14" ht="15.75" customHeight="1" x14ac:dyDescent="0.25">
      <c r="B14" s="20"/>
      <c r="C14" s="7" t="s">
        <v>65</v>
      </c>
      <c r="D14" s="8"/>
      <c r="E14" s="12">
        <v>1.6390999999999999E-2</v>
      </c>
      <c r="F14" s="1"/>
      <c r="G14" s="1"/>
      <c r="H14" s="1"/>
      <c r="I14" s="1"/>
      <c r="J14" s="1"/>
      <c r="K14" s="1"/>
      <c r="L14" s="1"/>
      <c r="M14" s="1"/>
      <c r="N14" s="18"/>
    </row>
    <row r="15" spans="2:14" ht="15" customHeight="1" x14ac:dyDescent="0.25">
      <c r="B15" s="20"/>
      <c r="C15" s="5" t="s">
        <v>9</v>
      </c>
      <c r="D15" s="6"/>
      <c r="E15" s="11">
        <v>2.6800999999999998E-2</v>
      </c>
      <c r="F15" s="1"/>
      <c r="G15" s="1"/>
      <c r="H15" s="1"/>
      <c r="I15" s="1"/>
      <c r="J15" s="1"/>
      <c r="K15" s="1"/>
      <c r="L15" s="1"/>
      <c r="M15" s="1"/>
      <c r="N15" s="18"/>
    </row>
    <row r="16" spans="2:14" ht="15.75" customHeight="1" x14ac:dyDescent="0.25">
      <c r="B16" s="20"/>
      <c r="C16" s="7" t="s">
        <v>10</v>
      </c>
      <c r="D16" s="8"/>
      <c r="E16" s="12">
        <v>2.6800999999999998E-2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2.7889999999999998E-3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18</v>
      </c>
      <c r="H24" s="44"/>
      <c r="I24" s="44"/>
      <c r="J24" s="44"/>
      <c r="K24" s="44"/>
      <c r="L24" s="26">
        <v>4.8499999999999996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19</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35" t="s">
        <v>234</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47B05-0376-41C8-8BDE-47DC563DCF41}">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150</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151</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85</v>
      </c>
      <c r="D8" s="6" t="s">
        <v>56</v>
      </c>
      <c r="E8" s="11">
        <v>0.69657199999999997</v>
      </c>
      <c r="F8" s="1"/>
      <c r="G8" s="24" t="s">
        <v>16</v>
      </c>
      <c r="H8" s="25">
        <v>1</v>
      </c>
      <c r="I8" s="1"/>
      <c r="J8" s="24" t="s">
        <v>13</v>
      </c>
      <c r="K8" s="24" t="s">
        <v>5</v>
      </c>
      <c r="L8" s="1"/>
      <c r="M8" s="1"/>
      <c r="N8" s="18"/>
    </row>
    <row r="9" spans="2:14" ht="15" customHeight="1" x14ac:dyDescent="0.25">
      <c r="B9" s="20"/>
      <c r="C9" s="5" t="s">
        <v>93</v>
      </c>
      <c r="D9" s="6" t="s">
        <v>56</v>
      </c>
      <c r="E9" s="11">
        <v>0.25427</v>
      </c>
      <c r="F9" s="1"/>
      <c r="G9" s="1"/>
      <c r="H9" s="1"/>
      <c r="I9" s="1"/>
      <c r="J9" s="24" t="s">
        <v>11</v>
      </c>
      <c r="K9" s="29">
        <v>1.7548000000000001E-2</v>
      </c>
      <c r="L9" s="1"/>
      <c r="M9" s="1"/>
      <c r="N9" s="18"/>
    </row>
    <row r="10" spans="2:14" ht="15.75" customHeight="1" x14ac:dyDescent="0.25">
      <c r="B10" s="20"/>
      <c r="C10" s="7" t="s">
        <v>61</v>
      </c>
      <c r="D10" s="8"/>
      <c r="E10" s="12">
        <v>0.95084199999999996</v>
      </c>
      <c r="F10" s="1"/>
      <c r="G10" s="1"/>
      <c r="H10" s="1"/>
      <c r="I10" s="1"/>
      <c r="J10" s="24" t="s">
        <v>14</v>
      </c>
      <c r="K10" s="29">
        <v>1.6365999999999999E-2</v>
      </c>
      <c r="L10" s="1"/>
      <c r="M10" s="1"/>
      <c r="N10" s="18"/>
    </row>
    <row r="11" spans="2:14" ht="15" customHeight="1" x14ac:dyDescent="0.25">
      <c r="B11" s="20"/>
      <c r="C11" s="5" t="s">
        <v>149</v>
      </c>
      <c r="D11" s="6" t="s">
        <v>56</v>
      </c>
      <c r="E11" s="11">
        <v>5.1840000000000002E-3</v>
      </c>
      <c r="F11" s="1"/>
      <c r="G11" s="1"/>
      <c r="H11" s="1"/>
      <c r="I11" s="1"/>
      <c r="J11" s="24" t="s">
        <v>71</v>
      </c>
      <c r="K11" s="29">
        <v>0.95084199999999996</v>
      </c>
      <c r="L11" s="1"/>
      <c r="M11" s="1"/>
      <c r="N11" s="18"/>
    </row>
    <row r="12" spans="2:14" ht="15" customHeight="1" x14ac:dyDescent="0.25">
      <c r="B12" s="20"/>
      <c r="C12" s="5" t="s">
        <v>148</v>
      </c>
      <c r="D12" s="6" t="s">
        <v>56</v>
      </c>
      <c r="E12" s="11">
        <v>5.032E-3</v>
      </c>
      <c r="F12" s="1"/>
      <c r="G12" s="1"/>
      <c r="H12" s="1"/>
      <c r="I12" s="1"/>
      <c r="J12" s="24" t="s">
        <v>73</v>
      </c>
      <c r="K12" s="29">
        <v>1.5244000000000001E-2</v>
      </c>
      <c r="L12" s="1"/>
      <c r="M12" s="1"/>
      <c r="N12" s="18"/>
    </row>
    <row r="13" spans="2:14" ht="15" customHeight="1" x14ac:dyDescent="0.25">
      <c r="B13" s="20"/>
      <c r="C13" s="5" t="s">
        <v>147</v>
      </c>
      <c r="D13" s="6" t="s">
        <v>56</v>
      </c>
      <c r="E13" s="11">
        <v>5.0280000000000004E-3</v>
      </c>
      <c r="F13" s="1"/>
      <c r="G13" s="1"/>
      <c r="H13" s="1"/>
      <c r="I13" s="1"/>
      <c r="J13" s="1"/>
      <c r="K13" s="1"/>
      <c r="L13" s="1"/>
      <c r="M13" s="1"/>
      <c r="N13" s="18"/>
    </row>
    <row r="14" spans="2:14" ht="15.75" customHeight="1" x14ac:dyDescent="0.25">
      <c r="B14" s="20"/>
      <c r="C14" s="7" t="s">
        <v>65</v>
      </c>
      <c r="D14" s="8"/>
      <c r="E14" s="12">
        <v>1.5244000000000001E-2</v>
      </c>
      <c r="F14" s="1"/>
      <c r="G14" s="1"/>
      <c r="H14" s="1"/>
      <c r="I14" s="1"/>
      <c r="J14" s="1"/>
      <c r="K14" s="1"/>
      <c r="L14" s="1"/>
      <c r="M14" s="1"/>
      <c r="N14" s="18"/>
    </row>
    <row r="15" spans="2:14" ht="15" customHeight="1" x14ac:dyDescent="0.25">
      <c r="B15" s="20"/>
      <c r="C15" s="5" t="s">
        <v>9</v>
      </c>
      <c r="D15" s="6"/>
      <c r="E15" s="11">
        <v>1.6365999999999999E-2</v>
      </c>
      <c r="F15" s="1"/>
      <c r="G15" s="1"/>
      <c r="H15" s="1"/>
      <c r="I15" s="1"/>
      <c r="J15" s="1"/>
      <c r="K15" s="1"/>
      <c r="L15" s="1"/>
      <c r="M15" s="1"/>
      <c r="N15" s="18"/>
    </row>
    <row r="16" spans="2:14" ht="15.75" customHeight="1" x14ac:dyDescent="0.25">
      <c r="B16" s="20"/>
      <c r="C16" s="7" t="s">
        <v>10</v>
      </c>
      <c r="D16" s="8"/>
      <c r="E16" s="12">
        <v>1.6365999999999999E-2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1.7548000000000001E-2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18</v>
      </c>
      <c r="H24" s="44"/>
      <c r="I24" s="44"/>
      <c r="J24" s="44"/>
      <c r="K24" s="44"/>
      <c r="L24" s="26">
        <v>5.44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19</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7.75" customHeight="1" thickBot="1" x14ac:dyDescent="0.3">
      <c r="B45" s="35" t="s">
        <v>234</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78337-4354-47B7-ACAF-132D79ED8609}">
  <dimension ref="B1:N45"/>
  <sheetViews>
    <sheetView showGridLines="0" zoomScale="75"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8" t="s">
        <v>0</v>
      </c>
      <c r="D3" s="39"/>
      <c r="E3" s="39"/>
      <c r="F3" s="39"/>
      <c r="G3" s="39"/>
      <c r="H3" s="39"/>
      <c r="I3" s="39"/>
      <c r="J3" s="39"/>
      <c r="K3" s="39"/>
      <c r="L3" s="39"/>
      <c r="M3" s="39"/>
      <c r="N3" s="40"/>
    </row>
    <row r="4" spans="2:14" ht="15.75" customHeight="1" x14ac:dyDescent="0.25">
      <c r="B4" s="20"/>
      <c r="C4" s="14"/>
      <c r="D4" s="1"/>
      <c r="E4" s="1"/>
      <c r="F4" s="1"/>
      <c r="G4" s="1"/>
      <c r="H4" s="1"/>
      <c r="I4" s="1"/>
      <c r="J4" s="1"/>
      <c r="K4" s="1"/>
      <c r="L4" s="1"/>
      <c r="M4" s="1"/>
      <c r="N4" s="18"/>
    </row>
    <row r="5" spans="2:14" ht="18" customHeight="1" x14ac:dyDescent="0.25">
      <c r="B5" s="20"/>
      <c r="C5" s="15" t="s">
        <v>1</v>
      </c>
      <c r="D5" s="41" t="s">
        <v>2</v>
      </c>
      <c r="E5" s="4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3" t="s">
        <v>17</v>
      </c>
      <c r="H7" s="44"/>
      <c r="I7" s="44"/>
      <c r="J7" s="44"/>
      <c r="K7" s="44"/>
      <c r="L7" s="44"/>
      <c r="M7" s="44"/>
      <c r="N7" s="45"/>
    </row>
    <row r="8" spans="2:14" ht="15" customHeight="1" x14ac:dyDescent="0.25">
      <c r="B8" s="20"/>
      <c r="C8" s="5" t="s">
        <v>226</v>
      </c>
      <c r="D8" s="6"/>
      <c r="E8" s="11">
        <v>0.56558799999999998</v>
      </c>
      <c r="F8" s="1"/>
      <c r="G8" s="24" t="s">
        <v>16</v>
      </c>
      <c r="H8" s="25">
        <v>1</v>
      </c>
      <c r="I8" s="1"/>
      <c r="J8" s="24" t="s">
        <v>13</v>
      </c>
      <c r="K8" s="24" t="s">
        <v>5</v>
      </c>
      <c r="L8" s="1"/>
      <c r="M8" s="1"/>
      <c r="N8" s="18"/>
    </row>
    <row r="9" spans="2:14" ht="15" customHeight="1" x14ac:dyDescent="0.25">
      <c r="B9" s="20"/>
      <c r="C9" s="5" t="s">
        <v>6</v>
      </c>
      <c r="D9" s="6"/>
      <c r="E9" s="11">
        <v>0.34766799999999998</v>
      </c>
      <c r="F9" s="1"/>
      <c r="G9" s="1"/>
      <c r="H9" s="1"/>
      <c r="I9" s="1"/>
      <c r="J9" s="24" t="s">
        <v>11</v>
      </c>
      <c r="K9" s="29">
        <v>-4.5800000000000002E-4</v>
      </c>
      <c r="L9" s="1"/>
      <c r="M9" s="1"/>
      <c r="N9" s="18"/>
    </row>
    <row r="10" spans="2:14" ht="15" customHeight="1" x14ac:dyDescent="0.25">
      <c r="B10" s="20"/>
      <c r="C10" s="5" t="s">
        <v>7</v>
      </c>
      <c r="D10" s="6"/>
      <c r="E10" s="11">
        <v>7.4819999999999998E-2</v>
      </c>
      <c r="F10" s="1"/>
      <c r="G10" s="1"/>
      <c r="H10" s="1"/>
      <c r="I10" s="1"/>
      <c r="J10" s="24" t="s">
        <v>14</v>
      </c>
      <c r="K10" s="29">
        <v>1.2382000000000001E-2</v>
      </c>
      <c r="L10" s="1"/>
      <c r="M10" s="1"/>
      <c r="N10" s="18"/>
    </row>
    <row r="11" spans="2:14" ht="15.75" customHeight="1" x14ac:dyDescent="0.25">
      <c r="B11" s="20"/>
      <c r="C11" s="7" t="s">
        <v>8</v>
      </c>
      <c r="D11" s="8"/>
      <c r="E11" s="12">
        <v>0.98807599999999995</v>
      </c>
      <c r="F11" s="1"/>
      <c r="G11" s="1"/>
      <c r="H11" s="1"/>
      <c r="I11" s="1"/>
      <c r="J11" s="24" t="s">
        <v>15</v>
      </c>
      <c r="K11" s="29">
        <v>0.98807599999999995</v>
      </c>
      <c r="L11" s="1"/>
      <c r="M11" s="1"/>
      <c r="N11" s="18"/>
    </row>
    <row r="12" spans="2:14" ht="15" customHeight="1" x14ac:dyDescent="0.25">
      <c r="B12" s="20"/>
      <c r="C12" s="5" t="s">
        <v>9</v>
      </c>
      <c r="D12" s="6"/>
      <c r="E12" s="11">
        <v>1.2382000000000001E-2</v>
      </c>
      <c r="F12" s="1"/>
      <c r="G12" s="1"/>
      <c r="H12" s="1"/>
      <c r="I12" s="1"/>
      <c r="J12" s="1"/>
      <c r="K12" s="1"/>
      <c r="L12" s="1"/>
      <c r="M12" s="1"/>
      <c r="N12" s="18"/>
    </row>
    <row r="13" spans="2:14" ht="15.75" customHeight="1" x14ac:dyDescent="0.25">
      <c r="B13" s="20"/>
      <c r="C13" s="7" t="s">
        <v>10</v>
      </c>
      <c r="D13" s="8"/>
      <c r="E13" s="12">
        <v>1.2382000000000001E-2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-4.5800000000000002E-4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3" t="s">
        <v>18</v>
      </c>
      <c r="H24" s="44"/>
      <c r="I24" s="44"/>
      <c r="J24" s="44"/>
      <c r="K24" s="44"/>
      <c r="L24" s="26">
        <v>1.55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3" t="s">
        <v>19</v>
      </c>
      <c r="H26" s="44"/>
      <c r="I26" s="44"/>
      <c r="J26" s="44"/>
      <c r="K26" s="44"/>
      <c r="L26" s="44"/>
      <c r="M26" s="44"/>
      <c r="N26" s="4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6.25" customHeight="1" thickBot="1" x14ac:dyDescent="0.3">
      <c r="B45" s="35" t="s">
        <v>234</v>
      </c>
      <c r="C45" s="36"/>
      <c r="D45" s="36"/>
      <c r="E45" s="36"/>
      <c r="F45" s="36"/>
      <c r="G45" s="36"/>
      <c r="H45" s="36"/>
      <c r="I45" s="36"/>
      <c r="J45" s="36"/>
      <c r="K45" s="36"/>
      <c r="L45" s="36"/>
      <c r="M45" s="36"/>
      <c r="N45" s="37"/>
    </row>
  </sheetData>
  <mergeCells count="6">
    <mergeCell ref="B45:N45"/>
    <mergeCell ref="C3:N3"/>
    <mergeCell ref="D5:E5"/>
    <mergeCell ref="G7:N7"/>
    <mergeCell ref="G24:K24"/>
    <mergeCell ref="G26:N26"/>
  </mergeCells>
  <pageMargins left="0.7" right="0.7" top="0.75" bottom="0.75" header="0.3" footer="0.3"/>
  <pageSetup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IDFC-GIF2027</vt:lpstr>
      <vt:lpstr>IDFC-GIF2028</vt:lpstr>
      <vt:lpstr>IDFC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2022-05-02T03:28:04Z</dcterms:created>
  <dcterms:modified xsi:type="dcterms:W3CDTF">2022-05-04T07:55:56Z</dcterms:modified>
</cp:coreProperties>
</file>